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Danny Lee\Desktop\바탕화면\프레인글로벌\SK Innovation\국문\3월_SNS\"/>
    </mc:Choice>
  </mc:AlternateContent>
  <xr:revisionPtr revIDLastSave="0" documentId="13_ncr:1_{4F5642E3-971E-4CBB-98BC-64A8658DAA18}" xr6:coauthVersionLast="47" xr6:coauthVersionMax="47" xr10:uidLastSave="{00000000-0000-0000-0000-000000000000}"/>
  <bookViews>
    <workbookView xWindow="-120" yWindow="-120" windowWidth="29040" windowHeight="15840" tabRatio="825" firstSheet="4" activeTab="14" xr2:uid="{00000000-000D-0000-FFFF-FFFF00000000}"/>
  </bookViews>
  <sheets>
    <sheet name="사용방법" sheetId="17" r:id="rId1"/>
    <sheet name="일일data" sheetId="1" r:id="rId2"/>
    <sheet name="채널별 팔로워 추이" sheetId="5" r:id="rId3"/>
    <sheet name="FB 콘텐츠 data" sheetId="6" r:id="rId4"/>
    <sheet name="FB 콘텐츠 data 제목 입력" sheetId="19" r:id="rId5"/>
    <sheet name="구글시트 data" sheetId="21" r:id="rId6"/>
    <sheet name="FB 커버" sheetId="3" r:id="rId7"/>
    <sheet name="FB 신규발행" sheetId="8" r:id="rId8"/>
    <sheet name="FB Top3 Post" sheetId="7" r:id="rId9"/>
    <sheet name="IG 콘텐츠 data" sheetId="11" r:id="rId10"/>
    <sheet name="IG 콘텐츠 data 제목 입력" sheetId="20" r:id="rId11"/>
    <sheet name="IG story data" sheetId="15" r:id="rId12"/>
    <sheet name="IG 커버" sheetId="10" r:id="rId13"/>
    <sheet name="IG 신규발행" sheetId="12" r:id="rId14"/>
    <sheet name="IG Top3 Post" sheetId="13" r:id="rId15"/>
    <sheet name="YT 커버" sheetId="2" r:id="rId16"/>
  </sheets>
  <definedNames>
    <definedName name="_xlnm._FilterDatabase" localSheetId="7" hidden="1">'FB 신규발행'!$A$2:$R$82</definedName>
    <definedName name="_xlnm._FilterDatabase" localSheetId="13" hidden="1">'IG 신규발행'!$A$3:$N$42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0" i="10" l="1" a="1"/>
  <c r="R10" i="10" s="1"/>
  <c r="R13" i="10"/>
  <c r="R14" i="10"/>
  <c r="R12" i="10"/>
  <c r="R11" i="10"/>
  <c r="R9" i="10" a="1"/>
  <c r="R9" i="10" s="1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" i="8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5" i="10" a="1"/>
  <c r="M5" i="10" s="1"/>
  <c r="K5" i="10" a="1"/>
  <c r="K5" i="10" s="1"/>
  <c r="A21" i="17"/>
  <c r="B21" i="17"/>
  <c r="A25" i="17"/>
  <c r="B25" i="17" s="1"/>
  <c r="A24" i="17"/>
  <c r="O12" i="3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3" i="8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U11" i="3" a="1"/>
  <c r="U11" i="3" s="1"/>
  <c r="U16" i="3" a="1"/>
  <c r="U16" i="3" s="1"/>
  <c r="U14" i="3" a="1"/>
  <c r="U14" i="3" s="1"/>
  <c r="U13" i="3" a="1"/>
  <c r="U13" i="3" s="1"/>
  <c r="U12" i="3" a="1"/>
  <c r="U12" i="3" s="1"/>
  <c r="U10" i="3" a="1"/>
  <c r="U10" i="3" s="1"/>
  <c r="U9" i="3" a="1"/>
  <c r="U9" i="3" s="1"/>
  <c r="U15" i="3" a="1"/>
  <c r="U15" i="3" s="1"/>
  <c r="U8" i="3" a="1"/>
  <c r="U8" i="3" s="1"/>
  <c r="N11" i="3"/>
  <c r="M11" i="3"/>
  <c r="N10" i="3"/>
  <c r="M10" i="3"/>
  <c r="P4" i="3" a="1"/>
  <c r="P4" i="3" s="1"/>
  <c r="O4" i="3" a="1"/>
  <c r="O4" i="3" s="1"/>
  <c r="M4" i="3" a="1"/>
  <c r="M4" i="3" s="1"/>
  <c r="D4" i="8" l="1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T3" i="11" l="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2" i="11"/>
  <c r="AU3" i="6"/>
  <c r="AU4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2" i="6"/>
  <c r="AV2" i="6" s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" i="12"/>
  <c r="D3" i="8"/>
  <c r="E53" i="20" l="1"/>
  <c r="E52" i="20"/>
  <c r="E52" i="19" l="1"/>
  <c r="E53" i="19"/>
  <c r="J5" i="10" l="1"/>
  <c r="B24" i="17" l="1"/>
  <c r="J5" i="5"/>
  <c r="I5" i="5"/>
  <c r="A17" i="17"/>
  <c r="B17" i="17" s="1"/>
  <c r="I5" i="10" l="1"/>
  <c r="W9" i="11"/>
  <c r="W3" i="11"/>
  <c r="W4" i="11"/>
  <c r="W5" i="11"/>
  <c r="W6" i="11"/>
  <c r="W7" i="11"/>
  <c r="W8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2" i="11"/>
  <c r="K4" i="3"/>
  <c r="L6" i="3" s="1"/>
  <c r="V3" i="15" l="1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2" i="15"/>
  <c r="N12" i="3"/>
  <c r="M12" i="3"/>
  <c r="L13" i="10"/>
  <c r="K13" i="10"/>
  <c r="M13" i="10" l="1"/>
  <c r="D1" i="12"/>
  <c r="L5" i="10" l="1"/>
  <c r="U37" i="11" l="1"/>
  <c r="U9" i="11"/>
  <c r="U15" i="11"/>
  <c r="U7" i="11"/>
  <c r="U14" i="11"/>
  <c r="U6" i="11"/>
  <c r="U13" i="11"/>
  <c r="U5" i="11"/>
  <c r="U12" i="11"/>
  <c r="U4" i="11"/>
  <c r="U11" i="11"/>
  <c r="U3" i="11"/>
  <c r="U10" i="11"/>
  <c r="U92" i="11"/>
  <c r="U99" i="11"/>
  <c r="U91" i="11"/>
  <c r="U83" i="11"/>
  <c r="U75" i="11"/>
  <c r="U67" i="11"/>
  <c r="U59" i="11"/>
  <c r="U45" i="11"/>
  <c r="U8" i="11"/>
  <c r="U60" i="11"/>
  <c r="U2" i="11"/>
  <c r="U98" i="11"/>
  <c r="U90" i="11"/>
  <c r="U82" i="11"/>
  <c r="U74" i="11"/>
  <c r="U66" i="11"/>
  <c r="U58" i="11"/>
  <c r="U39" i="11"/>
  <c r="U46" i="11"/>
  <c r="U97" i="11"/>
  <c r="U89" i="11"/>
  <c r="U81" i="11"/>
  <c r="U73" i="11"/>
  <c r="U65" i="11"/>
  <c r="U57" i="11"/>
  <c r="U24" i="11"/>
  <c r="U32" i="11"/>
  <c r="U40" i="11"/>
  <c r="U48" i="11"/>
  <c r="U56" i="11"/>
  <c r="U17" i="11"/>
  <c r="U25" i="11"/>
  <c r="U33" i="11"/>
  <c r="U41" i="11"/>
  <c r="U49" i="11"/>
  <c r="U18" i="11"/>
  <c r="U26" i="11"/>
  <c r="U34" i="11"/>
  <c r="U42" i="11"/>
  <c r="U50" i="11"/>
  <c r="U19" i="11"/>
  <c r="U27" i="11"/>
  <c r="U35" i="11"/>
  <c r="U43" i="11"/>
  <c r="U51" i="11"/>
  <c r="U20" i="11"/>
  <c r="U28" i="11"/>
  <c r="U36" i="11"/>
  <c r="U44" i="11"/>
  <c r="U52" i="11"/>
  <c r="U21" i="11"/>
  <c r="U22" i="11"/>
  <c r="U30" i="11"/>
  <c r="U38" i="11"/>
  <c r="U68" i="11"/>
  <c r="U96" i="11"/>
  <c r="U88" i="11"/>
  <c r="U80" i="11"/>
  <c r="U72" i="11"/>
  <c r="U64" i="11"/>
  <c r="U55" i="11"/>
  <c r="U31" i="11"/>
  <c r="U84" i="11"/>
  <c r="U95" i="11"/>
  <c r="U87" i="11"/>
  <c r="U79" i="11"/>
  <c r="U71" i="11"/>
  <c r="U63" i="11"/>
  <c r="U54" i="11"/>
  <c r="U29" i="11"/>
  <c r="U76" i="11"/>
  <c r="U94" i="11"/>
  <c r="U86" i="11"/>
  <c r="U78" i="11"/>
  <c r="U70" i="11"/>
  <c r="U62" i="11"/>
  <c r="U53" i="11"/>
  <c r="U23" i="11"/>
  <c r="U16" i="11"/>
  <c r="U93" i="11"/>
  <c r="U85" i="11"/>
  <c r="U77" i="11"/>
  <c r="U69" i="11"/>
  <c r="U61" i="11"/>
  <c r="U47" i="11"/>
  <c r="I34" i="12" l="1"/>
  <c r="I22" i="12"/>
  <c r="I10" i="12"/>
  <c r="H10" i="12"/>
  <c r="H22" i="12"/>
  <c r="H34" i="12"/>
  <c r="H23" i="12"/>
  <c r="H12" i="12"/>
  <c r="H36" i="12"/>
  <c r="H42" i="12"/>
  <c r="H31" i="12"/>
  <c r="I33" i="12"/>
  <c r="I21" i="12"/>
  <c r="I9" i="12"/>
  <c r="H11" i="12"/>
  <c r="H35" i="12"/>
  <c r="H25" i="12"/>
  <c r="I37" i="12"/>
  <c r="I24" i="12"/>
  <c r="I23" i="12"/>
  <c r="I32" i="12"/>
  <c r="I20" i="12"/>
  <c r="I8" i="12"/>
  <c r="H24" i="12"/>
  <c r="H40" i="12"/>
  <c r="I25" i="12"/>
  <c r="H32" i="12"/>
  <c r="I11" i="12"/>
  <c r="I31" i="12"/>
  <c r="I19" i="12"/>
  <c r="I7" i="12"/>
  <c r="H13" i="12"/>
  <c r="H37" i="12"/>
  <c r="H20" i="12"/>
  <c r="H9" i="12"/>
  <c r="I42" i="12"/>
  <c r="I30" i="12"/>
  <c r="I18" i="12"/>
  <c r="I6" i="12"/>
  <c r="H14" i="12"/>
  <c r="H26" i="12"/>
  <c r="H38" i="12"/>
  <c r="I29" i="12"/>
  <c r="I5" i="12"/>
  <c r="H27" i="12"/>
  <c r="H39" i="12"/>
  <c r="I41" i="12"/>
  <c r="I17" i="12"/>
  <c r="H15" i="12"/>
  <c r="H29" i="12"/>
  <c r="H4" i="12"/>
  <c r="I35" i="12"/>
  <c r="I40" i="12"/>
  <c r="I28" i="12"/>
  <c r="I16" i="12"/>
  <c r="I4" i="12"/>
  <c r="H16" i="12"/>
  <c r="H28" i="12"/>
  <c r="H19" i="12"/>
  <c r="I12" i="12"/>
  <c r="H21" i="12"/>
  <c r="I39" i="12"/>
  <c r="I27" i="12"/>
  <c r="I15" i="12"/>
  <c r="H5" i="12"/>
  <c r="H17" i="12"/>
  <c r="H41" i="12"/>
  <c r="H7" i="12"/>
  <c r="I36" i="12"/>
  <c r="I38" i="12"/>
  <c r="I26" i="12"/>
  <c r="I14" i="12"/>
  <c r="H6" i="12"/>
  <c r="H18" i="12"/>
  <c r="H30" i="12"/>
  <c r="I13" i="12"/>
  <c r="H8" i="12"/>
  <c r="H33" i="12"/>
  <c r="B11" i="20"/>
  <c r="E11" i="20" s="1"/>
  <c r="B23" i="20"/>
  <c r="E23" i="20" s="1"/>
  <c r="B35" i="20"/>
  <c r="E35" i="20" s="1"/>
  <c r="B47" i="20"/>
  <c r="E47" i="20" s="1"/>
  <c r="B50" i="20"/>
  <c r="E50" i="20" s="1"/>
  <c r="B30" i="20"/>
  <c r="E30" i="20" s="1"/>
  <c r="B22" i="20"/>
  <c r="E22" i="20" s="1"/>
  <c r="B12" i="20"/>
  <c r="E12" i="20" s="1"/>
  <c r="B24" i="20"/>
  <c r="E24" i="20" s="1"/>
  <c r="B36" i="20"/>
  <c r="E36" i="20" s="1"/>
  <c r="B48" i="20"/>
  <c r="E48" i="20" s="1"/>
  <c r="B27" i="20"/>
  <c r="E27" i="20" s="1"/>
  <c r="B21" i="20"/>
  <c r="E21" i="20" s="1"/>
  <c r="B13" i="20"/>
  <c r="E13" i="20" s="1"/>
  <c r="B25" i="20"/>
  <c r="E25" i="20" s="1"/>
  <c r="B37" i="20"/>
  <c r="E37" i="20" s="1"/>
  <c r="B49" i="20"/>
  <c r="E49" i="20" s="1"/>
  <c r="B38" i="20"/>
  <c r="E38" i="20" s="1"/>
  <c r="B33" i="20"/>
  <c r="E33" i="20" s="1"/>
  <c r="B14" i="20"/>
  <c r="E14" i="20" s="1"/>
  <c r="B26" i="20"/>
  <c r="E26" i="20" s="1"/>
  <c r="B51" i="20"/>
  <c r="E51" i="20" s="1"/>
  <c r="B34" i="20"/>
  <c r="E34" i="20" s="1"/>
  <c r="B3" i="20"/>
  <c r="E3" i="20" s="1"/>
  <c r="B15" i="20"/>
  <c r="E15" i="20" s="1"/>
  <c r="B39" i="20"/>
  <c r="E39" i="20" s="1"/>
  <c r="B45" i="20"/>
  <c r="E45" i="20" s="1"/>
  <c r="B4" i="20"/>
  <c r="E4" i="20" s="1"/>
  <c r="B16" i="20"/>
  <c r="E16" i="20" s="1"/>
  <c r="B28" i="20"/>
  <c r="E28" i="20" s="1"/>
  <c r="B40" i="20"/>
  <c r="E40" i="20" s="1"/>
  <c r="B2" i="20"/>
  <c r="E2" i="20" s="1"/>
  <c r="B42" i="20"/>
  <c r="E42" i="20" s="1"/>
  <c r="B10" i="20"/>
  <c r="E10" i="20" s="1"/>
  <c r="B5" i="20"/>
  <c r="E5" i="20" s="1"/>
  <c r="B17" i="20"/>
  <c r="E17" i="20" s="1"/>
  <c r="B29" i="20"/>
  <c r="E29" i="20" s="1"/>
  <c r="B41" i="20"/>
  <c r="E41" i="20" s="1"/>
  <c r="B18" i="20"/>
  <c r="E18" i="20" s="1"/>
  <c r="B46" i="20"/>
  <c r="E46" i="20" s="1"/>
  <c r="B6" i="20"/>
  <c r="E6" i="20" s="1"/>
  <c r="B7" i="20"/>
  <c r="E7" i="20" s="1"/>
  <c r="B19" i="20"/>
  <c r="E19" i="20" s="1"/>
  <c r="B31" i="20"/>
  <c r="E31" i="20" s="1"/>
  <c r="B43" i="20"/>
  <c r="E43" i="20" s="1"/>
  <c r="B9" i="20"/>
  <c r="E9" i="20" s="1"/>
  <c r="B8" i="20"/>
  <c r="E8" i="20" s="1"/>
  <c r="B20" i="20"/>
  <c r="E20" i="20" s="1"/>
  <c r="B32" i="20"/>
  <c r="E32" i="20" s="1"/>
  <c r="B44" i="20"/>
  <c r="E44" i="20" s="1"/>
  <c r="C42" i="12"/>
  <c r="C34" i="12"/>
  <c r="C26" i="12"/>
  <c r="C18" i="12"/>
  <c r="C10" i="12"/>
  <c r="C27" i="12"/>
  <c r="C41" i="12"/>
  <c r="C33" i="12"/>
  <c r="C25" i="12"/>
  <c r="C17" i="12"/>
  <c r="C9" i="12"/>
  <c r="C8" i="12"/>
  <c r="C19" i="12"/>
  <c r="C40" i="12"/>
  <c r="C32" i="12"/>
  <c r="C24" i="12"/>
  <c r="C16" i="12"/>
  <c r="C35" i="12"/>
  <c r="C39" i="12"/>
  <c r="C31" i="12"/>
  <c r="C23" i="12"/>
  <c r="C15" i="12"/>
  <c r="C7" i="12"/>
  <c r="C38" i="12"/>
  <c r="C30" i="12"/>
  <c r="C22" i="12"/>
  <c r="C14" i="12"/>
  <c r="C6" i="12"/>
  <c r="C37" i="12"/>
  <c r="C29" i="12"/>
  <c r="C21" i="12"/>
  <c r="C13" i="12"/>
  <c r="C5" i="12"/>
  <c r="C36" i="12"/>
  <c r="C28" i="12"/>
  <c r="C20" i="12"/>
  <c r="C12" i="12"/>
  <c r="C4" i="12"/>
  <c r="C11" i="12"/>
  <c r="K7" i="12"/>
  <c r="K15" i="12"/>
  <c r="K23" i="12"/>
  <c r="K31" i="12"/>
  <c r="K39" i="12"/>
  <c r="K8" i="12"/>
  <c r="K16" i="12"/>
  <c r="K24" i="12"/>
  <c r="K32" i="12"/>
  <c r="K40" i="12"/>
  <c r="K21" i="12"/>
  <c r="K14" i="12"/>
  <c r="K38" i="12"/>
  <c r="K9" i="12"/>
  <c r="K17" i="12"/>
  <c r="K25" i="12"/>
  <c r="K33" i="12"/>
  <c r="K41" i="12"/>
  <c r="K10" i="12"/>
  <c r="K18" i="12"/>
  <c r="K26" i="12"/>
  <c r="K34" i="12"/>
  <c r="K42" i="12"/>
  <c r="K5" i="12"/>
  <c r="K29" i="12"/>
  <c r="K6" i="12"/>
  <c r="K30" i="12"/>
  <c r="K11" i="12"/>
  <c r="K19" i="12"/>
  <c r="K27" i="12"/>
  <c r="K35" i="12"/>
  <c r="K12" i="12"/>
  <c r="K20" i="12"/>
  <c r="K28" i="12"/>
  <c r="K36" i="12"/>
  <c r="K4" i="12"/>
  <c r="K13" i="12"/>
  <c r="K37" i="12"/>
  <c r="J4" i="12"/>
  <c r="K22" i="12"/>
  <c r="B12" i="12"/>
  <c r="M12" i="12" s="1"/>
  <c r="B20" i="12"/>
  <c r="B28" i="12"/>
  <c r="B36" i="12"/>
  <c r="B4" i="12"/>
  <c r="M4" i="12" s="1"/>
  <c r="L12" i="12"/>
  <c r="L20" i="12"/>
  <c r="L28" i="12"/>
  <c r="L36" i="12"/>
  <c r="L4" i="12"/>
  <c r="G12" i="12"/>
  <c r="G20" i="12"/>
  <c r="G28" i="12"/>
  <c r="G36" i="12"/>
  <c r="G4" i="12"/>
  <c r="J12" i="12"/>
  <c r="J20" i="12"/>
  <c r="J28" i="12"/>
  <c r="J36" i="12"/>
  <c r="F12" i="12"/>
  <c r="F20" i="12"/>
  <c r="F28" i="12"/>
  <c r="F36" i="12"/>
  <c r="F4" i="12"/>
  <c r="E12" i="12"/>
  <c r="E20" i="12"/>
  <c r="E28" i="12"/>
  <c r="E36" i="12"/>
  <c r="E4" i="12"/>
  <c r="B5" i="12"/>
  <c r="B13" i="12"/>
  <c r="B21" i="12"/>
  <c r="B29" i="12"/>
  <c r="B37" i="12"/>
  <c r="L5" i="12"/>
  <c r="L13" i="12"/>
  <c r="L21" i="12"/>
  <c r="L29" i="12"/>
  <c r="L37" i="12"/>
  <c r="G5" i="12"/>
  <c r="G13" i="12"/>
  <c r="G21" i="12"/>
  <c r="G29" i="12"/>
  <c r="G37" i="12"/>
  <c r="J5" i="12"/>
  <c r="J13" i="12"/>
  <c r="J21" i="12"/>
  <c r="J29" i="12"/>
  <c r="J37" i="12"/>
  <c r="F5" i="12"/>
  <c r="F13" i="12"/>
  <c r="F21" i="12"/>
  <c r="F29" i="12"/>
  <c r="F37" i="12"/>
  <c r="E5" i="12"/>
  <c r="E13" i="12"/>
  <c r="E21" i="12"/>
  <c r="E29" i="12"/>
  <c r="E37" i="12"/>
  <c r="B6" i="12"/>
  <c r="B14" i="12"/>
  <c r="M14" i="12" s="1"/>
  <c r="B22" i="12"/>
  <c r="B30" i="12"/>
  <c r="B38" i="12"/>
  <c r="L6" i="12"/>
  <c r="L14" i="12"/>
  <c r="L22" i="12"/>
  <c r="L30" i="12"/>
  <c r="L38" i="12"/>
  <c r="G6" i="12"/>
  <c r="G14" i="12"/>
  <c r="G22" i="12"/>
  <c r="G30" i="12"/>
  <c r="G38" i="12"/>
  <c r="J6" i="12"/>
  <c r="J14" i="12"/>
  <c r="J22" i="12"/>
  <c r="J30" i="12"/>
  <c r="J38" i="12"/>
  <c r="F6" i="12"/>
  <c r="F14" i="12"/>
  <c r="F22" i="12"/>
  <c r="F30" i="12"/>
  <c r="F38" i="12"/>
  <c r="E6" i="12"/>
  <c r="E14" i="12"/>
  <c r="E22" i="12"/>
  <c r="E30" i="12"/>
  <c r="E38" i="12"/>
  <c r="B7" i="12"/>
  <c r="B15" i="12"/>
  <c r="B23" i="12"/>
  <c r="B31" i="12"/>
  <c r="B39" i="12"/>
  <c r="L7" i="12"/>
  <c r="L15" i="12"/>
  <c r="L23" i="12"/>
  <c r="L31" i="12"/>
  <c r="L39" i="12"/>
  <c r="G7" i="12"/>
  <c r="G15" i="12"/>
  <c r="G23" i="12"/>
  <c r="G31" i="12"/>
  <c r="G39" i="12"/>
  <c r="J7" i="12"/>
  <c r="J15" i="12"/>
  <c r="J23" i="12"/>
  <c r="J31" i="12"/>
  <c r="J39" i="12"/>
  <c r="F7" i="12"/>
  <c r="F15" i="12"/>
  <c r="F23" i="12"/>
  <c r="F31" i="12"/>
  <c r="F39" i="12"/>
  <c r="E7" i="12"/>
  <c r="E15" i="12"/>
  <c r="E23" i="12"/>
  <c r="E31" i="12"/>
  <c r="E39" i="12"/>
  <c r="B8" i="12"/>
  <c r="B16" i="12"/>
  <c r="B24" i="12"/>
  <c r="B32" i="12"/>
  <c r="B40" i="12"/>
  <c r="L8" i="12"/>
  <c r="L16" i="12"/>
  <c r="L24" i="12"/>
  <c r="L32" i="12"/>
  <c r="L40" i="12"/>
  <c r="G8" i="12"/>
  <c r="G16" i="12"/>
  <c r="G24" i="12"/>
  <c r="G32" i="12"/>
  <c r="G40" i="12"/>
  <c r="J8" i="12"/>
  <c r="J16" i="12"/>
  <c r="J24" i="12"/>
  <c r="J32" i="12"/>
  <c r="J40" i="12"/>
  <c r="F8" i="12"/>
  <c r="F16" i="12"/>
  <c r="F24" i="12"/>
  <c r="F32" i="12"/>
  <c r="F40" i="12"/>
  <c r="E8" i="12"/>
  <c r="E16" i="12"/>
  <c r="E24" i="12"/>
  <c r="E32" i="12"/>
  <c r="E40" i="12"/>
  <c r="B9" i="12"/>
  <c r="B17" i="12"/>
  <c r="B25" i="12"/>
  <c r="B33" i="12"/>
  <c r="B41" i="12"/>
  <c r="L9" i="12"/>
  <c r="L17" i="12"/>
  <c r="L25" i="12"/>
  <c r="L33" i="12"/>
  <c r="L41" i="12"/>
  <c r="G9" i="12"/>
  <c r="G17" i="12"/>
  <c r="G25" i="12"/>
  <c r="G33" i="12"/>
  <c r="G41" i="12"/>
  <c r="J9" i="12"/>
  <c r="J17" i="12"/>
  <c r="J25" i="12"/>
  <c r="J33" i="12"/>
  <c r="J41" i="12"/>
  <c r="F9" i="12"/>
  <c r="F17" i="12"/>
  <c r="F25" i="12"/>
  <c r="F33" i="12"/>
  <c r="F41" i="12"/>
  <c r="E9" i="12"/>
  <c r="E17" i="12"/>
  <c r="E25" i="12"/>
  <c r="E33" i="12"/>
  <c r="E41" i="12"/>
  <c r="B10" i="12"/>
  <c r="B18" i="12"/>
  <c r="B26" i="12"/>
  <c r="B34" i="12"/>
  <c r="B42" i="12"/>
  <c r="L10" i="12"/>
  <c r="L18" i="12"/>
  <c r="L26" i="12"/>
  <c r="L34" i="12"/>
  <c r="L42" i="12"/>
  <c r="G10" i="12"/>
  <c r="G18" i="12"/>
  <c r="G26" i="12"/>
  <c r="G34" i="12"/>
  <c r="G42" i="12"/>
  <c r="J10" i="12"/>
  <c r="J18" i="12"/>
  <c r="J26" i="12"/>
  <c r="J34" i="12"/>
  <c r="J42" i="12"/>
  <c r="F10" i="12"/>
  <c r="F18" i="12"/>
  <c r="F26" i="12"/>
  <c r="F34" i="12"/>
  <c r="F42" i="12"/>
  <c r="E10" i="12"/>
  <c r="E18" i="12"/>
  <c r="E26" i="12"/>
  <c r="E34" i="12"/>
  <c r="E42" i="12"/>
  <c r="L35" i="12"/>
  <c r="G19" i="12"/>
  <c r="E35" i="12"/>
  <c r="Q35" i="12" s="1"/>
  <c r="G27" i="12"/>
  <c r="J11" i="12"/>
  <c r="G35" i="12"/>
  <c r="J19" i="12"/>
  <c r="G11" i="12"/>
  <c r="E27" i="12"/>
  <c r="Q27" i="12" s="1"/>
  <c r="B11" i="12"/>
  <c r="J27" i="12"/>
  <c r="F11" i="12"/>
  <c r="B19" i="12"/>
  <c r="J35" i="12"/>
  <c r="F19" i="12"/>
  <c r="L27" i="12"/>
  <c r="B27" i="12"/>
  <c r="L11" i="12"/>
  <c r="F27" i="12"/>
  <c r="E11" i="12"/>
  <c r="B35" i="12"/>
  <c r="L19" i="12"/>
  <c r="F35" i="12"/>
  <c r="E19" i="12"/>
  <c r="M10" i="12" l="1"/>
  <c r="N10" i="12" s="1"/>
  <c r="M8" i="12"/>
  <c r="M6" i="12"/>
  <c r="M11" i="12"/>
  <c r="N11" i="12" s="1"/>
  <c r="M13" i="12"/>
  <c r="M9" i="12"/>
  <c r="M7" i="12"/>
  <c r="M5" i="12"/>
  <c r="N5" i="12" s="1"/>
  <c r="A22" i="17"/>
  <c r="B22" i="17" s="1"/>
  <c r="N35" i="12"/>
  <c r="N33" i="12"/>
  <c r="N31" i="12"/>
  <c r="P31" i="12" s="1"/>
  <c r="Q42" i="12"/>
  <c r="Q40" i="12"/>
  <c r="Q38" i="12"/>
  <c r="Q34" i="12"/>
  <c r="Q32" i="12"/>
  <c r="N40" i="12"/>
  <c r="Q30" i="12"/>
  <c r="N38" i="12"/>
  <c r="P38" i="12" s="1"/>
  <c r="Q26" i="12"/>
  <c r="N34" i="12"/>
  <c r="P34" i="12" s="1"/>
  <c r="Q24" i="12"/>
  <c r="N32" i="12"/>
  <c r="Q22" i="12"/>
  <c r="N30" i="12"/>
  <c r="Q28" i="12"/>
  <c r="Q20" i="12"/>
  <c r="Q41" i="12"/>
  <c r="Q39" i="12"/>
  <c r="Q37" i="12"/>
  <c r="N27" i="12"/>
  <c r="Q33" i="12"/>
  <c r="N41" i="12"/>
  <c r="Q31" i="12"/>
  <c r="N39" i="12"/>
  <c r="Q29" i="12"/>
  <c r="N37" i="12"/>
  <c r="Q25" i="12"/>
  <c r="Q23" i="12"/>
  <c r="Q21" i="12"/>
  <c r="N29" i="12"/>
  <c r="Q36" i="12"/>
  <c r="N36" i="12"/>
  <c r="N19" i="12"/>
  <c r="Q19" i="12"/>
  <c r="Q18" i="12"/>
  <c r="N18" i="12"/>
  <c r="Q16" i="12"/>
  <c r="Q15" i="12"/>
  <c r="Q14" i="12"/>
  <c r="Q13" i="12"/>
  <c r="Q4" i="12"/>
  <c r="Q9" i="12"/>
  <c r="Q8" i="12"/>
  <c r="Q7" i="12"/>
  <c r="Q6" i="12"/>
  <c r="Q5" i="12"/>
  <c r="Q12" i="12"/>
  <c r="N17" i="12"/>
  <c r="N16" i="12"/>
  <c r="N15" i="12"/>
  <c r="N14" i="12"/>
  <c r="N13" i="12"/>
  <c r="N4" i="12"/>
  <c r="N9" i="12"/>
  <c r="N8" i="12"/>
  <c r="N7" i="12"/>
  <c r="N6" i="12"/>
  <c r="N12" i="12"/>
  <c r="Q11" i="12"/>
  <c r="N42" i="12"/>
  <c r="P42" i="12" s="1"/>
  <c r="Q17" i="12"/>
  <c r="Q10" i="12"/>
  <c r="N26" i="12"/>
  <c r="N25" i="12"/>
  <c r="N24" i="12"/>
  <c r="N23" i="12"/>
  <c r="N22" i="12"/>
  <c r="N21" i="12"/>
  <c r="N28" i="12"/>
  <c r="N20" i="12"/>
  <c r="L17" i="10"/>
  <c r="K17" i="10"/>
  <c r="L16" i="10"/>
  <c r="K16" i="10"/>
  <c r="L15" i="10"/>
  <c r="K15" i="10"/>
  <c r="L14" i="10"/>
  <c r="K14" i="10"/>
  <c r="L12" i="10"/>
  <c r="K12" i="10"/>
  <c r="L11" i="10"/>
  <c r="K11" i="10"/>
  <c r="J7" i="10"/>
  <c r="A23" i="17" s="1"/>
  <c r="P36" i="12" l="1"/>
  <c r="P39" i="12"/>
  <c r="P41" i="12"/>
  <c r="P27" i="12"/>
  <c r="P40" i="12"/>
  <c r="P25" i="12"/>
  <c r="P20" i="12"/>
  <c r="P29" i="12"/>
  <c r="P26" i="12"/>
  <c r="P32" i="12"/>
  <c r="P35" i="12"/>
  <c r="P22" i="12"/>
  <c r="P33" i="12"/>
  <c r="P28" i="12"/>
  <c r="P30" i="12"/>
  <c r="P21" i="12"/>
  <c r="P23" i="12"/>
  <c r="P24" i="12"/>
  <c r="P37" i="12"/>
  <c r="P19" i="12"/>
  <c r="P18" i="12"/>
  <c r="B23" i="17"/>
  <c r="A26" i="17" s="1"/>
  <c r="M17" i="10"/>
  <c r="M12" i="10"/>
  <c r="M16" i="10"/>
  <c r="M14" i="10"/>
  <c r="P14" i="12"/>
  <c r="O5" i="10"/>
  <c r="P11" i="12"/>
  <c r="P13" i="12"/>
  <c r="P5" i="12"/>
  <c r="P17" i="12"/>
  <c r="P6" i="12"/>
  <c r="P10" i="12"/>
  <c r="P7" i="12"/>
  <c r="P15" i="12"/>
  <c r="P9" i="12"/>
  <c r="P12" i="12"/>
  <c r="P8" i="12"/>
  <c r="P16" i="12"/>
  <c r="P4" i="12"/>
  <c r="M15" i="10"/>
  <c r="S5" i="12" l="1"/>
  <c r="S9" i="12"/>
  <c r="S13" i="12"/>
  <c r="S17" i="12"/>
  <c r="S21" i="12"/>
  <c r="S25" i="12"/>
  <c r="S29" i="12"/>
  <c r="S33" i="12"/>
  <c r="S37" i="12"/>
  <c r="S41" i="12"/>
  <c r="S16" i="12"/>
  <c r="S28" i="12"/>
  <c r="S40" i="12"/>
  <c r="S6" i="12"/>
  <c r="S10" i="12"/>
  <c r="S14" i="12"/>
  <c r="S18" i="12"/>
  <c r="S22" i="12"/>
  <c r="S26" i="12"/>
  <c r="S30" i="12"/>
  <c r="S34" i="12"/>
  <c r="S38" i="12"/>
  <c r="S42" i="12"/>
  <c r="S12" i="12"/>
  <c r="S24" i="12"/>
  <c r="S36" i="12"/>
  <c r="S7" i="12"/>
  <c r="S11" i="12"/>
  <c r="S15" i="12"/>
  <c r="S19" i="12"/>
  <c r="S23" i="12"/>
  <c r="S27" i="12"/>
  <c r="S31" i="12"/>
  <c r="S35" i="12"/>
  <c r="S39" i="12"/>
  <c r="S4" i="12"/>
  <c r="S8" i="12"/>
  <c r="S20" i="12"/>
  <c r="S32" i="12"/>
  <c r="K8" i="13"/>
  <c r="E6" i="13"/>
  <c r="Q5" i="13"/>
  <c r="N3" i="13"/>
  <c r="I8" i="13"/>
  <c r="C6" i="13"/>
  <c r="H3" i="13"/>
  <c r="K7" i="13"/>
  <c r="E5" i="13"/>
  <c r="B3" i="13"/>
  <c r="I7" i="13"/>
  <c r="C5" i="13"/>
  <c r="C8" i="13"/>
  <c r="Q8" i="13"/>
  <c r="K6" i="13"/>
  <c r="O6" i="13"/>
  <c r="O5" i="13"/>
  <c r="O8" i="13"/>
  <c r="I6" i="13"/>
  <c r="E7" i="13"/>
  <c r="Q7" i="13"/>
  <c r="K5" i="13"/>
  <c r="O7" i="13"/>
  <c r="I5" i="13"/>
  <c r="C7" i="13"/>
  <c r="Q6" i="13"/>
  <c r="E8" i="13"/>
  <c r="S16" i="5"/>
  <c r="R16" i="5"/>
  <c r="Q16" i="5"/>
  <c r="S15" i="5"/>
  <c r="R15" i="5"/>
  <c r="Q15" i="5"/>
  <c r="P15" i="5"/>
  <c r="S14" i="5"/>
  <c r="R14" i="5"/>
  <c r="Q14" i="5"/>
  <c r="P14" i="5"/>
  <c r="S13" i="5"/>
  <c r="R13" i="5"/>
  <c r="Q13" i="5"/>
  <c r="P13" i="5"/>
  <c r="S12" i="5"/>
  <c r="R12" i="5"/>
  <c r="Q12" i="5"/>
  <c r="P12" i="5"/>
  <c r="S11" i="5"/>
  <c r="R11" i="5"/>
  <c r="Q11" i="5"/>
  <c r="P11" i="5"/>
  <c r="S10" i="5"/>
  <c r="R10" i="5"/>
  <c r="Q10" i="5"/>
  <c r="P10" i="5"/>
  <c r="S9" i="5"/>
  <c r="R9" i="5"/>
  <c r="Q9" i="5"/>
  <c r="P9" i="5"/>
  <c r="S8" i="5"/>
  <c r="R8" i="5"/>
  <c r="Q8" i="5"/>
  <c r="P8" i="5"/>
  <c r="S7" i="5"/>
  <c r="R7" i="5"/>
  <c r="Q7" i="5"/>
  <c r="P7" i="5"/>
  <c r="S6" i="5"/>
  <c r="R6" i="5"/>
  <c r="Q6" i="5"/>
  <c r="P6" i="5"/>
  <c r="S5" i="5"/>
  <c r="R5" i="5"/>
  <c r="Q5" i="5"/>
  <c r="P5" i="5"/>
  <c r="P16" i="5"/>
  <c r="M16" i="3"/>
  <c r="M15" i="3"/>
  <c r="M14" i="3"/>
  <c r="M13" i="3"/>
  <c r="N16" i="3"/>
  <c r="N15" i="3"/>
  <c r="N14" i="3"/>
  <c r="N13" i="3"/>
  <c r="O14" i="3" l="1"/>
  <c r="O11" i="3"/>
  <c r="O15" i="3"/>
  <c r="O16" i="3"/>
  <c r="O13" i="3"/>
  <c r="N4" i="3"/>
  <c r="L4" i="3"/>
  <c r="A20" i="17"/>
  <c r="B20" i="17" s="1"/>
  <c r="H5" i="5" l="1"/>
  <c r="G5" i="5"/>
  <c r="L5" i="5" s="1"/>
  <c r="A18" i="17" s="1"/>
  <c r="B18" i="17" s="1"/>
  <c r="AV29" i="6" l="1"/>
  <c r="AV21" i="6"/>
  <c r="AV5" i="6"/>
  <c r="AV37" i="6"/>
  <c r="AV4" i="6"/>
  <c r="AV36" i="6"/>
  <c r="AV42" i="6"/>
  <c r="AV18" i="6"/>
  <c r="AV41" i="6"/>
  <c r="AV33" i="6"/>
  <c r="AV25" i="6"/>
  <c r="AV17" i="6"/>
  <c r="AV20" i="6"/>
  <c r="AV34" i="6"/>
  <c r="AV40" i="6"/>
  <c r="AV32" i="6"/>
  <c r="AV24" i="6"/>
  <c r="AV16" i="6"/>
  <c r="AV8" i="6"/>
  <c r="AV13" i="6"/>
  <c r="AV43" i="6"/>
  <c r="AV39" i="6"/>
  <c r="AV23" i="6"/>
  <c r="AV15" i="6"/>
  <c r="AV7" i="6"/>
  <c r="AV28" i="6"/>
  <c r="AV12" i="6"/>
  <c r="AV26" i="6"/>
  <c r="AV31" i="6"/>
  <c r="AV38" i="6"/>
  <c r="AV30" i="6"/>
  <c r="AV22" i="6"/>
  <c r="AV14" i="6"/>
  <c r="AV6" i="6"/>
  <c r="AV35" i="6"/>
  <c r="AV27" i="6"/>
  <c r="AV19" i="6"/>
  <c r="AV11" i="6"/>
  <c r="AV3" i="6"/>
  <c r="B2" i="19" s="1"/>
  <c r="AV9" i="6"/>
  <c r="AV10" i="6"/>
  <c r="M9" i="8" l="1"/>
  <c r="M81" i="8"/>
  <c r="P66" i="8"/>
  <c r="L10" i="8"/>
  <c r="L82" i="8"/>
  <c r="P67" i="8"/>
  <c r="L3" i="8"/>
  <c r="M28" i="8"/>
  <c r="N39" i="8"/>
  <c r="P3" i="8"/>
  <c r="L11" i="8"/>
  <c r="N4" i="8"/>
  <c r="M43" i="8"/>
  <c r="M47" i="8"/>
  <c r="N77" i="8"/>
  <c r="M68" i="8"/>
  <c r="L66" i="8"/>
  <c r="P35" i="8"/>
  <c r="M6" i="8"/>
  <c r="M78" i="8"/>
  <c r="P60" i="8"/>
  <c r="L50" i="8"/>
  <c r="L43" i="8"/>
  <c r="N80" i="8"/>
  <c r="P28" i="8"/>
  <c r="L75" i="8"/>
  <c r="P53" i="8"/>
  <c r="M31" i="8"/>
  <c r="L33" i="8"/>
  <c r="L45" i="8"/>
  <c r="P30" i="8"/>
  <c r="N32" i="8"/>
  <c r="P46" i="8"/>
  <c r="L54" i="8"/>
  <c r="L63" i="8"/>
  <c r="N27" i="8"/>
  <c r="P23" i="8"/>
  <c r="N11" i="8"/>
  <c r="M15" i="8"/>
  <c r="N13" i="8"/>
  <c r="P78" i="8"/>
  <c r="L16" i="8"/>
  <c r="N14" i="8"/>
  <c r="P79" i="8"/>
  <c r="L26" i="8"/>
  <c r="M34" i="8"/>
  <c r="N51" i="8"/>
  <c r="M73" i="8"/>
  <c r="L17" i="8"/>
  <c r="N16" i="8"/>
  <c r="N57" i="8"/>
  <c r="M53" i="8"/>
  <c r="P10" i="8"/>
  <c r="N71" i="8"/>
  <c r="L72" i="8"/>
  <c r="P59" i="8"/>
  <c r="M12" i="8"/>
  <c r="N7" i="8"/>
  <c r="P72" i="8"/>
  <c r="N58" i="8"/>
  <c r="L49" i="8"/>
  <c r="P25" i="8"/>
  <c r="L9" i="8"/>
  <c r="L81" i="8"/>
  <c r="P65" i="8"/>
  <c r="L55" i="8"/>
  <c r="L15" i="8"/>
  <c r="N12" i="8"/>
  <c r="N68" i="8"/>
  <c r="L61" i="8"/>
  <c r="N24" i="8"/>
  <c r="M79" i="8"/>
  <c r="M32" i="8"/>
  <c r="L51" i="8"/>
  <c r="M63" i="8"/>
  <c r="P33" i="8"/>
  <c r="M60" i="8"/>
  <c r="P17" i="8"/>
  <c r="N21" i="8"/>
  <c r="M35" i="8"/>
  <c r="P36" i="8"/>
  <c r="M75" i="8"/>
  <c r="P82" i="8"/>
  <c r="M26" i="8"/>
  <c r="P48" i="8"/>
  <c r="M21" i="8"/>
  <c r="N25" i="8"/>
  <c r="M37" i="8"/>
  <c r="L22" i="8"/>
  <c r="N26" i="8"/>
  <c r="P44" i="8"/>
  <c r="L56" i="8"/>
  <c r="M40" i="8"/>
  <c r="N63" i="8"/>
  <c r="P26" i="8"/>
  <c r="L23" i="8"/>
  <c r="N28" i="8"/>
  <c r="P74" i="8"/>
  <c r="M59" i="8"/>
  <c r="P22" i="8"/>
  <c r="L6" i="8"/>
  <c r="L78" i="8"/>
  <c r="M67" i="8"/>
  <c r="M18" i="8"/>
  <c r="N19" i="8"/>
  <c r="N3" i="8"/>
  <c r="P63" i="8"/>
  <c r="P49" i="8"/>
  <c r="P77" i="8"/>
  <c r="M3" i="8"/>
  <c r="L73" i="8"/>
  <c r="N48" i="8"/>
  <c r="P5" i="8"/>
  <c r="M74" i="8"/>
  <c r="M55" i="8"/>
  <c r="M16" i="8"/>
  <c r="P69" i="8"/>
  <c r="M66" i="8"/>
  <c r="P29" i="8"/>
  <c r="N81" i="8"/>
  <c r="M41" i="8"/>
  <c r="L37" i="8"/>
  <c r="M27" i="8"/>
  <c r="N37" i="8"/>
  <c r="N33" i="8"/>
  <c r="L28" i="8"/>
  <c r="N38" i="8"/>
  <c r="P68" i="8"/>
  <c r="N34" i="8"/>
  <c r="M46" i="8"/>
  <c r="N75" i="8"/>
  <c r="L14" i="8"/>
  <c r="L29" i="8"/>
  <c r="N40" i="8"/>
  <c r="L44" i="8"/>
  <c r="M65" i="8"/>
  <c r="P34" i="8"/>
  <c r="L12" i="8"/>
  <c r="N6" i="8"/>
  <c r="P50" i="8"/>
  <c r="M24" i="8"/>
  <c r="N31" i="8"/>
  <c r="M50" i="8"/>
  <c r="L21" i="8"/>
  <c r="N72" i="8"/>
  <c r="L64" i="8"/>
  <c r="N41" i="8"/>
  <c r="N82" i="8"/>
  <c r="N15" i="8"/>
  <c r="P15" i="8"/>
  <c r="N44" i="8"/>
  <c r="M22" i="8"/>
  <c r="N65" i="8"/>
  <c r="N56" i="8"/>
  <c r="M33" i="8"/>
  <c r="N49" i="8"/>
  <c r="P62" i="8"/>
  <c r="L34" i="8"/>
  <c r="N50" i="8"/>
  <c r="P45" i="8"/>
  <c r="P27" i="8"/>
  <c r="M52" i="8"/>
  <c r="P8" i="8"/>
  <c r="L68" i="8"/>
  <c r="L35" i="8"/>
  <c r="N52" i="8"/>
  <c r="N22" i="8"/>
  <c r="M71" i="8"/>
  <c r="P58" i="8"/>
  <c r="L18" i="8"/>
  <c r="N18" i="8"/>
  <c r="L8" i="8"/>
  <c r="M30" i="8"/>
  <c r="N43" i="8"/>
  <c r="P13" i="8"/>
  <c r="N59" i="8"/>
  <c r="L67" i="8"/>
  <c r="M25" i="8"/>
  <c r="L27" i="8"/>
  <c r="N36" i="8"/>
  <c r="N9" i="8"/>
  <c r="P37" i="8"/>
  <c r="L20" i="8"/>
  <c r="P31" i="8"/>
  <c r="N78" i="8"/>
  <c r="P16" i="8"/>
  <c r="M39" i="8"/>
  <c r="N61" i="8"/>
  <c r="L38" i="8"/>
  <c r="L40" i="8"/>
  <c r="N62" i="8"/>
  <c r="P81" i="8"/>
  <c r="M38" i="8"/>
  <c r="M58" i="8"/>
  <c r="P20" i="8"/>
  <c r="N46" i="8"/>
  <c r="L41" i="8"/>
  <c r="N64" i="8"/>
  <c r="M5" i="8"/>
  <c r="M77" i="8"/>
  <c r="M7" i="8"/>
  <c r="L24" i="8"/>
  <c r="N30" i="8"/>
  <c r="L62" i="8"/>
  <c r="M36" i="8"/>
  <c r="N55" i="8"/>
  <c r="P64" i="8"/>
  <c r="M82" i="8"/>
  <c r="L48" i="8"/>
  <c r="L57" i="8"/>
  <c r="P43" i="8"/>
  <c r="P11" i="8"/>
  <c r="P54" i="8"/>
  <c r="L60" i="8"/>
  <c r="M45" i="8"/>
  <c r="N73" i="8"/>
  <c r="N10" i="8"/>
  <c r="L46" i="8"/>
  <c r="N74" i="8"/>
  <c r="P70" i="8"/>
  <c r="M80" i="8"/>
  <c r="M64" i="8"/>
  <c r="P32" i="8"/>
  <c r="P51" i="8"/>
  <c r="L47" i="8"/>
  <c r="N76" i="8"/>
  <c r="M11" i="8"/>
  <c r="N5" i="8"/>
  <c r="M61" i="8"/>
  <c r="L30" i="8"/>
  <c r="N42" i="8"/>
  <c r="N70" i="8"/>
  <c r="M42" i="8"/>
  <c r="N67" i="8"/>
  <c r="P61" i="8"/>
  <c r="L7" i="8"/>
  <c r="L79" i="8"/>
  <c r="P14" i="8"/>
  <c r="L39" i="8"/>
  <c r="N60" i="8"/>
  <c r="N47" i="8"/>
  <c r="N17" i="8"/>
  <c r="N54" i="8"/>
  <c r="M48" i="8"/>
  <c r="N79" i="8"/>
  <c r="L13" i="8"/>
  <c r="P76" i="8"/>
  <c r="M49" i="8"/>
  <c r="N23" i="8"/>
  <c r="L80" i="8"/>
  <c r="L25" i="8"/>
  <c r="M69" i="8"/>
  <c r="P40" i="8"/>
  <c r="N35" i="8"/>
  <c r="M44" i="8"/>
  <c r="L76" i="8"/>
  <c r="L77" i="8"/>
  <c r="P52" i="8"/>
  <c r="L69" i="8"/>
  <c r="M51" i="8"/>
  <c r="P6" i="8"/>
  <c r="P39" i="8"/>
  <c r="L52" i="8"/>
  <c r="P7" i="8"/>
  <c r="P71" i="8"/>
  <c r="P4" i="8"/>
  <c r="M70" i="8"/>
  <c r="P56" i="8"/>
  <c r="M8" i="8"/>
  <c r="L53" i="8"/>
  <c r="P9" i="8"/>
  <c r="M17" i="8"/>
  <c r="N69" i="8"/>
  <c r="L36" i="8"/>
  <c r="P75" i="8"/>
  <c r="P73" i="8"/>
  <c r="N8" i="8"/>
  <c r="P57" i="8"/>
  <c r="M29" i="8"/>
  <c r="P24" i="8"/>
  <c r="L70" i="8"/>
  <c r="N53" i="8"/>
  <c r="L31" i="8"/>
  <c r="L4" i="8"/>
  <c r="L5" i="8"/>
  <c r="M72" i="8"/>
  <c r="P41" i="8"/>
  <c r="M57" i="8"/>
  <c r="P18" i="8"/>
  <c r="M20" i="8"/>
  <c r="L58" i="8"/>
  <c r="P19" i="8"/>
  <c r="M19" i="8"/>
  <c r="M4" i="8"/>
  <c r="M76" i="8"/>
  <c r="P80" i="8"/>
  <c r="M56" i="8"/>
  <c r="L59" i="8"/>
  <c r="P21" i="8"/>
  <c r="M23" i="8"/>
  <c r="N29" i="8"/>
  <c r="L32" i="8"/>
  <c r="L42" i="8"/>
  <c r="N66" i="8"/>
  <c r="M14" i="8"/>
  <c r="M54" i="8"/>
  <c r="P12" i="8"/>
  <c r="M13" i="8"/>
  <c r="L19" i="8"/>
  <c r="N20" i="8"/>
  <c r="L74" i="8"/>
  <c r="M10" i="8"/>
  <c r="L65" i="8"/>
  <c r="M62" i="8"/>
  <c r="P42" i="8"/>
  <c r="L71" i="8"/>
  <c r="N45" i="8"/>
  <c r="P55" i="8"/>
  <c r="P47" i="8"/>
  <c r="P38" i="8"/>
  <c r="B4" i="19"/>
  <c r="E4" i="19" s="1"/>
  <c r="B16" i="19"/>
  <c r="E16" i="19" s="1"/>
  <c r="B28" i="19"/>
  <c r="E28" i="19" s="1"/>
  <c r="B40" i="19"/>
  <c r="E40" i="19" s="1"/>
  <c r="E2" i="19"/>
  <c r="B45" i="19"/>
  <c r="E45" i="19" s="1"/>
  <c r="B46" i="19"/>
  <c r="E46" i="19" s="1"/>
  <c r="B37" i="19"/>
  <c r="E37" i="19" s="1"/>
  <c r="B27" i="19"/>
  <c r="E27" i="19" s="1"/>
  <c r="B5" i="19"/>
  <c r="E5" i="19" s="1"/>
  <c r="B17" i="19"/>
  <c r="E17" i="19" s="1"/>
  <c r="B29" i="19"/>
  <c r="E29" i="19" s="1"/>
  <c r="B41" i="19"/>
  <c r="E41" i="19" s="1"/>
  <c r="B22" i="19"/>
  <c r="E22" i="19" s="1"/>
  <c r="B25" i="19"/>
  <c r="E25" i="19" s="1"/>
  <c r="B14" i="19"/>
  <c r="E14" i="19" s="1"/>
  <c r="B6" i="19"/>
  <c r="E6" i="19" s="1"/>
  <c r="B18" i="19"/>
  <c r="E18" i="19" s="1"/>
  <c r="B30" i="19"/>
  <c r="E30" i="19" s="1"/>
  <c r="B42" i="19"/>
  <c r="E42" i="19" s="1"/>
  <c r="B21" i="19"/>
  <c r="E21" i="19" s="1"/>
  <c r="B23" i="19"/>
  <c r="E23" i="19" s="1"/>
  <c r="B50" i="19"/>
  <c r="E50" i="19" s="1"/>
  <c r="B7" i="19"/>
  <c r="E7" i="19" s="1"/>
  <c r="B19" i="19"/>
  <c r="E19" i="19" s="1"/>
  <c r="B31" i="19"/>
  <c r="E31" i="19" s="1"/>
  <c r="B43" i="19"/>
  <c r="E43" i="19" s="1"/>
  <c r="B9" i="19"/>
  <c r="E9" i="19" s="1"/>
  <c r="B34" i="19"/>
  <c r="E34" i="19" s="1"/>
  <c r="B35" i="19"/>
  <c r="B8" i="19"/>
  <c r="E8" i="19" s="1"/>
  <c r="B20" i="19"/>
  <c r="E20" i="19" s="1"/>
  <c r="B32" i="19"/>
  <c r="E32" i="19" s="1"/>
  <c r="B44" i="19"/>
  <c r="E44" i="19" s="1"/>
  <c r="B33" i="19"/>
  <c r="E33" i="19" s="1"/>
  <c r="B47" i="19"/>
  <c r="E47" i="19" s="1"/>
  <c r="B39" i="19"/>
  <c r="E39" i="19" s="1"/>
  <c r="B10" i="19"/>
  <c r="E10" i="19" s="1"/>
  <c r="B11" i="19"/>
  <c r="E11" i="19" s="1"/>
  <c r="B38" i="19"/>
  <c r="E38" i="19" s="1"/>
  <c r="B49" i="19"/>
  <c r="E49" i="19" s="1"/>
  <c r="B12" i="19"/>
  <c r="E12" i="19" s="1"/>
  <c r="B24" i="19"/>
  <c r="E24" i="19" s="1"/>
  <c r="B36" i="19"/>
  <c r="E36" i="19" s="1"/>
  <c r="B48" i="19"/>
  <c r="E48" i="19" s="1"/>
  <c r="B13" i="19"/>
  <c r="E13" i="19" s="1"/>
  <c r="B26" i="19"/>
  <c r="E26" i="19" s="1"/>
  <c r="B3" i="19"/>
  <c r="E3" i="19" s="1"/>
  <c r="B15" i="19"/>
  <c r="E15" i="19" s="1"/>
  <c r="B51" i="19"/>
  <c r="E51" i="19" s="1"/>
  <c r="J4" i="8"/>
  <c r="J16" i="8"/>
  <c r="J28" i="8"/>
  <c r="J40" i="8"/>
  <c r="J52" i="8"/>
  <c r="J64" i="8"/>
  <c r="J76" i="8"/>
  <c r="J77" i="8"/>
  <c r="J44" i="8"/>
  <c r="J69" i="8"/>
  <c r="J3" i="8"/>
  <c r="J37" i="8"/>
  <c r="J50" i="8"/>
  <c r="J5" i="8"/>
  <c r="J17" i="8"/>
  <c r="J29" i="8"/>
  <c r="J41" i="8"/>
  <c r="J53" i="8"/>
  <c r="J65" i="8"/>
  <c r="J78" i="8"/>
  <c r="J80" i="8"/>
  <c r="J47" i="8"/>
  <c r="J49" i="8"/>
  <c r="J75" i="8"/>
  <c r="J6" i="8"/>
  <c r="J18" i="8"/>
  <c r="J30" i="8"/>
  <c r="J42" i="8"/>
  <c r="J54" i="8"/>
  <c r="J66" i="8"/>
  <c r="J68" i="8"/>
  <c r="J81" i="8"/>
  <c r="J13" i="8"/>
  <c r="J74" i="8"/>
  <c r="J7" i="8"/>
  <c r="J19" i="8"/>
  <c r="J31" i="8"/>
  <c r="J43" i="8"/>
  <c r="J55" i="8"/>
  <c r="J67" i="8"/>
  <c r="J79" i="8"/>
  <c r="J32" i="8"/>
  <c r="J57" i="8"/>
  <c r="J71" i="8"/>
  <c r="J61" i="8"/>
  <c r="J62" i="8"/>
  <c r="J8" i="8"/>
  <c r="J20" i="8"/>
  <c r="J56" i="8"/>
  <c r="J59" i="8"/>
  <c r="J26" i="8"/>
  <c r="J9" i="8"/>
  <c r="J21" i="8"/>
  <c r="J33" i="8"/>
  <c r="J45" i="8"/>
  <c r="J60" i="8"/>
  <c r="J14" i="8"/>
  <c r="J10" i="8"/>
  <c r="J22" i="8"/>
  <c r="J34" i="8"/>
  <c r="J46" i="8"/>
  <c r="J58" i="8"/>
  <c r="J70" i="8"/>
  <c r="J82" i="8"/>
  <c r="J25" i="8"/>
  <c r="J11" i="8"/>
  <c r="J23" i="8"/>
  <c r="J35" i="8"/>
  <c r="J73" i="8"/>
  <c r="J12" i="8"/>
  <c r="J24" i="8"/>
  <c r="J36" i="8"/>
  <c r="J48" i="8"/>
  <c r="J72" i="8"/>
  <c r="J38" i="8"/>
  <c r="J15" i="8"/>
  <c r="J27" i="8"/>
  <c r="J39" i="8"/>
  <c r="J51" i="8"/>
  <c r="J63" i="8"/>
  <c r="C6" i="8"/>
  <c r="E35" i="19"/>
  <c r="I6" i="8"/>
  <c r="I14" i="8"/>
  <c r="I22" i="8"/>
  <c r="I30" i="8"/>
  <c r="I38" i="8"/>
  <c r="I46" i="8"/>
  <c r="I54" i="8"/>
  <c r="I62" i="8"/>
  <c r="I70" i="8"/>
  <c r="I78" i="8"/>
  <c r="I7" i="8"/>
  <c r="I15" i="8"/>
  <c r="I23" i="8"/>
  <c r="I31" i="8"/>
  <c r="I39" i="8"/>
  <c r="I47" i="8"/>
  <c r="I55" i="8"/>
  <c r="I63" i="8"/>
  <c r="I71" i="8"/>
  <c r="I79" i="8"/>
  <c r="I8" i="8"/>
  <c r="I16" i="8"/>
  <c r="I24" i="8"/>
  <c r="I32" i="8"/>
  <c r="I40" i="8"/>
  <c r="I48" i="8"/>
  <c r="I56" i="8"/>
  <c r="I64" i="8"/>
  <c r="I72" i="8"/>
  <c r="I80" i="8"/>
  <c r="I9" i="8"/>
  <c r="I17" i="8"/>
  <c r="I25" i="8"/>
  <c r="I33" i="8"/>
  <c r="I41" i="8"/>
  <c r="I49" i="8"/>
  <c r="I57" i="8"/>
  <c r="I65" i="8"/>
  <c r="I73" i="8"/>
  <c r="I81" i="8"/>
  <c r="I10" i="8"/>
  <c r="I18" i="8"/>
  <c r="I26" i="8"/>
  <c r="I34" i="8"/>
  <c r="I42" i="8"/>
  <c r="I50" i="8"/>
  <c r="I58" i="8"/>
  <c r="I66" i="8"/>
  <c r="I74" i="8"/>
  <c r="I82" i="8"/>
  <c r="I11" i="8"/>
  <c r="I19" i="8"/>
  <c r="I27" i="8"/>
  <c r="I35" i="8"/>
  <c r="I43" i="8"/>
  <c r="I51" i="8"/>
  <c r="I59" i="8"/>
  <c r="I67" i="8"/>
  <c r="I75" i="8"/>
  <c r="I3" i="8"/>
  <c r="I4" i="8"/>
  <c r="I12" i="8"/>
  <c r="I20" i="8"/>
  <c r="I28" i="8"/>
  <c r="I36" i="8"/>
  <c r="I44" i="8"/>
  <c r="I52" i="8"/>
  <c r="I60" i="8"/>
  <c r="I68" i="8"/>
  <c r="I76" i="8"/>
  <c r="I5" i="8"/>
  <c r="I13" i="8"/>
  <c r="I21" i="8"/>
  <c r="I29" i="8"/>
  <c r="I37" i="8"/>
  <c r="I45" i="8"/>
  <c r="I53" i="8"/>
  <c r="I61" i="8"/>
  <c r="I69" i="8"/>
  <c r="I77" i="8"/>
  <c r="E6" i="8"/>
  <c r="Q5" i="8"/>
  <c r="Q9" i="8"/>
  <c r="Q13" i="8"/>
  <c r="Q17" i="8"/>
  <c r="Q21" i="8"/>
  <c r="Q25" i="8"/>
  <c r="Q29" i="8"/>
  <c r="Q33" i="8"/>
  <c r="Q37" i="8"/>
  <c r="Q41" i="8"/>
  <c r="Q45" i="8"/>
  <c r="Q49" i="8"/>
  <c r="Q53" i="8"/>
  <c r="Q57" i="8"/>
  <c r="Q61" i="8"/>
  <c r="Q65" i="8"/>
  <c r="Q69" i="8"/>
  <c r="Q73" i="8"/>
  <c r="Q77" i="8"/>
  <c r="Q81" i="8"/>
  <c r="E15" i="8"/>
  <c r="E21" i="8"/>
  <c r="E28" i="8"/>
  <c r="E34" i="8"/>
  <c r="E47" i="8"/>
  <c r="E53" i="8"/>
  <c r="E60" i="8"/>
  <c r="E66" i="8"/>
  <c r="E79" i="8"/>
  <c r="F4" i="8"/>
  <c r="F12" i="8"/>
  <c r="F20" i="8"/>
  <c r="F28" i="8"/>
  <c r="F36" i="8"/>
  <c r="F44" i="8"/>
  <c r="F52" i="8"/>
  <c r="F60" i="8"/>
  <c r="F68" i="8"/>
  <c r="F76" i="8"/>
  <c r="O25" i="8"/>
  <c r="O61" i="8"/>
  <c r="E3" i="8"/>
  <c r="F51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E9" i="8"/>
  <c r="E16" i="8"/>
  <c r="E22" i="8"/>
  <c r="E35" i="8"/>
  <c r="E41" i="8"/>
  <c r="E48" i="8"/>
  <c r="E54" i="8"/>
  <c r="E67" i="8"/>
  <c r="E73" i="8"/>
  <c r="E80" i="8"/>
  <c r="F5" i="8"/>
  <c r="F13" i="8"/>
  <c r="F21" i="8"/>
  <c r="F29" i="8"/>
  <c r="F37" i="8"/>
  <c r="F45" i="8"/>
  <c r="F53" i="8"/>
  <c r="F61" i="8"/>
  <c r="F69" i="8"/>
  <c r="F77" i="8"/>
  <c r="F65" i="8"/>
  <c r="F82" i="8"/>
  <c r="O29" i="8"/>
  <c r="O49" i="8"/>
  <c r="O77" i="8"/>
  <c r="E33" i="8"/>
  <c r="E78" i="8"/>
  <c r="F59" i="8"/>
  <c r="Q6" i="8"/>
  <c r="Q10" i="8"/>
  <c r="Q14" i="8"/>
  <c r="Q18" i="8"/>
  <c r="Q22" i="8"/>
  <c r="Q26" i="8"/>
  <c r="Q30" i="8"/>
  <c r="Q34" i="8"/>
  <c r="Q38" i="8"/>
  <c r="Q42" i="8"/>
  <c r="Q46" i="8"/>
  <c r="Q50" i="8"/>
  <c r="Q54" i="8"/>
  <c r="Q58" i="8"/>
  <c r="Q62" i="8"/>
  <c r="Q66" i="8"/>
  <c r="Q70" i="8"/>
  <c r="Q74" i="8"/>
  <c r="Q78" i="8"/>
  <c r="Q82" i="8"/>
  <c r="E10" i="8"/>
  <c r="E23" i="8"/>
  <c r="E29" i="8"/>
  <c r="E36" i="8"/>
  <c r="E42" i="8"/>
  <c r="E55" i="8"/>
  <c r="E61" i="8"/>
  <c r="E68" i="8"/>
  <c r="E74" i="8"/>
  <c r="F6" i="8"/>
  <c r="F14" i="8"/>
  <c r="F22" i="8"/>
  <c r="F30" i="8"/>
  <c r="F38" i="8"/>
  <c r="F46" i="8"/>
  <c r="F54" i="8"/>
  <c r="F62" i="8"/>
  <c r="F70" i="8"/>
  <c r="F78" i="8"/>
  <c r="F80" i="8"/>
  <c r="F66" i="8"/>
  <c r="O21" i="8"/>
  <c r="O53" i="8"/>
  <c r="E8" i="8"/>
  <c r="E65" i="8"/>
  <c r="F35" i="8"/>
  <c r="O7" i="8"/>
  <c r="O11" i="8"/>
  <c r="O15" i="8"/>
  <c r="O19" i="8"/>
  <c r="O23" i="8"/>
  <c r="O27" i="8"/>
  <c r="O31" i="8"/>
  <c r="O35" i="8"/>
  <c r="O39" i="8"/>
  <c r="O43" i="8"/>
  <c r="O47" i="8"/>
  <c r="O51" i="8"/>
  <c r="O55" i="8"/>
  <c r="O59" i="8"/>
  <c r="O63" i="8"/>
  <c r="O67" i="8"/>
  <c r="O71" i="8"/>
  <c r="O75" i="8"/>
  <c r="O79" i="8"/>
  <c r="E4" i="8"/>
  <c r="E11" i="8"/>
  <c r="E17" i="8"/>
  <c r="E24" i="8"/>
  <c r="E30" i="8"/>
  <c r="E43" i="8"/>
  <c r="E49" i="8"/>
  <c r="E56" i="8"/>
  <c r="E62" i="8"/>
  <c r="E75" i="8"/>
  <c r="E81" i="8"/>
  <c r="F7" i="8"/>
  <c r="F15" i="8"/>
  <c r="F23" i="8"/>
  <c r="F31" i="8"/>
  <c r="F39" i="8"/>
  <c r="F47" i="8"/>
  <c r="F55" i="8"/>
  <c r="F63" i="8"/>
  <c r="F71" i="8"/>
  <c r="F79" i="8"/>
  <c r="B3" i="8"/>
  <c r="F73" i="8"/>
  <c r="O9" i="8"/>
  <c r="O65" i="8"/>
  <c r="E27" i="8"/>
  <c r="E72" i="8"/>
  <c r="F43" i="8"/>
  <c r="Q7" i="8"/>
  <c r="Q11" i="8"/>
  <c r="Q15" i="8"/>
  <c r="Q19" i="8"/>
  <c r="Q23" i="8"/>
  <c r="Q27" i="8"/>
  <c r="Q31" i="8"/>
  <c r="Q35" i="8"/>
  <c r="Q39" i="8"/>
  <c r="Q43" i="8"/>
  <c r="Q47" i="8"/>
  <c r="Q51" i="8"/>
  <c r="Q55" i="8"/>
  <c r="Q59" i="8"/>
  <c r="Q63" i="8"/>
  <c r="Q67" i="8"/>
  <c r="Q71" i="8"/>
  <c r="Q75" i="8"/>
  <c r="Q79" i="8"/>
  <c r="E12" i="8"/>
  <c r="E18" i="8"/>
  <c r="E31" i="8"/>
  <c r="E37" i="8"/>
  <c r="E44" i="8"/>
  <c r="E50" i="8"/>
  <c r="E63" i="8"/>
  <c r="E69" i="8"/>
  <c r="E76" i="8"/>
  <c r="E82" i="8"/>
  <c r="U82" i="8" s="1"/>
  <c r="F8" i="8"/>
  <c r="F16" i="8"/>
  <c r="F24" i="8"/>
  <c r="F32" i="8"/>
  <c r="F40" i="8"/>
  <c r="F48" i="8"/>
  <c r="F56" i="8"/>
  <c r="F64" i="8"/>
  <c r="F72" i="8"/>
  <c r="F81" i="8"/>
  <c r="O13" i="8"/>
  <c r="O73" i="8"/>
  <c r="E46" i="8"/>
  <c r="F19" i="8"/>
  <c r="F3" i="8"/>
  <c r="O4" i="8"/>
  <c r="O8" i="8"/>
  <c r="O12" i="8"/>
  <c r="O16" i="8"/>
  <c r="O20" i="8"/>
  <c r="O24" i="8"/>
  <c r="O28" i="8"/>
  <c r="O32" i="8"/>
  <c r="O36" i="8"/>
  <c r="O40" i="8"/>
  <c r="O44" i="8"/>
  <c r="O48" i="8"/>
  <c r="O52" i="8"/>
  <c r="O56" i="8"/>
  <c r="O60" i="8"/>
  <c r="O64" i="8"/>
  <c r="O68" i="8"/>
  <c r="O72" i="8"/>
  <c r="O76" i="8"/>
  <c r="O80" i="8"/>
  <c r="E5" i="8"/>
  <c r="E19" i="8"/>
  <c r="E25" i="8"/>
  <c r="E32" i="8"/>
  <c r="E38" i="8"/>
  <c r="E51" i="8"/>
  <c r="E57" i="8"/>
  <c r="E64" i="8"/>
  <c r="E70" i="8"/>
  <c r="Q3" i="8"/>
  <c r="F9" i="8"/>
  <c r="F17" i="8"/>
  <c r="F25" i="8"/>
  <c r="F33" i="8"/>
  <c r="F41" i="8"/>
  <c r="F49" i="8"/>
  <c r="F57" i="8"/>
  <c r="O5" i="8"/>
  <c r="O37" i="8"/>
  <c r="O45" i="8"/>
  <c r="O69" i="8"/>
  <c r="E14" i="8"/>
  <c r="E59" i="8"/>
  <c r="F27" i="8"/>
  <c r="F75" i="8"/>
  <c r="Q4" i="8"/>
  <c r="Q8" i="8"/>
  <c r="Q12" i="8"/>
  <c r="Q16" i="8"/>
  <c r="Q20" i="8"/>
  <c r="Q24" i="8"/>
  <c r="Q28" i="8"/>
  <c r="Q32" i="8"/>
  <c r="Q36" i="8"/>
  <c r="Q40" i="8"/>
  <c r="Q44" i="8"/>
  <c r="Q48" i="8"/>
  <c r="Q52" i="8"/>
  <c r="Q56" i="8"/>
  <c r="Q60" i="8"/>
  <c r="Q64" i="8"/>
  <c r="Q68" i="8"/>
  <c r="Q72" i="8"/>
  <c r="Q76" i="8"/>
  <c r="Q80" i="8"/>
  <c r="E7" i="8"/>
  <c r="E13" i="8"/>
  <c r="E20" i="8"/>
  <c r="E26" i="8"/>
  <c r="E39" i="8"/>
  <c r="E45" i="8"/>
  <c r="E52" i="8"/>
  <c r="E58" i="8"/>
  <c r="E71" i="8"/>
  <c r="E77" i="8"/>
  <c r="O3" i="8"/>
  <c r="F10" i="8"/>
  <c r="F18" i="8"/>
  <c r="F26" i="8"/>
  <c r="F34" i="8"/>
  <c r="F42" i="8"/>
  <c r="F50" i="8"/>
  <c r="F58" i="8"/>
  <c r="F74" i="8"/>
  <c r="O17" i="8"/>
  <c r="O33" i="8"/>
  <c r="O41" i="8"/>
  <c r="O57" i="8"/>
  <c r="O81" i="8"/>
  <c r="E40" i="8"/>
  <c r="F11" i="8"/>
  <c r="F67" i="8"/>
  <c r="C79" i="8"/>
  <c r="C71" i="8"/>
  <c r="C63" i="8"/>
  <c r="C55" i="8"/>
  <c r="C47" i="8"/>
  <c r="C39" i="8"/>
  <c r="C31" i="8"/>
  <c r="C23" i="8"/>
  <c r="C15" i="8"/>
  <c r="C7" i="8"/>
  <c r="C76" i="8"/>
  <c r="C68" i="8"/>
  <c r="C60" i="8"/>
  <c r="C52" i="8"/>
  <c r="C44" i="8"/>
  <c r="C36" i="8"/>
  <c r="C28" i="8"/>
  <c r="C20" i="8"/>
  <c r="C12" i="8"/>
  <c r="C4" i="8"/>
  <c r="C35" i="8"/>
  <c r="C11" i="8"/>
  <c r="C75" i="8"/>
  <c r="C67" i="8"/>
  <c r="C59" i="8"/>
  <c r="C51" i="8"/>
  <c r="C43" i="8"/>
  <c r="C27" i="8"/>
  <c r="C19" i="8"/>
  <c r="C3" i="8"/>
  <c r="C74" i="8"/>
  <c r="C62" i="8"/>
  <c r="C49" i="8"/>
  <c r="C37" i="8"/>
  <c r="C24" i="8"/>
  <c r="C10" i="8"/>
  <c r="C73" i="8"/>
  <c r="C61" i="8"/>
  <c r="C48" i="8"/>
  <c r="C34" i="8"/>
  <c r="C22" i="8"/>
  <c r="C9" i="8"/>
  <c r="C66" i="8"/>
  <c r="C29" i="8"/>
  <c r="C53" i="8"/>
  <c r="C14" i="8"/>
  <c r="C38" i="8"/>
  <c r="C72" i="8"/>
  <c r="C58" i="8"/>
  <c r="C46" i="8"/>
  <c r="C33" i="8"/>
  <c r="C21" i="8"/>
  <c r="C8" i="8"/>
  <c r="C56" i="8"/>
  <c r="C42" i="8"/>
  <c r="C17" i="8"/>
  <c r="C80" i="8"/>
  <c r="C41" i="8"/>
  <c r="C82" i="8"/>
  <c r="C78" i="8"/>
  <c r="C40" i="8"/>
  <c r="C25" i="8"/>
  <c r="C70" i="8"/>
  <c r="C57" i="8"/>
  <c r="C45" i="8"/>
  <c r="C32" i="8"/>
  <c r="C18" i="8"/>
  <c r="C81" i="8"/>
  <c r="C69" i="8"/>
  <c r="C30" i="8"/>
  <c r="C5" i="8"/>
  <c r="C54" i="8"/>
  <c r="C16" i="8"/>
  <c r="C65" i="8"/>
  <c r="C26" i="8"/>
  <c r="C77" i="8"/>
  <c r="C64" i="8"/>
  <c r="C50" i="8"/>
  <c r="C13" i="8"/>
  <c r="B59" i="8"/>
  <c r="H59" i="8" s="1"/>
  <c r="B82" i="8"/>
  <c r="B4" i="8"/>
  <c r="B12" i="8"/>
  <c r="B20" i="8"/>
  <c r="B28" i="8"/>
  <c r="H28" i="8" s="1"/>
  <c r="B36" i="8"/>
  <c r="H36" i="8" s="1"/>
  <c r="B44" i="8"/>
  <c r="H44" i="8" s="1"/>
  <c r="B52" i="8"/>
  <c r="H52" i="8" s="1"/>
  <c r="B60" i="8"/>
  <c r="H60" i="8" s="1"/>
  <c r="B68" i="8"/>
  <c r="H68" i="8" s="1"/>
  <c r="B76" i="8"/>
  <c r="B5" i="8"/>
  <c r="B13" i="8"/>
  <c r="B21" i="8"/>
  <c r="B29" i="8"/>
  <c r="H29" i="8" s="1"/>
  <c r="B37" i="8"/>
  <c r="H37" i="8" s="1"/>
  <c r="B45" i="8"/>
  <c r="H45" i="8" s="1"/>
  <c r="B53" i="8"/>
  <c r="H53" i="8" s="1"/>
  <c r="B61" i="8"/>
  <c r="B69" i="8"/>
  <c r="H69" i="8" s="1"/>
  <c r="B77" i="8"/>
  <c r="B14" i="8"/>
  <c r="B30" i="8"/>
  <c r="H30" i="8" s="1"/>
  <c r="B46" i="8"/>
  <c r="H46" i="8" s="1"/>
  <c r="B62" i="8"/>
  <c r="H62" i="8" s="1"/>
  <c r="B78" i="8"/>
  <c r="H78" i="8" s="1"/>
  <c r="B7" i="8"/>
  <c r="B15" i="8"/>
  <c r="B23" i="8"/>
  <c r="B39" i="8"/>
  <c r="H39" i="8" s="1"/>
  <c r="B55" i="8"/>
  <c r="H55" i="8" s="1"/>
  <c r="B63" i="8"/>
  <c r="B6" i="8"/>
  <c r="B22" i="8"/>
  <c r="B38" i="8"/>
  <c r="H38" i="8" s="1"/>
  <c r="B54" i="8"/>
  <c r="H54" i="8" s="1"/>
  <c r="B70" i="8"/>
  <c r="H70" i="8" s="1"/>
  <c r="B47" i="8"/>
  <c r="H47" i="8" s="1"/>
  <c r="B79" i="8"/>
  <c r="B31" i="8"/>
  <c r="H31" i="8" s="1"/>
  <c r="B71" i="8"/>
  <c r="H71" i="8" s="1"/>
  <c r="B8" i="8"/>
  <c r="B16" i="8"/>
  <c r="B24" i="8"/>
  <c r="B32" i="8"/>
  <c r="H32" i="8" s="1"/>
  <c r="B40" i="8"/>
  <c r="H40" i="8" s="1"/>
  <c r="B48" i="8"/>
  <c r="H48" i="8" s="1"/>
  <c r="B56" i="8"/>
  <c r="H56" i="8" s="1"/>
  <c r="B64" i="8"/>
  <c r="H64" i="8" s="1"/>
  <c r="B72" i="8"/>
  <c r="B80" i="8"/>
  <c r="B18" i="8"/>
  <c r="B34" i="8"/>
  <c r="H34" i="8" s="1"/>
  <c r="B50" i="8"/>
  <c r="H50" i="8" s="1"/>
  <c r="B74" i="8"/>
  <c r="H74" i="8" s="1"/>
  <c r="B11" i="8"/>
  <c r="B27" i="8"/>
  <c r="H27" i="8" s="1"/>
  <c r="B43" i="8"/>
  <c r="H43" i="8" s="1"/>
  <c r="B67" i="8"/>
  <c r="B9" i="8"/>
  <c r="B17" i="8"/>
  <c r="B25" i="8"/>
  <c r="H25" i="8" s="1"/>
  <c r="B33" i="8"/>
  <c r="H33" i="8" s="1"/>
  <c r="B41" i="8"/>
  <c r="H41" i="8" s="1"/>
  <c r="B49" i="8"/>
  <c r="H49" i="8" s="1"/>
  <c r="B57" i="8"/>
  <c r="H57" i="8" s="1"/>
  <c r="B65" i="8"/>
  <c r="H65" i="8" s="1"/>
  <c r="B73" i="8"/>
  <c r="B81" i="8"/>
  <c r="B10" i="8"/>
  <c r="B26" i="8"/>
  <c r="H26" i="8" s="1"/>
  <c r="B42" i="8"/>
  <c r="H42" i="8" s="1"/>
  <c r="B58" i="8"/>
  <c r="H58" i="8" s="1"/>
  <c r="B66" i="8"/>
  <c r="H66" i="8" s="1"/>
  <c r="B19" i="8"/>
  <c r="B35" i="8"/>
  <c r="H35" i="8" s="1"/>
  <c r="B51" i="8"/>
  <c r="H51" i="8" s="1"/>
  <c r="B75" i="8"/>
  <c r="U62" i="8" l="1"/>
  <c r="H79" i="8"/>
  <c r="H82" i="8"/>
  <c r="R82" i="8" s="1"/>
  <c r="H72" i="8"/>
  <c r="R72" i="8" s="1"/>
  <c r="H76" i="8"/>
  <c r="U72" i="8"/>
  <c r="H81" i="8"/>
  <c r="H77" i="8"/>
  <c r="R4" i="3"/>
  <c r="S4" i="3" s="1"/>
  <c r="H75" i="8"/>
  <c r="H19" i="8"/>
  <c r="R19" i="8" s="1"/>
  <c r="H3" i="8"/>
  <c r="H10" i="8"/>
  <c r="R10" i="8" s="1"/>
  <c r="H67" i="8"/>
  <c r="H23" i="8"/>
  <c r="R23" i="8" s="1"/>
  <c r="H14" i="8"/>
  <c r="R14" i="8" s="1"/>
  <c r="H13" i="8"/>
  <c r="H15" i="8"/>
  <c r="H6" i="8"/>
  <c r="H11" i="8"/>
  <c r="R11" i="8" s="1"/>
  <c r="H24" i="8"/>
  <c r="R24" i="8" s="1"/>
  <c r="H7" i="8"/>
  <c r="R7" i="8" s="1"/>
  <c r="H80" i="8"/>
  <c r="R80" i="8" s="1"/>
  <c r="H20" i="8"/>
  <c r="R20" i="8" s="1"/>
  <c r="H16" i="8"/>
  <c r="R16" i="8" s="1"/>
  <c r="H12" i="8"/>
  <c r="H5" i="8"/>
  <c r="R5" i="8" s="1"/>
  <c r="H8" i="8"/>
  <c r="R8" i="8" s="1"/>
  <c r="H17" i="8"/>
  <c r="H4" i="8"/>
  <c r="H21" i="8"/>
  <c r="R21" i="8" s="1"/>
  <c r="H73" i="8"/>
  <c r="R73" i="8" s="1"/>
  <c r="H63" i="8"/>
  <c r="R63" i="8" s="1"/>
  <c r="H9" i="8"/>
  <c r="R9" i="8" s="1"/>
  <c r="H22" i="8"/>
  <c r="R22" i="8" s="1"/>
  <c r="H61" i="8"/>
  <c r="R61" i="8" s="1"/>
  <c r="H18" i="8"/>
  <c r="U76" i="8"/>
  <c r="U68" i="8"/>
  <c r="R68" i="8"/>
  <c r="U26" i="8"/>
  <c r="U71" i="8"/>
  <c r="U27" i="8"/>
  <c r="R79" i="8"/>
  <c r="U74" i="8"/>
  <c r="R71" i="8"/>
  <c r="R62" i="8"/>
  <c r="R67" i="8"/>
  <c r="R76" i="8"/>
  <c r="U77" i="8"/>
  <c r="U37" i="8"/>
  <c r="U53" i="8"/>
  <c r="U32" i="8"/>
  <c r="U75" i="8"/>
  <c r="U63" i="8"/>
  <c r="U79" i="8"/>
  <c r="R36" i="8"/>
  <c r="U51" i="8"/>
  <c r="U31" i="8"/>
  <c r="R77" i="8"/>
  <c r="R52" i="8"/>
  <c r="U52" i="8"/>
  <c r="U73" i="8"/>
  <c r="R65" i="8"/>
  <c r="R74" i="8"/>
  <c r="R44" i="8"/>
  <c r="U45" i="8"/>
  <c r="U25" i="8"/>
  <c r="U81" i="8"/>
  <c r="U67" i="8"/>
  <c r="R75" i="8"/>
  <c r="U39" i="8"/>
  <c r="U46" i="8"/>
  <c r="U61" i="8"/>
  <c r="U54" i="8"/>
  <c r="R28" i="8"/>
  <c r="U55" i="8"/>
  <c r="U48" i="8"/>
  <c r="U56" i="8"/>
  <c r="U42" i="8"/>
  <c r="U41" i="8"/>
  <c r="U59" i="8"/>
  <c r="U69" i="8"/>
  <c r="U49" i="8"/>
  <c r="U35" i="8"/>
  <c r="R78" i="8"/>
  <c r="U40" i="8"/>
  <c r="U43" i="8"/>
  <c r="U29" i="8"/>
  <c r="U78" i="8"/>
  <c r="R70" i="8"/>
  <c r="U57" i="8"/>
  <c r="U36" i="8"/>
  <c r="R64" i="8"/>
  <c r="U70" i="8"/>
  <c r="U50" i="8"/>
  <c r="U30" i="8"/>
  <c r="U33" i="8"/>
  <c r="U64" i="8"/>
  <c r="U44" i="8"/>
  <c r="U65" i="8"/>
  <c r="U66" i="8"/>
  <c r="U60" i="8"/>
  <c r="U58" i="8"/>
  <c r="U38" i="8"/>
  <c r="U80" i="8"/>
  <c r="U47" i="8"/>
  <c r="U34" i="8"/>
  <c r="U28" i="8"/>
  <c r="R53" i="8"/>
  <c r="R29" i="8"/>
  <c r="U23" i="8"/>
  <c r="U24" i="8"/>
  <c r="A19" i="17"/>
  <c r="B19" i="17" s="1"/>
  <c r="R60" i="8"/>
  <c r="U21" i="8"/>
  <c r="U20" i="8"/>
  <c r="U22" i="8"/>
  <c r="R31" i="8"/>
  <c r="R66" i="8"/>
  <c r="R58" i="8"/>
  <c r="R46" i="8"/>
  <c r="R30" i="8"/>
  <c r="U18" i="8"/>
  <c r="U19" i="8"/>
  <c r="R42" i="8"/>
  <c r="R43" i="8"/>
  <c r="R55" i="8"/>
  <c r="R57" i="8"/>
  <c r="U13" i="8"/>
  <c r="R13" i="8"/>
  <c r="R49" i="8"/>
  <c r="R33" i="8"/>
  <c r="U17" i="8"/>
  <c r="R17" i="8"/>
  <c r="U7" i="8"/>
  <c r="U14" i="8"/>
  <c r="U11" i="8"/>
  <c r="U4" i="8"/>
  <c r="U15" i="8"/>
  <c r="U12" i="8"/>
  <c r="U8" i="8"/>
  <c r="U3" i="8"/>
  <c r="U5" i="8"/>
  <c r="U16" i="8"/>
  <c r="U10" i="8"/>
  <c r="U9" i="8"/>
  <c r="U6" i="8"/>
  <c r="R12" i="8"/>
  <c r="R54" i="8"/>
  <c r="R4" i="8"/>
  <c r="R15" i="8"/>
  <c r="R18" i="8"/>
  <c r="R45" i="8"/>
  <c r="R6" i="8"/>
  <c r="R47" i="8"/>
  <c r="R39" i="8"/>
  <c r="R37" i="8"/>
  <c r="R50" i="8"/>
  <c r="R38" i="8"/>
  <c r="R27" i="8"/>
  <c r="R48" i="8"/>
  <c r="R59" i="8"/>
  <c r="R41" i="8"/>
  <c r="R25" i="8"/>
  <c r="R69" i="8"/>
  <c r="R81" i="8"/>
  <c r="R32" i="8"/>
  <c r="R51" i="8"/>
  <c r="R35" i="8"/>
  <c r="R26" i="8"/>
  <c r="R56" i="8"/>
  <c r="R34" i="8"/>
  <c r="R40" i="8"/>
  <c r="T38" i="8" l="1"/>
  <c r="T36" i="8"/>
  <c r="T73" i="8"/>
  <c r="T30" i="8"/>
  <c r="T75" i="8"/>
  <c r="T32" i="8"/>
  <c r="T81" i="8"/>
  <c r="T26" i="8"/>
  <c r="T33" i="8"/>
  <c r="T35" i="8"/>
  <c r="T31" i="8"/>
  <c r="T27" i="8"/>
  <c r="T82" i="8"/>
  <c r="T80" i="8"/>
  <c r="T72" i="8"/>
  <c r="T79" i="8"/>
  <c r="T76" i="8"/>
  <c r="T29" i="8"/>
  <c r="T28" i="8"/>
  <c r="T34" i="8"/>
  <c r="T78" i="8"/>
  <c r="T77" i="8"/>
  <c r="T74" i="8"/>
  <c r="T25" i="8"/>
  <c r="T37" i="8"/>
  <c r="R3" i="8"/>
  <c r="T3" i="8" s="1"/>
  <c r="Q4" i="3"/>
  <c r="T71" i="8" l="1"/>
  <c r="T62" i="8"/>
  <c r="T64" i="8"/>
  <c r="T69" i="8"/>
  <c r="T65" i="8"/>
  <c r="T63" i="8"/>
  <c r="T70" i="8"/>
  <c r="T61" i="8"/>
  <c r="T66" i="8"/>
  <c r="T68" i="8"/>
  <c r="T44" i="8"/>
  <c r="T42" i="8"/>
  <c r="T50" i="8"/>
  <c r="T56" i="8"/>
  <c r="T45" i="8"/>
  <c r="T58" i="8"/>
  <c r="T40" i="8"/>
  <c r="T54" i="8"/>
  <c r="T55" i="8"/>
  <c r="T43" i="8"/>
  <c r="T59" i="8"/>
  <c r="T67" i="8"/>
  <c r="T46" i="8"/>
  <c r="T49" i="8"/>
  <c r="T60" i="8"/>
  <c r="T53" i="8"/>
  <c r="T57" i="8"/>
  <c r="T48" i="8"/>
  <c r="T39" i="8"/>
  <c r="T51" i="8"/>
  <c r="T41" i="8"/>
  <c r="T52" i="8"/>
  <c r="T47" i="8"/>
  <c r="T24" i="8"/>
  <c r="T23" i="8"/>
  <c r="T20" i="8"/>
  <c r="T22" i="8"/>
  <c r="T21" i="8"/>
  <c r="T19" i="8"/>
  <c r="T18" i="8"/>
  <c r="T12" i="8"/>
  <c r="T17" i="8"/>
  <c r="T10" i="8"/>
  <c r="T4" i="8"/>
  <c r="T6" i="8"/>
  <c r="T8" i="8"/>
  <c r="T5" i="8"/>
  <c r="T11" i="8"/>
  <c r="T15" i="8"/>
  <c r="T9" i="8"/>
  <c r="T14" i="8"/>
  <c r="T13" i="8"/>
  <c r="T16" i="8"/>
  <c r="T7" i="8"/>
  <c r="L6" i="7" l="1"/>
  <c r="L4" i="7"/>
  <c r="G4" i="7"/>
  <c r="A2" i="7"/>
  <c r="B7" i="7"/>
  <c r="N4" i="7"/>
  <c r="D4" i="7"/>
  <c r="N6" i="7"/>
  <c r="L5" i="7"/>
  <c r="G6" i="7"/>
  <c r="L7" i="7"/>
  <c r="G7" i="7"/>
  <c r="I4" i="7"/>
  <c r="B6" i="7"/>
  <c r="G5" i="7"/>
  <c r="N5" i="7"/>
  <c r="I6" i="7"/>
  <c r="D6" i="7"/>
  <c r="I5" i="7"/>
  <c r="F2" i="7"/>
  <c r="K2" i="7"/>
  <c r="B5" i="7"/>
  <c r="B4" i="7"/>
  <c r="D5" i="7"/>
  <c r="I7" i="7" l="1"/>
  <c r="N7" i="7"/>
  <c r="D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<sst xmlns="http://schemas.openxmlformats.org/spreadsheetml/2006/main" count="595" uniqueCount="272">
  <si>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</si>
  <si>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</si>
  <si>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</si>
  <si>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</si>
  <si>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</si>
  <si>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</si>
  <si>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</si>
  <si>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</si>
  <si>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</si>
  <si>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</si>
  <si>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</si>
  <si>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t>월</t>
    <phoneticPr fontId="1" type="noConversion"/>
  </si>
  <si>
    <t>페이스북</t>
    <phoneticPr fontId="1" type="noConversion"/>
  </si>
  <si>
    <t>인스타그램</t>
    <phoneticPr fontId="1" type="noConversion"/>
  </si>
  <si>
    <t>유튜브</t>
    <phoneticPr fontId="1" type="noConversion"/>
  </si>
  <si>
    <t>장표 입력 완료 여부</t>
    <phoneticPr fontId="1" type="noConversion"/>
  </si>
  <si>
    <t>페이스북 팬수</t>
  </si>
  <si>
    <t>포스팅 발행 수</t>
  </si>
  <si>
    <t>콘텐츠 도달</t>
  </si>
  <si>
    <t>좋아요</t>
  </si>
  <si>
    <t>댓글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</si>
  <si>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</si>
  <si>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</si>
  <si>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</si>
  <si>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</si>
  <si>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</si>
  <si>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</si>
  <si>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</si>
  <si>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</si>
  <si>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</si>
  <si>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</si>
  <si>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</si>
  <si>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</si>
  <si>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</si>
  <si>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</si>
  <si>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게시물 ID</t>
  </si>
  <si>
    <t>페이지 ID</t>
  </si>
  <si>
    <t>페이지 이름</t>
  </si>
  <si>
    <t>설명</t>
  </si>
  <si>
    <t>기간(초)</t>
  </si>
  <si>
    <t>게시 시간</t>
  </si>
  <si>
    <t>캡션 유형</t>
  </si>
  <si>
    <t>고유 링크</t>
  </si>
  <si>
    <t>교차 게시</t>
  </si>
  <si>
    <t>공유 여부</t>
  </si>
  <si>
    <t>게시물 유형</t>
  </si>
  <si>
    <t>언어</t>
  </si>
  <si>
    <t>맞춤 레이블</t>
  </si>
  <si>
    <t>브랜디드 콘텐츠 상태</t>
  </si>
  <si>
    <t>날짜</t>
  </si>
  <si>
    <t>공유</t>
  </si>
  <si>
    <t>참여</t>
  </si>
  <si>
    <t>동영상 3초 이상 조회</t>
  </si>
  <si>
    <t>노출</t>
  </si>
  <si>
    <t>기타 클릭</t>
  </si>
  <si>
    <t>링크 클릭</t>
  </si>
  <si>
    <t>총 클릭</t>
  </si>
  <si>
    <t>광고 노출</t>
  </si>
  <si>
    <t>게시물 메시지</t>
  </si>
  <si>
    <t>게시물 유형</t>
    <phoneticPr fontId="1" type="noConversion"/>
  </si>
  <si>
    <t>참여</t>
    <phoneticPr fontId="1" type="noConversion"/>
  </si>
  <si>
    <t>노출</t>
    <phoneticPr fontId="1" type="noConversion"/>
  </si>
  <si>
    <t>총 클릭</t>
    <phoneticPr fontId="1" type="noConversion"/>
  </si>
  <si>
    <t>복사용 데이터</t>
    <phoneticPr fontId="1" type="noConversion"/>
  </si>
  <si>
    <t>참여</t>
    <phoneticPr fontId="1" type="noConversion"/>
  </si>
  <si>
    <t>참여율</t>
    <phoneticPr fontId="1" type="noConversion"/>
  </si>
  <si>
    <t>월별 로우데이터</t>
    <phoneticPr fontId="1" type="noConversion"/>
  </si>
  <si>
    <t>팬 수</t>
    <phoneticPr fontId="1" type="noConversion"/>
  </si>
  <si>
    <t>포스팅 수</t>
    <phoneticPr fontId="1" type="noConversion"/>
  </si>
  <si>
    <t>도달</t>
    <phoneticPr fontId="1" type="noConversion"/>
  </si>
  <si>
    <t>참여율</t>
    <phoneticPr fontId="1" type="noConversion"/>
  </si>
  <si>
    <t>복붙용 표</t>
    <phoneticPr fontId="1" type="noConversion"/>
  </si>
  <si>
    <t>이 표는 데이터 자동생성용이니 신경쓰지 마시오</t>
    <phoneticPr fontId="1" type="noConversion"/>
  </si>
  <si>
    <t>팔로워</t>
    <phoneticPr fontId="1" type="noConversion"/>
  </si>
  <si>
    <t>도달</t>
  </si>
  <si>
    <t>게시물 노출</t>
  </si>
  <si>
    <t>포스트 링크 타고 들어가서 캡쳐 가능</t>
    <phoneticPr fontId="1" type="noConversion"/>
  </si>
  <si>
    <t>+/- 수치</t>
  </si>
  <si>
    <t>팔로워 수</t>
    <phoneticPr fontId="1" type="noConversion"/>
  </si>
  <si>
    <t>계정 ID</t>
  </si>
  <si>
    <t>계정 사용자 이름</t>
  </si>
  <si>
    <t>계정 이름</t>
  </si>
  <si>
    <t>팔로우</t>
  </si>
  <si>
    <t>저장</t>
  </si>
  <si>
    <t>도달</t>
    <phoneticPr fontId="1" type="noConversion"/>
  </si>
  <si>
    <t>저장</t>
    <phoneticPr fontId="1" type="noConversion"/>
  </si>
  <si>
    <t>팔로워 수</t>
    <phoneticPr fontId="1" type="noConversion"/>
  </si>
  <si>
    <t>도달</t>
    <phoneticPr fontId="1" type="noConversion"/>
  </si>
  <si>
    <t>좋아요</t>
    <phoneticPr fontId="1" type="noConversion"/>
  </si>
  <si>
    <t>게시물 노출</t>
    <phoneticPr fontId="1" type="noConversion"/>
  </si>
  <si>
    <t>댓글</t>
    <phoneticPr fontId="1" type="noConversion"/>
  </si>
  <si>
    <t>공유</t>
    <phoneticPr fontId="1" type="noConversion"/>
  </si>
  <si>
    <t>클릭</t>
    <phoneticPr fontId="1" type="noConversion"/>
  </si>
  <si>
    <t>참여</t>
    <phoneticPr fontId="1" type="noConversion"/>
  </si>
  <si>
    <t>참여율</t>
    <phoneticPr fontId="1" type="noConversion"/>
  </si>
  <si>
    <t>저장</t>
    <phoneticPr fontId="1" type="noConversion"/>
  </si>
  <si>
    <t>참여율</t>
    <phoneticPr fontId="1" type="noConversion"/>
  </si>
  <si>
    <t>신규 좋아요</t>
    <phoneticPr fontId="1" type="noConversion"/>
  </si>
  <si>
    <t>신규 좋아요</t>
    <phoneticPr fontId="1" type="noConversion"/>
  </si>
  <si>
    <t>프로필 방문</t>
  </si>
  <si>
    <t>답장</t>
  </si>
  <si>
    <t>스티커 누르기</t>
  </si>
  <si>
    <t>탐색</t>
  </si>
  <si>
    <t>스토리 인사이트</t>
    <phoneticPr fontId="1" type="noConversion"/>
  </si>
  <si>
    <t>해당월</t>
    <phoneticPr fontId="1" type="noConversion"/>
  </si>
  <si>
    <t>팬 수</t>
    <phoneticPr fontId="1" type="noConversion"/>
  </si>
  <si>
    <t>신규 좋아요</t>
    <phoneticPr fontId="1" type="noConversion"/>
  </si>
  <si>
    <t>왼쪽에 복붙하시오</t>
    <phoneticPr fontId="1" type="noConversion"/>
  </si>
  <si>
    <t>날짜</t>
    <phoneticPr fontId="1" type="noConversion"/>
  </si>
  <si>
    <t>구독자</t>
    <phoneticPr fontId="1" type="noConversion"/>
  </si>
  <si>
    <t>팔로워 수</t>
  </si>
  <si>
    <t>포스팅 수</t>
  </si>
  <si>
    <t>참여율</t>
  </si>
  <si>
    <t>설명서</t>
    <phoneticPr fontId="1" type="noConversion"/>
  </si>
  <si>
    <t>O</t>
    <phoneticPr fontId="1" type="noConversion"/>
  </si>
  <si>
    <t>X</t>
    <phoneticPr fontId="1" type="noConversion"/>
  </si>
  <si>
    <t>2) 위의 연도와 월을 최신화하시오. 3번부터 모든 셀들이 검은 색으로 바뀌어야 정상임.</t>
    <phoneticPr fontId="1" type="noConversion"/>
  </si>
  <si>
    <t>몇년도인가요? (숫자만 기입하시오)</t>
    <phoneticPr fontId="1" type="noConversion"/>
  </si>
  <si>
    <t>몇월 보고서인가요? (숫자만 기입하시오)</t>
    <phoneticPr fontId="1" type="noConversion"/>
  </si>
  <si>
    <t>제목에도 링크는 걸려있음</t>
    <phoneticPr fontId="1" type="noConversion"/>
  </si>
  <si>
    <r>
      <t>1) 위의 작성 전 실행 버튼을</t>
    </r>
    <r>
      <rPr>
        <sz val="11"/>
        <color theme="1"/>
        <rFont val="맑은 고딕"/>
        <family val="2"/>
        <charset val="129"/>
        <scheme val="minor"/>
      </rPr>
      <t xml:space="preserve"> 클릭하시오. </t>
    </r>
    <phoneticPr fontId="1" type="noConversion"/>
  </si>
  <si>
    <t>23년 09월</t>
  </si>
  <si>
    <t>23년 10월</t>
  </si>
  <si>
    <t>23년 8월</t>
  </si>
  <si>
    <t>23년 9월</t>
  </si>
  <si>
    <t>제목 정리(보고서 삽입용)</t>
    <phoneticPr fontId="1" type="noConversion"/>
  </si>
  <si>
    <t>설명(자동으로 생성되는 열이니 건드리지 마시오)</t>
    <phoneticPr fontId="1" type="noConversion"/>
  </si>
  <si>
    <t>23년11월</t>
  </si>
  <si>
    <t>데이터 댓글</t>
  </si>
  <si>
    <t>Date (2024)</t>
    <phoneticPr fontId="1" type="noConversion"/>
  </si>
  <si>
    <t>3초 이상 조회한 사람</t>
  </si>
  <si>
    <t>평균 조회 시간(초)</t>
  </si>
  <si>
    <t>추산 수익(USD)</t>
  </si>
  <si>
    <t>광고 CPM(USD)</t>
  </si>
  <si>
    <t>재생 횟수</t>
  </si>
  <si>
    <t>셀 색깔 달라지면 엑셀이 망가지기 시작합니다 뭔가 색이 달라진다면 ctrl z 하세요</t>
    <phoneticPr fontId="1" type="noConversion"/>
  </si>
  <si>
    <t>초록색 셀은 항상 자동생성되는 셀입니다. 절대 초록셀에 값을 직접 입력하지 마십시오</t>
    <phoneticPr fontId="1" type="noConversion"/>
  </si>
  <si>
    <t xml:space="preserve">로우데이터 시트는 아무것도 건드리지 않는 시트입니다. 다른 작업이 필요하다면 시트를 새로 만들어서 작업한 이후 삭제하세요. </t>
    <phoneticPr fontId="1" type="noConversion"/>
  </si>
  <si>
    <t>노랑/초록 셀 중 셀 색깔이 하나라도 달라진다면 반드시 ctrl z 하시오</t>
    <phoneticPr fontId="1" type="noConversion"/>
  </si>
  <si>
    <t>구분</t>
    <phoneticPr fontId="1" type="noConversion"/>
  </si>
  <si>
    <t>링크 클릭</t>
    <phoneticPr fontId="1" type="noConversion"/>
  </si>
  <si>
    <t>기타 클릭</t>
    <phoneticPr fontId="1" type="noConversion"/>
  </si>
  <si>
    <t>동영상 3초 이상 조회</t>
    <phoneticPr fontId="1" type="noConversion"/>
  </si>
  <si>
    <t>팔로우</t>
    <phoneticPr fontId="1" type="noConversion"/>
  </si>
  <si>
    <t>재생 횟수</t>
    <phoneticPr fontId="1" type="noConversion"/>
  </si>
  <si>
    <t>팔로워증가</t>
    <phoneticPr fontId="1" type="noConversion"/>
  </si>
  <si>
    <t>팔로워취소</t>
    <phoneticPr fontId="1" type="noConversion"/>
  </si>
  <si>
    <t>아티클 일일 스크롤 길이</t>
  </si>
  <si>
    <t>사진 조회</t>
  </si>
  <si>
    <t>재생 클릭</t>
  </si>
  <si>
    <t>아티클 평균 이용 시간</t>
  </si>
  <si>
    <t>고유 부정적인 사용자 피드백: 모두 숨기기</t>
  </si>
  <si>
    <t>도달한 사람</t>
  </si>
  <si>
    <t>동영상 60초 이상 조회</t>
  </si>
  <si>
    <t>고유 동영상 60초 이상 조회</t>
  </si>
  <si>
    <t>조회 시간: 초</t>
  </si>
  <si>
    <t>평균 조회 시간: 초</t>
  </si>
  <si>
    <t>SK이노베이션</t>
  </si>
  <si>
    <t>N/A</t>
  </si>
  <si>
    <t>사진</t>
  </si>
  <si>
    <t>전체 기간</t>
  </si>
  <si>
    <t>01/31/2024 01:01</t>
  </si>
  <si>
    <t>02/25/2024 23:02</t>
  </si>
  <si>
    <t>동영상</t>
  </si>
  <si>
    <t>02/22/2024 21:02</t>
  </si>
  <si>
    <t>02/22/2024 01:02</t>
  </si>
  <si>
    <t>02/20/2024 21:02</t>
  </si>
  <si>
    <t>링크</t>
  </si>
  <si>
    <t>02/08/2024 16:02</t>
  </si>
  <si>
    <t>도달한 사람</t>
    <phoneticPr fontId="1" type="noConversion"/>
  </si>
  <si>
    <t>사진 조회</t>
    <phoneticPr fontId="1" type="noConversion"/>
  </si>
  <si>
    <t>만약 왼쪽 표의 값이 안나온다면 2행의 항목을 로우데이터시트 1행에서 원하는 데이터의 정확히 일치하는 텍스트로 붙여넣으시오</t>
    <phoneticPr fontId="1" type="noConversion"/>
  </si>
  <si>
    <t>IG 이미지</t>
  </si>
  <si>
    <t>IG 슬라이드</t>
  </si>
  <si>
    <t>Instagram 릴스</t>
  </si>
  <si>
    <t>제품 버튼 클릭</t>
  </si>
  <si>
    <t>IG 스토리</t>
  </si>
  <si>
    <t>02/29/2024 17:02</t>
  </si>
  <si>
    <t>02/29/2024 01:02</t>
  </si>
  <si>
    <t>광고 도달</t>
  </si>
  <si>
    <t>지출 금액</t>
  </si>
  <si>
    <t>CPM</t>
  </si>
  <si>
    <t>페이지 새로운 좋아요</t>
  </si>
  <si>
    <t>FB</t>
  </si>
  <si>
    <t>IG</t>
  </si>
  <si>
    <t>오가닉 - FB</t>
  </si>
  <si>
    <t>오가닉 - IG</t>
  </si>
  <si>
    <t>상호작용</t>
  </si>
  <si>
    <t>조회 시간</t>
  </si>
  <si>
    <t>광고비</t>
  </si>
  <si>
    <t>노</t>
    <phoneticPr fontId="1" type="noConversion"/>
  </si>
  <si>
    <t>출</t>
    <phoneticPr fontId="1" type="noConversion"/>
  </si>
  <si>
    <t>콘텐츠</t>
    <phoneticPr fontId="1" type="noConversion"/>
  </si>
  <si>
    <t>도</t>
    <phoneticPr fontId="1" type="noConversion"/>
  </si>
  <si>
    <t>달</t>
    <phoneticPr fontId="1" type="noConversion"/>
  </si>
  <si>
    <t>발행개수</t>
    <phoneticPr fontId="1" type="noConversion"/>
  </si>
  <si>
    <t>새로운 팔로</t>
    <phoneticPr fontId="1" type="noConversion"/>
  </si>
  <si>
    <t>우/팔로워</t>
    <phoneticPr fontId="1" type="noConversion"/>
  </si>
  <si>
    <t>이탈 팔로</t>
    <phoneticPr fontId="1" type="noConversion"/>
  </si>
  <si>
    <t>페이지/프</t>
    <phoneticPr fontId="1" type="noConversion"/>
  </si>
  <si>
    <t>로필 방문</t>
    <phoneticPr fontId="1" type="noConversion"/>
  </si>
  <si>
    <t>FB +</t>
    <phoneticPr fontId="1" type="noConversion"/>
  </si>
  <si>
    <t>IG</t>
    <phoneticPr fontId="1" type="noConversion"/>
  </si>
  <si>
    <t>페</t>
    <phoneticPr fontId="1" type="noConversion"/>
  </si>
  <si>
    <t>이</t>
    <phoneticPr fontId="1" type="noConversion"/>
  </si>
  <si>
    <t>스</t>
    <phoneticPr fontId="1" type="noConversion"/>
  </si>
  <si>
    <t>북</t>
    <phoneticPr fontId="1" type="noConversion"/>
  </si>
  <si>
    <t>카테고리</t>
    <phoneticPr fontId="1" type="noConversion"/>
  </si>
  <si>
    <t>발행 콘텐츠 도달</t>
    <phoneticPr fontId="1" type="noConversion"/>
  </si>
  <si>
    <t>?</t>
    <phoneticPr fontId="1" type="noConversion"/>
  </si>
  <si>
    <t>발행콘텐츠도달평균</t>
    <phoneticPr fontId="1" type="noConversion"/>
  </si>
  <si>
    <t>발행 콘텐츠 도달 평균</t>
    <phoneticPr fontId="1" type="noConversion"/>
  </si>
  <si>
    <t>신규 팔로워</t>
    <phoneticPr fontId="1" type="noConversion"/>
  </si>
  <si>
    <t>어디에도 행추가 절대 하지 말것</t>
    <phoneticPr fontId="1" type="noConversion"/>
  </si>
  <si>
    <t>신규팔로워</t>
    <phoneticPr fontId="1" type="noConversion"/>
  </si>
  <si>
    <t>팔로우 취소</t>
    <phoneticPr fontId="1" type="noConversion"/>
  </si>
  <si>
    <t>오가닉 도달</t>
  </si>
  <si>
    <t>삼일절</t>
  </si>
  <si>
    <t>https://www.facebook.com/official.skinnovation/posts/pfbid0qhHhWBTsFvcE5J84vXs4pAYCbALKMuREXaG9ZGiV8dT5fi4p6yCfD9fiTFEfqAtDl</t>
  </si>
  <si>
    <t>이노드림(게오르크 짐멜)</t>
  </si>
  <si>
    <t>03/03/2024 17:03</t>
  </si>
  <si>
    <t>https://www.facebook.com/official.skinnovation/posts/pfbid0u8VFjr6nboz6wMeFM4wgq4GKHtTQyYqLqamhKtLuVahXJrec9Ga9FwoZmZNrT3Jyl</t>
  </si>
  <si>
    <t>SK온 인터배터리 어워즈 수상 *뉴스룸 미러링</t>
  </si>
  <si>
    <t>03/04/2024 23:03</t>
  </si>
  <si>
    <t>https://www.facebook.com/official.skinnovation/posts/pfbid02PfEqzfqwFzNytadALq9kjQoZb53H87zmxVomKS4wFbnBpXwNYRcrS6cmm2MrbPTSl</t>
  </si>
  <si>
    <t>슼슼 읽히는 2차전지 이야기</t>
  </si>
  <si>
    <t>03/07/2024 16:03</t>
  </si>
  <si>
    <t>https://www.facebook.com/official.skinnovation/posts/pfbid022YSwqkVVbKBxrdQpGjTYjWssBw1SLN9gkAZoaKzBgdzQo2AyzwXCxpPGbxqGwujjl</t>
  </si>
  <si>
    <t>이노드림(르네 데카르트)</t>
  </si>
  <si>
    <t>03/10/2024 18:03</t>
  </si>
  <si>
    <t>https://www.facebook.com/official.skinnovation/posts/pfbid036LWGiuPCpps2tDaqNKtFR3hG7YUN93D3UhgcyfkKDWsM6YhDzZ5nLqCbPoRPaXJcl</t>
  </si>
  <si>
    <t>세계 재활용의 날</t>
  </si>
  <si>
    <t>03/15/2024 01:03</t>
  </si>
  <si>
    <t>https://www.facebook.com/official.skinnovation/posts/pfbid02UBZY4F5VN6uwZ4RLeZaPWoiiwyRjP7sc1Ud5cssG9LcWLxWqscEFapMk95Zrruy6l</t>
  </si>
  <si>
    <t>이노드림(모리스 메를로퐁티)</t>
  </si>
  <si>
    <t>03/17/2024 18:03</t>
  </si>
  <si>
    <t>https://www.facebook.com/official.skinnovation/posts/pfbid0oD8YmRaFy7YzqueFZ195wJVPtRVYSVNm9yCqkjEBMPtV4CEHhuseRJcNHgKxrMYHl</t>
  </si>
  <si>
    <t>[EVENT] SK에너지 머핀</t>
  </si>
  <si>
    <t>03/18/2024 18:03</t>
  </si>
  <si>
    <t>https://www.facebook.com/official.skinnovation/posts/pfbid02dneDk3yryZBveqXCoDKvyAta19t3ViEarNgWrSdK2thtLtXcsbMsPy3bohLsVrKDl</t>
  </si>
  <si>
    <t>슼슼 배우는 2차전지 이야기</t>
  </si>
  <si>
    <t>03/21/2024 21:03</t>
  </si>
  <si>
    <t>https://www.facebook.com/official.skinnovation/posts/pfbid02Duy6bfLU1tDJzG8CuX8T4Pw9hbwHJHPMckxT9Q8TD2ovDe19tYWSGEDcJNWWaNbNl</t>
  </si>
  <si>
    <t>이노드림(빅터 프랭클)</t>
  </si>
  <si>
    <t>03/24/2024 18:03</t>
  </si>
  <si>
    <t>https://www.facebook.com/official.skinnovation/posts/pfbid0zyUZxvoEGCE3KHfuqi6ikD4W4KyGiJv3U4vwqeRyayEDNAkyApRJe62vs3mGh2CGl</t>
  </si>
  <si>
    <t>팩트체크해~油 Ep.2</t>
  </si>
  <si>
    <t>03/25/2024 04:03</t>
  </si>
  <si>
    <t>https://www.facebook.com/official.skinnovation/posts/pfbid03sDwRSyDfozNNuSx6VmznwgwU1AL3sNvEMqnVaguhcatF9LZHes4rDp66xAjFzRfl</t>
  </si>
  <si>
    <t>자원봉사 코디네이터 워크샵 *뉴스룸 미러링</t>
  </si>
  <si>
    <t>03/26/2024 23:03</t>
  </si>
  <si>
    <t>https://www.facebook.com/official.skinnovation/posts/pfbid02QnL29TfcZr9ECBbUoa5kAZMjea2YQhiVvmFLuiYb79FM5mundmAS88DX8gM9K52Kl</t>
  </si>
  <si>
    <t>이노드림(임마누엘 칸트)</t>
  </si>
  <si>
    <t>03/31/2024 18:03</t>
  </si>
  <si>
    <t>https://www.facebook.com/official.skinnovation/posts/pfbid02HD5u56UxpiXN5zFBxZnkFG6cgCQwpbPPPxafbdeMmJHB6o5hcvUqmkCGh2hsb5kkl</t>
  </si>
  <si>
    <t>-</t>
  </si>
  <si>
    <t>3월</t>
  </si>
  <si>
    <t>오가닉 도달</t>
    <phoneticPr fontId="1" type="noConversion"/>
  </si>
  <si>
    <t>d</t>
    <phoneticPr fontId="1" type="noConversion"/>
  </si>
  <si>
    <t>https://www.instagram.com/p/C389EqapTLI/</t>
  </si>
  <si>
    <t>https://www.instagram.com/p/C4ErdyILX-X/</t>
  </si>
  <si>
    <t>https://www.instagram.com/p/C4O8LdwRO5b/</t>
  </si>
  <si>
    <t>https://www.instagram.com/p/C4WtBw5IOXd/</t>
  </si>
  <si>
    <t>https://www.instagram.com/p/C4hwR1Th2zS/</t>
  </si>
  <si>
    <t>https://www.instagram.com/p/C4ouloWPfpl/</t>
  </si>
  <si>
    <t>https://www.instagram.com/reel/C4rXjsRt8Mh/</t>
  </si>
  <si>
    <t>https://www.instagram.com/p/C4zYePROCXI/</t>
  </si>
  <si>
    <t>https://www.instagram.com/p/C46wKg0LBRd/</t>
  </si>
  <si>
    <t>https://www.instagram.com/reel/C47rbKHNcaI/</t>
  </si>
  <si>
    <t>https://www.instagram.com/p/C5MxuhJvbpo/</t>
  </si>
  <si>
    <t>d</t>
    <phoneticPr fontId="1" type="noConversion"/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</si>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</sst>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₩&quot;#,##0.00;[Red]\-&quot;₩&quot;#,##0.00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d\(aaa\)"/>
    <numFmt numFmtId="184" formatCode="yy&quot;년&quot;\ m&quot;월&quot;"/>
    <numFmt numFmtId="185" formatCode="m&quot;월&quot;"/>
    <numFmt numFmtId="186" formatCode="0_ "/>
  </numFmts>
  <fonts count="3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FF0000"/>
      <name val="Century Gothic"/>
      <family val="2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sz val="11"/>
      <color rgb="FF000000"/>
      <name val="Volvo Novum Light"/>
      <family val="2"/>
    </font>
    <font>
      <b/>
      <sz val="9"/>
      <color theme="1"/>
      <name val="맑은 고딕"/>
      <family val="3"/>
      <charset val="129"/>
    </font>
    <font>
      <b/>
      <sz val="9"/>
      <color rgb="FFFFFFFF"/>
      <name val="나눔고딕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rgb="FFFF0000"/>
      <name val="나눔고딕"/>
      <family val="3"/>
      <charset val="129"/>
    </font>
    <font>
      <b/>
      <sz val="8"/>
      <color rgb="FFFFFFFF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나눔고딕"/>
      <family val="3"/>
      <charset val="129"/>
    </font>
    <font>
      <sz val="11"/>
      <color rgb="FF000000"/>
      <name val="나눔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3"/>
      <color theme="1"/>
      <name val="Arial"/>
      <family val="2"/>
    </font>
    <font>
      <sz val="8"/>
      <color theme="1"/>
      <name val="나눔고딕"/>
      <family val="3"/>
      <charset val="129"/>
    </font>
    <font>
      <sz val="8"/>
      <name val="나눔고딕"/>
      <family val="3"/>
      <charset val="129"/>
    </font>
    <font>
      <u/>
      <sz val="11"/>
      <color theme="10"/>
      <name val="나눔고딕 ExtraBold"/>
      <family val="3"/>
      <charset val="129"/>
    </font>
    <font>
      <b/>
      <sz val="10"/>
      <color rgb="FF000000"/>
      <name val="바탕"/>
      <family val="1"/>
      <charset val="129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177" fontId="7" fillId="2" borderId="4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>
      <alignment vertical="center"/>
    </xf>
    <xf numFmtId="0" fontId="8" fillId="2" borderId="4" xfId="0" applyFont="1" applyFill="1" applyBorder="1" applyAlignment="1">
      <alignment horizontal="right" vertical="center"/>
    </xf>
    <xf numFmtId="176" fontId="8" fillId="2" borderId="4" xfId="0" applyNumberFormat="1" applyFont="1" applyFill="1" applyBorder="1" applyAlignment="1">
      <alignment horizontal="right" vertical="center"/>
    </xf>
    <xf numFmtId="177" fontId="8" fillId="2" borderId="4" xfId="0" applyNumberFormat="1" applyFont="1" applyFill="1" applyBorder="1" applyAlignment="1">
      <alignment horizontal="center" vertical="center"/>
    </xf>
    <xf numFmtId="176" fontId="8" fillId="2" borderId="2" xfId="0" applyNumberFormat="1" applyFont="1" applyFill="1" applyBorder="1">
      <alignment vertical="center"/>
    </xf>
    <xf numFmtId="177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>
      <alignment vertical="center"/>
    </xf>
    <xf numFmtId="176" fontId="8" fillId="3" borderId="4" xfId="0" applyNumberFormat="1" applyFont="1" applyFill="1" applyBorder="1" applyAlignment="1">
      <alignment horizontal="right" vertical="center"/>
    </xf>
    <xf numFmtId="176" fontId="8" fillId="3" borderId="2" xfId="0" applyNumberFormat="1" applyFont="1" applyFill="1" applyBorder="1">
      <alignment vertical="center"/>
    </xf>
    <xf numFmtId="178" fontId="8" fillId="3" borderId="4" xfId="0" applyNumberFormat="1" applyFont="1" applyFill="1" applyBorder="1" applyAlignment="1">
      <alignment horizontal="center" vertical="center"/>
    </xf>
    <xf numFmtId="177" fontId="7" fillId="3" borderId="4" xfId="0" applyNumberFormat="1" applyFont="1" applyFill="1" applyBorder="1" applyAlignment="1">
      <alignment horizontal="center" vertical="center"/>
    </xf>
    <xf numFmtId="177" fontId="8" fillId="4" borderId="4" xfId="0" applyNumberFormat="1" applyFont="1" applyFill="1" applyBorder="1" applyAlignment="1">
      <alignment horizontal="center" vertical="center"/>
    </xf>
    <xf numFmtId="178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>
      <alignment vertical="center"/>
    </xf>
    <xf numFmtId="176" fontId="8" fillId="4" borderId="4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 applyAlignment="1">
      <alignment horizontal="right" vertical="center"/>
    </xf>
    <xf numFmtId="176" fontId="8" fillId="4" borderId="6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center" vertical="center"/>
    </xf>
    <xf numFmtId="177" fontId="7" fillId="4" borderId="4" xfId="0" applyNumberFormat="1" applyFont="1" applyFill="1" applyBorder="1" applyAlignment="1">
      <alignment horizontal="center" vertical="center"/>
    </xf>
    <xf numFmtId="0" fontId="9" fillId="4" borderId="4" xfId="0" applyFont="1" applyFill="1" applyBorder="1">
      <alignment vertical="center"/>
    </xf>
    <xf numFmtId="0" fontId="4" fillId="9" borderId="4" xfId="0" applyFont="1" applyFill="1" applyBorder="1" applyAlignment="1">
      <alignment horizontal="center" vertical="center"/>
    </xf>
    <xf numFmtId="176" fontId="5" fillId="6" borderId="4" xfId="0" applyNumberFormat="1" applyFont="1" applyFill="1" applyBorder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>
      <alignment vertical="center"/>
    </xf>
    <xf numFmtId="176" fontId="8" fillId="3" borderId="7" xfId="0" applyNumberFormat="1" applyFont="1" applyFill="1" applyBorder="1" applyAlignment="1">
      <alignment horizontal="right" vertical="center"/>
    </xf>
    <xf numFmtId="176" fontId="8" fillId="4" borderId="8" xfId="0" applyNumberFormat="1" applyFont="1" applyFill="1" applyBorder="1" applyAlignment="1">
      <alignment horizontal="right" vertical="center"/>
    </xf>
    <xf numFmtId="176" fontId="8" fillId="4" borderId="7" xfId="0" applyNumberFormat="1" applyFont="1" applyFill="1" applyBorder="1">
      <alignment vertical="center"/>
    </xf>
    <xf numFmtId="0" fontId="9" fillId="3" borderId="7" xfId="0" applyFont="1" applyFill="1" applyBorder="1">
      <alignment vertical="center"/>
    </xf>
    <xf numFmtId="14" fontId="0" fillId="0" borderId="0" xfId="0" applyNumberFormat="1">
      <alignment vertical="center"/>
    </xf>
    <xf numFmtId="0" fontId="3" fillId="14" borderId="4" xfId="0" applyFont="1" applyFill="1" applyBorder="1" applyAlignment="1">
      <alignment horizontal="center" vertical="center"/>
    </xf>
    <xf numFmtId="176" fontId="3" fillId="14" borderId="4" xfId="0" applyNumberFormat="1" applyFont="1" applyFill="1" applyBorder="1" applyAlignment="1">
      <alignment horizontal="center" vertical="center"/>
    </xf>
    <xf numFmtId="176" fontId="4" fillId="14" borderId="4" xfId="0" applyNumberFormat="1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12" fillId="16" borderId="9" xfId="0" applyFont="1" applyFill="1" applyBorder="1" applyAlignment="1">
      <alignment horizontal="center" vertical="center" wrapText="1" readingOrder="1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6" fontId="6" fillId="14" borderId="4" xfId="0" applyNumberFormat="1" applyFont="1" applyFill="1" applyBorder="1" applyAlignment="1">
      <alignment horizontal="center" vertical="center"/>
    </xf>
    <xf numFmtId="0" fontId="0" fillId="12" borderId="0" xfId="0" applyFill="1">
      <alignment vertical="center"/>
    </xf>
    <xf numFmtId="0" fontId="12" fillId="16" borderId="20" xfId="0" applyFont="1" applyFill="1" applyBorder="1" applyAlignment="1">
      <alignment horizontal="center" vertical="center" wrapText="1" readingOrder="1"/>
    </xf>
    <xf numFmtId="0" fontId="0" fillId="2" borderId="0" xfId="0" applyFill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Protection="1">
      <alignment vertical="center"/>
      <protection locked="0"/>
    </xf>
    <xf numFmtId="0" fontId="20" fillId="18" borderId="14" xfId="0" applyFont="1" applyFill="1" applyBorder="1" applyAlignment="1" applyProtection="1">
      <alignment horizontal="center" vertical="center" wrapText="1" readingOrder="1"/>
      <protection locked="0"/>
    </xf>
    <xf numFmtId="0" fontId="20" fillId="18" borderId="15" xfId="0" applyFont="1" applyFill="1" applyBorder="1" applyAlignment="1" applyProtection="1">
      <alignment horizontal="center" vertical="center" wrapText="1" readingOrder="1"/>
      <protection locked="0"/>
    </xf>
    <xf numFmtId="0" fontId="20" fillId="18" borderId="16" xfId="0" applyFont="1" applyFill="1" applyBorder="1" applyAlignment="1" applyProtection="1">
      <alignment horizontal="center" vertical="center" wrapText="1" readingOrder="1"/>
      <protection locked="0"/>
    </xf>
    <xf numFmtId="0" fontId="20" fillId="18" borderId="17" xfId="0" applyFont="1" applyFill="1" applyBorder="1" applyAlignment="1" applyProtection="1">
      <alignment horizontal="center" vertical="center" wrapText="1" readingOrder="1"/>
      <protection locked="0"/>
    </xf>
    <xf numFmtId="0" fontId="20" fillId="18" borderId="18" xfId="0" applyFont="1" applyFill="1" applyBorder="1" applyAlignment="1" applyProtection="1">
      <alignment horizontal="center" vertical="center" wrapText="1" readingOrder="1"/>
      <protection locked="0"/>
    </xf>
    <xf numFmtId="0" fontId="20" fillId="18" borderId="19" xfId="0" applyFont="1" applyFill="1" applyBorder="1" applyAlignment="1" applyProtection="1">
      <alignment horizontal="center" vertical="center" wrapText="1" readingOrder="1"/>
      <protection locked="0"/>
    </xf>
    <xf numFmtId="0" fontId="22" fillId="0" borderId="0" xfId="0" applyFont="1" applyProtection="1">
      <alignment vertical="center"/>
      <protection locked="0"/>
    </xf>
    <xf numFmtId="0" fontId="17" fillId="0" borderId="0" xfId="1" applyFill="1" applyAlignment="1" applyProtection="1">
      <alignment vertical="center"/>
    </xf>
    <xf numFmtId="3" fontId="21" fillId="12" borderId="15" xfId="0" applyNumberFormat="1" applyFont="1" applyFill="1" applyBorder="1" applyAlignment="1">
      <alignment horizontal="center" vertical="center" wrapText="1" readingOrder="1"/>
    </xf>
    <xf numFmtId="0" fontId="0" fillId="15" borderId="9" xfId="0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81" fontId="0" fillId="10" borderId="9" xfId="0" applyNumberFormat="1" applyFill="1" applyBorder="1" applyAlignment="1" applyProtection="1">
      <alignment horizontal="center" vertical="center"/>
      <protection locked="0"/>
    </xf>
    <xf numFmtId="10" fontId="0" fillId="10" borderId="9" xfId="0" applyNumberFormat="1" applyFill="1" applyBorder="1" applyAlignment="1" applyProtection="1">
      <alignment horizontal="center" vertical="center"/>
      <protection locked="0"/>
    </xf>
    <xf numFmtId="0" fontId="14" fillId="0" borderId="0" xfId="0" applyFont="1" applyProtection="1">
      <alignment vertical="center"/>
      <protection locked="0"/>
    </xf>
    <xf numFmtId="0" fontId="23" fillId="0" borderId="0" xfId="0" applyFont="1" applyProtection="1">
      <alignment vertical="center"/>
      <protection locked="0"/>
    </xf>
    <xf numFmtId="0" fontId="0" fillId="12" borderId="11" xfId="0" applyFill="1" applyBorder="1" applyAlignment="1">
      <alignment horizontal="center" vertical="center"/>
    </xf>
    <xf numFmtId="10" fontId="0" fillId="12" borderId="12" xfId="0" applyNumberFormat="1" applyFill="1" applyBorder="1" applyAlignment="1">
      <alignment horizontal="center" vertical="center"/>
    </xf>
    <xf numFmtId="0" fontId="24" fillId="12" borderId="9" xfId="0" applyFont="1" applyFill="1" applyBorder="1" applyAlignment="1">
      <alignment horizontal="center" vertical="center" wrapText="1" readingOrder="1"/>
    </xf>
    <xf numFmtId="0" fontId="24" fillId="11" borderId="9" xfId="0" applyFont="1" applyFill="1" applyBorder="1" applyAlignment="1">
      <alignment horizontal="center" vertical="center" wrapText="1" readingOrder="1"/>
    </xf>
    <xf numFmtId="3" fontId="25" fillId="12" borderId="9" xfId="0" applyNumberFormat="1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10" fontId="25" fillId="12" borderId="9" xfId="0" applyNumberFormat="1" applyFont="1" applyFill="1" applyBorder="1" applyAlignment="1">
      <alignment horizontal="center" vertical="center" wrapText="1" readingOrder="1"/>
    </xf>
    <xf numFmtId="0" fontId="0" fillId="11" borderId="9" xfId="0" applyFill="1" applyBorder="1" applyAlignment="1" applyProtection="1">
      <alignment horizontal="center" vertical="center"/>
      <protection locked="0"/>
    </xf>
    <xf numFmtId="180" fontId="0" fillId="10" borderId="9" xfId="0" applyNumberFormat="1" applyFill="1" applyBorder="1" applyAlignment="1" applyProtection="1">
      <alignment horizontal="center" vertical="center"/>
      <protection locked="0"/>
    </xf>
    <xf numFmtId="180" fontId="0" fillId="12" borderId="9" xfId="0" applyNumberFormat="1" applyFill="1" applyBorder="1" applyAlignment="1" applyProtection="1">
      <alignment horizontal="center" vertical="center"/>
      <protection locked="0"/>
    </xf>
    <xf numFmtId="182" fontId="0" fillId="12" borderId="9" xfId="0" applyNumberFormat="1" applyFill="1" applyBorder="1" applyAlignment="1" applyProtection="1">
      <alignment horizontal="center" vertical="center"/>
      <protection locked="0"/>
    </xf>
    <xf numFmtId="180" fontId="0" fillId="0" borderId="0" xfId="0" applyNumberFormat="1" applyProtection="1">
      <alignment vertical="center"/>
      <protection locked="0"/>
    </xf>
    <xf numFmtId="0" fontId="0" fillId="11" borderId="9" xfId="0" applyFill="1" applyBorder="1" applyAlignment="1">
      <alignment horizontal="center" vertical="center"/>
    </xf>
    <xf numFmtId="180" fontId="0" fillId="12" borderId="9" xfId="0" applyNumberFormat="1" applyFill="1" applyBorder="1" applyAlignment="1">
      <alignment horizontal="center" vertical="center"/>
    </xf>
    <xf numFmtId="181" fontId="0" fillId="12" borderId="9" xfId="0" applyNumberFormat="1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 wrapText="1"/>
    </xf>
    <xf numFmtId="181" fontId="27" fillId="10" borderId="9" xfId="0" applyNumberFormat="1" applyFont="1" applyFill="1" applyBorder="1" applyAlignment="1" applyProtection="1">
      <alignment horizontal="center" vertical="center"/>
      <protection locked="0"/>
    </xf>
    <xf numFmtId="10" fontId="27" fillId="10" borderId="9" xfId="0" applyNumberFormat="1" applyFont="1" applyFill="1" applyBorder="1" applyAlignment="1" applyProtection="1">
      <alignment horizontal="center" vertical="center"/>
      <protection locked="0"/>
    </xf>
    <xf numFmtId="10" fontId="21" fillId="12" borderId="15" xfId="0" applyNumberFormat="1" applyFont="1" applyFill="1" applyBorder="1" applyAlignment="1">
      <alignment horizontal="center" vertical="center" wrapText="1" readingOrder="1"/>
    </xf>
    <xf numFmtId="0" fontId="17" fillId="0" borderId="0" xfId="1">
      <alignment vertical="center"/>
    </xf>
    <xf numFmtId="0" fontId="0" fillId="10" borderId="1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81" fontId="0" fillId="12" borderId="25" xfId="0" applyNumberFormat="1" applyFill="1" applyBorder="1">
      <alignment vertical="center"/>
    </xf>
    <xf numFmtId="0" fontId="0" fillId="15" borderId="21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183" fontId="0" fillId="12" borderId="24" xfId="0" applyNumberFormat="1" applyFill="1" applyBorder="1">
      <alignment vertical="center"/>
    </xf>
    <xf numFmtId="0" fontId="0" fillId="15" borderId="9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0" fontId="0" fillId="15" borderId="25" xfId="0" applyFill="1" applyBorder="1" applyAlignment="1">
      <alignment horizontal="center" vertical="center"/>
    </xf>
    <xf numFmtId="0" fontId="0" fillId="13" borderId="28" xfId="0" applyFill="1" applyBorder="1">
      <alignment vertical="center"/>
    </xf>
    <xf numFmtId="184" fontId="10" fillId="12" borderId="10" xfId="0" applyNumberFormat="1" applyFont="1" applyFill="1" applyBorder="1" applyAlignment="1">
      <alignment horizontal="center" vertical="center" wrapText="1" readingOrder="1"/>
    </xf>
    <xf numFmtId="184" fontId="0" fillId="15" borderId="9" xfId="0" applyNumberFormat="1" applyFill="1" applyBorder="1" applyAlignment="1" applyProtection="1">
      <alignment horizontal="center" vertical="center"/>
      <protection locked="0"/>
    </xf>
    <xf numFmtId="184" fontId="0" fillId="10" borderId="9" xfId="0" applyNumberFormat="1" applyFill="1" applyBorder="1" applyAlignment="1" applyProtection="1">
      <alignment horizontal="center" vertical="center"/>
      <protection locked="0"/>
    </xf>
    <xf numFmtId="184" fontId="0" fillId="0" borderId="0" xfId="0" applyNumberForma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8" fillId="20" borderId="28" xfId="0" applyFont="1" applyFill="1" applyBorder="1" applyAlignment="1">
      <alignment horizontal="center" vertical="center"/>
    </xf>
    <xf numFmtId="0" fontId="0" fillId="10" borderId="27" xfId="0" applyFill="1" applyBorder="1" applyAlignment="1">
      <alignment horizontal="left" vertical="center"/>
    </xf>
    <xf numFmtId="184" fontId="26" fillId="10" borderId="9" xfId="0" applyNumberFormat="1" applyFont="1" applyFill="1" applyBorder="1" applyAlignment="1" applyProtection="1">
      <alignment horizontal="center" vertical="center"/>
      <protection locked="0"/>
    </xf>
    <xf numFmtId="0" fontId="0" fillId="15" borderId="26" xfId="0" applyFill="1" applyBorder="1" applyAlignment="1">
      <alignment horizontal="left" vertical="center"/>
    </xf>
    <xf numFmtId="180" fontId="24" fillId="12" borderId="9" xfId="0" applyNumberFormat="1" applyFont="1" applyFill="1" applyBorder="1" applyAlignment="1">
      <alignment horizontal="center" vertical="center" wrapText="1" readingOrder="1"/>
    </xf>
    <xf numFmtId="176" fontId="4" fillId="3" borderId="7" xfId="0" applyNumberFormat="1" applyFont="1" applyFill="1" applyBorder="1">
      <alignment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8" xfId="0" applyNumberFormat="1" applyFont="1" applyFill="1" applyBorder="1">
      <alignment vertical="center"/>
    </xf>
    <xf numFmtId="0" fontId="0" fillId="10" borderId="0" xfId="0" applyFill="1">
      <alignment vertical="center"/>
    </xf>
    <xf numFmtId="0" fontId="15" fillId="0" borderId="0" xfId="0" applyFont="1" applyProtection="1">
      <alignment vertical="center"/>
      <protection locked="0"/>
    </xf>
    <xf numFmtId="0" fontId="15" fillId="0" borderId="0" xfId="0" applyFont="1">
      <alignment vertical="center"/>
    </xf>
    <xf numFmtId="0" fontId="30" fillId="0" borderId="0" xfId="0" applyFont="1">
      <alignment vertical="center"/>
    </xf>
    <xf numFmtId="0" fontId="0" fillId="2" borderId="0" xfId="0" applyFill="1" applyAlignment="1">
      <alignment vertical="center" wrapText="1"/>
    </xf>
    <xf numFmtId="0" fontId="17" fillId="0" borderId="0" xfId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0" fontId="31" fillId="0" borderId="0" xfId="0" applyFont="1">
      <alignment vertical="center"/>
    </xf>
    <xf numFmtId="0" fontId="31" fillId="0" borderId="0" xfId="0" applyFont="1" applyProtection="1">
      <alignment vertical="center"/>
      <protection locked="0"/>
    </xf>
    <xf numFmtId="3" fontId="25" fillId="0" borderId="0" xfId="0" applyNumberFormat="1" applyFont="1" applyAlignment="1">
      <alignment horizontal="center" vertical="center" wrapText="1" readingOrder="1"/>
    </xf>
    <xf numFmtId="0" fontId="33" fillId="0" borderId="0" xfId="0" applyFont="1">
      <alignment vertical="center"/>
    </xf>
    <xf numFmtId="0" fontId="20" fillId="16" borderId="9" xfId="0" applyFont="1" applyFill="1" applyBorder="1" applyAlignment="1">
      <alignment horizontal="center" vertical="center" wrapText="1" readingOrder="1"/>
    </xf>
    <xf numFmtId="0" fontId="20" fillId="16" borderId="20" xfId="0" applyFont="1" applyFill="1" applyBorder="1" applyAlignment="1">
      <alignment horizontal="center" vertical="center" wrapText="1" readingOrder="1"/>
    </xf>
    <xf numFmtId="179" fontId="34" fillId="12" borderId="9" xfId="0" applyNumberFormat="1" applyFont="1" applyFill="1" applyBorder="1" applyAlignment="1">
      <alignment horizontal="center" vertical="center" wrapText="1" readingOrder="1"/>
    </xf>
    <xf numFmtId="0" fontId="21" fillId="12" borderId="9" xfId="0" applyFont="1" applyFill="1" applyBorder="1" applyAlignment="1">
      <alignment horizontal="center" vertical="center" wrapText="1" readingOrder="1"/>
    </xf>
    <xf numFmtId="182" fontId="21" fillId="12" borderId="9" xfId="0" applyNumberFormat="1" applyFont="1" applyFill="1" applyBorder="1" applyAlignment="1">
      <alignment horizontal="center" vertical="center" wrapText="1" readingOrder="1"/>
    </xf>
    <xf numFmtId="10" fontId="21" fillId="12" borderId="9" xfId="0" applyNumberFormat="1" applyFont="1" applyFill="1" applyBorder="1" applyAlignment="1">
      <alignment horizontal="center" vertical="center" wrapText="1" readingOrder="1"/>
    </xf>
    <xf numFmtId="0" fontId="21" fillId="12" borderId="20" xfId="0" applyFont="1" applyFill="1" applyBorder="1" applyAlignment="1">
      <alignment horizontal="center" vertical="center" wrapText="1" readingOrder="1"/>
    </xf>
    <xf numFmtId="0" fontId="33" fillId="0" borderId="0" xfId="0" applyFont="1" applyAlignment="1">
      <alignment horizontal="center" vertical="center"/>
    </xf>
    <xf numFmtId="0" fontId="19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5" fillId="12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0" fontId="0" fillId="2" borderId="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44" xfId="0" applyFill="1" applyBorder="1">
      <alignment vertical="center"/>
    </xf>
    <xf numFmtId="3" fontId="32" fillId="0" borderId="0" xfId="0" applyNumberFormat="1" applyFont="1" applyAlignment="1">
      <alignment horizontal="center" vertical="center" wrapText="1"/>
    </xf>
    <xf numFmtId="0" fontId="15" fillId="19" borderId="21" xfId="0" applyFont="1" applyFill="1" applyBorder="1" applyAlignment="1" applyProtection="1">
      <alignment horizontal="center" vertical="center"/>
      <protection locked="0"/>
    </xf>
    <xf numFmtId="0" fontId="15" fillId="19" borderId="22" xfId="0" applyFont="1" applyFill="1" applyBorder="1" applyAlignment="1" applyProtection="1">
      <alignment horizontal="center" vertical="center"/>
      <protection locked="0"/>
    </xf>
    <xf numFmtId="0" fontId="15" fillId="19" borderId="23" xfId="0" applyFont="1" applyFill="1" applyBorder="1" applyAlignment="1" applyProtection="1">
      <alignment horizontal="center" vertical="center"/>
      <protection locked="0"/>
    </xf>
    <xf numFmtId="10" fontId="0" fillId="12" borderId="11" xfId="0" applyNumberFormat="1" applyFill="1" applyBorder="1" applyAlignment="1">
      <alignment horizontal="center" vertical="center"/>
    </xf>
    <xf numFmtId="181" fontId="0" fillId="10" borderId="9" xfId="0" applyNumberFormat="1" applyFill="1" applyBorder="1" applyAlignment="1">
      <alignment horizontal="center" vertical="center"/>
    </xf>
    <xf numFmtId="186" fontId="0" fillId="12" borderId="12" xfId="0" applyNumberFormat="1" applyFill="1" applyBorder="1" applyAlignment="1">
      <alignment horizontal="center" vertical="center"/>
    </xf>
    <xf numFmtId="0" fontId="36" fillId="0" borderId="0" xfId="0" applyFont="1">
      <alignment vertical="center"/>
    </xf>
    <xf numFmtId="181" fontId="0" fillId="0" borderId="0" xfId="0" applyNumberFormat="1" applyProtection="1">
      <alignment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6" fontId="3" fillId="6" borderId="3" xfId="0" applyNumberFormat="1" applyFont="1" applyFill="1" applyBorder="1" applyAlignment="1">
      <alignment horizontal="center" vertical="center"/>
    </xf>
    <xf numFmtId="176" fontId="3" fillId="6" borderId="2" xfId="0" applyNumberFormat="1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176" fontId="3" fillId="7" borderId="3" xfId="0" applyNumberFormat="1" applyFont="1" applyFill="1" applyBorder="1" applyAlignment="1">
      <alignment horizontal="center" vertical="center"/>
    </xf>
    <xf numFmtId="176" fontId="3" fillId="7" borderId="2" xfId="0" applyNumberFormat="1" applyFont="1" applyFill="1" applyBorder="1" applyAlignment="1">
      <alignment horizontal="center" vertical="center"/>
    </xf>
    <xf numFmtId="0" fontId="13" fillId="0" borderId="13" xfId="0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0" fontId="29" fillId="13" borderId="0" xfId="0" applyFont="1" applyFill="1" applyAlignment="1">
      <alignment horizontal="center" vertical="center"/>
    </xf>
    <xf numFmtId="0" fontId="15" fillId="17" borderId="9" xfId="0" applyFont="1" applyFill="1" applyBorder="1" applyAlignment="1">
      <alignment horizontal="center" vertical="center"/>
    </xf>
    <xf numFmtId="0" fontId="15" fillId="15" borderId="45" xfId="0" applyFont="1" applyFill="1" applyBorder="1" applyAlignment="1">
      <alignment horizontal="center" vertical="center"/>
    </xf>
    <xf numFmtId="0" fontId="15" fillId="15" borderId="46" xfId="0" applyFont="1" applyFill="1" applyBorder="1" applyAlignment="1">
      <alignment horizontal="center" vertical="center"/>
    </xf>
    <xf numFmtId="0" fontId="15" fillId="15" borderId="47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15" borderId="22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0" fontId="37" fillId="2" borderId="37" xfId="0" applyFont="1" applyFill="1" applyBorder="1" applyAlignment="1">
      <alignment vertical="center" wrapText="1"/>
    </xf>
    <xf numFmtId="0" fontId="37" fillId="2" borderId="29" xfId="0" applyFont="1" applyFill="1" applyBorder="1" applyAlignment="1">
      <alignment vertical="center" wrapText="1"/>
    </xf>
    <xf numFmtId="0" fontId="37" fillId="2" borderId="9" xfId="0" applyFont="1" applyFill="1" applyBorder="1" applyAlignment="1">
      <alignment vertical="center" wrapText="1"/>
    </xf>
    <xf numFmtId="0" fontId="37" fillId="2" borderId="25" xfId="0" applyFont="1" applyFill="1" applyBorder="1" applyAlignment="1">
      <alignment vertical="center" wrapText="1"/>
    </xf>
    <xf numFmtId="0" fontId="38" fillId="2" borderId="33" xfId="0" applyFont="1" applyFill="1" applyBorder="1" applyAlignment="1">
      <alignment horizontal="center" vertical="center" wrapText="1"/>
    </xf>
    <xf numFmtId="0" fontId="38" fillId="2" borderId="35" xfId="0" applyFont="1" applyFill="1" applyBorder="1" applyAlignment="1">
      <alignment horizontal="right" vertical="center" wrapText="1"/>
    </xf>
    <xf numFmtId="0" fontId="38" fillId="2" borderId="36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left" vertical="center" wrapText="1"/>
    </xf>
    <xf numFmtId="0" fontId="38" fillId="2" borderId="35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right" vertical="center" wrapText="1"/>
    </xf>
    <xf numFmtId="0" fontId="38" fillId="2" borderId="38" xfId="0" applyFont="1" applyFill="1" applyBorder="1" applyAlignment="1">
      <alignment horizontal="center" vertical="center" wrapText="1"/>
    </xf>
    <xf numFmtId="0" fontId="38" fillId="2" borderId="39" xfId="0" applyFont="1" applyFill="1" applyBorder="1" applyAlignment="1">
      <alignment horizontal="center" vertical="center" wrapText="1"/>
    </xf>
    <xf numFmtId="0" fontId="38" fillId="2" borderId="40" xfId="0" applyFont="1" applyFill="1" applyBorder="1" applyAlignment="1">
      <alignment horizontal="center" vertical="center" wrapText="1"/>
    </xf>
    <xf numFmtId="0" fontId="38" fillId="2" borderId="37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center" vertical="center" wrapText="1"/>
    </xf>
    <xf numFmtId="0" fontId="38" fillId="2" borderId="34" xfId="0" applyFont="1" applyFill="1" applyBorder="1" applyAlignment="1">
      <alignment horizontal="center" vertical="center" wrapText="1"/>
    </xf>
    <xf numFmtId="0" fontId="38" fillId="2" borderId="41" xfId="0" applyFont="1" applyFill="1" applyBorder="1" applyAlignment="1">
      <alignment horizontal="center" vertical="center" wrapText="1"/>
    </xf>
    <xf numFmtId="0" fontId="38" fillId="2" borderId="30" xfId="0" applyFont="1" applyFill="1" applyBorder="1" applyAlignment="1">
      <alignment horizontal="center" vertical="center" wrapText="1"/>
    </xf>
    <xf numFmtId="0" fontId="38" fillId="2" borderId="32" xfId="0" applyFont="1" applyFill="1" applyBorder="1" applyAlignment="1">
      <alignment horizontal="center" vertical="center" wrapText="1"/>
    </xf>
    <xf numFmtId="0" fontId="38" fillId="2" borderId="20" xfId="0" applyFont="1" applyFill="1" applyBorder="1" applyAlignment="1">
      <alignment vertical="center" wrapText="1"/>
    </xf>
    <xf numFmtId="0" fontId="38" fillId="2" borderId="31" xfId="0" applyFont="1" applyFill="1" applyBorder="1" applyAlignment="1">
      <alignment horizontal="right" vertical="center" wrapText="1"/>
    </xf>
    <xf numFmtId="0" fontId="38" fillId="2" borderId="31" xfId="0" applyFont="1" applyFill="1" applyBorder="1" applyAlignment="1">
      <alignment vertical="center" wrapText="1"/>
    </xf>
    <xf numFmtId="0" fontId="38" fillId="2" borderId="9" xfId="0" applyFont="1" applyFill="1" applyBorder="1" applyAlignment="1">
      <alignment horizontal="center" vertical="center" wrapText="1"/>
    </xf>
    <xf numFmtId="0" fontId="38" fillId="2" borderId="43" xfId="0" applyFont="1" applyFill="1" applyBorder="1" applyAlignment="1">
      <alignment horizontal="center" vertical="center" wrapText="1"/>
    </xf>
    <xf numFmtId="0" fontId="38" fillId="2" borderId="42" xfId="0" applyFont="1" applyFill="1" applyBorder="1" applyAlignment="1">
      <alignment horizontal="center" vertical="center" wrapText="1"/>
    </xf>
    <xf numFmtId="185" fontId="38" fillId="2" borderId="24" xfId="0" applyNumberFormat="1" applyFont="1" applyFill="1" applyBorder="1" applyAlignment="1">
      <alignment horizontal="center" vertical="center" wrapText="1"/>
    </xf>
    <xf numFmtId="0" fontId="37" fillId="2" borderId="9" xfId="0" applyFont="1" applyFill="1" applyBorder="1" applyAlignment="1">
      <alignment horizontal="center" vertical="center" wrapText="1"/>
    </xf>
    <xf numFmtId="3" fontId="37" fillId="2" borderId="9" xfId="0" applyNumberFormat="1" applyFont="1" applyFill="1" applyBorder="1" applyAlignment="1">
      <alignment horizontal="center" vertical="center" wrapText="1"/>
    </xf>
    <xf numFmtId="3" fontId="37" fillId="2" borderId="30" xfId="0" applyNumberFormat="1" applyFont="1" applyFill="1" applyBorder="1" applyAlignment="1">
      <alignment horizontal="center" vertical="center" wrapText="1"/>
    </xf>
    <xf numFmtId="8" fontId="37" fillId="2" borderId="30" xfId="0" applyNumberFormat="1" applyFont="1" applyFill="1" applyBorder="1" applyAlignment="1">
      <alignment horizontal="center" vertical="center" wrapText="1"/>
    </xf>
    <xf numFmtId="3" fontId="37" fillId="2" borderId="20" xfId="0" applyNumberFormat="1" applyFont="1" applyFill="1" applyBorder="1" applyAlignment="1">
      <alignment horizontal="center" vertical="center" wrapText="1"/>
    </xf>
    <xf numFmtId="3" fontId="37" fillId="2" borderId="24" xfId="0" applyNumberFormat="1" applyFont="1" applyFill="1" applyBorder="1" applyAlignment="1">
      <alignment horizontal="center" vertical="center" wrapText="1"/>
    </xf>
    <xf numFmtId="8" fontId="37" fillId="2" borderId="25" xfId="0" applyNumberFormat="1" applyFont="1" applyFill="1" applyBorder="1" applyAlignment="1">
      <alignment horizontal="center" vertical="center" wrapText="1"/>
    </xf>
    <xf numFmtId="8" fontId="37" fillId="2" borderId="9" xfId="0" applyNumberFormat="1" applyFont="1" applyFill="1" applyBorder="1" applyAlignment="1">
      <alignment horizontal="center" vertical="center" wrapText="1"/>
    </xf>
    <xf numFmtId="0" fontId="37" fillId="2" borderId="25" xfId="0" applyFont="1" applyFill="1" applyBorder="1">
      <alignment vertical="center"/>
    </xf>
    <xf numFmtId="0" fontId="21" fillId="12" borderId="9" xfId="0" applyNumberFormat="1" applyFont="1" applyFill="1" applyBorder="1" applyAlignment="1">
      <alignment horizontal="center" vertical="center" wrapText="1" readingOrder="1"/>
    </xf>
  </cellXfs>
  <cellStyles count="2">
    <cellStyle name="표준" xfId="0" builtinId="0"/>
    <cellStyle name="하이퍼링크" xfId="1" builtinId="8"/>
  </cellStyles>
  <dxfs count="7"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D342DE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추이'!$Q$4</c:f>
              <c:strCache>
                <c:ptCount val="1"/>
                <c:pt idx="0">
                  <c:v>페이스북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04월</c:v>
                </c:pt>
                <c:pt idx="1">
                  <c:v>23년 05월</c:v>
                </c:pt>
                <c:pt idx="2">
                  <c:v>23년 06월</c:v>
                </c:pt>
                <c:pt idx="3">
                  <c:v>23년 07월</c:v>
                </c:pt>
                <c:pt idx="4">
                  <c:v>23년 08월</c:v>
                </c:pt>
                <c:pt idx="5">
                  <c:v>23년 09월</c:v>
                </c:pt>
                <c:pt idx="6">
                  <c:v>23년 10월</c:v>
                </c:pt>
                <c:pt idx="7">
                  <c:v>23년 11월</c:v>
                </c:pt>
                <c:pt idx="8">
                  <c:v>23년 12월</c:v>
                </c:pt>
                <c:pt idx="9">
                  <c:v>24년 01월</c:v>
                </c:pt>
                <c:pt idx="10">
                  <c:v>24년 02월</c:v>
                </c:pt>
                <c:pt idx="11">
                  <c:v>24년 03월</c:v>
                </c:pt>
              </c:strCache>
            </c:strRef>
          </c:cat>
          <c:val>
            <c:numRef>
              <c:f>'채널별 팔로워 추이'!$Q$5:$Q$16</c:f>
              <c:numCache>
                <c:formatCode>#,##0_);[Red]\(#,##0\)</c:formatCode>
                <c:ptCount val="12"/>
                <c:pt idx="0">
                  <c:v>303115</c:v>
                </c:pt>
                <c:pt idx="1">
                  <c:v>306251</c:v>
                </c:pt>
                <c:pt idx="2">
                  <c:v>330054</c:v>
                </c:pt>
                <c:pt idx="3">
                  <c:v>329242</c:v>
                </c:pt>
                <c:pt idx="4">
                  <c:v>328540</c:v>
                </c:pt>
                <c:pt idx="5">
                  <c:v>327807</c:v>
                </c:pt>
                <c:pt idx="6">
                  <c:v>327316</c:v>
                </c:pt>
                <c:pt idx="7">
                  <c:v>326663</c:v>
                </c:pt>
                <c:pt idx="8">
                  <c:v>325870</c:v>
                </c:pt>
                <c:pt idx="9">
                  <c:v>325213</c:v>
                </c:pt>
                <c:pt idx="10">
                  <c:v>324457</c:v>
                </c:pt>
                <c:pt idx="11">
                  <c:v>323919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D-434E-8C14-880B2B3442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9760"/>
        <c:axId val="-327598128"/>
      </c:lineChart>
      <c:catAx>
        <c:axId val="-32759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8128"/>
        <c:crosses val="autoZero"/>
        <c:auto val="1"/>
        <c:lblAlgn val="ctr"/>
        <c:lblOffset val="100"/>
        <c:noMultiLvlLbl val="1"/>
      </c:catAx>
      <c:valAx>
        <c:axId val="-327598128"/>
        <c:scaling>
          <c:orientation val="minMax"/>
          <c:min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추이'!$R$4</c:f>
              <c:strCache>
                <c:ptCount val="1"/>
                <c:pt idx="0">
                  <c:v>인스타그램</c:v>
                </c:pt>
              </c:strCache>
            </c:strRef>
          </c:tx>
          <c:spPr>
            <a:ln w="28575" cap="rnd">
              <a:gradFill>
                <a:gsLst>
                  <a:gs pos="0">
                    <a:srgbClr val="7030A0"/>
                  </a:gs>
                  <a:gs pos="76000">
                    <a:srgbClr val="FF0000"/>
                  </a:gs>
                  <a:gs pos="28000">
                    <a:srgbClr val="D342DE"/>
                  </a:gs>
                  <a:gs pos="100000">
                    <a:srgbClr val="FFC000"/>
                  </a:gs>
                </a:gsLst>
                <a:lin ang="5400000" scaled="1"/>
              </a:gradFill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04월</c:v>
                </c:pt>
                <c:pt idx="1">
                  <c:v>23년 05월</c:v>
                </c:pt>
                <c:pt idx="2">
                  <c:v>23년 06월</c:v>
                </c:pt>
                <c:pt idx="3">
                  <c:v>23년 07월</c:v>
                </c:pt>
                <c:pt idx="4">
                  <c:v>23년 08월</c:v>
                </c:pt>
                <c:pt idx="5">
                  <c:v>23년 09월</c:v>
                </c:pt>
                <c:pt idx="6">
                  <c:v>23년 10월</c:v>
                </c:pt>
                <c:pt idx="7">
                  <c:v>23년 11월</c:v>
                </c:pt>
                <c:pt idx="8">
                  <c:v>23년 12월</c:v>
                </c:pt>
                <c:pt idx="9">
                  <c:v>24년 01월</c:v>
                </c:pt>
                <c:pt idx="10">
                  <c:v>24년 02월</c:v>
                </c:pt>
                <c:pt idx="11">
                  <c:v>24년 03월</c:v>
                </c:pt>
              </c:strCache>
            </c:strRef>
          </c:cat>
          <c:val>
            <c:numRef>
              <c:f>'채널별 팔로워 추이'!$R$5:$R$16</c:f>
              <c:numCache>
                <c:formatCode>#,##0_);[Red]\(#,##0\)</c:formatCode>
                <c:ptCount val="12"/>
                <c:pt idx="0">
                  <c:v>20996</c:v>
                </c:pt>
                <c:pt idx="1">
                  <c:v>26881</c:v>
                </c:pt>
                <c:pt idx="2">
                  <c:v>25330</c:v>
                </c:pt>
                <c:pt idx="3">
                  <c:v>24784</c:v>
                </c:pt>
                <c:pt idx="4">
                  <c:v>24120</c:v>
                </c:pt>
                <c:pt idx="5">
                  <c:v>24351</c:v>
                </c:pt>
                <c:pt idx="6">
                  <c:v>24169</c:v>
                </c:pt>
                <c:pt idx="7">
                  <c:v>24349</c:v>
                </c:pt>
                <c:pt idx="8">
                  <c:v>24077</c:v>
                </c:pt>
                <c:pt idx="9">
                  <c:v>23803</c:v>
                </c:pt>
                <c:pt idx="10">
                  <c:v>23534</c:v>
                </c:pt>
                <c:pt idx="11">
                  <c:v>24159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3-4299-A944-981F136E1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1600"/>
        <c:axId val="-560365632"/>
      </c:lineChart>
      <c:catAx>
        <c:axId val="-32759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632"/>
        <c:crosses val="autoZero"/>
        <c:auto val="1"/>
        <c:lblAlgn val="ctr"/>
        <c:lblOffset val="100"/>
        <c:noMultiLvlLbl val="1"/>
      </c:catAx>
      <c:valAx>
        <c:axId val="-5603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04월</c:v>
                </c:pt>
                <c:pt idx="1">
                  <c:v>23년 05월</c:v>
                </c:pt>
                <c:pt idx="2">
                  <c:v>23년 06월</c:v>
                </c:pt>
                <c:pt idx="3">
                  <c:v>23년 07월</c:v>
                </c:pt>
                <c:pt idx="4">
                  <c:v>23년 08월</c:v>
                </c:pt>
                <c:pt idx="5">
                  <c:v>23년 09월</c:v>
                </c:pt>
                <c:pt idx="6">
                  <c:v>23년 10월</c:v>
                </c:pt>
                <c:pt idx="7">
                  <c:v>23년 11월</c:v>
                </c:pt>
                <c:pt idx="8">
                  <c:v>23년 12월</c:v>
                </c:pt>
                <c:pt idx="9">
                  <c:v>24년 01월</c:v>
                </c:pt>
                <c:pt idx="10">
                  <c:v>24년 02월</c:v>
                </c:pt>
                <c:pt idx="11">
                  <c:v>24년 03월</c:v>
                </c:pt>
              </c:strCache>
            </c:strRef>
          </c:cat>
          <c:val>
            <c:numRef>
              <c:f>'채널별 팔로워 추이'!$S$5:$S$16</c:f>
              <c:numCache>
                <c:formatCode>#,##0_);[Red]\(#,##0\)</c:formatCode>
                <c:ptCount val="12"/>
                <c:pt idx="0">
                  <c:v>105782</c:v>
                </c:pt>
                <c:pt idx="1">
                  <c:v>105135</c:v>
                </c:pt>
                <c:pt idx="2">
                  <c:v>104546</c:v>
                </c:pt>
                <c:pt idx="3">
                  <c:v>127484</c:v>
                </c:pt>
                <c:pt idx="4">
                  <c:v>170862</c:v>
                </c:pt>
                <c:pt idx="5">
                  <c:v>209685</c:v>
                </c:pt>
                <c:pt idx="6">
                  <c:v>206054</c:v>
                </c:pt>
                <c:pt idx="7">
                  <c:v>204222</c:v>
                </c:pt>
                <c:pt idx="8">
                  <c:v>203190</c:v>
                </c:pt>
                <c:pt idx="9">
                  <c:v>200818</c:v>
                </c:pt>
                <c:pt idx="10">
                  <c:v>198550</c:v>
                </c:pt>
                <c:pt idx="11">
                  <c:v>196824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7-4D3C-8C16-C78BDAB819E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62912"/>
        <c:axId val="-560354752"/>
      </c:lineChart>
      <c:catAx>
        <c:axId val="-56036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4752"/>
        <c:crosses val="autoZero"/>
        <c:auto val="1"/>
        <c:lblAlgn val="ctr"/>
        <c:lblOffset val="100"/>
        <c:noMultiLvlLbl val="1"/>
      </c:catAx>
      <c:valAx>
        <c:axId val="-5603547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일일data!$M$3</c:f>
              <c:strCache>
                <c:ptCount val="1"/>
                <c:pt idx="0">
                  <c:v> 팔로워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</c:numCache>
            </c:numRef>
          </c:cat>
          <c:val>
            <c:numRef>
              <c:f>일일data!$M$4:$M$34</c:f>
              <c:numCache>
                <c:formatCode>_-* #,##0_-;\-* #,##0_-;_-* "-"_-;_-@</c:formatCode>
                <c:ptCount val="31"/>
                <c:pt idx="0">
                  <c:v>324457</c:v>
                </c:pt>
                <c:pt idx="1">
                  <c:v>324457</c:v>
                </c:pt>
                <c:pt idx="2">
                  <c:v>324457</c:v>
                </c:pt>
                <c:pt idx="3">
                  <c:v>324424</c:v>
                </c:pt>
                <c:pt idx="4">
                  <c:v>324405</c:v>
                </c:pt>
                <c:pt idx="5">
                  <c:v>324390</c:v>
                </c:pt>
                <c:pt idx="6">
                  <c:v>324371</c:v>
                </c:pt>
                <c:pt idx="7">
                  <c:v>324331</c:v>
                </c:pt>
                <c:pt idx="8">
                  <c:v>324331</c:v>
                </c:pt>
                <c:pt idx="9">
                  <c:v>324331</c:v>
                </c:pt>
                <c:pt idx="10">
                  <c:v>324310</c:v>
                </c:pt>
                <c:pt idx="11">
                  <c:v>324292</c:v>
                </c:pt>
                <c:pt idx="12">
                  <c:v>324270</c:v>
                </c:pt>
                <c:pt idx="13">
                  <c:v>324250</c:v>
                </c:pt>
                <c:pt idx="14">
                  <c:v>324283</c:v>
                </c:pt>
                <c:pt idx="15">
                  <c:v>324283</c:v>
                </c:pt>
                <c:pt idx="16">
                  <c:v>324283</c:v>
                </c:pt>
                <c:pt idx="17">
                  <c:v>324150</c:v>
                </c:pt>
                <c:pt idx="18">
                  <c:v>324134</c:v>
                </c:pt>
                <c:pt idx="19">
                  <c:v>324118</c:v>
                </c:pt>
                <c:pt idx="20">
                  <c:v>324106</c:v>
                </c:pt>
                <c:pt idx="21">
                  <c:v>324062</c:v>
                </c:pt>
                <c:pt idx="22">
                  <c:v>324062</c:v>
                </c:pt>
                <c:pt idx="23">
                  <c:v>324062</c:v>
                </c:pt>
                <c:pt idx="24">
                  <c:v>324038</c:v>
                </c:pt>
                <c:pt idx="25">
                  <c:v>324017</c:v>
                </c:pt>
                <c:pt idx="26">
                  <c:v>324002</c:v>
                </c:pt>
                <c:pt idx="27">
                  <c:v>323976</c:v>
                </c:pt>
                <c:pt idx="28">
                  <c:v>323919</c:v>
                </c:pt>
                <c:pt idx="29">
                  <c:v>323919</c:v>
                </c:pt>
                <c:pt idx="30">
                  <c:v>323919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F-4DCC-B57F-8FCC3990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0736"/>
        <c:axId val="-560355840"/>
      </c:lineChart>
      <c:dateAx>
        <c:axId val="-56036073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840"/>
        <c:crosses val="autoZero"/>
        <c:auto val="1"/>
        <c:lblOffset val="100"/>
        <c:baseTimeUnit val="days"/>
      </c:dateAx>
      <c:valAx>
        <c:axId val="-5603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</c:numCache>
            </c:numRef>
          </c:cat>
          <c:val>
            <c:numRef>
              <c:f>일일data!$P$4:$P$34</c:f>
              <c:numCache>
                <c:formatCode>_-* #,##0_-;\-* #,##0_-;_-* "-"_-;_-@</c:formatCode>
                <c:ptCount val="31"/>
                <c:pt idx="0">
                  <c:v>327723</c:v>
                </c:pt>
                <c:pt idx="1">
                  <c:v>327723</c:v>
                </c:pt>
                <c:pt idx="2">
                  <c:v>327723</c:v>
                </c:pt>
                <c:pt idx="3">
                  <c:v>327692</c:v>
                </c:pt>
                <c:pt idx="4">
                  <c:v>327675</c:v>
                </c:pt>
                <c:pt idx="5">
                  <c:v>327675</c:v>
                </c:pt>
                <c:pt idx="6">
                  <c:v>327644</c:v>
                </c:pt>
                <c:pt idx="7">
                  <c:v>327601</c:v>
                </c:pt>
                <c:pt idx="8">
                  <c:v>327601</c:v>
                </c:pt>
                <c:pt idx="9">
                  <c:v>327601</c:v>
                </c:pt>
                <c:pt idx="10">
                  <c:v>327580</c:v>
                </c:pt>
                <c:pt idx="11">
                  <c:v>327565</c:v>
                </c:pt>
                <c:pt idx="12">
                  <c:v>327544</c:v>
                </c:pt>
                <c:pt idx="13">
                  <c:v>327527</c:v>
                </c:pt>
                <c:pt idx="14">
                  <c:v>327468</c:v>
                </c:pt>
                <c:pt idx="15">
                  <c:v>327468</c:v>
                </c:pt>
                <c:pt idx="16">
                  <c:v>327468</c:v>
                </c:pt>
                <c:pt idx="17">
                  <c:v>327434</c:v>
                </c:pt>
                <c:pt idx="18">
                  <c:v>327417</c:v>
                </c:pt>
                <c:pt idx="19">
                  <c:v>327406</c:v>
                </c:pt>
                <c:pt idx="20">
                  <c:v>327389</c:v>
                </c:pt>
                <c:pt idx="21">
                  <c:v>327346</c:v>
                </c:pt>
                <c:pt idx="22">
                  <c:v>327346</c:v>
                </c:pt>
                <c:pt idx="23">
                  <c:v>327346</c:v>
                </c:pt>
                <c:pt idx="24">
                  <c:v>327330</c:v>
                </c:pt>
                <c:pt idx="25">
                  <c:v>327311</c:v>
                </c:pt>
                <c:pt idx="26">
                  <c:v>327294</c:v>
                </c:pt>
                <c:pt idx="27">
                  <c:v>327270</c:v>
                </c:pt>
                <c:pt idx="28">
                  <c:v>327219</c:v>
                </c:pt>
                <c:pt idx="29">
                  <c:v>327219</c:v>
                </c:pt>
                <c:pt idx="30">
                  <c:v>327219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3-4A02-8E27-068998338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8624"/>
        <c:axId val="-1924326448"/>
      </c:barChart>
      <c:dateAx>
        <c:axId val="-192432862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6448"/>
        <c:crosses val="autoZero"/>
        <c:auto val="1"/>
        <c:lblOffset val="100"/>
        <c:baseTimeUnit val="days"/>
      </c:dateAx>
      <c:valAx>
        <c:axId val="-19243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21815845187748E-2"/>
          <c:y val="4.7024044467713737E-2"/>
          <c:w val="0.92523614129523812"/>
          <c:h val="0.83918591381788588"/>
        </c:manualLayout>
      </c:layout>
      <c:lineChart>
        <c:grouping val="standard"/>
        <c:varyColors val="0"/>
        <c:ser>
          <c:idx val="0"/>
          <c:order val="0"/>
          <c:tx>
            <c:strRef>
              <c:f>일일data!$T$3</c:f>
              <c:strCache>
                <c:ptCount val="1"/>
                <c:pt idx="0">
                  <c:v>팔로워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rgbClr val="FFFF00"/>
                  </a:gs>
                  <a:gs pos="38000">
                    <a:srgbClr val="FFC000"/>
                  </a:gs>
                  <a:gs pos="73000">
                    <a:srgbClr val="D342DE"/>
                  </a:gs>
                  <a:gs pos="100000">
                    <a:srgbClr val="7030A0"/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</c:numCache>
            </c:numRef>
          </c:cat>
          <c:val>
            <c:numRef>
              <c:f>일일data!$T$4:$T$34</c:f>
              <c:numCache>
                <c:formatCode>_-* #,##0_-;\-* #,##0_-;_-* "-"_-;_-@</c:formatCode>
                <c:ptCount val="31"/>
                <c:pt idx="0">
                  <c:v>23531</c:v>
                </c:pt>
                <c:pt idx="1">
                  <c:v>23520</c:v>
                </c:pt>
                <c:pt idx="2">
                  <c:v>23506</c:v>
                </c:pt>
                <c:pt idx="3">
                  <c:v>23495</c:v>
                </c:pt>
                <c:pt idx="4">
                  <c:v>23486</c:v>
                </c:pt>
                <c:pt idx="5">
                  <c:v>23477</c:v>
                </c:pt>
                <c:pt idx="6">
                  <c:v>23466</c:v>
                </c:pt>
                <c:pt idx="7">
                  <c:v>23494</c:v>
                </c:pt>
                <c:pt idx="8">
                  <c:v>23523</c:v>
                </c:pt>
                <c:pt idx="9">
                  <c:v>23561</c:v>
                </c:pt>
                <c:pt idx="10">
                  <c:v>23585</c:v>
                </c:pt>
                <c:pt idx="11">
                  <c:v>23611</c:v>
                </c:pt>
                <c:pt idx="12">
                  <c:v>23634</c:v>
                </c:pt>
                <c:pt idx="13">
                  <c:v>23630</c:v>
                </c:pt>
                <c:pt idx="14">
                  <c:v>23620</c:v>
                </c:pt>
                <c:pt idx="15">
                  <c:v>23614</c:v>
                </c:pt>
                <c:pt idx="16">
                  <c:v>23621</c:v>
                </c:pt>
                <c:pt idx="17">
                  <c:v>23621</c:v>
                </c:pt>
                <c:pt idx="18">
                  <c:v>23679</c:v>
                </c:pt>
                <c:pt idx="19">
                  <c:v>23754</c:v>
                </c:pt>
                <c:pt idx="20">
                  <c:v>23818</c:v>
                </c:pt>
                <c:pt idx="21">
                  <c:v>23871</c:v>
                </c:pt>
                <c:pt idx="22">
                  <c:v>23913</c:v>
                </c:pt>
                <c:pt idx="23">
                  <c:v>23978</c:v>
                </c:pt>
                <c:pt idx="24">
                  <c:v>24043</c:v>
                </c:pt>
                <c:pt idx="25">
                  <c:v>24179</c:v>
                </c:pt>
                <c:pt idx="26">
                  <c:v>24200</c:v>
                </c:pt>
                <c:pt idx="27">
                  <c:v>24208</c:v>
                </c:pt>
                <c:pt idx="28">
                  <c:v>24194</c:v>
                </c:pt>
                <c:pt idx="29">
                  <c:v>24173</c:v>
                </c:pt>
                <c:pt idx="30">
                  <c:v>24159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6-4D81-9964-6EA3261E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55296"/>
        <c:axId val="-560359648"/>
      </c:lineChart>
      <c:dateAx>
        <c:axId val="-56035529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9648"/>
        <c:crosses val="autoZero"/>
        <c:auto val="1"/>
        <c:lblOffset val="100"/>
        <c:baseTimeUnit val="days"/>
      </c:dateAx>
      <c:valAx>
        <c:axId val="-560359648"/>
        <c:scaling>
          <c:orientation val="minMax"/>
        </c:scaling>
        <c:delete val="0"/>
        <c:axPos val="l"/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B40A7"/>
            </a:solidFill>
            <a:ln>
              <a:solidFill>
                <a:srgbClr val="7B40A7"/>
              </a:solidFill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  <c:pt idx="30">
                  <c:v>45382</c:v>
                </c:pt>
              </c:numCache>
            </c:numRef>
          </c:cat>
          <c:val>
            <c:numRef>
              <c:f>일일data!$U$4:$U$34</c:f>
              <c:numCache>
                <c:formatCode>_-* #,##0_-;\-* #,##0_-;_-* "-"_-;_-@</c:formatCode>
                <c:ptCount val="31"/>
                <c:pt idx="0">
                  <c:v>10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18</c:v>
                </c:pt>
                <c:pt idx="7">
                  <c:v>52</c:v>
                </c:pt>
                <c:pt idx="8">
                  <c:v>49</c:v>
                </c:pt>
                <c:pt idx="9">
                  <c:v>31</c:v>
                </c:pt>
                <c:pt idx="10">
                  <c:v>36</c:v>
                </c:pt>
                <c:pt idx="11">
                  <c:v>36</c:v>
                </c:pt>
                <c:pt idx="12">
                  <c:v>23</c:v>
                </c:pt>
                <c:pt idx="13">
                  <c:v>6</c:v>
                </c:pt>
                <c:pt idx="14">
                  <c:v>10</c:v>
                </c:pt>
                <c:pt idx="15">
                  <c:v>7</c:v>
                </c:pt>
                <c:pt idx="16">
                  <c:v>24</c:v>
                </c:pt>
                <c:pt idx="17">
                  <c:v>27</c:v>
                </c:pt>
                <c:pt idx="18">
                  <c:v>103</c:v>
                </c:pt>
                <c:pt idx="19">
                  <c:v>76</c:v>
                </c:pt>
                <c:pt idx="20">
                  <c:v>0</c:v>
                </c:pt>
                <c:pt idx="21">
                  <c:v>58</c:v>
                </c:pt>
                <c:pt idx="22">
                  <c:v>77</c:v>
                </c:pt>
                <c:pt idx="23">
                  <c:v>97</c:v>
                </c:pt>
                <c:pt idx="24">
                  <c:v>103</c:v>
                </c:pt>
                <c:pt idx="25">
                  <c:v>98</c:v>
                </c:pt>
                <c:pt idx="26">
                  <c:v>39</c:v>
                </c:pt>
                <c:pt idx="27">
                  <c:v>4</c:v>
                </c:pt>
                <c:pt idx="28">
                  <c:v>5</c:v>
                </c:pt>
                <c:pt idx="29">
                  <c:v>3</c:v>
                </c:pt>
                <c:pt idx="3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5-4483-B9D8-08AFD55A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5904"/>
        <c:axId val="-1924322640"/>
      </c:barChart>
      <c:dateAx>
        <c:axId val="-192432590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2640"/>
        <c:crosses val="autoZero"/>
        <c:auto val="1"/>
        <c:lblOffset val="100"/>
        <c:baseTimeUnit val="days"/>
      </c:dateAx>
      <c:valAx>
        <c:axId val="-19243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830094305331627E-2"/>
          <c:y val="4.6296296296296294E-2"/>
          <c:w val="0.91859358170712946"/>
          <c:h val="0.76963764946048407"/>
        </c:manualLayout>
      </c:layout>
      <c:lineChart>
        <c:grouping val="standard"/>
        <c:varyColors val="0"/>
        <c:ser>
          <c:idx val="0"/>
          <c:order val="0"/>
          <c:tx>
            <c:strRef>
              <c:f>'YT 커버'!$B$1</c:f>
              <c:strCache>
                <c:ptCount val="1"/>
                <c:pt idx="0">
                  <c:v>구독자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'YT 커버'!$A$2:$A$32</c:f>
              <c:strCach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strCache>
            </c:strRef>
          </c:cat>
          <c:val>
            <c:numRef>
              <c:f>'YT 커버'!$B$2:$B$32</c:f>
              <c:numCache>
                <c:formatCode>#,##0_ </c:formatCode>
                <c:ptCount val="31"/>
                <c:pt idx="0">
                  <c:v>198460</c:v>
                </c:pt>
                <c:pt idx="1">
                  <c:v>198389</c:v>
                </c:pt>
                <c:pt idx="2">
                  <c:v>198350</c:v>
                </c:pt>
                <c:pt idx="3">
                  <c:v>198286</c:v>
                </c:pt>
                <c:pt idx="4">
                  <c:v>198211</c:v>
                </c:pt>
                <c:pt idx="5">
                  <c:v>198161</c:v>
                </c:pt>
                <c:pt idx="6">
                  <c:v>198106</c:v>
                </c:pt>
                <c:pt idx="7">
                  <c:v>198063</c:v>
                </c:pt>
                <c:pt idx="8">
                  <c:v>197986</c:v>
                </c:pt>
                <c:pt idx="9">
                  <c:v>197947</c:v>
                </c:pt>
                <c:pt idx="10">
                  <c:v>197868</c:v>
                </c:pt>
                <c:pt idx="11">
                  <c:v>197818</c:v>
                </c:pt>
                <c:pt idx="12">
                  <c:v>197769</c:v>
                </c:pt>
                <c:pt idx="13">
                  <c:v>197722</c:v>
                </c:pt>
                <c:pt idx="14">
                  <c:v>197654</c:v>
                </c:pt>
                <c:pt idx="15">
                  <c:v>197593</c:v>
                </c:pt>
                <c:pt idx="16">
                  <c:v>197526</c:v>
                </c:pt>
                <c:pt idx="17">
                  <c:v>197467</c:v>
                </c:pt>
                <c:pt idx="18">
                  <c:v>197408</c:v>
                </c:pt>
                <c:pt idx="19">
                  <c:v>197365</c:v>
                </c:pt>
                <c:pt idx="20">
                  <c:v>197323</c:v>
                </c:pt>
                <c:pt idx="21">
                  <c:v>197275</c:v>
                </c:pt>
                <c:pt idx="22">
                  <c:v>197205</c:v>
                </c:pt>
                <c:pt idx="23">
                  <c:v>197171</c:v>
                </c:pt>
                <c:pt idx="24">
                  <c:v>197088</c:v>
                </c:pt>
                <c:pt idx="25">
                  <c:v>197055</c:v>
                </c:pt>
                <c:pt idx="26">
                  <c:v>197008</c:v>
                </c:pt>
                <c:pt idx="27">
                  <c:v>196965</c:v>
                </c:pt>
                <c:pt idx="28">
                  <c:v>196913</c:v>
                </c:pt>
                <c:pt idx="29">
                  <c:v>196865</c:v>
                </c:pt>
                <c:pt idx="30">
                  <c:v>196824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90C-8925-A1F98357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5088"/>
        <c:axId val="-560353664"/>
      </c:lineChart>
      <c:catAx>
        <c:axId val="-5603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664"/>
        <c:crosses val="autoZero"/>
        <c:auto val="1"/>
        <c:lblAlgn val="ctr"/>
        <c:lblOffset val="100"/>
        <c:noMultiLvlLbl val="0"/>
      </c:catAx>
      <c:valAx>
        <c:axId val="-5603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04월</c:v>
                </c:pt>
                <c:pt idx="1">
                  <c:v>23년 05월</c:v>
                </c:pt>
                <c:pt idx="2">
                  <c:v>23년 06월</c:v>
                </c:pt>
                <c:pt idx="3">
                  <c:v>23년 07월</c:v>
                </c:pt>
                <c:pt idx="4">
                  <c:v>23년 08월</c:v>
                </c:pt>
                <c:pt idx="5">
                  <c:v>23년 09월</c:v>
                </c:pt>
                <c:pt idx="6">
                  <c:v>23년 10월</c:v>
                </c:pt>
                <c:pt idx="7">
                  <c:v>23년 11월</c:v>
                </c:pt>
                <c:pt idx="8">
                  <c:v>23년 12월</c:v>
                </c:pt>
                <c:pt idx="9">
                  <c:v>24년 01월</c:v>
                </c:pt>
                <c:pt idx="10">
                  <c:v>24년 02월</c:v>
                </c:pt>
                <c:pt idx="11">
                  <c:v>24년 03월</c:v>
                </c:pt>
              </c:strCache>
            </c:strRef>
          </c:cat>
          <c:val>
            <c:numRef>
              <c:f>'채널별 팔로워 추이'!$S$5:$S$16</c:f>
              <c:numCache>
                <c:formatCode>#,##0_);[Red]\(#,##0\)</c:formatCode>
                <c:ptCount val="12"/>
                <c:pt idx="0">
                  <c:v>105782</c:v>
                </c:pt>
                <c:pt idx="1">
                  <c:v>105135</c:v>
                </c:pt>
                <c:pt idx="2">
                  <c:v>104546</c:v>
                </c:pt>
                <c:pt idx="3">
                  <c:v>127484</c:v>
                </c:pt>
                <c:pt idx="4">
                  <c:v>170862</c:v>
                </c:pt>
                <c:pt idx="5">
                  <c:v>209685</c:v>
                </c:pt>
                <c:pt idx="6">
                  <c:v>206054</c:v>
                </c:pt>
                <c:pt idx="7">
                  <c:v>204222</c:v>
                </c:pt>
                <c:pt idx="8">
                  <c:v>203190</c:v>
                </c:pt>
                <c:pt idx="9">
                  <c:v>200818</c:v>
                </c:pt>
                <c:pt idx="10">
                  <c:v>198550</c:v>
                </c:pt>
                <c:pt idx="11">
                  <c:v>196824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4-4A80-A7E2-71AF1ECC3D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53120"/>
        <c:axId val="-560364000"/>
      </c:lineChart>
      <c:catAx>
        <c:axId val="-5603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4000"/>
        <c:crosses val="autoZero"/>
        <c:auto val="1"/>
        <c:lblAlgn val="ctr"/>
        <c:lblOffset val="100"/>
        <c:noMultiLvlLbl val="1"/>
      </c:catAx>
      <c:valAx>
        <c:axId val="-56036400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1495425</xdr:colOff>
      <xdr:row>1</xdr:row>
      <xdr:rowOff>57150</xdr:rowOff>
    </xdr:from>
    <xdr:to>
      <xdr:col>0</xdr:col>
      <xdr:colOff>4581525</xdr:colOff>
      <xdr:row>5</xdr:row>
      <xdr:rowOff>114300</xdr:rowOff>
    </xdr:to>
    <xdr:sp macro="[0]!현재_통합_문서.DeleteDataRang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" y="266700"/>
          <a:ext cx="3086100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작성 전 실행</a:t>
          </a:r>
          <a:endParaRPr lang="en-US" altLang="ko-K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6</xdr:row>
      <xdr:rowOff>68580</xdr:rowOff>
    </xdr:from>
    <xdr:to>
      <xdr:col>13</xdr:col>
      <xdr:colOff>190500</xdr:colOff>
      <xdr:row>13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121920</xdr:colOff>
      <xdr:row>13</xdr:row>
      <xdr:rowOff>125730</xdr:rowOff>
    </xdr:from>
    <xdr:to>
      <xdr:col>13</xdr:col>
      <xdr:colOff>198120</xdr:colOff>
      <xdr:row>20</xdr:row>
      <xdr:rowOff>137160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137160</xdr:colOff>
      <xdr:row>21</xdr:row>
      <xdr:rowOff>72390</xdr:rowOff>
    </xdr:from>
    <xdr:to>
      <xdr:col>13</xdr:col>
      <xdr:colOff>205740</xdr:colOff>
      <xdr:row>28</xdr:row>
      <xdr:rowOff>175260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16</xdr:row>
      <xdr:rowOff>156210</xdr:rowOff>
    </xdr:from>
    <xdr:to>
      <xdr:col>16</xdr:col>
      <xdr:colOff>444500</xdr:colOff>
      <xdr:row>29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16</xdr:col>
      <xdr:colOff>392700</xdr:colOff>
      <xdr:row>43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30591A1-3A23-CD75-7F19-0609563DA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17</xdr:row>
      <xdr:rowOff>156210</xdr:rowOff>
    </xdr:from>
    <xdr:to>
      <xdr:col>14</xdr:col>
      <xdr:colOff>374650</xdr:colOff>
      <xdr:row>30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14</xdr:col>
      <xdr:colOff>392700</xdr:colOff>
      <xdr:row>44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902F7C-78E7-21B4-31DB-DF792CA48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15</xdr:row>
      <xdr:rowOff>99060</xdr:rowOff>
    </xdr:from>
    <xdr:to>
      <xdr:col>17</xdr:col>
      <xdr:colOff>388620</xdr:colOff>
      <xdr:row>26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106680</xdr:colOff>
      <xdr:row>2</xdr:row>
      <xdr:rowOff>49742</xdr:rowOff>
    </xdr:from>
    <xdr:to>
      <xdr:col>17</xdr:col>
      <xdr:colOff>381000</xdr:colOff>
      <xdr:row>12</xdr:row>
      <xdr:rowOff>114300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0.79998168889431442"/>
  </sheetPr>
  <dimension ref="A7:B28"/>
  <sheetViews>
    <sheetView workbookViewId="0">
      <selection activeCell="B14" sqref="B14"/>
    </sheetView>
  </sheetViews>
  <sheetFormatPr defaultRowHeight="16.5"/>
  <cols>
    <col min="1" max="1" width="103.125" customWidth="1"/>
  </cols>
  <sheetData>
    <row r="7" spans="1:1" ht="17.25" thickBot="1"/>
    <row r="8" spans="1:1">
      <c r="A8" s="106" t="s">
        <v>117</v>
      </c>
    </row>
    <row r="9" spans="1:1" ht="17.25" thickBot="1">
      <c r="A9" s="104">
        <v>2024</v>
      </c>
    </row>
    <row r="10" spans="1:1" ht="17.25" thickBot="1">
      <c r="A10" s="89"/>
    </row>
    <row r="11" spans="1:1">
      <c r="A11" s="106" t="s">
        <v>118</v>
      </c>
    </row>
    <row r="12" spans="1:1" ht="17.25" thickBot="1">
      <c r="A12" s="104">
        <v>3</v>
      </c>
    </row>
    <row r="14" spans="1:1" ht="34.5" customHeight="1">
      <c r="A14" s="103" t="s">
        <v>113</v>
      </c>
    </row>
    <row r="15" spans="1:1" ht="27" customHeight="1">
      <c r="A15" s="97" t="s">
        <v>120</v>
      </c>
    </row>
    <row r="16" spans="1:1" ht="27" customHeight="1">
      <c r="A16" s="97" t="s">
        <v>116</v>
      </c>
    </row>
    <row r="17" spans="1:2" ht="27" customHeight="1">
      <c r="A17" s="97" t="str">
        <f>IF(A9&amp;A12=YEAR(일일data!A4)&amp;MONTH(일일data!A4),"3) 일일 data 삽입 완료","3) 일일data 시트 A4에 해당 월 수치 값붙하시오(일일보고서 데이터)")</f>
        <v>3) 일일 data 삽입 완료</v>
      </c>
      <c r="B17" t="b">
        <f>OR(ISNUMBER(SEARCH("완료",A17)),ISNUMBER(SEARCH("완성",A17)))</f>
        <v>1</v>
      </c>
    </row>
    <row r="18" spans="1:2" ht="27" customHeight="1">
      <c r="A18" s="97" t="str">
        <f>IF(ISNUMBER(SEARCH("값붙",'채널별 팔로워 추이'!L5))=TRUE,"4) 채널별 팔로워 추이 시트의 중앙 상단의 표를 왼쪽표 하단에 값붙하시오","4) 채널별 팔로워 추이 시트 완성")</f>
        <v>4) 채널별 팔로워 추이 시트 완성</v>
      </c>
      <c r="B18" t="b">
        <f t="shared" ref="B18:B25" si="0">OR(ISNUMBER(SEARCH("완료",A18)),ISNUMBER(SEARCH("완성",A18)))</f>
        <v>1</v>
      </c>
    </row>
    <row r="19" spans="1:2" ht="27" customHeight="1">
      <c r="A19" s="97" t="str">
        <f>IF('FB 콘텐츠 data'!A2="","5) FB 콘텐츠 data 시트 A1에 로우데이터(목록행 포함) 값붙하시오.",IF(SUM('FB 콘텐츠 data 제목 입력'!E:E)&gt;0,"5-2) FB 콘텐츠 data 제목 입력 시트의 B열에 각 콘텐츠 별 제목 기입하시오. 장표에 들어갈 콘텐츠 제목이니 간결하게 작성하시오.","5) FB 콘텐츠 data 삽입 완료, FB 신규발행 시트 완성"))</f>
        <v>5) FB 콘텐츠 data 삽입 완료, FB 신규발행 시트 완성</v>
      </c>
      <c r="B19" t="b">
        <f t="shared" si="0"/>
        <v>1</v>
      </c>
    </row>
    <row r="20" spans="1:2" ht="27" customHeight="1">
      <c r="A20" s="97" t="str">
        <f>IF(ISNUMBER(SEARCH("값붙",'FB 커버'!L6))=TRUE,"6) FB 커버 시트의 우측에 있는 표에 신규 좋아요 수치 기입 후 I4:O4의 값을 왼쪽 표 하단에 값붙하시오","6) FB 커버 시트 완성")</f>
        <v>6) FB 커버 시트 완성</v>
      </c>
      <c r="B20" t="b">
        <f t="shared" si="0"/>
        <v>1</v>
      </c>
    </row>
    <row r="21" spans="1:2" ht="27" customHeight="1">
      <c r="A21" s="97" t="str">
        <f>IF(OR(ISBLANK('FB Top3 Post'!#REF!),ISBLANK('FB Top3 Post'!#REF!),ISBLANK('FB Top3 Post'!#REF!),ISBLANK('FB Top3 Post'!#REF!),ISBLANK('FB Top3 Post'!#REF!),ISBLANK('FB Top3 Post'!#REF!))=TRUE,"7) FB Top3 Post 시트에 이벤트 집행 여부, 광고 집행 여부를 직접 기입하시오.","7) FB Top3 Post 장표 완성")</f>
        <v>7) FB Top3 Post 장표 완성</v>
      </c>
      <c r="B21" t="b">
        <f t="shared" si="0"/>
        <v>1</v>
      </c>
    </row>
    <row r="22" spans="1:2" ht="27" customHeight="1">
      <c r="A22" s="97" t="str">
        <f>IF('IG 콘텐츠 data'!A2="","8) IG 콘텐츠 data 시트 A1에 인스타 로우데이터(목록행 포함) 값붙하시오.",IF(SUM('IG 콘텐츠 data 제목 입력'!E:E)&gt;0,"8-1) IG 콘텐츠 E열에 콘텐츠 제목 직접 기입하시오. 장표에 나타나는 이름이니 간결하게 기입할 것.","8) IG 콘텐츠 데이터 삽입 완료"))</f>
        <v>8) IG 콘텐츠 데이터 삽입 완료</v>
      </c>
      <c r="B22" t="b">
        <f t="shared" si="0"/>
        <v>1</v>
      </c>
    </row>
    <row r="23" spans="1:2" ht="27" customHeight="1">
      <c r="A23" s="97" t="str">
        <f>IF(ISNUMBER(SEARCH("값붙",'IG 커버'!J7))=TRUE,"9) IG 커버 시트 우측 표에 신규 좋아요 수치 기입 후 우측표의 값을 왼쪽 표 하단에 값붙하시오","9) IG 커버 시트 완성")</f>
        <v>9) IG 커버 시트 완성</v>
      </c>
      <c r="B23" t="b">
        <f t="shared" si="0"/>
        <v>1</v>
      </c>
    </row>
    <row r="24" spans="1:2" ht="27" customHeight="1">
      <c r="A24" s="97" t="str">
        <f>IF('IG story data'!A2="","10) IG 스토리 데이터 시트 A1에 스토리 로우데이터(목록행 포함) 값붙하시오","10) IG 스토리 데이터 작성 완료. IG 신규발행 시트 상단에 인사이트 자동 생성 완료")</f>
        <v>10) IG 스토리 데이터 작성 완료. IG 신규발행 시트 상단에 인사이트 자동 생성 완료</v>
      </c>
      <c r="B24" t="b">
        <f t="shared" si="0"/>
        <v>1</v>
      </c>
    </row>
    <row r="25" spans="1:2" ht="27" customHeight="1">
      <c r="A25" s="97" t="str">
        <f>IF(OR(ISBLANK('IG Top3 Post'!#REF!),ISBLANK('IG Top3 Post'!#REF!),ISBLANK('IG Top3 Post'!#REF!),ISBLANK('IG Top3 Post'!#REF!),ISBLANK('IG Top3 Post'!#REF!),ISBLANK('IG Top3 Post'!#REF!))=TRUE,"11) IG top3 Post 시트에 이벤트 집행 여부, 광고 집행 여부를 직접 기입하시오.","11) IG Top3 Post 장표 완성")</f>
        <v>11) IG Top3 Post 장표 완성</v>
      </c>
      <c r="B25" t="b">
        <f t="shared" si="0"/>
        <v>1</v>
      </c>
    </row>
    <row r="26" spans="1:2" ht="27" customHeight="1">
      <c r="A26" s="97" t="str">
        <f>IF(COUNTIF(B:B,TRUE)=9,"12) 모든 장표 완성. 엑셀의 데이터를 ppt로 옮기시오.","12) 우선 1번부터 11번까지의 작업을 완료하시오.")</f>
        <v>12) 모든 장표 완성. 엑셀의 데이터를 ppt로 옮기시오.</v>
      </c>
    </row>
    <row r="27" spans="1:2" ht="16.5" customHeight="1"/>
    <row r="28" spans="1:2" ht="16.5" customHeight="1"/>
  </sheetData>
  <phoneticPr fontId="1" type="noConversion"/>
  <conditionalFormatting sqref="A17:A25">
    <cfRule type="containsText" dxfId="6" priority="4" operator="containsText" text="기입">
      <formula>NOT(ISERROR(SEARCH("기입",A17)))</formula>
    </cfRule>
    <cfRule type="containsText" dxfId="5" priority="5" operator="containsText" text="값붙">
      <formula>NOT(ISERROR(SEARCH("값붙",A17)))</formula>
    </cfRule>
  </conditionalFormatting>
  <conditionalFormatting sqref="A26">
    <cfRule type="containsText" dxfId="4" priority="1" operator="containsText" text="우선">
      <formula>NOT(ISERROR(SEARCH("우선",A26)))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Y36"/>
  <sheetViews>
    <sheetView workbookViewId="0">
      <selection activeCell="T1" sqref="T1:X1"/>
    </sheetView>
  </sheetViews>
  <sheetFormatPr defaultRowHeight="16.5"/>
  <sheetData>
    <row r="1" spans="1:25">
      <c r="A1" s="151" t="s">
        <v>0</v>
      </c>
      <c r="B1" s="152"/>
      <c r="C1" s="153" t="s">
        <v>1</v>
      </c>
      <c r="D1" s="154"/>
      <c r="E1" s="154"/>
      <c r="F1" s="154"/>
      <c r="G1" s="154"/>
      <c r="H1" s="154"/>
      <c r="I1" s="154"/>
      <c r="J1" s="154"/>
      <c r="K1" s="154"/>
      <c r="L1" s="155"/>
      <c r="M1" s="156" t="s">
        <v>2</v>
      </c>
      <c r="N1" s="157"/>
      <c r="O1" s="157"/>
      <c r="P1" s="157"/>
      <c r="Q1" s="157"/>
      <c r="R1" s="157"/>
      <c r="S1" s="158"/>
      <c r="T1" s="159" t="s">
        <v>3</v>
      </c>
      <c r="U1" s="160"/>
      <c r="V1" s="160"/>
      <c r="W1" s="160"/>
      <c r="X1" s="161"/>
      <c r="Y1" s="28" t="s">
        <v>4</v>
      </c>
    </row>
    <row r="2" spans="1:25">
      <c r="A2" s="162" t="s">
        <v>129</v>
      </c>
      <c r="B2" s="163"/>
      <c r="C2" s="29" t="s">
        <v>5</v>
      </c>
      <c r="D2" s="164" t="s">
        <v>6</v>
      </c>
      <c r="E2" s="165"/>
      <c r="F2" s="166"/>
      <c r="G2" s="164" t="s">
        <v>7</v>
      </c>
      <c r="H2" s="165"/>
      <c r="I2" s="166"/>
      <c r="J2" s="164" t="s">
        <v>8</v>
      </c>
      <c r="K2" s="165"/>
      <c r="L2" s="166"/>
      <c r="M2" s="167" t="s">
        <v>9</v>
      </c>
      <c r="N2" s="168"/>
      <c r="O2" s="168"/>
      <c r="P2" s="168"/>
      <c r="Q2" s="168"/>
      <c r="R2" s="168"/>
      <c r="S2" s="169"/>
      <c r="T2" s="159" t="s">
        <v>9</v>
      </c>
      <c r="U2" s="160"/>
      <c r="V2" s="160"/>
      <c r="W2" s="160"/>
      <c r="X2" s="161"/>
      <c r="Y2" s="28" t="s">
        <v>10</v>
      </c>
    </row>
    <row r="3" spans="1:25">
      <c r="A3" s="39" t="s">
        <v>21</v>
      </c>
      <c r="B3" s="39" t="s">
        <v>22</v>
      </c>
      <c r="C3" s="40" t="s">
        <v>23</v>
      </c>
      <c r="D3" s="40" t="s">
        <v>24</v>
      </c>
      <c r="E3" s="40" t="s">
        <v>25</v>
      </c>
      <c r="F3" s="41" t="s">
        <v>26</v>
      </c>
      <c r="G3" s="41" t="s">
        <v>24</v>
      </c>
      <c r="H3" s="41" t="s">
        <v>25</v>
      </c>
      <c r="I3" s="41" t="s">
        <v>26</v>
      </c>
      <c r="J3" s="41" t="s">
        <v>24</v>
      </c>
      <c r="K3" s="41" t="s">
        <v>25</v>
      </c>
      <c r="L3" s="41" t="s">
        <v>26</v>
      </c>
      <c r="M3" s="47" t="s">
        <v>73</v>
      </c>
      <c r="N3" s="47" t="s">
        <v>145</v>
      </c>
      <c r="O3" s="47" t="s">
        <v>146</v>
      </c>
      <c r="P3" s="40" t="s">
        <v>27</v>
      </c>
      <c r="Q3" s="40" t="s">
        <v>28</v>
      </c>
      <c r="R3" s="40" t="s">
        <v>29</v>
      </c>
      <c r="S3" s="40" t="s">
        <v>30</v>
      </c>
      <c r="T3" s="42" t="s">
        <v>31</v>
      </c>
      <c r="U3" s="42" t="s">
        <v>214</v>
      </c>
      <c r="V3" s="42" t="s">
        <v>215</v>
      </c>
      <c r="W3" s="42" t="s">
        <v>32</v>
      </c>
      <c r="X3" s="42" t="s">
        <v>33</v>
      </c>
      <c r="Y3" s="42" t="s">
        <v>34</v>
      </c>
    </row>
    <row r="4" spans="1:25">
      <c r="A4" s="1">
        <v>45352</v>
      </c>
      <c r="B4" s="2">
        <v>45352</v>
      </c>
      <c r="C4" s="3">
        <v>683</v>
      </c>
      <c r="D4" s="4">
        <v>320</v>
      </c>
      <c r="E4" s="5">
        <v>199</v>
      </c>
      <c r="F4" s="4">
        <v>519</v>
      </c>
      <c r="G4" s="4">
        <v>295</v>
      </c>
      <c r="H4" s="6">
        <v>262</v>
      </c>
      <c r="I4" s="4">
        <v>557</v>
      </c>
      <c r="J4" s="4">
        <v>395</v>
      </c>
      <c r="K4" s="6">
        <v>296</v>
      </c>
      <c r="L4" s="4">
        <v>691</v>
      </c>
      <c r="M4" s="4">
        <v>324457</v>
      </c>
      <c r="N4" s="4">
        <v>0</v>
      </c>
      <c r="O4" s="4">
        <v>13</v>
      </c>
      <c r="P4" s="3">
        <v>327723</v>
      </c>
      <c r="Q4" s="3"/>
      <c r="R4" s="4"/>
      <c r="S4" s="4">
        <v>12644</v>
      </c>
      <c r="T4" s="4">
        <v>23531</v>
      </c>
      <c r="U4" s="4">
        <v>10</v>
      </c>
      <c r="V4" s="4">
        <v>14</v>
      </c>
      <c r="W4" s="3">
        <v>45890</v>
      </c>
      <c r="X4" s="3">
        <v>53538</v>
      </c>
      <c r="Y4" s="4">
        <v>198460</v>
      </c>
    </row>
    <row r="5" spans="1:25">
      <c r="A5" s="1">
        <v>45353</v>
      </c>
      <c r="B5" s="2">
        <v>45353</v>
      </c>
      <c r="C5" s="3">
        <v>637</v>
      </c>
      <c r="D5" s="4">
        <v>326</v>
      </c>
      <c r="E5" s="5">
        <v>186</v>
      </c>
      <c r="F5" s="4">
        <v>512</v>
      </c>
      <c r="G5" s="4">
        <v>316</v>
      </c>
      <c r="H5" s="6">
        <v>156</v>
      </c>
      <c r="I5" s="4">
        <v>472</v>
      </c>
      <c r="J5" s="4">
        <v>421</v>
      </c>
      <c r="K5" s="6">
        <v>255</v>
      </c>
      <c r="L5" s="4">
        <v>676</v>
      </c>
      <c r="M5" s="4">
        <v>324457</v>
      </c>
      <c r="N5" s="4">
        <v>1</v>
      </c>
      <c r="O5" s="4">
        <v>21</v>
      </c>
      <c r="P5" s="3">
        <v>327723</v>
      </c>
      <c r="Q5" s="3"/>
      <c r="R5" s="4"/>
      <c r="S5" s="4">
        <v>6881</v>
      </c>
      <c r="T5" s="4">
        <v>23520</v>
      </c>
      <c r="U5" s="4">
        <v>3</v>
      </c>
      <c r="V5" s="4">
        <v>18</v>
      </c>
      <c r="W5" s="3">
        <v>27922</v>
      </c>
      <c r="X5" s="3">
        <v>32161</v>
      </c>
      <c r="Y5" s="4">
        <v>198389</v>
      </c>
    </row>
    <row r="6" spans="1:25">
      <c r="A6" s="7">
        <v>45354</v>
      </c>
      <c r="B6" s="2">
        <v>45354</v>
      </c>
      <c r="C6" s="3">
        <v>711</v>
      </c>
      <c r="D6" s="4">
        <v>338</v>
      </c>
      <c r="E6" s="5">
        <v>217</v>
      </c>
      <c r="F6" s="4">
        <v>555</v>
      </c>
      <c r="G6" s="4">
        <v>316</v>
      </c>
      <c r="H6" s="6">
        <v>190</v>
      </c>
      <c r="I6" s="4">
        <v>506</v>
      </c>
      <c r="J6" s="4">
        <v>448</v>
      </c>
      <c r="K6" s="6">
        <v>318</v>
      </c>
      <c r="L6" s="4">
        <v>766</v>
      </c>
      <c r="M6" s="4">
        <v>324457</v>
      </c>
      <c r="N6" s="4">
        <v>0</v>
      </c>
      <c r="O6" s="4">
        <v>19</v>
      </c>
      <c r="P6" s="3">
        <v>327723</v>
      </c>
      <c r="Q6" s="3"/>
      <c r="R6" s="4"/>
      <c r="S6" s="4">
        <v>8689</v>
      </c>
      <c r="T6" s="4">
        <v>23506</v>
      </c>
      <c r="U6" s="4">
        <v>3</v>
      </c>
      <c r="V6" s="4">
        <v>12</v>
      </c>
      <c r="W6" s="3">
        <v>19717</v>
      </c>
      <c r="X6" s="3">
        <v>22419</v>
      </c>
      <c r="Y6" s="4">
        <v>198350</v>
      </c>
    </row>
    <row r="7" spans="1:25">
      <c r="A7" s="7">
        <v>45355</v>
      </c>
      <c r="B7" s="2">
        <v>45355</v>
      </c>
      <c r="C7" s="3">
        <v>1451</v>
      </c>
      <c r="D7" s="4">
        <v>562</v>
      </c>
      <c r="E7" s="5">
        <v>347</v>
      </c>
      <c r="F7" s="4">
        <v>909</v>
      </c>
      <c r="G7" s="4">
        <v>429</v>
      </c>
      <c r="H7" s="6">
        <v>322</v>
      </c>
      <c r="I7" s="4">
        <v>751</v>
      </c>
      <c r="J7" s="4">
        <v>1086</v>
      </c>
      <c r="K7" s="6">
        <v>439</v>
      </c>
      <c r="L7" s="4">
        <v>1525</v>
      </c>
      <c r="M7" s="4">
        <v>324424</v>
      </c>
      <c r="N7" s="4">
        <v>3</v>
      </c>
      <c r="O7" s="4">
        <v>15</v>
      </c>
      <c r="P7" s="3">
        <v>327692</v>
      </c>
      <c r="Q7" s="3"/>
      <c r="R7" s="4"/>
      <c r="S7" s="4">
        <v>9282</v>
      </c>
      <c r="T7" s="4">
        <v>23495</v>
      </c>
      <c r="U7" s="4">
        <v>4</v>
      </c>
      <c r="V7" s="4">
        <v>12</v>
      </c>
      <c r="W7" s="3">
        <v>14934</v>
      </c>
      <c r="X7" s="3">
        <v>18221</v>
      </c>
      <c r="Y7" s="4">
        <v>198286</v>
      </c>
    </row>
    <row r="8" spans="1:25">
      <c r="A8" s="7">
        <v>45356</v>
      </c>
      <c r="B8" s="2">
        <v>45356</v>
      </c>
      <c r="C8" s="3">
        <v>1682</v>
      </c>
      <c r="D8" s="4">
        <v>677</v>
      </c>
      <c r="E8" s="6">
        <v>345</v>
      </c>
      <c r="F8" s="4">
        <v>1022</v>
      </c>
      <c r="G8" s="4">
        <v>465</v>
      </c>
      <c r="H8" s="6">
        <v>288</v>
      </c>
      <c r="I8" s="4">
        <v>753</v>
      </c>
      <c r="J8" s="4">
        <v>1121</v>
      </c>
      <c r="K8" s="6">
        <v>406</v>
      </c>
      <c r="L8" s="4">
        <v>1527</v>
      </c>
      <c r="M8" s="4">
        <v>324405</v>
      </c>
      <c r="N8" s="4">
        <v>2</v>
      </c>
      <c r="O8" s="4">
        <v>14</v>
      </c>
      <c r="P8" s="3">
        <v>327675</v>
      </c>
      <c r="Q8" s="3"/>
      <c r="R8" s="4"/>
      <c r="S8" s="4">
        <v>10073</v>
      </c>
      <c r="T8" s="4">
        <v>23486</v>
      </c>
      <c r="U8" s="4">
        <v>4</v>
      </c>
      <c r="V8" s="4">
        <v>16</v>
      </c>
      <c r="W8" s="3">
        <v>7744</v>
      </c>
      <c r="X8" s="3">
        <v>10354</v>
      </c>
      <c r="Y8" s="4">
        <v>198211</v>
      </c>
    </row>
    <row r="9" spans="1:25">
      <c r="A9" s="7">
        <v>45357</v>
      </c>
      <c r="B9" s="2">
        <v>45357</v>
      </c>
      <c r="C9" s="3">
        <v>1725</v>
      </c>
      <c r="D9" s="4">
        <v>720</v>
      </c>
      <c r="E9" s="6">
        <v>436</v>
      </c>
      <c r="F9" s="4">
        <v>1156</v>
      </c>
      <c r="G9" s="4">
        <v>525</v>
      </c>
      <c r="H9" s="6">
        <v>401</v>
      </c>
      <c r="I9" s="4">
        <v>926</v>
      </c>
      <c r="J9" s="4">
        <v>1290</v>
      </c>
      <c r="K9" s="6">
        <v>586</v>
      </c>
      <c r="L9" s="4">
        <v>1876</v>
      </c>
      <c r="M9" s="4">
        <v>324390</v>
      </c>
      <c r="N9" s="4">
        <v>2</v>
      </c>
      <c r="O9" s="4">
        <v>10</v>
      </c>
      <c r="P9" s="3">
        <v>327675</v>
      </c>
      <c r="Q9" s="3"/>
      <c r="R9" s="4"/>
      <c r="S9" s="4">
        <v>9000</v>
      </c>
      <c r="T9" s="4">
        <v>23477</v>
      </c>
      <c r="U9" s="4">
        <v>2</v>
      </c>
      <c r="V9" s="4">
        <v>13</v>
      </c>
      <c r="W9" s="3">
        <v>3690</v>
      </c>
      <c r="X9" s="3">
        <v>5087</v>
      </c>
      <c r="Y9" s="4">
        <v>198161</v>
      </c>
    </row>
    <row r="10" spans="1:25">
      <c r="A10" s="7">
        <v>45358</v>
      </c>
      <c r="B10" s="2">
        <v>45358</v>
      </c>
      <c r="C10" s="3">
        <v>2076</v>
      </c>
      <c r="D10" s="4">
        <v>745</v>
      </c>
      <c r="E10" s="6">
        <v>396</v>
      </c>
      <c r="F10" s="4">
        <v>1141</v>
      </c>
      <c r="G10" s="4">
        <v>511</v>
      </c>
      <c r="H10" s="6">
        <v>319</v>
      </c>
      <c r="I10" s="4">
        <v>830</v>
      </c>
      <c r="J10" s="4">
        <v>1330</v>
      </c>
      <c r="K10" s="6">
        <v>555</v>
      </c>
      <c r="L10" s="4">
        <v>1885</v>
      </c>
      <c r="M10" s="4">
        <v>324371</v>
      </c>
      <c r="N10" s="4">
        <v>2</v>
      </c>
      <c r="O10" s="4">
        <v>10</v>
      </c>
      <c r="P10" s="3">
        <v>327644</v>
      </c>
      <c r="Q10" s="3"/>
      <c r="R10" s="4"/>
      <c r="S10" s="4">
        <v>8059</v>
      </c>
      <c r="T10" s="4">
        <v>23466</v>
      </c>
      <c r="U10" s="4">
        <v>18</v>
      </c>
      <c r="V10" s="4">
        <v>8</v>
      </c>
      <c r="W10" s="3">
        <v>3854</v>
      </c>
      <c r="X10" s="3">
        <v>5489</v>
      </c>
      <c r="Y10" s="4">
        <v>198106</v>
      </c>
    </row>
    <row r="11" spans="1:25">
      <c r="A11" s="1">
        <v>45359</v>
      </c>
      <c r="B11" s="2">
        <v>45359</v>
      </c>
      <c r="C11" s="3">
        <v>1562</v>
      </c>
      <c r="D11" s="4">
        <v>616</v>
      </c>
      <c r="E11" s="6">
        <v>420</v>
      </c>
      <c r="F11" s="4">
        <v>1036</v>
      </c>
      <c r="G11" s="4">
        <v>463</v>
      </c>
      <c r="H11" s="6">
        <v>380</v>
      </c>
      <c r="I11" s="4">
        <v>843</v>
      </c>
      <c r="J11" s="4">
        <v>1107</v>
      </c>
      <c r="K11" s="6">
        <v>530</v>
      </c>
      <c r="L11" s="4">
        <v>1637</v>
      </c>
      <c r="M11" s="4">
        <v>324331</v>
      </c>
      <c r="N11" s="4">
        <v>4</v>
      </c>
      <c r="O11" s="4">
        <v>13</v>
      </c>
      <c r="P11" s="3">
        <v>327601</v>
      </c>
      <c r="Q11" s="3"/>
      <c r="R11" s="4"/>
      <c r="S11" s="4">
        <v>13801</v>
      </c>
      <c r="T11" s="4">
        <v>23494</v>
      </c>
      <c r="U11" s="4">
        <v>52</v>
      </c>
      <c r="V11" s="4">
        <v>16</v>
      </c>
      <c r="W11" s="3">
        <v>7553</v>
      </c>
      <c r="X11" s="3">
        <v>12988</v>
      </c>
      <c r="Y11" s="4">
        <v>198063</v>
      </c>
    </row>
    <row r="12" spans="1:25">
      <c r="A12" s="1">
        <v>45360</v>
      </c>
      <c r="B12" s="2">
        <v>45360</v>
      </c>
      <c r="C12" s="3">
        <v>739</v>
      </c>
      <c r="D12" s="4">
        <v>355</v>
      </c>
      <c r="E12" s="6">
        <v>252</v>
      </c>
      <c r="F12" s="4">
        <v>607</v>
      </c>
      <c r="G12" s="4">
        <v>321</v>
      </c>
      <c r="H12" s="6">
        <v>209</v>
      </c>
      <c r="I12" s="4">
        <v>530</v>
      </c>
      <c r="J12" s="4">
        <v>423</v>
      </c>
      <c r="K12" s="6">
        <v>337</v>
      </c>
      <c r="L12" s="4">
        <v>760</v>
      </c>
      <c r="M12" s="4">
        <v>324331</v>
      </c>
      <c r="N12" s="4">
        <v>5</v>
      </c>
      <c r="O12" s="4">
        <v>10</v>
      </c>
      <c r="P12" s="3">
        <v>327601</v>
      </c>
      <c r="Q12" s="3"/>
      <c r="R12" s="4"/>
      <c r="S12" s="4">
        <v>13675</v>
      </c>
      <c r="T12" s="4">
        <v>23523</v>
      </c>
      <c r="U12" s="4">
        <v>49</v>
      </c>
      <c r="V12" s="4">
        <v>11</v>
      </c>
      <c r="W12" s="3">
        <v>8949</v>
      </c>
      <c r="X12" s="3">
        <v>19362</v>
      </c>
      <c r="Y12" s="4">
        <v>197986</v>
      </c>
    </row>
    <row r="13" spans="1:25">
      <c r="A13" s="7">
        <v>45361</v>
      </c>
      <c r="B13" s="2">
        <v>45361</v>
      </c>
      <c r="C13" s="3">
        <v>852</v>
      </c>
      <c r="D13" s="4">
        <v>358</v>
      </c>
      <c r="E13" s="6">
        <v>284</v>
      </c>
      <c r="F13" s="4">
        <v>642</v>
      </c>
      <c r="G13" s="4">
        <v>294</v>
      </c>
      <c r="H13" s="6">
        <v>199</v>
      </c>
      <c r="I13" s="4">
        <v>493</v>
      </c>
      <c r="J13" s="4">
        <v>397</v>
      </c>
      <c r="K13" s="6">
        <v>364</v>
      </c>
      <c r="L13" s="4">
        <v>761</v>
      </c>
      <c r="M13" s="4">
        <v>324331</v>
      </c>
      <c r="N13" s="4">
        <v>4</v>
      </c>
      <c r="O13" s="4">
        <v>12</v>
      </c>
      <c r="P13" s="3">
        <v>327601</v>
      </c>
      <c r="Q13" s="3"/>
      <c r="R13" s="4"/>
      <c r="S13" s="4">
        <v>17997</v>
      </c>
      <c r="T13" s="4">
        <v>23561</v>
      </c>
      <c r="U13" s="4">
        <v>31</v>
      </c>
      <c r="V13" s="4">
        <v>9</v>
      </c>
      <c r="W13" s="3">
        <v>9314</v>
      </c>
      <c r="X13" s="3">
        <v>19008</v>
      </c>
      <c r="Y13" s="4">
        <v>197947</v>
      </c>
    </row>
    <row r="14" spans="1:25">
      <c r="A14" s="7">
        <v>45362</v>
      </c>
      <c r="B14" s="2">
        <v>45362</v>
      </c>
      <c r="C14" s="3">
        <v>1938</v>
      </c>
      <c r="D14" s="4">
        <v>803</v>
      </c>
      <c r="E14" s="6">
        <v>379</v>
      </c>
      <c r="F14" s="4">
        <v>1182</v>
      </c>
      <c r="G14" s="4">
        <v>626</v>
      </c>
      <c r="H14" s="6">
        <v>347</v>
      </c>
      <c r="I14" s="4">
        <v>973</v>
      </c>
      <c r="J14" s="4">
        <v>1574</v>
      </c>
      <c r="K14" s="6">
        <v>472</v>
      </c>
      <c r="L14" s="4">
        <v>2046</v>
      </c>
      <c r="M14" s="4">
        <v>324310</v>
      </c>
      <c r="N14" s="4">
        <v>4</v>
      </c>
      <c r="O14" s="4">
        <v>14</v>
      </c>
      <c r="P14" s="3">
        <v>327580</v>
      </c>
      <c r="Q14" s="3"/>
      <c r="R14" s="4"/>
      <c r="S14" s="4">
        <v>14001</v>
      </c>
      <c r="T14" s="4">
        <v>23585</v>
      </c>
      <c r="U14" s="4">
        <v>36</v>
      </c>
      <c r="V14" s="4">
        <v>11</v>
      </c>
      <c r="W14" s="3">
        <v>10734</v>
      </c>
      <c r="X14" s="3">
        <v>19931</v>
      </c>
      <c r="Y14" s="4">
        <v>197868</v>
      </c>
    </row>
    <row r="15" spans="1:25">
      <c r="A15" s="7">
        <v>45363</v>
      </c>
      <c r="B15" s="2">
        <v>45363</v>
      </c>
      <c r="C15" s="3">
        <v>1975</v>
      </c>
      <c r="D15" s="4">
        <v>837</v>
      </c>
      <c r="E15" s="6">
        <v>394</v>
      </c>
      <c r="F15" s="4">
        <v>1231</v>
      </c>
      <c r="G15" s="4">
        <v>655</v>
      </c>
      <c r="H15" s="6">
        <v>366</v>
      </c>
      <c r="I15" s="4">
        <v>1021</v>
      </c>
      <c r="J15" s="4">
        <v>1553</v>
      </c>
      <c r="K15" s="6">
        <v>508</v>
      </c>
      <c r="L15" s="4">
        <v>2061</v>
      </c>
      <c r="M15" s="4">
        <v>324292</v>
      </c>
      <c r="N15" s="4">
        <v>3</v>
      </c>
      <c r="O15" s="4">
        <v>14</v>
      </c>
      <c r="P15" s="3">
        <v>327565</v>
      </c>
      <c r="Q15" s="3"/>
      <c r="R15" s="4"/>
      <c r="S15" s="4">
        <v>13678</v>
      </c>
      <c r="T15" s="4">
        <v>23611</v>
      </c>
      <c r="U15" s="4">
        <v>36</v>
      </c>
      <c r="V15" s="4">
        <v>13</v>
      </c>
      <c r="W15" s="3">
        <v>11182</v>
      </c>
      <c r="X15" s="3">
        <v>20357</v>
      </c>
      <c r="Y15" s="4">
        <v>197818</v>
      </c>
    </row>
    <row r="16" spans="1:25">
      <c r="A16" s="7">
        <v>45364</v>
      </c>
      <c r="B16" s="2">
        <v>45364</v>
      </c>
      <c r="C16" s="3">
        <v>1896</v>
      </c>
      <c r="D16" s="4">
        <v>795</v>
      </c>
      <c r="E16" s="6">
        <v>403</v>
      </c>
      <c r="F16" s="4">
        <v>1198</v>
      </c>
      <c r="G16" s="4">
        <v>612</v>
      </c>
      <c r="H16" s="6">
        <v>375</v>
      </c>
      <c r="I16" s="4">
        <v>987</v>
      </c>
      <c r="J16" s="4">
        <v>1480</v>
      </c>
      <c r="K16" s="6">
        <v>517</v>
      </c>
      <c r="L16" s="4">
        <v>1997</v>
      </c>
      <c r="M16" s="4">
        <v>324270</v>
      </c>
      <c r="N16" s="4">
        <v>3</v>
      </c>
      <c r="O16" s="4">
        <v>15</v>
      </c>
      <c r="P16" s="3">
        <v>327544</v>
      </c>
      <c r="Q16" s="3"/>
      <c r="R16" s="4"/>
      <c r="S16" s="4">
        <v>11214</v>
      </c>
      <c r="T16" s="4">
        <v>23634</v>
      </c>
      <c r="U16" s="4">
        <v>23</v>
      </c>
      <c r="V16" s="4">
        <v>15</v>
      </c>
      <c r="W16" s="3">
        <v>9956</v>
      </c>
      <c r="X16" s="3">
        <v>16929</v>
      </c>
      <c r="Y16" s="4">
        <v>197769</v>
      </c>
    </row>
    <row r="17" spans="1:25">
      <c r="A17" s="7">
        <v>45365</v>
      </c>
      <c r="B17" s="2">
        <v>45365</v>
      </c>
      <c r="C17" s="3">
        <v>1986</v>
      </c>
      <c r="D17" s="4">
        <v>760</v>
      </c>
      <c r="E17" s="6">
        <v>383</v>
      </c>
      <c r="F17" s="4">
        <v>1143</v>
      </c>
      <c r="G17" s="4">
        <v>507</v>
      </c>
      <c r="H17" s="6">
        <v>302</v>
      </c>
      <c r="I17" s="4">
        <v>809</v>
      </c>
      <c r="J17" s="4">
        <v>1287</v>
      </c>
      <c r="K17" s="6">
        <v>424</v>
      </c>
      <c r="L17" s="4">
        <v>1711</v>
      </c>
      <c r="M17" s="8">
        <v>324250</v>
      </c>
      <c r="N17" s="8">
        <v>1</v>
      </c>
      <c r="O17" s="8">
        <v>11</v>
      </c>
      <c r="P17" s="3">
        <v>327527</v>
      </c>
      <c r="Q17" s="3"/>
      <c r="R17" s="4"/>
      <c r="S17" s="4">
        <v>7810</v>
      </c>
      <c r="T17" s="4">
        <v>23630</v>
      </c>
      <c r="U17" s="4">
        <v>6</v>
      </c>
      <c r="V17" s="4">
        <v>12</v>
      </c>
      <c r="W17" s="3">
        <v>5966</v>
      </c>
      <c r="X17" s="3">
        <v>8779</v>
      </c>
      <c r="Y17" s="4">
        <v>197722</v>
      </c>
    </row>
    <row r="18" spans="1:25">
      <c r="A18" s="1">
        <v>45366</v>
      </c>
      <c r="B18" s="2">
        <v>45366</v>
      </c>
      <c r="C18" s="3">
        <v>1430</v>
      </c>
      <c r="D18" s="4">
        <v>647</v>
      </c>
      <c r="E18" s="6">
        <v>321</v>
      </c>
      <c r="F18" s="4">
        <v>968</v>
      </c>
      <c r="G18" s="4">
        <v>489</v>
      </c>
      <c r="H18" s="6">
        <v>298</v>
      </c>
      <c r="I18" s="4">
        <v>787</v>
      </c>
      <c r="J18" s="4">
        <v>1082</v>
      </c>
      <c r="K18" s="6">
        <v>436</v>
      </c>
      <c r="L18" s="4">
        <v>1518</v>
      </c>
      <c r="M18" s="8">
        <v>324283</v>
      </c>
      <c r="N18" s="8">
        <v>2</v>
      </c>
      <c r="O18" s="8">
        <v>15</v>
      </c>
      <c r="P18" s="3">
        <v>327468</v>
      </c>
      <c r="Q18" s="3"/>
      <c r="R18" s="4"/>
      <c r="S18" s="4">
        <v>3006</v>
      </c>
      <c r="T18" s="4">
        <v>23620</v>
      </c>
      <c r="U18" s="4">
        <v>10</v>
      </c>
      <c r="V18" s="4">
        <v>16</v>
      </c>
      <c r="W18" s="3">
        <v>1872</v>
      </c>
      <c r="X18" s="3">
        <v>2335</v>
      </c>
      <c r="Y18" s="4">
        <v>197654</v>
      </c>
    </row>
    <row r="19" spans="1:25">
      <c r="A19" s="1">
        <v>45367</v>
      </c>
      <c r="B19" s="2">
        <v>45367</v>
      </c>
      <c r="C19" s="3">
        <v>802</v>
      </c>
      <c r="D19" s="4">
        <v>319</v>
      </c>
      <c r="E19" s="6">
        <v>244</v>
      </c>
      <c r="F19" s="4">
        <v>563</v>
      </c>
      <c r="G19" s="4">
        <v>292</v>
      </c>
      <c r="H19" s="6">
        <v>204</v>
      </c>
      <c r="I19" s="4">
        <v>496</v>
      </c>
      <c r="J19" s="4">
        <v>428</v>
      </c>
      <c r="K19" s="6">
        <v>335</v>
      </c>
      <c r="L19" s="4">
        <v>763</v>
      </c>
      <c r="M19" s="8">
        <v>324283</v>
      </c>
      <c r="N19" s="8">
        <v>1</v>
      </c>
      <c r="O19" s="8">
        <v>16</v>
      </c>
      <c r="P19" s="3">
        <v>327468</v>
      </c>
      <c r="Q19" s="3"/>
      <c r="R19" s="4"/>
      <c r="S19" s="4">
        <v>3014</v>
      </c>
      <c r="T19" s="4">
        <v>23614</v>
      </c>
      <c r="U19" s="4">
        <v>7</v>
      </c>
      <c r="V19" s="4">
        <v>13</v>
      </c>
      <c r="W19" s="3">
        <v>5634</v>
      </c>
      <c r="X19" s="3">
        <v>9448</v>
      </c>
      <c r="Y19" s="4">
        <v>197593</v>
      </c>
    </row>
    <row r="20" spans="1:25">
      <c r="A20" s="9">
        <v>45368</v>
      </c>
      <c r="B20" s="2">
        <v>45368</v>
      </c>
      <c r="C20" s="10">
        <v>964</v>
      </c>
      <c r="D20" s="11">
        <v>322</v>
      </c>
      <c r="E20" s="12">
        <v>353</v>
      </c>
      <c r="F20" s="11">
        <v>675</v>
      </c>
      <c r="G20" s="11">
        <v>310</v>
      </c>
      <c r="H20" s="12">
        <v>284</v>
      </c>
      <c r="I20" s="11">
        <v>594</v>
      </c>
      <c r="J20" s="11">
        <v>390</v>
      </c>
      <c r="K20" s="12">
        <v>574</v>
      </c>
      <c r="L20" s="11">
        <v>964</v>
      </c>
      <c r="M20" s="13">
        <v>324283</v>
      </c>
      <c r="N20" s="13">
        <v>1</v>
      </c>
      <c r="O20" s="13">
        <v>11</v>
      </c>
      <c r="P20" s="10">
        <v>327468</v>
      </c>
      <c r="Q20" s="10"/>
      <c r="R20" s="11"/>
      <c r="S20" s="11">
        <v>2997</v>
      </c>
      <c r="T20" s="11">
        <v>23621</v>
      </c>
      <c r="U20" s="11">
        <v>24</v>
      </c>
      <c r="V20" s="11">
        <v>17</v>
      </c>
      <c r="W20" s="10">
        <v>5877</v>
      </c>
      <c r="X20" s="10">
        <v>9968</v>
      </c>
      <c r="Y20" s="11">
        <v>197526</v>
      </c>
    </row>
    <row r="21" spans="1:25">
      <c r="A21" s="7">
        <v>45369</v>
      </c>
      <c r="B21" s="2">
        <v>45369</v>
      </c>
      <c r="C21" s="3">
        <v>1928</v>
      </c>
      <c r="D21" s="4">
        <v>828</v>
      </c>
      <c r="E21" s="6">
        <v>362</v>
      </c>
      <c r="F21" s="4">
        <v>1190</v>
      </c>
      <c r="G21" s="4">
        <v>536</v>
      </c>
      <c r="H21" s="6">
        <v>278</v>
      </c>
      <c r="I21" s="4">
        <v>814</v>
      </c>
      <c r="J21" s="4">
        <v>1207</v>
      </c>
      <c r="K21" s="6">
        <v>421</v>
      </c>
      <c r="L21" s="4">
        <v>1628</v>
      </c>
      <c r="M21" s="8">
        <v>324150</v>
      </c>
      <c r="N21" s="8">
        <v>7</v>
      </c>
      <c r="O21" s="8">
        <v>22</v>
      </c>
      <c r="P21" s="3">
        <v>327434</v>
      </c>
      <c r="Q21" s="3"/>
      <c r="R21" s="4"/>
      <c r="S21" s="4">
        <v>7930</v>
      </c>
      <c r="T21" s="4">
        <v>23621</v>
      </c>
      <c r="U21" s="4">
        <v>27</v>
      </c>
      <c r="V21" s="4">
        <v>15</v>
      </c>
      <c r="W21" s="3">
        <v>6724</v>
      </c>
      <c r="X21" s="3">
        <v>11042</v>
      </c>
      <c r="Y21" s="4">
        <v>197467</v>
      </c>
    </row>
    <row r="22" spans="1:25">
      <c r="A22" s="9">
        <v>45370</v>
      </c>
      <c r="B22" s="14">
        <v>45370</v>
      </c>
      <c r="C22" s="10">
        <v>2028</v>
      </c>
      <c r="D22" s="11">
        <v>752</v>
      </c>
      <c r="E22" s="12">
        <v>411</v>
      </c>
      <c r="F22" s="11">
        <v>1163</v>
      </c>
      <c r="G22" s="11">
        <v>490</v>
      </c>
      <c r="H22" s="12">
        <v>314</v>
      </c>
      <c r="I22" s="11">
        <v>804</v>
      </c>
      <c r="J22" s="11">
        <v>1264</v>
      </c>
      <c r="K22" s="12">
        <v>497</v>
      </c>
      <c r="L22" s="11">
        <v>1629</v>
      </c>
      <c r="M22" s="13">
        <v>324134</v>
      </c>
      <c r="N22" s="13">
        <v>6</v>
      </c>
      <c r="O22" s="13">
        <v>14</v>
      </c>
      <c r="P22" s="10">
        <v>327417</v>
      </c>
      <c r="Q22" s="10"/>
      <c r="R22" s="11"/>
      <c r="S22" s="11">
        <v>12127</v>
      </c>
      <c r="T22" s="11">
        <v>23679</v>
      </c>
      <c r="U22" s="11">
        <v>103</v>
      </c>
      <c r="V22" s="11">
        <v>9</v>
      </c>
      <c r="W22" s="10">
        <v>7411</v>
      </c>
      <c r="X22" s="10">
        <v>12353</v>
      </c>
      <c r="Y22" s="11">
        <v>197408</v>
      </c>
    </row>
    <row r="23" spans="1:25">
      <c r="A23" s="9">
        <v>45371</v>
      </c>
      <c r="B23" s="14">
        <v>45371</v>
      </c>
      <c r="C23" s="10">
        <v>1917</v>
      </c>
      <c r="D23" s="11">
        <v>751</v>
      </c>
      <c r="E23" s="12">
        <v>401</v>
      </c>
      <c r="F23" s="11">
        <v>1152</v>
      </c>
      <c r="G23" s="11">
        <v>526</v>
      </c>
      <c r="H23" s="12">
        <v>352</v>
      </c>
      <c r="I23" s="11">
        <v>878</v>
      </c>
      <c r="J23" s="11">
        <v>1257</v>
      </c>
      <c r="K23" s="12">
        <v>487</v>
      </c>
      <c r="L23" s="11">
        <v>1744</v>
      </c>
      <c r="M23" s="13">
        <v>324118</v>
      </c>
      <c r="N23" s="13">
        <v>5</v>
      </c>
      <c r="O23" s="13">
        <v>6</v>
      </c>
      <c r="P23" s="10">
        <v>327406</v>
      </c>
      <c r="Q23" s="10"/>
      <c r="R23" s="11"/>
      <c r="S23" s="11">
        <v>11317</v>
      </c>
      <c r="T23" s="11">
        <v>23754</v>
      </c>
      <c r="U23" s="11">
        <v>76</v>
      </c>
      <c r="V23" s="11">
        <v>15</v>
      </c>
      <c r="W23" s="10">
        <v>6821</v>
      </c>
      <c r="X23" s="10">
        <v>10806</v>
      </c>
      <c r="Y23" s="11">
        <v>197365</v>
      </c>
    </row>
    <row r="24" spans="1:25">
      <c r="A24" s="9">
        <v>45372</v>
      </c>
      <c r="B24" s="14">
        <v>45372</v>
      </c>
      <c r="C24" s="10">
        <v>1867</v>
      </c>
      <c r="D24" s="11">
        <v>734</v>
      </c>
      <c r="E24" s="12">
        <v>349</v>
      </c>
      <c r="F24" s="11">
        <v>1083</v>
      </c>
      <c r="G24" s="11">
        <v>488</v>
      </c>
      <c r="H24" s="12">
        <v>291</v>
      </c>
      <c r="I24" s="11">
        <v>779</v>
      </c>
      <c r="J24" s="11">
        <v>119</v>
      </c>
      <c r="K24" s="12">
        <v>421</v>
      </c>
      <c r="L24" s="11">
        <v>1611</v>
      </c>
      <c r="M24" s="11">
        <v>324106</v>
      </c>
      <c r="N24" s="11">
        <v>11</v>
      </c>
      <c r="O24" s="11">
        <v>15</v>
      </c>
      <c r="P24" s="12">
        <v>327389</v>
      </c>
      <c r="Q24" s="11"/>
      <c r="R24" s="11"/>
      <c r="S24" s="12">
        <v>8858</v>
      </c>
      <c r="T24" s="11">
        <v>23818</v>
      </c>
      <c r="U24" s="13">
        <v>0</v>
      </c>
      <c r="V24" s="13">
        <v>0</v>
      </c>
      <c r="W24" s="13">
        <v>6736</v>
      </c>
      <c r="X24" s="10">
        <v>10048</v>
      </c>
      <c r="Y24" s="10">
        <v>197323</v>
      </c>
    </row>
    <row r="25" spans="1:25">
      <c r="A25" s="15">
        <v>45373</v>
      </c>
      <c r="B25" s="14">
        <v>45373</v>
      </c>
      <c r="C25" s="10">
        <v>1683</v>
      </c>
      <c r="D25" s="11">
        <v>649</v>
      </c>
      <c r="E25" s="12">
        <v>345</v>
      </c>
      <c r="F25" s="11">
        <v>994</v>
      </c>
      <c r="G25" s="11">
        <v>507</v>
      </c>
      <c r="H25" s="12">
        <v>319</v>
      </c>
      <c r="I25" s="11">
        <v>826</v>
      </c>
      <c r="J25" s="11">
        <v>1227</v>
      </c>
      <c r="K25" s="12">
        <v>431</v>
      </c>
      <c r="L25" s="11">
        <v>1658</v>
      </c>
      <c r="M25" s="11">
        <v>324062</v>
      </c>
      <c r="N25" s="11">
        <v>1</v>
      </c>
      <c r="O25" s="11">
        <v>10</v>
      </c>
      <c r="P25" s="12">
        <v>327346</v>
      </c>
      <c r="Q25" s="11"/>
      <c r="R25" s="11"/>
      <c r="S25" s="12">
        <v>9507</v>
      </c>
      <c r="T25" s="11">
        <v>23871</v>
      </c>
      <c r="U25" s="13">
        <v>58</v>
      </c>
      <c r="V25" s="13">
        <v>13</v>
      </c>
      <c r="W25" s="13">
        <v>8782</v>
      </c>
      <c r="X25" s="10">
        <v>16331</v>
      </c>
      <c r="Y25" s="10">
        <v>197275</v>
      </c>
    </row>
    <row r="26" spans="1:25">
      <c r="A26" s="15">
        <v>45374</v>
      </c>
      <c r="B26" s="14">
        <v>45374</v>
      </c>
      <c r="C26" s="10">
        <v>884</v>
      </c>
      <c r="D26" s="11">
        <v>331</v>
      </c>
      <c r="E26" s="12">
        <v>277</v>
      </c>
      <c r="F26" s="11">
        <v>608</v>
      </c>
      <c r="G26" s="11">
        <v>311</v>
      </c>
      <c r="H26" s="12">
        <v>241</v>
      </c>
      <c r="I26" s="11">
        <v>552</v>
      </c>
      <c r="J26" s="11">
        <v>492</v>
      </c>
      <c r="K26" s="12">
        <v>447</v>
      </c>
      <c r="L26" s="11">
        <v>939</v>
      </c>
      <c r="M26" s="11">
        <v>324062</v>
      </c>
      <c r="N26" s="11">
        <v>2</v>
      </c>
      <c r="O26" s="11">
        <v>11</v>
      </c>
      <c r="P26" s="12">
        <v>327346</v>
      </c>
      <c r="Q26" s="11"/>
      <c r="R26" s="11"/>
      <c r="S26" s="12">
        <v>7130</v>
      </c>
      <c r="T26" s="11">
        <v>23913</v>
      </c>
      <c r="U26" s="13">
        <v>77</v>
      </c>
      <c r="V26" s="13">
        <v>20</v>
      </c>
      <c r="W26" s="13">
        <v>8723</v>
      </c>
      <c r="X26" s="10">
        <v>20794</v>
      </c>
      <c r="Y26" s="10">
        <v>197205</v>
      </c>
    </row>
    <row r="27" spans="1:25">
      <c r="A27" s="9">
        <v>45375</v>
      </c>
      <c r="B27" s="14">
        <v>45375</v>
      </c>
      <c r="C27" s="10">
        <v>990</v>
      </c>
      <c r="D27" s="11">
        <v>332</v>
      </c>
      <c r="E27" s="12">
        <v>350</v>
      </c>
      <c r="F27" s="11">
        <v>682</v>
      </c>
      <c r="G27" s="11">
        <v>308</v>
      </c>
      <c r="H27" s="12">
        <v>300</v>
      </c>
      <c r="I27" s="11">
        <v>608</v>
      </c>
      <c r="J27" s="11">
        <v>447</v>
      </c>
      <c r="K27" s="12">
        <v>526</v>
      </c>
      <c r="L27" s="11">
        <v>973</v>
      </c>
      <c r="M27" s="11">
        <v>324062</v>
      </c>
      <c r="N27" s="11">
        <v>8</v>
      </c>
      <c r="O27" s="11">
        <v>18</v>
      </c>
      <c r="P27" s="12">
        <v>327346</v>
      </c>
      <c r="Q27" s="11"/>
      <c r="R27" s="11"/>
      <c r="S27" s="12">
        <v>7540</v>
      </c>
      <c r="T27" s="11">
        <v>23978</v>
      </c>
      <c r="U27" s="13">
        <v>97</v>
      </c>
      <c r="V27" s="13">
        <v>21</v>
      </c>
      <c r="W27" s="13">
        <v>8830</v>
      </c>
      <c r="X27" s="10">
        <v>19373</v>
      </c>
      <c r="Y27" s="10">
        <v>197171</v>
      </c>
    </row>
    <row r="28" spans="1:25">
      <c r="A28" s="9">
        <v>45376</v>
      </c>
      <c r="B28" s="14">
        <v>45376</v>
      </c>
      <c r="C28" s="10">
        <v>2042</v>
      </c>
      <c r="D28" s="11">
        <v>765</v>
      </c>
      <c r="E28" s="12">
        <v>371</v>
      </c>
      <c r="F28" s="11">
        <v>1136</v>
      </c>
      <c r="G28" s="11">
        <v>531</v>
      </c>
      <c r="H28" s="12">
        <v>304</v>
      </c>
      <c r="I28" s="11">
        <v>835</v>
      </c>
      <c r="J28" s="11">
        <v>1247</v>
      </c>
      <c r="K28" s="12">
        <v>470</v>
      </c>
      <c r="L28" s="11">
        <v>1717</v>
      </c>
      <c r="M28" s="11">
        <v>324038</v>
      </c>
      <c r="N28" s="11">
        <v>10</v>
      </c>
      <c r="O28" s="11">
        <v>20</v>
      </c>
      <c r="P28" s="12">
        <v>327330</v>
      </c>
      <c r="Q28" s="11"/>
      <c r="R28" s="11"/>
      <c r="S28" s="12">
        <v>9223</v>
      </c>
      <c r="T28" s="11">
        <v>24043</v>
      </c>
      <c r="U28" s="13">
        <v>103</v>
      </c>
      <c r="V28" s="13">
        <v>16</v>
      </c>
      <c r="W28" s="13">
        <v>10219</v>
      </c>
      <c r="X28" s="10">
        <v>19417</v>
      </c>
      <c r="Y28" s="10">
        <v>197088</v>
      </c>
    </row>
    <row r="29" spans="1:25">
      <c r="A29" s="9">
        <v>45377</v>
      </c>
      <c r="B29" s="14">
        <v>45377</v>
      </c>
      <c r="C29" s="10">
        <v>1994</v>
      </c>
      <c r="D29" s="11">
        <v>807</v>
      </c>
      <c r="E29" s="12">
        <v>392</v>
      </c>
      <c r="F29" s="11">
        <v>1199</v>
      </c>
      <c r="G29" s="11">
        <v>632</v>
      </c>
      <c r="H29" s="12">
        <v>367</v>
      </c>
      <c r="I29" s="11">
        <v>999</v>
      </c>
      <c r="J29" s="11">
        <v>1488</v>
      </c>
      <c r="K29" s="12">
        <v>531</v>
      </c>
      <c r="L29" s="11">
        <v>2019</v>
      </c>
      <c r="M29" s="11">
        <v>324017</v>
      </c>
      <c r="N29" s="11">
        <v>4</v>
      </c>
      <c r="O29" s="11">
        <v>21</v>
      </c>
      <c r="P29" s="12">
        <v>327311</v>
      </c>
      <c r="Q29" s="11"/>
      <c r="R29" s="11"/>
      <c r="S29" s="12">
        <v>19137</v>
      </c>
      <c r="T29" s="11">
        <v>24179</v>
      </c>
      <c r="U29" s="13">
        <v>98</v>
      </c>
      <c r="V29" s="13">
        <v>12</v>
      </c>
      <c r="W29" s="13">
        <v>23011</v>
      </c>
      <c r="X29" s="10">
        <v>31830</v>
      </c>
      <c r="Y29" s="10">
        <v>197055</v>
      </c>
    </row>
    <row r="30" spans="1:25">
      <c r="A30" s="9">
        <v>45378</v>
      </c>
      <c r="B30" s="14">
        <v>45378</v>
      </c>
      <c r="C30" s="10">
        <v>2141</v>
      </c>
      <c r="D30" s="11">
        <v>778</v>
      </c>
      <c r="E30" s="12">
        <v>496</v>
      </c>
      <c r="F30" s="11">
        <v>1274</v>
      </c>
      <c r="G30" s="11">
        <v>586</v>
      </c>
      <c r="H30" s="12">
        <v>455</v>
      </c>
      <c r="I30" s="11">
        <v>1041</v>
      </c>
      <c r="J30" s="11">
        <v>1481</v>
      </c>
      <c r="K30" s="12">
        <v>677</v>
      </c>
      <c r="L30" s="11">
        <v>2158</v>
      </c>
      <c r="M30" s="11">
        <v>324002</v>
      </c>
      <c r="N30" s="11">
        <v>8</v>
      </c>
      <c r="O30" s="11">
        <v>12</v>
      </c>
      <c r="P30" s="12">
        <v>327294</v>
      </c>
      <c r="Q30" s="11"/>
      <c r="R30" s="11"/>
      <c r="S30" s="12">
        <v>28037</v>
      </c>
      <c r="T30" s="11">
        <v>24200</v>
      </c>
      <c r="U30" s="13">
        <v>39</v>
      </c>
      <c r="V30" s="13">
        <v>13</v>
      </c>
      <c r="W30" s="13">
        <v>36004</v>
      </c>
      <c r="X30" s="10">
        <v>46046</v>
      </c>
      <c r="Y30" s="10">
        <v>197008</v>
      </c>
    </row>
    <row r="31" spans="1:25">
      <c r="A31" s="16">
        <v>45379</v>
      </c>
      <c r="B31" s="17">
        <v>45379</v>
      </c>
      <c r="C31" s="18">
        <v>2032</v>
      </c>
      <c r="D31" s="18">
        <v>721</v>
      </c>
      <c r="E31" s="19">
        <v>448</v>
      </c>
      <c r="F31" s="20">
        <v>1169</v>
      </c>
      <c r="G31" s="19">
        <v>554</v>
      </c>
      <c r="H31" s="20">
        <v>413</v>
      </c>
      <c r="I31" s="19">
        <v>967</v>
      </c>
      <c r="J31" s="19">
        <v>1392</v>
      </c>
      <c r="K31" s="20">
        <v>667</v>
      </c>
      <c r="L31" s="19">
        <v>2059</v>
      </c>
      <c r="M31" s="19">
        <v>323976</v>
      </c>
      <c r="N31" s="24">
        <v>2</v>
      </c>
      <c r="O31" s="24">
        <v>18</v>
      </c>
      <c r="P31" s="21">
        <v>327270</v>
      </c>
      <c r="Q31" s="22"/>
      <c r="R31" s="22"/>
      <c r="S31" s="23">
        <v>27233</v>
      </c>
      <c r="T31" s="22">
        <v>24208</v>
      </c>
      <c r="U31" s="24">
        <v>4</v>
      </c>
      <c r="V31" s="24">
        <v>17</v>
      </c>
      <c r="W31" s="24">
        <v>33459</v>
      </c>
      <c r="X31" s="25">
        <v>39188</v>
      </c>
      <c r="Y31" s="25">
        <v>196965</v>
      </c>
    </row>
    <row r="32" spans="1:25">
      <c r="A32" s="26">
        <v>45380</v>
      </c>
      <c r="B32" s="17">
        <v>45380</v>
      </c>
      <c r="C32" s="18">
        <v>1647</v>
      </c>
      <c r="D32" s="19">
        <v>655</v>
      </c>
      <c r="E32" s="20">
        <v>428</v>
      </c>
      <c r="F32" s="19">
        <v>1083</v>
      </c>
      <c r="G32" s="19">
        <v>516</v>
      </c>
      <c r="H32" s="20">
        <v>400</v>
      </c>
      <c r="I32" s="19">
        <v>916</v>
      </c>
      <c r="J32" s="19">
        <v>1092</v>
      </c>
      <c r="K32" s="20">
        <v>561</v>
      </c>
      <c r="L32" s="19">
        <v>1653</v>
      </c>
      <c r="M32" s="19">
        <v>323919</v>
      </c>
      <c r="N32" s="24">
        <v>0</v>
      </c>
      <c r="O32" s="24">
        <v>19</v>
      </c>
      <c r="P32" s="21">
        <v>327219</v>
      </c>
      <c r="Q32" s="22"/>
      <c r="R32" s="22"/>
      <c r="S32" s="27">
        <v>23364</v>
      </c>
      <c r="T32" s="22">
        <v>24194</v>
      </c>
      <c r="U32" s="24">
        <v>5</v>
      </c>
      <c r="V32" s="24">
        <v>14</v>
      </c>
      <c r="W32" s="24">
        <v>29906</v>
      </c>
      <c r="X32" s="25">
        <v>31835</v>
      </c>
      <c r="Y32" s="25">
        <v>196913</v>
      </c>
    </row>
    <row r="33" spans="1:25">
      <c r="A33" s="26">
        <v>45381</v>
      </c>
      <c r="B33" s="17">
        <v>45381</v>
      </c>
      <c r="C33" s="18">
        <v>908</v>
      </c>
      <c r="D33" s="19">
        <v>365</v>
      </c>
      <c r="E33" s="20">
        <v>269</v>
      </c>
      <c r="F33" s="19">
        <v>634</v>
      </c>
      <c r="G33" s="19">
        <v>338</v>
      </c>
      <c r="H33" s="20">
        <v>231</v>
      </c>
      <c r="I33" s="19">
        <v>569</v>
      </c>
      <c r="J33" s="19">
        <v>471</v>
      </c>
      <c r="K33" s="20">
        <v>460</v>
      </c>
      <c r="L33" s="19">
        <v>931</v>
      </c>
      <c r="M33" s="19">
        <v>323919</v>
      </c>
      <c r="N33" s="24">
        <v>0</v>
      </c>
      <c r="O33" s="24">
        <v>17</v>
      </c>
      <c r="P33" s="21">
        <v>327219</v>
      </c>
      <c r="Q33" s="22"/>
      <c r="R33" s="19"/>
      <c r="S33" s="27">
        <v>24635</v>
      </c>
      <c r="T33" s="19">
        <v>24173</v>
      </c>
      <c r="U33" s="19">
        <v>3</v>
      </c>
      <c r="V33" s="19">
        <v>27</v>
      </c>
      <c r="W33" s="19">
        <v>31290</v>
      </c>
      <c r="X33" s="18">
        <v>33924</v>
      </c>
      <c r="Y33" s="18">
        <v>196865</v>
      </c>
    </row>
    <row r="34" spans="1:25">
      <c r="A34" s="30">
        <v>45382</v>
      </c>
      <c r="B34" s="31">
        <v>45382</v>
      </c>
      <c r="C34" s="32">
        <v>970</v>
      </c>
      <c r="D34" s="33">
        <v>379</v>
      </c>
      <c r="E34" s="34">
        <v>367</v>
      </c>
      <c r="F34" s="33">
        <v>746</v>
      </c>
      <c r="G34" s="33">
        <v>355</v>
      </c>
      <c r="H34" s="34">
        <v>319</v>
      </c>
      <c r="I34" s="33">
        <v>674</v>
      </c>
      <c r="J34" s="33">
        <v>510</v>
      </c>
      <c r="K34" s="34">
        <v>487</v>
      </c>
      <c r="L34" s="33">
        <v>997</v>
      </c>
      <c r="M34" s="108">
        <v>323919</v>
      </c>
      <c r="N34" s="110">
        <v>1</v>
      </c>
      <c r="O34" s="110">
        <v>10</v>
      </c>
      <c r="P34" s="35">
        <v>327219</v>
      </c>
      <c r="Q34" s="36"/>
      <c r="R34" s="33"/>
      <c r="S34" s="37">
        <v>26775</v>
      </c>
      <c r="T34" s="108">
        <v>24159</v>
      </c>
      <c r="U34" s="108">
        <v>3</v>
      </c>
      <c r="V34" s="108">
        <v>11</v>
      </c>
      <c r="W34" s="33">
        <v>33663</v>
      </c>
      <c r="X34" s="32">
        <v>35268</v>
      </c>
      <c r="Y34" s="109">
        <v>196824</v>
      </c>
    </row>
    <row r="36" spans="1:25">
      <c r="M36" s="45"/>
      <c r="N36" s="45"/>
      <c r="O36" s="45"/>
      <c r="P36" s="45"/>
      <c r="Q36" s="45"/>
    </row>
  </sheetData>
  <mergeCells count="10">
    <mergeCell ref="A1:B1"/>
    <mergeCell ref="C1:L1"/>
    <mergeCell ref="M1:S1"/>
    <mergeCell ref="T1:X1"/>
    <mergeCell ref="A2:B2"/>
    <mergeCell ref="D2:F2"/>
    <mergeCell ref="G2:I2"/>
    <mergeCell ref="J2:L2"/>
    <mergeCell ref="M2:S2"/>
    <mergeCell ref="T2:X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79998168889431442"/>
  </sheetPr>
  <dimension ref="A1:U71"/>
  <sheetViews>
    <sheetView workbookViewId="0">
      <selection activeCell="E21" sqref="E21"/>
    </sheetView>
  </sheetViews>
  <sheetFormatPr defaultColWidth="8.75" defaultRowHeight="16.5"/>
  <cols>
    <col min="1" max="1" width="10.875" style="63" bestFit="1" customWidth="1"/>
    <col min="2" max="6" width="8.75" style="63"/>
    <col min="7" max="7" width="9.625" style="63" bestFit="1" customWidth="1"/>
    <col min="8" max="8" width="8.75" style="63" customWidth="1"/>
    <col min="9" max="11" width="8.75" style="63"/>
    <col min="12" max="12" width="54.75" style="63" customWidth="1"/>
    <col min="13" max="15" width="8.75" style="63"/>
    <col min="16" max="16" width="13.25" style="63" customWidth="1"/>
    <col min="17" max="16384" width="8.75" style="63"/>
  </cols>
  <sheetData>
    <row r="1" spans="1:21">
      <c r="A1" s="75" t="s">
        <v>11</v>
      </c>
      <c r="B1" s="75" t="s">
        <v>12</v>
      </c>
      <c r="C1" s="75" t="s">
        <v>13</v>
      </c>
      <c r="D1" s="75" t="s">
        <v>14</v>
      </c>
    </row>
    <row r="2" spans="1:21">
      <c r="A2" s="76">
        <v>44774</v>
      </c>
      <c r="B2" s="64">
        <v>302081</v>
      </c>
      <c r="C2" s="64">
        <v>200</v>
      </c>
      <c r="D2" s="64">
        <v>112109</v>
      </c>
      <c r="U2" s="119" t="s">
        <v>138</v>
      </c>
    </row>
    <row r="3" spans="1:21">
      <c r="A3" s="76">
        <v>44805</v>
      </c>
      <c r="B3" s="64">
        <v>302399</v>
      </c>
      <c r="C3" s="64">
        <v>277</v>
      </c>
      <c r="D3" s="64">
        <v>113029</v>
      </c>
      <c r="P3" s="170" t="s">
        <v>72</v>
      </c>
      <c r="Q3" s="171"/>
      <c r="R3" s="171"/>
      <c r="S3" s="171"/>
      <c r="U3" s="112"/>
    </row>
    <row r="4" spans="1:21">
      <c r="A4" s="76">
        <v>44835</v>
      </c>
      <c r="B4" s="64">
        <v>302055</v>
      </c>
      <c r="C4" s="64">
        <v>350</v>
      </c>
      <c r="D4" s="64">
        <v>111757</v>
      </c>
      <c r="G4" s="80" t="s">
        <v>11</v>
      </c>
      <c r="H4" s="80" t="s">
        <v>12</v>
      </c>
      <c r="I4" s="80" t="s">
        <v>13</v>
      </c>
      <c r="J4" s="80" t="s">
        <v>14</v>
      </c>
      <c r="L4" s="80" t="s">
        <v>15</v>
      </c>
      <c r="P4" s="75" t="s">
        <v>11</v>
      </c>
      <c r="Q4" s="75" t="s">
        <v>12</v>
      </c>
      <c r="R4" s="75" t="s">
        <v>13</v>
      </c>
      <c r="S4" s="75" t="s">
        <v>14</v>
      </c>
      <c r="U4" s="112"/>
    </row>
    <row r="5" spans="1:21">
      <c r="A5" s="76">
        <v>44866</v>
      </c>
      <c r="B5" s="64">
        <v>302185</v>
      </c>
      <c r="C5" s="64">
        <v>389</v>
      </c>
      <c r="D5" s="64">
        <v>110552</v>
      </c>
      <c r="G5" s="81">
        <f>일일data!$A$4</f>
        <v>45352</v>
      </c>
      <c r="H5" s="82">
        <f>VLOOKUP(EOMONTH(일일data!$A$4,0),일일data!$A:$Y,13,FALSE)</f>
        <v>323919</v>
      </c>
      <c r="I5" s="82">
        <f>VLOOKUP(EOMONTH(일일data!$A$4,0),일일data!$A:$Y,20,FALSE)</f>
        <v>24159</v>
      </c>
      <c r="J5" s="82">
        <f>VLOOKUP(EOMONTH(일일data!$A$4,0),일일data!$A:$Y,25,FALSE)</f>
        <v>196824</v>
      </c>
      <c r="L5" s="83" t="str">
        <f>IF(INDEX(A:A,COUNTA(A:A))=G5,"해당 장표 데이터 입력 완료. 아래 3개의 표를 PPT에 복붙하시오.","왼쪽의 G5:J5를 왼쪽 노란표 맨 아래에 값붙하세요")</f>
        <v>해당 장표 데이터 입력 완료. 아래 3개의 표를 PPT에 복붙하시오.</v>
      </c>
      <c r="O5" s="63">
        <v>11</v>
      </c>
      <c r="P5" s="77">
        <f t="shared" ref="P5:P16" si="0">INDEX(A:A,COUNTA(A:A)-$O5)</f>
        <v>45017</v>
      </c>
      <c r="Q5" s="78">
        <f t="shared" ref="Q5:Q16" si="1">INDEX(B:B,COUNTA(B:B)-$O5)</f>
        <v>303115</v>
      </c>
      <c r="R5" s="78">
        <f t="shared" ref="R5:R16" si="2">INDEX(C:C,COUNTA(C:C)-$O5)</f>
        <v>20996</v>
      </c>
      <c r="S5" s="78">
        <f t="shared" ref="S5:S16" si="3">INDEX(D:D,COUNTA(D:D)-$O5)</f>
        <v>105782</v>
      </c>
      <c r="U5" s="112"/>
    </row>
    <row r="6" spans="1:21">
      <c r="A6" s="76">
        <v>44896</v>
      </c>
      <c r="B6" s="64">
        <v>302872</v>
      </c>
      <c r="C6" s="64">
        <v>9097</v>
      </c>
      <c r="D6" s="64">
        <v>109424</v>
      </c>
      <c r="O6" s="63">
        <v>10</v>
      </c>
      <c r="P6" s="77">
        <f t="shared" si="0"/>
        <v>45047</v>
      </c>
      <c r="Q6" s="78">
        <f t="shared" si="1"/>
        <v>306251</v>
      </c>
      <c r="R6" s="78">
        <f t="shared" si="2"/>
        <v>26881</v>
      </c>
      <c r="S6" s="78">
        <f t="shared" si="3"/>
        <v>105135</v>
      </c>
      <c r="U6" s="112"/>
    </row>
    <row r="7" spans="1:21">
      <c r="A7" s="76">
        <v>44927</v>
      </c>
      <c r="B7" s="64">
        <v>303610</v>
      </c>
      <c r="C7" s="64">
        <v>17086</v>
      </c>
      <c r="D7" s="64">
        <v>108358</v>
      </c>
      <c r="O7" s="63">
        <v>9</v>
      </c>
      <c r="P7" s="77">
        <f t="shared" si="0"/>
        <v>45078</v>
      </c>
      <c r="Q7" s="78">
        <f t="shared" si="1"/>
        <v>330054</v>
      </c>
      <c r="R7" s="78">
        <f t="shared" si="2"/>
        <v>25330</v>
      </c>
      <c r="S7" s="78">
        <f t="shared" si="3"/>
        <v>104546</v>
      </c>
      <c r="U7" s="112"/>
    </row>
    <row r="8" spans="1:21">
      <c r="A8" s="76">
        <v>44958</v>
      </c>
      <c r="B8" s="64">
        <v>303181</v>
      </c>
      <c r="C8" s="64">
        <v>24153</v>
      </c>
      <c r="D8" s="64">
        <v>107456</v>
      </c>
      <c r="O8" s="63">
        <v>8</v>
      </c>
      <c r="P8" s="77">
        <f t="shared" si="0"/>
        <v>45108</v>
      </c>
      <c r="Q8" s="78">
        <f t="shared" si="1"/>
        <v>329242</v>
      </c>
      <c r="R8" s="78">
        <f t="shared" si="2"/>
        <v>24784</v>
      </c>
      <c r="S8" s="78">
        <f t="shared" si="3"/>
        <v>127484</v>
      </c>
      <c r="U8" s="112"/>
    </row>
    <row r="9" spans="1:21">
      <c r="A9" s="76">
        <v>44986</v>
      </c>
      <c r="B9" s="64">
        <v>302974</v>
      </c>
      <c r="C9" s="64">
        <v>22251</v>
      </c>
      <c r="D9" s="64">
        <v>106551</v>
      </c>
      <c r="O9" s="63">
        <v>7</v>
      </c>
      <c r="P9" s="77">
        <f t="shared" si="0"/>
        <v>45139</v>
      </c>
      <c r="Q9" s="78">
        <f t="shared" si="1"/>
        <v>328540</v>
      </c>
      <c r="R9" s="78">
        <f t="shared" si="2"/>
        <v>24120</v>
      </c>
      <c r="S9" s="78">
        <f t="shared" si="3"/>
        <v>170862</v>
      </c>
      <c r="U9" s="112"/>
    </row>
    <row r="10" spans="1:21">
      <c r="A10" s="76">
        <v>45017</v>
      </c>
      <c r="B10" s="64">
        <v>303115</v>
      </c>
      <c r="C10" s="64">
        <v>20996</v>
      </c>
      <c r="D10" s="64">
        <v>105782</v>
      </c>
      <c r="O10" s="63">
        <v>6</v>
      </c>
      <c r="P10" s="77" t="str">
        <f t="shared" si="0"/>
        <v>23년 09월</v>
      </c>
      <c r="Q10" s="78">
        <f t="shared" si="1"/>
        <v>327807</v>
      </c>
      <c r="R10" s="78">
        <f t="shared" si="2"/>
        <v>24351</v>
      </c>
      <c r="S10" s="78">
        <f t="shared" si="3"/>
        <v>209685</v>
      </c>
      <c r="U10" s="112"/>
    </row>
    <row r="11" spans="1:21">
      <c r="A11" s="76">
        <v>45047</v>
      </c>
      <c r="B11" s="64">
        <v>306251</v>
      </c>
      <c r="C11" s="64">
        <v>26881</v>
      </c>
      <c r="D11" s="64">
        <v>105135</v>
      </c>
      <c r="O11" s="63">
        <v>5</v>
      </c>
      <c r="P11" s="77" t="str">
        <f t="shared" si="0"/>
        <v>23년 10월</v>
      </c>
      <c r="Q11" s="78">
        <f t="shared" si="1"/>
        <v>327316</v>
      </c>
      <c r="R11" s="78">
        <f t="shared" si="2"/>
        <v>24169</v>
      </c>
      <c r="S11" s="78">
        <f t="shared" si="3"/>
        <v>206054</v>
      </c>
      <c r="U11" s="112"/>
    </row>
    <row r="12" spans="1:21">
      <c r="A12" s="76">
        <v>45078</v>
      </c>
      <c r="B12" s="64">
        <v>330054</v>
      </c>
      <c r="C12" s="64">
        <v>25330</v>
      </c>
      <c r="D12" s="64">
        <v>104546</v>
      </c>
      <c r="O12" s="63">
        <v>4</v>
      </c>
      <c r="P12" s="77">
        <f t="shared" si="0"/>
        <v>45231</v>
      </c>
      <c r="Q12" s="78">
        <f t="shared" si="1"/>
        <v>326663</v>
      </c>
      <c r="R12" s="78">
        <f t="shared" si="2"/>
        <v>24349</v>
      </c>
      <c r="S12" s="78">
        <f t="shared" si="3"/>
        <v>204222</v>
      </c>
      <c r="U12" s="112"/>
    </row>
    <row r="13" spans="1:21">
      <c r="A13" s="76">
        <v>45108</v>
      </c>
      <c r="B13" s="64">
        <v>329242</v>
      </c>
      <c r="C13" s="64">
        <v>24784</v>
      </c>
      <c r="D13" s="64">
        <v>127484</v>
      </c>
      <c r="O13" s="63">
        <v>3</v>
      </c>
      <c r="P13" s="77">
        <f t="shared" si="0"/>
        <v>45261</v>
      </c>
      <c r="Q13" s="78">
        <f t="shared" si="1"/>
        <v>325870</v>
      </c>
      <c r="R13" s="78">
        <f t="shared" si="2"/>
        <v>24077</v>
      </c>
      <c r="S13" s="78">
        <f t="shared" si="3"/>
        <v>203190</v>
      </c>
      <c r="U13" s="112"/>
    </row>
    <row r="14" spans="1:21">
      <c r="A14" s="76">
        <v>45139</v>
      </c>
      <c r="B14" s="64">
        <v>328540</v>
      </c>
      <c r="C14" s="64">
        <v>24120</v>
      </c>
      <c r="D14" s="64">
        <v>170862</v>
      </c>
      <c r="O14" s="63">
        <v>2</v>
      </c>
      <c r="P14" s="77">
        <f t="shared" si="0"/>
        <v>45292</v>
      </c>
      <c r="Q14" s="78">
        <f t="shared" si="1"/>
        <v>325213</v>
      </c>
      <c r="R14" s="78">
        <f t="shared" si="2"/>
        <v>23803</v>
      </c>
      <c r="S14" s="78">
        <f t="shared" si="3"/>
        <v>200818</v>
      </c>
      <c r="U14" s="112"/>
    </row>
    <row r="15" spans="1:21">
      <c r="A15" s="76" t="s">
        <v>121</v>
      </c>
      <c r="B15" s="64">
        <v>327807</v>
      </c>
      <c r="C15" s="64">
        <v>24351</v>
      </c>
      <c r="D15" s="64">
        <v>209685</v>
      </c>
      <c r="O15" s="63">
        <v>1</v>
      </c>
      <c r="P15" s="77">
        <f t="shared" si="0"/>
        <v>45323</v>
      </c>
      <c r="Q15" s="78">
        <f t="shared" si="1"/>
        <v>324457</v>
      </c>
      <c r="R15" s="78">
        <f t="shared" si="2"/>
        <v>23534</v>
      </c>
      <c r="S15" s="78">
        <f t="shared" si="3"/>
        <v>198550</v>
      </c>
      <c r="U15" s="112"/>
    </row>
    <row r="16" spans="1:21">
      <c r="A16" s="76" t="s">
        <v>122</v>
      </c>
      <c r="B16" s="64">
        <v>327316</v>
      </c>
      <c r="C16" s="64">
        <v>24169</v>
      </c>
      <c r="D16" s="64">
        <v>206054</v>
      </c>
      <c r="P16" s="77">
        <f t="shared" si="0"/>
        <v>45352</v>
      </c>
      <c r="Q16" s="78">
        <f t="shared" si="1"/>
        <v>323919</v>
      </c>
      <c r="R16" s="78">
        <f t="shared" si="2"/>
        <v>24159</v>
      </c>
      <c r="S16" s="78">
        <f t="shared" si="3"/>
        <v>196824</v>
      </c>
      <c r="U16" s="112"/>
    </row>
    <row r="17" spans="1:21">
      <c r="A17" s="76">
        <v>45231</v>
      </c>
      <c r="B17" s="64">
        <v>326663</v>
      </c>
      <c r="C17" s="64">
        <v>24349</v>
      </c>
      <c r="D17" s="64">
        <v>204222</v>
      </c>
      <c r="U17" s="112"/>
    </row>
    <row r="18" spans="1:21">
      <c r="A18" s="76">
        <v>45261</v>
      </c>
      <c r="B18" s="64">
        <v>325870</v>
      </c>
      <c r="C18" s="64">
        <v>24077</v>
      </c>
      <c r="D18" s="64">
        <v>203190</v>
      </c>
      <c r="U18" s="112"/>
    </row>
    <row r="19" spans="1:21">
      <c r="A19" s="76">
        <v>45292</v>
      </c>
      <c r="B19" s="64">
        <v>325213</v>
      </c>
      <c r="C19" s="64">
        <v>23803</v>
      </c>
      <c r="D19" s="64">
        <v>200818</v>
      </c>
      <c r="U19" s="112"/>
    </row>
    <row r="20" spans="1:21">
      <c r="A20" s="76">
        <v>45323</v>
      </c>
      <c r="B20" s="64">
        <v>324457</v>
      </c>
      <c r="C20" s="64">
        <v>23534</v>
      </c>
      <c r="D20" s="64">
        <v>198550</v>
      </c>
      <c r="U20" s="112"/>
    </row>
    <row r="21" spans="1:21">
      <c r="A21" s="76">
        <v>45352</v>
      </c>
      <c r="B21" s="64">
        <v>323919</v>
      </c>
      <c r="C21" s="64">
        <v>24159</v>
      </c>
      <c r="D21" s="64">
        <v>196824</v>
      </c>
      <c r="E21" s="150"/>
      <c r="U21" s="112"/>
    </row>
    <row r="22" spans="1:21">
      <c r="A22" s="76"/>
      <c r="B22" s="64"/>
      <c r="C22" s="64"/>
      <c r="D22" s="64"/>
      <c r="U22" s="112"/>
    </row>
    <row r="23" spans="1:21">
      <c r="A23" s="76"/>
      <c r="B23" s="64"/>
      <c r="C23" s="64"/>
      <c r="D23" s="64"/>
      <c r="U23" s="112"/>
    </row>
    <row r="24" spans="1:21">
      <c r="A24" s="76"/>
      <c r="B24" s="64"/>
      <c r="C24" s="64"/>
      <c r="D24" s="64"/>
      <c r="U24" s="112"/>
    </row>
    <row r="25" spans="1:21">
      <c r="A25" s="76"/>
      <c r="B25" s="64"/>
      <c r="C25" s="64"/>
      <c r="D25" s="64"/>
      <c r="P25" s="150"/>
      <c r="U25" s="112"/>
    </row>
    <row r="26" spans="1:21">
      <c r="A26" s="76"/>
      <c r="B26" s="64"/>
      <c r="C26" s="64"/>
      <c r="D26" s="64"/>
      <c r="U26" s="112"/>
    </row>
    <row r="27" spans="1:21">
      <c r="A27" s="76"/>
      <c r="B27" s="64"/>
      <c r="C27" s="64"/>
      <c r="D27" s="64"/>
      <c r="U27" s="112"/>
    </row>
    <row r="28" spans="1:21">
      <c r="A28" s="76"/>
      <c r="B28" s="64"/>
      <c r="C28" s="64"/>
      <c r="D28" s="64"/>
      <c r="U28" s="112"/>
    </row>
    <row r="29" spans="1:21">
      <c r="A29" s="76"/>
      <c r="B29" s="64"/>
      <c r="C29" s="64"/>
      <c r="D29" s="64"/>
      <c r="U29" s="112"/>
    </row>
    <row r="30" spans="1:21">
      <c r="A30" s="76"/>
      <c r="B30" s="64"/>
      <c r="C30" s="64"/>
      <c r="D30" s="64"/>
      <c r="U30" s="112"/>
    </row>
    <row r="31" spans="1:21">
      <c r="A31" s="76"/>
      <c r="B31" s="64"/>
      <c r="C31" s="64"/>
      <c r="D31" s="64"/>
      <c r="U31" s="112"/>
    </row>
    <row r="32" spans="1:21">
      <c r="A32" s="76"/>
      <c r="B32" s="64"/>
      <c r="C32" s="64"/>
      <c r="D32" s="64"/>
      <c r="U32" s="112"/>
    </row>
    <row r="33" spans="1:21">
      <c r="A33" s="76"/>
      <c r="B33" s="64"/>
      <c r="C33" s="64"/>
      <c r="D33" s="64"/>
      <c r="U33" s="112"/>
    </row>
    <row r="34" spans="1:21">
      <c r="A34" s="76"/>
      <c r="B34" s="64"/>
      <c r="C34" s="64"/>
      <c r="D34" s="64"/>
      <c r="U34" s="112"/>
    </row>
    <row r="35" spans="1:21">
      <c r="A35" s="76"/>
      <c r="B35" s="64"/>
      <c r="C35" s="64"/>
      <c r="D35" s="64"/>
      <c r="U35" s="112"/>
    </row>
    <row r="36" spans="1:21">
      <c r="A36" s="76"/>
      <c r="B36" s="64"/>
      <c r="C36" s="64"/>
      <c r="D36" s="64"/>
      <c r="U36" s="112"/>
    </row>
    <row r="37" spans="1:21">
      <c r="A37" s="76"/>
      <c r="B37" s="64"/>
      <c r="C37" s="64"/>
      <c r="D37" s="64"/>
      <c r="U37" s="112"/>
    </row>
    <row r="38" spans="1:21">
      <c r="A38" s="76"/>
      <c r="B38" s="64"/>
      <c r="C38" s="64"/>
      <c r="D38" s="64"/>
      <c r="U38" s="112"/>
    </row>
    <row r="39" spans="1:21">
      <c r="A39" s="76"/>
      <c r="B39" s="64"/>
      <c r="C39" s="64"/>
      <c r="D39" s="64"/>
      <c r="U39" s="112"/>
    </row>
    <row r="40" spans="1:21">
      <c r="A40" s="76"/>
      <c r="B40" s="64"/>
      <c r="C40" s="64"/>
      <c r="D40" s="64"/>
      <c r="U40" s="112"/>
    </row>
    <row r="41" spans="1:21">
      <c r="A41" s="76"/>
      <c r="B41" s="64"/>
      <c r="C41" s="64"/>
      <c r="D41" s="64"/>
      <c r="U41" s="112"/>
    </row>
    <row r="42" spans="1:21">
      <c r="A42" s="76"/>
      <c r="B42" s="64"/>
      <c r="C42" s="64"/>
      <c r="D42" s="64"/>
      <c r="U42" s="112"/>
    </row>
    <row r="43" spans="1:21">
      <c r="A43" s="76"/>
      <c r="B43" s="64"/>
      <c r="C43" s="64"/>
      <c r="D43" s="64"/>
      <c r="U43" s="112"/>
    </row>
    <row r="44" spans="1:21">
      <c r="A44" s="76"/>
      <c r="B44" s="64"/>
      <c r="C44" s="64"/>
      <c r="D44" s="64"/>
      <c r="U44" s="112"/>
    </row>
    <row r="45" spans="1:21">
      <c r="A45" s="76"/>
      <c r="B45" s="64"/>
      <c r="C45" s="64"/>
      <c r="D45" s="64"/>
      <c r="U45" s="112"/>
    </row>
    <row r="46" spans="1:21">
      <c r="A46" s="76"/>
      <c r="B46" s="64"/>
      <c r="C46" s="64"/>
      <c r="D46" s="64"/>
      <c r="U46" s="112"/>
    </row>
    <row r="47" spans="1:21">
      <c r="A47" s="76"/>
      <c r="B47" s="64"/>
      <c r="C47" s="64"/>
      <c r="D47" s="64"/>
      <c r="U47" s="112"/>
    </row>
    <row r="48" spans="1:21">
      <c r="A48" s="76"/>
      <c r="B48" s="64"/>
      <c r="C48" s="64"/>
      <c r="D48" s="64"/>
      <c r="U48" s="112"/>
    </row>
    <row r="49" spans="1:21">
      <c r="A49" s="76"/>
      <c r="B49" s="64"/>
      <c r="C49" s="64"/>
      <c r="D49" s="64"/>
      <c r="U49" s="112"/>
    </row>
    <row r="50" spans="1:21">
      <c r="A50" s="76"/>
      <c r="B50" s="64"/>
      <c r="C50" s="64"/>
      <c r="D50" s="64"/>
      <c r="U50" s="112"/>
    </row>
    <row r="51" spans="1:21">
      <c r="A51" s="76"/>
      <c r="B51" s="64"/>
      <c r="C51" s="64"/>
      <c r="D51" s="64"/>
    </row>
    <row r="52" spans="1:21">
      <c r="A52" s="76"/>
      <c r="B52" s="64"/>
      <c r="C52" s="64"/>
      <c r="D52" s="64"/>
    </row>
    <row r="53" spans="1:21">
      <c r="A53" s="76"/>
      <c r="B53" s="64"/>
      <c r="C53" s="64"/>
      <c r="D53" s="64"/>
    </row>
    <row r="54" spans="1:21">
      <c r="A54" s="76"/>
      <c r="B54" s="64"/>
      <c r="C54" s="64"/>
      <c r="D54" s="64"/>
    </row>
    <row r="55" spans="1:21">
      <c r="A55" s="76"/>
      <c r="B55" s="64"/>
      <c r="C55" s="64"/>
      <c r="D55" s="64"/>
    </row>
    <row r="56" spans="1:21">
      <c r="A56" s="76"/>
      <c r="B56" s="64"/>
      <c r="C56" s="64"/>
      <c r="D56" s="64"/>
    </row>
    <row r="57" spans="1:21">
      <c r="A57" s="76"/>
      <c r="B57" s="64"/>
      <c r="C57" s="64"/>
      <c r="D57" s="64"/>
    </row>
    <row r="58" spans="1:21">
      <c r="A58" s="76"/>
      <c r="B58" s="64"/>
      <c r="C58" s="64"/>
      <c r="D58" s="64"/>
    </row>
    <row r="59" spans="1:21">
      <c r="A59" s="76"/>
      <c r="B59" s="64"/>
      <c r="C59" s="64"/>
      <c r="D59" s="64"/>
    </row>
    <row r="60" spans="1:21">
      <c r="A60" s="76"/>
      <c r="B60" s="64"/>
      <c r="C60" s="64"/>
      <c r="D60" s="64"/>
    </row>
    <row r="64" spans="1:21">
      <c r="A64" s="79"/>
    </row>
    <row r="65" spans="1:1">
      <c r="A65" s="79"/>
    </row>
    <row r="66" spans="1:1">
      <c r="A66" s="79"/>
    </row>
    <row r="67" spans="1:1">
      <c r="A67" s="79"/>
    </row>
    <row r="68" spans="1:1">
      <c r="A68" s="79"/>
    </row>
    <row r="69" spans="1:1">
      <c r="A69" s="79"/>
    </row>
    <row r="70" spans="1:1">
      <c r="A70" s="79"/>
    </row>
    <row r="71" spans="1:1">
      <c r="A71" s="79"/>
    </row>
  </sheetData>
  <mergeCells count="1">
    <mergeCell ref="P3:S3"/>
  </mergeCells>
  <phoneticPr fontId="1" type="noConversion"/>
  <conditionalFormatting sqref="L5">
    <cfRule type="containsText" dxfId="3" priority="1" operator="containsText" text="값붙">
      <formula>NOT(ISERROR(SEARCH("값붙",L5)))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AX43"/>
  <sheetViews>
    <sheetView workbookViewId="0">
      <selection activeCell="I27" sqref="I27"/>
    </sheetView>
  </sheetViews>
  <sheetFormatPr defaultColWidth="8.75" defaultRowHeight="16.5"/>
  <cols>
    <col min="1" max="4" width="8.75" style="43"/>
    <col min="5" max="5" width="49.25" style="43" customWidth="1"/>
    <col min="6" max="46" width="8.75" style="43"/>
    <col min="47" max="48" width="10.875" bestFit="1" customWidth="1"/>
  </cols>
  <sheetData>
    <row r="1" spans="1:50">
      <c r="A1" s="50" t="s">
        <v>35</v>
      </c>
      <c r="B1" s="43" t="s">
        <v>36</v>
      </c>
      <c r="C1" s="43" t="s">
        <v>37</v>
      </c>
      <c r="E1" s="43" t="s">
        <v>38</v>
      </c>
      <c r="F1" s="43" t="s">
        <v>39</v>
      </c>
      <c r="G1" s="43" t="s">
        <v>40</v>
      </c>
      <c r="H1" s="43" t="s">
        <v>41</v>
      </c>
      <c r="I1" s="43" t="s">
        <v>42</v>
      </c>
      <c r="J1" s="43" t="s">
        <v>43</v>
      </c>
      <c r="K1" s="43" t="s">
        <v>44</v>
      </c>
      <c r="L1" s="43" t="s">
        <v>45</v>
      </c>
      <c r="M1" s="43" t="s">
        <v>46</v>
      </c>
      <c r="N1" s="43" t="s">
        <v>47</v>
      </c>
      <c r="O1" s="43" t="s">
        <v>48</v>
      </c>
      <c r="P1" s="43" t="s">
        <v>128</v>
      </c>
      <c r="Q1" s="43" t="s">
        <v>49</v>
      </c>
      <c r="R1" s="43" t="s">
        <v>53</v>
      </c>
      <c r="S1" s="43" t="s">
        <v>152</v>
      </c>
      <c r="T1" s="43" t="s">
        <v>216</v>
      </c>
      <c r="U1" s="43" t="s">
        <v>52</v>
      </c>
      <c r="V1" s="43" t="s">
        <v>51</v>
      </c>
      <c r="W1" s="43" t="s">
        <v>50</v>
      </c>
      <c r="X1" s="43" t="s">
        <v>19</v>
      </c>
      <c r="Y1" s="43" t="s">
        <v>20</v>
      </c>
      <c r="Z1" s="43" t="s">
        <v>55</v>
      </c>
      <c r="AA1" s="43" t="s">
        <v>54</v>
      </c>
      <c r="AB1" s="43" t="s">
        <v>148</v>
      </c>
      <c r="AC1" s="43" t="s">
        <v>149</v>
      </c>
      <c r="AD1" s="43" t="s">
        <v>56</v>
      </c>
      <c r="AE1" s="43" t="s">
        <v>153</v>
      </c>
      <c r="AF1" s="43" t="s">
        <v>147</v>
      </c>
      <c r="AG1" s="43" t="s">
        <v>150</v>
      </c>
      <c r="AH1" s="43" t="s">
        <v>154</v>
      </c>
      <c r="AI1" s="43" t="s">
        <v>130</v>
      </c>
      <c r="AJ1" s="43" t="s">
        <v>151</v>
      </c>
      <c r="AK1" s="43" t="s">
        <v>133</v>
      </c>
      <c r="AL1" s="43" t="s">
        <v>57</v>
      </c>
      <c r="AM1" s="43" t="s">
        <v>155</v>
      </c>
      <c r="AN1" s="43" t="s">
        <v>156</v>
      </c>
      <c r="AO1" s="43" t="s">
        <v>132</v>
      </c>
      <c r="AP1" s="43" t="s">
        <v>131</v>
      </c>
      <c r="AQ1" s="43" t="s">
        <v>132</v>
      </c>
      <c r="AR1" s="43" t="s">
        <v>133</v>
      </c>
      <c r="AS1" s="43" t="s">
        <v>57</v>
      </c>
    </row>
    <row r="2" spans="1:50" ht="17.45" customHeight="1">
      <c r="A2" s="43" t="s">
        <v>258</v>
      </c>
      <c r="E2" s="43" t="s">
        <v>217</v>
      </c>
      <c r="F2" s="43">
        <v>0</v>
      </c>
      <c r="G2" s="43" t="s">
        <v>177</v>
      </c>
      <c r="H2" s="43" t="s">
        <v>158</v>
      </c>
      <c r="I2" s="43" t="s">
        <v>218</v>
      </c>
      <c r="J2" s="43">
        <v>0</v>
      </c>
      <c r="K2" s="43">
        <v>0</v>
      </c>
      <c r="L2" s="43" t="s">
        <v>159</v>
      </c>
      <c r="Q2" s="43" t="s">
        <v>160</v>
      </c>
      <c r="R2" s="43">
        <v>15976</v>
      </c>
      <c r="S2" s="43">
        <v>11750</v>
      </c>
      <c r="T2" s="43">
        <v>4523</v>
      </c>
      <c r="U2" s="43">
        <v>0</v>
      </c>
      <c r="V2" s="43">
        <v>1210</v>
      </c>
      <c r="W2" s="43">
        <v>34</v>
      </c>
      <c r="X2" s="43">
        <v>1102</v>
      </c>
      <c r="Y2" s="43">
        <v>74</v>
      </c>
      <c r="Z2" s="43">
        <v>3</v>
      </c>
      <c r="AA2" s="43">
        <v>135</v>
      </c>
      <c r="AB2" s="43">
        <v>61</v>
      </c>
      <c r="AD2" s="43">
        <v>199</v>
      </c>
      <c r="AE2" s="43">
        <v>0</v>
      </c>
      <c r="AF2" s="43">
        <v>0</v>
      </c>
      <c r="AG2" s="43">
        <v>0</v>
      </c>
      <c r="AH2" s="43">
        <v>0</v>
      </c>
      <c r="AI2" s="43">
        <v>0</v>
      </c>
      <c r="AU2" s="38">
        <f>IF(G2="","",IFERROR(DATE(MID(G2,7,4),LEFT(G2,2),MID(G2,4,2)),G2))</f>
        <v>45351</v>
      </c>
      <c r="AV2">
        <f>IFERROR(RANK(AU2,AU:AU,1)+COUNTIF($AU$1:AU1,AU2),"")</f>
        <v>1</v>
      </c>
      <c r="AX2" s="118" t="s">
        <v>137</v>
      </c>
    </row>
    <row r="3" spans="1:50" ht="17.45" customHeight="1">
      <c r="A3" s="43" t="s">
        <v>258</v>
      </c>
      <c r="E3" s="43" t="s">
        <v>219</v>
      </c>
      <c r="F3" s="43">
        <v>0</v>
      </c>
      <c r="G3" s="43" t="s">
        <v>220</v>
      </c>
      <c r="H3" s="43" t="s">
        <v>158</v>
      </c>
      <c r="I3" s="43" t="s">
        <v>221</v>
      </c>
      <c r="J3" s="43">
        <v>0</v>
      </c>
      <c r="K3" s="43">
        <v>0</v>
      </c>
      <c r="L3" s="43" t="s">
        <v>159</v>
      </c>
      <c r="Q3" s="43" t="s">
        <v>160</v>
      </c>
      <c r="R3" s="43">
        <v>5406</v>
      </c>
      <c r="S3" s="43">
        <v>5038</v>
      </c>
      <c r="T3" s="43">
        <v>4645</v>
      </c>
      <c r="U3" s="43">
        <v>0</v>
      </c>
      <c r="V3" s="43">
        <v>154</v>
      </c>
      <c r="W3" s="43">
        <v>7</v>
      </c>
      <c r="X3" s="43">
        <v>133</v>
      </c>
      <c r="Y3" s="43">
        <v>14</v>
      </c>
      <c r="Z3" s="43">
        <v>3</v>
      </c>
      <c r="AA3" s="43">
        <v>32</v>
      </c>
      <c r="AB3" s="43">
        <v>51</v>
      </c>
      <c r="AD3" s="43">
        <v>86</v>
      </c>
      <c r="AE3" s="43">
        <v>0</v>
      </c>
      <c r="AF3" s="43">
        <v>0</v>
      </c>
      <c r="AG3" s="43">
        <v>0</v>
      </c>
      <c r="AH3" s="43">
        <v>0</v>
      </c>
      <c r="AI3" s="43">
        <v>0</v>
      </c>
      <c r="AU3" s="38">
        <f t="shared" ref="AU3:AU43" si="0">IF(G3="","",IFERROR(DATE(MID(G3,7,4),LEFT(G3,2),MID(G3,4,2)),G3))</f>
        <v>45354</v>
      </c>
      <c r="AV3">
        <f>IFERROR(RANK(AU3,AU:AU,1)+COUNTIF($AU$1:AU2,AU3),"")</f>
        <v>2</v>
      </c>
      <c r="AX3" s="118"/>
    </row>
    <row r="4" spans="1:50" ht="17.45" customHeight="1">
      <c r="A4" s="43" t="s">
        <v>258</v>
      </c>
      <c r="E4" s="43" t="s">
        <v>222</v>
      </c>
      <c r="F4" s="43">
        <v>0</v>
      </c>
      <c r="G4" s="43" t="s">
        <v>223</v>
      </c>
      <c r="H4" s="43" t="s">
        <v>158</v>
      </c>
      <c r="I4" s="43" t="s">
        <v>224</v>
      </c>
      <c r="J4" s="43">
        <v>0</v>
      </c>
      <c r="K4" s="43">
        <v>0</v>
      </c>
      <c r="L4" s="43" t="s">
        <v>167</v>
      </c>
      <c r="Q4" s="43" t="s">
        <v>160</v>
      </c>
      <c r="R4" s="43">
        <v>34889</v>
      </c>
      <c r="S4" s="43">
        <v>22652</v>
      </c>
      <c r="T4" s="43">
        <v>2525</v>
      </c>
      <c r="U4" s="43">
        <v>0</v>
      </c>
      <c r="V4" s="43">
        <v>166</v>
      </c>
      <c r="W4" s="43">
        <v>3</v>
      </c>
      <c r="X4" s="43">
        <v>149</v>
      </c>
      <c r="Y4" s="43">
        <v>14</v>
      </c>
      <c r="Z4" s="43">
        <v>327</v>
      </c>
      <c r="AA4" s="43">
        <v>367</v>
      </c>
      <c r="AD4" s="43">
        <v>694</v>
      </c>
      <c r="AE4" s="43">
        <v>0</v>
      </c>
      <c r="AF4" s="43">
        <v>0</v>
      </c>
      <c r="AG4" s="43">
        <v>0</v>
      </c>
      <c r="AH4" s="43">
        <v>0</v>
      </c>
      <c r="AI4" s="43">
        <v>0</v>
      </c>
      <c r="AU4" s="38">
        <f t="shared" si="0"/>
        <v>45355</v>
      </c>
      <c r="AV4">
        <f>IFERROR(RANK(AU4,AU:AU,1)+COUNTIF($AU$1:AU3,AU4),"")</f>
        <v>3</v>
      </c>
      <c r="AX4" s="118"/>
    </row>
    <row r="5" spans="1:50" ht="17.45" customHeight="1">
      <c r="A5" s="43" t="s">
        <v>258</v>
      </c>
      <c r="E5" s="43" t="s">
        <v>225</v>
      </c>
      <c r="F5" s="43">
        <v>0</v>
      </c>
      <c r="G5" s="43" t="s">
        <v>226</v>
      </c>
      <c r="H5" s="43" t="s">
        <v>158</v>
      </c>
      <c r="I5" s="43" t="s">
        <v>227</v>
      </c>
      <c r="J5" s="43">
        <v>0</v>
      </c>
      <c r="K5" s="43">
        <v>0</v>
      </c>
      <c r="L5" s="43" t="s">
        <v>159</v>
      </c>
      <c r="Q5" s="43" t="s">
        <v>160</v>
      </c>
      <c r="R5" s="43">
        <v>69295</v>
      </c>
      <c r="S5" s="43">
        <v>38719</v>
      </c>
      <c r="T5" s="43">
        <v>5375</v>
      </c>
      <c r="U5" s="43">
        <v>0</v>
      </c>
      <c r="V5" s="43">
        <v>656</v>
      </c>
      <c r="W5" s="43">
        <v>76</v>
      </c>
      <c r="X5" s="43">
        <v>550</v>
      </c>
      <c r="Y5" s="43">
        <v>30</v>
      </c>
      <c r="Z5" s="43">
        <v>3</v>
      </c>
      <c r="AA5" s="43">
        <v>542</v>
      </c>
      <c r="AB5" s="43">
        <v>1945</v>
      </c>
      <c r="AD5" s="43">
        <v>2490</v>
      </c>
      <c r="AE5" s="43">
        <v>0</v>
      </c>
      <c r="AF5" s="43">
        <v>0</v>
      </c>
      <c r="AG5" s="43">
        <v>0</v>
      </c>
      <c r="AH5" s="43">
        <v>0</v>
      </c>
      <c r="AI5" s="43">
        <v>0</v>
      </c>
      <c r="AJ5" s="43">
        <v>1</v>
      </c>
      <c r="AU5" s="38">
        <f t="shared" si="0"/>
        <v>45358</v>
      </c>
      <c r="AV5">
        <f>IFERROR(RANK(AU5,AU:AU,1)+COUNTIF($AU$1:AU4,AU5),"")</f>
        <v>4</v>
      </c>
      <c r="AX5" s="118"/>
    </row>
    <row r="6" spans="1:50" ht="17.45" customHeight="1">
      <c r="A6" s="43" t="s">
        <v>258</v>
      </c>
      <c r="E6" s="43" t="s">
        <v>228</v>
      </c>
      <c r="F6" s="43">
        <v>0</v>
      </c>
      <c r="G6" s="43" t="s">
        <v>229</v>
      </c>
      <c r="H6" s="43" t="s">
        <v>158</v>
      </c>
      <c r="I6" s="43" t="s">
        <v>230</v>
      </c>
      <c r="J6" s="43">
        <v>0</v>
      </c>
      <c r="K6" s="43">
        <v>0</v>
      </c>
      <c r="L6" s="43" t="s">
        <v>159</v>
      </c>
      <c r="Q6" s="43" t="s">
        <v>160</v>
      </c>
      <c r="R6" s="43">
        <v>8043</v>
      </c>
      <c r="S6" s="43">
        <v>7510</v>
      </c>
      <c r="T6" s="43">
        <v>7408</v>
      </c>
      <c r="U6" s="43">
        <v>0</v>
      </c>
      <c r="V6" s="43">
        <v>168</v>
      </c>
      <c r="W6" s="43">
        <v>9</v>
      </c>
      <c r="X6" s="43">
        <v>142</v>
      </c>
      <c r="Y6" s="43">
        <v>17</v>
      </c>
      <c r="Z6" s="43">
        <v>1</v>
      </c>
      <c r="AA6" s="43">
        <v>26</v>
      </c>
      <c r="AB6" s="43">
        <v>61</v>
      </c>
      <c r="AD6" s="43">
        <v>88</v>
      </c>
      <c r="AE6" s="43">
        <v>0</v>
      </c>
      <c r="AF6" s="43">
        <v>0</v>
      </c>
      <c r="AG6" s="43">
        <v>0</v>
      </c>
      <c r="AH6" s="43">
        <v>0</v>
      </c>
      <c r="AI6" s="43">
        <v>0</v>
      </c>
      <c r="AU6" s="38">
        <f t="shared" si="0"/>
        <v>45361</v>
      </c>
      <c r="AV6">
        <f>IFERROR(RANK(AU6,AU:AU,1)+COUNTIF($AU$1:AU5,AU6),"")</f>
        <v>5</v>
      </c>
      <c r="AX6" s="118"/>
    </row>
    <row r="7" spans="1:50" ht="17.45" customHeight="1">
      <c r="A7" s="43" t="s">
        <v>258</v>
      </c>
      <c r="E7" s="43" t="s">
        <v>231</v>
      </c>
      <c r="F7" s="43">
        <v>0</v>
      </c>
      <c r="G7" s="43" t="s">
        <v>232</v>
      </c>
      <c r="H7" s="43" t="s">
        <v>158</v>
      </c>
      <c r="I7" s="43" t="s">
        <v>233</v>
      </c>
      <c r="J7" s="43">
        <v>0</v>
      </c>
      <c r="K7" s="43">
        <v>0</v>
      </c>
      <c r="L7" s="43" t="s">
        <v>159</v>
      </c>
      <c r="Q7" s="43" t="s">
        <v>160</v>
      </c>
      <c r="R7" s="43">
        <v>30740</v>
      </c>
      <c r="S7" s="43">
        <v>19111</v>
      </c>
      <c r="T7" s="43">
        <v>3601</v>
      </c>
      <c r="U7" s="43">
        <v>0</v>
      </c>
      <c r="V7" s="43">
        <v>1185</v>
      </c>
      <c r="W7" s="43">
        <v>46</v>
      </c>
      <c r="X7" s="43">
        <v>1088</v>
      </c>
      <c r="Y7" s="43">
        <v>51</v>
      </c>
      <c r="Z7" s="43">
        <v>4</v>
      </c>
      <c r="AA7" s="43">
        <v>221</v>
      </c>
      <c r="AB7" s="43">
        <v>388</v>
      </c>
      <c r="AD7" s="43">
        <v>613</v>
      </c>
      <c r="AE7" s="43">
        <v>0</v>
      </c>
      <c r="AF7" s="43">
        <v>0</v>
      </c>
      <c r="AG7" s="43">
        <v>0</v>
      </c>
      <c r="AH7" s="43">
        <v>0</v>
      </c>
      <c r="AI7" s="43">
        <v>0</v>
      </c>
      <c r="AU7" s="38">
        <f t="shared" si="0"/>
        <v>45366</v>
      </c>
      <c r="AV7">
        <f>IFERROR(RANK(AU7,AU:AU,1)+COUNTIF($AU$1:AU6,AU7),"")</f>
        <v>6</v>
      </c>
      <c r="AX7" s="118"/>
    </row>
    <row r="8" spans="1:50" ht="17.45" customHeight="1">
      <c r="A8" s="43" t="s">
        <v>258</v>
      </c>
      <c r="E8" s="43" t="s">
        <v>234</v>
      </c>
      <c r="F8" s="43">
        <v>0</v>
      </c>
      <c r="G8" s="43" t="s">
        <v>235</v>
      </c>
      <c r="H8" s="43" t="s">
        <v>158</v>
      </c>
      <c r="I8" s="43" t="s">
        <v>236</v>
      </c>
      <c r="J8" s="43">
        <v>0</v>
      </c>
      <c r="K8" s="43">
        <v>0</v>
      </c>
      <c r="L8" s="43" t="s">
        <v>159</v>
      </c>
      <c r="Q8" s="43" t="s">
        <v>160</v>
      </c>
      <c r="R8" s="43">
        <v>4550</v>
      </c>
      <c r="S8" s="43">
        <v>4039</v>
      </c>
      <c r="T8" s="43">
        <v>3770</v>
      </c>
      <c r="U8" s="43">
        <v>0</v>
      </c>
      <c r="V8" s="43">
        <v>156</v>
      </c>
      <c r="W8" s="43">
        <v>4</v>
      </c>
      <c r="X8" s="43">
        <v>138</v>
      </c>
      <c r="Y8" s="43">
        <v>14</v>
      </c>
      <c r="AA8" s="43">
        <v>20</v>
      </c>
      <c r="AB8" s="43">
        <v>34</v>
      </c>
      <c r="AD8" s="43">
        <v>54</v>
      </c>
      <c r="AE8" s="43">
        <v>0</v>
      </c>
      <c r="AF8" s="43">
        <v>0</v>
      </c>
      <c r="AG8" s="43">
        <v>0</v>
      </c>
      <c r="AH8" s="43">
        <v>0</v>
      </c>
      <c r="AI8" s="43">
        <v>0</v>
      </c>
      <c r="AJ8" s="43">
        <v>2</v>
      </c>
      <c r="AU8" s="38">
        <f t="shared" si="0"/>
        <v>45368</v>
      </c>
      <c r="AV8">
        <f>IFERROR(RANK(AU8,AU:AU,1)+COUNTIF($AU$1:AU7,AU8),"")</f>
        <v>7</v>
      </c>
      <c r="AX8" s="118"/>
    </row>
    <row r="9" spans="1:50" ht="17.45" customHeight="1">
      <c r="A9" s="43" t="s">
        <v>258</v>
      </c>
      <c r="E9" s="43" t="s">
        <v>237</v>
      </c>
      <c r="F9" s="43">
        <v>18</v>
      </c>
      <c r="G9" s="43" t="s">
        <v>238</v>
      </c>
      <c r="H9" s="43" t="s">
        <v>158</v>
      </c>
      <c r="I9" s="43" t="s">
        <v>239</v>
      </c>
      <c r="J9" s="43">
        <v>0</v>
      </c>
      <c r="K9" s="43">
        <v>0</v>
      </c>
      <c r="L9" s="43" t="s">
        <v>163</v>
      </c>
      <c r="Q9" s="43" t="s">
        <v>160</v>
      </c>
      <c r="R9" s="43">
        <v>18075</v>
      </c>
      <c r="S9" s="43">
        <v>12114</v>
      </c>
      <c r="T9" s="43">
        <v>3566</v>
      </c>
      <c r="U9" s="43">
        <v>4377</v>
      </c>
      <c r="V9" s="43">
        <v>1178</v>
      </c>
      <c r="W9" s="43">
        <v>62</v>
      </c>
      <c r="X9" s="43">
        <v>570</v>
      </c>
      <c r="Y9" s="43">
        <v>546</v>
      </c>
      <c r="Z9" s="43">
        <v>55</v>
      </c>
      <c r="AA9" s="43">
        <v>188</v>
      </c>
      <c r="AC9" s="43">
        <v>11</v>
      </c>
      <c r="AD9" s="43">
        <v>254</v>
      </c>
      <c r="AE9" s="43">
        <v>0</v>
      </c>
      <c r="AF9" s="43">
        <v>0</v>
      </c>
      <c r="AG9" s="43">
        <v>0</v>
      </c>
      <c r="AH9" s="43">
        <v>0</v>
      </c>
      <c r="AI9" s="43">
        <v>3381</v>
      </c>
      <c r="AK9" s="43">
        <v>0</v>
      </c>
      <c r="AL9" s="43">
        <v>0</v>
      </c>
      <c r="AM9" s="43">
        <v>110176.18</v>
      </c>
      <c r="AN9" s="43">
        <v>6.38</v>
      </c>
      <c r="AO9" s="43">
        <v>0</v>
      </c>
      <c r="AU9" s="38">
        <f t="shared" si="0"/>
        <v>45369</v>
      </c>
      <c r="AV9">
        <f>IFERROR(RANK(AU9,AU:AU,1)+COUNTIF($AU$1:AU8,AU9),"")</f>
        <v>8</v>
      </c>
      <c r="AX9" s="118"/>
    </row>
    <row r="10" spans="1:50" ht="17.45" customHeight="1">
      <c r="A10" s="43" t="s">
        <v>258</v>
      </c>
      <c r="E10" s="43" t="s">
        <v>240</v>
      </c>
      <c r="F10" s="43">
        <v>0</v>
      </c>
      <c r="G10" s="43" t="s">
        <v>241</v>
      </c>
      <c r="H10" s="43" t="s">
        <v>158</v>
      </c>
      <c r="I10" s="43" t="s">
        <v>242</v>
      </c>
      <c r="J10" s="43">
        <v>0</v>
      </c>
      <c r="K10" s="43">
        <v>0</v>
      </c>
      <c r="L10" s="43" t="s">
        <v>159</v>
      </c>
      <c r="Q10" s="43" t="s">
        <v>160</v>
      </c>
      <c r="R10" s="43">
        <v>48057</v>
      </c>
      <c r="S10" s="43">
        <v>24829</v>
      </c>
      <c r="T10" s="43">
        <v>4551</v>
      </c>
      <c r="U10" s="43">
        <v>0</v>
      </c>
      <c r="V10" s="43">
        <v>1005</v>
      </c>
      <c r="W10" s="43">
        <v>36</v>
      </c>
      <c r="X10" s="43">
        <v>934</v>
      </c>
      <c r="Y10" s="43">
        <v>35</v>
      </c>
      <c r="Z10" s="43">
        <v>2</v>
      </c>
      <c r="AA10" s="43">
        <v>449</v>
      </c>
      <c r="AB10" s="43">
        <v>994</v>
      </c>
      <c r="AD10" s="43">
        <v>1445</v>
      </c>
      <c r="AE10" s="43">
        <v>0</v>
      </c>
      <c r="AF10" s="43">
        <v>0</v>
      </c>
      <c r="AG10" s="43">
        <v>0</v>
      </c>
      <c r="AH10" s="43">
        <v>0</v>
      </c>
      <c r="AI10" s="43">
        <v>0</v>
      </c>
      <c r="AU10" s="38">
        <f t="shared" si="0"/>
        <v>45372</v>
      </c>
      <c r="AV10">
        <f>IFERROR(RANK(AU10,AU:AU,1)+COUNTIF($AU$1:AU9,AU10),"")</f>
        <v>9</v>
      </c>
      <c r="AX10" s="118"/>
    </row>
    <row r="11" spans="1:50" ht="17.45" customHeight="1">
      <c r="A11" s="43" t="s">
        <v>258</v>
      </c>
      <c r="E11" s="43" t="s">
        <v>243</v>
      </c>
      <c r="F11" s="43">
        <v>0</v>
      </c>
      <c r="G11" s="43" t="s">
        <v>244</v>
      </c>
      <c r="H11" s="43" t="s">
        <v>158</v>
      </c>
      <c r="I11" s="43" t="s">
        <v>245</v>
      </c>
      <c r="J11" s="43">
        <v>0</v>
      </c>
      <c r="K11" s="43">
        <v>0</v>
      </c>
      <c r="L11" s="43" t="s">
        <v>159</v>
      </c>
      <c r="Q11" s="43" t="s">
        <v>160</v>
      </c>
      <c r="R11" s="43">
        <v>4191</v>
      </c>
      <c r="S11" s="43">
        <v>3893</v>
      </c>
      <c r="T11" s="43">
        <v>3783</v>
      </c>
      <c r="U11" s="43">
        <v>0</v>
      </c>
      <c r="V11" s="43">
        <v>132</v>
      </c>
      <c r="W11" s="43">
        <v>8</v>
      </c>
      <c r="X11" s="43">
        <v>112</v>
      </c>
      <c r="Y11" s="43">
        <v>12</v>
      </c>
      <c r="Z11" s="43">
        <v>1</v>
      </c>
      <c r="AA11" s="43">
        <v>30</v>
      </c>
      <c r="AB11" s="43">
        <v>42</v>
      </c>
      <c r="AD11" s="43">
        <v>73</v>
      </c>
      <c r="AE11" s="43">
        <v>0</v>
      </c>
      <c r="AF11" s="43">
        <v>0</v>
      </c>
      <c r="AG11" s="43">
        <v>0</v>
      </c>
      <c r="AH11" s="43">
        <v>0</v>
      </c>
      <c r="AI11" s="43">
        <v>0</v>
      </c>
      <c r="AU11" s="38">
        <f t="shared" si="0"/>
        <v>45375</v>
      </c>
      <c r="AV11">
        <f>IFERROR(RANK(AU11,AU:AU,1)+COUNTIF($AU$1:AU10,AU11),"")</f>
        <v>10</v>
      </c>
      <c r="AX11" s="118"/>
    </row>
    <row r="12" spans="1:50" ht="17.45" customHeight="1">
      <c r="A12" s="43" t="s">
        <v>258</v>
      </c>
      <c r="E12" s="43" t="s">
        <v>246</v>
      </c>
      <c r="F12" s="43">
        <v>131</v>
      </c>
      <c r="G12" s="43" t="s">
        <v>247</v>
      </c>
      <c r="H12" s="43" t="s">
        <v>158</v>
      </c>
      <c r="I12" s="43" t="s">
        <v>248</v>
      </c>
      <c r="J12" s="43">
        <v>0</v>
      </c>
      <c r="K12" s="43">
        <v>0</v>
      </c>
      <c r="L12" s="43" t="s">
        <v>163</v>
      </c>
      <c r="Q12" s="43" t="s">
        <v>160</v>
      </c>
      <c r="R12" s="43">
        <v>50006</v>
      </c>
      <c r="S12" s="43">
        <v>37704</v>
      </c>
      <c r="T12" s="43">
        <v>2099</v>
      </c>
      <c r="U12" s="43">
        <v>18123</v>
      </c>
      <c r="V12" s="43">
        <v>192</v>
      </c>
      <c r="W12" s="43">
        <v>8</v>
      </c>
      <c r="X12" s="43">
        <v>125</v>
      </c>
      <c r="Y12" s="43">
        <v>59</v>
      </c>
      <c r="Z12" s="43">
        <v>24</v>
      </c>
      <c r="AA12" s="43">
        <v>45</v>
      </c>
      <c r="AD12" s="43">
        <v>72</v>
      </c>
      <c r="AE12" s="43">
        <v>1029</v>
      </c>
      <c r="AF12" s="43">
        <v>0</v>
      </c>
      <c r="AG12" s="43">
        <v>0</v>
      </c>
      <c r="AH12" s="43">
        <v>987</v>
      </c>
      <c r="AI12" s="43">
        <v>15745</v>
      </c>
      <c r="AK12" s="43">
        <v>0</v>
      </c>
      <c r="AL12" s="43">
        <v>0</v>
      </c>
      <c r="AM12" s="43">
        <v>432182.72</v>
      </c>
      <c r="AN12" s="43">
        <v>8.6199999999999992</v>
      </c>
      <c r="AO12" s="43">
        <v>0</v>
      </c>
      <c r="AU12" s="38">
        <f t="shared" si="0"/>
        <v>45376</v>
      </c>
      <c r="AV12">
        <f>IFERROR(RANK(AU12,AU:AU,1)+COUNTIF($AU$1:AU11,AU12),"")</f>
        <v>11</v>
      </c>
      <c r="AX12" s="118"/>
    </row>
    <row r="13" spans="1:50" ht="17.45" customHeight="1">
      <c r="A13" s="43" t="s">
        <v>258</v>
      </c>
      <c r="E13" s="43" t="s">
        <v>249</v>
      </c>
      <c r="F13" s="43">
        <v>0</v>
      </c>
      <c r="G13" s="43" t="s">
        <v>250</v>
      </c>
      <c r="H13" s="43" t="s">
        <v>158</v>
      </c>
      <c r="I13" s="43" t="s">
        <v>251</v>
      </c>
      <c r="J13" s="43">
        <v>0</v>
      </c>
      <c r="K13" s="43">
        <v>0</v>
      </c>
      <c r="L13" s="43" t="s">
        <v>159</v>
      </c>
      <c r="Q13" s="43" t="s">
        <v>160</v>
      </c>
      <c r="R13" s="43">
        <v>68489</v>
      </c>
      <c r="S13" s="43">
        <v>44694</v>
      </c>
      <c r="T13" s="43">
        <v>4235</v>
      </c>
      <c r="U13" s="43">
        <v>0</v>
      </c>
      <c r="V13" s="43">
        <v>137</v>
      </c>
      <c r="W13" s="43">
        <v>4</v>
      </c>
      <c r="X13" s="43">
        <v>117</v>
      </c>
      <c r="Y13" s="43">
        <v>16</v>
      </c>
      <c r="Z13" s="43">
        <v>259</v>
      </c>
      <c r="AA13" s="43">
        <v>142</v>
      </c>
      <c r="AB13" s="43">
        <v>50</v>
      </c>
      <c r="AD13" s="43">
        <v>451</v>
      </c>
      <c r="AE13" s="43">
        <v>0</v>
      </c>
      <c r="AF13" s="43">
        <v>0</v>
      </c>
      <c r="AG13" s="43">
        <v>0</v>
      </c>
      <c r="AH13" s="43">
        <v>0</v>
      </c>
      <c r="AI13" s="43">
        <v>0</v>
      </c>
      <c r="AU13" s="38">
        <f t="shared" si="0"/>
        <v>45377</v>
      </c>
      <c r="AV13">
        <f>IFERROR(RANK(AU13,AU:AU,1)+COUNTIF($AU$1:AU12,AU13),"")</f>
        <v>12</v>
      </c>
      <c r="AX13" s="118"/>
    </row>
    <row r="14" spans="1:50" ht="17.45" customHeight="1">
      <c r="A14" s="43" t="s">
        <v>258</v>
      </c>
      <c r="E14" s="115" t="s">
        <v>252</v>
      </c>
      <c r="F14" s="43">
        <v>0</v>
      </c>
      <c r="G14" s="43" t="s">
        <v>253</v>
      </c>
      <c r="H14" s="43" t="s">
        <v>158</v>
      </c>
      <c r="I14" s="43" t="s">
        <v>254</v>
      </c>
      <c r="J14" s="43">
        <v>0</v>
      </c>
      <c r="K14" s="43">
        <v>0</v>
      </c>
      <c r="L14" s="43" t="s">
        <v>159</v>
      </c>
      <c r="Q14" s="43" t="s">
        <v>160</v>
      </c>
      <c r="R14" s="43">
        <v>3845</v>
      </c>
      <c r="S14" s="43">
        <v>3845</v>
      </c>
      <c r="T14" s="43">
        <v>3837</v>
      </c>
      <c r="U14" s="43">
        <v>0</v>
      </c>
      <c r="V14" s="43">
        <v>166</v>
      </c>
      <c r="W14" s="43">
        <v>13</v>
      </c>
      <c r="X14" s="43">
        <v>144</v>
      </c>
      <c r="Y14" s="43">
        <v>9</v>
      </c>
      <c r="AA14" s="43">
        <v>20</v>
      </c>
      <c r="AB14" s="43">
        <v>92</v>
      </c>
      <c r="AD14" s="43">
        <v>112</v>
      </c>
      <c r="AE14" s="43">
        <v>0</v>
      </c>
      <c r="AF14" s="43">
        <v>0</v>
      </c>
      <c r="AG14" s="43">
        <v>0</v>
      </c>
      <c r="AH14" s="43">
        <v>0</v>
      </c>
      <c r="AI14" s="43">
        <v>0</v>
      </c>
      <c r="AU14" s="38">
        <f t="shared" si="0"/>
        <v>45382</v>
      </c>
      <c r="AV14">
        <f>IFERROR(RANK(AU14,AU:AU,1)+COUNTIF($AU$1:AU13,AU14),"")</f>
        <v>13</v>
      </c>
      <c r="AX14" s="118"/>
    </row>
    <row r="15" spans="1:50" ht="17.45" customHeight="1">
      <c r="AU15" s="38" t="str">
        <f t="shared" si="0"/>
        <v/>
      </c>
      <c r="AV15" t="str">
        <f>IFERROR(RANK(AU15,AU:AU,1)+COUNTIF($AU$1:AU14,AU15),"")</f>
        <v/>
      </c>
      <c r="AX15" s="118"/>
    </row>
    <row r="16" spans="1:50" ht="17.45" customHeight="1">
      <c r="AU16" s="38" t="str">
        <f t="shared" si="0"/>
        <v/>
      </c>
      <c r="AV16" t="str">
        <f>IFERROR(RANK(AU16,AU:AU,1)+COUNTIF($AU$1:AU15,AU16),"")</f>
        <v/>
      </c>
      <c r="AX16" s="118"/>
    </row>
    <row r="17" spans="47:50" ht="17.45" customHeight="1">
      <c r="AU17" s="38" t="str">
        <f t="shared" si="0"/>
        <v/>
      </c>
      <c r="AV17" t="str">
        <f>IFERROR(RANK(AU17,AU:AU,1)+COUNTIF($AU$1:AU16,AU17),"")</f>
        <v/>
      </c>
      <c r="AX17" s="118"/>
    </row>
    <row r="18" spans="47:50" ht="17.45" customHeight="1">
      <c r="AU18" s="38" t="str">
        <f t="shared" si="0"/>
        <v/>
      </c>
      <c r="AV18" t="str">
        <f>IFERROR(RANK(AU18,AU:AU,1)+COUNTIF($AU$1:AU17,AU18),"")</f>
        <v/>
      </c>
      <c r="AX18" s="118"/>
    </row>
    <row r="19" spans="47:50" ht="17.45" customHeight="1">
      <c r="AU19" s="38" t="str">
        <f t="shared" si="0"/>
        <v/>
      </c>
      <c r="AV19" t="str">
        <f>IFERROR(RANK(AU19,AU:AU,1)+COUNTIF($AU$1:AU18,AU19),"")</f>
        <v/>
      </c>
      <c r="AX19" s="118"/>
    </row>
    <row r="20" spans="47:50" ht="17.45" customHeight="1">
      <c r="AU20" s="38" t="str">
        <f t="shared" si="0"/>
        <v/>
      </c>
      <c r="AV20" t="str">
        <f>IFERROR(RANK(AU20,AU:AU,1)+COUNTIF($AU$1:AU19,AU20),"")</f>
        <v/>
      </c>
      <c r="AX20" s="118"/>
    </row>
    <row r="21" spans="47:50" ht="17.45" customHeight="1">
      <c r="AU21" s="38" t="str">
        <f t="shared" si="0"/>
        <v/>
      </c>
      <c r="AV21" t="str">
        <f>IFERROR(RANK(AU21,AU:AU,1)+COUNTIF($AU$1:AU20,AU21),"")</f>
        <v/>
      </c>
      <c r="AX21" s="118"/>
    </row>
    <row r="22" spans="47:50" ht="17.45" customHeight="1">
      <c r="AU22" s="38" t="str">
        <f t="shared" si="0"/>
        <v/>
      </c>
      <c r="AV22" t="str">
        <f>IFERROR(RANK(AU22,AU:AU,1)+COUNTIF($AU$1:AU21,AU22),"")</f>
        <v/>
      </c>
      <c r="AX22" s="118"/>
    </row>
    <row r="23" spans="47:50" ht="17.45" customHeight="1">
      <c r="AU23" s="38" t="str">
        <f t="shared" si="0"/>
        <v/>
      </c>
      <c r="AV23" t="str">
        <f>IFERROR(RANK(AU23,AU:AU,1)+COUNTIF($AU$1:AU22,AU23),"")</f>
        <v/>
      </c>
      <c r="AX23" s="118"/>
    </row>
    <row r="24" spans="47:50" ht="17.45" customHeight="1">
      <c r="AU24" s="38" t="str">
        <f t="shared" si="0"/>
        <v/>
      </c>
      <c r="AV24" t="str">
        <f>IFERROR(RANK(AU24,AU:AU,1)+COUNTIF($AU$1:AU23,AU24),"")</f>
        <v/>
      </c>
      <c r="AX24" s="118"/>
    </row>
    <row r="25" spans="47:50" ht="17.45" customHeight="1">
      <c r="AU25" s="38" t="str">
        <f t="shared" si="0"/>
        <v/>
      </c>
      <c r="AV25" t="str">
        <f>IFERROR(RANK(AU25,AU:AU,1)+COUNTIF($AU$1:AU24,AU25),"")</f>
        <v/>
      </c>
      <c r="AX25" s="118"/>
    </row>
    <row r="26" spans="47:50" ht="17.45" customHeight="1">
      <c r="AU26" s="38" t="str">
        <f t="shared" si="0"/>
        <v/>
      </c>
      <c r="AV26" t="str">
        <f>IFERROR(RANK(AU26,AU:AU,1)+COUNTIF($AU$1:AU25,AU26),"")</f>
        <v/>
      </c>
      <c r="AX26" s="118"/>
    </row>
    <row r="27" spans="47:50" ht="17.45" customHeight="1">
      <c r="AU27" s="38" t="str">
        <f t="shared" si="0"/>
        <v/>
      </c>
      <c r="AV27" t="str">
        <f>IFERROR(RANK(AU27,AU:AU,1)+COUNTIF($AU$1:AU26,AU27),"")</f>
        <v/>
      </c>
      <c r="AX27" s="118"/>
    </row>
    <row r="28" spans="47:50" ht="17.45" customHeight="1">
      <c r="AU28" s="38" t="str">
        <f t="shared" si="0"/>
        <v/>
      </c>
      <c r="AV28" t="str">
        <f>IFERROR(RANK(AU28,AU:AU,1)+COUNTIF($AU$1:AU27,AU28),"")</f>
        <v/>
      </c>
      <c r="AX28" s="118"/>
    </row>
    <row r="29" spans="47:50" ht="17.45" customHeight="1">
      <c r="AU29" s="38" t="str">
        <f t="shared" si="0"/>
        <v/>
      </c>
      <c r="AV29" t="str">
        <f>IFERROR(RANK(AU29,AU:AU,1)+COUNTIF($AU$1:AU28,AU29),"")</f>
        <v/>
      </c>
      <c r="AX29" s="118"/>
    </row>
    <row r="30" spans="47:50" ht="17.45" customHeight="1">
      <c r="AU30" s="38" t="str">
        <f t="shared" si="0"/>
        <v/>
      </c>
      <c r="AV30" t="str">
        <f>IFERROR(RANK(AU30,AU:AU,1)+COUNTIF($AU$1:AU29,AU30),"")</f>
        <v/>
      </c>
      <c r="AX30" s="118"/>
    </row>
    <row r="31" spans="47:50" ht="17.45" customHeight="1">
      <c r="AU31" s="38" t="str">
        <f t="shared" si="0"/>
        <v/>
      </c>
      <c r="AV31" t="str">
        <f>IFERROR(RANK(AU31,AU:AU,1)+COUNTIF($AU$1:AU30,AU31),"")</f>
        <v/>
      </c>
      <c r="AX31" s="118"/>
    </row>
    <row r="32" spans="47:50" ht="17.45" customHeight="1">
      <c r="AU32" s="38" t="str">
        <f t="shared" si="0"/>
        <v/>
      </c>
      <c r="AV32" t="str">
        <f>IFERROR(RANK(AU32,AU:AU,1)+COUNTIF($AU$1:AU31,AU32),"")</f>
        <v/>
      </c>
      <c r="AX32" s="118"/>
    </row>
    <row r="33" spans="47:50" ht="17.45" customHeight="1">
      <c r="AU33" s="38" t="str">
        <f t="shared" si="0"/>
        <v/>
      </c>
      <c r="AV33" t="str">
        <f>IFERROR(RANK(AU33,AU:AU,1)+COUNTIF($AU$1:AU32,AU33),"")</f>
        <v/>
      </c>
      <c r="AX33" s="118"/>
    </row>
    <row r="34" spans="47:50" ht="17.45" customHeight="1">
      <c r="AU34" s="38" t="str">
        <f t="shared" si="0"/>
        <v/>
      </c>
      <c r="AV34" t="str">
        <f>IFERROR(RANK(AU34,AU:AU,1)+COUNTIF($AU$1:AU33,AU34),"")</f>
        <v/>
      </c>
      <c r="AX34" s="118"/>
    </row>
    <row r="35" spans="47:50" ht="17.45" customHeight="1">
      <c r="AU35" s="38" t="str">
        <f t="shared" si="0"/>
        <v/>
      </c>
      <c r="AV35" t="str">
        <f>IFERROR(RANK(AU35,AU:AU,1)+COUNTIF($AU$1:AU34,AU35),"")</f>
        <v/>
      </c>
      <c r="AX35" s="118"/>
    </row>
    <row r="36" spans="47:50" ht="17.45" customHeight="1">
      <c r="AU36" s="38" t="str">
        <f t="shared" si="0"/>
        <v/>
      </c>
      <c r="AV36" t="str">
        <f>IFERROR(RANK(AU36,AU:AU,1)+COUNTIF($AU$1:AU35,AU36),"")</f>
        <v/>
      </c>
      <c r="AX36" s="118"/>
    </row>
    <row r="37" spans="47:50" ht="17.45" customHeight="1">
      <c r="AU37" s="38" t="str">
        <f t="shared" si="0"/>
        <v/>
      </c>
      <c r="AV37" t="str">
        <f>IFERROR(RANK(AU37,AU:AU,1)+COUNTIF($AU$1:AU36,AU37),"")</f>
        <v/>
      </c>
      <c r="AX37" s="118"/>
    </row>
    <row r="38" spans="47:50" ht="17.45" customHeight="1">
      <c r="AU38" s="38" t="str">
        <f t="shared" si="0"/>
        <v/>
      </c>
      <c r="AV38" t="str">
        <f>IFERROR(RANK(AU38,AU:AU,1)+COUNTIF($AU$1:AU37,AU38),"")</f>
        <v/>
      </c>
      <c r="AX38" s="118"/>
    </row>
    <row r="39" spans="47:50" ht="17.45" customHeight="1">
      <c r="AU39" s="38" t="str">
        <f t="shared" si="0"/>
        <v/>
      </c>
      <c r="AV39" t="str">
        <f>IFERROR(RANK(AU39,AU:AU,1)+COUNTIF($AU$1:AU38,AU39),"")</f>
        <v/>
      </c>
      <c r="AX39" s="118"/>
    </row>
    <row r="40" spans="47:50" ht="17.45" customHeight="1">
      <c r="AU40" s="38" t="str">
        <f t="shared" si="0"/>
        <v/>
      </c>
      <c r="AV40" t="str">
        <f>IFERROR(RANK(AU40,AU:AU,1)+COUNTIF($AU$1:AU39,AU40),"")</f>
        <v/>
      </c>
      <c r="AX40" s="118"/>
    </row>
    <row r="41" spans="47:50" ht="17.45" customHeight="1">
      <c r="AU41" s="38" t="str">
        <f t="shared" si="0"/>
        <v/>
      </c>
      <c r="AV41" t="str">
        <f>IFERROR(RANK(AU41,AU:AU,1)+COUNTIF($AU$1:AU40,AU41),"")</f>
        <v/>
      </c>
      <c r="AX41" s="118"/>
    </row>
    <row r="42" spans="47:50" ht="17.45" customHeight="1">
      <c r="AU42" s="38" t="str">
        <f t="shared" si="0"/>
        <v/>
      </c>
      <c r="AV42" t="str">
        <f>IFERROR(RANK(AU42,AU:AU,1)+COUNTIF($AU$1:AU41,AU42),"")</f>
        <v/>
      </c>
      <c r="AX42" s="118"/>
    </row>
    <row r="43" spans="47:50" ht="17.45" customHeight="1">
      <c r="AU43" s="38" t="str">
        <f t="shared" si="0"/>
        <v/>
      </c>
      <c r="AV43" t="str">
        <f>IFERROR(RANK(AU43,AU:AU,1)+COUNTIF($AU$1:AU42,AU43),"")</f>
        <v/>
      </c>
      <c r="AX43" s="118"/>
    </row>
  </sheetData>
  <sheetProtection selectLockedCells="1"/>
  <phoneticPr fontId="1" type="noConversion"/>
  <conditionalFormatting sqref="E1:E1048576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986D-B4C8-440C-AC35-A342D17C491F}">
  <sheetPr codeName="Sheet17">
    <tabColor rgb="FFFFFF00"/>
  </sheetPr>
  <dimension ref="A1:F53"/>
  <sheetViews>
    <sheetView workbookViewId="0">
      <selection activeCell="C2" sqref="C2:C14"/>
    </sheetView>
  </sheetViews>
  <sheetFormatPr defaultRowHeight="16.5"/>
  <cols>
    <col min="2" max="2" width="82.875" style="48" customWidth="1"/>
    <col min="3" max="3" width="68.875" style="111" customWidth="1"/>
    <col min="6" max="6" width="8.625" style="113"/>
  </cols>
  <sheetData>
    <row r="1" spans="1:6">
      <c r="B1" s="113" t="s">
        <v>126</v>
      </c>
      <c r="C1" s="113" t="s">
        <v>125</v>
      </c>
      <c r="F1" s="118" t="s">
        <v>135</v>
      </c>
    </row>
    <row r="2" spans="1:6">
      <c r="A2">
        <v>1</v>
      </c>
      <c r="B2" s="48" t="str">
        <f>IFERROR(INDEX('FB 콘텐츠 data'!$A$1:$AL$25,MATCH($A2,'FB 콘텐츠 data'!$AV:$AV,0),MATCH(LEFT(B$1,2),'FB 콘텐츠 data'!$A$1:$AL$1,0)),"")</f>
        <v>삼일절</v>
      </c>
      <c r="C2" s="111" t="s">
        <v>217</v>
      </c>
      <c r="E2">
        <f>IF(AND(B2&lt;&gt;"",C2=""),1,0)</f>
        <v>0</v>
      </c>
    </row>
    <row r="3" spans="1:6">
      <c r="A3">
        <v>2</v>
      </c>
      <c r="B3" s="48" t="str">
        <f>IFERROR(INDEX('FB 콘텐츠 data'!$A$1:$AL$25,MATCH($A3,'FB 콘텐츠 data'!$AV:$AV,0),MATCH(LEFT(B$1,2),'FB 콘텐츠 data'!$A$1:$AL$1,0)),"")</f>
        <v>이노드림(게오르크 짐멜)</v>
      </c>
      <c r="C3" s="111" t="s">
        <v>219</v>
      </c>
      <c r="E3">
        <f t="shared" ref="E3:E53" si="0">IF(AND(B3&lt;&gt;"",C3=""),1,0)</f>
        <v>0</v>
      </c>
    </row>
    <row r="4" spans="1:6">
      <c r="A4">
        <v>3</v>
      </c>
      <c r="B4" s="48" t="str">
        <f>IFERROR(INDEX('FB 콘텐츠 data'!$A$1:$AL$25,MATCH($A4,'FB 콘텐츠 data'!$AV:$AV,0),MATCH(LEFT(B$1,2),'FB 콘텐츠 data'!$A$1:$AL$1,0)),"")</f>
        <v>SK온 인터배터리 어워즈 수상 *뉴스룸 미러링</v>
      </c>
      <c r="C4" s="111" t="s">
        <v>222</v>
      </c>
      <c r="E4">
        <f t="shared" si="0"/>
        <v>0</v>
      </c>
    </row>
    <row r="5" spans="1:6">
      <c r="A5">
        <v>4</v>
      </c>
      <c r="B5" s="48" t="str">
        <f>IFERROR(INDEX('FB 콘텐츠 data'!$A$1:$AL$25,MATCH($A5,'FB 콘텐츠 data'!$AV:$AV,0),MATCH(LEFT(B$1,2),'FB 콘텐츠 data'!$A$1:$AL$1,0)),"")</f>
        <v>슼슼 읽히는 2차전지 이야기</v>
      </c>
      <c r="C5" s="111" t="s">
        <v>225</v>
      </c>
      <c r="E5">
        <f t="shared" si="0"/>
        <v>0</v>
      </c>
    </row>
    <row r="6" spans="1:6">
      <c r="A6">
        <v>5</v>
      </c>
      <c r="B6" s="48" t="str">
        <f>IFERROR(INDEX('FB 콘텐츠 data'!$A$1:$AL$25,MATCH($A6,'FB 콘텐츠 data'!$AV:$AV,0),MATCH(LEFT(B$1,2),'FB 콘텐츠 data'!$A$1:$AL$1,0)),"")</f>
        <v>이노드림(르네 데카르트)</v>
      </c>
      <c r="C6" s="111" t="s">
        <v>228</v>
      </c>
      <c r="E6">
        <f t="shared" si="0"/>
        <v>0</v>
      </c>
    </row>
    <row r="7" spans="1:6">
      <c r="A7">
        <v>6</v>
      </c>
      <c r="B7" s="48" t="str">
        <f>IFERROR(INDEX('FB 콘텐츠 data'!$A$1:$AL$25,MATCH($A7,'FB 콘텐츠 data'!$AV:$AV,0),MATCH(LEFT(B$1,2),'FB 콘텐츠 data'!$A$1:$AL$1,0)),"")</f>
        <v>세계 재활용의 날</v>
      </c>
      <c r="C7" s="111" t="s">
        <v>231</v>
      </c>
      <c r="E7">
        <f t="shared" si="0"/>
        <v>0</v>
      </c>
    </row>
    <row r="8" spans="1:6">
      <c r="A8">
        <v>7</v>
      </c>
      <c r="B8" s="48" t="str">
        <f>IFERROR(INDEX('FB 콘텐츠 data'!$A$1:$AL$25,MATCH($A8,'FB 콘텐츠 data'!$AV:$AV,0),MATCH(LEFT(B$1,2),'FB 콘텐츠 data'!$A$1:$AL$1,0)),"")</f>
        <v>이노드림(모리스 메를로퐁티)</v>
      </c>
      <c r="C8" s="111" t="s">
        <v>234</v>
      </c>
      <c r="E8">
        <f t="shared" si="0"/>
        <v>0</v>
      </c>
    </row>
    <row r="9" spans="1:6">
      <c r="A9">
        <v>8</v>
      </c>
      <c r="B9" s="48" t="str">
        <f>IFERROR(INDEX('FB 콘텐츠 data'!$A$1:$AL$25,MATCH($A9,'FB 콘텐츠 data'!$AV:$AV,0),MATCH(LEFT(B$1,2),'FB 콘텐츠 data'!$A$1:$AL$1,0)),"")</f>
        <v>[EVENT] SK에너지 머핀</v>
      </c>
      <c r="C9" s="111" t="s">
        <v>237</v>
      </c>
      <c r="E9">
        <f t="shared" si="0"/>
        <v>0</v>
      </c>
    </row>
    <row r="10" spans="1:6">
      <c r="A10">
        <v>9</v>
      </c>
      <c r="B10" s="48" t="str">
        <f>IFERROR(INDEX('FB 콘텐츠 data'!$A$1:$AL$25,MATCH($A10,'FB 콘텐츠 data'!$AV:$AV,0),MATCH(LEFT(B$1,2),'FB 콘텐츠 data'!$A$1:$AL$1,0)),"")</f>
        <v>슼슼 배우는 2차전지 이야기</v>
      </c>
      <c r="C10" s="111" t="s">
        <v>240</v>
      </c>
      <c r="E10">
        <f t="shared" si="0"/>
        <v>0</v>
      </c>
    </row>
    <row r="11" spans="1:6">
      <c r="A11">
        <v>10</v>
      </c>
      <c r="B11" s="48" t="str">
        <f>IFERROR(INDEX('FB 콘텐츠 data'!$A$1:$AL$25,MATCH($A11,'FB 콘텐츠 data'!$AV:$AV,0),MATCH(LEFT(B$1,2),'FB 콘텐츠 data'!$A$1:$AL$1,0)),"")</f>
        <v>이노드림(빅터 프랭클)</v>
      </c>
      <c r="C11" s="111" t="s">
        <v>243</v>
      </c>
      <c r="E11">
        <f t="shared" si="0"/>
        <v>0</v>
      </c>
    </row>
    <row r="12" spans="1:6">
      <c r="A12">
        <v>11</v>
      </c>
      <c r="B12" s="48" t="str">
        <f>IFERROR(INDEX('FB 콘텐츠 data'!$A$1:$AL$25,MATCH($A12,'FB 콘텐츠 data'!$AV:$AV,0),MATCH(LEFT(B$1,2),'FB 콘텐츠 data'!$A$1:$AL$1,0)),"")</f>
        <v>팩트체크해~油 Ep.2</v>
      </c>
      <c r="C12" s="111" t="s">
        <v>246</v>
      </c>
      <c r="E12">
        <f t="shared" si="0"/>
        <v>0</v>
      </c>
    </row>
    <row r="13" spans="1:6">
      <c r="A13">
        <v>12</v>
      </c>
      <c r="B13" s="48" t="str">
        <f>IFERROR(INDEX('FB 콘텐츠 data'!$A$1:$AL$25,MATCH($A13,'FB 콘텐츠 data'!$AV:$AV,0),MATCH(LEFT(B$1,2),'FB 콘텐츠 data'!$A$1:$AL$1,0)),"")</f>
        <v>자원봉사 코디네이터 워크샵 *뉴스룸 미러링</v>
      </c>
      <c r="C13" s="111" t="s">
        <v>249</v>
      </c>
      <c r="E13">
        <f t="shared" si="0"/>
        <v>0</v>
      </c>
    </row>
    <row r="14" spans="1:6">
      <c r="A14">
        <v>13</v>
      </c>
      <c r="B14" s="48" t="str">
        <f>IFERROR(INDEX('FB 콘텐츠 data'!$A$1:$AL$25,MATCH($A14,'FB 콘텐츠 data'!$AV:$AV,0),MATCH(LEFT(B$1,2),'FB 콘텐츠 data'!$A$1:$AL$1,0)),"")</f>
        <v>이노드림(임마누엘 칸트)</v>
      </c>
      <c r="C14" s="111" t="s">
        <v>252</v>
      </c>
      <c r="E14">
        <f t="shared" si="0"/>
        <v>0</v>
      </c>
    </row>
    <row r="15" spans="1:6">
      <c r="A15">
        <v>14</v>
      </c>
      <c r="B15" s="48" t="str">
        <f>IFERROR(INDEX('FB 콘텐츠 data'!$A$1:$AL$25,MATCH($A15,'FB 콘텐츠 data'!$AV:$AV,0),MATCH(LEFT(B$1,2),'FB 콘텐츠 data'!$A$1:$AL$1,0)),"")</f>
        <v/>
      </c>
      <c r="E15">
        <f t="shared" si="0"/>
        <v>0</v>
      </c>
    </row>
    <row r="16" spans="1:6">
      <c r="A16">
        <v>15</v>
      </c>
      <c r="B16" s="48" t="str">
        <f>IFERROR(INDEX('FB 콘텐츠 data'!$A$1:$AL$25,MATCH($A16,'FB 콘텐츠 data'!$AV:$AV,0),MATCH(LEFT(B$1,2),'FB 콘텐츠 data'!$A$1:$AL$1,0)),"")</f>
        <v/>
      </c>
      <c r="E16">
        <f t="shared" si="0"/>
        <v>0</v>
      </c>
    </row>
    <row r="17" spans="1:5">
      <c r="A17">
        <v>16</v>
      </c>
      <c r="B17" s="48" t="str">
        <f>IFERROR(INDEX('FB 콘텐츠 data'!$A$1:$AL$25,MATCH($A17,'FB 콘텐츠 data'!$AV:$AV,0),MATCH(LEFT(B$1,2),'FB 콘텐츠 data'!$A$1:$AL$1,0)),"")</f>
        <v/>
      </c>
      <c r="E17">
        <f t="shared" si="0"/>
        <v>0</v>
      </c>
    </row>
    <row r="18" spans="1:5">
      <c r="A18">
        <v>17</v>
      </c>
      <c r="B18" s="48" t="str">
        <f>IFERROR(INDEX('FB 콘텐츠 data'!$A$1:$AL$25,MATCH($A18,'FB 콘텐츠 data'!$AV:$AV,0),MATCH(LEFT(B$1,2),'FB 콘텐츠 data'!$A$1:$AL$1,0)),"")</f>
        <v/>
      </c>
      <c r="E18">
        <f t="shared" si="0"/>
        <v>0</v>
      </c>
    </row>
    <row r="19" spans="1:5">
      <c r="A19">
        <v>18</v>
      </c>
      <c r="B19" s="48" t="str">
        <f>IFERROR(INDEX('FB 콘텐츠 data'!$A$1:$AL$25,MATCH($A19,'FB 콘텐츠 data'!$AV:$AV,0),MATCH(LEFT(B$1,2),'FB 콘텐츠 data'!$A$1:$AL$1,0)),"")</f>
        <v/>
      </c>
      <c r="E19">
        <f t="shared" si="0"/>
        <v>0</v>
      </c>
    </row>
    <row r="20" spans="1:5">
      <c r="A20">
        <v>19</v>
      </c>
      <c r="B20" s="48" t="str">
        <f>IFERROR(INDEX('FB 콘텐츠 data'!$A$1:$AL$25,MATCH($A20,'FB 콘텐츠 data'!$AV:$AV,0),MATCH(LEFT(B$1,2),'FB 콘텐츠 data'!$A$1:$AL$1,0)),"")</f>
        <v/>
      </c>
      <c r="E20">
        <f t="shared" si="0"/>
        <v>0</v>
      </c>
    </row>
    <row r="21" spans="1:5">
      <c r="A21">
        <v>20</v>
      </c>
      <c r="B21" s="48" t="str">
        <f>IFERROR(INDEX('FB 콘텐츠 data'!$A$1:$AL$25,MATCH($A21,'FB 콘텐츠 data'!$AV:$AV,0),MATCH(LEFT(B$1,2),'FB 콘텐츠 data'!$A$1:$AL$1,0)),"")</f>
        <v/>
      </c>
      <c r="E21">
        <f t="shared" si="0"/>
        <v>0</v>
      </c>
    </row>
    <row r="22" spans="1:5">
      <c r="A22">
        <v>21</v>
      </c>
      <c r="B22" s="48" t="str">
        <f>IFERROR(INDEX('FB 콘텐츠 data'!$A$1:$AL$25,MATCH($A22,'FB 콘텐츠 data'!$AV:$AV,0),MATCH(LEFT(B$1,2),'FB 콘텐츠 data'!$A$1:$AL$1,0)),"")</f>
        <v/>
      </c>
      <c r="E22">
        <f t="shared" si="0"/>
        <v>0</v>
      </c>
    </row>
    <row r="23" spans="1:5">
      <c r="A23">
        <v>22</v>
      </c>
      <c r="B23" s="48" t="str">
        <f>IFERROR(INDEX('FB 콘텐츠 data'!$A$1:$AL$25,MATCH($A23,'FB 콘텐츠 data'!$AV:$AV,0),MATCH(LEFT(B$1,2),'FB 콘텐츠 data'!$A$1:$AL$1,0)),"")</f>
        <v/>
      </c>
      <c r="E23">
        <f t="shared" si="0"/>
        <v>0</v>
      </c>
    </row>
    <row r="24" spans="1:5">
      <c r="A24">
        <v>23</v>
      </c>
      <c r="B24" s="48" t="str">
        <f>IFERROR(INDEX('FB 콘텐츠 data'!$A$1:$AL$25,MATCH($A24,'FB 콘텐츠 data'!$AV:$AV,0),MATCH(LEFT(B$1,2),'FB 콘텐츠 data'!$A$1:$AL$1,0)),"")</f>
        <v/>
      </c>
      <c r="E24">
        <f t="shared" si="0"/>
        <v>0</v>
      </c>
    </row>
    <row r="25" spans="1:5">
      <c r="A25">
        <v>24</v>
      </c>
      <c r="B25" s="48" t="str">
        <f>IFERROR(INDEX('FB 콘텐츠 data'!$A$1:$AL$25,MATCH($A25,'FB 콘텐츠 data'!$AV:$AV,0),MATCH(LEFT(B$1,2),'FB 콘텐츠 data'!$A$1:$AL$1,0)),"")</f>
        <v/>
      </c>
      <c r="E25">
        <f t="shared" si="0"/>
        <v>0</v>
      </c>
    </row>
    <row r="26" spans="1:5">
      <c r="A26">
        <v>25</v>
      </c>
      <c r="B26" s="48" t="str">
        <f>IFERROR(INDEX('FB 콘텐츠 data'!$A$1:$AL$25,MATCH($A26,'FB 콘텐츠 data'!$AV:$AV,0),MATCH(LEFT(B$1,2),'FB 콘텐츠 data'!$A$1:$AL$1,0)),"")</f>
        <v/>
      </c>
      <c r="E26">
        <f t="shared" si="0"/>
        <v>0</v>
      </c>
    </row>
    <row r="27" spans="1:5">
      <c r="A27">
        <v>26</v>
      </c>
      <c r="B27" s="48" t="str">
        <f>IFERROR(INDEX('FB 콘텐츠 data'!$A$1:$AL$25,MATCH($A27,'FB 콘텐츠 data'!$AV:$AV,0),MATCH(LEFT(B$1,2),'FB 콘텐츠 data'!$A$1:$AL$1,0)),"")</f>
        <v/>
      </c>
      <c r="E27">
        <f t="shared" si="0"/>
        <v>0</v>
      </c>
    </row>
    <row r="28" spans="1:5">
      <c r="A28">
        <v>27</v>
      </c>
      <c r="B28" s="48" t="str">
        <f>IFERROR(INDEX('FB 콘텐츠 data'!$A$1:$AL$25,MATCH($A28,'FB 콘텐츠 data'!$AV:$AV,0),MATCH(LEFT(B$1,2),'FB 콘텐츠 data'!$A$1:$AL$1,0)),"")</f>
        <v/>
      </c>
      <c r="E28">
        <f t="shared" si="0"/>
        <v>0</v>
      </c>
    </row>
    <row r="29" spans="1:5">
      <c r="A29">
        <v>28</v>
      </c>
      <c r="B29" s="48" t="str">
        <f>IFERROR(INDEX('FB 콘텐츠 data'!$A$1:$AL$25,MATCH($A29,'FB 콘텐츠 data'!$AV:$AV,0),MATCH(LEFT(B$1,2),'FB 콘텐츠 data'!$A$1:$AL$1,0)),"")</f>
        <v/>
      </c>
      <c r="E29">
        <f t="shared" si="0"/>
        <v>0</v>
      </c>
    </row>
    <row r="30" spans="1:5">
      <c r="A30">
        <v>29</v>
      </c>
      <c r="B30" s="48" t="str">
        <f>IFERROR(INDEX('FB 콘텐츠 data'!$A$1:$AL$25,MATCH($A30,'FB 콘텐츠 data'!$AV:$AV,0),MATCH(LEFT(B$1,2),'FB 콘텐츠 data'!$A$1:$AL$1,0)),"")</f>
        <v/>
      </c>
      <c r="E30">
        <f t="shared" si="0"/>
        <v>0</v>
      </c>
    </row>
    <row r="31" spans="1:5">
      <c r="A31">
        <v>30</v>
      </c>
      <c r="B31" s="48" t="str">
        <f>IFERROR(INDEX('FB 콘텐츠 data'!$A$1:$AL$25,MATCH($A31,'FB 콘텐츠 data'!$AV:$AV,0),MATCH(LEFT(B$1,2),'FB 콘텐츠 data'!$A$1:$AL$1,0)),"")</f>
        <v/>
      </c>
      <c r="E31">
        <f t="shared" si="0"/>
        <v>0</v>
      </c>
    </row>
    <row r="32" spans="1:5">
      <c r="A32">
        <v>31</v>
      </c>
      <c r="B32" s="48" t="str">
        <f>IFERROR(INDEX('FB 콘텐츠 data'!$A$1:$AL$25,MATCH($A32,'FB 콘텐츠 data'!$AV:$AV,0),MATCH(LEFT(B$1,2),'FB 콘텐츠 data'!$A$1:$AL$1,0)),"")</f>
        <v/>
      </c>
      <c r="E32">
        <f t="shared" si="0"/>
        <v>0</v>
      </c>
    </row>
    <row r="33" spans="1:5">
      <c r="A33">
        <v>32</v>
      </c>
      <c r="B33" s="48" t="str">
        <f>IFERROR(INDEX('FB 콘텐츠 data'!$A$1:$AL$25,MATCH($A33,'FB 콘텐츠 data'!$AV:$AV,0),MATCH(LEFT(B$1,2),'FB 콘텐츠 data'!$A$1:$AL$1,0)),"")</f>
        <v/>
      </c>
      <c r="E33">
        <f t="shared" si="0"/>
        <v>0</v>
      </c>
    </row>
    <row r="34" spans="1:5">
      <c r="A34">
        <v>33</v>
      </c>
      <c r="B34" s="48" t="str">
        <f>IFERROR(INDEX('FB 콘텐츠 data'!$A$1:$AL$25,MATCH($A34,'FB 콘텐츠 data'!$AV:$AV,0),MATCH(LEFT(B$1,2),'FB 콘텐츠 data'!$A$1:$AL$1,0)),"")</f>
        <v/>
      </c>
      <c r="E34">
        <f t="shared" si="0"/>
        <v>0</v>
      </c>
    </row>
    <row r="35" spans="1:5">
      <c r="A35">
        <v>34</v>
      </c>
      <c r="B35" s="48" t="str">
        <f>IFERROR(INDEX('FB 콘텐츠 data'!$A$1:$AL$25,MATCH($A35,'FB 콘텐츠 data'!$AV:$AV,0),MATCH(LEFT(B$1,2),'FB 콘텐츠 data'!$A$1:$AL$1,0)),"")</f>
        <v/>
      </c>
      <c r="E35">
        <f t="shared" si="0"/>
        <v>0</v>
      </c>
    </row>
    <row r="36" spans="1:5">
      <c r="A36">
        <v>35</v>
      </c>
      <c r="B36" s="48" t="str">
        <f>IFERROR(INDEX('FB 콘텐츠 data'!$A$1:$AL$25,MATCH($A36,'FB 콘텐츠 data'!$AV:$AV,0),MATCH(LEFT(B$1,2),'FB 콘텐츠 data'!$A$1:$AL$1,0)),"")</f>
        <v/>
      </c>
      <c r="E36">
        <f t="shared" si="0"/>
        <v>0</v>
      </c>
    </row>
    <row r="37" spans="1:5">
      <c r="A37">
        <v>36</v>
      </c>
      <c r="B37" s="48" t="str">
        <f>IFERROR(INDEX('FB 콘텐츠 data'!$A$1:$AL$25,MATCH($A37,'FB 콘텐츠 data'!$AV:$AV,0),MATCH(LEFT(B$1,2),'FB 콘텐츠 data'!$A$1:$AL$1,0)),"")</f>
        <v/>
      </c>
      <c r="E37">
        <f t="shared" si="0"/>
        <v>0</v>
      </c>
    </row>
    <row r="38" spans="1:5">
      <c r="A38">
        <v>37</v>
      </c>
      <c r="B38" s="48" t="str">
        <f>IFERROR(INDEX('FB 콘텐츠 data'!$A$1:$AL$25,MATCH($A38,'FB 콘텐츠 data'!$AV:$AV,0),MATCH(LEFT(B$1,2),'FB 콘텐츠 data'!$A$1:$AL$1,0)),"")</f>
        <v/>
      </c>
      <c r="E38">
        <f t="shared" si="0"/>
        <v>0</v>
      </c>
    </row>
    <row r="39" spans="1:5">
      <c r="A39">
        <v>38</v>
      </c>
      <c r="B39" s="48" t="str">
        <f>IFERROR(INDEX('FB 콘텐츠 data'!$A$1:$AL$25,MATCH($A39,'FB 콘텐츠 data'!$AV:$AV,0),MATCH(LEFT(B$1,2),'FB 콘텐츠 data'!$A$1:$AL$1,0)),"")</f>
        <v/>
      </c>
      <c r="E39">
        <f t="shared" si="0"/>
        <v>0</v>
      </c>
    </row>
    <row r="40" spans="1:5">
      <c r="A40">
        <v>39</v>
      </c>
      <c r="B40" s="48" t="str">
        <f>IFERROR(INDEX('FB 콘텐츠 data'!$A$1:$AL$25,MATCH($A40,'FB 콘텐츠 data'!$AV:$AV,0),MATCH(LEFT(B$1,2),'FB 콘텐츠 data'!$A$1:$AL$1,0)),"")</f>
        <v/>
      </c>
      <c r="E40">
        <f t="shared" si="0"/>
        <v>0</v>
      </c>
    </row>
    <row r="41" spans="1:5">
      <c r="A41">
        <v>40</v>
      </c>
      <c r="B41" s="48" t="str">
        <f>IFERROR(INDEX('FB 콘텐츠 data'!$A$1:$AL$25,MATCH($A41,'FB 콘텐츠 data'!$AV:$AV,0),MATCH(LEFT(B$1,2),'FB 콘텐츠 data'!$A$1:$AL$1,0)),"")</f>
        <v/>
      </c>
      <c r="E41">
        <f t="shared" si="0"/>
        <v>0</v>
      </c>
    </row>
    <row r="42" spans="1:5">
      <c r="A42">
        <v>41</v>
      </c>
      <c r="B42" s="48" t="str">
        <f>IFERROR(INDEX('FB 콘텐츠 data'!$A$1:$AL$25,MATCH($A42,'FB 콘텐츠 data'!$AV:$AV,0),MATCH(LEFT(B$1,2),'FB 콘텐츠 data'!$A$1:$AL$1,0)),"")</f>
        <v/>
      </c>
      <c r="E42">
        <f t="shared" si="0"/>
        <v>0</v>
      </c>
    </row>
    <row r="43" spans="1:5">
      <c r="A43">
        <v>42</v>
      </c>
      <c r="B43" s="48" t="str">
        <f>IFERROR(INDEX('FB 콘텐츠 data'!$A$1:$AL$25,MATCH($A43,'FB 콘텐츠 data'!$AV:$AV,0),MATCH(LEFT(B$1,2),'FB 콘텐츠 data'!$A$1:$AL$1,0)),"")</f>
        <v/>
      </c>
      <c r="E43">
        <f t="shared" si="0"/>
        <v>0</v>
      </c>
    </row>
    <row r="44" spans="1:5">
      <c r="A44">
        <v>43</v>
      </c>
      <c r="B44" s="48" t="str">
        <f>IFERROR(INDEX('FB 콘텐츠 data'!$A$1:$AL$25,MATCH($A44,'FB 콘텐츠 data'!$AV:$AV,0),MATCH(LEFT(B$1,2),'FB 콘텐츠 data'!$A$1:$AL$1,0)),"")</f>
        <v/>
      </c>
      <c r="E44">
        <f t="shared" si="0"/>
        <v>0</v>
      </c>
    </row>
    <row r="45" spans="1:5">
      <c r="A45">
        <v>44</v>
      </c>
      <c r="B45" s="48" t="str">
        <f>IFERROR(INDEX('FB 콘텐츠 data'!$A$1:$AL$25,MATCH($A45,'FB 콘텐츠 data'!$AV:$AV,0),MATCH(LEFT(B$1,2),'FB 콘텐츠 data'!$A$1:$AL$1,0)),"")</f>
        <v/>
      </c>
      <c r="E45">
        <f t="shared" si="0"/>
        <v>0</v>
      </c>
    </row>
    <row r="46" spans="1:5">
      <c r="A46">
        <v>45</v>
      </c>
      <c r="B46" s="48" t="str">
        <f>IFERROR(INDEX('FB 콘텐츠 data'!$A$1:$AL$25,MATCH($A46,'FB 콘텐츠 data'!$AV:$AV,0),MATCH(LEFT(B$1,2),'FB 콘텐츠 data'!$A$1:$AL$1,0)),"")</f>
        <v/>
      </c>
      <c r="E46">
        <f t="shared" si="0"/>
        <v>0</v>
      </c>
    </row>
    <row r="47" spans="1:5">
      <c r="A47">
        <v>46</v>
      </c>
      <c r="B47" s="48" t="str">
        <f>IFERROR(INDEX('FB 콘텐츠 data'!$A$1:$AL$25,MATCH($A47,'FB 콘텐츠 data'!$AV:$AV,0),MATCH(LEFT(B$1,2),'FB 콘텐츠 data'!$A$1:$AL$1,0)),"")</f>
        <v/>
      </c>
      <c r="E47">
        <f t="shared" si="0"/>
        <v>0</v>
      </c>
    </row>
    <row r="48" spans="1:5">
      <c r="A48">
        <v>47</v>
      </c>
      <c r="B48" s="48" t="str">
        <f>IFERROR(INDEX('FB 콘텐츠 data'!$A$1:$AL$25,MATCH($A48,'FB 콘텐츠 data'!$AV:$AV,0),MATCH(LEFT(B$1,2),'FB 콘텐츠 data'!$A$1:$AL$1,0)),"")</f>
        <v/>
      </c>
      <c r="E48">
        <f t="shared" si="0"/>
        <v>0</v>
      </c>
    </row>
    <row r="49" spans="1:5">
      <c r="A49">
        <v>48</v>
      </c>
      <c r="B49" s="48" t="str">
        <f>IFERROR(INDEX('FB 콘텐츠 data'!$A$1:$AL$25,MATCH($A49,'FB 콘텐츠 data'!$AV:$AV,0),MATCH(LEFT(B$1,2),'FB 콘텐츠 data'!$A$1:$AL$1,0)),"")</f>
        <v/>
      </c>
      <c r="E49">
        <f t="shared" si="0"/>
        <v>0</v>
      </c>
    </row>
    <row r="50" spans="1:5">
      <c r="A50">
        <v>49</v>
      </c>
      <c r="B50" s="48" t="str">
        <f>IFERROR(INDEX('FB 콘텐츠 data'!$A$1:$AL$25,MATCH($A50,'FB 콘텐츠 data'!$AV:$AV,0),MATCH(LEFT(B$1,2),'FB 콘텐츠 data'!$A$1:$AL$1,0)),"")</f>
        <v/>
      </c>
      <c r="E50">
        <f t="shared" si="0"/>
        <v>0</v>
      </c>
    </row>
    <row r="51" spans="1:5">
      <c r="A51">
        <v>50</v>
      </c>
      <c r="B51" s="48" t="str">
        <f>IFERROR(INDEX('FB 콘텐츠 data'!$A$1:$AL$25,MATCH($A51,'FB 콘텐츠 data'!$AV:$AV,0),MATCH(LEFT(B$1,2),'FB 콘텐츠 data'!$A$1:$AL$1,0)),"")</f>
        <v/>
      </c>
      <c r="E51">
        <f t="shared" si="0"/>
        <v>0</v>
      </c>
    </row>
    <row r="52" spans="1:5">
      <c r="E52">
        <f t="shared" si="0"/>
        <v>0</v>
      </c>
    </row>
    <row r="53" spans="1:5">
      <c r="E53">
        <f t="shared" si="0"/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E411-D0DC-4270-9DD8-C6DE13006BC1}">
  <sheetPr>
    <tabColor theme="7" tint="0.79998168889431442"/>
  </sheetPr>
  <dimension ref="A1:Z38"/>
  <sheetViews>
    <sheetView workbookViewId="0">
      <selection activeCell="A16" sqref="A16"/>
    </sheetView>
  </sheetViews>
  <sheetFormatPr defaultRowHeight="16.5"/>
  <cols>
    <col min="1" max="1" width="10" style="43" bestFit="1" customWidth="1"/>
    <col min="2" max="2" width="4.25" style="43" bestFit="1" customWidth="1"/>
    <col min="3" max="3" width="3.625" style="43" bestFit="1" customWidth="1"/>
    <col min="4" max="4" width="8.875" style="43" customWidth="1"/>
    <col min="5" max="5" width="10" style="43" bestFit="1" customWidth="1"/>
    <col min="6" max="6" width="8.875" style="43" bestFit="1" customWidth="1"/>
    <col min="7" max="7" width="12.375" style="43" customWidth="1"/>
    <col min="8" max="8" width="10.75" style="43" bestFit="1" customWidth="1"/>
    <col min="9" max="9" width="12.125" style="43" customWidth="1"/>
    <col min="10" max="11" width="10.75" style="43" bestFit="1" customWidth="1"/>
    <col min="12" max="12" width="17.375" style="43" bestFit="1" customWidth="1"/>
    <col min="13" max="13" width="9.875" style="43" bestFit="1" customWidth="1"/>
    <col min="14" max="15" width="13.5" style="43" customWidth="1"/>
    <col min="16" max="16" width="22.625" style="43" customWidth="1"/>
    <col min="17" max="18" width="10.75" style="43" customWidth="1"/>
    <col min="19" max="20" width="12.75" style="43" customWidth="1"/>
    <col min="21" max="21" width="10" style="43" bestFit="1" customWidth="1"/>
    <col min="22" max="23" width="10.625" style="43" bestFit="1" customWidth="1"/>
    <col min="24" max="24" width="16.125" style="43" bestFit="1" customWidth="1"/>
    <col min="26" max="26" width="8.625" customWidth="1"/>
  </cols>
  <sheetData>
    <row r="1" spans="1:26" ht="17.100000000000001" customHeight="1">
      <c r="A1" s="185" t="s">
        <v>207</v>
      </c>
      <c r="B1" s="186" t="s">
        <v>190</v>
      </c>
      <c r="C1" s="187" t="s">
        <v>191</v>
      </c>
      <c r="D1" s="186" t="s">
        <v>192</v>
      </c>
      <c r="E1" s="188" t="s">
        <v>195</v>
      </c>
      <c r="F1" s="189"/>
      <c r="G1" s="190" t="s">
        <v>193</v>
      </c>
      <c r="H1" s="187" t="s">
        <v>194</v>
      </c>
      <c r="I1" s="181"/>
      <c r="J1" s="191" t="s">
        <v>179</v>
      </c>
      <c r="K1" s="192" t="s">
        <v>57</v>
      </c>
      <c r="L1" s="192" t="s">
        <v>180</v>
      </c>
      <c r="M1" s="193" t="s">
        <v>181</v>
      </c>
      <c r="N1" s="186" t="s">
        <v>196</v>
      </c>
      <c r="O1" s="194" t="s">
        <v>197</v>
      </c>
      <c r="P1" s="195" t="s">
        <v>182</v>
      </c>
      <c r="Q1" s="186" t="s">
        <v>198</v>
      </c>
      <c r="R1" s="187" t="s">
        <v>197</v>
      </c>
      <c r="S1" s="186" t="s">
        <v>199</v>
      </c>
      <c r="T1" s="187" t="s">
        <v>200</v>
      </c>
      <c r="U1" s="196" t="s">
        <v>203</v>
      </c>
      <c r="V1" s="195" t="s">
        <v>204</v>
      </c>
      <c r="W1" s="195" t="s">
        <v>205</v>
      </c>
      <c r="X1" s="197" t="s">
        <v>206</v>
      </c>
    </row>
    <row r="2" spans="1:26">
      <c r="A2" s="185" t="s">
        <v>108</v>
      </c>
      <c r="B2" s="198" t="s">
        <v>183</v>
      </c>
      <c r="C2" s="198" t="s">
        <v>184</v>
      </c>
      <c r="D2" s="198" t="s">
        <v>183</v>
      </c>
      <c r="E2" s="198" t="s">
        <v>184</v>
      </c>
      <c r="F2" s="198" t="s">
        <v>183</v>
      </c>
      <c r="G2" s="198" t="s">
        <v>185</v>
      </c>
      <c r="H2" s="198" t="s">
        <v>184</v>
      </c>
      <c r="I2" s="199" t="s">
        <v>186</v>
      </c>
      <c r="J2" s="200"/>
      <c r="K2" s="201" t="s">
        <v>201</v>
      </c>
      <c r="L2" s="202" t="s">
        <v>202</v>
      </c>
      <c r="M2" s="182"/>
      <c r="N2" s="185" t="s">
        <v>183</v>
      </c>
      <c r="O2" s="198" t="s">
        <v>184</v>
      </c>
      <c r="P2" s="203" t="s">
        <v>183</v>
      </c>
      <c r="Q2" s="198" t="s">
        <v>183</v>
      </c>
      <c r="R2" s="198" t="s">
        <v>184</v>
      </c>
      <c r="S2" s="198" t="s">
        <v>183</v>
      </c>
      <c r="T2" s="199" t="s">
        <v>184</v>
      </c>
      <c r="U2" s="204" t="s">
        <v>187</v>
      </c>
      <c r="V2" s="198" t="s">
        <v>55</v>
      </c>
      <c r="W2" s="198" t="s">
        <v>188</v>
      </c>
      <c r="X2" s="205" t="s">
        <v>189</v>
      </c>
    </row>
    <row r="3" spans="1:26">
      <c r="A3" s="206">
        <v>44927</v>
      </c>
      <c r="B3" s="183"/>
      <c r="C3" s="183"/>
      <c r="D3" s="207">
        <v>15</v>
      </c>
      <c r="E3" s="207">
        <v>13</v>
      </c>
      <c r="F3" s="208">
        <v>152110</v>
      </c>
      <c r="G3" s="208">
        <v>16380</v>
      </c>
      <c r="H3" s="208">
        <v>230550</v>
      </c>
      <c r="I3" s="208">
        <v>11026</v>
      </c>
      <c r="J3" s="209">
        <v>348483</v>
      </c>
      <c r="K3" s="209">
        <v>925274</v>
      </c>
      <c r="L3" s="210">
        <v>4736499</v>
      </c>
      <c r="M3" s="210">
        <v>511.9</v>
      </c>
      <c r="N3" s="208">
        <v>1732</v>
      </c>
      <c r="O3" s="183" t="s">
        <v>271</v>
      </c>
      <c r="P3" s="208">
        <v>1688</v>
      </c>
      <c r="Q3" s="207">
        <v>449</v>
      </c>
      <c r="R3" s="183"/>
      <c r="S3" s="208">
        <v>1421</v>
      </c>
      <c r="T3" s="211">
        <v>14238</v>
      </c>
      <c r="U3" s="212">
        <v>5991</v>
      </c>
      <c r="V3" s="208">
        <v>1232</v>
      </c>
      <c r="W3" s="183"/>
      <c r="X3" s="213">
        <v>3892007</v>
      </c>
    </row>
    <row r="4" spans="1:26">
      <c r="A4" s="206">
        <v>44958</v>
      </c>
      <c r="B4" s="183"/>
      <c r="C4" s="183"/>
      <c r="D4" s="207">
        <v>7</v>
      </c>
      <c r="E4" s="207">
        <v>5</v>
      </c>
      <c r="F4" s="208">
        <v>127121</v>
      </c>
      <c r="G4" s="208">
        <v>18091</v>
      </c>
      <c r="H4" s="208">
        <v>75271</v>
      </c>
      <c r="I4" s="208">
        <v>8690</v>
      </c>
      <c r="J4" s="208">
        <v>171435</v>
      </c>
      <c r="K4" s="208">
        <v>362665</v>
      </c>
      <c r="L4" s="214">
        <v>2626714</v>
      </c>
      <c r="M4" s="214">
        <v>724.28</v>
      </c>
      <c r="N4" s="207">
        <v>446</v>
      </c>
      <c r="O4" s="183" t="s">
        <v>271</v>
      </c>
      <c r="P4" s="207">
        <v>420</v>
      </c>
      <c r="Q4" s="207">
        <v>448</v>
      </c>
      <c r="R4" s="183"/>
      <c r="S4" s="208">
        <v>1800</v>
      </c>
      <c r="T4" s="211">
        <v>8154</v>
      </c>
      <c r="U4" s="212">
        <v>4021</v>
      </c>
      <c r="V4" s="207">
        <v>821</v>
      </c>
      <c r="W4" s="183"/>
      <c r="X4" s="213">
        <v>2518197</v>
      </c>
    </row>
    <row r="5" spans="1:26">
      <c r="A5" s="206">
        <v>44986</v>
      </c>
      <c r="B5" s="183"/>
      <c r="C5" s="183"/>
      <c r="D5" s="207">
        <v>20</v>
      </c>
      <c r="E5" s="207">
        <v>12</v>
      </c>
      <c r="F5" s="208">
        <v>175131</v>
      </c>
      <c r="G5" s="208">
        <v>20054</v>
      </c>
      <c r="H5" s="208">
        <v>168379</v>
      </c>
      <c r="I5" s="208">
        <v>7292</v>
      </c>
      <c r="J5" s="208">
        <v>309696</v>
      </c>
      <c r="K5" s="208">
        <v>689249</v>
      </c>
      <c r="L5" s="214">
        <v>4477005</v>
      </c>
      <c r="M5" s="214">
        <v>649.54999999999995</v>
      </c>
      <c r="N5" s="207">
        <v>639</v>
      </c>
      <c r="O5" s="207">
        <v>71</v>
      </c>
      <c r="P5" s="207">
        <v>560</v>
      </c>
      <c r="Q5" s="207">
        <v>419</v>
      </c>
      <c r="R5" s="207">
        <v>638</v>
      </c>
      <c r="S5" s="208">
        <v>3744</v>
      </c>
      <c r="T5" s="211">
        <v>3300</v>
      </c>
      <c r="U5" s="212">
        <v>11971</v>
      </c>
      <c r="V5" s="208">
        <v>2525</v>
      </c>
      <c r="W5" s="183"/>
      <c r="X5" s="213">
        <v>3530907</v>
      </c>
    </row>
    <row r="6" spans="1:26">
      <c r="A6" s="206">
        <v>45017</v>
      </c>
      <c r="B6" s="183"/>
      <c r="C6" s="183"/>
      <c r="D6" s="207">
        <v>11</v>
      </c>
      <c r="E6" s="207">
        <v>8</v>
      </c>
      <c r="F6" s="208">
        <v>165549</v>
      </c>
      <c r="G6" s="208">
        <v>18081</v>
      </c>
      <c r="H6" s="208">
        <v>397401</v>
      </c>
      <c r="I6" s="208">
        <v>4315</v>
      </c>
      <c r="J6" s="208">
        <v>526985</v>
      </c>
      <c r="K6" s="208">
        <v>1464126</v>
      </c>
      <c r="L6" s="214">
        <v>4722657</v>
      </c>
      <c r="M6" s="214">
        <v>322.56</v>
      </c>
      <c r="N6" s="207">
        <v>876</v>
      </c>
      <c r="O6" s="207">
        <v>131</v>
      </c>
      <c r="P6" s="207">
        <v>779</v>
      </c>
      <c r="Q6" s="207">
        <v>363</v>
      </c>
      <c r="R6" s="208">
        <v>1214</v>
      </c>
      <c r="S6" s="208">
        <v>2409</v>
      </c>
      <c r="T6" s="211">
        <v>2809</v>
      </c>
      <c r="U6" s="212">
        <v>7263</v>
      </c>
      <c r="V6" s="208">
        <v>3178</v>
      </c>
      <c r="W6" s="183"/>
      <c r="X6" s="213">
        <v>3801239</v>
      </c>
      <c r="Z6" t="s">
        <v>213</v>
      </c>
    </row>
    <row r="7" spans="1:26">
      <c r="A7" s="206">
        <v>45047</v>
      </c>
      <c r="B7" s="183"/>
      <c r="C7" s="183"/>
      <c r="D7" s="207">
        <v>9</v>
      </c>
      <c r="E7" s="207">
        <v>5</v>
      </c>
      <c r="F7" s="208">
        <v>113184</v>
      </c>
      <c r="G7" s="208">
        <v>25371</v>
      </c>
      <c r="H7" s="208">
        <v>218433</v>
      </c>
      <c r="I7" s="208">
        <v>9331</v>
      </c>
      <c r="J7" s="208">
        <v>307073</v>
      </c>
      <c r="K7" s="208">
        <v>691669</v>
      </c>
      <c r="L7" s="214">
        <v>1764617</v>
      </c>
      <c r="M7" s="214">
        <v>255.12</v>
      </c>
      <c r="N7" s="208">
        <v>3187</v>
      </c>
      <c r="O7" s="208">
        <v>9238</v>
      </c>
      <c r="P7" s="208">
        <v>3126</v>
      </c>
      <c r="Q7" s="207">
        <v>797</v>
      </c>
      <c r="R7" s="208">
        <v>3287</v>
      </c>
      <c r="S7" s="208">
        <v>8237</v>
      </c>
      <c r="T7" s="211">
        <v>20199</v>
      </c>
      <c r="U7" s="212">
        <v>5633</v>
      </c>
      <c r="V7" s="208">
        <v>2384</v>
      </c>
      <c r="W7" s="183"/>
      <c r="X7" s="213">
        <v>1364618</v>
      </c>
    </row>
    <row r="8" spans="1:26">
      <c r="A8" s="206">
        <v>45078</v>
      </c>
      <c r="B8" s="183"/>
      <c r="C8" s="183"/>
      <c r="D8" s="207">
        <v>9</v>
      </c>
      <c r="E8" s="207">
        <v>5</v>
      </c>
      <c r="F8" s="208">
        <v>150402</v>
      </c>
      <c r="G8" s="208">
        <v>55561</v>
      </c>
      <c r="H8" s="208">
        <v>124184</v>
      </c>
      <c r="I8" s="208">
        <v>4694</v>
      </c>
      <c r="J8" s="208">
        <v>209471</v>
      </c>
      <c r="K8" s="208">
        <v>300596</v>
      </c>
      <c r="L8" s="214">
        <v>1264256</v>
      </c>
      <c r="M8" s="214">
        <v>420.58</v>
      </c>
      <c r="N8" s="208">
        <v>30876</v>
      </c>
      <c r="O8" s="207">
        <v>469</v>
      </c>
      <c r="P8" s="208">
        <v>27407</v>
      </c>
      <c r="Q8" s="208">
        <v>7131</v>
      </c>
      <c r="R8" s="208">
        <v>1976</v>
      </c>
      <c r="S8" s="208">
        <v>217271</v>
      </c>
      <c r="T8" s="211">
        <v>2564</v>
      </c>
      <c r="U8" s="212">
        <v>9967</v>
      </c>
      <c r="V8" s="208">
        <v>1079</v>
      </c>
      <c r="W8" s="183"/>
      <c r="X8" s="213">
        <v>653261</v>
      </c>
    </row>
    <row r="9" spans="1:26">
      <c r="A9" s="206">
        <v>45108</v>
      </c>
      <c r="B9" s="183"/>
      <c r="C9" s="183"/>
      <c r="D9" s="207">
        <v>15</v>
      </c>
      <c r="E9" s="207">
        <v>14</v>
      </c>
      <c r="F9" s="208">
        <v>393143</v>
      </c>
      <c r="G9" s="208">
        <v>27247</v>
      </c>
      <c r="H9" s="208">
        <v>337085</v>
      </c>
      <c r="I9" s="208">
        <v>6344</v>
      </c>
      <c r="J9" s="208">
        <v>702604</v>
      </c>
      <c r="K9" s="208">
        <v>1663354</v>
      </c>
      <c r="L9" s="214">
        <v>6317775</v>
      </c>
      <c r="M9" s="214">
        <v>379.82</v>
      </c>
      <c r="N9" s="207">
        <v>355</v>
      </c>
      <c r="O9" s="207">
        <v>648</v>
      </c>
      <c r="P9" s="207">
        <v>276</v>
      </c>
      <c r="Q9" s="207">
        <v>408</v>
      </c>
      <c r="R9" s="208">
        <v>1232</v>
      </c>
      <c r="S9" s="208">
        <v>11561</v>
      </c>
      <c r="T9" s="211">
        <v>3902</v>
      </c>
      <c r="U9" s="212">
        <v>6344</v>
      </c>
      <c r="V9" s="208">
        <v>3524</v>
      </c>
      <c r="W9" s="183"/>
      <c r="X9" s="213">
        <v>3231364</v>
      </c>
    </row>
    <row r="10" spans="1:26">
      <c r="A10" s="206">
        <v>45139</v>
      </c>
      <c r="B10" s="183"/>
      <c r="C10" s="183"/>
      <c r="D10" s="207">
        <v>15</v>
      </c>
      <c r="E10" s="207">
        <v>17</v>
      </c>
      <c r="F10" s="208">
        <v>496814</v>
      </c>
      <c r="G10" s="208">
        <v>30404</v>
      </c>
      <c r="H10" s="208">
        <v>225393</v>
      </c>
      <c r="I10" s="208">
        <v>5858</v>
      </c>
      <c r="J10" s="208">
        <v>684694</v>
      </c>
      <c r="K10" s="208">
        <v>1386900</v>
      </c>
      <c r="L10" s="214">
        <v>6580678</v>
      </c>
      <c r="M10" s="214">
        <v>474.49</v>
      </c>
      <c r="N10" s="207">
        <v>227</v>
      </c>
      <c r="O10" s="207">
        <v>340</v>
      </c>
      <c r="P10" s="207">
        <v>152</v>
      </c>
      <c r="Q10" s="207">
        <v>247</v>
      </c>
      <c r="R10" s="208">
        <v>1012</v>
      </c>
      <c r="S10" s="208">
        <v>8354</v>
      </c>
      <c r="T10" s="211">
        <v>4267</v>
      </c>
      <c r="U10" s="212">
        <v>6112</v>
      </c>
      <c r="V10" s="208">
        <v>5948</v>
      </c>
      <c r="W10" s="183"/>
      <c r="X10" s="184"/>
    </row>
    <row r="11" spans="1:26">
      <c r="A11" s="206">
        <v>45170</v>
      </c>
      <c r="B11" s="183"/>
      <c r="C11" s="183"/>
      <c r="D11" s="207">
        <v>19</v>
      </c>
      <c r="E11" s="207">
        <v>14</v>
      </c>
      <c r="F11" s="208">
        <v>552584</v>
      </c>
      <c r="G11" s="208">
        <v>29159</v>
      </c>
      <c r="H11" s="208">
        <v>1575986</v>
      </c>
      <c r="I11" s="208">
        <v>6384</v>
      </c>
      <c r="J11" s="208">
        <v>422064</v>
      </c>
      <c r="K11" s="208">
        <v>894675</v>
      </c>
      <c r="L11" s="214">
        <v>5549772</v>
      </c>
      <c r="M11" s="214">
        <v>620.30999999999995</v>
      </c>
      <c r="N11" s="207">
        <v>122</v>
      </c>
      <c r="O11" s="207">
        <v>823</v>
      </c>
      <c r="P11" s="207">
        <v>67</v>
      </c>
      <c r="Q11" s="207">
        <v>122</v>
      </c>
      <c r="R11" s="207">
        <v>728</v>
      </c>
      <c r="S11" s="208">
        <v>17455</v>
      </c>
      <c r="T11" s="211">
        <v>7824</v>
      </c>
      <c r="U11" s="212">
        <v>8677</v>
      </c>
      <c r="V11" s="208">
        <v>4125</v>
      </c>
      <c r="W11" s="183"/>
      <c r="X11" s="213">
        <v>2616541</v>
      </c>
    </row>
    <row r="12" spans="1:26">
      <c r="A12" s="206">
        <v>45200</v>
      </c>
      <c r="B12" s="183"/>
      <c r="C12" s="183"/>
      <c r="D12" s="207">
        <v>15</v>
      </c>
      <c r="E12" s="207">
        <v>15</v>
      </c>
      <c r="F12" s="208">
        <v>595990</v>
      </c>
      <c r="G12" s="208">
        <v>24418</v>
      </c>
      <c r="H12" s="208">
        <v>2154607</v>
      </c>
      <c r="I12" s="208">
        <v>5981</v>
      </c>
      <c r="J12" s="208">
        <v>1384096</v>
      </c>
      <c r="K12" s="208">
        <v>2816215</v>
      </c>
      <c r="L12" s="214">
        <v>12093254</v>
      </c>
      <c r="M12" s="214">
        <v>429.42</v>
      </c>
      <c r="N12" s="207">
        <v>152</v>
      </c>
      <c r="O12" s="207">
        <v>525</v>
      </c>
      <c r="P12" s="207">
        <v>92</v>
      </c>
      <c r="Q12" s="207">
        <v>224</v>
      </c>
      <c r="R12" s="207">
        <v>684</v>
      </c>
      <c r="S12" s="208">
        <v>28573</v>
      </c>
      <c r="T12" s="211">
        <v>10581</v>
      </c>
      <c r="U12" s="212">
        <v>13547</v>
      </c>
      <c r="V12" s="208">
        <v>6164</v>
      </c>
      <c r="W12" s="183"/>
      <c r="X12" s="184"/>
    </row>
    <row r="13" spans="1:26">
      <c r="A13" s="206">
        <v>45231</v>
      </c>
      <c r="B13" s="183"/>
      <c r="C13" s="183"/>
      <c r="D13" s="207">
        <v>17</v>
      </c>
      <c r="E13" s="207">
        <v>13</v>
      </c>
      <c r="F13" s="208">
        <v>411639</v>
      </c>
      <c r="G13" s="208">
        <v>30876</v>
      </c>
      <c r="H13" s="208">
        <v>707256</v>
      </c>
      <c r="I13" s="208">
        <v>27424</v>
      </c>
      <c r="J13" s="208">
        <v>1083571</v>
      </c>
      <c r="K13" s="208">
        <v>2189040</v>
      </c>
      <c r="L13" s="214">
        <v>10895902</v>
      </c>
      <c r="M13" s="214">
        <v>497.75</v>
      </c>
      <c r="N13" s="207">
        <v>215</v>
      </c>
      <c r="O13" s="207">
        <v>720</v>
      </c>
      <c r="P13" s="207">
        <v>83</v>
      </c>
      <c r="Q13" s="207">
        <v>526</v>
      </c>
      <c r="R13" s="207">
        <v>537</v>
      </c>
      <c r="S13" s="208">
        <v>21317</v>
      </c>
      <c r="T13" s="211">
        <v>7018</v>
      </c>
      <c r="U13" s="212">
        <v>13458</v>
      </c>
      <c r="V13" s="208">
        <v>5954</v>
      </c>
      <c r="W13" s="183"/>
      <c r="X13" s="184"/>
    </row>
    <row r="14" spans="1:26">
      <c r="A14" s="206">
        <v>45261</v>
      </c>
      <c r="B14" s="183"/>
      <c r="C14" s="183"/>
      <c r="D14" s="207">
        <v>19</v>
      </c>
      <c r="E14" s="207">
        <v>15</v>
      </c>
      <c r="F14" s="208">
        <v>326081</v>
      </c>
      <c r="G14" s="208">
        <v>30752</v>
      </c>
      <c r="H14" s="208">
        <v>389586</v>
      </c>
      <c r="I14" s="208">
        <v>4775</v>
      </c>
      <c r="J14" s="208">
        <v>638448</v>
      </c>
      <c r="K14" s="208">
        <v>1246594</v>
      </c>
      <c r="L14" s="214">
        <v>4828981</v>
      </c>
      <c r="M14" s="214">
        <v>387.37</v>
      </c>
      <c r="N14" s="207">
        <v>77</v>
      </c>
      <c r="O14" s="207">
        <v>205</v>
      </c>
      <c r="P14" s="207">
        <v>43</v>
      </c>
      <c r="Q14" s="207">
        <v>525</v>
      </c>
      <c r="R14" s="207">
        <v>485</v>
      </c>
      <c r="S14" s="208">
        <v>13090</v>
      </c>
      <c r="T14" s="211">
        <v>4002</v>
      </c>
      <c r="U14" s="212">
        <v>10333</v>
      </c>
      <c r="V14" s="208">
        <v>4297</v>
      </c>
      <c r="W14" s="183"/>
      <c r="X14" s="184"/>
    </row>
    <row r="15" spans="1:26">
      <c r="A15" s="206">
        <v>45292</v>
      </c>
      <c r="B15" s="183"/>
      <c r="C15" s="183"/>
      <c r="D15" s="207">
        <v>21</v>
      </c>
      <c r="E15" s="207">
        <v>16</v>
      </c>
      <c r="F15" s="208">
        <v>399275</v>
      </c>
      <c r="G15" s="208">
        <v>39650</v>
      </c>
      <c r="H15" s="208">
        <v>339172</v>
      </c>
      <c r="I15" s="208">
        <v>4578</v>
      </c>
      <c r="J15" s="208">
        <v>760799</v>
      </c>
      <c r="K15" s="208">
        <v>1866632</v>
      </c>
      <c r="L15" s="214">
        <v>7214062</v>
      </c>
      <c r="M15" s="214">
        <v>386.47</v>
      </c>
      <c r="N15" s="207">
        <v>133</v>
      </c>
      <c r="O15" s="207">
        <v>184</v>
      </c>
      <c r="P15" s="207">
        <v>76</v>
      </c>
      <c r="Q15" s="207">
        <v>480</v>
      </c>
      <c r="R15" s="207">
        <v>458</v>
      </c>
      <c r="S15" s="208">
        <v>24530</v>
      </c>
      <c r="T15" s="211">
        <v>2952</v>
      </c>
      <c r="U15" s="212">
        <v>15303</v>
      </c>
      <c r="V15" s="208">
        <v>8588</v>
      </c>
      <c r="W15" s="208">
        <v>51476</v>
      </c>
      <c r="X15" s="184"/>
    </row>
    <row r="16" spans="1:26">
      <c r="A16" s="206">
        <v>45323</v>
      </c>
      <c r="B16" s="183"/>
      <c r="C16" s="183"/>
      <c r="D16" s="207">
        <v>12</v>
      </c>
      <c r="E16" s="207">
        <v>10</v>
      </c>
      <c r="F16" s="208">
        <v>173174</v>
      </c>
      <c r="G16" s="208">
        <v>24813</v>
      </c>
      <c r="H16" s="208">
        <v>157953</v>
      </c>
      <c r="I16" s="208">
        <v>3560</v>
      </c>
      <c r="J16" s="208">
        <v>346719</v>
      </c>
      <c r="K16" s="208">
        <v>659362</v>
      </c>
      <c r="L16" s="214">
        <v>2746107</v>
      </c>
      <c r="M16" s="214">
        <v>416.48</v>
      </c>
      <c r="N16" s="207">
        <v>74</v>
      </c>
      <c r="O16" s="207">
        <v>156</v>
      </c>
      <c r="P16" s="207">
        <v>0</v>
      </c>
      <c r="Q16" s="207">
        <v>480</v>
      </c>
      <c r="R16" s="207">
        <v>429</v>
      </c>
      <c r="S16" s="208">
        <v>12226</v>
      </c>
      <c r="T16" s="211">
        <v>2601</v>
      </c>
      <c r="U16" s="212">
        <v>6807</v>
      </c>
      <c r="V16" s="208">
        <v>3033</v>
      </c>
      <c r="W16" s="208">
        <v>18322</v>
      </c>
      <c r="X16" s="184"/>
    </row>
    <row r="17" spans="1:24">
      <c r="A17" s="206" t="s">
        <v>256</v>
      </c>
      <c r="B17" s="183"/>
      <c r="C17" s="183"/>
      <c r="D17" s="207">
        <v>13</v>
      </c>
      <c r="E17" s="207">
        <v>11</v>
      </c>
      <c r="F17" s="208">
        <v>199557</v>
      </c>
      <c r="G17" s="208">
        <v>23786</v>
      </c>
      <c r="H17" s="208">
        <v>151612</v>
      </c>
      <c r="I17" s="208">
        <v>6192</v>
      </c>
      <c r="J17" s="208">
        <v>297746</v>
      </c>
      <c r="K17" s="208">
        <v>551444</v>
      </c>
      <c r="L17" s="214">
        <v>2288078</v>
      </c>
      <c r="M17" s="214">
        <v>414.92</v>
      </c>
      <c r="N17" s="207">
        <v>100</v>
      </c>
      <c r="O17" s="207">
        <v>1071</v>
      </c>
      <c r="P17" s="207">
        <v>0</v>
      </c>
      <c r="Q17" s="207">
        <v>454</v>
      </c>
      <c r="R17" s="207">
        <v>439</v>
      </c>
      <c r="S17" s="208">
        <v>10145</v>
      </c>
      <c r="T17" s="211">
        <v>4353</v>
      </c>
      <c r="U17" s="212">
        <v>9707</v>
      </c>
      <c r="V17" s="208">
        <v>2306</v>
      </c>
      <c r="W17" s="208">
        <v>11463</v>
      </c>
      <c r="X17" s="215"/>
    </row>
    <row r="18" spans="1:24">
      <c r="A18" s="136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5"/>
      <c r="U18" s="136"/>
      <c r="V18" s="134"/>
      <c r="W18" s="134"/>
      <c r="X18" s="137"/>
    </row>
    <row r="19" spans="1:24">
      <c r="A19" s="136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5"/>
      <c r="U19" s="136"/>
      <c r="V19" s="134"/>
      <c r="W19" s="134"/>
      <c r="X19" s="137"/>
    </row>
    <row r="20" spans="1:24">
      <c r="A20" s="136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5"/>
      <c r="U20" s="136"/>
      <c r="V20" s="134"/>
      <c r="W20" s="134"/>
      <c r="X20" s="137"/>
    </row>
    <row r="21" spans="1:24">
      <c r="A21" s="136"/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5"/>
      <c r="U21" s="136"/>
      <c r="V21" s="134"/>
      <c r="W21" s="134"/>
      <c r="X21" s="137"/>
    </row>
    <row r="22" spans="1:24">
      <c r="A22" s="136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5"/>
      <c r="U22" s="136"/>
      <c r="V22" s="134"/>
      <c r="W22" s="134"/>
      <c r="X22" s="137"/>
    </row>
    <row r="23" spans="1:24">
      <c r="A23" s="136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5"/>
      <c r="U23" s="136"/>
      <c r="V23" s="134"/>
      <c r="W23" s="134"/>
      <c r="X23" s="137"/>
    </row>
    <row r="24" spans="1:24">
      <c r="A24" s="136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5"/>
      <c r="U24" s="136"/>
      <c r="V24" s="134"/>
      <c r="W24" s="134"/>
      <c r="X24" s="137"/>
    </row>
    <row r="25" spans="1:24">
      <c r="A25" s="136"/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5"/>
      <c r="U25" s="136"/>
      <c r="V25" s="134"/>
      <c r="W25" s="134"/>
      <c r="X25" s="137"/>
    </row>
    <row r="26" spans="1:24">
      <c r="A26" s="136"/>
      <c r="B26" s="134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5"/>
      <c r="U26" s="136"/>
      <c r="V26" s="134"/>
      <c r="W26" s="134"/>
      <c r="X26" s="137"/>
    </row>
    <row r="27" spans="1:24">
      <c r="A27" s="136"/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5"/>
      <c r="U27" s="136"/>
      <c r="V27" s="134"/>
      <c r="W27" s="134"/>
      <c r="X27" s="137"/>
    </row>
    <row r="28" spans="1:24">
      <c r="A28" s="136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5"/>
      <c r="U28" s="136"/>
      <c r="V28" s="134"/>
      <c r="W28" s="134"/>
      <c r="X28" s="137"/>
    </row>
    <row r="29" spans="1:24">
      <c r="A29" s="136"/>
      <c r="B29" s="134"/>
      <c r="C29" s="134"/>
      <c r="D29" s="134"/>
      <c r="E29" s="134"/>
      <c r="F29" s="134"/>
      <c r="G29" s="134"/>
      <c r="H29" s="134"/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5"/>
      <c r="U29" s="136"/>
      <c r="V29" s="134"/>
      <c r="W29" s="134"/>
      <c r="X29" s="137"/>
    </row>
    <row r="30" spans="1:24">
      <c r="A30" s="136"/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5"/>
      <c r="U30" s="136"/>
      <c r="V30" s="134"/>
      <c r="W30" s="134"/>
      <c r="X30" s="137"/>
    </row>
    <row r="31" spans="1:24">
      <c r="A31" s="136"/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5"/>
      <c r="U31" s="136"/>
      <c r="V31" s="134"/>
      <c r="W31" s="134"/>
      <c r="X31" s="137"/>
    </row>
    <row r="32" spans="1:24">
      <c r="A32" s="136"/>
      <c r="B32" s="134"/>
      <c r="C32" s="134"/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5"/>
      <c r="U32" s="136"/>
      <c r="V32" s="134"/>
      <c r="W32" s="134"/>
      <c r="X32" s="137"/>
    </row>
    <row r="33" spans="1:24">
      <c r="A33" s="136"/>
      <c r="B33" s="134"/>
      <c r="C33" s="134"/>
      <c r="D33" s="134"/>
      <c r="E33" s="134"/>
      <c r="F33" s="134"/>
      <c r="G33" s="134"/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5"/>
      <c r="U33" s="136"/>
      <c r="V33" s="134"/>
      <c r="W33" s="134"/>
      <c r="X33" s="137"/>
    </row>
    <row r="34" spans="1:24">
      <c r="A34" s="136"/>
      <c r="B34" s="134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5"/>
      <c r="U34" s="136"/>
      <c r="V34" s="134"/>
      <c r="W34" s="134"/>
      <c r="X34" s="137"/>
    </row>
    <row r="35" spans="1:24">
      <c r="A35" s="136"/>
      <c r="B35" s="134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5"/>
      <c r="U35" s="136"/>
      <c r="V35" s="134"/>
      <c r="W35" s="134"/>
      <c r="X35" s="137"/>
    </row>
    <row r="36" spans="1:24">
      <c r="A36" s="136"/>
      <c r="B36" s="134"/>
      <c r="C36" s="134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5"/>
      <c r="U36" s="136"/>
      <c r="V36" s="134"/>
      <c r="W36" s="134"/>
      <c r="X36" s="137"/>
    </row>
    <row r="37" spans="1:24">
      <c r="A37" s="136"/>
      <c r="B37" s="134"/>
      <c r="C37" s="134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5"/>
      <c r="U37" s="136"/>
      <c r="V37" s="134"/>
      <c r="W37" s="134"/>
      <c r="X37" s="137"/>
    </row>
    <row r="38" spans="1:24" ht="17.25" thickBot="1">
      <c r="A38" s="138"/>
      <c r="B38" s="139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39"/>
      <c r="P38" s="139"/>
      <c r="Q38" s="139"/>
      <c r="R38" s="139"/>
      <c r="S38" s="139"/>
      <c r="T38" s="141"/>
      <c r="U38" s="138"/>
      <c r="V38" s="139"/>
      <c r="W38" s="139"/>
      <c r="X38" s="140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79998168889431442"/>
  </sheetPr>
  <dimension ref="A1:Y74"/>
  <sheetViews>
    <sheetView topLeftCell="F1" workbookViewId="0">
      <selection activeCell="U13" sqref="U13"/>
    </sheetView>
  </sheetViews>
  <sheetFormatPr defaultColWidth="8.75" defaultRowHeight="16.5"/>
  <cols>
    <col min="1" max="1" width="18.5" style="101" customWidth="1"/>
    <col min="2" max="5" width="18.5" style="63" customWidth="1"/>
    <col min="6" max="7" width="8.75" style="63"/>
    <col min="8" max="8" width="19.5" style="63" bestFit="1" customWidth="1"/>
    <col min="9" max="9" width="19.5" style="63" customWidth="1"/>
    <col min="10" max="11" width="8.75" style="63"/>
    <col min="12" max="15" width="12.75" style="63" customWidth="1"/>
    <col min="16" max="18" width="8.75" style="63"/>
    <col min="19" max="19" width="15.875" style="63" bestFit="1" customWidth="1"/>
    <col min="20" max="22" width="8.75" style="63"/>
    <col min="23" max="24" width="8.875" style="63" bestFit="1" customWidth="1"/>
    <col min="25" max="25" width="10.875" style="63" customWidth="1"/>
    <col min="26" max="16384" width="8.75" style="63"/>
  </cols>
  <sheetData>
    <row r="1" spans="1:25" ht="17.25" thickBot="1">
      <c r="A1" s="99" t="s">
        <v>66</v>
      </c>
      <c r="B1" s="62" t="s">
        <v>67</v>
      </c>
      <c r="C1" s="62" t="s">
        <v>97</v>
      </c>
      <c r="D1" s="62" t="s">
        <v>68</v>
      </c>
      <c r="E1" s="62" t="s">
        <v>69</v>
      </c>
      <c r="F1" s="62" t="s">
        <v>60</v>
      </c>
      <c r="G1" s="62" t="s">
        <v>70</v>
      </c>
      <c r="H1" s="62" t="s">
        <v>208</v>
      </c>
      <c r="I1" s="62" t="s">
        <v>211</v>
      </c>
    </row>
    <row r="2" spans="1:25" ht="17.25" thickBot="1">
      <c r="A2" s="100">
        <v>45078</v>
      </c>
      <c r="B2" s="64">
        <v>330054</v>
      </c>
      <c r="C2" s="64">
        <v>30876</v>
      </c>
      <c r="D2" s="64">
        <v>9</v>
      </c>
      <c r="E2" s="64">
        <v>161213</v>
      </c>
      <c r="F2" s="64">
        <v>16020</v>
      </c>
      <c r="G2" s="65">
        <v>9.9371638763623288E-2</v>
      </c>
      <c r="H2" s="64" t="s">
        <v>209</v>
      </c>
      <c r="I2" s="147" t="s">
        <v>209</v>
      </c>
      <c r="K2" s="174" t="s">
        <v>107</v>
      </c>
      <c r="L2" s="175"/>
      <c r="M2" s="175"/>
      <c r="N2" s="175"/>
      <c r="O2" s="175"/>
      <c r="P2" s="175"/>
      <c r="Q2" s="175"/>
      <c r="R2" s="175"/>
      <c r="S2" s="176"/>
      <c r="T2" s="119" t="s">
        <v>138</v>
      </c>
    </row>
    <row r="3" spans="1:25">
      <c r="A3" s="100">
        <v>45108</v>
      </c>
      <c r="B3" s="64">
        <v>329242</v>
      </c>
      <c r="C3" s="64">
        <v>355</v>
      </c>
      <c r="D3" s="64">
        <v>15</v>
      </c>
      <c r="E3" s="64">
        <v>551335</v>
      </c>
      <c r="F3" s="64">
        <v>12862</v>
      </c>
      <c r="G3" s="65">
        <v>2.3328829114785021E-2</v>
      </c>
      <c r="H3" s="64" t="s">
        <v>209</v>
      </c>
      <c r="I3" s="147" t="s">
        <v>209</v>
      </c>
      <c r="K3" s="143" t="s">
        <v>104</v>
      </c>
      <c r="L3" s="144" t="s">
        <v>105</v>
      </c>
      <c r="M3" s="144" t="s">
        <v>106</v>
      </c>
      <c r="N3" s="144" t="s">
        <v>68</v>
      </c>
      <c r="O3" s="144" t="s">
        <v>69</v>
      </c>
      <c r="P3" s="144" t="s">
        <v>60</v>
      </c>
      <c r="Q3" s="144" t="s">
        <v>65</v>
      </c>
      <c r="R3" s="144" t="s">
        <v>208</v>
      </c>
      <c r="S3" s="145" t="s">
        <v>210</v>
      </c>
      <c r="T3" s="112"/>
    </row>
    <row r="4" spans="1:25" ht="17.25" thickBot="1">
      <c r="A4" s="100" t="s">
        <v>123</v>
      </c>
      <c r="B4" s="64">
        <v>328540</v>
      </c>
      <c r="C4" s="64">
        <v>152</v>
      </c>
      <c r="D4" s="64">
        <v>19</v>
      </c>
      <c r="E4" s="64">
        <v>496814</v>
      </c>
      <c r="F4" s="64">
        <v>8289</v>
      </c>
      <c r="G4" s="65">
        <v>1.668431243886042E-2</v>
      </c>
      <c r="H4" s="64" t="s">
        <v>209</v>
      </c>
      <c r="I4" s="147" t="s">
        <v>209</v>
      </c>
      <c r="K4" s="98">
        <f>일일data!$A$4</f>
        <v>45352</v>
      </c>
      <c r="L4" s="68">
        <f>VLOOKUP(EOMONTH(일일data!$A$4,0),일일data!$A:$Y,13,FALSE)</f>
        <v>323919</v>
      </c>
      <c r="M4" s="68" cm="1">
        <f t="array" ref="M4">INDEX('구글시트 data'!P:P,COUNTA('구글시트 data'!P:P))</f>
        <v>0</v>
      </c>
      <c r="N4" s="68">
        <f>COUNTA('FB 콘텐츠 data'!A:A)-1</f>
        <v>13</v>
      </c>
      <c r="O4" s="68" cm="1">
        <f t="array" ref="O4">INDEX('구글시트 data'!F:F,COUNTA('구글시트 data'!F:F)+1)</f>
        <v>199557</v>
      </c>
      <c r="P4" s="68" cm="1">
        <f t="array" ref="P4">INDEX('구글시트 data'!U:U,COUNTA('구글시트 data'!U:U))</f>
        <v>9707</v>
      </c>
      <c r="Q4" s="146">
        <f>P4/O4</f>
        <v>4.8642743677245096E-2</v>
      </c>
      <c r="R4" s="68">
        <f>SUM('FB 신규발행'!F:F)</f>
        <v>235898</v>
      </c>
      <c r="S4" s="148">
        <f>R4/N4</f>
        <v>18146</v>
      </c>
      <c r="T4" s="112"/>
    </row>
    <row r="5" spans="1:25">
      <c r="A5" s="100" t="s">
        <v>124</v>
      </c>
      <c r="B5" s="64">
        <v>327807</v>
      </c>
      <c r="C5" s="64">
        <v>67</v>
      </c>
      <c r="D5" s="64">
        <v>16</v>
      </c>
      <c r="E5" s="64">
        <v>552584</v>
      </c>
      <c r="F5" s="64">
        <v>8677</v>
      </c>
      <c r="G5" s="65">
        <v>1.5702590013464017E-2</v>
      </c>
      <c r="H5" s="64" t="s">
        <v>209</v>
      </c>
      <c r="I5" s="147" t="s">
        <v>209</v>
      </c>
      <c r="T5" s="112"/>
    </row>
    <row r="6" spans="1:25">
      <c r="A6" s="100" t="s">
        <v>122</v>
      </c>
      <c r="B6" s="64">
        <v>327316</v>
      </c>
      <c r="C6" s="64">
        <v>92</v>
      </c>
      <c r="D6" s="64">
        <v>17</v>
      </c>
      <c r="E6" s="64">
        <v>595990</v>
      </c>
      <c r="F6" s="64">
        <v>13547</v>
      </c>
      <c r="G6" s="65">
        <v>2.2730247151797851E-2</v>
      </c>
      <c r="H6" s="64" t="s">
        <v>209</v>
      </c>
      <c r="I6" s="147" t="s">
        <v>209</v>
      </c>
      <c r="L6" s="172" t="str">
        <f>IF(K4=INDEX(A:A,COUNTA(A:A)),"현재 장표 작업 완료, ppt에 아래 표 붙여넣으시오","신규 좋아요 수치 직접 기입 후 위의 초록셀을 왼쪽 표에 값붙하시오")</f>
        <v>현재 장표 작업 완료, ppt에 아래 표 붙여넣으시오</v>
      </c>
      <c r="M6" s="172"/>
      <c r="N6" s="172"/>
      <c r="O6" s="172"/>
      <c r="T6" s="112"/>
      <c r="W6" s="112"/>
    </row>
    <row r="7" spans="1:25">
      <c r="A7" s="100">
        <v>45231</v>
      </c>
      <c r="B7" s="64">
        <v>326663</v>
      </c>
      <c r="C7" s="64">
        <v>83</v>
      </c>
      <c r="D7" s="64">
        <v>14</v>
      </c>
      <c r="E7" s="64">
        <v>411639</v>
      </c>
      <c r="F7" s="64">
        <v>13458</v>
      </c>
      <c r="G7" s="65">
        <v>3.2693695203807223E-2</v>
      </c>
      <c r="H7" s="64" t="s">
        <v>209</v>
      </c>
      <c r="I7" s="147" t="s">
        <v>209</v>
      </c>
      <c r="T7" s="112"/>
    </row>
    <row r="8" spans="1:25">
      <c r="A8" s="100">
        <v>45261</v>
      </c>
      <c r="B8" s="64">
        <v>325870</v>
      </c>
      <c r="C8" s="64">
        <v>43</v>
      </c>
      <c r="D8" s="64">
        <v>19</v>
      </c>
      <c r="E8" s="64">
        <v>326081</v>
      </c>
      <c r="F8" s="64">
        <v>10333</v>
      </c>
      <c r="G8" s="65">
        <v>3.1688445508937964E-2</v>
      </c>
      <c r="H8" s="64" t="s">
        <v>209</v>
      </c>
      <c r="I8" s="147" t="s">
        <v>209</v>
      </c>
      <c r="T8" s="112"/>
      <c r="U8" s="113" t="str" cm="1">
        <f t="array" ref="U8">"• "&amp;MONTH(INDEX(A:A,COUNTA(A:A)))+1&amp;"월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4월 1일 기준 팬 수 323,919명으로 전월 대비 0.17% 감소</v>
      </c>
    </row>
    <row r="9" spans="1:25">
      <c r="A9" s="100">
        <v>45292</v>
      </c>
      <c r="B9" s="64">
        <v>325213</v>
      </c>
      <c r="C9" s="64">
        <v>76</v>
      </c>
      <c r="D9" s="64">
        <v>22</v>
      </c>
      <c r="E9" s="64">
        <v>399275</v>
      </c>
      <c r="F9" s="64">
        <v>15303</v>
      </c>
      <c r="G9" s="65">
        <v>3.8326967628827251E-2</v>
      </c>
      <c r="H9" s="64">
        <v>623243</v>
      </c>
      <c r="I9" s="147">
        <v>28329.227272727272</v>
      </c>
      <c r="L9" s="173" t="s">
        <v>71</v>
      </c>
      <c r="M9" s="173"/>
      <c r="N9" s="173"/>
      <c r="O9" s="173"/>
      <c r="T9" s="112"/>
      <c r="U9" t="str" cm="1">
        <f t="array" ref="U9">"-   "&amp;MONTH(INDEX(A:A,COUNTA(A:A)))&amp;"월 한 달간 페이지 방문 "&amp;TEXT(INDEX('구글시트 data'!S:S,COUNTA('구글시트 data'!S:S)),"#,###")&amp;" 확보, 전월 대비 "&amp;IF(INDEX('구글시트 data'!S:S,COUNTA('구글시트 data'!S:S))&gt;INDEX('구글시트 data'!S:S,COUNTA('구글시트 data'!S:S)-1),TEXT(ABS((INDEX('구글시트 data'!S:S,COUNTA('구글시트 data'!S:S))-INDEX('구글시트 data'!S:S,COUNTA('구글시트 data'!S:S)-1))/INDEX('구글시트 data'!S:S,COUNTA('구글시트 data'!S:S)-1)),"0.00%")&amp;" 증가",TEXT(ABS((INDEX('구글시트 data'!S:S,COUNTA('구글시트 data'!S:S))-INDEX('구글시트 data'!S:S,COUNTA('구글시트 data'!S:S)-1))/INDEX('구글시트 data'!S:S,COUNTA('구글시트 data'!S:S)-1)),"0.00%")&amp;" 감소")</f>
        <v>-   3월 한 달간 페이지 방문 10,145 확보, 전월 대비 17.02% 감소</v>
      </c>
    </row>
    <row r="10" spans="1:25" ht="20.45" customHeight="1">
      <c r="A10" s="100">
        <v>45323</v>
      </c>
      <c r="B10" s="64">
        <v>324457</v>
      </c>
      <c r="C10" s="64">
        <v>0</v>
      </c>
      <c r="D10" s="64">
        <v>12</v>
      </c>
      <c r="E10" s="64">
        <v>173174</v>
      </c>
      <c r="F10" s="64">
        <v>6807</v>
      </c>
      <c r="G10" s="65">
        <v>3.9307286313187889E-2</v>
      </c>
      <c r="H10" s="64">
        <v>228524</v>
      </c>
      <c r="I10" s="147">
        <v>19043.666666666668</v>
      </c>
      <c r="L10" s="71" t="s">
        <v>139</v>
      </c>
      <c r="M10" s="107">
        <f>INDEX(A:A,COUNTA(B:B)-1)</f>
        <v>45323</v>
      </c>
      <c r="N10" s="107">
        <f>INDEX(A:A,COUNTA(B:B))</f>
        <v>45352</v>
      </c>
      <c r="O10" s="70" t="s">
        <v>77</v>
      </c>
      <c r="T10" s="112"/>
      <c r="U10" s="63" t="e" cm="1">
        <f t="array" ref="U10">"-   "&amp;MONTH(INDEX(A:A,COUNTA(A:A)))&amp;"월 한 달간 신규 좋아요 "&amp;TEXT(INDEX(C:C,COUNTA(C:C)),"#,##0")&amp;" 확보, 전월 대비 "&amp;IF(INDEX(C:C,COUNTA(C:C))&gt;INDEX(C:C,COUNTA(C:C)-1),TEXT(ABS((INDEX(C:C,COUNTA(C:C))-INDEX(C:C,COUNTA(C:C)-1))/INDEX(C:C,COUNTA(C:C)-1)),"0.00%")&amp;" 증가",TEXT(ABS((INDEX(C:C,COUNTA(C:C))-INDEX(C:C,COUNTA(C:C)-1))/INDEX(C:C,COUNTA(C:C)-1)),"0.00%")&amp;" 감소")</f>
        <v>#DIV/0!</v>
      </c>
    </row>
    <row r="11" spans="1:25">
      <c r="A11" s="100">
        <v>45352</v>
      </c>
      <c r="B11" s="64">
        <v>323919</v>
      </c>
      <c r="C11" s="64">
        <v>0</v>
      </c>
      <c r="D11" s="64">
        <v>13</v>
      </c>
      <c r="E11" s="64">
        <v>199557</v>
      </c>
      <c r="F11" s="64">
        <v>9707</v>
      </c>
      <c r="G11" s="65">
        <v>4.8642743677245096E-2</v>
      </c>
      <c r="H11" s="64">
        <v>235898</v>
      </c>
      <c r="I11" s="147">
        <v>18146</v>
      </c>
      <c r="L11" s="71" t="s">
        <v>16</v>
      </c>
      <c r="M11" s="72">
        <f>INDEX(B:B,COUNTA(B:B)-1)</f>
        <v>324457</v>
      </c>
      <c r="N11" s="72">
        <f>INDEX(B:B,COUNTA(B:B))</f>
        <v>323919</v>
      </c>
      <c r="O11" s="72" t="str">
        <f>IF(M11&gt;N11,"▼ "&amp;TEXT(ABS((N11-M11)/M11),"0.00%"),"▲ "&amp;TEXT(ABS((N11-M11)/M11),"0.00%"))</f>
        <v>▼ 0.17%</v>
      </c>
      <c r="S11" s="66"/>
      <c r="T11" s="112"/>
      <c r="U11" s="112" t="str" cm="1">
        <f t="array" ref="U11">"• "&amp;MONTH(INDEX(A:A,COUNTA(A:A)))&amp;"월 콘텐츠 도달 "&amp;TEXT(INDEX(E:E,COUNTA(E:E)),"#,##0")&amp;" 확보, 전월 대비 "&amp;IF(INDEX(E:E,COUNTA(E:E))&gt;INDEX(E:E,COUNTA(E:E)-1),TEXT(ABS((INDEX(E:E,COUNTA(E:E))-INDEX(E:E,COUNTA(E:E)-1))/INDEX(E:E,COUNTA(E:E)-1)),"0.00%")&amp;" 증가",TEXT(ABS((INDEX(E:E,COUNTA(E:E))-INDEX(E:E,COUNTA(E:E)-1))/INDEX(E:E,COUNTA(E:E)-1)),"0.00%")&amp;" 감소")</f>
        <v>• 3월 콘텐츠 도달 199,557 확보, 전월 대비 15.23% 증가</v>
      </c>
    </row>
    <row r="12" spans="1:25">
      <c r="A12" s="100"/>
      <c r="B12" s="64"/>
      <c r="C12" s="64"/>
      <c r="D12" s="64"/>
      <c r="E12" s="64"/>
      <c r="F12" s="64"/>
      <c r="G12" s="65"/>
      <c r="H12" s="64"/>
      <c r="I12" s="147"/>
      <c r="L12" s="71" t="s">
        <v>98</v>
      </c>
      <c r="M12" s="72">
        <f>INDEX(C:C,COUNTA(C:C)-1)</f>
        <v>0</v>
      </c>
      <c r="N12" s="72">
        <f>INDEX(C:C,COUNTA(C:C))</f>
        <v>0</v>
      </c>
      <c r="O12" s="72" t="str">
        <f>IF(M12=N12,"-",IF(M12&gt;N12,"▼ "&amp;TEXT(ABS((N12-M12)/M12),"0.00%"),"▲ "&amp;TEXT(ABS((N12-M12)/M12),"0.00%")))</f>
        <v>-</v>
      </c>
      <c r="S12" s="66"/>
      <c r="T12" s="112"/>
      <c r="U12" s="63" t="str" cm="1">
        <f t="array" ref="U12">"-   "&amp;MONTH(INDEX(A:A,COUNTA(A:A)))&amp;"월 콘텐츠 오가닉 도달 "&amp;TEXT(INDEX('구글시트 data'!G:G,COUNTA('구글시트 data'!G:G)),"#,##0")&amp;"로 전월 대비 "&amp;IF(INDEX('구글시트 data'!G:G,COUNTA('구글시트 data'!G:G))&gt;INDEX('구글시트 data'!G:G,COUNTA('구글시트 data'!G:G)-1),TEXT(ABS((INDEX('구글시트 data'!G:G,COUNTA('구글시트 data'!G:G))-INDEX('구글시트 data'!G:G,COUNTA('구글시트 data'!G:G)-1))/INDEX('구글시트 data'!G:G,COUNTA('구글시트 data'!G:G)-1)),"0.00%")&amp;" 증가",TEXT(ABS((INDEX('구글시트 data'!G:G,COUNTA('구글시트 data'!G:G))-INDEX('구글시트 data'!G:G,COUNTA('구글시트 data'!G:G)-1))/INDEX('구글시트 data'!G:G,COUNTA('구글시트 data'!G:G)-1)),"0.00%")&amp;" 감소")</f>
        <v>-   3월 콘텐츠 오가닉 도달 23,786로 전월 대비 4.14% 감소</v>
      </c>
    </row>
    <row r="13" spans="1:25">
      <c r="A13" s="100"/>
      <c r="B13" s="64"/>
      <c r="C13" s="64"/>
      <c r="D13" s="64"/>
      <c r="E13" s="64"/>
      <c r="F13" s="64"/>
      <c r="G13" s="65"/>
      <c r="H13" s="64"/>
      <c r="I13" s="147"/>
      <c r="L13" s="71" t="s">
        <v>17</v>
      </c>
      <c r="M13" s="73">
        <f>INDEX(D:D,COUNTA(D:D)-1)</f>
        <v>12</v>
      </c>
      <c r="N13" s="72">
        <f>INDEX(D:D,COUNTA(D:D))</f>
        <v>13</v>
      </c>
      <c r="O13" s="72" t="str">
        <f t="shared" ref="O13:O15" si="0">IF(M13&gt;N13,"▼ "&amp;TEXT(ABS((N13-M13)/M13),"0.00%"),"▲ "&amp;TEXT(ABS((N13-M13)/M13),"0.00%"))</f>
        <v>▲ 8.33%</v>
      </c>
      <c r="S13" s="66"/>
      <c r="T13" s="112"/>
      <c r="U13" s="63" t="str" cm="1">
        <f t="array" ref="U13">"-   "&amp;MONTH(INDEX(A:A,COUNTA(A:A)))&amp;"월 발행 콘텐츠 도달 "&amp;TEXT(INDEX(H:H,COUNTA(H:H)),"#,###")&amp;"로 전월 대비 "&amp;IF(INDEX(H:H,COUNTA(H:H))&gt;INDEX(H:H,COUNTA(H:H)-1),TEXT(ABS((INDEX(H:H,COUNTA(H:H))-INDEX(H:H,COUNTA(H:H)-1))/INDEX(H:H,COUNTA(H:H)-1)),"0.00%")&amp;" 증가",TEXT(ABS((INDEX(H:H,COUNTA(H:H))-INDEX(H:H,COUNTA(H:H)-1))/INDEX(H:H,COUNTA(H:H)-1)),"0.00%")&amp;" 감소")</f>
        <v>-   3월 발행 콘텐츠 도달 235,898로 전월 대비 3.23% 증가</v>
      </c>
    </row>
    <row r="14" spans="1:25">
      <c r="A14" s="100"/>
      <c r="B14" s="64"/>
      <c r="C14" s="64"/>
      <c r="D14" s="64"/>
      <c r="E14" s="64"/>
      <c r="F14" s="64"/>
      <c r="G14" s="65"/>
      <c r="H14" s="64"/>
      <c r="I14" s="147"/>
      <c r="L14" s="71" t="s">
        <v>18</v>
      </c>
      <c r="M14" s="72">
        <f>INDEX(E:E,COUNTA(D:D)-1)</f>
        <v>173174</v>
      </c>
      <c r="N14" s="72">
        <f>INDEX(E:E,COUNTA(D:D))</f>
        <v>199557</v>
      </c>
      <c r="O14" s="72" t="str">
        <f t="shared" si="0"/>
        <v>▲ 15.23%</v>
      </c>
      <c r="S14" s="66"/>
      <c r="T14" s="112"/>
      <c r="U14" s="63" t="str" cm="1">
        <f t="array" ref="U14">"-   "&amp;MONTH(INDEX(A:A,COUNTA(A:A)))&amp;"월 발행 콘텐츠 평균 도달 "&amp;TEXT(INDEX(I:I,COUNTA(I:I)),"#,###")&amp;"로 전월 대비 "&amp;IF(INDEX(I:I,COUNTA(I:I))&gt;INDEX(I:I,COUNTA(I:I)-1),TEXT(ABS((INDEX(I:I,COUNTA(I:I))-INDEX(I:I,COUNTA(I:I)-1))/INDEX(I:I,COUNTA(I:I)-1)),"0.00%")&amp;" 증가",TEXT(ABS((INDEX(I:I,COUNTA(I:I))-INDEX(I:I,COUNTA(I:I)-1))/INDEX(I:I,COUNTA(I:I)-1)),"0.00%")&amp;" 감소")</f>
        <v>-   3월 발행 콘텐츠 평균 도달 18,146로 전월 대비 4.71% 감소</v>
      </c>
      <c r="X14" s="142"/>
      <c r="Y14" s="120"/>
    </row>
    <row r="15" spans="1:25">
      <c r="A15" s="100"/>
      <c r="B15" s="64"/>
      <c r="C15" s="64"/>
      <c r="D15" s="64"/>
      <c r="E15" s="64"/>
      <c r="F15" s="64"/>
      <c r="G15" s="65"/>
      <c r="H15" s="64"/>
      <c r="I15" s="147"/>
      <c r="L15" s="71" t="s">
        <v>64</v>
      </c>
      <c r="M15" s="72">
        <f>INDEX(F:F,COUNTA(D:D)-1)</f>
        <v>6807</v>
      </c>
      <c r="N15" s="72">
        <f>INDEX(F:F,COUNTA(D:D))</f>
        <v>9707</v>
      </c>
      <c r="O15" s="72" t="str">
        <f t="shared" si="0"/>
        <v>▲ 42.60%</v>
      </c>
      <c r="S15" s="66"/>
      <c r="T15" s="112"/>
      <c r="U15" s="112" t="str" cm="1">
        <f t="array" ref="U15">"• "&amp;MONTH(INDEX(A:A,COUNTA(A:A)))&amp;"월 한 달간 콘텐츠 인터랙션 "&amp;TEXT(INDEX('구글시트 data'!U:U,COUNTA('구글시트 data'!U:U)),"#,###")&amp;" 확보, 전월 대비 "&amp;IF(INDEX('구글시트 data'!U:U,COUNTA('구글시트 data'!U:U))&gt;INDEX('구글시트 data'!U:U,COUNTA('구글시트 data'!U:U)-1),TEXT(ABS((INDEX('구글시트 data'!U:U,COUNTA('구글시트 data'!U:U))-INDEX('구글시트 data'!U:U,COUNTA('구글시트 data'!U:U)-1))/INDEX('구글시트 data'!U:U,COUNTA('구글시트 data'!U:U)-1)),"0.00%")&amp;" 증가",TEXT(ABS((INDEX('구글시트 data'!U:U,COUNTA('구글시트 data'!U:U))-INDEX('구글시트 data'!U:U,COUNTA('구글시트 data'!U:U)-1))/INDEX('구글시트 data'!U:U,COUNTA('구글시트 data'!U:U)-1)),"0.00%")&amp;" 감소")</f>
        <v>• 3월 한 달간 콘텐츠 인터랙션 9,707 확보, 전월 대비 42.60% 증가</v>
      </c>
    </row>
    <row r="16" spans="1:25">
      <c r="A16" s="100"/>
      <c r="B16" s="64"/>
      <c r="C16" s="64"/>
      <c r="D16" s="64"/>
      <c r="E16" s="64"/>
      <c r="F16" s="64"/>
      <c r="G16" s="65"/>
      <c r="H16" s="64"/>
      <c r="I16" s="147"/>
      <c r="L16" s="71" t="s">
        <v>65</v>
      </c>
      <c r="M16" s="74">
        <f>INDEX(G:G,COUNTA(D:D)-1)</f>
        <v>3.9307286313187889E-2</v>
      </c>
      <c r="N16" s="74">
        <f>INDEX(G:G,COUNTA(D:D))</f>
        <v>4.8642743677245096E-2</v>
      </c>
      <c r="O16" s="72" t="str">
        <f>IF(M16&gt;N16,"▼ "&amp;TEXT(100*ABS(N16-M16),"0.00")&amp;"%p","▲ "&amp;TEXT(100*ABS(N16-M16),"0.00")&amp;"%p")</f>
        <v>▲ 0.93%p</v>
      </c>
      <c r="S16" s="66"/>
      <c r="T16" s="112"/>
      <c r="U16" s="63" t="str" cm="1">
        <f t="array" ref="U16">"-   링크 클릭 "&amp;TEXT(INDEX('구글시트 data'!V:V,COUNTA('구글시트 data'!V:V)),"#,###")&amp;"회 확보"</f>
        <v>-   링크 클릭 2,306회 확보</v>
      </c>
    </row>
    <row r="17" spans="1:23">
      <c r="A17" s="100"/>
      <c r="B17" s="64"/>
      <c r="C17" s="64"/>
      <c r="D17" s="64"/>
      <c r="E17" s="64"/>
      <c r="F17" s="64"/>
      <c r="G17" s="65"/>
      <c r="H17" s="64"/>
      <c r="I17" s="147"/>
      <c r="L17" s="67"/>
      <c r="T17" s="112"/>
    </row>
    <row r="18" spans="1:23">
      <c r="A18" s="100"/>
      <c r="B18" s="64"/>
      <c r="C18" s="64"/>
      <c r="D18" s="64"/>
      <c r="E18" s="64"/>
      <c r="F18" s="64"/>
      <c r="G18" s="65"/>
      <c r="H18" s="64"/>
      <c r="I18" s="147"/>
      <c r="T18" s="112"/>
    </row>
    <row r="19" spans="1:23">
      <c r="A19" s="100"/>
      <c r="B19" s="64"/>
      <c r="C19" s="64"/>
      <c r="D19" s="64"/>
      <c r="E19" s="64"/>
      <c r="F19" s="64"/>
      <c r="G19" s="65"/>
      <c r="H19" s="64"/>
      <c r="I19" s="147"/>
      <c r="T19" s="112"/>
    </row>
    <row r="20" spans="1:23">
      <c r="A20" s="100"/>
      <c r="B20" s="64"/>
      <c r="C20" s="64"/>
      <c r="D20" s="64"/>
      <c r="E20" s="64"/>
      <c r="F20" s="64"/>
      <c r="G20" s="65"/>
      <c r="H20" s="64"/>
      <c r="I20" s="147"/>
      <c r="T20" s="112"/>
    </row>
    <row r="21" spans="1:23">
      <c r="A21" s="100"/>
      <c r="B21" s="64"/>
      <c r="C21" s="64"/>
      <c r="D21" s="64"/>
      <c r="E21" s="64"/>
      <c r="F21" s="64"/>
      <c r="G21" s="65"/>
      <c r="H21" s="64"/>
      <c r="I21" s="147"/>
      <c r="T21" s="112"/>
    </row>
    <row r="22" spans="1:23">
      <c r="A22" s="100"/>
      <c r="B22" s="64"/>
      <c r="C22" s="64"/>
      <c r="D22" s="64"/>
      <c r="E22" s="64"/>
      <c r="F22" s="64"/>
      <c r="G22" s="65"/>
      <c r="H22" s="64"/>
      <c r="I22" s="147"/>
      <c r="T22" s="112"/>
    </row>
    <row r="23" spans="1:23">
      <c r="A23" s="100"/>
      <c r="B23" s="64"/>
      <c r="C23" s="64"/>
      <c r="D23" s="64"/>
      <c r="E23" s="64"/>
      <c r="F23" s="64"/>
      <c r="G23" s="65"/>
      <c r="H23" s="64"/>
      <c r="I23" s="147"/>
      <c r="T23" s="112"/>
    </row>
    <row r="24" spans="1:23">
      <c r="A24" s="100"/>
      <c r="B24" s="64"/>
      <c r="C24" s="64"/>
      <c r="D24" s="64"/>
      <c r="E24" s="64"/>
      <c r="F24" s="64"/>
      <c r="G24" s="65"/>
      <c r="H24" s="64"/>
      <c r="I24" s="147"/>
      <c r="T24" s="112"/>
      <c r="W24" s="149"/>
    </row>
    <row r="25" spans="1:23">
      <c r="A25" s="100"/>
      <c r="B25" s="64"/>
      <c r="C25" s="64"/>
      <c r="D25" s="64"/>
      <c r="E25" s="64"/>
      <c r="F25" s="64"/>
      <c r="G25" s="65"/>
      <c r="H25" s="64"/>
      <c r="I25" s="147"/>
      <c r="T25" s="112"/>
    </row>
    <row r="26" spans="1:23">
      <c r="A26" s="100"/>
      <c r="B26" s="64"/>
      <c r="C26" s="64"/>
      <c r="D26" s="64"/>
      <c r="E26" s="64"/>
      <c r="F26" s="64"/>
      <c r="G26" s="65"/>
      <c r="H26" s="64"/>
      <c r="I26" s="147"/>
      <c r="T26" s="112"/>
    </row>
    <row r="27" spans="1:23">
      <c r="A27" s="100"/>
      <c r="B27" s="64"/>
      <c r="C27" s="64"/>
      <c r="D27" s="64"/>
      <c r="E27" s="64"/>
      <c r="F27" s="64"/>
      <c r="G27" s="65"/>
      <c r="H27" s="64"/>
      <c r="I27" s="147"/>
      <c r="T27" s="112"/>
    </row>
    <row r="28" spans="1:23">
      <c r="A28" s="100"/>
      <c r="B28" s="64"/>
      <c r="C28" s="64"/>
      <c r="D28" s="64"/>
      <c r="E28" s="64"/>
      <c r="F28" s="64"/>
      <c r="G28" s="65"/>
      <c r="H28" s="64"/>
      <c r="I28" s="147"/>
      <c r="T28" s="112"/>
    </row>
    <row r="29" spans="1:23">
      <c r="A29" s="100"/>
      <c r="B29" s="64"/>
      <c r="C29" s="64"/>
      <c r="D29" s="64"/>
      <c r="E29" s="64"/>
      <c r="F29" s="64"/>
      <c r="G29" s="65"/>
      <c r="H29" s="64"/>
      <c r="I29" s="147"/>
      <c r="T29" s="112"/>
    </row>
    <row r="30" spans="1:23">
      <c r="A30" s="100"/>
      <c r="B30" s="64"/>
      <c r="C30" s="64"/>
      <c r="D30" s="64"/>
      <c r="E30" s="64"/>
      <c r="F30" s="64"/>
      <c r="G30" s="65"/>
      <c r="H30" s="64"/>
      <c r="I30" s="147"/>
      <c r="T30" s="112"/>
    </row>
    <row r="31" spans="1:23">
      <c r="A31" s="100"/>
      <c r="B31" s="64"/>
      <c r="C31" s="64"/>
      <c r="D31" s="64"/>
      <c r="E31" s="64"/>
      <c r="F31" s="64"/>
      <c r="G31" s="65"/>
      <c r="H31" s="64"/>
      <c r="I31" s="147"/>
      <c r="T31" s="112"/>
    </row>
    <row r="32" spans="1:23">
      <c r="A32" s="100"/>
      <c r="B32" s="64"/>
      <c r="C32" s="64"/>
      <c r="D32" s="64"/>
      <c r="E32" s="64"/>
      <c r="F32" s="64"/>
      <c r="G32" s="65"/>
      <c r="H32" s="64"/>
      <c r="I32" s="147"/>
      <c r="T32" s="112"/>
    </row>
    <row r="33" spans="1:20">
      <c r="A33" s="100"/>
      <c r="B33" s="64"/>
      <c r="C33" s="64"/>
      <c r="D33" s="64"/>
      <c r="E33" s="64"/>
      <c r="F33" s="64"/>
      <c r="G33" s="65"/>
      <c r="H33" s="64"/>
      <c r="I33" s="147"/>
      <c r="T33" s="112"/>
    </row>
    <row r="34" spans="1:20">
      <c r="A34" s="100"/>
      <c r="B34" s="64"/>
      <c r="C34" s="64"/>
      <c r="D34" s="64"/>
      <c r="E34" s="64"/>
      <c r="F34" s="64"/>
      <c r="G34" s="65"/>
      <c r="H34" s="64"/>
      <c r="I34" s="147"/>
      <c r="T34" s="112"/>
    </row>
    <row r="35" spans="1:20">
      <c r="A35" s="100"/>
      <c r="B35" s="64"/>
      <c r="C35" s="64"/>
      <c r="D35" s="64"/>
      <c r="E35" s="64"/>
      <c r="F35" s="64"/>
      <c r="G35" s="65"/>
      <c r="H35" s="64"/>
      <c r="I35" s="147"/>
      <c r="T35" s="112"/>
    </row>
    <row r="36" spans="1:20">
      <c r="A36" s="100"/>
      <c r="B36" s="64"/>
      <c r="C36" s="64"/>
      <c r="D36" s="64"/>
      <c r="E36" s="64"/>
      <c r="F36" s="64"/>
      <c r="G36" s="65"/>
      <c r="H36" s="64"/>
      <c r="I36" s="147"/>
      <c r="T36" s="112"/>
    </row>
    <row r="37" spans="1:20">
      <c r="A37" s="100"/>
      <c r="B37" s="64"/>
      <c r="C37" s="64"/>
      <c r="D37" s="64"/>
      <c r="E37" s="64"/>
      <c r="F37" s="64"/>
      <c r="G37" s="65"/>
      <c r="H37" s="64"/>
      <c r="I37" s="147"/>
      <c r="T37" s="112"/>
    </row>
    <row r="38" spans="1:20">
      <c r="A38" s="100"/>
      <c r="B38" s="64"/>
      <c r="C38" s="64"/>
      <c r="D38" s="64"/>
      <c r="E38" s="64"/>
      <c r="F38" s="64"/>
      <c r="G38" s="65"/>
      <c r="H38" s="64"/>
      <c r="I38" s="147"/>
      <c r="T38" s="112"/>
    </row>
    <row r="39" spans="1:20">
      <c r="A39" s="100"/>
      <c r="B39" s="64"/>
      <c r="C39" s="64"/>
      <c r="D39" s="64"/>
      <c r="E39" s="64"/>
      <c r="F39" s="64"/>
      <c r="G39" s="65"/>
      <c r="H39" s="64"/>
      <c r="I39" s="147"/>
      <c r="T39" s="112"/>
    </row>
    <row r="40" spans="1:20">
      <c r="A40" s="100"/>
      <c r="B40" s="64"/>
      <c r="C40" s="64"/>
      <c r="D40" s="64"/>
      <c r="E40" s="64"/>
      <c r="F40" s="64"/>
      <c r="G40" s="65"/>
      <c r="H40" s="64"/>
      <c r="I40" s="147"/>
      <c r="T40" s="112"/>
    </row>
    <row r="41" spans="1:20">
      <c r="A41" s="100"/>
      <c r="B41" s="64"/>
      <c r="C41" s="64"/>
      <c r="D41" s="64"/>
      <c r="E41" s="64"/>
      <c r="F41" s="64"/>
      <c r="G41" s="65"/>
      <c r="H41" s="64"/>
      <c r="I41" s="147"/>
      <c r="T41" s="112"/>
    </row>
    <row r="42" spans="1:20">
      <c r="A42" s="100"/>
      <c r="B42" s="64"/>
      <c r="C42" s="64"/>
      <c r="D42" s="64"/>
      <c r="E42" s="64"/>
      <c r="F42" s="64"/>
      <c r="G42" s="65"/>
      <c r="H42" s="64"/>
      <c r="I42" s="147"/>
      <c r="T42" s="112"/>
    </row>
    <row r="43" spans="1:20">
      <c r="A43" s="100"/>
      <c r="B43" s="64"/>
      <c r="C43" s="64"/>
      <c r="D43" s="64"/>
      <c r="E43" s="64"/>
      <c r="F43" s="64"/>
      <c r="G43" s="65"/>
      <c r="H43" s="64"/>
      <c r="I43" s="147"/>
      <c r="T43" s="112"/>
    </row>
    <row r="44" spans="1:20">
      <c r="A44" s="100"/>
      <c r="B44" s="64"/>
      <c r="C44" s="64"/>
      <c r="D44" s="64"/>
      <c r="E44" s="64"/>
      <c r="F44" s="64"/>
      <c r="G44" s="65"/>
      <c r="H44" s="64"/>
      <c r="I44" s="147"/>
      <c r="T44" s="112"/>
    </row>
    <row r="45" spans="1:20">
      <c r="A45" s="100"/>
      <c r="B45" s="64"/>
      <c r="C45" s="64"/>
      <c r="D45" s="64"/>
      <c r="E45" s="64"/>
      <c r="F45" s="64"/>
      <c r="G45" s="65"/>
      <c r="H45" s="64"/>
      <c r="I45" s="147"/>
      <c r="T45" s="112"/>
    </row>
    <row r="46" spans="1:20">
      <c r="A46" s="100"/>
      <c r="B46" s="64"/>
      <c r="C46" s="64"/>
      <c r="D46" s="64"/>
      <c r="E46" s="64"/>
      <c r="F46" s="64"/>
      <c r="G46" s="65"/>
      <c r="H46" s="64"/>
      <c r="I46" s="147"/>
      <c r="T46" s="112"/>
    </row>
    <row r="47" spans="1:20">
      <c r="A47" s="100"/>
      <c r="B47" s="64"/>
      <c r="C47" s="64"/>
      <c r="D47" s="64"/>
      <c r="E47" s="64"/>
      <c r="F47" s="64"/>
      <c r="G47" s="65"/>
      <c r="H47" s="64"/>
      <c r="I47" s="147"/>
      <c r="T47" s="112"/>
    </row>
    <row r="48" spans="1:20">
      <c r="A48" s="100"/>
      <c r="B48" s="64"/>
      <c r="C48" s="64"/>
      <c r="D48" s="64"/>
      <c r="E48" s="64"/>
      <c r="F48" s="64"/>
      <c r="G48" s="65"/>
      <c r="H48" s="64"/>
      <c r="I48" s="147"/>
      <c r="T48" s="112"/>
    </row>
    <row r="49" spans="1:20">
      <c r="A49" s="100"/>
      <c r="B49" s="64"/>
      <c r="C49" s="64"/>
      <c r="D49" s="64"/>
      <c r="E49" s="64"/>
      <c r="F49" s="64"/>
      <c r="G49" s="65"/>
      <c r="H49" s="64"/>
      <c r="I49" s="147"/>
      <c r="T49" s="112"/>
    </row>
    <row r="50" spans="1:20">
      <c r="A50" s="100"/>
      <c r="B50" s="64"/>
      <c r="C50" s="64"/>
      <c r="D50" s="64"/>
      <c r="E50" s="64"/>
      <c r="F50" s="64"/>
      <c r="G50" s="65"/>
      <c r="H50" s="64"/>
      <c r="I50" s="147"/>
    </row>
    <row r="51" spans="1:20">
      <c r="A51" s="100"/>
      <c r="B51" s="64"/>
      <c r="C51" s="64"/>
      <c r="D51" s="64"/>
      <c r="E51" s="64"/>
      <c r="F51" s="64"/>
      <c r="G51" s="65"/>
      <c r="H51" s="64"/>
      <c r="I51" s="147"/>
    </row>
    <row r="52" spans="1:20">
      <c r="A52" s="100"/>
      <c r="B52" s="64"/>
      <c r="C52" s="64"/>
      <c r="D52" s="64"/>
      <c r="E52" s="64"/>
      <c r="F52" s="64"/>
      <c r="G52" s="65"/>
      <c r="H52" s="64"/>
      <c r="I52" s="147"/>
    </row>
    <row r="53" spans="1:20">
      <c r="A53" s="100"/>
      <c r="B53" s="64"/>
      <c r="C53" s="64"/>
      <c r="D53" s="64"/>
      <c r="E53" s="64"/>
      <c r="F53" s="64"/>
      <c r="G53" s="65"/>
      <c r="H53" s="64"/>
      <c r="I53" s="147"/>
    </row>
    <row r="54" spans="1:20">
      <c r="A54" s="100"/>
      <c r="B54" s="64"/>
      <c r="C54" s="64"/>
      <c r="D54" s="64"/>
      <c r="E54" s="64"/>
      <c r="F54" s="64"/>
      <c r="G54" s="65"/>
      <c r="H54" s="64"/>
      <c r="I54" s="147"/>
    </row>
    <row r="55" spans="1:20">
      <c r="A55" s="100"/>
      <c r="B55" s="64"/>
      <c r="C55" s="64"/>
      <c r="D55" s="64"/>
      <c r="E55" s="64"/>
      <c r="F55" s="64"/>
      <c r="G55" s="65"/>
      <c r="H55" s="64"/>
      <c r="I55" s="147"/>
    </row>
    <row r="56" spans="1:20">
      <c r="A56" s="100"/>
      <c r="B56" s="64"/>
      <c r="C56" s="64"/>
      <c r="D56" s="64"/>
      <c r="E56" s="64"/>
      <c r="F56" s="64"/>
      <c r="G56" s="65"/>
      <c r="H56" s="64"/>
      <c r="I56" s="147"/>
    </row>
    <row r="57" spans="1:20">
      <c r="A57" s="100"/>
      <c r="B57" s="64"/>
      <c r="C57" s="64"/>
      <c r="D57" s="64"/>
      <c r="E57" s="64"/>
      <c r="F57" s="64"/>
      <c r="G57" s="65"/>
      <c r="H57" s="64"/>
      <c r="I57" s="147"/>
    </row>
    <row r="58" spans="1:20">
      <c r="A58" s="100"/>
      <c r="B58" s="64"/>
      <c r="C58" s="64"/>
      <c r="D58" s="64"/>
      <c r="E58" s="64"/>
      <c r="F58" s="64"/>
      <c r="G58" s="65"/>
      <c r="H58" s="64"/>
      <c r="I58" s="147"/>
    </row>
    <row r="59" spans="1:20">
      <c r="A59" s="100"/>
      <c r="B59" s="64"/>
      <c r="C59" s="64"/>
      <c r="D59" s="64"/>
      <c r="E59" s="64"/>
      <c r="F59" s="64"/>
      <c r="G59" s="65"/>
      <c r="H59" s="64"/>
      <c r="I59" s="147"/>
    </row>
    <row r="60" spans="1:20">
      <c r="A60" s="100"/>
      <c r="B60" s="64"/>
      <c r="C60" s="64"/>
      <c r="D60" s="64"/>
      <c r="E60" s="64"/>
      <c r="F60" s="64"/>
      <c r="G60" s="65"/>
      <c r="H60" s="64"/>
      <c r="I60" s="147"/>
    </row>
    <row r="61" spans="1:20">
      <c r="A61" s="100"/>
      <c r="B61" s="64"/>
      <c r="C61" s="64"/>
      <c r="D61" s="64"/>
      <c r="E61" s="64"/>
      <c r="F61" s="64"/>
      <c r="G61" s="65"/>
      <c r="H61" s="64"/>
      <c r="I61" s="147"/>
    </row>
    <row r="62" spans="1:20">
      <c r="A62" s="100"/>
      <c r="B62" s="64"/>
      <c r="C62" s="64"/>
      <c r="D62" s="64"/>
      <c r="E62" s="64"/>
      <c r="F62" s="64"/>
      <c r="G62" s="65"/>
      <c r="H62" s="64"/>
      <c r="I62" s="147"/>
    </row>
    <row r="63" spans="1:20">
      <c r="A63" s="100"/>
      <c r="B63" s="64"/>
      <c r="C63" s="64"/>
      <c r="D63" s="64"/>
      <c r="E63" s="64"/>
      <c r="F63" s="64"/>
      <c r="G63" s="65"/>
      <c r="H63" s="64"/>
      <c r="I63" s="147"/>
    </row>
    <row r="64" spans="1:20">
      <c r="A64" s="100"/>
      <c r="B64" s="64"/>
      <c r="C64" s="64"/>
      <c r="D64" s="64"/>
      <c r="E64" s="64"/>
      <c r="F64" s="64"/>
      <c r="G64" s="65"/>
      <c r="H64" s="64"/>
      <c r="I64" s="147"/>
    </row>
    <row r="65" spans="1:9">
      <c r="A65" s="100"/>
      <c r="B65" s="64"/>
      <c r="C65" s="64"/>
      <c r="D65" s="64"/>
      <c r="E65" s="64"/>
      <c r="F65" s="64"/>
      <c r="G65" s="65"/>
      <c r="H65" s="64"/>
      <c r="I65" s="147"/>
    </row>
    <row r="66" spans="1:9">
      <c r="A66" s="100"/>
      <c r="B66" s="64"/>
      <c r="C66" s="64"/>
      <c r="D66" s="64"/>
      <c r="E66" s="64"/>
      <c r="F66" s="64"/>
      <c r="G66" s="65"/>
      <c r="H66" s="64"/>
      <c r="I66" s="147"/>
    </row>
    <row r="67" spans="1:9">
      <c r="A67" s="100"/>
      <c r="B67" s="64"/>
      <c r="C67" s="64"/>
      <c r="D67" s="64"/>
      <c r="E67" s="64"/>
      <c r="F67" s="64"/>
      <c r="G67" s="65"/>
      <c r="H67" s="64"/>
      <c r="I67" s="147"/>
    </row>
    <row r="68" spans="1:9">
      <c r="A68" s="100"/>
      <c r="B68" s="64"/>
      <c r="C68" s="64"/>
      <c r="D68" s="64"/>
      <c r="E68" s="64"/>
      <c r="F68" s="64"/>
      <c r="G68" s="65"/>
      <c r="H68" s="64"/>
      <c r="I68" s="147"/>
    </row>
    <row r="69" spans="1:9">
      <c r="A69" s="100"/>
      <c r="B69" s="64"/>
      <c r="C69" s="64"/>
      <c r="D69" s="64"/>
      <c r="E69" s="64"/>
      <c r="F69" s="64"/>
      <c r="G69" s="65"/>
      <c r="H69" s="64"/>
      <c r="I69" s="147"/>
    </row>
    <row r="70" spans="1:9">
      <c r="A70" s="100"/>
      <c r="B70" s="64"/>
      <c r="C70" s="64"/>
      <c r="D70" s="64"/>
      <c r="E70" s="64"/>
      <c r="F70" s="64"/>
      <c r="G70" s="65"/>
      <c r="H70" s="64"/>
      <c r="I70" s="147"/>
    </row>
    <row r="71" spans="1:9">
      <c r="A71" s="100"/>
      <c r="B71" s="64"/>
      <c r="C71" s="64"/>
      <c r="D71" s="64"/>
      <c r="E71" s="64"/>
      <c r="F71" s="64"/>
      <c r="G71" s="65"/>
      <c r="H71" s="64"/>
      <c r="I71" s="147"/>
    </row>
    <row r="72" spans="1:9">
      <c r="A72" s="100"/>
      <c r="B72" s="64"/>
      <c r="C72" s="64"/>
      <c r="D72" s="64"/>
      <c r="E72" s="64"/>
      <c r="F72" s="64"/>
      <c r="G72" s="65"/>
      <c r="H72" s="64"/>
      <c r="I72" s="147"/>
    </row>
    <row r="73" spans="1:9">
      <c r="A73" s="100"/>
      <c r="B73" s="64"/>
      <c r="C73" s="64"/>
      <c r="D73" s="64"/>
      <c r="E73" s="64"/>
      <c r="F73" s="64"/>
      <c r="G73" s="65"/>
      <c r="H73" s="64"/>
      <c r="I73" s="147"/>
    </row>
    <row r="74" spans="1:9">
      <c r="A74" s="100"/>
      <c r="B74" s="64"/>
      <c r="C74" s="64"/>
      <c r="D74" s="64"/>
      <c r="E74" s="64"/>
      <c r="F74" s="64"/>
      <c r="G74" s="65"/>
      <c r="H74" s="64"/>
      <c r="I74" s="147"/>
    </row>
  </sheetData>
  <mergeCells count="3">
    <mergeCell ref="L6:O6"/>
    <mergeCell ref="L9:O9"/>
    <mergeCell ref="K2:S2"/>
  </mergeCells>
  <phoneticPr fontId="1" type="noConversion"/>
  <conditionalFormatting sqref="L6:O6">
    <cfRule type="containsText" dxfId="1" priority="1" operator="containsText" text="값붙">
      <formula>NOT(ISERROR(SEARCH("값붙",L6)))</formula>
    </cfRule>
  </conditionalFormatting>
  <pageMargins left="0.7" right="0.7" top="0.75" bottom="0.75" header="0.3" footer="0.3"/>
  <ignoredErrors>
    <ignoredError sqref="O12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Y82"/>
  <sheetViews>
    <sheetView zoomScale="85" zoomScaleNormal="85" workbookViewId="0">
      <selection activeCell="V3" sqref="V3"/>
    </sheetView>
  </sheetViews>
  <sheetFormatPr defaultRowHeight="16.5"/>
  <cols>
    <col min="1" max="1" width="8.75"/>
    <col min="2" max="2" width="10" customWidth="1"/>
    <col min="3" max="3" width="9.25" customWidth="1"/>
    <col min="4" max="4" width="52.75" customWidth="1"/>
    <col min="18" max="18" width="15.25" customWidth="1"/>
    <col min="20" max="21" width="3.375" bestFit="1" customWidth="1"/>
  </cols>
  <sheetData>
    <row r="1" spans="1:25">
      <c r="R1" s="46"/>
      <c r="Y1" s="118" t="s">
        <v>136</v>
      </c>
    </row>
    <row r="2" spans="1:25" ht="21">
      <c r="A2" s="121"/>
      <c r="B2" s="122" t="s">
        <v>49</v>
      </c>
      <c r="C2" s="122" t="s">
        <v>59</v>
      </c>
      <c r="D2" s="123" t="s">
        <v>58</v>
      </c>
      <c r="E2" s="122" t="s">
        <v>61</v>
      </c>
      <c r="F2" s="122" t="s">
        <v>169</v>
      </c>
      <c r="G2" s="122" t="s">
        <v>257</v>
      </c>
      <c r="H2" s="122" t="s">
        <v>60</v>
      </c>
      <c r="I2" s="122" t="s">
        <v>88</v>
      </c>
      <c r="J2" s="122" t="s">
        <v>20</v>
      </c>
      <c r="K2" s="122" t="s">
        <v>156</v>
      </c>
      <c r="L2" s="122" t="s">
        <v>142</v>
      </c>
      <c r="M2" s="122" t="s">
        <v>170</v>
      </c>
      <c r="N2" s="122" t="s">
        <v>140</v>
      </c>
      <c r="O2" s="122" t="s">
        <v>50</v>
      </c>
      <c r="P2" s="122" t="s">
        <v>141</v>
      </c>
      <c r="Q2" s="122" t="s">
        <v>62</v>
      </c>
      <c r="R2" s="122" t="s">
        <v>65</v>
      </c>
      <c r="Y2" s="118" t="s">
        <v>171</v>
      </c>
    </row>
    <row r="3" spans="1:25" ht="17.45" customHeight="1">
      <c r="A3" s="129">
        <v>1</v>
      </c>
      <c r="B3" s="124">
        <f>IFERROR(INDEX('FB 콘텐츠 data'!AU:AU,MATCH('FB 신규발행'!A3,'FB 콘텐츠 data'!AV:AV,0)),"")</f>
        <v>45351</v>
      </c>
      <c r="C3" s="125" t="str">
        <f>IFERROR(INDEX('FB 콘텐츠 data'!$A$1:$AL$25,MATCH('FB 신규발행'!$A3,'FB 콘텐츠 data'!$AV:$AV,0),MATCH(C$2,'FB 콘텐츠 data'!$A$1:$AL$1,0)),"")</f>
        <v>사진</v>
      </c>
      <c r="D3" s="128" t="str">
        <f>IFERROR(IF(INDEX('FB 콘텐츠 data 제목 입력'!C:C,MATCH('FB 신규발행'!A3,'FB 콘텐츠 data 제목 입력'!A:A,0))=0,"",INDEX('FB 콘텐츠 data 제목 입력'!C:C,MATCH('FB 신규발행'!A3,'FB 콘텐츠 data 제목 입력'!A:A,0))),"")</f>
        <v>삼일절</v>
      </c>
      <c r="E3" s="126">
        <f>IFERROR(INDEX('FB 콘텐츠 data'!$A$1:$AL$25,MATCH('FB 신규발행'!$A3,'FB 콘텐츠 data'!$AV:$AV,0),MATCH(E$2,'FB 콘텐츠 data'!$A$1:$AL$1,0)),"")</f>
        <v>15976</v>
      </c>
      <c r="F3" s="126">
        <f>IFERROR(INDEX('FB 콘텐츠 data'!$A$1:$AL$25,MATCH('FB 신규발행'!$A3,'FB 콘텐츠 data'!$AV:$AV,0),MATCH(F$2,'FB 콘텐츠 data'!$A$1:$AL$1,0)),"")</f>
        <v>11750</v>
      </c>
      <c r="G3" s="126">
        <f>IFERROR(INDEX('FB 콘텐츠 data'!$A$1:$AL$25,MATCH('FB 신규발행'!$A3,'FB 콘텐츠 data'!$AV:$AV,0),MATCH(G$2,'FB 콘텐츠 data'!$A$1:$AL$1,0)),"")</f>
        <v>4523</v>
      </c>
      <c r="H3" s="126">
        <f t="shared" ref="H3:H34" si="0">IF(B3="","",I3+J3+O3+Q3)</f>
        <v>1409</v>
      </c>
      <c r="I3" s="126">
        <f>IFERROR(INDEX('FB 콘텐츠 data'!$A$1:$AL$25,MATCH('FB 신규발행'!$A3,'FB 콘텐츠 data'!$AV:$AV,0),MATCH(I$2,'FB 콘텐츠 data'!$A$1:$AL$1,0)),"")</f>
        <v>1102</v>
      </c>
      <c r="J3" s="126">
        <f>IFERROR(INDEX('FB 콘텐츠 data'!$A$1:$AL$25,MATCH('FB 신규발행'!$A3,'FB 콘텐츠 data'!$AV:$AV,0),MATCH(J$2,'FB 콘텐츠 data'!$A$1:$AL$1,0)),"")</f>
        <v>74</v>
      </c>
      <c r="K3" s="216">
        <f>IFERROR(INDEX('FB 콘텐츠 data'!$A$1:$AV$25,MATCH('FB 신규발행'!$A3,'FB 콘텐츠 data'!$AV:$AV,0),MATCH(K$2,'FB 콘텐츠 data'!$A$1:$AV$1,0)),"")</f>
        <v>0</v>
      </c>
      <c r="L3" s="126">
        <f>IFERROR(INDEX('FB 콘텐츠 data'!$A$1:$AL$25,MATCH('FB 신규발행'!$A3,'FB 콘텐츠 data'!$AV:$AV,0),MATCH(L$2,'FB 콘텐츠 data'!$A$1:$AL$1,0)),"")</f>
        <v>0</v>
      </c>
      <c r="M3" s="126">
        <f>IFERROR(INDEX('FB 콘텐츠 data'!$A$1:$AL$25,MATCH('FB 신규발행'!$A3,'FB 콘텐츠 data'!$AV:$AV,0),MATCH(M$2,'FB 콘텐츠 data'!$A$1:$AL$1,0)),"")</f>
        <v>61</v>
      </c>
      <c r="N3" s="126">
        <f>IFERROR(INDEX('FB 콘텐츠 data'!$A$1:$AL$25,MATCH('FB 신규발행'!$A3,'FB 콘텐츠 data'!$AV:$AV,0),MATCH(N$2,'FB 콘텐츠 data'!$A$1:$AL$1,0)),"")</f>
        <v>3</v>
      </c>
      <c r="O3" s="126">
        <f>IFERROR(INDEX('FB 콘텐츠 data'!$A$1:$AL$25,MATCH('FB 신규발행'!$A3,'FB 콘텐츠 data'!$AV:$AV,0),MATCH(O$2,'FB 콘텐츠 data'!$A$1:$AL$1,0)),"")</f>
        <v>34</v>
      </c>
      <c r="P3" s="126">
        <f>IFERROR(INDEX('FB 콘텐츠 data'!$A$1:$AL$25,MATCH('FB 신규발행'!$A3,'FB 콘텐츠 data'!$AV:$AV,0),MATCH(P$2,'FB 콘텐츠 data'!$A$1:$AL$1,0)),"")</f>
        <v>135</v>
      </c>
      <c r="Q3" s="126">
        <f>IFERROR(INDEX('FB 콘텐츠 data'!$A$1:$AL$25,MATCH('FB 신규발행'!$A3,'FB 콘텐츠 data'!$AV:$AV,0),MATCH(Q$2,'FB 콘텐츠 data'!$A$1:$AL$1,0)),"")</f>
        <v>199</v>
      </c>
      <c r="R3" s="127">
        <f t="shared" ref="R3:R34" si="1">IFERROR(H3/F3,"")</f>
        <v>0.11991489361702128</v>
      </c>
      <c r="T3" s="48">
        <f t="shared" ref="T3:T34" si="2">IFERROR(RANK(R3,$R$3:$R$82,0),"")</f>
        <v>1</v>
      </c>
      <c r="U3" s="48">
        <f t="shared" ref="U3:U34" si="3">IFERROR(RANK(E3,$E$3:$E$82,0),"")</f>
        <v>8</v>
      </c>
      <c r="V3">
        <f>IFERROR(INDEX(A:A,MATCH(A3,T:T,0)),"")</f>
        <v>1</v>
      </c>
      <c r="Y3" s="113"/>
    </row>
    <row r="4" spans="1:25" ht="17.45" customHeight="1">
      <c r="A4" s="129">
        <v>2</v>
      </c>
      <c r="B4" s="124">
        <f>IFERROR(INDEX('FB 콘텐츠 data'!AU:AU,MATCH('FB 신규발행'!A4,'FB 콘텐츠 data'!AV:AV,0)),"")</f>
        <v>45354</v>
      </c>
      <c r="C4" s="125" t="str">
        <f>IFERROR(INDEX('FB 콘텐츠 data'!$A$1:$AL$25,MATCH('FB 신규발행'!$A4,'FB 콘텐츠 data'!$AV:$AV,0),MATCH(C$2,'FB 콘텐츠 data'!$A$1:$AL$1,0)),"")</f>
        <v>사진</v>
      </c>
      <c r="D4" s="128" t="str">
        <f>IFERROR(IF(INDEX('FB 콘텐츠 data 제목 입력'!C:C,MATCH('FB 신규발행'!A4,'FB 콘텐츠 data 제목 입력'!A:A,0))=0,"",INDEX('FB 콘텐츠 data 제목 입력'!C:C,MATCH('FB 신규발행'!A4,'FB 콘텐츠 data 제목 입력'!A:A,0))),"")</f>
        <v>이노드림(게오르크 짐멜)</v>
      </c>
      <c r="E4" s="126">
        <f>IFERROR(INDEX('FB 콘텐츠 data'!$A$1:$AL$25,MATCH('FB 신규발행'!$A4,'FB 콘텐츠 data'!$AV:$AV,0),MATCH(E$2,'FB 콘텐츠 data'!$A$1:$AL$1,0)),"")</f>
        <v>5406</v>
      </c>
      <c r="F4" s="126">
        <f>IFERROR(INDEX('FB 콘텐츠 data'!$A$1:$AL$25,MATCH('FB 신규발행'!$A4,'FB 콘텐츠 data'!$AV:$AV,0),MATCH(F$2,'FB 콘텐츠 data'!$A$1:$AL$1,0)),"")</f>
        <v>5038</v>
      </c>
      <c r="G4" s="126">
        <f>IFERROR(INDEX('FB 콘텐츠 data'!$A$1:$AL$25,MATCH('FB 신규발행'!$A4,'FB 콘텐츠 data'!$AV:$AV,0),MATCH(G$2,'FB 콘텐츠 data'!$A$1:$AL$1,0)),"")</f>
        <v>4645</v>
      </c>
      <c r="H4" s="126">
        <f t="shared" si="0"/>
        <v>240</v>
      </c>
      <c r="I4" s="126">
        <f>IFERROR(INDEX('FB 콘텐츠 data'!$A$1:$AL$25,MATCH('FB 신규발행'!$A4,'FB 콘텐츠 data'!$AV:$AV,0),MATCH(I$2,'FB 콘텐츠 data'!$A$1:$AL$1,0)),"")</f>
        <v>133</v>
      </c>
      <c r="J4" s="126">
        <f>IFERROR(INDEX('FB 콘텐츠 data'!$A$1:$AL$25,MATCH('FB 신규발행'!$A4,'FB 콘텐츠 data'!$AV:$AV,0),MATCH(J$2,'FB 콘텐츠 data'!$A$1:$AL$1,0)),"")</f>
        <v>14</v>
      </c>
      <c r="K4" s="216">
        <f>IFERROR(INDEX('FB 콘텐츠 data'!$A$1:$AV$25,MATCH('FB 신규발행'!$A4,'FB 콘텐츠 data'!$AV:$AV,0),MATCH(K$2,'FB 콘텐츠 data'!$A$1:$AV$1,0)),"")</f>
        <v>0</v>
      </c>
      <c r="L4" s="126">
        <f>IFERROR(INDEX('FB 콘텐츠 data'!$A$1:$AL$25,MATCH('FB 신규발행'!$A4,'FB 콘텐츠 data'!$AV:$AV,0),MATCH(L$2,'FB 콘텐츠 data'!$A$1:$AL$1,0)),"")</f>
        <v>0</v>
      </c>
      <c r="M4" s="126">
        <f>IFERROR(INDEX('FB 콘텐츠 data'!$A$1:$AL$25,MATCH('FB 신규발행'!$A4,'FB 콘텐츠 data'!$AV:$AV,0),MATCH(M$2,'FB 콘텐츠 data'!$A$1:$AL$1,0)),"")</f>
        <v>51</v>
      </c>
      <c r="N4" s="126">
        <f>IFERROR(INDEX('FB 콘텐츠 data'!$A$1:$AL$25,MATCH('FB 신규발행'!$A4,'FB 콘텐츠 data'!$AV:$AV,0),MATCH(N$2,'FB 콘텐츠 data'!$A$1:$AL$1,0)),"")</f>
        <v>3</v>
      </c>
      <c r="O4" s="126">
        <f>IFERROR(INDEX('FB 콘텐츠 data'!$A$1:$AL$25,MATCH('FB 신규발행'!$A4,'FB 콘텐츠 data'!$AV:$AV,0),MATCH(O$2,'FB 콘텐츠 data'!$A$1:$AL$1,0)),"")</f>
        <v>7</v>
      </c>
      <c r="P4" s="126">
        <f>IFERROR(INDEX('FB 콘텐츠 data'!$A$1:$AL$25,MATCH('FB 신규발행'!$A4,'FB 콘텐츠 data'!$AV:$AV,0),MATCH(P$2,'FB 콘텐츠 data'!$A$1:$AL$1,0)),"")</f>
        <v>32</v>
      </c>
      <c r="Q4" s="126">
        <f>IFERROR(INDEX('FB 콘텐츠 data'!$A$1:$AL$25,MATCH('FB 신규발행'!$A4,'FB 콘텐츠 data'!$AV:$AV,0),MATCH(Q$2,'FB 콘텐츠 data'!$A$1:$AL$1,0)),"")</f>
        <v>86</v>
      </c>
      <c r="R4" s="127">
        <f t="shared" si="1"/>
        <v>4.7637951568082572E-2</v>
      </c>
      <c r="T4" s="48">
        <f t="shared" si="2"/>
        <v>9</v>
      </c>
      <c r="U4" s="48">
        <f t="shared" si="3"/>
        <v>10</v>
      </c>
      <c r="V4">
        <f t="shared" ref="V4:V33" si="4">IFERROR(INDEX(A:A,MATCH(A4,T:T,0)),"")</f>
        <v>8</v>
      </c>
      <c r="Y4" s="113"/>
    </row>
    <row r="5" spans="1:25" ht="17.45" customHeight="1">
      <c r="A5" s="129">
        <v>3</v>
      </c>
      <c r="B5" s="124">
        <f>IFERROR(INDEX('FB 콘텐츠 data'!AU:AU,MATCH('FB 신규발행'!A5,'FB 콘텐츠 data'!AV:AV,0)),"")</f>
        <v>45355</v>
      </c>
      <c r="C5" s="125" t="str">
        <f>IFERROR(INDEX('FB 콘텐츠 data'!$A$1:$AL$25,MATCH('FB 신규발행'!$A5,'FB 콘텐츠 data'!$AV:$AV,0),MATCH(C$2,'FB 콘텐츠 data'!$A$1:$AL$1,0)),"")</f>
        <v>링크</v>
      </c>
      <c r="D5" s="128" t="str">
        <f>IFERROR(IF(INDEX('FB 콘텐츠 data 제목 입력'!C:C,MATCH('FB 신규발행'!A5,'FB 콘텐츠 data 제목 입력'!A:A,0))=0,"",INDEX('FB 콘텐츠 data 제목 입력'!C:C,MATCH('FB 신규발행'!A5,'FB 콘텐츠 data 제목 입력'!A:A,0))),"")</f>
        <v>SK온 인터배터리 어워즈 수상 *뉴스룸 미러링</v>
      </c>
      <c r="E5" s="126">
        <f>IFERROR(INDEX('FB 콘텐츠 data'!$A$1:$AL$25,MATCH('FB 신규발행'!$A5,'FB 콘텐츠 data'!$AV:$AV,0),MATCH(E$2,'FB 콘텐츠 data'!$A$1:$AL$1,0)),"")</f>
        <v>34889</v>
      </c>
      <c r="F5" s="126">
        <f>IFERROR(INDEX('FB 콘텐츠 data'!$A$1:$AL$25,MATCH('FB 신규발행'!$A5,'FB 콘텐츠 data'!$AV:$AV,0),MATCH(F$2,'FB 콘텐츠 data'!$A$1:$AL$1,0)),"")</f>
        <v>22652</v>
      </c>
      <c r="G5" s="126">
        <f>IFERROR(INDEX('FB 콘텐츠 data'!$A$1:$AL$25,MATCH('FB 신규발행'!$A5,'FB 콘텐츠 data'!$AV:$AV,0),MATCH(G$2,'FB 콘텐츠 data'!$A$1:$AL$1,0)),"")</f>
        <v>2525</v>
      </c>
      <c r="H5" s="126">
        <f t="shared" si="0"/>
        <v>860</v>
      </c>
      <c r="I5" s="126">
        <f>IFERROR(INDEX('FB 콘텐츠 data'!$A$1:$AL$25,MATCH('FB 신규발행'!$A5,'FB 콘텐츠 data'!$AV:$AV,0),MATCH(I$2,'FB 콘텐츠 data'!$A$1:$AL$1,0)),"")</f>
        <v>149</v>
      </c>
      <c r="J5" s="126">
        <f>IFERROR(INDEX('FB 콘텐츠 data'!$A$1:$AL$25,MATCH('FB 신규발행'!$A5,'FB 콘텐츠 data'!$AV:$AV,0),MATCH(J$2,'FB 콘텐츠 data'!$A$1:$AL$1,0)),"")</f>
        <v>14</v>
      </c>
      <c r="K5" s="216">
        <f>IFERROR(INDEX('FB 콘텐츠 data'!$A$1:$AV$25,MATCH('FB 신규발행'!$A5,'FB 콘텐츠 data'!$AV:$AV,0),MATCH(K$2,'FB 콘텐츠 data'!$A$1:$AV$1,0)),"")</f>
        <v>0</v>
      </c>
      <c r="L5" s="126">
        <f>IFERROR(INDEX('FB 콘텐츠 data'!$A$1:$AL$25,MATCH('FB 신규발행'!$A5,'FB 콘텐츠 data'!$AV:$AV,0),MATCH(L$2,'FB 콘텐츠 data'!$A$1:$AL$1,0)),"")</f>
        <v>0</v>
      </c>
      <c r="M5" s="126">
        <f>IFERROR(INDEX('FB 콘텐츠 data'!$A$1:$AL$25,MATCH('FB 신규발행'!$A5,'FB 콘텐츠 data'!$AV:$AV,0),MATCH(M$2,'FB 콘텐츠 data'!$A$1:$AL$1,0)),"")</f>
        <v>0</v>
      </c>
      <c r="N5" s="126">
        <f>IFERROR(INDEX('FB 콘텐츠 data'!$A$1:$AL$25,MATCH('FB 신규발행'!$A5,'FB 콘텐츠 data'!$AV:$AV,0),MATCH(N$2,'FB 콘텐츠 data'!$A$1:$AL$1,0)),"")</f>
        <v>327</v>
      </c>
      <c r="O5" s="126">
        <f>IFERROR(INDEX('FB 콘텐츠 data'!$A$1:$AL$25,MATCH('FB 신규발행'!$A5,'FB 콘텐츠 data'!$AV:$AV,0),MATCH(O$2,'FB 콘텐츠 data'!$A$1:$AL$1,0)),"")</f>
        <v>3</v>
      </c>
      <c r="P5" s="126">
        <f>IFERROR(INDEX('FB 콘텐츠 data'!$A$1:$AL$25,MATCH('FB 신규발행'!$A5,'FB 콘텐츠 data'!$AV:$AV,0),MATCH(P$2,'FB 콘텐츠 data'!$A$1:$AL$1,0)),"")</f>
        <v>367</v>
      </c>
      <c r="Q5" s="126">
        <f>IFERROR(INDEX('FB 콘텐츠 data'!$A$1:$AL$25,MATCH('FB 신규발행'!$A5,'FB 콘텐츠 data'!$AV:$AV,0),MATCH(Q$2,'FB 콘텐츠 data'!$A$1:$AL$1,0)),"")</f>
        <v>694</v>
      </c>
      <c r="R5" s="127">
        <f t="shared" si="1"/>
        <v>3.796574253929013E-2</v>
      </c>
      <c r="T5" s="48">
        <f t="shared" si="2"/>
        <v>10</v>
      </c>
      <c r="U5" s="48">
        <f t="shared" si="3"/>
        <v>5</v>
      </c>
      <c r="V5">
        <f t="shared" si="4"/>
        <v>9</v>
      </c>
      <c r="Y5" s="113"/>
    </row>
    <row r="6" spans="1:25" ht="17.45" customHeight="1">
      <c r="A6" s="129">
        <v>4</v>
      </c>
      <c r="B6" s="124">
        <f>IFERROR(INDEX('FB 콘텐츠 data'!AU:AU,MATCH('FB 신규발행'!A6,'FB 콘텐츠 data'!AV:AV,0)),"")</f>
        <v>45358</v>
      </c>
      <c r="C6" s="125" t="str">
        <f>IFERROR(INDEX('FB 콘텐츠 data'!$A$1:$AL$25,MATCH('FB 신규발행'!$A6,'FB 콘텐츠 data'!$AV:$AV,0),MATCH(C$2,'FB 콘텐츠 data'!$A$1:$AL$1,0)),"")</f>
        <v>사진</v>
      </c>
      <c r="D6" s="128" t="str">
        <f>IFERROR(IF(INDEX('FB 콘텐츠 data 제목 입력'!C:C,MATCH('FB 신규발행'!A6,'FB 콘텐츠 data 제목 입력'!A:A,0))=0,"",INDEX('FB 콘텐츠 data 제목 입력'!C:C,MATCH('FB 신규발행'!A6,'FB 콘텐츠 data 제목 입력'!A:A,0))),"")</f>
        <v>슼슼 읽히는 2차전지 이야기</v>
      </c>
      <c r="E6" s="126">
        <f>IFERROR(INDEX('FB 콘텐츠 data'!$A$1:$AL$25,MATCH('FB 신규발행'!$A6,'FB 콘텐츠 data'!$AV:$AV,0),MATCH(E$2,'FB 콘텐츠 data'!$A$1:$AL$1,0)),"")</f>
        <v>69295</v>
      </c>
      <c r="F6" s="126">
        <f>IFERROR(INDEX('FB 콘텐츠 data'!$A$1:$AL$25,MATCH('FB 신규발행'!$A6,'FB 콘텐츠 data'!$AV:$AV,0),MATCH(F$2,'FB 콘텐츠 data'!$A$1:$AL$1,0)),"")</f>
        <v>38719</v>
      </c>
      <c r="G6" s="126">
        <f>IFERROR(INDEX('FB 콘텐츠 data'!$A$1:$AL$25,MATCH('FB 신규발행'!$A6,'FB 콘텐츠 data'!$AV:$AV,0),MATCH(G$2,'FB 콘텐츠 data'!$A$1:$AL$1,0)),"")</f>
        <v>5375</v>
      </c>
      <c r="H6" s="126">
        <f t="shared" si="0"/>
        <v>3146</v>
      </c>
      <c r="I6" s="126">
        <f>IFERROR(INDEX('FB 콘텐츠 data'!$A$1:$AL$25,MATCH('FB 신규발행'!$A6,'FB 콘텐츠 data'!$AV:$AV,0),MATCH(I$2,'FB 콘텐츠 data'!$A$1:$AL$1,0)),"")</f>
        <v>550</v>
      </c>
      <c r="J6" s="126">
        <f>IFERROR(INDEX('FB 콘텐츠 data'!$A$1:$AL$25,MATCH('FB 신규발행'!$A6,'FB 콘텐츠 data'!$AV:$AV,0),MATCH(J$2,'FB 콘텐츠 data'!$A$1:$AL$1,0)),"")</f>
        <v>30</v>
      </c>
      <c r="K6" s="216">
        <f>IFERROR(INDEX('FB 콘텐츠 data'!$A$1:$AV$25,MATCH('FB 신규발행'!$A6,'FB 콘텐츠 data'!$AV:$AV,0),MATCH(K$2,'FB 콘텐츠 data'!$A$1:$AV$1,0)),"")</f>
        <v>0</v>
      </c>
      <c r="L6" s="126">
        <f>IFERROR(INDEX('FB 콘텐츠 data'!$A$1:$AL$25,MATCH('FB 신규발행'!$A6,'FB 콘텐츠 data'!$AV:$AV,0),MATCH(L$2,'FB 콘텐츠 data'!$A$1:$AL$1,0)),"")</f>
        <v>0</v>
      </c>
      <c r="M6" s="126">
        <f>IFERROR(INDEX('FB 콘텐츠 data'!$A$1:$AL$25,MATCH('FB 신규발행'!$A6,'FB 콘텐츠 data'!$AV:$AV,0),MATCH(M$2,'FB 콘텐츠 data'!$A$1:$AL$1,0)),"")</f>
        <v>1945</v>
      </c>
      <c r="N6" s="126">
        <f>IFERROR(INDEX('FB 콘텐츠 data'!$A$1:$AL$25,MATCH('FB 신규발행'!$A6,'FB 콘텐츠 data'!$AV:$AV,0),MATCH(N$2,'FB 콘텐츠 data'!$A$1:$AL$1,0)),"")</f>
        <v>3</v>
      </c>
      <c r="O6" s="126">
        <f>IFERROR(INDEX('FB 콘텐츠 data'!$A$1:$AL$25,MATCH('FB 신규발행'!$A6,'FB 콘텐츠 data'!$AV:$AV,0),MATCH(O$2,'FB 콘텐츠 data'!$A$1:$AL$1,0)),"")</f>
        <v>76</v>
      </c>
      <c r="P6" s="126">
        <f>IFERROR(INDEX('FB 콘텐츠 data'!$A$1:$AL$25,MATCH('FB 신규발행'!$A6,'FB 콘텐츠 data'!$AV:$AV,0),MATCH(P$2,'FB 콘텐츠 data'!$A$1:$AL$1,0)),"")</f>
        <v>542</v>
      </c>
      <c r="Q6" s="126">
        <f>IFERROR(INDEX('FB 콘텐츠 data'!$A$1:$AL$25,MATCH('FB 신규발행'!$A6,'FB 콘텐츠 data'!$AV:$AV,0),MATCH(Q$2,'FB 콘텐츠 data'!$A$1:$AL$1,0)),"")</f>
        <v>2490</v>
      </c>
      <c r="R6" s="127">
        <f t="shared" si="1"/>
        <v>8.1252098452955918E-2</v>
      </c>
      <c r="T6" s="48">
        <f t="shared" si="2"/>
        <v>5</v>
      </c>
      <c r="U6" s="48">
        <f t="shared" si="3"/>
        <v>1</v>
      </c>
      <c r="V6">
        <f t="shared" si="4"/>
        <v>6</v>
      </c>
      <c r="Y6" s="113"/>
    </row>
    <row r="7" spans="1:25" ht="17.45" customHeight="1">
      <c r="A7" s="129">
        <v>5</v>
      </c>
      <c r="B7" s="124">
        <f>IFERROR(INDEX('FB 콘텐츠 data'!AU:AU,MATCH('FB 신규발행'!A7,'FB 콘텐츠 data'!AV:AV,0)),"")</f>
        <v>45361</v>
      </c>
      <c r="C7" s="125" t="str">
        <f>IFERROR(INDEX('FB 콘텐츠 data'!$A$1:$AL$25,MATCH('FB 신규발행'!$A7,'FB 콘텐츠 data'!$AV:$AV,0),MATCH(C$2,'FB 콘텐츠 data'!$A$1:$AL$1,0)),"")</f>
        <v>사진</v>
      </c>
      <c r="D7" s="128" t="str">
        <f>IFERROR(IF(INDEX('FB 콘텐츠 data 제목 입력'!C:C,MATCH('FB 신규발행'!A7,'FB 콘텐츠 data 제목 입력'!A:A,0))=0,"",INDEX('FB 콘텐츠 data 제목 입력'!C:C,MATCH('FB 신규발행'!A7,'FB 콘텐츠 data 제목 입력'!A:A,0))),"")</f>
        <v>이노드림(르네 데카르트)</v>
      </c>
      <c r="E7" s="126">
        <f>IFERROR(INDEX('FB 콘텐츠 data'!$A$1:$AL$25,MATCH('FB 신규발행'!$A7,'FB 콘텐츠 data'!$AV:$AV,0),MATCH(E$2,'FB 콘텐츠 data'!$A$1:$AL$1,0)),"")</f>
        <v>8043</v>
      </c>
      <c r="F7" s="126">
        <f>IFERROR(INDEX('FB 콘텐츠 data'!$A$1:$AL$25,MATCH('FB 신규발행'!$A7,'FB 콘텐츠 data'!$AV:$AV,0),MATCH(F$2,'FB 콘텐츠 data'!$A$1:$AL$1,0)),"")</f>
        <v>7510</v>
      </c>
      <c r="G7" s="126">
        <f>IFERROR(INDEX('FB 콘텐츠 data'!$A$1:$AL$25,MATCH('FB 신규발행'!$A7,'FB 콘텐츠 data'!$AV:$AV,0),MATCH(G$2,'FB 콘텐츠 data'!$A$1:$AL$1,0)),"")</f>
        <v>7408</v>
      </c>
      <c r="H7" s="126">
        <f t="shared" si="0"/>
        <v>256</v>
      </c>
      <c r="I7" s="126">
        <f>IFERROR(INDEX('FB 콘텐츠 data'!$A$1:$AL$25,MATCH('FB 신규발행'!$A7,'FB 콘텐츠 data'!$AV:$AV,0),MATCH(I$2,'FB 콘텐츠 data'!$A$1:$AL$1,0)),"")</f>
        <v>142</v>
      </c>
      <c r="J7" s="126">
        <f>IFERROR(INDEX('FB 콘텐츠 data'!$A$1:$AL$25,MATCH('FB 신규발행'!$A7,'FB 콘텐츠 data'!$AV:$AV,0),MATCH(J$2,'FB 콘텐츠 data'!$A$1:$AL$1,0)),"")</f>
        <v>17</v>
      </c>
      <c r="K7" s="216">
        <f>IFERROR(INDEX('FB 콘텐츠 data'!$A$1:$AV$25,MATCH('FB 신규발행'!$A7,'FB 콘텐츠 data'!$AV:$AV,0),MATCH(K$2,'FB 콘텐츠 data'!$A$1:$AV$1,0)),"")</f>
        <v>0</v>
      </c>
      <c r="L7" s="126">
        <f>IFERROR(INDEX('FB 콘텐츠 data'!$A$1:$AL$25,MATCH('FB 신규발행'!$A7,'FB 콘텐츠 data'!$AV:$AV,0),MATCH(L$2,'FB 콘텐츠 data'!$A$1:$AL$1,0)),"")</f>
        <v>0</v>
      </c>
      <c r="M7" s="126">
        <f>IFERROR(INDEX('FB 콘텐츠 data'!$A$1:$AL$25,MATCH('FB 신규발행'!$A7,'FB 콘텐츠 data'!$AV:$AV,0),MATCH(M$2,'FB 콘텐츠 data'!$A$1:$AL$1,0)),"")</f>
        <v>61</v>
      </c>
      <c r="N7" s="126">
        <f>IFERROR(INDEX('FB 콘텐츠 data'!$A$1:$AL$25,MATCH('FB 신규발행'!$A7,'FB 콘텐츠 data'!$AV:$AV,0),MATCH(N$2,'FB 콘텐츠 data'!$A$1:$AL$1,0)),"")</f>
        <v>1</v>
      </c>
      <c r="O7" s="126">
        <f>IFERROR(INDEX('FB 콘텐츠 data'!$A$1:$AL$25,MATCH('FB 신규발행'!$A7,'FB 콘텐츠 data'!$AV:$AV,0),MATCH(O$2,'FB 콘텐츠 data'!$A$1:$AL$1,0)),"")</f>
        <v>9</v>
      </c>
      <c r="P7" s="126">
        <f>IFERROR(INDEX('FB 콘텐츠 data'!$A$1:$AL$25,MATCH('FB 신규발행'!$A7,'FB 콘텐츠 data'!$AV:$AV,0),MATCH(P$2,'FB 콘텐츠 data'!$A$1:$AL$1,0)),"")</f>
        <v>26</v>
      </c>
      <c r="Q7" s="126">
        <f>IFERROR(INDEX('FB 콘텐츠 data'!$A$1:$AL$25,MATCH('FB 신규발행'!$A7,'FB 콘텐츠 data'!$AV:$AV,0),MATCH(Q$2,'FB 콘텐츠 data'!$A$1:$AL$1,0)),"")</f>
        <v>88</v>
      </c>
      <c r="R7" s="127">
        <f t="shared" si="1"/>
        <v>3.4087882822902794E-2</v>
      </c>
      <c r="T7" s="48">
        <f t="shared" si="2"/>
        <v>11</v>
      </c>
      <c r="U7" s="48">
        <f t="shared" si="3"/>
        <v>9</v>
      </c>
      <c r="V7">
        <f t="shared" si="4"/>
        <v>4</v>
      </c>
      <c r="Y7" s="113"/>
    </row>
    <row r="8" spans="1:25" ht="17.45" customHeight="1">
      <c r="A8" s="129">
        <v>6</v>
      </c>
      <c r="B8" s="124">
        <f>IFERROR(INDEX('FB 콘텐츠 data'!AU:AU,MATCH('FB 신규발행'!A8,'FB 콘텐츠 data'!AV:AV,0)),"")</f>
        <v>45366</v>
      </c>
      <c r="C8" s="125" t="str">
        <f>IFERROR(INDEX('FB 콘텐츠 data'!$A$1:$AL$25,MATCH('FB 신규발행'!$A8,'FB 콘텐츠 data'!$AV:$AV,0),MATCH(C$2,'FB 콘텐츠 data'!$A$1:$AL$1,0)),"")</f>
        <v>사진</v>
      </c>
      <c r="D8" s="128" t="str">
        <f>IFERROR(IF(INDEX('FB 콘텐츠 data 제목 입력'!C:C,MATCH('FB 신규발행'!A8,'FB 콘텐츠 data 제목 입력'!A:A,0))=0,"",INDEX('FB 콘텐츠 data 제목 입력'!C:C,MATCH('FB 신규발행'!A8,'FB 콘텐츠 data 제목 입력'!A:A,0))),"")</f>
        <v>세계 재활용의 날</v>
      </c>
      <c r="E8" s="126">
        <f>IFERROR(INDEX('FB 콘텐츠 data'!$A$1:$AL$25,MATCH('FB 신규발행'!$A8,'FB 콘텐츠 data'!$AV:$AV,0),MATCH(E$2,'FB 콘텐츠 data'!$A$1:$AL$1,0)),"")</f>
        <v>30740</v>
      </c>
      <c r="F8" s="126">
        <f>IFERROR(INDEX('FB 콘텐츠 data'!$A$1:$AL$25,MATCH('FB 신규발행'!$A8,'FB 콘텐츠 data'!$AV:$AV,0),MATCH(F$2,'FB 콘텐츠 data'!$A$1:$AL$1,0)),"")</f>
        <v>19111</v>
      </c>
      <c r="G8" s="126">
        <f>IFERROR(INDEX('FB 콘텐츠 data'!$A$1:$AL$25,MATCH('FB 신규발행'!$A8,'FB 콘텐츠 data'!$AV:$AV,0),MATCH(G$2,'FB 콘텐츠 data'!$A$1:$AL$1,0)),"")</f>
        <v>3601</v>
      </c>
      <c r="H8" s="126">
        <f t="shared" si="0"/>
        <v>1798</v>
      </c>
      <c r="I8" s="126">
        <f>IFERROR(INDEX('FB 콘텐츠 data'!$A$1:$AL$25,MATCH('FB 신규발행'!$A8,'FB 콘텐츠 data'!$AV:$AV,0),MATCH(I$2,'FB 콘텐츠 data'!$A$1:$AL$1,0)),"")</f>
        <v>1088</v>
      </c>
      <c r="J8" s="126">
        <f>IFERROR(INDEX('FB 콘텐츠 data'!$A$1:$AL$25,MATCH('FB 신규발행'!$A8,'FB 콘텐츠 data'!$AV:$AV,0),MATCH(J$2,'FB 콘텐츠 data'!$A$1:$AL$1,0)),"")</f>
        <v>51</v>
      </c>
      <c r="K8" s="216">
        <f>IFERROR(INDEX('FB 콘텐츠 data'!$A$1:$AV$25,MATCH('FB 신규발행'!$A8,'FB 콘텐츠 data'!$AV:$AV,0),MATCH(K$2,'FB 콘텐츠 data'!$A$1:$AV$1,0)),"")</f>
        <v>0</v>
      </c>
      <c r="L8" s="126">
        <f>IFERROR(INDEX('FB 콘텐츠 data'!$A$1:$AL$25,MATCH('FB 신규발행'!$A8,'FB 콘텐츠 data'!$AV:$AV,0),MATCH(L$2,'FB 콘텐츠 data'!$A$1:$AL$1,0)),"")</f>
        <v>0</v>
      </c>
      <c r="M8" s="126">
        <f>IFERROR(INDEX('FB 콘텐츠 data'!$A$1:$AL$25,MATCH('FB 신규발행'!$A8,'FB 콘텐츠 data'!$AV:$AV,0),MATCH(M$2,'FB 콘텐츠 data'!$A$1:$AL$1,0)),"")</f>
        <v>388</v>
      </c>
      <c r="N8" s="126">
        <f>IFERROR(INDEX('FB 콘텐츠 data'!$A$1:$AL$25,MATCH('FB 신규발행'!$A8,'FB 콘텐츠 data'!$AV:$AV,0),MATCH(N$2,'FB 콘텐츠 data'!$A$1:$AL$1,0)),"")</f>
        <v>4</v>
      </c>
      <c r="O8" s="126">
        <f>IFERROR(INDEX('FB 콘텐츠 data'!$A$1:$AL$25,MATCH('FB 신규발행'!$A8,'FB 콘텐츠 data'!$AV:$AV,0),MATCH(O$2,'FB 콘텐츠 data'!$A$1:$AL$1,0)),"")</f>
        <v>46</v>
      </c>
      <c r="P8" s="126">
        <f>IFERROR(INDEX('FB 콘텐츠 data'!$A$1:$AL$25,MATCH('FB 신규발행'!$A8,'FB 콘텐츠 data'!$AV:$AV,0),MATCH(P$2,'FB 콘텐츠 data'!$A$1:$AL$1,0)),"")</f>
        <v>221</v>
      </c>
      <c r="Q8" s="126">
        <f>IFERROR(INDEX('FB 콘텐츠 data'!$A$1:$AL$25,MATCH('FB 신규발행'!$A8,'FB 콘텐츠 data'!$AV:$AV,0),MATCH(Q$2,'FB 콘텐츠 data'!$A$1:$AL$1,0)),"")</f>
        <v>613</v>
      </c>
      <c r="R8" s="127">
        <f t="shared" si="1"/>
        <v>9.4081942336874058E-2</v>
      </c>
      <c r="T8" s="48">
        <f t="shared" si="2"/>
        <v>4</v>
      </c>
      <c r="U8" s="48">
        <f t="shared" si="3"/>
        <v>6</v>
      </c>
      <c r="V8">
        <f t="shared" si="4"/>
        <v>13</v>
      </c>
      <c r="Y8" s="113"/>
    </row>
    <row r="9" spans="1:25" ht="17.45" customHeight="1">
      <c r="A9" s="129">
        <v>7</v>
      </c>
      <c r="B9" s="124">
        <f>IFERROR(INDEX('FB 콘텐츠 data'!AU:AU,MATCH('FB 신규발행'!A9,'FB 콘텐츠 data'!AV:AV,0)),"")</f>
        <v>45368</v>
      </c>
      <c r="C9" s="125" t="str">
        <f>IFERROR(INDEX('FB 콘텐츠 data'!$A$1:$AL$25,MATCH('FB 신규발행'!$A9,'FB 콘텐츠 data'!$AV:$AV,0),MATCH(C$2,'FB 콘텐츠 data'!$A$1:$AL$1,0)),"")</f>
        <v>사진</v>
      </c>
      <c r="D9" s="128" t="str">
        <f>IFERROR(IF(INDEX('FB 콘텐츠 data 제목 입력'!C:C,MATCH('FB 신규발행'!A9,'FB 콘텐츠 data 제목 입력'!A:A,0))=0,"",INDEX('FB 콘텐츠 data 제목 입력'!C:C,MATCH('FB 신규발행'!A9,'FB 콘텐츠 data 제목 입력'!A:A,0))),"")</f>
        <v>이노드림(모리스 메를로퐁티)</v>
      </c>
      <c r="E9" s="126">
        <f>IFERROR(INDEX('FB 콘텐츠 data'!$A$1:$AL$25,MATCH('FB 신규발행'!$A9,'FB 콘텐츠 data'!$AV:$AV,0),MATCH(E$2,'FB 콘텐츠 data'!$A$1:$AL$1,0)),"")</f>
        <v>4550</v>
      </c>
      <c r="F9" s="126">
        <f>IFERROR(INDEX('FB 콘텐츠 data'!$A$1:$AL$25,MATCH('FB 신규발행'!$A9,'FB 콘텐츠 data'!$AV:$AV,0),MATCH(F$2,'FB 콘텐츠 data'!$A$1:$AL$1,0)),"")</f>
        <v>4039</v>
      </c>
      <c r="G9" s="126">
        <f>IFERROR(INDEX('FB 콘텐츠 data'!$A$1:$AL$25,MATCH('FB 신규발행'!$A9,'FB 콘텐츠 data'!$AV:$AV,0),MATCH(G$2,'FB 콘텐츠 data'!$A$1:$AL$1,0)),"")</f>
        <v>3770</v>
      </c>
      <c r="H9" s="126">
        <f t="shared" si="0"/>
        <v>210</v>
      </c>
      <c r="I9" s="126">
        <f>IFERROR(INDEX('FB 콘텐츠 data'!$A$1:$AL$25,MATCH('FB 신규발행'!$A9,'FB 콘텐츠 data'!$AV:$AV,0),MATCH(I$2,'FB 콘텐츠 data'!$A$1:$AL$1,0)),"")</f>
        <v>138</v>
      </c>
      <c r="J9" s="126">
        <f>IFERROR(INDEX('FB 콘텐츠 data'!$A$1:$AL$25,MATCH('FB 신규발행'!$A9,'FB 콘텐츠 data'!$AV:$AV,0),MATCH(J$2,'FB 콘텐츠 data'!$A$1:$AL$1,0)),"")</f>
        <v>14</v>
      </c>
      <c r="K9" s="216">
        <f>IFERROR(INDEX('FB 콘텐츠 data'!$A$1:$AV$25,MATCH('FB 신규발행'!$A9,'FB 콘텐츠 data'!$AV:$AV,0),MATCH(K$2,'FB 콘텐츠 data'!$A$1:$AV$1,0)),"")</f>
        <v>0</v>
      </c>
      <c r="L9" s="126">
        <f>IFERROR(INDEX('FB 콘텐츠 data'!$A$1:$AL$25,MATCH('FB 신규발행'!$A9,'FB 콘텐츠 data'!$AV:$AV,0),MATCH(L$2,'FB 콘텐츠 data'!$A$1:$AL$1,0)),"")</f>
        <v>0</v>
      </c>
      <c r="M9" s="126">
        <f>IFERROR(INDEX('FB 콘텐츠 data'!$A$1:$AL$25,MATCH('FB 신규발행'!$A9,'FB 콘텐츠 data'!$AV:$AV,0),MATCH(M$2,'FB 콘텐츠 data'!$A$1:$AL$1,0)),"")</f>
        <v>34</v>
      </c>
      <c r="N9" s="126">
        <f>IFERROR(INDEX('FB 콘텐츠 data'!$A$1:$AL$25,MATCH('FB 신규발행'!$A9,'FB 콘텐츠 data'!$AV:$AV,0),MATCH(N$2,'FB 콘텐츠 data'!$A$1:$AL$1,0)),"")</f>
        <v>0</v>
      </c>
      <c r="O9" s="126">
        <f>IFERROR(INDEX('FB 콘텐츠 data'!$A$1:$AL$25,MATCH('FB 신규발행'!$A9,'FB 콘텐츠 data'!$AV:$AV,0),MATCH(O$2,'FB 콘텐츠 data'!$A$1:$AL$1,0)),"")</f>
        <v>4</v>
      </c>
      <c r="P9" s="126">
        <f>IFERROR(INDEX('FB 콘텐츠 data'!$A$1:$AL$25,MATCH('FB 신규발행'!$A9,'FB 콘텐츠 data'!$AV:$AV,0),MATCH(P$2,'FB 콘텐츠 data'!$A$1:$AL$1,0)),"")</f>
        <v>20</v>
      </c>
      <c r="Q9" s="126">
        <f>IFERROR(INDEX('FB 콘텐츠 data'!$A$1:$AL$25,MATCH('FB 신규발행'!$A9,'FB 콘텐츠 data'!$AV:$AV,0),MATCH(Q$2,'FB 콘텐츠 data'!$A$1:$AL$1,0)),"")</f>
        <v>54</v>
      </c>
      <c r="R9" s="127">
        <f t="shared" si="1"/>
        <v>5.1993067590987867E-2</v>
      </c>
      <c r="T9" s="48">
        <f t="shared" si="2"/>
        <v>8</v>
      </c>
      <c r="U9" s="48">
        <f t="shared" si="3"/>
        <v>11</v>
      </c>
      <c r="V9">
        <f t="shared" si="4"/>
        <v>10</v>
      </c>
      <c r="Y9" s="113"/>
    </row>
    <row r="10" spans="1:25" ht="17.45" customHeight="1">
      <c r="A10" s="129">
        <v>8</v>
      </c>
      <c r="B10" s="124">
        <f>IFERROR(INDEX('FB 콘텐츠 data'!AU:AU,MATCH('FB 신규발행'!A10,'FB 콘텐츠 data'!AV:AV,0)),"")</f>
        <v>45369</v>
      </c>
      <c r="C10" s="125" t="str">
        <f>IFERROR(INDEX('FB 콘텐츠 data'!$A$1:$AL$25,MATCH('FB 신규발행'!$A10,'FB 콘텐츠 data'!$AV:$AV,0),MATCH(C$2,'FB 콘텐츠 data'!$A$1:$AL$1,0)),"")</f>
        <v>동영상</v>
      </c>
      <c r="D10" s="128" t="str">
        <f>IFERROR(IF(INDEX('FB 콘텐츠 data 제목 입력'!C:C,MATCH('FB 신규발행'!A10,'FB 콘텐츠 data 제목 입력'!A:A,0))=0,"",INDEX('FB 콘텐츠 data 제목 입력'!C:C,MATCH('FB 신규발행'!A10,'FB 콘텐츠 data 제목 입력'!A:A,0))),"")</f>
        <v>[EVENT] SK에너지 머핀</v>
      </c>
      <c r="E10" s="126">
        <f>IFERROR(INDEX('FB 콘텐츠 data'!$A$1:$AL$25,MATCH('FB 신규발행'!$A10,'FB 콘텐츠 data'!$AV:$AV,0),MATCH(E$2,'FB 콘텐츠 data'!$A$1:$AL$1,0)),"")</f>
        <v>18075</v>
      </c>
      <c r="F10" s="126">
        <f>IFERROR(INDEX('FB 콘텐츠 data'!$A$1:$AL$25,MATCH('FB 신규발행'!$A10,'FB 콘텐츠 data'!$AV:$AV,0),MATCH(F$2,'FB 콘텐츠 data'!$A$1:$AL$1,0)),"")</f>
        <v>12114</v>
      </c>
      <c r="G10" s="126">
        <f>IFERROR(INDEX('FB 콘텐츠 data'!$A$1:$AL$25,MATCH('FB 신규발행'!$A10,'FB 콘텐츠 data'!$AV:$AV,0),MATCH(G$2,'FB 콘텐츠 data'!$A$1:$AL$1,0)),"")</f>
        <v>3566</v>
      </c>
      <c r="H10" s="126">
        <f t="shared" si="0"/>
        <v>1432</v>
      </c>
      <c r="I10" s="126">
        <f>IFERROR(INDEX('FB 콘텐츠 data'!$A$1:$AL$25,MATCH('FB 신규발행'!$A10,'FB 콘텐츠 data'!$AV:$AV,0),MATCH(I$2,'FB 콘텐츠 data'!$A$1:$AL$1,0)),"")</f>
        <v>570</v>
      </c>
      <c r="J10" s="126">
        <f>IFERROR(INDEX('FB 콘텐츠 data'!$A$1:$AL$25,MATCH('FB 신규발행'!$A10,'FB 콘텐츠 data'!$AV:$AV,0),MATCH(J$2,'FB 콘텐츠 data'!$A$1:$AL$1,0)),"")</f>
        <v>546</v>
      </c>
      <c r="K10" s="216">
        <f>IFERROR(INDEX('FB 콘텐츠 data'!$A$1:$AV$25,MATCH('FB 신규발행'!$A10,'FB 콘텐츠 data'!$AV:$AV,0),MATCH(K$2,'FB 콘텐츠 data'!$A$1:$AV$1,0)),"")</f>
        <v>6.38</v>
      </c>
      <c r="L10" s="126">
        <f>IFERROR(INDEX('FB 콘텐츠 data'!$A$1:$AL$25,MATCH('FB 신규발행'!$A10,'FB 콘텐츠 data'!$AV:$AV,0),MATCH(L$2,'FB 콘텐츠 data'!$A$1:$AL$1,0)),"")</f>
        <v>4377</v>
      </c>
      <c r="M10" s="126">
        <f>IFERROR(INDEX('FB 콘텐츠 data'!$A$1:$AL$25,MATCH('FB 신규발행'!$A10,'FB 콘텐츠 data'!$AV:$AV,0),MATCH(M$2,'FB 콘텐츠 data'!$A$1:$AL$1,0)),"")</f>
        <v>0</v>
      </c>
      <c r="N10" s="126">
        <f>IFERROR(INDEX('FB 콘텐츠 data'!$A$1:$AL$25,MATCH('FB 신규발행'!$A10,'FB 콘텐츠 data'!$AV:$AV,0),MATCH(N$2,'FB 콘텐츠 data'!$A$1:$AL$1,0)),"")</f>
        <v>55</v>
      </c>
      <c r="O10" s="126">
        <f>IFERROR(INDEX('FB 콘텐츠 data'!$A$1:$AL$25,MATCH('FB 신규발행'!$A10,'FB 콘텐츠 data'!$AV:$AV,0),MATCH(O$2,'FB 콘텐츠 data'!$A$1:$AL$1,0)),"")</f>
        <v>62</v>
      </c>
      <c r="P10" s="126">
        <f>IFERROR(INDEX('FB 콘텐츠 data'!$A$1:$AL$25,MATCH('FB 신규발행'!$A10,'FB 콘텐츠 data'!$AV:$AV,0),MATCH(P$2,'FB 콘텐츠 data'!$A$1:$AL$1,0)),"")</f>
        <v>188</v>
      </c>
      <c r="Q10" s="126">
        <f>IFERROR(INDEX('FB 콘텐츠 data'!$A$1:$AL$25,MATCH('FB 신규발행'!$A10,'FB 콘텐츠 data'!$AV:$AV,0),MATCH(Q$2,'FB 콘텐츠 data'!$A$1:$AL$1,0)),"")</f>
        <v>254</v>
      </c>
      <c r="R10" s="127">
        <f t="shared" si="1"/>
        <v>0.1182103351494139</v>
      </c>
      <c r="T10" s="48">
        <f t="shared" si="2"/>
        <v>2</v>
      </c>
      <c r="U10" s="48">
        <f t="shared" si="3"/>
        <v>7</v>
      </c>
      <c r="V10">
        <f t="shared" si="4"/>
        <v>7</v>
      </c>
      <c r="Y10" s="113"/>
    </row>
    <row r="11" spans="1:25" ht="17.45" customHeight="1">
      <c r="A11" s="129">
        <v>9</v>
      </c>
      <c r="B11" s="124">
        <f>IFERROR(INDEX('FB 콘텐츠 data'!AU:AU,MATCH('FB 신규발행'!A11,'FB 콘텐츠 data'!AV:AV,0)),"")</f>
        <v>45372</v>
      </c>
      <c r="C11" s="125" t="str">
        <f>IFERROR(INDEX('FB 콘텐츠 data'!$A$1:$AL$25,MATCH('FB 신규발행'!$A11,'FB 콘텐츠 data'!$AV:$AV,0),MATCH(C$2,'FB 콘텐츠 data'!$A$1:$AL$1,0)),"")</f>
        <v>사진</v>
      </c>
      <c r="D11" s="128" t="str">
        <f>IFERROR(IF(INDEX('FB 콘텐츠 data 제목 입력'!C:C,MATCH('FB 신규발행'!A11,'FB 콘텐츠 data 제목 입력'!A:A,0))=0,"",INDEX('FB 콘텐츠 data 제목 입력'!C:C,MATCH('FB 신규발행'!A11,'FB 콘텐츠 data 제목 입력'!A:A,0))),"")</f>
        <v>슼슼 배우는 2차전지 이야기</v>
      </c>
      <c r="E11" s="126">
        <f>IFERROR(INDEX('FB 콘텐츠 data'!$A$1:$AL$25,MATCH('FB 신규발행'!$A11,'FB 콘텐츠 data'!$AV:$AV,0),MATCH(E$2,'FB 콘텐츠 data'!$A$1:$AL$1,0)),"")</f>
        <v>48057</v>
      </c>
      <c r="F11" s="126">
        <f>IFERROR(INDEX('FB 콘텐츠 data'!$A$1:$AL$25,MATCH('FB 신규발행'!$A11,'FB 콘텐츠 data'!$AV:$AV,0),MATCH(F$2,'FB 콘텐츠 data'!$A$1:$AL$1,0)),"")</f>
        <v>24829</v>
      </c>
      <c r="G11" s="126">
        <f>IFERROR(INDEX('FB 콘텐츠 data'!$A$1:$AL$25,MATCH('FB 신규발행'!$A11,'FB 콘텐츠 data'!$AV:$AV,0),MATCH(G$2,'FB 콘텐츠 data'!$A$1:$AL$1,0)),"")</f>
        <v>4551</v>
      </c>
      <c r="H11" s="126">
        <f t="shared" si="0"/>
        <v>2450</v>
      </c>
      <c r="I11" s="126">
        <f>IFERROR(INDEX('FB 콘텐츠 data'!$A$1:$AL$25,MATCH('FB 신규발행'!$A11,'FB 콘텐츠 data'!$AV:$AV,0),MATCH(I$2,'FB 콘텐츠 data'!$A$1:$AL$1,0)),"")</f>
        <v>934</v>
      </c>
      <c r="J11" s="126">
        <f>IFERROR(INDEX('FB 콘텐츠 data'!$A$1:$AL$25,MATCH('FB 신규발행'!$A11,'FB 콘텐츠 data'!$AV:$AV,0),MATCH(J$2,'FB 콘텐츠 data'!$A$1:$AL$1,0)),"")</f>
        <v>35</v>
      </c>
      <c r="K11" s="216">
        <f>IFERROR(INDEX('FB 콘텐츠 data'!$A$1:$AV$25,MATCH('FB 신규발행'!$A11,'FB 콘텐츠 data'!$AV:$AV,0),MATCH(K$2,'FB 콘텐츠 data'!$A$1:$AV$1,0)),"")</f>
        <v>0</v>
      </c>
      <c r="L11" s="126">
        <f>IFERROR(INDEX('FB 콘텐츠 data'!$A$1:$AL$25,MATCH('FB 신규발행'!$A11,'FB 콘텐츠 data'!$AV:$AV,0),MATCH(L$2,'FB 콘텐츠 data'!$A$1:$AL$1,0)),"")</f>
        <v>0</v>
      </c>
      <c r="M11" s="126">
        <f>IFERROR(INDEX('FB 콘텐츠 data'!$A$1:$AL$25,MATCH('FB 신규발행'!$A11,'FB 콘텐츠 data'!$AV:$AV,0),MATCH(M$2,'FB 콘텐츠 data'!$A$1:$AL$1,0)),"")</f>
        <v>994</v>
      </c>
      <c r="N11" s="126">
        <f>IFERROR(INDEX('FB 콘텐츠 data'!$A$1:$AL$25,MATCH('FB 신규발행'!$A11,'FB 콘텐츠 data'!$AV:$AV,0),MATCH(N$2,'FB 콘텐츠 data'!$A$1:$AL$1,0)),"")</f>
        <v>2</v>
      </c>
      <c r="O11" s="126">
        <f>IFERROR(INDEX('FB 콘텐츠 data'!$A$1:$AL$25,MATCH('FB 신규발행'!$A11,'FB 콘텐츠 data'!$AV:$AV,0),MATCH(O$2,'FB 콘텐츠 data'!$A$1:$AL$1,0)),"")</f>
        <v>36</v>
      </c>
      <c r="P11" s="126">
        <f>IFERROR(INDEX('FB 콘텐츠 data'!$A$1:$AL$25,MATCH('FB 신규발행'!$A11,'FB 콘텐츠 data'!$AV:$AV,0),MATCH(P$2,'FB 콘텐츠 data'!$A$1:$AL$1,0)),"")</f>
        <v>449</v>
      </c>
      <c r="Q11" s="126">
        <f>IFERROR(INDEX('FB 콘텐츠 data'!$A$1:$AL$25,MATCH('FB 신규발행'!$A11,'FB 콘텐츠 data'!$AV:$AV,0),MATCH(Q$2,'FB 콘텐츠 data'!$A$1:$AL$1,0)),"")</f>
        <v>1445</v>
      </c>
      <c r="R11" s="127">
        <f t="shared" si="1"/>
        <v>9.8674936566112204E-2</v>
      </c>
      <c r="T11" s="48">
        <f t="shared" si="2"/>
        <v>3</v>
      </c>
      <c r="U11" s="48">
        <f t="shared" si="3"/>
        <v>4</v>
      </c>
      <c r="V11">
        <f t="shared" si="4"/>
        <v>2</v>
      </c>
      <c r="Y11" s="113"/>
    </row>
    <row r="12" spans="1:25" ht="17.45" customHeight="1">
      <c r="A12" s="129">
        <v>10</v>
      </c>
      <c r="B12" s="124">
        <f>IFERROR(INDEX('FB 콘텐츠 data'!AU:AU,MATCH('FB 신규발행'!A12,'FB 콘텐츠 data'!AV:AV,0)),"")</f>
        <v>45375</v>
      </c>
      <c r="C12" s="125" t="str">
        <f>IFERROR(INDEX('FB 콘텐츠 data'!$A$1:$AL$25,MATCH('FB 신규발행'!$A12,'FB 콘텐츠 data'!$AV:$AV,0),MATCH(C$2,'FB 콘텐츠 data'!$A$1:$AL$1,0)),"")</f>
        <v>사진</v>
      </c>
      <c r="D12" s="128" t="str">
        <f>IFERROR(IF(INDEX('FB 콘텐츠 data 제목 입력'!C:C,MATCH('FB 신규발행'!A12,'FB 콘텐츠 data 제목 입력'!A:A,0))=0,"",INDEX('FB 콘텐츠 data 제목 입력'!C:C,MATCH('FB 신규발행'!A12,'FB 콘텐츠 data 제목 입력'!A:A,0))),"")</f>
        <v>이노드림(빅터 프랭클)</v>
      </c>
      <c r="E12" s="126">
        <f>IFERROR(INDEX('FB 콘텐츠 data'!$A$1:$AL$25,MATCH('FB 신규발행'!$A12,'FB 콘텐츠 data'!$AV:$AV,0),MATCH(E$2,'FB 콘텐츠 data'!$A$1:$AL$1,0)),"")</f>
        <v>4191</v>
      </c>
      <c r="F12" s="126">
        <f>IFERROR(INDEX('FB 콘텐츠 data'!$A$1:$AL$25,MATCH('FB 신규발행'!$A12,'FB 콘텐츠 data'!$AV:$AV,0),MATCH(F$2,'FB 콘텐츠 data'!$A$1:$AL$1,0)),"")</f>
        <v>3893</v>
      </c>
      <c r="G12" s="126">
        <f>IFERROR(INDEX('FB 콘텐츠 data'!$A$1:$AL$25,MATCH('FB 신규발행'!$A12,'FB 콘텐츠 data'!$AV:$AV,0),MATCH(G$2,'FB 콘텐츠 data'!$A$1:$AL$1,0)),"")</f>
        <v>3783</v>
      </c>
      <c r="H12" s="126">
        <f t="shared" si="0"/>
        <v>205</v>
      </c>
      <c r="I12" s="126">
        <f>IFERROR(INDEX('FB 콘텐츠 data'!$A$1:$AL$25,MATCH('FB 신규발행'!$A12,'FB 콘텐츠 data'!$AV:$AV,0),MATCH(I$2,'FB 콘텐츠 data'!$A$1:$AL$1,0)),"")</f>
        <v>112</v>
      </c>
      <c r="J12" s="126">
        <f>IFERROR(INDEX('FB 콘텐츠 data'!$A$1:$AL$25,MATCH('FB 신규발행'!$A12,'FB 콘텐츠 data'!$AV:$AV,0),MATCH(J$2,'FB 콘텐츠 data'!$A$1:$AL$1,0)),"")</f>
        <v>12</v>
      </c>
      <c r="K12" s="216">
        <f>IFERROR(INDEX('FB 콘텐츠 data'!$A$1:$AV$25,MATCH('FB 신규발행'!$A12,'FB 콘텐츠 data'!$AV:$AV,0),MATCH(K$2,'FB 콘텐츠 data'!$A$1:$AV$1,0)),"")</f>
        <v>0</v>
      </c>
      <c r="L12" s="126">
        <f>IFERROR(INDEX('FB 콘텐츠 data'!$A$1:$AL$25,MATCH('FB 신규발행'!$A12,'FB 콘텐츠 data'!$AV:$AV,0),MATCH(L$2,'FB 콘텐츠 data'!$A$1:$AL$1,0)),"")</f>
        <v>0</v>
      </c>
      <c r="M12" s="126">
        <f>IFERROR(INDEX('FB 콘텐츠 data'!$A$1:$AL$25,MATCH('FB 신규발행'!$A12,'FB 콘텐츠 data'!$AV:$AV,0),MATCH(M$2,'FB 콘텐츠 data'!$A$1:$AL$1,0)),"")</f>
        <v>42</v>
      </c>
      <c r="N12" s="126">
        <f>IFERROR(INDEX('FB 콘텐츠 data'!$A$1:$AL$25,MATCH('FB 신규발행'!$A12,'FB 콘텐츠 data'!$AV:$AV,0),MATCH(N$2,'FB 콘텐츠 data'!$A$1:$AL$1,0)),"")</f>
        <v>1</v>
      </c>
      <c r="O12" s="126">
        <f>IFERROR(INDEX('FB 콘텐츠 data'!$A$1:$AL$25,MATCH('FB 신규발행'!$A12,'FB 콘텐츠 data'!$AV:$AV,0),MATCH(O$2,'FB 콘텐츠 data'!$A$1:$AL$1,0)),"")</f>
        <v>8</v>
      </c>
      <c r="P12" s="126">
        <f>IFERROR(INDEX('FB 콘텐츠 data'!$A$1:$AL$25,MATCH('FB 신규발행'!$A12,'FB 콘텐츠 data'!$AV:$AV,0),MATCH(P$2,'FB 콘텐츠 data'!$A$1:$AL$1,0)),"")</f>
        <v>30</v>
      </c>
      <c r="Q12" s="126">
        <f>IFERROR(INDEX('FB 콘텐츠 data'!$A$1:$AL$25,MATCH('FB 신규발행'!$A12,'FB 콘텐츠 data'!$AV:$AV,0),MATCH(Q$2,'FB 콘텐츠 data'!$A$1:$AL$1,0)),"")</f>
        <v>73</v>
      </c>
      <c r="R12" s="127">
        <f t="shared" si="1"/>
        <v>5.2658618032365788E-2</v>
      </c>
      <c r="T12" s="48">
        <f t="shared" si="2"/>
        <v>7</v>
      </c>
      <c r="U12" s="48">
        <f t="shared" si="3"/>
        <v>12</v>
      </c>
      <c r="V12">
        <f t="shared" si="4"/>
        <v>3</v>
      </c>
      <c r="Y12" s="113"/>
    </row>
    <row r="13" spans="1:25" ht="17.45" customHeight="1">
      <c r="A13" s="129">
        <v>11</v>
      </c>
      <c r="B13" s="124">
        <f>IFERROR(INDEX('FB 콘텐츠 data'!AU:AU,MATCH('FB 신규발행'!A13,'FB 콘텐츠 data'!AV:AV,0)),"")</f>
        <v>45376</v>
      </c>
      <c r="C13" s="125" t="str">
        <f>IFERROR(INDEX('FB 콘텐츠 data'!$A$1:$AL$25,MATCH('FB 신규발행'!$A13,'FB 콘텐츠 data'!$AV:$AV,0),MATCH(C$2,'FB 콘텐츠 data'!$A$1:$AL$1,0)),"")</f>
        <v>동영상</v>
      </c>
      <c r="D13" s="128" t="str">
        <f>IFERROR(IF(INDEX('FB 콘텐츠 data 제목 입력'!C:C,MATCH('FB 신규발행'!A13,'FB 콘텐츠 data 제목 입력'!A:A,0))=0,"",INDEX('FB 콘텐츠 data 제목 입력'!C:C,MATCH('FB 신규발행'!A13,'FB 콘텐츠 data 제목 입력'!A:A,0))),"")</f>
        <v>팩트체크해~油 Ep.2</v>
      </c>
      <c r="E13" s="126">
        <f>IFERROR(INDEX('FB 콘텐츠 data'!$A$1:$AL$25,MATCH('FB 신규발행'!$A13,'FB 콘텐츠 data'!$AV:$AV,0),MATCH(E$2,'FB 콘텐츠 data'!$A$1:$AL$1,0)),"")</f>
        <v>50006</v>
      </c>
      <c r="F13" s="126">
        <f>IFERROR(INDEX('FB 콘텐츠 data'!$A$1:$AL$25,MATCH('FB 신규발행'!$A13,'FB 콘텐츠 data'!$AV:$AV,0),MATCH(F$2,'FB 콘텐츠 data'!$A$1:$AL$1,0)),"")</f>
        <v>37704</v>
      </c>
      <c r="G13" s="126">
        <f>IFERROR(INDEX('FB 콘텐츠 data'!$A$1:$AL$25,MATCH('FB 신규발행'!$A13,'FB 콘텐츠 data'!$AV:$AV,0),MATCH(G$2,'FB 콘텐츠 data'!$A$1:$AL$1,0)),"")</f>
        <v>2099</v>
      </c>
      <c r="H13" s="126">
        <f t="shared" si="0"/>
        <v>264</v>
      </c>
      <c r="I13" s="126">
        <f>IFERROR(INDEX('FB 콘텐츠 data'!$A$1:$AL$25,MATCH('FB 신규발행'!$A13,'FB 콘텐츠 data'!$AV:$AV,0),MATCH(I$2,'FB 콘텐츠 data'!$A$1:$AL$1,0)),"")</f>
        <v>125</v>
      </c>
      <c r="J13" s="126">
        <f>IFERROR(INDEX('FB 콘텐츠 data'!$A$1:$AL$25,MATCH('FB 신규발행'!$A13,'FB 콘텐츠 data'!$AV:$AV,0),MATCH(J$2,'FB 콘텐츠 data'!$A$1:$AL$1,0)),"")</f>
        <v>59</v>
      </c>
      <c r="K13" s="216">
        <f>IFERROR(INDEX('FB 콘텐츠 data'!$A$1:$AV$25,MATCH('FB 신규발행'!$A13,'FB 콘텐츠 data'!$AV:$AV,0),MATCH(K$2,'FB 콘텐츠 data'!$A$1:$AV$1,0)),"")</f>
        <v>8.6199999999999992</v>
      </c>
      <c r="L13" s="126">
        <f>IFERROR(INDEX('FB 콘텐츠 data'!$A$1:$AL$25,MATCH('FB 신규발행'!$A13,'FB 콘텐츠 data'!$AV:$AV,0),MATCH(L$2,'FB 콘텐츠 data'!$A$1:$AL$1,0)),"")</f>
        <v>18123</v>
      </c>
      <c r="M13" s="126">
        <f>IFERROR(INDEX('FB 콘텐츠 data'!$A$1:$AL$25,MATCH('FB 신규발행'!$A13,'FB 콘텐츠 data'!$AV:$AV,0),MATCH(M$2,'FB 콘텐츠 data'!$A$1:$AL$1,0)),"")</f>
        <v>0</v>
      </c>
      <c r="N13" s="126">
        <f>IFERROR(INDEX('FB 콘텐츠 data'!$A$1:$AL$25,MATCH('FB 신규발행'!$A13,'FB 콘텐츠 data'!$AV:$AV,0),MATCH(N$2,'FB 콘텐츠 data'!$A$1:$AL$1,0)),"")</f>
        <v>24</v>
      </c>
      <c r="O13" s="126">
        <f>IFERROR(INDEX('FB 콘텐츠 data'!$A$1:$AL$25,MATCH('FB 신규발행'!$A13,'FB 콘텐츠 data'!$AV:$AV,0),MATCH(O$2,'FB 콘텐츠 data'!$A$1:$AL$1,0)),"")</f>
        <v>8</v>
      </c>
      <c r="P13" s="126">
        <f>IFERROR(INDEX('FB 콘텐츠 data'!$A$1:$AL$25,MATCH('FB 신규발행'!$A13,'FB 콘텐츠 data'!$AV:$AV,0),MATCH(P$2,'FB 콘텐츠 data'!$A$1:$AL$1,0)),"")</f>
        <v>45</v>
      </c>
      <c r="Q13" s="126">
        <f>IFERROR(INDEX('FB 콘텐츠 data'!$A$1:$AL$25,MATCH('FB 신규발행'!$A13,'FB 콘텐츠 data'!$AV:$AV,0),MATCH(Q$2,'FB 콘텐츠 data'!$A$1:$AL$1,0)),"")</f>
        <v>72</v>
      </c>
      <c r="R13" s="127">
        <f t="shared" si="1"/>
        <v>7.0019096117122856E-3</v>
      </c>
      <c r="T13" s="48">
        <f t="shared" si="2"/>
        <v>13</v>
      </c>
      <c r="U13" s="48">
        <f t="shared" si="3"/>
        <v>3</v>
      </c>
      <c r="V13">
        <f t="shared" si="4"/>
        <v>5</v>
      </c>
      <c r="Y13" s="113"/>
    </row>
    <row r="14" spans="1:25" ht="17.45" customHeight="1">
      <c r="A14" s="129">
        <v>12</v>
      </c>
      <c r="B14" s="124">
        <f>IFERROR(INDEX('FB 콘텐츠 data'!AU:AU,MATCH('FB 신규발행'!A14,'FB 콘텐츠 data'!AV:AV,0)),"")</f>
        <v>45377</v>
      </c>
      <c r="C14" s="125" t="str">
        <f>IFERROR(INDEX('FB 콘텐츠 data'!$A$1:$AL$25,MATCH('FB 신규발행'!$A14,'FB 콘텐츠 data'!$AV:$AV,0),MATCH(C$2,'FB 콘텐츠 data'!$A$1:$AL$1,0)),"")</f>
        <v>사진</v>
      </c>
      <c r="D14" s="128" t="str">
        <f>IFERROR(IF(INDEX('FB 콘텐츠 data 제목 입력'!C:C,MATCH('FB 신규발행'!A14,'FB 콘텐츠 data 제목 입력'!A:A,0))=0,"",INDEX('FB 콘텐츠 data 제목 입력'!C:C,MATCH('FB 신규발행'!A14,'FB 콘텐츠 data 제목 입력'!A:A,0))),"")</f>
        <v>자원봉사 코디네이터 워크샵 *뉴스룸 미러링</v>
      </c>
      <c r="E14" s="126">
        <f>IFERROR(INDEX('FB 콘텐츠 data'!$A$1:$AL$25,MATCH('FB 신규발행'!$A14,'FB 콘텐츠 data'!$AV:$AV,0),MATCH(E$2,'FB 콘텐츠 data'!$A$1:$AL$1,0)),"")</f>
        <v>68489</v>
      </c>
      <c r="F14" s="126">
        <f>IFERROR(INDEX('FB 콘텐츠 data'!$A$1:$AL$25,MATCH('FB 신규발행'!$A14,'FB 콘텐츠 data'!$AV:$AV,0),MATCH(F$2,'FB 콘텐츠 data'!$A$1:$AL$1,0)),"")</f>
        <v>44694</v>
      </c>
      <c r="G14" s="126">
        <f>IFERROR(INDEX('FB 콘텐츠 data'!$A$1:$AL$25,MATCH('FB 신규발행'!$A14,'FB 콘텐츠 data'!$AV:$AV,0),MATCH(G$2,'FB 콘텐츠 data'!$A$1:$AL$1,0)),"")</f>
        <v>4235</v>
      </c>
      <c r="H14" s="126">
        <f t="shared" si="0"/>
        <v>588</v>
      </c>
      <c r="I14" s="126">
        <f>IFERROR(INDEX('FB 콘텐츠 data'!$A$1:$AL$25,MATCH('FB 신규발행'!$A14,'FB 콘텐츠 data'!$AV:$AV,0),MATCH(I$2,'FB 콘텐츠 data'!$A$1:$AL$1,0)),"")</f>
        <v>117</v>
      </c>
      <c r="J14" s="126">
        <f>IFERROR(INDEX('FB 콘텐츠 data'!$A$1:$AL$25,MATCH('FB 신규발행'!$A14,'FB 콘텐츠 data'!$AV:$AV,0),MATCH(J$2,'FB 콘텐츠 data'!$A$1:$AL$1,0)),"")</f>
        <v>16</v>
      </c>
      <c r="K14" s="216">
        <f>IFERROR(INDEX('FB 콘텐츠 data'!$A$1:$AV$25,MATCH('FB 신규발행'!$A14,'FB 콘텐츠 data'!$AV:$AV,0),MATCH(K$2,'FB 콘텐츠 data'!$A$1:$AV$1,0)),"")</f>
        <v>0</v>
      </c>
      <c r="L14" s="126">
        <f>IFERROR(INDEX('FB 콘텐츠 data'!$A$1:$AL$25,MATCH('FB 신규발행'!$A14,'FB 콘텐츠 data'!$AV:$AV,0),MATCH(L$2,'FB 콘텐츠 data'!$A$1:$AL$1,0)),"")</f>
        <v>0</v>
      </c>
      <c r="M14" s="126">
        <f>IFERROR(INDEX('FB 콘텐츠 data'!$A$1:$AL$25,MATCH('FB 신규발행'!$A14,'FB 콘텐츠 data'!$AV:$AV,0),MATCH(M$2,'FB 콘텐츠 data'!$A$1:$AL$1,0)),"")</f>
        <v>50</v>
      </c>
      <c r="N14" s="126">
        <f>IFERROR(INDEX('FB 콘텐츠 data'!$A$1:$AL$25,MATCH('FB 신규발행'!$A14,'FB 콘텐츠 data'!$AV:$AV,0),MATCH(N$2,'FB 콘텐츠 data'!$A$1:$AL$1,0)),"")</f>
        <v>259</v>
      </c>
      <c r="O14" s="126">
        <f>IFERROR(INDEX('FB 콘텐츠 data'!$A$1:$AL$25,MATCH('FB 신규발행'!$A14,'FB 콘텐츠 data'!$AV:$AV,0),MATCH(O$2,'FB 콘텐츠 data'!$A$1:$AL$1,0)),"")</f>
        <v>4</v>
      </c>
      <c r="P14" s="126">
        <f>IFERROR(INDEX('FB 콘텐츠 data'!$A$1:$AL$25,MATCH('FB 신규발행'!$A14,'FB 콘텐츠 data'!$AV:$AV,0),MATCH(P$2,'FB 콘텐츠 data'!$A$1:$AL$1,0)),"")</f>
        <v>142</v>
      </c>
      <c r="Q14" s="126">
        <f>IFERROR(INDEX('FB 콘텐츠 data'!$A$1:$AL$25,MATCH('FB 신규발행'!$A14,'FB 콘텐츠 data'!$AV:$AV,0),MATCH(Q$2,'FB 콘텐츠 data'!$A$1:$AL$1,0)),"")</f>
        <v>451</v>
      </c>
      <c r="R14" s="127">
        <f t="shared" si="1"/>
        <v>1.3156128339374412E-2</v>
      </c>
      <c r="T14" s="48">
        <f t="shared" si="2"/>
        <v>12</v>
      </c>
      <c r="U14" s="48">
        <f t="shared" si="3"/>
        <v>2</v>
      </c>
      <c r="V14">
        <f t="shared" si="4"/>
        <v>12</v>
      </c>
      <c r="Y14" s="113"/>
    </row>
    <row r="15" spans="1:25" ht="17.45" customHeight="1">
      <c r="A15" s="129">
        <v>13</v>
      </c>
      <c r="B15" s="124">
        <f>IFERROR(INDEX('FB 콘텐츠 data'!AU:AU,MATCH('FB 신규발행'!A15,'FB 콘텐츠 data'!AV:AV,0)),"")</f>
        <v>45382</v>
      </c>
      <c r="C15" s="125" t="str">
        <f>IFERROR(INDEX('FB 콘텐츠 data'!$A$1:$AL$25,MATCH('FB 신규발행'!$A15,'FB 콘텐츠 data'!$AV:$AV,0),MATCH(C$2,'FB 콘텐츠 data'!$A$1:$AL$1,0)),"")</f>
        <v>사진</v>
      </c>
      <c r="D15" s="128" t="str">
        <f>IFERROR(IF(INDEX('FB 콘텐츠 data 제목 입력'!C:C,MATCH('FB 신규발행'!A15,'FB 콘텐츠 data 제목 입력'!A:A,0))=0,"",INDEX('FB 콘텐츠 data 제목 입력'!C:C,MATCH('FB 신규발행'!A15,'FB 콘텐츠 data 제목 입력'!A:A,0))),"")</f>
        <v>이노드림(임마누엘 칸트)</v>
      </c>
      <c r="E15" s="126">
        <f>IFERROR(INDEX('FB 콘텐츠 data'!$A$1:$AL$25,MATCH('FB 신규발행'!$A15,'FB 콘텐츠 data'!$AV:$AV,0),MATCH(E$2,'FB 콘텐츠 data'!$A$1:$AL$1,0)),"")</f>
        <v>3845</v>
      </c>
      <c r="F15" s="126">
        <f>IFERROR(INDEX('FB 콘텐츠 data'!$A$1:$AL$25,MATCH('FB 신규발행'!$A15,'FB 콘텐츠 data'!$AV:$AV,0),MATCH(F$2,'FB 콘텐츠 data'!$A$1:$AL$1,0)),"")</f>
        <v>3845</v>
      </c>
      <c r="G15" s="126">
        <f>IFERROR(INDEX('FB 콘텐츠 data'!$A$1:$AL$25,MATCH('FB 신규발행'!$A15,'FB 콘텐츠 data'!$AV:$AV,0),MATCH(G$2,'FB 콘텐츠 data'!$A$1:$AL$1,0)),"")</f>
        <v>3837</v>
      </c>
      <c r="H15" s="126">
        <f t="shared" si="0"/>
        <v>278</v>
      </c>
      <c r="I15" s="126">
        <f>IFERROR(INDEX('FB 콘텐츠 data'!$A$1:$AL$25,MATCH('FB 신규발행'!$A15,'FB 콘텐츠 data'!$AV:$AV,0),MATCH(I$2,'FB 콘텐츠 data'!$A$1:$AL$1,0)),"")</f>
        <v>144</v>
      </c>
      <c r="J15" s="126">
        <f>IFERROR(INDEX('FB 콘텐츠 data'!$A$1:$AL$25,MATCH('FB 신규발행'!$A15,'FB 콘텐츠 data'!$AV:$AV,0),MATCH(J$2,'FB 콘텐츠 data'!$A$1:$AL$1,0)),"")</f>
        <v>9</v>
      </c>
      <c r="K15" s="216">
        <f>IFERROR(INDEX('FB 콘텐츠 data'!$A$1:$AV$25,MATCH('FB 신규발행'!$A15,'FB 콘텐츠 data'!$AV:$AV,0),MATCH(K$2,'FB 콘텐츠 data'!$A$1:$AV$1,0)),"")</f>
        <v>0</v>
      </c>
      <c r="L15" s="126">
        <f>IFERROR(INDEX('FB 콘텐츠 data'!$A$1:$AL$25,MATCH('FB 신규발행'!$A15,'FB 콘텐츠 data'!$AV:$AV,0),MATCH(L$2,'FB 콘텐츠 data'!$A$1:$AL$1,0)),"")</f>
        <v>0</v>
      </c>
      <c r="M15" s="126">
        <f>IFERROR(INDEX('FB 콘텐츠 data'!$A$1:$AL$25,MATCH('FB 신규발행'!$A15,'FB 콘텐츠 data'!$AV:$AV,0),MATCH(M$2,'FB 콘텐츠 data'!$A$1:$AL$1,0)),"")</f>
        <v>92</v>
      </c>
      <c r="N15" s="126">
        <f>IFERROR(INDEX('FB 콘텐츠 data'!$A$1:$AL$25,MATCH('FB 신규발행'!$A15,'FB 콘텐츠 data'!$AV:$AV,0),MATCH(N$2,'FB 콘텐츠 data'!$A$1:$AL$1,0)),"")</f>
        <v>0</v>
      </c>
      <c r="O15" s="126">
        <f>IFERROR(INDEX('FB 콘텐츠 data'!$A$1:$AL$25,MATCH('FB 신규발행'!$A15,'FB 콘텐츠 data'!$AV:$AV,0),MATCH(O$2,'FB 콘텐츠 data'!$A$1:$AL$1,0)),"")</f>
        <v>13</v>
      </c>
      <c r="P15" s="126">
        <f>IFERROR(INDEX('FB 콘텐츠 data'!$A$1:$AL$25,MATCH('FB 신규발행'!$A15,'FB 콘텐츠 data'!$AV:$AV,0),MATCH(P$2,'FB 콘텐츠 data'!$A$1:$AL$1,0)),"")</f>
        <v>20</v>
      </c>
      <c r="Q15" s="126">
        <f>IFERROR(INDEX('FB 콘텐츠 data'!$A$1:$AL$25,MATCH('FB 신규발행'!$A15,'FB 콘텐츠 data'!$AV:$AV,0),MATCH(Q$2,'FB 콘텐츠 data'!$A$1:$AL$1,0)),"")</f>
        <v>112</v>
      </c>
      <c r="R15" s="127">
        <f t="shared" si="1"/>
        <v>7.2301690507152142E-2</v>
      </c>
      <c r="T15" s="48">
        <f t="shared" si="2"/>
        <v>6</v>
      </c>
      <c r="U15" s="48">
        <f t="shared" si="3"/>
        <v>13</v>
      </c>
      <c r="V15">
        <f t="shared" si="4"/>
        <v>11</v>
      </c>
      <c r="Y15" s="113"/>
    </row>
    <row r="16" spans="1:25" ht="17.45" customHeight="1">
      <c r="A16" s="129">
        <v>14</v>
      </c>
      <c r="B16" s="124" t="str">
        <f>IFERROR(INDEX('FB 콘텐츠 data'!AU:AU,MATCH('FB 신규발행'!A16,'FB 콘텐츠 data'!AV:AV,0)),"")</f>
        <v/>
      </c>
      <c r="C16" s="125" t="str">
        <f>IFERROR(INDEX('FB 콘텐츠 data'!$A$1:$AL$25,MATCH('FB 신규발행'!$A16,'FB 콘텐츠 data'!$AV:$AV,0),MATCH(C$2,'FB 콘텐츠 data'!$A$1:$AL$1,0)),"")</f>
        <v/>
      </c>
      <c r="D16" s="128" t="str">
        <f>IFERROR(IF(INDEX('FB 콘텐츠 data 제목 입력'!C:C,MATCH('FB 신규발행'!A16,'FB 콘텐츠 data 제목 입력'!A:A,0))=0,"",INDEX('FB 콘텐츠 data 제목 입력'!C:C,MATCH('FB 신규발행'!A16,'FB 콘텐츠 data 제목 입력'!A:A,0))),"")</f>
        <v/>
      </c>
      <c r="E16" s="126" t="str">
        <f>IFERROR(INDEX('FB 콘텐츠 data'!$A$1:$AL$25,MATCH('FB 신규발행'!$A16,'FB 콘텐츠 data'!$AV:$AV,0),MATCH(E$2,'FB 콘텐츠 data'!$A$1:$AL$1,0)),"")</f>
        <v/>
      </c>
      <c r="F16" s="126" t="str">
        <f>IFERROR(INDEX('FB 콘텐츠 data'!$A$1:$AL$25,MATCH('FB 신규발행'!$A16,'FB 콘텐츠 data'!$AV:$AV,0),MATCH(F$2,'FB 콘텐츠 data'!$A$1:$AL$1,0)),"")</f>
        <v/>
      </c>
      <c r="G16" s="126" t="str">
        <f>IFERROR(INDEX('FB 콘텐츠 data'!$A$1:$AL$25,MATCH('FB 신규발행'!$A16,'FB 콘텐츠 data'!$AV:$AV,0),MATCH(G$2,'FB 콘텐츠 data'!$A$1:$AL$1,0)),"")</f>
        <v/>
      </c>
      <c r="H16" s="126" t="str">
        <f t="shared" si="0"/>
        <v/>
      </c>
      <c r="I16" s="126" t="str">
        <f>IFERROR(INDEX('FB 콘텐츠 data'!$A$1:$AL$25,MATCH('FB 신규발행'!$A16,'FB 콘텐츠 data'!$AV:$AV,0),MATCH(I$2,'FB 콘텐츠 data'!$A$1:$AL$1,0)),"")</f>
        <v/>
      </c>
      <c r="J16" s="126" t="str">
        <f>IFERROR(INDEX('FB 콘텐츠 data'!$A$1:$AL$25,MATCH('FB 신규발행'!$A16,'FB 콘텐츠 data'!$AV:$AV,0),MATCH(J$2,'FB 콘텐츠 data'!$A$1:$AL$1,0)),"")</f>
        <v/>
      </c>
      <c r="K16" s="216" t="str">
        <f>IFERROR(INDEX('FB 콘텐츠 data'!$A$1:$AV$25,MATCH('FB 신규발행'!$A16,'FB 콘텐츠 data'!$AV:$AV,0),MATCH(K$2,'FB 콘텐츠 data'!$A$1:$AV$1,0)),"")</f>
        <v/>
      </c>
      <c r="L16" s="126" t="str">
        <f>IFERROR(INDEX('FB 콘텐츠 data'!$A$1:$AL$25,MATCH('FB 신규발행'!$A16,'FB 콘텐츠 data'!$AV:$AV,0),MATCH(L$2,'FB 콘텐츠 data'!$A$1:$AL$1,0)),"")</f>
        <v/>
      </c>
      <c r="M16" s="126" t="str">
        <f>IFERROR(INDEX('FB 콘텐츠 data'!$A$1:$AL$25,MATCH('FB 신규발행'!$A16,'FB 콘텐츠 data'!$AV:$AV,0),MATCH(M$2,'FB 콘텐츠 data'!$A$1:$AL$1,0)),"")</f>
        <v/>
      </c>
      <c r="N16" s="126" t="str">
        <f>IFERROR(INDEX('FB 콘텐츠 data'!$A$1:$AL$25,MATCH('FB 신규발행'!$A16,'FB 콘텐츠 data'!$AV:$AV,0),MATCH(N$2,'FB 콘텐츠 data'!$A$1:$AL$1,0)),"")</f>
        <v/>
      </c>
      <c r="O16" s="126" t="str">
        <f>IFERROR(INDEX('FB 콘텐츠 data'!$A$1:$AL$25,MATCH('FB 신규발행'!$A16,'FB 콘텐츠 data'!$AV:$AV,0),MATCH(O$2,'FB 콘텐츠 data'!$A$1:$AL$1,0)),"")</f>
        <v/>
      </c>
      <c r="P16" s="126" t="str">
        <f>IFERROR(INDEX('FB 콘텐츠 data'!$A$1:$AL$25,MATCH('FB 신규발행'!$A16,'FB 콘텐츠 data'!$AV:$AV,0),MATCH(P$2,'FB 콘텐츠 data'!$A$1:$AL$1,0)),"")</f>
        <v/>
      </c>
      <c r="Q16" s="126" t="str">
        <f>IFERROR(INDEX('FB 콘텐츠 data'!$A$1:$AL$25,MATCH('FB 신규발행'!$A16,'FB 콘텐츠 data'!$AV:$AV,0),MATCH(Q$2,'FB 콘텐츠 data'!$A$1:$AL$1,0)),"")</f>
        <v/>
      </c>
      <c r="R16" s="127" t="str">
        <f t="shared" si="1"/>
        <v/>
      </c>
      <c r="T16" s="48" t="str">
        <f t="shared" si="2"/>
        <v/>
      </c>
      <c r="U16" s="48" t="str">
        <f t="shared" si="3"/>
        <v/>
      </c>
      <c r="V16" t="str">
        <f t="shared" si="4"/>
        <v/>
      </c>
      <c r="Y16" s="113"/>
    </row>
    <row r="17" spans="1:25" ht="17.45" customHeight="1">
      <c r="A17" s="129">
        <v>15</v>
      </c>
      <c r="B17" s="124" t="str">
        <f>IFERROR(INDEX('FB 콘텐츠 data'!AU:AU,MATCH('FB 신규발행'!A17,'FB 콘텐츠 data'!AV:AV,0)),"")</f>
        <v/>
      </c>
      <c r="C17" s="125" t="str">
        <f>IFERROR(INDEX('FB 콘텐츠 data'!$A$1:$AL$25,MATCH('FB 신규발행'!$A17,'FB 콘텐츠 data'!$AV:$AV,0),MATCH(C$2,'FB 콘텐츠 data'!$A$1:$AL$1,0)),"")</f>
        <v/>
      </c>
      <c r="D17" s="128" t="str">
        <f>IFERROR(IF(INDEX('FB 콘텐츠 data 제목 입력'!C:C,MATCH('FB 신규발행'!A17,'FB 콘텐츠 data 제목 입력'!A:A,0))=0,"",INDEX('FB 콘텐츠 data 제목 입력'!C:C,MATCH('FB 신규발행'!A17,'FB 콘텐츠 data 제목 입력'!A:A,0))),"")</f>
        <v/>
      </c>
      <c r="E17" s="126" t="str">
        <f>IFERROR(INDEX('FB 콘텐츠 data'!$A$1:$AL$25,MATCH('FB 신규발행'!$A17,'FB 콘텐츠 data'!$AV:$AV,0),MATCH(E$2,'FB 콘텐츠 data'!$A$1:$AL$1,0)),"")</f>
        <v/>
      </c>
      <c r="F17" s="126" t="str">
        <f>IFERROR(INDEX('FB 콘텐츠 data'!$A$1:$AL$25,MATCH('FB 신규발행'!$A17,'FB 콘텐츠 data'!$AV:$AV,0),MATCH(F$2,'FB 콘텐츠 data'!$A$1:$AL$1,0)),"")</f>
        <v/>
      </c>
      <c r="G17" s="126" t="str">
        <f>IFERROR(INDEX('FB 콘텐츠 data'!$A$1:$AL$25,MATCH('FB 신규발행'!$A17,'FB 콘텐츠 data'!$AV:$AV,0),MATCH(G$2,'FB 콘텐츠 data'!$A$1:$AL$1,0)),"")</f>
        <v/>
      </c>
      <c r="H17" s="126" t="str">
        <f t="shared" si="0"/>
        <v/>
      </c>
      <c r="I17" s="126" t="str">
        <f>IFERROR(INDEX('FB 콘텐츠 data'!$A$1:$AL$25,MATCH('FB 신규발행'!$A17,'FB 콘텐츠 data'!$AV:$AV,0),MATCH(I$2,'FB 콘텐츠 data'!$A$1:$AL$1,0)),"")</f>
        <v/>
      </c>
      <c r="J17" s="126" t="str">
        <f>IFERROR(INDEX('FB 콘텐츠 data'!$A$1:$AL$25,MATCH('FB 신규발행'!$A17,'FB 콘텐츠 data'!$AV:$AV,0),MATCH(J$2,'FB 콘텐츠 data'!$A$1:$AL$1,0)),"")</f>
        <v/>
      </c>
      <c r="K17" s="216" t="str">
        <f>IFERROR(INDEX('FB 콘텐츠 data'!$A$1:$AV$25,MATCH('FB 신규발행'!$A17,'FB 콘텐츠 data'!$AV:$AV,0),MATCH(K$2,'FB 콘텐츠 data'!$A$1:$AV$1,0)),"")</f>
        <v/>
      </c>
      <c r="L17" s="126" t="str">
        <f>IFERROR(INDEX('FB 콘텐츠 data'!$A$1:$AL$25,MATCH('FB 신규발행'!$A17,'FB 콘텐츠 data'!$AV:$AV,0),MATCH(L$2,'FB 콘텐츠 data'!$A$1:$AL$1,0)),"")</f>
        <v/>
      </c>
      <c r="M17" s="126" t="str">
        <f>IFERROR(INDEX('FB 콘텐츠 data'!$A$1:$AL$25,MATCH('FB 신규발행'!$A17,'FB 콘텐츠 data'!$AV:$AV,0),MATCH(M$2,'FB 콘텐츠 data'!$A$1:$AL$1,0)),"")</f>
        <v/>
      </c>
      <c r="N17" s="126" t="str">
        <f>IFERROR(INDEX('FB 콘텐츠 data'!$A$1:$AL$25,MATCH('FB 신규발행'!$A17,'FB 콘텐츠 data'!$AV:$AV,0),MATCH(N$2,'FB 콘텐츠 data'!$A$1:$AL$1,0)),"")</f>
        <v/>
      </c>
      <c r="O17" s="126" t="str">
        <f>IFERROR(INDEX('FB 콘텐츠 data'!$A$1:$AL$25,MATCH('FB 신규발행'!$A17,'FB 콘텐츠 data'!$AV:$AV,0),MATCH(O$2,'FB 콘텐츠 data'!$A$1:$AL$1,0)),"")</f>
        <v/>
      </c>
      <c r="P17" s="126" t="str">
        <f>IFERROR(INDEX('FB 콘텐츠 data'!$A$1:$AL$25,MATCH('FB 신규발행'!$A17,'FB 콘텐츠 data'!$AV:$AV,0),MATCH(P$2,'FB 콘텐츠 data'!$A$1:$AL$1,0)),"")</f>
        <v/>
      </c>
      <c r="Q17" s="126" t="str">
        <f>IFERROR(INDEX('FB 콘텐츠 data'!$A$1:$AL$25,MATCH('FB 신규발행'!$A17,'FB 콘텐츠 data'!$AV:$AV,0),MATCH(Q$2,'FB 콘텐츠 data'!$A$1:$AL$1,0)),"")</f>
        <v/>
      </c>
      <c r="R17" s="127" t="str">
        <f t="shared" si="1"/>
        <v/>
      </c>
      <c r="T17" s="48" t="str">
        <f t="shared" si="2"/>
        <v/>
      </c>
      <c r="U17" s="48" t="str">
        <f t="shared" si="3"/>
        <v/>
      </c>
      <c r="V17" t="str">
        <f t="shared" si="4"/>
        <v/>
      </c>
      <c r="Y17" s="113"/>
    </row>
    <row r="18" spans="1:25" ht="17.45" customHeight="1">
      <c r="A18" s="129">
        <v>16</v>
      </c>
      <c r="B18" s="124" t="str">
        <f>IFERROR(INDEX('FB 콘텐츠 data'!AU:AU,MATCH('FB 신규발행'!A18,'FB 콘텐츠 data'!AV:AV,0)),"")</f>
        <v/>
      </c>
      <c r="C18" s="125" t="str">
        <f>IFERROR(INDEX('FB 콘텐츠 data'!$A$1:$AL$25,MATCH('FB 신규발행'!$A18,'FB 콘텐츠 data'!$AV:$AV,0),MATCH(C$2,'FB 콘텐츠 data'!$A$1:$AL$1,0)),"")</f>
        <v/>
      </c>
      <c r="D18" s="128" t="str">
        <f>IFERROR(IF(INDEX('FB 콘텐츠 data 제목 입력'!C:C,MATCH('FB 신규발행'!A18,'FB 콘텐츠 data 제목 입력'!A:A,0))=0,"",INDEX('FB 콘텐츠 data 제목 입력'!C:C,MATCH('FB 신규발행'!A18,'FB 콘텐츠 data 제목 입력'!A:A,0))),"")</f>
        <v/>
      </c>
      <c r="E18" s="126" t="str">
        <f>IFERROR(INDEX('FB 콘텐츠 data'!$A$1:$AL$25,MATCH('FB 신규발행'!$A18,'FB 콘텐츠 data'!$AV:$AV,0),MATCH(E$2,'FB 콘텐츠 data'!$A$1:$AL$1,0)),"")</f>
        <v/>
      </c>
      <c r="F18" s="126" t="str">
        <f>IFERROR(INDEX('FB 콘텐츠 data'!$A$1:$AL$25,MATCH('FB 신규발행'!$A18,'FB 콘텐츠 data'!$AV:$AV,0),MATCH(F$2,'FB 콘텐츠 data'!$A$1:$AL$1,0)),"")</f>
        <v/>
      </c>
      <c r="G18" s="126" t="str">
        <f>IFERROR(INDEX('FB 콘텐츠 data'!$A$1:$AL$25,MATCH('FB 신규발행'!$A18,'FB 콘텐츠 data'!$AV:$AV,0),MATCH(G$2,'FB 콘텐츠 data'!$A$1:$AL$1,0)),"")</f>
        <v/>
      </c>
      <c r="H18" s="126" t="str">
        <f t="shared" si="0"/>
        <v/>
      </c>
      <c r="I18" s="126" t="str">
        <f>IFERROR(INDEX('FB 콘텐츠 data'!$A$1:$AL$25,MATCH('FB 신규발행'!$A18,'FB 콘텐츠 data'!$AV:$AV,0),MATCH(I$2,'FB 콘텐츠 data'!$A$1:$AL$1,0)),"")</f>
        <v/>
      </c>
      <c r="J18" s="126" t="str">
        <f>IFERROR(INDEX('FB 콘텐츠 data'!$A$1:$AL$25,MATCH('FB 신규발행'!$A18,'FB 콘텐츠 data'!$AV:$AV,0),MATCH(J$2,'FB 콘텐츠 data'!$A$1:$AL$1,0)),"")</f>
        <v/>
      </c>
      <c r="K18" s="216" t="str">
        <f>IFERROR(INDEX('FB 콘텐츠 data'!$A$1:$AV$25,MATCH('FB 신규발행'!$A18,'FB 콘텐츠 data'!$AV:$AV,0),MATCH(K$2,'FB 콘텐츠 data'!$A$1:$AV$1,0)),"")</f>
        <v/>
      </c>
      <c r="L18" s="126" t="str">
        <f>IFERROR(INDEX('FB 콘텐츠 data'!$A$1:$AL$25,MATCH('FB 신규발행'!$A18,'FB 콘텐츠 data'!$AV:$AV,0),MATCH(L$2,'FB 콘텐츠 data'!$A$1:$AL$1,0)),"")</f>
        <v/>
      </c>
      <c r="M18" s="126" t="str">
        <f>IFERROR(INDEX('FB 콘텐츠 data'!$A$1:$AL$25,MATCH('FB 신규발행'!$A18,'FB 콘텐츠 data'!$AV:$AV,0),MATCH(M$2,'FB 콘텐츠 data'!$A$1:$AL$1,0)),"")</f>
        <v/>
      </c>
      <c r="N18" s="126" t="str">
        <f>IFERROR(INDEX('FB 콘텐츠 data'!$A$1:$AL$25,MATCH('FB 신규발행'!$A18,'FB 콘텐츠 data'!$AV:$AV,0),MATCH(N$2,'FB 콘텐츠 data'!$A$1:$AL$1,0)),"")</f>
        <v/>
      </c>
      <c r="O18" s="126" t="str">
        <f>IFERROR(INDEX('FB 콘텐츠 data'!$A$1:$AL$25,MATCH('FB 신규발행'!$A18,'FB 콘텐츠 data'!$AV:$AV,0),MATCH(O$2,'FB 콘텐츠 data'!$A$1:$AL$1,0)),"")</f>
        <v/>
      </c>
      <c r="P18" s="126" t="str">
        <f>IFERROR(INDEX('FB 콘텐츠 data'!$A$1:$AL$25,MATCH('FB 신규발행'!$A18,'FB 콘텐츠 data'!$AV:$AV,0),MATCH(P$2,'FB 콘텐츠 data'!$A$1:$AL$1,0)),"")</f>
        <v/>
      </c>
      <c r="Q18" s="126" t="str">
        <f>IFERROR(INDEX('FB 콘텐츠 data'!$A$1:$AL$25,MATCH('FB 신규발행'!$A18,'FB 콘텐츠 data'!$AV:$AV,0),MATCH(Q$2,'FB 콘텐츠 data'!$A$1:$AL$1,0)),"")</f>
        <v/>
      </c>
      <c r="R18" s="127" t="str">
        <f t="shared" si="1"/>
        <v/>
      </c>
      <c r="T18" s="48" t="str">
        <f t="shared" si="2"/>
        <v/>
      </c>
      <c r="U18" s="48" t="str">
        <f t="shared" si="3"/>
        <v/>
      </c>
      <c r="V18" t="str">
        <f t="shared" si="4"/>
        <v/>
      </c>
      <c r="Y18" s="113"/>
    </row>
    <row r="19" spans="1:25" ht="17.45" customHeight="1">
      <c r="A19" s="129">
        <v>17</v>
      </c>
      <c r="B19" s="124" t="str">
        <f>IFERROR(INDEX('FB 콘텐츠 data'!AU:AU,MATCH('FB 신규발행'!A19,'FB 콘텐츠 data'!AV:AV,0)),"")</f>
        <v/>
      </c>
      <c r="C19" s="125" t="str">
        <f>IFERROR(INDEX('FB 콘텐츠 data'!$A$1:$AL$25,MATCH('FB 신규발행'!$A19,'FB 콘텐츠 data'!$AV:$AV,0),MATCH(C$2,'FB 콘텐츠 data'!$A$1:$AL$1,0)),"")</f>
        <v/>
      </c>
      <c r="D19" s="128" t="str">
        <f>IFERROR(IF(INDEX('FB 콘텐츠 data 제목 입력'!C:C,MATCH('FB 신규발행'!A19,'FB 콘텐츠 data 제목 입력'!A:A,0))=0,"",INDEX('FB 콘텐츠 data 제목 입력'!C:C,MATCH('FB 신규발행'!A19,'FB 콘텐츠 data 제목 입력'!A:A,0))),"")</f>
        <v/>
      </c>
      <c r="E19" s="126" t="str">
        <f>IFERROR(INDEX('FB 콘텐츠 data'!$A$1:$AL$25,MATCH('FB 신규발행'!$A19,'FB 콘텐츠 data'!$AV:$AV,0),MATCH(E$2,'FB 콘텐츠 data'!$A$1:$AL$1,0)),"")</f>
        <v/>
      </c>
      <c r="F19" s="126" t="str">
        <f>IFERROR(INDEX('FB 콘텐츠 data'!$A$1:$AL$25,MATCH('FB 신규발행'!$A19,'FB 콘텐츠 data'!$AV:$AV,0),MATCH(F$2,'FB 콘텐츠 data'!$A$1:$AL$1,0)),"")</f>
        <v/>
      </c>
      <c r="G19" s="126" t="str">
        <f>IFERROR(INDEX('FB 콘텐츠 data'!$A$1:$AL$25,MATCH('FB 신규발행'!$A19,'FB 콘텐츠 data'!$AV:$AV,0),MATCH(G$2,'FB 콘텐츠 data'!$A$1:$AL$1,0)),"")</f>
        <v/>
      </c>
      <c r="H19" s="126" t="str">
        <f t="shared" si="0"/>
        <v/>
      </c>
      <c r="I19" s="126" t="str">
        <f>IFERROR(INDEX('FB 콘텐츠 data'!$A$1:$AL$25,MATCH('FB 신규발행'!$A19,'FB 콘텐츠 data'!$AV:$AV,0),MATCH(I$2,'FB 콘텐츠 data'!$A$1:$AL$1,0)),"")</f>
        <v/>
      </c>
      <c r="J19" s="126" t="str">
        <f>IFERROR(INDEX('FB 콘텐츠 data'!$A$1:$AL$25,MATCH('FB 신규발행'!$A19,'FB 콘텐츠 data'!$AV:$AV,0),MATCH(J$2,'FB 콘텐츠 data'!$A$1:$AL$1,0)),"")</f>
        <v/>
      </c>
      <c r="K19" s="216" t="str">
        <f>IFERROR(INDEX('FB 콘텐츠 data'!$A$1:$AV$25,MATCH('FB 신규발행'!$A19,'FB 콘텐츠 data'!$AV:$AV,0),MATCH(K$2,'FB 콘텐츠 data'!$A$1:$AV$1,0)),"")</f>
        <v/>
      </c>
      <c r="L19" s="126" t="str">
        <f>IFERROR(INDEX('FB 콘텐츠 data'!$A$1:$AL$25,MATCH('FB 신규발행'!$A19,'FB 콘텐츠 data'!$AV:$AV,0),MATCH(L$2,'FB 콘텐츠 data'!$A$1:$AL$1,0)),"")</f>
        <v/>
      </c>
      <c r="M19" s="126" t="str">
        <f>IFERROR(INDEX('FB 콘텐츠 data'!$A$1:$AL$25,MATCH('FB 신규발행'!$A19,'FB 콘텐츠 data'!$AV:$AV,0),MATCH(M$2,'FB 콘텐츠 data'!$A$1:$AL$1,0)),"")</f>
        <v/>
      </c>
      <c r="N19" s="126" t="str">
        <f>IFERROR(INDEX('FB 콘텐츠 data'!$A$1:$AL$25,MATCH('FB 신규발행'!$A19,'FB 콘텐츠 data'!$AV:$AV,0),MATCH(N$2,'FB 콘텐츠 data'!$A$1:$AL$1,0)),"")</f>
        <v/>
      </c>
      <c r="O19" s="126" t="str">
        <f>IFERROR(INDEX('FB 콘텐츠 data'!$A$1:$AL$25,MATCH('FB 신규발행'!$A19,'FB 콘텐츠 data'!$AV:$AV,0),MATCH(O$2,'FB 콘텐츠 data'!$A$1:$AL$1,0)),"")</f>
        <v/>
      </c>
      <c r="P19" s="126" t="str">
        <f>IFERROR(INDEX('FB 콘텐츠 data'!$A$1:$AL$25,MATCH('FB 신규발행'!$A19,'FB 콘텐츠 data'!$AV:$AV,0),MATCH(P$2,'FB 콘텐츠 data'!$A$1:$AL$1,0)),"")</f>
        <v/>
      </c>
      <c r="Q19" s="126" t="str">
        <f>IFERROR(INDEX('FB 콘텐츠 data'!$A$1:$AL$25,MATCH('FB 신규발행'!$A19,'FB 콘텐츠 data'!$AV:$AV,0),MATCH(Q$2,'FB 콘텐츠 data'!$A$1:$AL$1,0)),"")</f>
        <v/>
      </c>
      <c r="R19" s="127" t="str">
        <f t="shared" si="1"/>
        <v/>
      </c>
      <c r="T19" s="48" t="str">
        <f t="shared" si="2"/>
        <v/>
      </c>
      <c r="U19" s="48" t="str">
        <f t="shared" si="3"/>
        <v/>
      </c>
      <c r="V19" t="str">
        <f t="shared" si="4"/>
        <v/>
      </c>
      <c r="Y19" s="113"/>
    </row>
    <row r="20" spans="1:25" ht="17.45" customHeight="1">
      <c r="A20" s="129">
        <v>18</v>
      </c>
      <c r="B20" s="124" t="str">
        <f>IFERROR(INDEX('FB 콘텐츠 data'!AU:AU,MATCH('FB 신규발행'!A20,'FB 콘텐츠 data'!AV:AV,0)),"")</f>
        <v/>
      </c>
      <c r="C20" s="125" t="str">
        <f>IFERROR(INDEX('FB 콘텐츠 data'!$A$1:$AL$25,MATCH('FB 신규발행'!$A20,'FB 콘텐츠 data'!$AV:$AV,0),MATCH(C$2,'FB 콘텐츠 data'!$A$1:$AL$1,0)),"")</f>
        <v/>
      </c>
      <c r="D20" s="128" t="str">
        <f>IFERROR(IF(INDEX('FB 콘텐츠 data 제목 입력'!C:C,MATCH('FB 신규발행'!A20,'FB 콘텐츠 data 제목 입력'!A:A,0))=0,"",INDEX('FB 콘텐츠 data 제목 입력'!C:C,MATCH('FB 신규발행'!A20,'FB 콘텐츠 data 제목 입력'!A:A,0))),"")</f>
        <v/>
      </c>
      <c r="E20" s="126" t="str">
        <f>IFERROR(INDEX('FB 콘텐츠 data'!$A$1:$AL$25,MATCH('FB 신규발행'!$A20,'FB 콘텐츠 data'!$AV:$AV,0),MATCH(E$2,'FB 콘텐츠 data'!$A$1:$AL$1,0)),"")</f>
        <v/>
      </c>
      <c r="F20" s="126" t="str">
        <f>IFERROR(INDEX('FB 콘텐츠 data'!$A$1:$AL$25,MATCH('FB 신규발행'!$A20,'FB 콘텐츠 data'!$AV:$AV,0),MATCH(F$2,'FB 콘텐츠 data'!$A$1:$AL$1,0)),"")</f>
        <v/>
      </c>
      <c r="G20" s="126" t="str">
        <f>IFERROR(INDEX('FB 콘텐츠 data'!$A$1:$AL$25,MATCH('FB 신규발행'!$A20,'FB 콘텐츠 data'!$AV:$AV,0),MATCH(G$2,'FB 콘텐츠 data'!$A$1:$AL$1,0)),"")</f>
        <v/>
      </c>
      <c r="H20" s="126" t="str">
        <f t="shared" si="0"/>
        <v/>
      </c>
      <c r="I20" s="126" t="str">
        <f>IFERROR(INDEX('FB 콘텐츠 data'!$A$1:$AL$25,MATCH('FB 신규발행'!$A20,'FB 콘텐츠 data'!$AV:$AV,0),MATCH(I$2,'FB 콘텐츠 data'!$A$1:$AL$1,0)),"")</f>
        <v/>
      </c>
      <c r="J20" s="126" t="str">
        <f>IFERROR(INDEX('FB 콘텐츠 data'!$A$1:$AL$25,MATCH('FB 신규발행'!$A20,'FB 콘텐츠 data'!$AV:$AV,0),MATCH(J$2,'FB 콘텐츠 data'!$A$1:$AL$1,0)),"")</f>
        <v/>
      </c>
      <c r="K20" s="216" t="str">
        <f>IFERROR(INDEX('FB 콘텐츠 data'!$A$1:$AV$25,MATCH('FB 신규발행'!$A20,'FB 콘텐츠 data'!$AV:$AV,0),MATCH(K$2,'FB 콘텐츠 data'!$A$1:$AV$1,0)),"")</f>
        <v/>
      </c>
      <c r="L20" s="126" t="str">
        <f>IFERROR(INDEX('FB 콘텐츠 data'!$A$1:$AL$25,MATCH('FB 신규발행'!$A20,'FB 콘텐츠 data'!$AV:$AV,0),MATCH(L$2,'FB 콘텐츠 data'!$A$1:$AL$1,0)),"")</f>
        <v/>
      </c>
      <c r="M20" s="126" t="str">
        <f>IFERROR(INDEX('FB 콘텐츠 data'!$A$1:$AL$25,MATCH('FB 신규발행'!$A20,'FB 콘텐츠 data'!$AV:$AV,0),MATCH(M$2,'FB 콘텐츠 data'!$A$1:$AL$1,0)),"")</f>
        <v/>
      </c>
      <c r="N20" s="126" t="str">
        <f>IFERROR(INDEX('FB 콘텐츠 data'!$A$1:$AL$25,MATCH('FB 신규발행'!$A20,'FB 콘텐츠 data'!$AV:$AV,0),MATCH(N$2,'FB 콘텐츠 data'!$A$1:$AL$1,0)),"")</f>
        <v/>
      </c>
      <c r="O20" s="126" t="str">
        <f>IFERROR(INDEX('FB 콘텐츠 data'!$A$1:$AL$25,MATCH('FB 신규발행'!$A20,'FB 콘텐츠 data'!$AV:$AV,0),MATCH(O$2,'FB 콘텐츠 data'!$A$1:$AL$1,0)),"")</f>
        <v/>
      </c>
      <c r="P20" s="126" t="str">
        <f>IFERROR(INDEX('FB 콘텐츠 data'!$A$1:$AL$25,MATCH('FB 신규발행'!$A20,'FB 콘텐츠 data'!$AV:$AV,0),MATCH(P$2,'FB 콘텐츠 data'!$A$1:$AL$1,0)),"")</f>
        <v/>
      </c>
      <c r="Q20" s="126" t="str">
        <f>IFERROR(INDEX('FB 콘텐츠 data'!$A$1:$AL$25,MATCH('FB 신규발행'!$A20,'FB 콘텐츠 data'!$AV:$AV,0),MATCH(Q$2,'FB 콘텐츠 data'!$A$1:$AL$1,0)),"")</f>
        <v/>
      </c>
      <c r="R20" s="127" t="str">
        <f t="shared" si="1"/>
        <v/>
      </c>
      <c r="T20" s="48" t="str">
        <f t="shared" si="2"/>
        <v/>
      </c>
      <c r="U20" s="48" t="str">
        <f t="shared" si="3"/>
        <v/>
      </c>
      <c r="V20" t="str">
        <f t="shared" si="4"/>
        <v/>
      </c>
      <c r="Y20" s="113"/>
    </row>
    <row r="21" spans="1:25" ht="17.45" customHeight="1">
      <c r="A21" s="129">
        <v>19</v>
      </c>
      <c r="B21" s="124" t="str">
        <f>IFERROR(INDEX('FB 콘텐츠 data'!AU:AU,MATCH('FB 신규발행'!A21,'FB 콘텐츠 data'!AV:AV,0)),"")</f>
        <v/>
      </c>
      <c r="C21" s="125" t="str">
        <f>IFERROR(INDEX('FB 콘텐츠 data'!$A$1:$AL$25,MATCH('FB 신규발행'!$A21,'FB 콘텐츠 data'!$AV:$AV,0),MATCH(C$2,'FB 콘텐츠 data'!$A$1:$AL$1,0)),"")</f>
        <v/>
      </c>
      <c r="D21" s="128" t="str">
        <f>IFERROR(IF(INDEX('FB 콘텐츠 data 제목 입력'!C:C,MATCH('FB 신규발행'!A21,'FB 콘텐츠 data 제목 입력'!A:A,0))=0,"",INDEX('FB 콘텐츠 data 제목 입력'!C:C,MATCH('FB 신규발행'!A21,'FB 콘텐츠 data 제목 입력'!A:A,0))),"")</f>
        <v/>
      </c>
      <c r="E21" s="126" t="str">
        <f>IFERROR(INDEX('FB 콘텐츠 data'!$A$1:$AL$25,MATCH('FB 신규발행'!$A21,'FB 콘텐츠 data'!$AV:$AV,0),MATCH(E$2,'FB 콘텐츠 data'!$A$1:$AL$1,0)),"")</f>
        <v/>
      </c>
      <c r="F21" s="126" t="str">
        <f>IFERROR(INDEX('FB 콘텐츠 data'!$A$1:$AL$25,MATCH('FB 신규발행'!$A21,'FB 콘텐츠 data'!$AV:$AV,0),MATCH(F$2,'FB 콘텐츠 data'!$A$1:$AL$1,0)),"")</f>
        <v/>
      </c>
      <c r="G21" s="126" t="str">
        <f>IFERROR(INDEX('FB 콘텐츠 data'!$A$1:$AL$25,MATCH('FB 신규발행'!$A21,'FB 콘텐츠 data'!$AV:$AV,0),MATCH(G$2,'FB 콘텐츠 data'!$A$1:$AL$1,0)),"")</f>
        <v/>
      </c>
      <c r="H21" s="126" t="str">
        <f t="shared" si="0"/>
        <v/>
      </c>
      <c r="I21" s="126" t="str">
        <f>IFERROR(INDEX('FB 콘텐츠 data'!$A$1:$AL$25,MATCH('FB 신규발행'!$A21,'FB 콘텐츠 data'!$AV:$AV,0),MATCH(I$2,'FB 콘텐츠 data'!$A$1:$AL$1,0)),"")</f>
        <v/>
      </c>
      <c r="J21" s="126" t="str">
        <f>IFERROR(INDEX('FB 콘텐츠 data'!$A$1:$AL$25,MATCH('FB 신규발행'!$A21,'FB 콘텐츠 data'!$AV:$AV,0),MATCH(J$2,'FB 콘텐츠 data'!$A$1:$AL$1,0)),"")</f>
        <v/>
      </c>
      <c r="K21" s="216" t="str">
        <f>IFERROR(INDEX('FB 콘텐츠 data'!$A$1:$AV$25,MATCH('FB 신규발행'!$A21,'FB 콘텐츠 data'!$AV:$AV,0),MATCH(K$2,'FB 콘텐츠 data'!$A$1:$AV$1,0)),"")</f>
        <v/>
      </c>
      <c r="L21" s="126" t="str">
        <f>IFERROR(INDEX('FB 콘텐츠 data'!$A$1:$AL$25,MATCH('FB 신규발행'!$A21,'FB 콘텐츠 data'!$AV:$AV,0),MATCH(L$2,'FB 콘텐츠 data'!$A$1:$AL$1,0)),"")</f>
        <v/>
      </c>
      <c r="M21" s="126" t="str">
        <f>IFERROR(INDEX('FB 콘텐츠 data'!$A$1:$AL$25,MATCH('FB 신규발행'!$A21,'FB 콘텐츠 data'!$AV:$AV,0),MATCH(M$2,'FB 콘텐츠 data'!$A$1:$AL$1,0)),"")</f>
        <v/>
      </c>
      <c r="N21" s="126" t="str">
        <f>IFERROR(INDEX('FB 콘텐츠 data'!$A$1:$AL$25,MATCH('FB 신규발행'!$A21,'FB 콘텐츠 data'!$AV:$AV,0),MATCH(N$2,'FB 콘텐츠 data'!$A$1:$AL$1,0)),"")</f>
        <v/>
      </c>
      <c r="O21" s="126" t="str">
        <f>IFERROR(INDEX('FB 콘텐츠 data'!$A$1:$AL$25,MATCH('FB 신규발행'!$A21,'FB 콘텐츠 data'!$AV:$AV,0),MATCH(O$2,'FB 콘텐츠 data'!$A$1:$AL$1,0)),"")</f>
        <v/>
      </c>
      <c r="P21" s="126" t="str">
        <f>IFERROR(INDEX('FB 콘텐츠 data'!$A$1:$AL$25,MATCH('FB 신규발행'!$A21,'FB 콘텐츠 data'!$AV:$AV,0),MATCH(P$2,'FB 콘텐츠 data'!$A$1:$AL$1,0)),"")</f>
        <v/>
      </c>
      <c r="Q21" s="126" t="str">
        <f>IFERROR(INDEX('FB 콘텐츠 data'!$A$1:$AL$25,MATCH('FB 신규발행'!$A21,'FB 콘텐츠 data'!$AV:$AV,0),MATCH(Q$2,'FB 콘텐츠 data'!$A$1:$AL$1,0)),"")</f>
        <v/>
      </c>
      <c r="R21" s="127" t="str">
        <f t="shared" si="1"/>
        <v/>
      </c>
      <c r="T21" s="48" t="str">
        <f t="shared" si="2"/>
        <v/>
      </c>
      <c r="U21" s="48" t="str">
        <f t="shared" si="3"/>
        <v/>
      </c>
      <c r="V21" t="str">
        <f t="shared" si="4"/>
        <v/>
      </c>
      <c r="Y21" s="113"/>
    </row>
    <row r="22" spans="1:25" ht="17.45" customHeight="1">
      <c r="A22" s="129">
        <v>20</v>
      </c>
      <c r="B22" s="124" t="str">
        <f>IFERROR(INDEX('FB 콘텐츠 data'!AU:AU,MATCH('FB 신규발행'!A22,'FB 콘텐츠 data'!AV:AV,0)),"")</f>
        <v/>
      </c>
      <c r="C22" s="125" t="str">
        <f>IFERROR(INDEX('FB 콘텐츠 data'!$A$1:$AL$25,MATCH('FB 신규발행'!$A22,'FB 콘텐츠 data'!$AV:$AV,0),MATCH(C$2,'FB 콘텐츠 data'!$A$1:$AL$1,0)),"")</f>
        <v/>
      </c>
      <c r="D22" s="128" t="str">
        <f>IFERROR(IF(INDEX('FB 콘텐츠 data 제목 입력'!C:C,MATCH('FB 신규발행'!A22,'FB 콘텐츠 data 제목 입력'!A:A,0))=0,"",INDEX('FB 콘텐츠 data 제목 입력'!C:C,MATCH('FB 신규발행'!A22,'FB 콘텐츠 data 제목 입력'!A:A,0))),"")</f>
        <v/>
      </c>
      <c r="E22" s="126" t="str">
        <f>IFERROR(INDEX('FB 콘텐츠 data'!$A$1:$AL$25,MATCH('FB 신규발행'!$A22,'FB 콘텐츠 data'!$AV:$AV,0),MATCH(E$2,'FB 콘텐츠 data'!$A$1:$AL$1,0)),"")</f>
        <v/>
      </c>
      <c r="F22" s="126" t="str">
        <f>IFERROR(INDEX('FB 콘텐츠 data'!$A$1:$AL$25,MATCH('FB 신규발행'!$A22,'FB 콘텐츠 data'!$AV:$AV,0),MATCH(F$2,'FB 콘텐츠 data'!$A$1:$AL$1,0)),"")</f>
        <v/>
      </c>
      <c r="G22" s="126" t="str">
        <f>IFERROR(INDEX('FB 콘텐츠 data'!$A$1:$AL$25,MATCH('FB 신규발행'!$A22,'FB 콘텐츠 data'!$AV:$AV,0),MATCH(G$2,'FB 콘텐츠 data'!$A$1:$AL$1,0)),"")</f>
        <v/>
      </c>
      <c r="H22" s="126" t="str">
        <f t="shared" si="0"/>
        <v/>
      </c>
      <c r="I22" s="126" t="str">
        <f>IFERROR(INDEX('FB 콘텐츠 data'!$A$1:$AL$25,MATCH('FB 신규발행'!$A22,'FB 콘텐츠 data'!$AV:$AV,0),MATCH(I$2,'FB 콘텐츠 data'!$A$1:$AL$1,0)),"")</f>
        <v/>
      </c>
      <c r="J22" s="126" t="str">
        <f>IFERROR(INDEX('FB 콘텐츠 data'!$A$1:$AL$25,MATCH('FB 신규발행'!$A22,'FB 콘텐츠 data'!$AV:$AV,0),MATCH(J$2,'FB 콘텐츠 data'!$A$1:$AL$1,0)),"")</f>
        <v/>
      </c>
      <c r="K22" s="216" t="str">
        <f>IFERROR(INDEX('FB 콘텐츠 data'!$A$1:$AV$25,MATCH('FB 신규발행'!$A22,'FB 콘텐츠 data'!$AV:$AV,0),MATCH(K$2,'FB 콘텐츠 data'!$A$1:$AV$1,0)),"")</f>
        <v/>
      </c>
      <c r="L22" s="126" t="str">
        <f>IFERROR(INDEX('FB 콘텐츠 data'!$A$1:$AL$25,MATCH('FB 신규발행'!$A22,'FB 콘텐츠 data'!$AV:$AV,0),MATCH(L$2,'FB 콘텐츠 data'!$A$1:$AL$1,0)),"")</f>
        <v/>
      </c>
      <c r="M22" s="126" t="str">
        <f>IFERROR(INDEX('FB 콘텐츠 data'!$A$1:$AL$25,MATCH('FB 신규발행'!$A22,'FB 콘텐츠 data'!$AV:$AV,0),MATCH(M$2,'FB 콘텐츠 data'!$A$1:$AL$1,0)),"")</f>
        <v/>
      </c>
      <c r="N22" s="126" t="str">
        <f>IFERROR(INDEX('FB 콘텐츠 data'!$A$1:$AL$25,MATCH('FB 신규발행'!$A22,'FB 콘텐츠 data'!$AV:$AV,0),MATCH(N$2,'FB 콘텐츠 data'!$A$1:$AL$1,0)),"")</f>
        <v/>
      </c>
      <c r="O22" s="126" t="str">
        <f>IFERROR(INDEX('FB 콘텐츠 data'!$A$1:$AL$25,MATCH('FB 신규발행'!$A22,'FB 콘텐츠 data'!$AV:$AV,0),MATCH(O$2,'FB 콘텐츠 data'!$A$1:$AL$1,0)),"")</f>
        <v/>
      </c>
      <c r="P22" s="126" t="str">
        <f>IFERROR(INDEX('FB 콘텐츠 data'!$A$1:$AL$25,MATCH('FB 신규발행'!$A22,'FB 콘텐츠 data'!$AV:$AV,0),MATCH(P$2,'FB 콘텐츠 data'!$A$1:$AL$1,0)),"")</f>
        <v/>
      </c>
      <c r="Q22" s="126" t="str">
        <f>IFERROR(INDEX('FB 콘텐츠 data'!$A$1:$AL$25,MATCH('FB 신규발행'!$A22,'FB 콘텐츠 data'!$AV:$AV,0),MATCH(Q$2,'FB 콘텐츠 data'!$A$1:$AL$1,0)),"")</f>
        <v/>
      </c>
      <c r="R22" s="127" t="str">
        <f t="shared" si="1"/>
        <v/>
      </c>
      <c r="T22" s="48" t="str">
        <f t="shared" si="2"/>
        <v/>
      </c>
      <c r="U22" s="48" t="str">
        <f t="shared" si="3"/>
        <v/>
      </c>
      <c r="V22" t="str">
        <f t="shared" si="4"/>
        <v/>
      </c>
      <c r="Y22" s="113"/>
    </row>
    <row r="23" spans="1:25" ht="17.45" customHeight="1">
      <c r="A23" s="129">
        <v>21</v>
      </c>
      <c r="B23" s="124" t="str">
        <f>IFERROR(INDEX('FB 콘텐츠 data'!AU:AU,MATCH('FB 신규발행'!A23,'FB 콘텐츠 data'!AV:AV,0)),"")</f>
        <v/>
      </c>
      <c r="C23" s="125" t="str">
        <f>IFERROR(INDEX('FB 콘텐츠 data'!$A$1:$AL$25,MATCH('FB 신규발행'!$A23,'FB 콘텐츠 data'!$AV:$AV,0),MATCH(C$2,'FB 콘텐츠 data'!$A$1:$AL$1,0)),"")</f>
        <v/>
      </c>
      <c r="D23" s="128" t="str">
        <f>IFERROR(IF(INDEX('FB 콘텐츠 data 제목 입력'!C:C,MATCH('FB 신규발행'!A23,'FB 콘텐츠 data 제목 입력'!A:A,0))=0,"",INDEX('FB 콘텐츠 data 제목 입력'!C:C,MATCH('FB 신규발행'!A23,'FB 콘텐츠 data 제목 입력'!A:A,0))),"")</f>
        <v/>
      </c>
      <c r="E23" s="126" t="str">
        <f>IFERROR(INDEX('FB 콘텐츠 data'!$A$1:$AL$25,MATCH('FB 신규발행'!$A23,'FB 콘텐츠 data'!$AV:$AV,0),MATCH(E$2,'FB 콘텐츠 data'!$A$1:$AL$1,0)),"")</f>
        <v/>
      </c>
      <c r="F23" s="126" t="str">
        <f>IFERROR(INDEX('FB 콘텐츠 data'!$A$1:$AL$25,MATCH('FB 신규발행'!$A23,'FB 콘텐츠 data'!$AV:$AV,0),MATCH(F$2,'FB 콘텐츠 data'!$A$1:$AL$1,0)),"")</f>
        <v/>
      </c>
      <c r="G23" s="126" t="str">
        <f>IFERROR(INDEX('FB 콘텐츠 data'!$A$1:$AL$25,MATCH('FB 신규발행'!$A23,'FB 콘텐츠 data'!$AV:$AV,0),MATCH(G$2,'FB 콘텐츠 data'!$A$1:$AL$1,0)),"")</f>
        <v/>
      </c>
      <c r="H23" s="126" t="str">
        <f t="shared" si="0"/>
        <v/>
      </c>
      <c r="I23" s="126" t="str">
        <f>IFERROR(INDEX('FB 콘텐츠 data'!$A$1:$AL$25,MATCH('FB 신규발행'!$A23,'FB 콘텐츠 data'!$AV:$AV,0),MATCH(I$2,'FB 콘텐츠 data'!$A$1:$AL$1,0)),"")</f>
        <v/>
      </c>
      <c r="J23" s="126" t="str">
        <f>IFERROR(INDEX('FB 콘텐츠 data'!$A$1:$AL$25,MATCH('FB 신규발행'!$A23,'FB 콘텐츠 data'!$AV:$AV,0),MATCH(J$2,'FB 콘텐츠 data'!$A$1:$AL$1,0)),"")</f>
        <v/>
      </c>
      <c r="K23" s="216" t="str">
        <f>IFERROR(INDEX('FB 콘텐츠 data'!$A$1:$AV$25,MATCH('FB 신규발행'!$A23,'FB 콘텐츠 data'!$AV:$AV,0),MATCH(K$2,'FB 콘텐츠 data'!$A$1:$AV$1,0)),"")</f>
        <v/>
      </c>
      <c r="L23" s="126" t="str">
        <f>IFERROR(INDEX('FB 콘텐츠 data'!$A$1:$AL$25,MATCH('FB 신규발행'!$A23,'FB 콘텐츠 data'!$AV:$AV,0),MATCH(L$2,'FB 콘텐츠 data'!$A$1:$AL$1,0)),"")</f>
        <v/>
      </c>
      <c r="M23" s="126" t="str">
        <f>IFERROR(INDEX('FB 콘텐츠 data'!$A$1:$AL$25,MATCH('FB 신규발행'!$A23,'FB 콘텐츠 data'!$AV:$AV,0),MATCH(M$2,'FB 콘텐츠 data'!$A$1:$AL$1,0)),"")</f>
        <v/>
      </c>
      <c r="N23" s="126" t="str">
        <f>IFERROR(INDEX('FB 콘텐츠 data'!$A$1:$AL$25,MATCH('FB 신규발행'!$A23,'FB 콘텐츠 data'!$AV:$AV,0),MATCH(N$2,'FB 콘텐츠 data'!$A$1:$AL$1,0)),"")</f>
        <v/>
      </c>
      <c r="O23" s="126" t="str">
        <f>IFERROR(INDEX('FB 콘텐츠 data'!$A$1:$AL$25,MATCH('FB 신규발행'!$A23,'FB 콘텐츠 data'!$AV:$AV,0),MATCH(O$2,'FB 콘텐츠 data'!$A$1:$AL$1,0)),"")</f>
        <v/>
      </c>
      <c r="P23" s="126" t="str">
        <f>IFERROR(INDEX('FB 콘텐츠 data'!$A$1:$AL$25,MATCH('FB 신규발행'!$A23,'FB 콘텐츠 data'!$AV:$AV,0),MATCH(P$2,'FB 콘텐츠 data'!$A$1:$AL$1,0)),"")</f>
        <v/>
      </c>
      <c r="Q23" s="126" t="str">
        <f>IFERROR(INDEX('FB 콘텐츠 data'!$A$1:$AL$25,MATCH('FB 신규발행'!$A23,'FB 콘텐츠 data'!$AV:$AV,0),MATCH(Q$2,'FB 콘텐츠 data'!$A$1:$AL$1,0)),"")</f>
        <v/>
      </c>
      <c r="R23" s="127" t="str">
        <f t="shared" si="1"/>
        <v/>
      </c>
      <c r="T23" s="48" t="str">
        <f t="shared" si="2"/>
        <v/>
      </c>
      <c r="U23" s="48" t="str">
        <f t="shared" si="3"/>
        <v/>
      </c>
      <c r="V23" t="str">
        <f t="shared" si="4"/>
        <v/>
      </c>
      <c r="Y23" s="113"/>
    </row>
    <row r="24" spans="1:25" ht="17.45" customHeight="1">
      <c r="A24" s="129">
        <v>22</v>
      </c>
      <c r="B24" s="124" t="str">
        <f>IFERROR(INDEX('FB 콘텐츠 data'!AU:AU,MATCH('FB 신규발행'!A24,'FB 콘텐츠 data'!AV:AV,0)),"")</f>
        <v/>
      </c>
      <c r="C24" s="125" t="str">
        <f>IFERROR(INDEX('FB 콘텐츠 data'!$A$1:$AL$25,MATCH('FB 신규발행'!$A24,'FB 콘텐츠 data'!$AV:$AV,0),MATCH(C$2,'FB 콘텐츠 data'!$A$1:$AL$1,0)),"")</f>
        <v/>
      </c>
      <c r="D24" s="128" t="str">
        <f>IFERROR(IF(INDEX('FB 콘텐츠 data 제목 입력'!C:C,MATCH('FB 신규발행'!A24,'FB 콘텐츠 data 제목 입력'!A:A,0))=0,"",INDEX('FB 콘텐츠 data 제목 입력'!C:C,MATCH('FB 신규발행'!A24,'FB 콘텐츠 data 제목 입력'!A:A,0))),"")</f>
        <v/>
      </c>
      <c r="E24" s="126" t="str">
        <f>IFERROR(INDEX('FB 콘텐츠 data'!$A$1:$AL$25,MATCH('FB 신규발행'!$A24,'FB 콘텐츠 data'!$AV:$AV,0),MATCH(E$2,'FB 콘텐츠 data'!$A$1:$AL$1,0)),"")</f>
        <v/>
      </c>
      <c r="F24" s="126" t="str">
        <f>IFERROR(INDEX('FB 콘텐츠 data'!$A$1:$AL$25,MATCH('FB 신규발행'!$A24,'FB 콘텐츠 data'!$AV:$AV,0),MATCH(F$2,'FB 콘텐츠 data'!$A$1:$AL$1,0)),"")</f>
        <v/>
      </c>
      <c r="G24" s="126" t="str">
        <f>IFERROR(INDEX('FB 콘텐츠 data'!$A$1:$AL$25,MATCH('FB 신규발행'!$A24,'FB 콘텐츠 data'!$AV:$AV,0),MATCH(G$2,'FB 콘텐츠 data'!$A$1:$AL$1,0)),"")</f>
        <v/>
      </c>
      <c r="H24" s="126" t="str">
        <f t="shared" si="0"/>
        <v/>
      </c>
      <c r="I24" s="126" t="str">
        <f>IFERROR(INDEX('FB 콘텐츠 data'!$A$1:$AL$25,MATCH('FB 신규발행'!$A24,'FB 콘텐츠 data'!$AV:$AV,0),MATCH(I$2,'FB 콘텐츠 data'!$A$1:$AL$1,0)),"")</f>
        <v/>
      </c>
      <c r="J24" s="126" t="str">
        <f>IFERROR(INDEX('FB 콘텐츠 data'!$A$1:$AL$25,MATCH('FB 신규발행'!$A24,'FB 콘텐츠 data'!$AV:$AV,0),MATCH(J$2,'FB 콘텐츠 data'!$A$1:$AL$1,0)),"")</f>
        <v/>
      </c>
      <c r="K24" s="216" t="str">
        <f>IFERROR(INDEX('FB 콘텐츠 data'!$A$1:$AV$25,MATCH('FB 신규발행'!$A24,'FB 콘텐츠 data'!$AV:$AV,0),MATCH(K$2,'FB 콘텐츠 data'!$A$1:$AV$1,0)),"")</f>
        <v/>
      </c>
      <c r="L24" s="126" t="str">
        <f>IFERROR(INDEX('FB 콘텐츠 data'!$A$1:$AL$25,MATCH('FB 신규발행'!$A24,'FB 콘텐츠 data'!$AV:$AV,0),MATCH(L$2,'FB 콘텐츠 data'!$A$1:$AL$1,0)),"")</f>
        <v/>
      </c>
      <c r="M24" s="126" t="str">
        <f>IFERROR(INDEX('FB 콘텐츠 data'!$A$1:$AL$25,MATCH('FB 신규발행'!$A24,'FB 콘텐츠 data'!$AV:$AV,0),MATCH(M$2,'FB 콘텐츠 data'!$A$1:$AL$1,0)),"")</f>
        <v/>
      </c>
      <c r="N24" s="126" t="str">
        <f>IFERROR(INDEX('FB 콘텐츠 data'!$A$1:$AL$25,MATCH('FB 신규발행'!$A24,'FB 콘텐츠 data'!$AV:$AV,0),MATCH(N$2,'FB 콘텐츠 data'!$A$1:$AL$1,0)),"")</f>
        <v/>
      </c>
      <c r="O24" s="126" t="str">
        <f>IFERROR(INDEX('FB 콘텐츠 data'!$A$1:$AL$25,MATCH('FB 신규발행'!$A24,'FB 콘텐츠 data'!$AV:$AV,0),MATCH(O$2,'FB 콘텐츠 data'!$A$1:$AL$1,0)),"")</f>
        <v/>
      </c>
      <c r="P24" s="126" t="str">
        <f>IFERROR(INDEX('FB 콘텐츠 data'!$A$1:$AL$25,MATCH('FB 신규발행'!$A24,'FB 콘텐츠 data'!$AV:$AV,0),MATCH(P$2,'FB 콘텐츠 data'!$A$1:$AL$1,0)),"")</f>
        <v/>
      </c>
      <c r="Q24" s="126" t="str">
        <f>IFERROR(INDEX('FB 콘텐츠 data'!$A$1:$AL$25,MATCH('FB 신규발행'!$A24,'FB 콘텐츠 data'!$AV:$AV,0),MATCH(Q$2,'FB 콘텐츠 data'!$A$1:$AL$1,0)),"")</f>
        <v/>
      </c>
      <c r="R24" s="127" t="str">
        <f t="shared" si="1"/>
        <v/>
      </c>
      <c r="T24" s="48" t="str">
        <f t="shared" si="2"/>
        <v/>
      </c>
      <c r="U24" s="48" t="str">
        <f t="shared" si="3"/>
        <v/>
      </c>
      <c r="V24" t="str">
        <f t="shared" si="4"/>
        <v/>
      </c>
      <c r="Y24" s="113"/>
    </row>
    <row r="25" spans="1:25" ht="17.45" customHeight="1">
      <c r="A25" s="129">
        <v>23</v>
      </c>
      <c r="B25" s="124" t="str">
        <f>IFERROR(INDEX('FB 콘텐츠 data'!AU:AU,MATCH('FB 신규발행'!A25,'FB 콘텐츠 data'!AV:AV,0)),"")</f>
        <v/>
      </c>
      <c r="C25" s="125" t="str">
        <f>IFERROR(INDEX('FB 콘텐츠 data'!$A$1:$AL$25,MATCH('FB 신규발행'!$A25,'FB 콘텐츠 data'!$AV:$AV,0),MATCH(C$2,'FB 콘텐츠 data'!$A$1:$AL$1,0)),"")</f>
        <v/>
      </c>
      <c r="D25" s="128" t="str">
        <f>IFERROR(IF(INDEX('FB 콘텐츠 data 제목 입력'!C:C,MATCH('FB 신규발행'!A25,'FB 콘텐츠 data 제목 입력'!A:A,0))=0,"",INDEX('FB 콘텐츠 data 제목 입력'!C:C,MATCH('FB 신규발행'!A25,'FB 콘텐츠 data 제목 입력'!A:A,0))),"")</f>
        <v/>
      </c>
      <c r="E25" s="126" t="str">
        <f>IFERROR(INDEX('FB 콘텐츠 data'!$A$1:$AL$25,MATCH('FB 신규발행'!$A25,'FB 콘텐츠 data'!$AV:$AV,0),MATCH(E$2,'FB 콘텐츠 data'!$A$1:$AL$1,0)),"")</f>
        <v/>
      </c>
      <c r="F25" s="126" t="str">
        <f>IFERROR(INDEX('FB 콘텐츠 data'!$A$1:$AL$25,MATCH('FB 신규발행'!$A25,'FB 콘텐츠 data'!$AV:$AV,0),MATCH(F$2,'FB 콘텐츠 data'!$A$1:$AL$1,0)),"")</f>
        <v/>
      </c>
      <c r="G25" s="126" t="str">
        <f>IFERROR(INDEX('FB 콘텐츠 data'!$A$1:$AL$25,MATCH('FB 신규발행'!$A25,'FB 콘텐츠 data'!$AV:$AV,0),MATCH(G$2,'FB 콘텐츠 data'!$A$1:$AL$1,0)),"")</f>
        <v/>
      </c>
      <c r="H25" s="126" t="str">
        <f t="shared" si="0"/>
        <v/>
      </c>
      <c r="I25" s="126" t="str">
        <f>IFERROR(INDEX('FB 콘텐츠 data'!$A$1:$AL$25,MATCH('FB 신규발행'!$A25,'FB 콘텐츠 data'!$AV:$AV,0),MATCH(I$2,'FB 콘텐츠 data'!$A$1:$AL$1,0)),"")</f>
        <v/>
      </c>
      <c r="J25" s="126" t="str">
        <f>IFERROR(INDEX('FB 콘텐츠 data'!$A$1:$AL$25,MATCH('FB 신규발행'!$A25,'FB 콘텐츠 data'!$AV:$AV,0),MATCH(J$2,'FB 콘텐츠 data'!$A$1:$AL$1,0)),"")</f>
        <v/>
      </c>
      <c r="K25" s="216" t="str">
        <f>IFERROR(INDEX('FB 콘텐츠 data'!$A$1:$AV$25,MATCH('FB 신규발행'!$A25,'FB 콘텐츠 data'!$AV:$AV,0),MATCH(K$2,'FB 콘텐츠 data'!$A$1:$AV$1,0)),"")</f>
        <v/>
      </c>
      <c r="L25" s="126" t="str">
        <f>IFERROR(INDEX('FB 콘텐츠 data'!$A$1:$AL$25,MATCH('FB 신규발행'!$A25,'FB 콘텐츠 data'!$AV:$AV,0),MATCH(L$2,'FB 콘텐츠 data'!$A$1:$AL$1,0)),"")</f>
        <v/>
      </c>
      <c r="M25" s="126" t="str">
        <f>IFERROR(INDEX('FB 콘텐츠 data'!$A$1:$AL$25,MATCH('FB 신규발행'!$A25,'FB 콘텐츠 data'!$AV:$AV,0),MATCH(M$2,'FB 콘텐츠 data'!$A$1:$AL$1,0)),"")</f>
        <v/>
      </c>
      <c r="N25" s="126" t="str">
        <f>IFERROR(INDEX('FB 콘텐츠 data'!$A$1:$AL$25,MATCH('FB 신규발행'!$A25,'FB 콘텐츠 data'!$AV:$AV,0),MATCH(N$2,'FB 콘텐츠 data'!$A$1:$AL$1,0)),"")</f>
        <v/>
      </c>
      <c r="O25" s="126" t="str">
        <f>IFERROR(INDEX('FB 콘텐츠 data'!$A$1:$AL$25,MATCH('FB 신규발행'!$A25,'FB 콘텐츠 data'!$AV:$AV,0),MATCH(O$2,'FB 콘텐츠 data'!$A$1:$AL$1,0)),"")</f>
        <v/>
      </c>
      <c r="P25" s="126" t="str">
        <f>IFERROR(INDEX('FB 콘텐츠 data'!$A$1:$AL$25,MATCH('FB 신규발행'!$A25,'FB 콘텐츠 data'!$AV:$AV,0),MATCH(P$2,'FB 콘텐츠 data'!$A$1:$AL$1,0)),"")</f>
        <v/>
      </c>
      <c r="Q25" s="126" t="str">
        <f>IFERROR(INDEX('FB 콘텐츠 data'!$A$1:$AL$25,MATCH('FB 신규발행'!$A25,'FB 콘텐츠 data'!$AV:$AV,0),MATCH(Q$2,'FB 콘텐츠 data'!$A$1:$AL$1,0)),"")</f>
        <v/>
      </c>
      <c r="R25" s="127" t="str">
        <f t="shared" si="1"/>
        <v/>
      </c>
      <c r="T25" s="48" t="str">
        <f t="shared" si="2"/>
        <v/>
      </c>
      <c r="U25" s="48" t="str">
        <f t="shared" si="3"/>
        <v/>
      </c>
      <c r="V25" t="str">
        <f t="shared" si="4"/>
        <v/>
      </c>
      <c r="Y25" s="113"/>
    </row>
    <row r="26" spans="1:25" ht="17.45" customHeight="1">
      <c r="A26" s="129">
        <v>24</v>
      </c>
      <c r="B26" s="124" t="str">
        <f>IFERROR(INDEX('FB 콘텐츠 data'!AU:AU,MATCH('FB 신규발행'!A26,'FB 콘텐츠 data'!AV:AV,0)),"")</f>
        <v/>
      </c>
      <c r="C26" s="125" t="str">
        <f>IFERROR(INDEX('FB 콘텐츠 data'!$A$1:$AL$25,MATCH('FB 신규발행'!$A26,'FB 콘텐츠 data'!$AV:$AV,0),MATCH(C$2,'FB 콘텐츠 data'!$A$1:$AL$1,0)),"")</f>
        <v/>
      </c>
      <c r="D26" s="128" t="str">
        <f>IFERROR(IF(INDEX('FB 콘텐츠 data 제목 입력'!C:C,MATCH('FB 신규발행'!A26,'FB 콘텐츠 data 제목 입력'!A:A,0))=0,"",INDEX('FB 콘텐츠 data 제목 입력'!C:C,MATCH('FB 신규발행'!A26,'FB 콘텐츠 data 제목 입력'!A:A,0))),"")</f>
        <v/>
      </c>
      <c r="E26" s="126" t="str">
        <f>IFERROR(INDEX('FB 콘텐츠 data'!$A$1:$AL$25,MATCH('FB 신규발행'!$A26,'FB 콘텐츠 data'!$AV:$AV,0),MATCH(E$2,'FB 콘텐츠 data'!$A$1:$AL$1,0)),"")</f>
        <v/>
      </c>
      <c r="F26" s="126" t="str">
        <f>IFERROR(INDEX('FB 콘텐츠 data'!$A$1:$AL$25,MATCH('FB 신규발행'!$A26,'FB 콘텐츠 data'!$AV:$AV,0),MATCH(F$2,'FB 콘텐츠 data'!$A$1:$AL$1,0)),"")</f>
        <v/>
      </c>
      <c r="G26" s="126" t="str">
        <f>IFERROR(INDEX('FB 콘텐츠 data'!$A$1:$AL$25,MATCH('FB 신규발행'!$A26,'FB 콘텐츠 data'!$AV:$AV,0),MATCH(G$2,'FB 콘텐츠 data'!$A$1:$AL$1,0)),"")</f>
        <v/>
      </c>
      <c r="H26" s="126" t="str">
        <f t="shared" si="0"/>
        <v/>
      </c>
      <c r="I26" s="126" t="str">
        <f>IFERROR(INDEX('FB 콘텐츠 data'!$A$1:$AL$25,MATCH('FB 신규발행'!$A26,'FB 콘텐츠 data'!$AV:$AV,0),MATCH(I$2,'FB 콘텐츠 data'!$A$1:$AL$1,0)),"")</f>
        <v/>
      </c>
      <c r="J26" s="126" t="str">
        <f>IFERROR(INDEX('FB 콘텐츠 data'!$A$1:$AL$25,MATCH('FB 신규발행'!$A26,'FB 콘텐츠 data'!$AV:$AV,0),MATCH(J$2,'FB 콘텐츠 data'!$A$1:$AL$1,0)),"")</f>
        <v/>
      </c>
      <c r="K26" s="216" t="str">
        <f>IFERROR(INDEX('FB 콘텐츠 data'!$A$1:$AV$25,MATCH('FB 신규발행'!$A26,'FB 콘텐츠 data'!$AV:$AV,0),MATCH(K$2,'FB 콘텐츠 data'!$A$1:$AV$1,0)),"")</f>
        <v/>
      </c>
      <c r="L26" s="126" t="str">
        <f>IFERROR(INDEX('FB 콘텐츠 data'!$A$1:$AL$25,MATCH('FB 신규발행'!$A26,'FB 콘텐츠 data'!$AV:$AV,0),MATCH(L$2,'FB 콘텐츠 data'!$A$1:$AL$1,0)),"")</f>
        <v/>
      </c>
      <c r="M26" s="126" t="str">
        <f>IFERROR(INDEX('FB 콘텐츠 data'!$A$1:$AL$25,MATCH('FB 신규발행'!$A26,'FB 콘텐츠 data'!$AV:$AV,0),MATCH(M$2,'FB 콘텐츠 data'!$A$1:$AL$1,0)),"")</f>
        <v/>
      </c>
      <c r="N26" s="126" t="str">
        <f>IFERROR(INDEX('FB 콘텐츠 data'!$A$1:$AL$25,MATCH('FB 신규발행'!$A26,'FB 콘텐츠 data'!$AV:$AV,0),MATCH(N$2,'FB 콘텐츠 data'!$A$1:$AL$1,0)),"")</f>
        <v/>
      </c>
      <c r="O26" s="126" t="str">
        <f>IFERROR(INDEX('FB 콘텐츠 data'!$A$1:$AL$25,MATCH('FB 신규발행'!$A26,'FB 콘텐츠 data'!$AV:$AV,0),MATCH(O$2,'FB 콘텐츠 data'!$A$1:$AL$1,0)),"")</f>
        <v/>
      </c>
      <c r="P26" s="126" t="str">
        <f>IFERROR(INDEX('FB 콘텐츠 data'!$A$1:$AL$25,MATCH('FB 신규발행'!$A26,'FB 콘텐츠 data'!$AV:$AV,0),MATCH(P$2,'FB 콘텐츠 data'!$A$1:$AL$1,0)),"")</f>
        <v/>
      </c>
      <c r="Q26" s="126" t="str">
        <f>IFERROR(INDEX('FB 콘텐츠 data'!$A$1:$AL$25,MATCH('FB 신규발행'!$A26,'FB 콘텐츠 data'!$AV:$AV,0),MATCH(Q$2,'FB 콘텐츠 data'!$A$1:$AL$1,0)),"")</f>
        <v/>
      </c>
      <c r="R26" s="127" t="str">
        <f t="shared" si="1"/>
        <v/>
      </c>
      <c r="T26" s="48" t="str">
        <f t="shared" si="2"/>
        <v/>
      </c>
      <c r="U26" s="48" t="str">
        <f t="shared" si="3"/>
        <v/>
      </c>
      <c r="V26" t="str">
        <f t="shared" si="4"/>
        <v/>
      </c>
      <c r="Y26" s="113"/>
    </row>
    <row r="27" spans="1:25" ht="17.45" customHeight="1">
      <c r="A27" s="129">
        <v>25</v>
      </c>
      <c r="B27" s="124" t="str">
        <f>IFERROR(INDEX('FB 콘텐츠 data'!AU:AU,MATCH('FB 신규발행'!A27,'FB 콘텐츠 data'!AV:AV,0)),"")</f>
        <v/>
      </c>
      <c r="C27" s="125" t="str">
        <f>IFERROR(INDEX('FB 콘텐츠 data'!$A$1:$AL$25,MATCH('FB 신규발행'!$A27,'FB 콘텐츠 data'!$AV:$AV,0),MATCH(C$2,'FB 콘텐츠 data'!$A$1:$AL$1,0)),"")</f>
        <v/>
      </c>
      <c r="D27" s="128" t="str">
        <f>IFERROR(IF(INDEX('FB 콘텐츠 data 제목 입력'!C:C,MATCH('FB 신규발행'!A27,'FB 콘텐츠 data 제목 입력'!A:A,0))=0,"",INDEX('FB 콘텐츠 data 제목 입력'!C:C,MATCH('FB 신규발행'!A27,'FB 콘텐츠 data 제목 입력'!A:A,0))),"")</f>
        <v/>
      </c>
      <c r="E27" s="126" t="str">
        <f>IFERROR(INDEX('FB 콘텐츠 data'!$A$1:$AL$25,MATCH('FB 신규발행'!$A27,'FB 콘텐츠 data'!$AV:$AV,0),MATCH(E$2,'FB 콘텐츠 data'!$A$1:$AL$1,0)),"")</f>
        <v/>
      </c>
      <c r="F27" s="126" t="str">
        <f>IFERROR(INDEX('FB 콘텐츠 data'!$A$1:$AL$25,MATCH('FB 신규발행'!$A27,'FB 콘텐츠 data'!$AV:$AV,0),MATCH(F$2,'FB 콘텐츠 data'!$A$1:$AL$1,0)),"")</f>
        <v/>
      </c>
      <c r="G27" s="126" t="str">
        <f>IFERROR(INDEX('FB 콘텐츠 data'!$A$1:$AL$25,MATCH('FB 신규발행'!$A27,'FB 콘텐츠 data'!$AV:$AV,0),MATCH(G$2,'FB 콘텐츠 data'!$A$1:$AL$1,0)),"")</f>
        <v/>
      </c>
      <c r="H27" s="126" t="str">
        <f t="shared" si="0"/>
        <v/>
      </c>
      <c r="I27" s="126" t="str">
        <f>IFERROR(INDEX('FB 콘텐츠 data'!$A$1:$AL$25,MATCH('FB 신규발행'!$A27,'FB 콘텐츠 data'!$AV:$AV,0),MATCH(I$2,'FB 콘텐츠 data'!$A$1:$AL$1,0)),"")</f>
        <v/>
      </c>
      <c r="J27" s="126" t="str">
        <f>IFERROR(INDEX('FB 콘텐츠 data'!$A$1:$AL$25,MATCH('FB 신규발행'!$A27,'FB 콘텐츠 data'!$AV:$AV,0),MATCH(J$2,'FB 콘텐츠 data'!$A$1:$AL$1,0)),"")</f>
        <v/>
      </c>
      <c r="K27" s="216" t="str">
        <f>IFERROR(INDEX('FB 콘텐츠 data'!$A$1:$AV$25,MATCH('FB 신규발행'!$A27,'FB 콘텐츠 data'!$AV:$AV,0),MATCH(K$2,'FB 콘텐츠 data'!$A$1:$AV$1,0)),"")</f>
        <v/>
      </c>
      <c r="L27" s="126" t="str">
        <f>IFERROR(INDEX('FB 콘텐츠 data'!$A$1:$AL$25,MATCH('FB 신규발행'!$A27,'FB 콘텐츠 data'!$AV:$AV,0),MATCH(L$2,'FB 콘텐츠 data'!$A$1:$AL$1,0)),"")</f>
        <v/>
      </c>
      <c r="M27" s="126" t="str">
        <f>IFERROR(INDEX('FB 콘텐츠 data'!$A$1:$AL$25,MATCH('FB 신규발행'!$A27,'FB 콘텐츠 data'!$AV:$AV,0),MATCH(M$2,'FB 콘텐츠 data'!$A$1:$AL$1,0)),"")</f>
        <v/>
      </c>
      <c r="N27" s="126" t="str">
        <f>IFERROR(INDEX('FB 콘텐츠 data'!$A$1:$AL$25,MATCH('FB 신규발행'!$A27,'FB 콘텐츠 data'!$AV:$AV,0),MATCH(N$2,'FB 콘텐츠 data'!$A$1:$AL$1,0)),"")</f>
        <v/>
      </c>
      <c r="O27" s="126" t="str">
        <f>IFERROR(INDEX('FB 콘텐츠 data'!$A$1:$AL$25,MATCH('FB 신규발행'!$A27,'FB 콘텐츠 data'!$AV:$AV,0),MATCH(O$2,'FB 콘텐츠 data'!$A$1:$AL$1,0)),"")</f>
        <v/>
      </c>
      <c r="P27" s="126" t="str">
        <f>IFERROR(INDEX('FB 콘텐츠 data'!$A$1:$AL$25,MATCH('FB 신규발행'!$A27,'FB 콘텐츠 data'!$AV:$AV,0),MATCH(P$2,'FB 콘텐츠 data'!$A$1:$AL$1,0)),"")</f>
        <v/>
      </c>
      <c r="Q27" s="126" t="str">
        <f>IFERROR(INDEX('FB 콘텐츠 data'!$A$1:$AL$25,MATCH('FB 신규발행'!$A27,'FB 콘텐츠 data'!$AV:$AV,0),MATCH(Q$2,'FB 콘텐츠 data'!$A$1:$AL$1,0)),"")</f>
        <v/>
      </c>
      <c r="R27" s="127" t="str">
        <f t="shared" si="1"/>
        <v/>
      </c>
      <c r="T27" s="48" t="str">
        <f t="shared" si="2"/>
        <v/>
      </c>
      <c r="U27" s="48" t="str">
        <f t="shared" si="3"/>
        <v/>
      </c>
      <c r="V27" t="str">
        <f t="shared" si="4"/>
        <v/>
      </c>
      <c r="Y27" s="113"/>
    </row>
    <row r="28" spans="1:25" ht="17.45" customHeight="1">
      <c r="A28" s="129">
        <v>26</v>
      </c>
      <c r="B28" s="124" t="str">
        <f>IFERROR(INDEX('FB 콘텐츠 data'!AU:AU,MATCH('FB 신규발행'!A28,'FB 콘텐츠 data'!AV:AV,0)),"")</f>
        <v/>
      </c>
      <c r="C28" s="125" t="str">
        <f>IFERROR(INDEX('FB 콘텐츠 data'!$A$1:$AL$25,MATCH('FB 신규발행'!$A28,'FB 콘텐츠 data'!$AV:$AV,0),MATCH(C$2,'FB 콘텐츠 data'!$A$1:$AL$1,0)),"")</f>
        <v/>
      </c>
      <c r="D28" s="128" t="str">
        <f>IFERROR(IF(INDEX('FB 콘텐츠 data 제목 입력'!C:C,MATCH('FB 신규발행'!A28,'FB 콘텐츠 data 제목 입력'!A:A,0))=0,"",INDEX('FB 콘텐츠 data 제목 입력'!C:C,MATCH('FB 신규발행'!A28,'FB 콘텐츠 data 제목 입력'!A:A,0))),"")</f>
        <v/>
      </c>
      <c r="E28" s="126" t="str">
        <f>IFERROR(INDEX('FB 콘텐츠 data'!$A$1:$AL$25,MATCH('FB 신규발행'!$A28,'FB 콘텐츠 data'!$AV:$AV,0),MATCH(E$2,'FB 콘텐츠 data'!$A$1:$AL$1,0)),"")</f>
        <v/>
      </c>
      <c r="F28" s="126" t="str">
        <f>IFERROR(INDEX('FB 콘텐츠 data'!$A$1:$AL$25,MATCH('FB 신규발행'!$A28,'FB 콘텐츠 data'!$AV:$AV,0),MATCH(F$2,'FB 콘텐츠 data'!$A$1:$AL$1,0)),"")</f>
        <v/>
      </c>
      <c r="G28" s="126" t="str">
        <f>IFERROR(INDEX('FB 콘텐츠 data'!$A$1:$AL$25,MATCH('FB 신규발행'!$A28,'FB 콘텐츠 data'!$AV:$AV,0),MATCH(G$2,'FB 콘텐츠 data'!$A$1:$AL$1,0)),"")</f>
        <v/>
      </c>
      <c r="H28" s="126" t="str">
        <f t="shared" si="0"/>
        <v/>
      </c>
      <c r="I28" s="126" t="str">
        <f>IFERROR(INDEX('FB 콘텐츠 data'!$A$1:$AL$25,MATCH('FB 신규발행'!$A28,'FB 콘텐츠 data'!$AV:$AV,0),MATCH(I$2,'FB 콘텐츠 data'!$A$1:$AL$1,0)),"")</f>
        <v/>
      </c>
      <c r="J28" s="126" t="str">
        <f>IFERROR(INDEX('FB 콘텐츠 data'!$A$1:$AL$25,MATCH('FB 신규발행'!$A28,'FB 콘텐츠 data'!$AV:$AV,0),MATCH(J$2,'FB 콘텐츠 data'!$A$1:$AL$1,0)),"")</f>
        <v/>
      </c>
      <c r="K28" s="216" t="str">
        <f>IFERROR(INDEX('FB 콘텐츠 data'!$A$1:$AV$25,MATCH('FB 신규발행'!$A28,'FB 콘텐츠 data'!$AV:$AV,0),MATCH(K$2,'FB 콘텐츠 data'!$A$1:$AV$1,0)),"")</f>
        <v/>
      </c>
      <c r="L28" s="126" t="str">
        <f>IFERROR(INDEX('FB 콘텐츠 data'!$A$1:$AL$25,MATCH('FB 신규발행'!$A28,'FB 콘텐츠 data'!$AV:$AV,0),MATCH(L$2,'FB 콘텐츠 data'!$A$1:$AL$1,0)),"")</f>
        <v/>
      </c>
      <c r="M28" s="126" t="str">
        <f>IFERROR(INDEX('FB 콘텐츠 data'!$A$1:$AL$25,MATCH('FB 신규발행'!$A28,'FB 콘텐츠 data'!$AV:$AV,0),MATCH(M$2,'FB 콘텐츠 data'!$A$1:$AL$1,0)),"")</f>
        <v/>
      </c>
      <c r="N28" s="126" t="str">
        <f>IFERROR(INDEX('FB 콘텐츠 data'!$A$1:$AL$25,MATCH('FB 신규발행'!$A28,'FB 콘텐츠 data'!$AV:$AV,0),MATCH(N$2,'FB 콘텐츠 data'!$A$1:$AL$1,0)),"")</f>
        <v/>
      </c>
      <c r="O28" s="126" t="str">
        <f>IFERROR(INDEX('FB 콘텐츠 data'!$A$1:$AL$25,MATCH('FB 신규발행'!$A28,'FB 콘텐츠 data'!$AV:$AV,0),MATCH(O$2,'FB 콘텐츠 data'!$A$1:$AL$1,0)),"")</f>
        <v/>
      </c>
      <c r="P28" s="126" t="str">
        <f>IFERROR(INDEX('FB 콘텐츠 data'!$A$1:$AL$25,MATCH('FB 신규발행'!$A28,'FB 콘텐츠 data'!$AV:$AV,0),MATCH(P$2,'FB 콘텐츠 data'!$A$1:$AL$1,0)),"")</f>
        <v/>
      </c>
      <c r="Q28" s="126" t="str">
        <f>IFERROR(INDEX('FB 콘텐츠 data'!$A$1:$AL$25,MATCH('FB 신규발행'!$A28,'FB 콘텐츠 data'!$AV:$AV,0),MATCH(Q$2,'FB 콘텐츠 data'!$A$1:$AL$1,0)),"")</f>
        <v/>
      </c>
      <c r="R28" s="127" t="str">
        <f t="shared" si="1"/>
        <v/>
      </c>
      <c r="T28" s="48" t="str">
        <f t="shared" si="2"/>
        <v/>
      </c>
      <c r="U28" s="48" t="str">
        <f t="shared" si="3"/>
        <v/>
      </c>
      <c r="V28" t="str">
        <f t="shared" si="4"/>
        <v/>
      </c>
      <c r="Y28" s="113"/>
    </row>
    <row r="29" spans="1:25" ht="17.45" customHeight="1">
      <c r="A29" s="129">
        <v>27</v>
      </c>
      <c r="B29" s="124" t="str">
        <f>IFERROR(INDEX('FB 콘텐츠 data'!AU:AU,MATCH('FB 신규발행'!A29,'FB 콘텐츠 data'!AV:AV,0)),"")</f>
        <v/>
      </c>
      <c r="C29" s="125" t="str">
        <f>IFERROR(INDEX('FB 콘텐츠 data'!$A$1:$AL$25,MATCH('FB 신규발행'!$A29,'FB 콘텐츠 data'!$AV:$AV,0),MATCH(C$2,'FB 콘텐츠 data'!$A$1:$AL$1,0)),"")</f>
        <v/>
      </c>
      <c r="D29" s="128" t="str">
        <f>IFERROR(IF(INDEX('FB 콘텐츠 data 제목 입력'!C:C,MATCH('FB 신규발행'!A29,'FB 콘텐츠 data 제목 입력'!A:A,0))=0,"",INDEX('FB 콘텐츠 data 제목 입력'!C:C,MATCH('FB 신규발행'!A29,'FB 콘텐츠 data 제목 입력'!A:A,0))),"")</f>
        <v/>
      </c>
      <c r="E29" s="126" t="str">
        <f>IFERROR(INDEX('FB 콘텐츠 data'!$A$1:$AL$25,MATCH('FB 신규발행'!$A29,'FB 콘텐츠 data'!$AV:$AV,0),MATCH(E$2,'FB 콘텐츠 data'!$A$1:$AL$1,0)),"")</f>
        <v/>
      </c>
      <c r="F29" s="126" t="str">
        <f>IFERROR(INDEX('FB 콘텐츠 data'!$A$1:$AL$25,MATCH('FB 신규발행'!$A29,'FB 콘텐츠 data'!$AV:$AV,0),MATCH(F$2,'FB 콘텐츠 data'!$A$1:$AL$1,0)),"")</f>
        <v/>
      </c>
      <c r="G29" s="126" t="str">
        <f>IFERROR(INDEX('FB 콘텐츠 data'!$A$1:$AL$25,MATCH('FB 신규발행'!$A29,'FB 콘텐츠 data'!$AV:$AV,0),MATCH(G$2,'FB 콘텐츠 data'!$A$1:$AL$1,0)),"")</f>
        <v/>
      </c>
      <c r="H29" s="126" t="str">
        <f t="shared" si="0"/>
        <v/>
      </c>
      <c r="I29" s="126" t="str">
        <f>IFERROR(INDEX('FB 콘텐츠 data'!$A$1:$AL$25,MATCH('FB 신규발행'!$A29,'FB 콘텐츠 data'!$AV:$AV,0),MATCH(I$2,'FB 콘텐츠 data'!$A$1:$AL$1,0)),"")</f>
        <v/>
      </c>
      <c r="J29" s="126" t="str">
        <f>IFERROR(INDEX('FB 콘텐츠 data'!$A$1:$AL$25,MATCH('FB 신규발행'!$A29,'FB 콘텐츠 data'!$AV:$AV,0),MATCH(J$2,'FB 콘텐츠 data'!$A$1:$AL$1,0)),"")</f>
        <v/>
      </c>
      <c r="K29" s="216" t="str">
        <f>IFERROR(INDEX('FB 콘텐츠 data'!$A$1:$AV$25,MATCH('FB 신규발행'!$A29,'FB 콘텐츠 data'!$AV:$AV,0),MATCH(K$2,'FB 콘텐츠 data'!$A$1:$AV$1,0)),"")</f>
        <v/>
      </c>
      <c r="L29" s="126" t="str">
        <f>IFERROR(INDEX('FB 콘텐츠 data'!$A$1:$AL$25,MATCH('FB 신규발행'!$A29,'FB 콘텐츠 data'!$AV:$AV,0),MATCH(L$2,'FB 콘텐츠 data'!$A$1:$AL$1,0)),"")</f>
        <v/>
      </c>
      <c r="M29" s="126" t="str">
        <f>IFERROR(INDEX('FB 콘텐츠 data'!$A$1:$AL$25,MATCH('FB 신규발행'!$A29,'FB 콘텐츠 data'!$AV:$AV,0),MATCH(M$2,'FB 콘텐츠 data'!$A$1:$AL$1,0)),"")</f>
        <v/>
      </c>
      <c r="N29" s="126" t="str">
        <f>IFERROR(INDEX('FB 콘텐츠 data'!$A$1:$AL$25,MATCH('FB 신규발행'!$A29,'FB 콘텐츠 data'!$AV:$AV,0),MATCH(N$2,'FB 콘텐츠 data'!$A$1:$AL$1,0)),"")</f>
        <v/>
      </c>
      <c r="O29" s="126" t="str">
        <f>IFERROR(INDEX('FB 콘텐츠 data'!$A$1:$AL$25,MATCH('FB 신규발행'!$A29,'FB 콘텐츠 data'!$AV:$AV,0),MATCH(O$2,'FB 콘텐츠 data'!$A$1:$AL$1,0)),"")</f>
        <v/>
      </c>
      <c r="P29" s="126" t="str">
        <f>IFERROR(INDEX('FB 콘텐츠 data'!$A$1:$AL$25,MATCH('FB 신규발행'!$A29,'FB 콘텐츠 data'!$AV:$AV,0),MATCH(P$2,'FB 콘텐츠 data'!$A$1:$AL$1,0)),"")</f>
        <v/>
      </c>
      <c r="Q29" s="126" t="str">
        <f>IFERROR(INDEX('FB 콘텐츠 data'!$A$1:$AL$25,MATCH('FB 신규발행'!$A29,'FB 콘텐츠 data'!$AV:$AV,0),MATCH(Q$2,'FB 콘텐츠 data'!$A$1:$AL$1,0)),"")</f>
        <v/>
      </c>
      <c r="R29" s="127" t="str">
        <f t="shared" si="1"/>
        <v/>
      </c>
      <c r="T29" s="48" t="str">
        <f t="shared" si="2"/>
        <v/>
      </c>
      <c r="U29" s="48" t="str">
        <f t="shared" si="3"/>
        <v/>
      </c>
      <c r="V29" t="str">
        <f t="shared" si="4"/>
        <v/>
      </c>
      <c r="Y29" s="113"/>
    </row>
    <row r="30" spans="1:25" ht="17.45" customHeight="1">
      <c r="A30" s="129">
        <v>28</v>
      </c>
      <c r="B30" s="124" t="str">
        <f>IFERROR(INDEX('FB 콘텐츠 data'!AU:AU,MATCH('FB 신규발행'!A30,'FB 콘텐츠 data'!AV:AV,0)),"")</f>
        <v/>
      </c>
      <c r="C30" s="125" t="str">
        <f>IFERROR(INDEX('FB 콘텐츠 data'!$A$1:$AL$25,MATCH('FB 신규발행'!$A30,'FB 콘텐츠 data'!$AV:$AV,0),MATCH(C$2,'FB 콘텐츠 data'!$A$1:$AL$1,0)),"")</f>
        <v/>
      </c>
      <c r="D30" s="128" t="str">
        <f>IFERROR(IF(INDEX('FB 콘텐츠 data 제목 입력'!C:C,MATCH('FB 신규발행'!A30,'FB 콘텐츠 data 제목 입력'!A:A,0))=0,"",INDEX('FB 콘텐츠 data 제목 입력'!C:C,MATCH('FB 신규발행'!A30,'FB 콘텐츠 data 제목 입력'!A:A,0))),"")</f>
        <v/>
      </c>
      <c r="E30" s="126" t="str">
        <f>IFERROR(INDEX('FB 콘텐츠 data'!$A$1:$AL$25,MATCH('FB 신규발행'!$A30,'FB 콘텐츠 data'!$AV:$AV,0),MATCH(E$2,'FB 콘텐츠 data'!$A$1:$AL$1,0)),"")</f>
        <v/>
      </c>
      <c r="F30" s="126" t="str">
        <f>IFERROR(INDEX('FB 콘텐츠 data'!$A$1:$AL$25,MATCH('FB 신규발행'!$A30,'FB 콘텐츠 data'!$AV:$AV,0),MATCH(F$2,'FB 콘텐츠 data'!$A$1:$AL$1,0)),"")</f>
        <v/>
      </c>
      <c r="G30" s="126" t="str">
        <f>IFERROR(INDEX('FB 콘텐츠 data'!$A$1:$AL$25,MATCH('FB 신규발행'!$A30,'FB 콘텐츠 data'!$AV:$AV,0),MATCH(G$2,'FB 콘텐츠 data'!$A$1:$AL$1,0)),"")</f>
        <v/>
      </c>
      <c r="H30" s="126" t="str">
        <f t="shared" si="0"/>
        <v/>
      </c>
      <c r="I30" s="126" t="str">
        <f>IFERROR(INDEX('FB 콘텐츠 data'!$A$1:$AL$25,MATCH('FB 신규발행'!$A30,'FB 콘텐츠 data'!$AV:$AV,0),MATCH(I$2,'FB 콘텐츠 data'!$A$1:$AL$1,0)),"")</f>
        <v/>
      </c>
      <c r="J30" s="126" t="str">
        <f>IFERROR(INDEX('FB 콘텐츠 data'!$A$1:$AL$25,MATCH('FB 신규발행'!$A30,'FB 콘텐츠 data'!$AV:$AV,0),MATCH(J$2,'FB 콘텐츠 data'!$A$1:$AL$1,0)),"")</f>
        <v/>
      </c>
      <c r="K30" s="216" t="str">
        <f>IFERROR(INDEX('FB 콘텐츠 data'!$A$1:$AV$25,MATCH('FB 신규발행'!$A30,'FB 콘텐츠 data'!$AV:$AV,0),MATCH(K$2,'FB 콘텐츠 data'!$A$1:$AV$1,0)),"")</f>
        <v/>
      </c>
      <c r="L30" s="126" t="str">
        <f>IFERROR(INDEX('FB 콘텐츠 data'!$A$1:$AL$25,MATCH('FB 신규발행'!$A30,'FB 콘텐츠 data'!$AV:$AV,0),MATCH(L$2,'FB 콘텐츠 data'!$A$1:$AL$1,0)),"")</f>
        <v/>
      </c>
      <c r="M30" s="126" t="str">
        <f>IFERROR(INDEX('FB 콘텐츠 data'!$A$1:$AL$25,MATCH('FB 신규발행'!$A30,'FB 콘텐츠 data'!$AV:$AV,0),MATCH(M$2,'FB 콘텐츠 data'!$A$1:$AL$1,0)),"")</f>
        <v/>
      </c>
      <c r="N30" s="126" t="str">
        <f>IFERROR(INDEX('FB 콘텐츠 data'!$A$1:$AL$25,MATCH('FB 신규발행'!$A30,'FB 콘텐츠 data'!$AV:$AV,0),MATCH(N$2,'FB 콘텐츠 data'!$A$1:$AL$1,0)),"")</f>
        <v/>
      </c>
      <c r="O30" s="126" t="str">
        <f>IFERROR(INDEX('FB 콘텐츠 data'!$A$1:$AL$25,MATCH('FB 신규발행'!$A30,'FB 콘텐츠 data'!$AV:$AV,0),MATCH(O$2,'FB 콘텐츠 data'!$A$1:$AL$1,0)),"")</f>
        <v/>
      </c>
      <c r="P30" s="126" t="str">
        <f>IFERROR(INDEX('FB 콘텐츠 data'!$A$1:$AL$25,MATCH('FB 신규발행'!$A30,'FB 콘텐츠 data'!$AV:$AV,0),MATCH(P$2,'FB 콘텐츠 data'!$A$1:$AL$1,0)),"")</f>
        <v/>
      </c>
      <c r="Q30" s="126" t="str">
        <f>IFERROR(INDEX('FB 콘텐츠 data'!$A$1:$AL$25,MATCH('FB 신규발행'!$A30,'FB 콘텐츠 data'!$AV:$AV,0),MATCH(Q$2,'FB 콘텐츠 data'!$A$1:$AL$1,0)),"")</f>
        <v/>
      </c>
      <c r="R30" s="127" t="str">
        <f t="shared" si="1"/>
        <v/>
      </c>
      <c r="T30" s="48" t="str">
        <f t="shared" si="2"/>
        <v/>
      </c>
      <c r="U30" s="48" t="str">
        <f t="shared" si="3"/>
        <v/>
      </c>
      <c r="V30" t="str">
        <f t="shared" si="4"/>
        <v/>
      </c>
      <c r="Y30" s="113"/>
    </row>
    <row r="31" spans="1:25" ht="17.45" customHeight="1">
      <c r="A31" s="129">
        <v>29</v>
      </c>
      <c r="B31" s="124" t="str">
        <f>IFERROR(INDEX('FB 콘텐츠 data'!AU:AU,MATCH('FB 신규발행'!A31,'FB 콘텐츠 data'!AV:AV,0)),"")</f>
        <v/>
      </c>
      <c r="C31" s="125" t="str">
        <f>IFERROR(INDEX('FB 콘텐츠 data'!$A$1:$AL$25,MATCH('FB 신규발행'!$A31,'FB 콘텐츠 data'!$AV:$AV,0),MATCH(C$2,'FB 콘텐츠 data'!$A$1:$AL$1,0)),"")</f>
        <v/>
      </c>
      <c r="D31" s="128" t="str">
        <f>IFERROR(IF(INDEX('FB 콘텐츠 data 제목 입력'!C:C,MATCH('FB 신규발행'!A31,'FB 콘텐츠 data 제목 입력'!A:A,0))=0,"",INDEX('FB 콘텐츠 data 제목 입력'!C:C,MATCH('FB 신규발행'!A31,'FB 콘텐츠 data 제목 입력'!A:A,0))),"")</f>
        <v/>
      </c>
      <c r="E31" s="126" t="str">
        <f>IFERROR(INDEX('FB 콘텐츠 data'!$A$1:$AL$25,MATCH('FB 신규발행'!$A31,'FB 콘텐츠 data'!$AV:$AV,0),MATCH(E$2,'FB 콘텐츠 data'!$A$1:$AL$1,0)),"")</f>
        <v/>
      </c>
      <c r="F31" s="126" t="str">
        <f>IFERROR(INDEX('FB 콘텐츠 data'!$A$1:$AL$25,MATCH('FB 신규발행'!$A31,'FB 콘텐츠 data'!$AV:$AV,0),MATCH(F$2,'FB 콘텐츠 data'!$A$1:$AL$1,0)),"")</f>
        <v/>
      </c>
      <c r="G31" s="126" t="str">
        <f>IFERROR(INDEX('FB 콘텐츠 data'!$A$1:$AL$25,MATCH('FB 신규발행'!$A31,'FB 콘텐츠 data'!$AV:$AV,0),MATCH(G$2,'FB 콘텐츠 data'!$A$1:$AL$1,0)),"")</f>
        <v/>
      </c>
      <c r="H31" s="126" t="str">
        <f t="shared" si="0"/>
        <v/>
      </c>
      <c r="I31" s="126" t="str">
        <f>IFERROR(INDEX('FB 콘텐츠 data'!$A$1:$AL$25,MATCH('FB 신규발행'!$A31,'FB 콘텐츠 data'!$AV:$AV,0),MATCH(I$2,'FB 콘텐츠 data'!$A$1:$AL$1,0)),"")</f>
        <v/>
      </c>
      <c r="J31" s="126" t="str">
        <f>IFERROR(INDEX('FB 콘텐츠 data'!$A$1:$AL$25,MATCH('FB 신규발행'!$A31,'FB 콘텐츠 data'!$AV:$AV,0),MATCH(J$2,'FB 콘텐츠 data'!$A$1:$AL$1,0)),"")</f>
        <v/>
      </c>
      <c r="K31" s="216" t="str">
        <f>IFERROR(INDEX('FB 콘텐츠 data'!$A$1:$AV$25,MATCH('FB 신규발행'!$A31,'FB 콘텐츠 data'!$AV:$AV,0),MATCH(K$2,'FB 콘텐츠 data'!$A$1:$AV$1,0)),"")</f>
        <v/>
      </c>
      <c r="L31" s="126" t="str">
        <f>IFERROR(INDEX('FB 콘텐츠 data'!$A$1:$AL$25,MATCH('FB 신규발행'!$A31,'FB 콘텐츠 data'!$AV:$AV,0),MATCH(L$2,'FB 콘텐츠 data'!$A$1:$AL$1,0)),"")</f>
        <v/>
      </c>
      <c r="M31" s="126" t="str">
        <f>IFERROR(INDEX('FB 콘텐츠 data'!$A$1:$AL$25,MATCH('FB 신규발행'!$A31,'FB 콘텐츠 data'!$AV:$AV,0),MATCH(M$2,'FB 콘텐츠 data'!$A$1:$AL$1,0)),"")</f>
        <v/>
      </c>
      <c r="N31" s="126" t="str">
        <f>IFERROR(INDEX('FB 콘텐츠 data'!$A$1:$AL$25,MATCH('FB 신규발행'!$A31,'FB 콘텐츠 data'!$AV:$AV,0),MATCH(N$2,'FB 콘텐츠 data'!$A$1:$AL$1,0)),"")</f>
        <v/>
      </c>
      <c r="O31" s="126" t="str">
        <f>IFERROR(INDEX('FB 콘텐츠 data'!$A$1:$AL$25,MATCH('FB 신규발행'!$A31,'FB 콘텐츠 data'!$AV:$AV,0),MATCH(O$2,'FB 콘텐츠 data'!$A$1:$AL$1,0)),"")</f>
        <v/>
      </c>
      <c r="P31" s="126" t="str">
        <f>IFERROR(INDEX('FB 콘텐츠 data'!$A$1:$AL$25,MATCH('FB 신규발행'!$A31,'FB 콘텐츠 data'!$AV:$AV,0),MATCH(P$2,'FB 콘텐츠 data'!$A$1:$AL$1,0)),"")</f>
        <v/>
      </c>
      <c r="Q31" s="126" t="str">
        <f>IFERROR(INDEX('FB 콘텐츠 data'!$A$1:$AL$25,MATCH('FB 신규발행'!$A31,'FB 콘텐츠 data'!$AV:$AV,0),MATCH(Q$2,'FB 콘텐츠 data'!$A$1:$AL$1,0)),"")</f>
        <v/>
      </c>
      <c r="R31" s="127" t="str">
        <f t="shared" si="1"/>
        <v/>
      </c>
      <c r="T31" s="48" t="str">
        <f t="shared" si="2"/>
        <v/>
      </c>
      <c r="U31" s="48" t="str">
        <f t="shared" si="3"/>
        <v/>
      </c>
      <c r="V31" t="str">
        <f t="shared" si="4"/>
        <v/>
      </c>
      <c r="Y31" s="113"/>
    </row>
    <row r="32" spans="1:25" ht="17.45" customHeight="1">
      <c r="A32" s="129">
        <v>30</v>
      </c>
      <c r="B32" s="124" t="str">
        <f>IFERROR(INDEX('FB 콘텐츠 data'!AU:AU,MATCH('FB 신규발행'!A32,'FB 콘텐츠 data'!AV:AV,0)),"")</f>
        <v/>
      </c>
      <c r="C32" s="125" t="str">
        <f>IFERROR(INDEX('FB 콘텐츠 data'!$A$1:$AL$25,MATCH('FB 신규발행'!$A32,'FB 콘텐츠 data'!$AV:$AV,0),MATCH(C$2,'FB 콘텐츠 data'!$A$1:$AL$1,0)),"")</f>
        <v/>
      </c>
      <c r="D32" s="128" t="str">
        <f>IFERROR(IF(INDEX('FB 콘텐츠 data 제목 입력'!C:C,MATCH('FB 신규발행'!A32,'FB 콘텐츠 data 제목 입력'!A:A,0))=0,"",INDEX('FB 콘텐츠 data 제목 입력'!C:C,MATCH('FB 신규발행'!A32,'FB 콘텐츠 data 제목 입력'!A:A,0))),"")</f>
        <v/>
      </c>
      <c r="E32" s="126" t="str">
        <f>IFERROR(INDEX('FB 콘텐츠 data'!$A$1:$AL$25,MATCH('FB 신규발행'!$A32,'FB 콘텐츠 data'!$AV:$AV,0),MATCH(E$2,'FB 콘텐츠 data'!$A$1:$AL$1,0)),"")</f>
        <v/>
      </c>
      <c r="F32" s="126" t="str">
        <f>IFERROR(INDEX('FB 콘텐츠 data'!$A$1:$AL$25,MATCH('FB 신규발행'!$A32,'FB 콘텐츠 data'!$AV:$AV,0),MATCH(F$2,'FB 콘텐츠 data'!$A$1:$AL$1,0)),"")</f>
        <v/>
      </c>
      <c r="G32" s="126" t="str">
        <f>IFERROR(INDEX('FB 콘텐츠 data'!$A$1:$AL$25,MATCH('FB 신규발행'!$A32,'FB 콘텐츠 data'!$AV:$AV,0),MATCH(G$2,'FB 콘텐츠 data'!$A$1:$AL$1,0)),"")</f>
        <v/>
      </c>
      <c r="H32" s="126" t="str">
        <f t="shared" si="0"/>
        <v/>
      </c>
      <c r="I32" s="126" t="str">
        <f>IFERROR(INDEX('FB 콘텐츠 data'!$A$1:$AL$25,MATCH('FB 신규발행'!$A32,'FB 콘텐츠 data'!$AV:$AV,0),MATCH(I$2,'FB 콘텐츠 data'!$A$1:$AL$1,0)),"")</f>
        <v/>
      </c>
      <c r="J32" s="126" t="str">
        <f>IFERROR(INDEX('FB 콘텐츠 data'!$A$1:$AL$25,MATCH('FB 신규발행'!$A32,'FB 콘텐츠 data'!$AV:$AV,0),MATCH(J$2,'FB 콘텐츠 data'!$A$1:$AL$1,0)),"")</f>
        <v/>
      </c>
      <c r="K32" s="216" t="str">
        <f>IFERROR(INDEX('FB 콘텐츠 data'!$A$1:$AV$25,MATCH('FB 신규발행'!$A32,'FB 콘텐츠 data'!$AV:$AV,0),MATCH(K$2,'FB 콘텐츠 data'!$A$1:$AV$1,0)),"")</f>
        <v/>
      </c>
      <c r="L32" s="126" t="str">
        <f>IFERROR(INDEX('FB 콘텐츠 data'!$A$1:$AL$25,MATCH('FB 신규발행'!$A32,'FB 콘텐츠 data'!$AV:$AV,0),MATCH(L$2,'FB 콘텐츠 data'!$A$1:$AL$1,0)),"")</f>
        <v/>
      </c>
      <c r="M32" s="126" t="str">
        <f>IFERROR(INDEX('FB 콘텐츠 data'!$A$1:$AL$25,MATCH('FB 신규발행'!$A32,'FB 콘텐츠 data'!$AV:$AV,0),MATCH(M$2,'FB 콘텐츠 data'!$A$1:$AL$1,0)),"")</f>
        <v/>
      </c>
      <c r="N32" s="126" t="str">
        <f>IFERROR(INDEX('FB 콘텐츠 data'!$A$1:$AL$25,MATCH('FB 신규발행'!$A32,'FB 콘텐츠 data'!$AV:$AV,0),MATCH(N$2,'FB 콘텐츠 data'!$A$1:$AL$1,0)),"")</f>
        <v/>
      </c>
      <c r="O32" s="126" t="str">
        <f>IFERROR(INDEX('FB 콘텐츠 data'!$A$1:$AL$25,MATCH('FB 신규발행'!$A32,'FB 콘텐츠 data'!$AV:$AV,0),MATCH(O$2,'FB 콘텐츠 data'!$A$1:$AL$1,0)),"")</f>
        <v/>
      </c>
      <c r="P32" s="126" t="str">
        <f>IFERROR(INDEX('FB 콘텐츠 data'!$A$1:$AL$25,MATCH('FB 신규발행'!$A32,'FB 콘텐츠 data'!$AV:$AV,0),MATCH(P$2,'FB 콘텐츠 data'!$A$1:$AL$1,0)),"")</f>
        <v/>
      </c>
      <c r="Q32" s="126" t="str">
        <f>IFERROR(INDEX('FB 콘텐츠 data'!$A$1:$AL$25,MATCH('FB 신규발행'!$A32,'FB 콘텐츠 data'!$AV:$AV,0),MATCH(Q$2,'FB 콘텐츠 data'!$A$1:$AL$1,0)),"")</f>
        <v/>
      </c>
      <c r="R32" s="127" t="str">
        <f t="shared" si="1"/>
        <v/>
      </c>
      <c r="T32" s="48" t="str">
        <f t="shared" si="2"/>
        <v/>
      </c>
      <c r="U32" s="48" t="str">
        <f t="shared" si="3"/>
        <v/>
      </c>
      <c r="V32" t="str">
        <f t="shared" si="4"/>
        <v/>
      </c>
      <c r="Y32" s="113"/>
    </row>
    <row r="33" spans="1:25" ht="17.45" customHeight="1">
      <c r="A33" s="129">
        <v>31</v>
      </c>
      <c r="B33" s="124" t="str">
        <f>IFERROR(INDEX('FB 콘텐츠 data'!AU:AU,MATCH('FB 신규발행'!A33,'FB 콘텐츠 data'!AV:AV,0)),"")</f>
        <v/>
      </c>
      <c r="C33" s="125" t="str">
        <f>IFERROR(INDEX('FB 콘텐츠 data'!$A$1:$AL$25,MATCH('FB 신규발행'!$A33,'FB 콘텐츠 data'!$AV:$AV,0),MATCH(C$2,'FB 콘텐츠 data'!$A$1:$AL$1,0)),"")</f>
        <v/>
      </c>
      <c r="D33" s="128" t="str">
        <f>IFERROR(IF(INDEX('FB 콘텐츠 data 제목 입력'!C:C,MATCH('FB 신규발행'!A33,'FB 콘텐츠 data 제목 입력'!A:A,0))=0,"",INDEX('FB 콘텐츠 data 제목 입력'!C:C,MATCH('FB 신규발행'!A33,'FB 콘텐츠 data 제목 입력'!A:A,0))),"")</f>
        <v/>
      </c>
      <c r="E33" s="126" t="str">
        <f>IFERROR(INDEX('FB 콘텐츠 data'!$A$1:$AL$25,MATCH('FB 신규발행'!$A33,'FB 콘텐츠 data'!$AV:$AV,0),MATCH(E$2,'FB 콘텐츠 data'!$A$1:$AL$1,0)),"")</f>
        <v/>
      </c>
      <c r="F33" s="126" t="str">
        <f>IFERROR(INDEX('FB 콘텐츠 data'!$A$1:$AL$25,MATCH('FB 신규발행'!$A33,'FB 콘텐츠 data'!$AV:$AV,0),MATCH(F$2,'FB 콘텐츠 data'!$A$1:$AL$1,0)),"")</f>
        <v/>
      </c>
      <c r="G33" s="126" t="str">
        <f>IFERROR(INDEX('FB 콘텐츠 data'!$A$1:$AL$25,MATCH('FB 신규발행'!$A33,'FB 콘텐츠 data'!$AV:$AV,0),MATCH(G$2,'FB 콘텐츠 data'!$A$1:$AL$1,0)),"")</f>
        <v/>
      </c>
      <c r="H33" s="126" t="str">
        <f t="shared" si="0"/>
        <v/>
      </c>
      <c r="I33" s="126" t="str">
        <f>IFERROR(INDEX('FB 콘텐츠 data'!$A$1:$AL$25,MATCH('FB 신규발행'!$A33,'FB 콘텐츠 data'!$AV:$AV,0),MATCH(I$2,'FB 콘텐츠 data'!$A$1:$AL$1,0)),"")</f>
        <v/>
      </c>
      <c r="J33" s="126" t="str">
        <f>IFERROR(INDEX('FB 콘텐츠 data'!$A$1:$AL$25,MATCH('FB 신규발행'!$A33,'FB 콘텐츠 data'!$AV:$AV,0),MATCH(J$2,'FB 콘텐츠 data'!$A$1:$AL$1,0)),"")</f>
        <v/>
      </c>
      <c r="K33" s="216" t="str">
        <f>IFERROR(INDEX('FB 콘텐츠 data'!$A$1:$AV$25,MATCH('FB 신규발행'!$A33,'FB 콘텐츠 data'!$AV:$AV,0),MATCH(K$2,'FB 콘텐츠 data'!$A$1:$AV$1,0)),"")</f>
        <v/>
      </c>
      <c r="L33" s="126" t="str">
        <f>IFERROR(INDEX('FB 콘텐츠 data'!$A$1:$AL$25,MATCH('FB 신규발행'!$A33,'FB 콘텐츠 data'!$AV:$AV,0),MATCH(L$2,'FB 콘텐츠 data'!$A$1:$AL$1,0)),"")</f>
        <v/>
      </c>
      <c r="M33" s="126" t="str">
        <f>IFERROR(INDEX('FB 콘텐츠 data'!$A$1:$AL$25,MATCH('FB 신규발행'!$A33,'FB 콘텐츠 data'!$AV:$AV,0),MATCH(M$2,'FB 콘텐츠 data'!$A$1:$AL$1,0)),"")</f>
        <v/>
      </c>
      <c r="N33" s="126" t="str">
        <f>IFERROR(INDEX('FB 콘텐츠 data'!$A$1:$AL$25,MATCH('FB 신규발행'!$A33,'FB 콘텐츠 data'!$AV:$AV,0),MATCH(N$2,'FB 콘텐츠 data'!$A$1:$AL$1,0)),"")</f>
        <v/>
      </c>
      <c r="O33" s="126" t="str">
        <f>IFERROR(INDEX('FB 콘텐츠 data'!$A$1:$AL$25,MATCH('FB 신규발행'!$A33,'FB 콘텐츠 data'!$AV:$AV,0),MATCH(O$2,'FB 콘텐츠 data'!$A$1:$AL$1,0)),"")</f>
        <v/>
      </c>
      <c r="P33" s="126" t="str">
        <f>IFERROR(INDEX('FB 콘텐츠 data'!$A$1:$AL$25,MATCH('FB 신규발행'!$A33,'FB 콘텐츠 data'!$AV:$AV,0),MATCH(P$2,'FB 콘텐츠 data'!$A$1:$AL$1,0)),"")</f>
        <v/>
      </c>
      <c r="Q33" s="126" t="str">
        <f>IFERROR(INDEX('FB 콘텐츠 data'!$A$1:$AL$25,MATCH('FB 신규발행'!$A33,'FB 콘텐츠 data'!$AV:$AV,0),MATCH(Q$2,'FB 콘텐츠 data'!$A$1:$AL$1,0)),"")</f>
        <v/>
      </c>
      <c r="R33" s="127" t="str">
        <f t="shared" si="1"/>
        <v/>
      </c>
      <c r="T33" s="48" t="str">
        <f t="shared" si="2"/>
        <v/>
      </c>
      <c r="U33" s="48" t="str">
        <f t="shared" si="3"/>
        <v/>
      </c>
      <c r="V33" t="str">
        <f t="shared" si="4"/>
        <v/>
      </c>
      <c r="Y33" s="113"/>
    </row>
    <row r="34" spans="1:25" ht="17.45" customHeight="1">
      <c r="A34" s="129">
        <v>32</v>
      </c>
      <c r="B34" s="124" t="str">
        <f>IFERROR(INDEX('FB 콘텐츠 data'!AU:AU,MATCH('FB 신규발행'!A34,'FB 콘텐츠 data'!AV:AV,0)),"")</f>
        <v/>
      </c>
      <c r="C34" s="125" t="str">
        <f>IFERROR(INDEX('FB 콘텐츠 data'!$A$1:$AL$25,MATCH('FB 신규발행'!$A34,'FB 콘텐츠 data'!$AV:$AV,0),MATCH(C$2,'FB 콘텐츠 data'!$A$1:$AL$1,0)),"")</f>
        <v/>
      </c>
      <c r="D34" s="128" t="str">
        <f>IFERROR(IF(INDEX('FB 콘텐츠 data 제목 입력'!C:C,MATCH('FB 신규발행'!A34,'FB 콘텐츠 data 제목 입력'!A:A,0))=0,"",INDEX('FB 콘텐츠 data 제목 입력'!C:C,MATCH('FB 신규발행'!A34,'FB 콘텐츠 data 제목 입력'!A:A,0))),"")</f>
        <v/>
      </c>
      <c r="E34" s="126" t="str">
        <f>IFERROR(INDEX('FB 콘텐츠 data'!$A$1:$AL$25,MATCH('FB 신규발행'!$A34,'FB 콘텐츠 data'!$AV:$AV,0),MATCH(E$2,'FB 콘텐츠 data'!$A$1:$AL$1,0)),"")</f>
        <v/>
      </c>
      <c r="F34" s="126" t="str">
        <f>IFERROR(INDEX('FB 콘텐츠 data'!$A$1:$AL$25,MATCH('FB 신규발행'!$A34,'FB 콘텐츠 data'!$AV:$AV,0),MATCH(F$2,'FB 콘텐츠 data'!$A$1:$AL$1,0)),"")</f>
        <v/>
      </c>
      <c r="G34" s="126" t="str">
        <f>IFERROR(INDEX('FB 콘텐츠 data'!$A$1:$AL$25,MATCH('FB 신규발행'!$A34,'FB 콘텐츠 data'!$AV:$AV,0),MATCH(G$2,'FB 콘텐츠 data'!$A$1:$AL$1,0)),"")</f>
        <v/>
      </c>
      <c r="H34" s="126" t="str">
        <f t="shared" si="0"/>
        <v/>
      </c>
      <c r="I34" s="126" t="str">
        <f>IFERROR(INDEX('FB 콘텐츠 data'!$A$1:$AL$25,MATCH('FB 신규발행'!$A34,'FB 콘텐츠 data'!$AV:$AV,0),MATCH(I$2,'FB 콘텐츠 data'!$A$1:$AL$1,0)),"")</f>
        <v/>
      </c>
      <c r="J34" s="126" t="str">
        <f>IFERROR(INDEX('FB 콘텐츠 data'!$A$1:$AL$25,MATCH('FB 신규발행'!$A34,'FB 콘텐츠 data'!$AV:$AV,0),MATCH(J$2,'FB 콘텐츠 data'!$A$1:$AL$1,0)),"")</f>
        <v/>
      </c>
      <c r="K34" s="216" t="str">
        <f>IFERROR(INDEX('FB 콘텐츠 data'!$A$1:$AV$25,MATCH('FB 신규발행'!$A34,'FB 콘텐츠 data'!$AV:$AV,0),MATCH(K$2,'FB 콘텐츠 data'!$A$1:$AV$1,0)),"")</f>
        <v/>
      </c>
      <c r="L34" s="126" t="str">
        <f>IFERROR(INDEX('FB 콘텐츠 data'!$A$1:$AL$25,MATCH('FB 신규발행'!$A34,'FB 콘텐츠 data'!$AV:$AV,0),MATCH(L$2,'FB 콘텐츠 data'!$A$1:$AL$1,0)),"")</f>
        <v/>
      </c>
      <c r="M34" s="126" t="str">
        <f>IFERROR(INDEX('FB 콘텐츠 data'!$A$1:$AL$25,MATCH('FB 신규발행'!$A34,'FB 콘텐츠 data'!$AV:$AV,0),MATCH(M$2,'FB 콘텐츠 data'!$A$1:$AL$1,0)),"")</f>
        <v/>
      </c>
      <c r="N34" s="126" t="str">
        <f>IFERROR(INDEX('FB 콘텐츠 data'!$A$1:$AL$25,MATCH('FB 신규발행'!$A34,'FB 콘텐츠 data'!$AV:$AV,0),MATCH(N$2,'FB 콘텐츠 data'!$A$1:$AL$1,0)),"")</f>
        <v/>
      </c>
      <c r="O34" s="126" t="str">
        <f>IFERROR(INDEX('FB 콘텐츠 data'!$A$1:$AL$25,MATCH('FB 신규발행'!$A34,'FB 콘텐츠 data'!$AV:$AV,0),MATCH(O$2,'FB 콘텐츠 data'!$A$1:$AL$1,0)),"")</f>
        <v/>
      </c>
      <c r="P34" s="126" t="str">
        <f>IFERROR(INDEX('FB 콘텐츠 data'!$A$1:$AL$25,MATCH('FB 신규발행'!$A34,'FB 콘텐츠 data'!$AV:$AV,0),MATCH(P$2,'FB 콘텐츠 data'!$A$1:$AL$1,0)),"")</f>
        <v/>
      </c>
      <c r="Q34" s="126" t="str">
        <f>IFERROR(INDEX('FB 콘텐츠 data'!$A$1:$AL$25,MATCH('FB 신규발행'!$A34,'FB 콘텐츠 data'!$AV:$AV,0),MATCH(Q$2,'FB 콘텐츠 data'!$A$1:$AL$1,0)),"")</f>
        <v/>
      </c>
      <c r="R34" s="127" t="str">
        <f t="shared" si="1"/>
        <v/>
      </c>
      <c r="T34" s="48" t="str">
        <f t="shared" si="2"/>
        <v/>
      </c>
      <c r="U34" s="48" t="str">
        <f t="shared" si="3"/>
        <v/>
      </c>
      <c r="Y34" s="113"/>
    </row>
    <row r="35" spans="1:25" ht="17.45" customHeight="1">
      <c r="A35" s="129">
        <v>33</v>
      </c>
      <c r="B35" s="124" t="str">
        <f>IFERROR(INDEX('FB 콘텐츠 data'!AU:AU,MATCH('FB 신규발행'!A35,'FB 콘텐츠 data'!AV:AV,0)),"")</f>
        <v/>
      </c>
      <c r="C35" s="125" t="str">
        <f>IFERROR(INDEX('FB 콘텐츠 data'!$A$1:$AL$25,MATCH('FB 신규발행'!$A35,'FB 콘텐츠 data'!$AV:$AV,0),MATCH(C$2,'FB 콘텐츠 data'!$A$1:$AL$1,0)),"")</f>
        <v/>
      </c>
      <c r="D35" s="128" t="str">
        <f>IFERROR(IF(INDEX('FB 콘텐츠 data 제목 입력'!C:C,MATCH('FB 신규발행'!A35,'FB 콘텐츠 data 제목 입력'!A:A,0))=0,"",INDEX('FB 콘텐츠 data 제목 입력'!C:C,MATCH('FB 신규발행'!A35,'FB 콘텐츠 data 제목 입력'!A:A,0))),"")</f>
        <v/>
      </c>
      <c r="E35" s="126" t="str">
        <f>IFERROR(INDEX('FB 콘텐츠 data'!$A$1:$AL$25,MATCH('FB 신규발행'!$A35,'FB 콘텐츠 data'!$AV:$AV,0),MATCH(E$2,'FB 콘텐츠 data'!$A$1:$AL$1,0)),"")</f>
        <v/>
      </c>
      <c r="F35" s="126" t="str">
        <f>IFERROR(INDEX('FB 콘텐츠 data'!$A$1:$AL$25,MATCH('FB 신규발행'!$A35,'FB 콘텐츠 data'!$AV:$AV,0),MATCH(F$2,'FB 콘텐츠 data'!$A$1:$AL$1,0)),"")</f>
        <v/>
      </c>
      <c r="G35" s="126" t="str">
        <f>IFERROR(INDEX('FB 콘텐츠 data'!$A$1:$AL$25,MATCH('FB 신규발행'!$A35,'FB 콘텐츠 data'!$AV:$AV,0),MATCH(G$2,'FB 콘텐츠 data'!$A$1:$AL$1,0)),"")</f>
        <v/>
      </c>
      <c r="H35" s="126" t="str">
        <f t="shared" ref="H35:H66" si="5">IF(B35="","",I35+J35+O35+Q35)</f>
        <v/>
      </c>
      <c r="I35" s="126" t="str">
        <f>IFERROR(INDEX('FB 콘텐츠 data'!$A$1:$AL$25,MATCH('FB 신규발행'!$A35,'FB 콘텐츠 data'!$AV:$AV,0),MATCH(I$2,'FB 콘텐츠 data'!$A$1:$AL$1,0)),"")</f>
        <v/>
      </c>
      <c r="J35" s="126" t="str">
        <f>IFERROR(INDEX('FB 콘텐츠 data'!$A$1:$AL$25,MATCH('FB 신규발행'!$A35,'FB 콘텐츠 data'!$AV:$AV,0),MATCH(J$2,'FB 콘텐츠 data'!$A$1:$AL$1,0)),"")</f>
        <v/>
      </c>
      <c r="K35" s="216" t="str">
        <f>IFERROR(INDEX('FB 콘텐츠 data'!$A$1:$AV$25,MATCH('FB 신규발행'!$A35,'FB 콘텐츠 data'!$AV:$AV,0),MATCH(K$2,'FB 콘텐츠 data'!$A$1:$AV$1,0)),"")</f>
        <v/>
      </c>
      <c r="L35" s="126" t="str">
        <f>IFERROR(INDEX('FB 콘텐츠 data'!$A$1:$AL$25,MATCH('FB 신규발행'!$A35,'FB 콘텐츠 data'!$AV:$AV,0),MATCH(L$2,'FB 콘텐츠 data'!$A$1:$AL$1,0)),"")</f>
        <v/>
      </c>
      <c r="M35" s="126" t="str">
        <f>IFERROR(INDEX('FB 콘텐츠 data'!$A$1:$AL$25,MATCH('FB 신규발행'!$A35,'FB 콘텐츠 data'!$AV:$AV,0),MATCH(M$2,'FB 콘텐츠 data'!$A$1:$AL$1,0)),"")</f>
        <v/>
      </c>
      <c r="N35" s="126" t="str">
        <f>IFERROR(INDEX('FB 콘텐츠 data'!$A$1:$AL$25,MATCH('FB 신규발행'!$A35,'FB 콘텐츠 data'!$AV:$AV,0),MATCH(N$2,'FB 콘텐츠 data'!$A$1:$AL$1,0)),"")</f>
        <v/>
      </c>
      <c r="O35" s="126" t="str">
        <f>IFERROR(INDEX('FB 콘텐츠 data'!$A$1:$AL$25,MATCH('FB 신규발행'!$A35,'FB 콘텐츠 data'!$AV:$AV,0),MATCH(O$2,'FB 콘텐츠 data'!$A$1:$AL$1,0)),"")</f>
        <v/>
      </c>
      <c r="P35" s="126" t="str">
        <f>IFERROR(INDEX('FB 콘텐츠 data'!$A$1:$AL$25,MATCH('FB 신규발행'!$A35,'FB 콘텐츠 data'!$AV:$AV,0),MATCH(P$2,'FB 콘텐츠 data'!$A$1:$AL$1,0)),"")</f>
        <v/>
      </c>
      <c r="Q35" s="126" t="str">
        <f>IFERROR(INDEX('FB 콘텐츠 data'!$A$1:$AL$25,MATCH('FB 신규발행'!$A35,'FB 콘텐츠 data'!$AV:$AV,0),MATCH(Q$2,'FB 콘텐츠 data'!$A$1:$AL$1,0)),"")</f>
        <v/>
      </c>
      <c r="R35" s="127" t="str">
        <f t="shared" ref="R35:R66" si="6">IFERROR(H35/F35,"")</f>
        <v/>
      </c>
      <c r="T35" s="48" t="str">
        <f t="shared" ref="T35:T66" si="7">IFERROR(RANK(R35,$R$3:$R$82,0),"")</f>
        <v/>
      </c>
      <c r="U35" s="48" t="str">
        <f t="shared" ref="U35:U66" si="8">IFERROR(RANK(E35,$E$3:$E$82,0),"")</f>
        <v/>
      </c>
      <c r="Y35" s="113"/>
    </row>
    <row r="36" spans="1:25" ht="17.45" customHeight="1">
      <c r="A36" s="129">
        <v>34</v>
      </c>
      <c r="B36" s="124" t="str">
        <f>IFERROR(INDEX('FB 콘텐츠 data'!AU:AU,MATCH('FB 신규발행'!A36,'FB 콘텐츠 data'!AV:AV,0)),"")</f>
        <v/>
      </c>
      <c r="C36" s="125" t="str">
        <f>IFERROR(INDEX('FB 콘텐츠 data'!$A$1:$AL$25,MATCH('FB 신규발행'!$A36,'FB 콘텐츠 data'!$AV:$AV,0),MATCH(C$2,'FB 콘텐츠 data'!$A$1:$AL$1,0)),"")</f>
        <v/>
      </c>
      <c r="D36" s="128" t="str">
        <f>IFERROR(IF(INDEX('FB 콘텐츠 data 제목 입력'!C:C,MATCH('FB 신규발행'!A36,'FB 콘텐츠 data 제목 입력'!A:A,0))=0,"",INDEX('FB 콘텐츠 data 제목 입력'!C:C,MATCH('FB 신규발행'!A36,'FB 콘텐츠 data 제목 입력'!A:A,0))),"")</f>
        <v/>
      </c>
      <c r="E36" s="126" t="str">
        <f>IFERROR(INDEX('FB 콘텐츠 data'!$A$1:$AL$25,MATCH('FB 신규발행'!$A36,'FB 콘텐츠 data'!$AV:$AV,0),MATCH(E$2,'FB 콘텐츠 data'!$A$1:$AL$1,0)),"")</f>
        <v/>
      </c>
      <c r="F36" s="126" t="str">
        <f>IFERROR(INDEX('FB 콘텐츠 data'!$A$1:$AL$25,MATCH('FB 신규발행'!$A36,'FB 콘텐츠 data'!$AV:$AV,0),MATCH(F$2,'FB 콘텐츠 data'!$A$1:$AL$1,0)),"")</f>
        <v/>
      </c>
      <c r="G36" s="126" t="str">
        <f>IFERROR(INDEX('FB 콘텐츠 data'!$A$1:$AL$25,MATCH('FB 신규발행'!$A36,'FB 콘텐츠 data'!$AV:$AV,0),MATCH(G$2,'FB 콘텐츠 data'!$A$1:$AL$1,0)),"")</f>
        <v/>
      </c>
      <c r="H36" s="126" t="str">
        <f t="shared" si="5"/>
        <v/>
      </c>
      <c r="I36" s="126" t="str">
        <f>IFERROR(INDEX('FB 콘텐츠 data'!$A$1:$AL$25,MATCH('FB 신규발행'!$A36,'FB 콘텐츠 data'!$AV:$AV,0),MATCH(I$2,'FB 콘텐츠 data'!$A$1:$AL$1,0)),"")</f>
        <v/>
      </c>
      <c r="J36" s="126" t="str">
        <f>IFERROR(INDEX('FB 콘텐츠 data'!$A$1:$AL$25,MATCH('FB 신규발행'!$A36,'FB 콘텐츠 data'!$AV:$AV,0),MATCH(J$2,'FB 콘텐츠 data'!$A$1:$AL$1,0)),"")</f>
        <v/>
      </c>
      <c r="K36" s="216" t="str">
        <f>IFERROR(INDEX('FB 콘텐츠 data'!$A$1:$AV$25,MATCH('FB 신규발행'!$A36,'FB 콘텐츠 data'!$AV:$AV,0),MATCH(K$2,'FB 콘텐츠 data'!$A$1:$AV$1,0)),"")</f>
        <v/>
      </c>
      <c r="L36" s="126" t="str">
        <f>IFERROR(INDEX('FB 콘텐츠 data'!$A$1:$AL$25,MATCH('FB 신규발행'!$A36,'FB 콘텐츠 data'!$AV:$AV,0),MATCH(L$2,'FB 콘텐츠 data'!$A$1:$AL$1,0)),"")</f>
        <v/>
      </c>
      <c r="M36" s="126" t="str">
        <f>IFERROR(INDEX('FB 콘텐츠 data'!$A$1:$AL$25,MATCH('FB 신규발행'!$A36,'FB 콘텐츠 data'!$AV:$AV,0),MATCH(M$2,'FB 콘텐츠 data'!$A$1:$AL$1,0)),"")</f>
        <v/>
      </c>
      <c r="N36" s="126" t="str">
        <f>IFERROR(INDEX('FB 콘텐츠 data'!$A$1:$AL$25,MATCH('FB 신규발행'!$A36,'FB 콘텐츠 data'!$AV:$AV,0),MATCH(N$2,'FB 콘텐츠 data'!$A$1:$AL$1,0)),"")</f>
        <v/>
      </c>
      <c r="O36" s="126" t="str">
        <f>IFERROR(INDEX('FB 콘텐츠 data'!$A$1:$AL$25,MATCH('FB 신규발행'!$A36,'FB 콘텐츠 data'!$AV:$AV,0),MATCH(O$2,'FB 콘텐츠 data'!$A$1:$AL$1,0)),"")</f>
        <v/>
      </c>
      <c r="P36" s="126" t="str">
        <f>IFERROR(INDEX('FB 콘텐츠 data'!$A$1:$AL$25,MATCH('FB 신규발행'!$A36,'FB 콘텐츠 data'!$AV:$AV,0),MATCH(P$2,'FB 콘텐츠 data'!$A$1:$AL$1,0)),"")</f>
        <v/>
      </c>
      <c r="Q36" s="126" t="str">
        <f>IFERROR(INDEX('FB 콘텐츠 data'!$A$1:$AL$25,MATCH('FB 신규발행'!$A36,'FB 콘텐츠 data'!$AV:$AV,0),MATCH(Q$2,'FB 콘텐츠 data'!$A$1:$AL$1,0)),"")</f>
        <v/>
      </c>
      <c r="R36" s="127" t="str">
        <f t="shared" si="6"/>
        <v/>
      </c>
      <c r="T36" s="48" t="str">
        <f t="shared" si="7"/>
        <v/>
      </c>
      <c r="U36" s="48" t="str">
        <f t="shared" si="8"/>
        <v/>
      </c>
      <c r="Y36" s="113"/>
    </row>
    <row r="37" spans="1:25" ht="17.45" customHeight="1">
      <c r="A37" s="129">
        <v>35</v>
      </c>
      <c r="B37" s="124" t="str">
        <f>IFERROR(INDEX('FB 콘텐츠 data'!AU:AU,MATCH('FB 신규발행'!A37,'FB 콘텐츠 data'!AV:AV,0)),"")</f>
        <v/>
      </c>
      <c r="C37" s="125" t="str">
        <f>IFERROR(INDEX('FB 콘텐츠 data'!$A$1:$AL$25,MATCH('FB 신규발행'!$A37,'FB 콘텐츠 data'!$AV:$AV,0),MATCH(C$2,'FB 콘텐츠 data'!$A$1:$AL$1,0)),"")</f>
        <v/>
      </c>
      <c r="D37" s="128" t="str">
        <f>IFERROR(IF(INDEX('FB 콘텐츠 data 제목 입력'!C:C,MATCH('FB 신규발행'!A37,'FB 콘텐츠 data 제목 입력'!A:A,0))=0,"",INDEX('FB 콘텐츠 data 제목 입력'!C:C,MATCH('FB 신규발행'!A37,'FB 콘텐츠 data 제목 입력'!A:A,0))),"")</f>
        <v/>
      </c>
      <c r="E37" s="126" t="str">
        <f>IFERROR(INDEX('FB 콘텐츠 data'!$A$1:$AL$25,MATCH('FB 신규발행'!$A37,'FB 콘텐츠 data'!$AV:$AV,0),MATCH(E$2,'FB 콘텐츠 data'!$A$1:$AL$1,0)),"")</f>
        <v/>
      </c>
      <c r="F37" s="126" t="str">
        <f>IFERROR(INDEX('FB 콘텐츠 data'!$A$1:$AL$25,MATCH('FB 신규발행'!$A37,'FB 콘텐츠 data'!$AV:$AV,0),MATCH(F$2,'FB 콘텐츠 data'!$A$1:$AL$1,0)),"")</f>
        <v/>
      </c>
      <c r="G37" s="126" t="str">
        <f>IFERROR(INDEX('FB 콘텐츠 data'!$A$1:$AL$25,MATCH('FB 신규발행'!$A37,'FB 콘텐츠 data'!$AV:$AV,0),MATCH(G$2,'FB 콘텐츠 data'!$A$1:$AL$1,0)),"")</f>
        <v/>
      </c>
      <c r="H37" s="126" t="str">
        <f t="shared" si="5"/>
        <v/>
      </c>
      <c r="I37" s="126" t="str">
        <f>IFERROR(INDEX('FB 콘텐츠 data'!$A$1:$AL$25,MATCH('FB 신규발행'!$A37,'FB 콘텐츠 data'!$AV:$AV,0),MATCH(I$2,'FB 콘텐츠 data'!$A$1:$AL$1,0)),"")</f>
        <v/>
      </c>
      <c r="J37" s="126" t="str">
        <f>IFERROR(INDEX('FB 콘텐츠 data'!$A$1:$AL$25,MATCH('FB 신규발행'!$A37,'FB 콘텐츠 data'!$AV:$AV,0),MATCH(J$2,'FB 콘텐츠 data'!$A$1:$AL$1,0)),"")</f>
        <v/>
      </c>
      <c r="K37" s="216" t="str">
        <f>IFERROR(INDEX('FB 콘텐츠 data'!$A$1:$AV$25,MATCH('FB 신규발행'!$A37,'FB 콘텐츠 data'!$AV:$AV,0),MATCH(K$2,'FB 콘텐츠 data'!$A$1:$AV$1,0)),"")</f>
        <v/>
      </c>
      <c r="L37" s="126" t="str">
        <f>IFERROR(INDEX('FB 콘텐츠 data'!$A$1:$AL$25,MATCH('FB 신규발행'!$A37,'FB 콘텐츠 data'!$AV:$AV,0),MATCH(L$2,'FB 콘텐츠 data'!$A$1:$AL$1,0)),"")</f>
        <v/>
      </c>
      <c r="M37" s="126" t="str">
        <f>IFERROR(INDEX('FB 콘텐츠 data'!$A$1:$AL$25,MATCH('FB 신규발행'!$A37,'FB 콘텐츠 data'!$AV:$AV,0),MATCH(M$2,'FB 콘텐츠 data'!$A$1:$AL$1,0)),"")</f>
        <v/>
      </c>
      <c r="N37" s="126" t="str">
        <f>IFERROR(INDEX('FB 콘텐츠 data'!$A$1:$AL$25,MATCH('FB 신규발행'!$A37,'FB 콘텐츠 data'!$AV:$AV,0),MATCH(N$2,'FB 콘텐츠 data'!$A$1:$AL$1,0)),"")</f>
        <v/>
      </c>
      <c r="O37" s="126" t="str">
        <f>IFERROR(INDEX('FB 콘텐츠 data'!$A$1:$AL$25,MATCH('FB 신규발행'!$A37,'FB 콘텐츠 data'!$AV:$AV,0),MATCH(O$2,'FB 콘텐츠 data'!$A$1:$AL$1,0)),"")</f>
        <v/>
      </c>
      <c r="P37" s="126" t="str">
        <f>IFERROR(INDEX('FB 콘텐츠 data'!$A$1:$AL$25,MATCH('FB 신규발행'!$A37,'FB 콘텐츠 data'!$AV:$AV,0),MATCH(P$2,'FB 콘텐츠 data'!$A$1:$AL$1,0)),"")</f>
        <v/>
      </c>
      <c r="Q37" s="126" t="str">
        <f>IFERROR(INDEX('FB 콘텐츠 data'!$A$1:$AL$25,MATCH('FB 신규발행'!$A37,'FB 콘텐츠 data'!$AV:$AV,0),MATCH(Q$2,'FB 콘텐츠 data'!$A$1:$AL$1,0)),"")</f>
        <v/>
      </c>
      <c r="R37" s="127" t="str">
        <f t="shared" si="6"/>
        <v/>
      </c>
      <c r="T37" s="48" t="str">
        <f t="shared" si="7"/>
        <v/>
      </c>
      <c r="U37" s="48" t="str">
        <f t="shared" si="8"/>
        <v/>
      </c>
      <c r="Y37" s="113"/>
    </row>
    <row r="38" spans="1:25" ht="17.45" customHeight="1">
      <c r="A38" s="129">
        <v>36</v>
      </c>
      <c r="B38" s="124" t="str">
        <f>IFERROR(INDEX('FB 콘텐츠 data'!AU:AU,MATCH('FB 신규발행'!A38,'FB 콘텐츠 data'!AV:AV,0)),"")</f>
        <v/>
      </c>
      <c r="C38" s="125" t="str">
        <f>IFERROR(INDEX('FB 콘텐츠 data'!$A$1:$AL$25,MATCH('FB 신규발행'!$A38,'FB 콘텐츠 data'!$AV:$AV,0),MATCH(C$2,'FB 콘텐츠 data'!$A$1:$AL$1,0)),"")</f>
        <v/>
      </c>
      <c r="D38" s="128" t="str">
        <f>IFERROR(IF(INDEX('FB 콘텐츠 data 제목 입력'!C:C,MATCH('FB 신규발행'!A38,'FB 콘텐츠 data 제목 입력'!A:A,0))=0,"",INDEX('FB 콘텐츠 data 제목 입력'!C:C,MATCH('FB 신규발행'!A38,'FB 콘텐츠 data 제목 입력'!A:A,0))),"")</f>
        <v/>
      </c>
      <c r="E38" s="126" t="str">
        <f>IFERROR(INDEX('FB 콘텐츠 data'!$A$1:$AL$25,MATCH('FB 신규발행'!$A38,'FB 콘텐츠 data'!$AV:$AV,0),MATCH(E$2,'FB 콘텐츠 data'!$A$1:$AL$1,0)),"")</f>
        <v/>
      </c>
      <c r="F38" s="126" t="str">
        <f>IFERROR(INDEX('FB 콘텐츠 data'!$A$1:$AL$25,MATCH('FB 신규발행'!$A38,'FB 콘텐츠 data'!$AV:$AV,0),MATCH(F$2,'FB 콘텐츠 data'!$A$1:$AL$1,0)),"")</f>
        <v/>
      </c>
      <c r="G38" s="126" t="str">
        <f>IFERROR(INDEX('FB 콘텐츠 data'!$A$1:$AL$25,MATCH('FB 신규발행'!$A38,'FB 콘텐츠 data'!$AV:$AV,0),MATCH(G$2,'FB 콘텐츠 data'!$A$1:$AL$1,0)),"")</f>
        <v/>
      </c>
      <c r="H38" s="126" t="str">
        <f t="shared" si="5"/>
        <v/>
      </c>
      <c r="I38" s="126" t="str">
        <f>IFERROR(INDEX('FB 콘텐츠 data'!$A$1:$AL$25,MATCH('FB 신규발행'!$A38,'FB 콘텐츠 data'!$AV:$AV,0),MATCH(I$2,'FB 콘텐츠 data'!$A$1:$AL$1,0)),"")</f>
        <v/>
      </c>
      <c r="J38" s="126" t="str">
        <f>IFERROR(INDEX('FB 콘텐츠 data'!$A$1:$AL$25,MATCH('FB 신규발행'!$A38,'FB 콘텐츠 data'!$AV:$AV,0),MATCH(J$2,'FB 콘텐츠 data'!$A$1:$AL$1,0)),"")</f>
        <v/>
      </c>
      <c r="K38" s="216" t="str">
        <f>IFERROR(INDEX('FB 콘텐츠 data'!$A$1:$AV$25,MATCH('FB 신규발행'!$A38,'FB 콘텐츠 data'!$AV:$AV,0),MATCH(K$2,'FB 콘텐츠 data'!$A$1:$AV$1,0)),"")</f>
        <v/>
      </c>
      <c r="L38" s="126" t="str">
        <f>IFERROR(INDEX('FB 콘텐츠 data'!$A$1:$AL$25,MATCH('FB 신규발행'!$A38,'FB 콘텐츠 data'!$AV:$AV,0),MATCH(L$2,'FB 콘텐츠 data'!$A$1:$AL$1,0)),"")</f>
        <v/>
      </c>
      <c r="M38" s="126" t="str">
        <f>IFERROR(INDEX('FB 콘텐츠 data'!$A$1:$AL$25,MATCH('FB 신규발행'!$A38,'FB 콘텐츠 data'!$AV:$AV,0),MATCH(M$2,'FB 콘텐츠 data'!$A$1:$AL$1,0)),"")</f>
        <v/>
      </c>
      <c r="N38" s="126" t="str">
        <f>IFERROR(INDEX('FB 콘텐츠 data'!$A$1:$AL$25,MATCH('FB 신규발행'!$A38,'FB 콘텐츠 data'!$AV:$AV,0),MATCH(N$2,'FB 콘텐츠 data'!$A$1:$AL$1,0)),"")</f>
        <v/>
      </c>
      <c r="O38" s="126" t="str">
        <f>IFERROR(INDEX('FB 콘텐츠 data'!$A$1:$AL$25,MATCH('FB 신규발행'!$A38,'FB 콘텐츠 data'!$AV:$AV,0),MATCH(O$2,'FB 콘텐츠 data'!$A$1:$AL$1,0)),"")</f>
        <v/>
      </c>
      <c r="P38" s="126" t="str">
        <f>IFERROR(INDEX('FB 콘텐츠 data'!$A$1:$AL$25,MATCH('FB 신규발행'!$A38,'FB 콘텐츠 data'!$AV:$AV,0),MATCH(P$2,'FB 콘텐츠 data'!$A$1:$AL$1,0)),"")</f>
        <v/>
      </c>
      <c r="Q38" s="126" t="str">
        <f>IFERROR(INDEX('FB 콘텐츠 data'!$A$1:$AL$25,MATCH('FB 신규발행'!$A38,'FB 콘텐츠 data'!$AV:$AV,0),MATCH(Q$2,'FB 콘텐츠 data'!$A$1:$AL$1,0)),"")</f>
        <v/>
      </c>
      <c r="R38" s="127" t="str">
        <f t="shared" si="6"/>
        <v/>
      </c>
      <c r="T38" s="48" t="str">
        <f t="shared" si="7"/>
        <v/>
      </c>
      <c r="U38" s="48" t="str">
        <f t="shared" si="8"/>
        <v/>
      </c>
      <c r="Y38" s="113"/>
    </row>
    <row r="39" spans="1:25" ht="17.45" customHeight="1">
      <c r="A39" s="129">
        <v>37</v>
      </c>
      <c r="B39" s="124" t="str">
        <f>IFERROR(INDEX('FB 콘텐츠 data'!AU:AU,MATCH('FB 신규발행'!A39,'FB 콘텐츠 data'!AV:AV,0)),"")</f>
        <v/>
      </c>
      <c r="C39" s="125" t="str">
        <f>IFERROR(INDEX('FB 콘텐츠 data'!$A$1:$AL$25,MATCH('FB 신규발행'!$A39,'FB 콘텐츠 data'!$AV:$AV,0),MATCH(C$2,'FB 콘텐츠 data'!$A$1:$AL$1,0)),"")</f>
        <v/>
      </c>
      <c r="D39" s="128" t="str">
        <f>IFERROR(IF(INDEX('FB 콘텐츠 data 제목 입력'!C:C,MATCH('FB 신규발행'!A39,'FB 콘텐츠 data 제목 입력'!A:A,0))=0,"",INDEX('FB 콘텐츠 data 제목 입력'!C:C,MATCH('FB 신규발행'!A39,'FB 콘텐츠 data 제목 입력'!A:A,0))),"")</f>
        <v/>
      </c>
      <c r="E39" s="126" t="str">
        <f>IFERROR(INDEX('FB 콘텐츠 data'!$A$1:$AL$25,MATCH('FB 신규발행'!$A39,'FB 콘텐츠 data'!$AV:$AV,0),MATCH(E$2,'FB 콘텐츠 data'!$A$1:$AL$1,0)),"")</f>
        <v/>
      </c>
      <c r="F39" s="126" t="str">
        <f>IFERROR(INDEX('FB 콘텐츠 data'!$A$1:$AL$25,MATCH('FB 신규발행'!$A39,'FB 콘텐츠 data'!$AV:$AV,0),MATCH(F$2,'FB 콘텐츠 data'!$A$1:$AL$1,0)),"")</f>
        <v/>
      </c>
      <c r="G39" s="126" t="str">
        <f>IFERROR(INDEX('FB 콘텐츠 data'!$A$1:$AL$25,MATCH('FB 신규발행'!$A39,'FB 콘텐츠 data'!$AV:$AV,0),MATCH(G$2,'FB 콘텐츠 data'!$A$1:$AL$1,0)),"")</f>
        <v/>
      </c>
      <c r="H39" s="126" t="str">
        <f t="shared" si="5"/>
        <v/>
      </c>
      <c r="I39" s="126" t="str">
        <f>IFERROR(INDEX('FB 콘텐츠 data'!$A$1:$AL$25,MATCH('FB 신규발행'!$A39,'FB 콘텐츠 data'!$AV:$AV,0),MATCH(I$2,'FB 콘텐츠 data'!$A$1:$AL$1,0)),"")</f>
        <v/>
      </c>
      <c r="J39" s="126" t="str">
        <f>IFERROR(INDEX('FB 콘텐츠 data'!$A$1:$AL$25,MATCH('FB 신규발행'!$A39,'FB 콘텐츠 data'!$AV:$AV,0),MATCH(J$2,'FB 콘텐츠 data'!$A$1:$AL$1,0)),"")</f>
        <v/>
      </c>
      <c r="K39" s="216" t="str">
        <f>IFERROR(INDEX('FB 콘텐츠 data'!$A$1:$AV$25,MATCH('FB 신규발행'!$A39,'FB 콘텐츠 data'!$AV:$AV,0),MATCH(K$2,'FB 콘텐츠 data'!$A$1:$AV$1,0)),"")</f>
        <v/>
      </c>
      <c r="L39" s="126" t="str">
        <f>IFERROR(INDEX('FB 콘텐츠 data'!$A$1:$AL$25,MATCH('FB 신규발행'!$A39,'FB 콘텐츠 data'!$AV:$AV,0),MATCH(L$2,'FB 콘텐츠 data'!$A$1:$AL$1,0)),"")</f>
        <v/>
      </c>
      <c r="M39" s="126" t="str">
        <f>IFERROR(INDEX('FB 콘텐츠 data'!$A$1:$AL$25,MATCH('FB 신규발행'!$A39,'FB 콘텐츠 data'!$AV:$AV,0),MATCH(M$2,'FB 콘텐츠 data'!$A$1:$AL$1,0)),"")</f>
        <v/>
      </c>
      <c r="N39" s="126" t="str">
        <f>IFERROR(INDEX('FB 콘텐츠 data'!$A$1:$AL$25,MATCH('FB 신규발행'!$A39,'FB 콘텐츠 data'!$AV:$AV,0),MATCH(N$2,'FB 콘텐츠 data'!$A$1:$AL$1,0)),"")</f>
        <v/>
      </c>
      <c r="O39" s="126" t="str">
        <f>IFERROR(INDEX('FB 콘텐츠 data'!$A$1:$AL$25,MATCH('FB 신규발행'!$A39,'FB 콘텐츠 data'!$AV:$AV,0),MATCH(O$2,'FB 콘텐츠 data'!$A$1:$AL$1,0)),"")</f>
        <v/>
      </c>
      <c r="P39" s="126" t="str">
        <f>IFERROR(INDEX('FB 콘텐츠 data'!$A$1:$AL$25,MATCH('FB 신규발행'!$A39,'FB 콘텐츠 data'!$AV:$AV,0),MATCH(P$2,'FB 콘텐츠 data'!$A$1:$AL$1,0)),"")</f>
        <v/>
      </c>
      <c r="Q39" s="126" t="str">
        <f>IFERROR(INDEX('FB 콘텐츠 data'!$A$1:$AL$25,MATCH('FB 신규발행'!$A39,'FB 콘텐츠 data'!$AV:$AV,0),MATCH(Q$2,'FB 콘텐츠 data'!$A$1:$AL$1,0)),"")</f>
        <v/>
      </c>
      <c r="R39" s="127" t="str">
        <f t="shared" si="6"/>
        <v/>
      </c>
      <c r="T39" s="48" t="str">
        <f t="shared" si="7"/>
        <v/>
      </c>
      <c r="U39" s="48" t="str">
        <f t="shared" si="8"/>
        <v/>
      </c>
      <c r="Y39" s="113"/>
    </row>
    <row r="40" spans="1:25" ht="17.45" customHeight="1">
      <c r="A40" s="129">
        <v>38</v>
      </c>
      <c r="B40" s="124" t="str">
        <f>IFERROR(INDEX('FB 콘텐츠 data'!AU:AU,MATCH('FB 신규발행'!A40,'FB 콘텐츠 data'!AV:AV,0)),"")</f>
        <v/>
      </c>
      <c r="C40" s="125" t="str">
        <f>IFERROR(INDEX('FB 콘텐츠 data'!$A$1:$AL$25,MATCH('FB 신규발행'!$A40,'FB 콘텐츠 data'!$AV:$AV,0),MATCH(C$2,'FB 콘텐츠 data'!$A$1:$AL$1,0)),"")</f>
        <v/>
      </c>
      <c r="D40" s="128" t="str">
        <f>IFERROR(IF(INDEX('FB 콘텐츠 data 제목 입력'!C:C,MATCH('FB 신규발행'!A40,'FB 콘텐츠 data 제목 입력'!A:A,0))=0,"",INDEX('FB 콘텐츠 data 제목 입력'!C:C,MATCH('FB 신규발행'!A40,'FB 콘텐츠 data 제목 입력'!A:A,0))),"")</f>
        <v/>
      </c>
      <c r="E40" s="126" t="str">
        <f>IFERROR(INDEX('FB 콘텐츠 data'!$A$1:$AL$25,MATCH('FB 신규발행'!$A40,'FB 콘텐츠 data'!$AV:$AV,0),MATCH(E$2,'FB 콘텐츠 data'!$A$1:$AL$1,0)),"")</f>
        <v/>
      </c>
      <c r="F40" s="126" t="str">
        <f>IFERROR(INDEX('FB 콘텐츠 data'!$A$1:$AL$25,MATCH('FB 신규발행'!$A40,'FB 콘텐츠 data'!$AV:$AV,0),MATCH(F$2,'FB 콘텐츠 data'!$A$1:$AL$1,0)),"")</f>
        <v/>
      </c>
      <c r="G40" s="126" t="str">
        <f>IFERROR(INDEX('FB 콘텐츠 data'!$A$1:$AL$25,MATCH('FB 신규발행'!$A40,'FB 콘텐츠 data'!$AV:$AV,0),MATCH(G$2,'FB 콘텐츠 data'!$A$1:$AL$1,0)),"")</f>
        <v/>
      </c>
      <c r="H40" s="126" t="str">
        <f t="shared" si="5"/>
        <v/>
      </c>
      <c r="I40" s="126" t="str">
        <f>IFERROR(INDEX('FB 콘텐츠 data'!$A$1:$AL$25,MATCH('FB 신규발행'!$A40,'FB 콘텐츠 data'!$AV:$AV,0),MATCH(I$2,'FB 콘텐츠 data'!$A$1:$AL$1,0)),"")</f>
        <v/>
      </c>
      <c r="J40" s="126" t="str">
        <f>IFERROR(INDEX('FB 콘텐츠 data'!$A$1:$AL$25,MATCH('FB 신규발행'!$A40,'FB 콘텐츠 data'!$AV:$AV,0),MATCH(J$2,'FB 콘텐츠 data'!$A$1:$AL$1,0)),"")</f>
        <v/>
      </c>
      <c r="K40" s="216" t="str">
        <f>IFERROR(INDEX('FB 콘텐츠 data'!$A$1:$AV$25,MATCH('FB 신규발행'!$A40,'FB 콘텐츠 data'!$AV:$AV,0),MATCH(K$2,'FB 콘텐츠 data'!$A$1:$AV$1,0)),"")</f>
        <v/>
      </c>
      <c r="L40" s="126" t="str">
        <f>IFERROR(INDEX('FB 콘텐츠 data'!$A$1:$AL$25,MATCH('FB 신규발행'!$A40,'FB 콘텐츠 data'!$AV:$AV,0),MATCH(L$2,'FB 콘텐츠 data'!$A$1:$AL$1,0)),"")</f>
        <v/>
      </c>
      <c r="M40" s="126" t="str">
        <f>IFERROR(INDEX('FB 콘텐츠 data'!$A$1:$AL$25,MATCH('FB 신규발행'!$A40,'FB 콘텐츠 data'!$AV:$AV,0),MATCH(M$2,'FB 콘텐츠 data'!$A$1:$AL$1,0)),"")</f>
        <v/>
      </c>
      <c r="N40" s="126" t="str">
        <f>IFERROR(INDEX('FB 콘텐츠 data'!$A$1:$AL$25,MATCH('FB 신규발행'!$A40,'FB 콘텐츠 data'!$AV:$AV,0),MATCH(N$2,'FB 콘텐츠 data'!$A$1:$AL$1,0)),"")</f>
        <v/>
      </c>
      <c r="O40" s="126" t="str">
        <f>IFERROR(INDEX('FB 콘텐츠 data'!$A$1:$AL$25,MATCH('FB 신규발행'!$A40,'FB 콘텐츠 data'!$AV:$AV,0),MATCH(O$2,'FB 콘텐츠 data'!$A$1:$AL$1,0)),"")</f>
        <v/>
      </c>
      <c r="P40" s="126" t="str">
        <f>IFERROR(INDEX('FB 콘텐츠 data'!$A$1:$AL$25,MATCH('FB 신규발행'!$A40,'FB 콘텐츠 data'!$AV:$AV,0),MATCH(P$2,'FB 콘텐츠 data'!$A$1:$AL$1,0)),"")</f>
        <v/>
      </c>
      <c r="Q40" s="126" t="str">
        <f>IFERROR(INDEX('FB 콘텐츠 data'!$A$1:$AL$25,MATCH('FB 신규발행'!$A40,'FB 콘텐츠 data'!$AV:$AV,0),MATCH(Q$2,'FB 콘텐츠 data'!$A$1:$AL$1,0)),"")</f>
        <v/>
      </c>
      <c r="R40" s="127" t="str">
        <f t="shared" si="6"/>
        <v/>
      </c>
      <c r="T40" s="48" t="str">
        <f t="shared" si="7"/>
        <v/>
      </c>
      <c r="U40" s="48" t="str">
        <f t="shared" si="8"/>
        <v/>
      </c>
      <c r="Y40" s="113"/>
    </row>
    <row r="41" spans="1:25" ht="17.45" customHeight="1">
      <c r="A41" s="129">
        <v>39</v>
      </c>
      <c r="B41" s="124" t="str">
        <f>IFERROR(INDEX('FB 콘텐츠 data'!AU:AU,MATCH('FB 신규발행'!A41,'FB 콘텐츠 data'!AV:AV,0)),"")</f>
        <v/>
      </c>
      <c r="C41" s="125" t="str">
        <f>IFERROR(INDEX('FB 콘텐츠 data'!$A$1:$AL$25,MATCH('FB 신규발행'!$A41,'FB 콘텐츠 data'!$AV:$AV,0),MATCH(C$2,'FB 콘텐츠 data'!$A$1:$AL$1,0)),"")</f>
        <v/>
      </c>
      <c r="D41" s="128" t="str">
        <f>IFERROR(IF(INDEX('FB 콘텐츠 data 제목 입력'!C:C,MATCH('FB 신규발행'!A41,'FB 콘텐츠 data 제목 입력'!A:A,0))=0,"",INDEX('FB 콘텐츠 data 제목 입력'!C:C,MATCH('FB 신규발행'!A41,'FB 콘텐츠 data 제목 입력'!A:A,0))),"")</f>
        <v/>
      </c>
      <c r="E41" s="126" t="str">
        <f>IFERROR(INDEX('FB 콘텐츠 data'!$A$1:$AL$25,MATCH('FB 신규발행'!$A41,'FB 콘텐츠 data'!$AV:$AV,0),MATCH(E$2,'FB 콘텐츠 data'!$A$1:$AL$1,0)),"")</f>
        <v/>
      </c>
      <c r="F41" s="126" t="str">
        <f>IFERROR(INDEX('FB 콘텐츠 data'!$A$1:$AL$25,MATCH('FB 신규발행'!$A41,'FB 콘텐츠 data'!$AV:$AV,0),MATCH(F$2,'FB 콘텐츠 data'!$A$1:$AL$1,0)),"")</f>
        <v/>
      </c>
      <c r="G41" s="126" t="str">
        <f>IFERROR(INDEX('FB 콘텐츠 data'!$A$1:$AL$25,MATCH('FB 신규발행'!$A41,'FB 콘텐츠 data'!$AV:$AV,0),MATCH(G$2,'FB 콘텐츠 data'!$A$1:$AL$1,0)),"")</f>
        <v/>
      </c>
      <c r="H41" s="126" t="str">
        <f t="shared" si="5"/>
        <v/>
      </c>
      <c r="I41" s="126" t="str">
        <f>IFERROR(INDEX('FB 콘텐츠 data'!$A$1:$AL$25,MATCH('FB 신규발행'!$A41,'FB 콘텐츠 data'!$AV:$AV,0),MATCH(I$2,'FB 콘텐츠 data'!$A$1:$AL$1,0)),"")</f>
        <v/>
      </c>
      <c r="J41" s="126" t="str">
        <f>IFERROR(INDEX('FB 콘텐츠 data'!$A$1:$AL$25,MATCH('FB 신규발행'!$A41,'FB 콘텐츠 data'!$AV:$AV,0),MATCH(J$2,'FB 콘텐츠 data'!$A$1:$AL$1,0)),"")</f>
        <v/>
      </c>
      <c r="K41" s="216" t="str">
        <f>IFERROR(INDEX('FB 콘텐츠 data'!$A$1:$AV$25,MATCH('FB 신규발행'!$A41,'FB 콘텐츠 data'!$AV:$AV,0),MATCH(K$2,'FB 콘텐츠 data'!$A$1:$AV$1,0)),"")</f>
        <v/>
      </c>
      <c r="L41" s="126" t="str">
        <f>IFERROR(INDEX('FB 콘텐츠 data'!$A$1:$AL$25,MATCH('FB 신규발행'!$A41,'FB 콘텐츠 data'!$AV:$AV,0),MATCH(L$2,'FB 콘텐츠 data'!$A$1:$AL$1,0)),"")</f>
        <v/>
      </c>
      <c r="M41" s="126" t="str">
        <f>IFERROR(INDEX('FB 콘텐츠 data'!$A$1:$AL$25,MATCH('FB 신규발행'!$A41,'FB 콘텐츠 data'!$AV:$AV,0),MATCH(M$2,'FB 콘텐츠 data'!$A$1:$AL$1,0)),"")</f>
        <v/>
      </c>
      <c r="N41" s="126" t="str">
        <f>IFERROR(INDEX('FB 콘텐츠 data'!$A$1:$AL$25,MATCH('FB 신규발행'!$A41,'FB 콘텐츠 data'!$AV:$AV,0),MATCH(N$2,'FB 콘텐츠 data'!$A$1:$AL$1,0)),"")</f>
        <v/>
      </c>
      <c r="O41" s="126" t="str">
        <f>IFERROR(INDEX('FB 콘텐츠 data'!$A$1:$AL$25,MATCH('FB 신규발행'!$A41,'FB 콘텐츠 data'!$AV:$AV,0),MATCH(O$2,'FB 콘텐츠 data'!$A$1:$AL$1,0)),"")</f>
        <v/>
      </c>
      <c r="P41" s="126" t="str">
        <f>IFERROR(INDEX('FB 콘텐츠 data'!$A$1:$AL$25,MATCH('FB 신규발행'!$A41,'FB 콘텐츠 data'!$AV:$AV,0),MATCH(P$2,'FB 콘텐츠 data'!$A$1:$AL$1,0)),"")</f>
        <v/>
      </c>
      <c r="Q41" s="126" t="str">
        <f>IFERROR(INDEX('FB 콘텐츠 data'!$A$1:$AL$25,MATCH('FB 신규발행'!$A41,'FB 콘텐츠 data'!$AV:$AV,0),MATCH(Q$2,'FB 콘텐츠 data'!$A$1:$AL$1,0)),"")</f>
        <v/>
      </c>
      <c r="R41" s="127" t="str">
        <f t="shared" si="6"/>
        <v/>
      </c>
      <c r="T41" s="48" t="str">
        <f t="shared" si="7"/>
        <v/>
      </c>
      <c r="U41" s="48" t="str">
        <f t="shared" si="8"/>
        <v/>
      </c>
      <c r="Y41" s="113"/>
    </row>
    <row r="42" spans="1:25" ht="17.45" customHeight="1">
      <c r="A42" s="129">
        <v>40</v>
      </c>
      <c r="B42" s="124" t="str">
        <f>IFERROR(INDEX('FB 콘텐츠 data'!AU:AU,MATCH('FB 신규발행'!A42,'FB 콘텐츠 data'!AV:AV,0)),"")</f>
        <v/>
      </c>
      <c r="C42" s="125" t="str">
        <f>IFERROR(INDEX('FB 콘텐츠 data'!$A$1:$AL$25,MATCH('FB 신규발행'!$A42,'FB 콘텐츠 data'!$AV:$AV,0),MATCH(C$2,'FB 콘텐츠 data'!$A$1:$AL$1,0)),"")</f>
        <v/>
      </c>
      <c r="D42" s="128" t="str">
        <f>IFERROR(IF(INDEX('FB 콘텐츠 data 제목 입력'!C:C,MATCH('FB 신규발행'!A42,'FB 콘텐츠 data 제목 입력'!A:A,0))=0,"",INDEX('FB 콘텐츠 data 제목 입력'!C:C,MATCH('FB 신규발행'!A42,'FB 콘텐츠 data 제목 입력'!A:A,0))),"")</f>
        <v/>
      </c>
      <c r="E42" s="126" t="str">
        <f>IFERROR(INDEX('FB 콘텐츠 data'!$A$1:$AL$25,MATCH('FB 신규발행'!$A42,'FB 콘텐츠 data'!$AV:$AV,0),MATCH(E$2,'FB 콘텐츠 data'!$A$1:$AL$1,0)),"")</f>
        <v/>
      </c>
      <c r="F42" s="126" t="str">
        <f>IFERROR(INDEX('FB 콘텐츠 data'!$A$1:$AL$25,MATCH('FB 신규발행'!$A42,'FB 콘텐츠 data'!$AV:$AV,0),MATCH(F$2,'FB 콘텐츠 data'!$A$1:$AL$1,0)),"")</f>
        <v/>
      </c>
      <c r="G42" s="126" t="str">
        <f>IFERROR(INDEX('FB 콘텐츠 data'!$A$1:$AL$25,MATCH('FB 신규발행'!$A42,'FB 콘텐츠 data'!$AV:$AV,0),MATCH(G$2,'FB 콘텐츠 data'!$A$1:$AL$1,0)),"")</f>
        <v/>
      </c>
      <c r="H42" s="126" t="str">
        <f t="shared" si="5"/>
        <v/>
      </c>
      <c r="I42" s="126" t="str">
        <f>IFERROR(INDEX('FB 콘텐츠 data'!$A$1:$AL$25,MATCH('FB 신규발행'!$A42,'FB 콘텐츠 data'!$AV:$AV,0),MATCH(I$2,'FB 콘텐츠 data'!$A$1:$AL$1,0)),"")</f>
        <v/>
      </c>
      <c r="J42" s="126" t="str">
        <f>IFERROR(INDEX('FB 콘텐츠 data'!$A$1:$AL$25,MATCH('FB 신규발행'!$A42,'FB 콘텐츠 data'!$AV:$AV,0),MATCH(J$2,'FB 콘텐츠 data'!$A$1:$AL$1,0)),"")</f>
        <v/>
      </c>
      <c r="K42" s="216" t="str">
        <f>IFERROR(INDEX('FB 콘텐츠 data'!$A$1:$AV$25,MATCH('FB 신규발행'!$A42,'FB 콘텐츠 data'!$AV:$AV,0),MATCH(K$2,'FB 콘텐츠 data'!$A$1:$AV$1,0)),"")</f>
        <v/>
      </c>
      <c r="L42" s="126" t="str">
        <f>IFERROR(INDEX('FB 콘텐츠 data'!$A$1:$AL$25,MATCH('FB 신규발행'!$A42,'FB 콘텐츠 data'!$AV:$AV,0),MATCH(L$2,'FB 콘텐츠 data'!$A$1:$AL$1,0)),"")</f>
        <v/>
      </c>
      <c r="M42" s="126" t="str">
        <f>IFERROR(INDEX('FB 콘텐츠 data'!$A$1:$AL$25,MATCH('FB 신규발행'!$A42,'FB 콘텐츠 data'!$AV:$AV,0),MATCH(M$2,'FB 콘텐츠 data'!$A$1:$AL$1,0)),"")</f>
        <v/>
      </c>
      <c r="N42" s="126" t="str">
        <f>IFERROR(INDEX('FB 콘텐츠 data'!$A$1:$AL$25,MATCH('FB 신규발행'!$A42,'FB 콘텐츠 data'!$AV:$AV,0),MATCH(N$2,'FB 콘텐츠 data'!$A$1:$AL$1,0)),"")</f>
        <v/>
      </c>
      <c r="O42" s="126" t="str">
        <f>IFERROR(INDEX('FB 콘텐츠 data'!$A$1:$AL$25,MATCH('FB 신규발행'!$A42,'FB 콘텐츠 data'!$AV:$AV,0),MATCH(O$2,'FB 콘텐츠 data'!$A$1:$AL$1,0)),"")</f>
        <v/>
      </c>
      <c r="P42" s="126" t="str">
        <f>IFERROR(INDEX('FB 콘텐츠 data'!$A$1:$AL$25,MATCH('FB 신규발행'!$A42,'FB 콘텐츠 data'!$AV:$AV,0),MATCH(P$2,'FB 콘텐츠 data'!$A$1:$AL$1,0)),"")</f>
        <v/>
      </c>
      <c r="Q42" s="126" t="str">
        <f>IFERROR(INDEX('FB 콘텐츠 data'!$A$1:$AL$25,MATCH('FB 신규발행'!$A42,'FB 콘텐츠 data'!$AV:$AV,0),MATCH(Q$2,'FB 콘텐츠 data'!$A$1:$AL$1,0)),"")</f>
        <v/>
      </c>
      <c r="R42" s="127" t="str">
        <f t="shared" si="6"/>
        <v/>
      </c>
      <c r="T42" s="48" t="str">
        <f t="shared" si="7"/>
        <v/>
      </c>
      <c r="U42" s="48" t="str">
        <f t="shared" si="8"/>
        <v/>
      </c>
      <c r="Y42" s="113"/>
    </row>
    <row r="43" spans="1:25" ht="17.45" customHeight="1">
      <c r="A43" s="129">
        <v>41</v>
      </c>
      <c r="B43" s="124" t="str">
        <f>IFERROR(INDEX('FB 콘텐츠 data'!AU:AU,MATCH('FB 신규발행'!A43,'FB 콘텐츠 data'!AV:AV,0)),"")</f>
        <v/>
      </c>
      <c r="C43" s="125" t="str">
        <f>IFERROR(INDEX('FB 콘텐츠 data'!$A$1:$AL$25,MATCH('FB 신규발행'!$A43,'FB 콘텐츠 data'!$AV:$AV,0),MATCH(C$2,'FB 콘텐츠 data'!$A$1:$AL$1,0)),"")</f>
        <v/>
      </c>
      <c r="D43" s="128" t="str">
        <f>IFERROR(IF(INDEX('FB 콘텐츠 data 제목 입력'!C:C,MATCH('FB 신규발행'!A43,'FB 콘텐츠 data 제목 입력'!A:A,0))=0,"",INDEX('FB 콘텐츠 data 제목 입력'!C:C,MATCH('FB 신규발행'!A43,'FB 콘텐츠 data 제목 입력'!A:A,0))),"")</f>
        <v/>
      </c>
      <c r="E43" s="126" t="str">
        <f>IFERROR(INDEX('FB 콘텐츠 data'!$A$1:$AL$25,MATCH('FB 신규발행'!$A43,'FB 콘텐츠 data'!$AV:$AV,0),MATCH(E$2,'FB 콘텐츠 data'!$A$1:$AL$1,0)),"")</f>
        <v/>
      </c>
      <c r="F43" s="126" t="str">
        <f>IFERROR(INDEX('FB 콘텐츠 data'!$A$1:$AL$25,MATCH('FB 신규발행'!$A43,'FB 콘텐츠 data'!$AV:$AV,0),MATCH(F$2,'FB 콘텐츠 data'!$A$1:$AL$1,0)),"")</f>
        <v/>
      </c>
      <c r="G43" s="126" t="str">
        <f>IFERROR(INDEX('FB 콘텐츠 data'!$A$1:$AL$25,MATCH('FB 신규발행'!$A43,'FB 콘텐츠 data'!$AV:$AV,0),MATCH(G$2,'FB 콘텐츠 data'!$A$1:$AL$1,0)),"")</f>
        <v/>
      </c>
      <c r="H43" s="126" t="str">
        <f t="shared" si="5"/>
        <v/>
      </c>
      <c r="I43" s="126" t="str">
        <f>IFERROR(INDEX('FB 콘텐츠 data'!$A$1:$AL$25,MATCH('FB 신규발행'!$A43,'FB 콘텐츠 data'!$AV:$AV,0),MATCH(I$2,'FB 콘텐츠 data'!$A$1:$AL$1,0)),"")</f>
        <v/>
      </c>
      <c r="J43" s="126" t="str">
        <f>IFERROR(INDEX('FB 콘텐츠 data'!$A$1:$AL$25,MATCH('FB 신규발행'!$A43,'FB 콘텐츠 data'!$AV:$AV,0),MATCH(J$2,'FB 콘텐츠 data'!$A$1:$AL$1,0)),"")</f>
        <v/>
      </c>
      <c r="K43" s="216" t="str">
        <f>IFERROR(INDEX('FB 콘텐츠 data'!$A$1:$AV$25,MATCH('FB 신규발행'!$A43,'FB 콘텐츠 data'!$AV:$AV,0),MATCH(K$2,'FB 콘텐츠 data'!$A$1:$AV$1,0)),"")</f>
        <v/>
      </c>
      <c r="L43" s="126" t="str">
        <f>IFERROR(INDEX('FB 콘텐츠 data'!$A$1:$AL$25,MATCH('FB 신규발행'!$A43,'FB 콘텐츠 data'!$AV:$AV,0),MATCH(L$2,'FB 콘텐츠 data'!$A$1:$AL$1,0)),"")</f>
        <v/>
      </c>
      <c r="M43" s="126" t="str">
        <f>IFERROR(INDEX('FB 콘텐츠 data'!$A$1:$AL$25,MATCH('FB 신규발행'!$A43,'FB 콘텐츠 data'!$AV:$AV,0),MATCH(M$2,'FB 콘텐츠 data'!$A$1:$AL$1,0)),"")</f>
        <v/>
      </c>
      <c r="N43" s="126" t="str">
        <f>IFERROR(INDEX('FB 콘텐츠 data'!$A$1:$AL$25,MATCH('FB 신규발행'!$A43,'FB 콘텐츠 data'!$AV:$AV,0),MATCH(N$2,'FB 콘텐츠 data'!$A$1:$AL$1,0)),"")</f>
        <v/>
      </c>
      <c r="O43" s="126" t="str">
        <f>IFERROR(INDEX('FB 콘텐츠 data'!$A$1:$AL$25,MATCH('FB 신규발행'!$A43,'FB 콘텐츠 data'!$AV:$AV,0),MATCH(O$2,'FB 콘텐츠 data'!$A$1:$AL$1,0)),"")</f>
        <v/>
      </c>
      <c r="P43" s="126" t="str">
        <f>IFERROR(INDEX('FB 콘텐츠 data'!$A$1:$AL$25,MATCH('FB 신규발행'!$A43,'FB 콘텐츠 data'!$AV:$AV,0),MATCH(P$2,'FB 콘텐츠 data'!$A$1:$AL$1,0)),"")</f>
        <v/>
      </c>
      <c r="Q43" s="126" t="str">
        <f>IFERROR(INDEX('FB 콘텐츠 data'!$A$1:$AL$25,MATCH('FB 신규발행'!$A43,'FB 콘텐츠 data'!$AV:$AV,0),MATCH(Q$2,'FB 콘텐츠 data'!$A$1:$AL$1,0)),"")</f>
        <v/>
      </c>
      <c r="R43" s="127" t="str">
        <f t="shared" si="6"/>
        <v/>
      </c>
      <c r="T43" s="48" t="str">
        <f t="shared" si="7"/>
        <v/>
      </c>
      <c r="U43" s="48" t="str">
        <f t="shared" si="8"/>
        <v/>
      </c>
      <c r="Y43" s="113"/>
    </row>
    <row r="44" spans="1:25" ht="17.45" customHeight="1">
      <c r="A44" s="129">
        <v>42</v>
      </c>
      <c r="B44" s="124" t="str">
        <f>IFERROR(INDEX('FB 콘텐츠 data'!AU:AU,MATCH('FB 신규발행'!A44,'FB 콘텐츠 data'!AV:AV,0)),"")</f>
        <v/>
      </c>
      <c r="C44" s="125" t="str">
        <f>IFERROR(INDEX('FB 콘텐츠 data'!$A$1:$AL$25,MATCH('FB 신규발행'!$A44,'FB 콘텐츠 data'!$AV:$AV,0),MATCH(C$2,'FB 콘텐츠 data'!$A$1:$AL$1,0)),"")</f>
        <v/>
      </c>
      <c r="D44" s="128" t="str">
        <f>IFERROR(IF(INDEX('FB 콘텐츠 data 제목 입력'!C:C,MATCH('FB 신규발행'!A44,'FB 콘텐츠 data 제목 입력'!A:A,0))=0,"",INDEX('FB 콘텐츠 data 제목 입력'!C:C,MATCH('FB 신규발행'!A44,'FB 콘텐츠 data 제목 입력'!A:A,0))),"")</f>
        <v/>
      </c>
      <c r="E44" s="126" t="str">
        <f>IFERROR(INDEX('FB 콘텐츠 data'!$A$1:$AL$25,MATCH('FB 신규발행'!$A44,'FB 콘텐츠 data'!$AV:$AV,0),MATCH(E$2,'FB 콘텐츠 data'!$A$1:$AL$1,0)),"")</f>
        <v/>
      </c>
      <c r="F44" s="126" t="str">
        <f>IFERROR(INDEX('FB 콘텐츠 data'!$A$1:$AL$25,MATCH('FB 신규발행'!$A44,'FB 콘텐츠 data'!$AV:$AV,0),MATCH(F$2,'FB 콘텐츠 data'!$A$1:$AL$1,0)),"")</f>
        <v/>
      </c>
      <c r="G44" s="126" t="str">
        <f>IFERROR(INDEX('FB 콘텐츠 data'!$A$1:$AL$25,MATCH('FB 신규발행'!$A44,'FB 콘텐츠 data'!$AV:$AV,0),MATCH(G$2,'FB 콘텐츠 data'!$A$1:$AL$1,0)),"")</f>
        <v/>
      </c>
      <c r="H44" s="126" t="str">
        <f t="shared" si="5"/>
        <v/>
      </c>
      <c r="I44" s="126" t="str">
        <f>IFERROR(INDEX('FB 콘텐츠 data'!$A$1:$AL$25,MATCH('FB 신규발행'!$A44,'FB 콘텐츠 data'!$AV:$AV,0),MATCH(I$2,'FB 콘텐츠 data'!$A$1:$AL$1,0)),"")</f>
        <v/>
      </c>
      <c r="J44" s="126" t="str">
        <f>IFERROR(INDEX('FB 콘텐츠 data'!$A$1:$AL$25,MATCH('FB 신규발행'!$A44,'FB 콘텐츠 data'!$AV:$AV,0),MATCH(J$2,'FB 콘텐츠 data'!$A$1:$AL$1,0)),"")</f>
        <v/>
      </c>
      <c r="K44" s="216" t="str">
        <f>IFERROR(INDEX('FB 콘텐츠 data'!$A$1:$AV$25,MATCH('FB 신규발행'!$A44,'FB 콘텐츠 data'!$AV:$AV,0),MATCH(K$2,'FB 콘텐츠 data'!$A$1:$AV$1,0)),"")</f>
        <v/>
      </c>
      <c r="L44" s="126" t="str">
        <f>IFERROR(INDEX('FB 콘텐츠 data'!$A$1:$AL$25,MATCH('FB 신규발행'!$A44,'FB 콘텐츠 data'!$AV:$AV,0),MATCH(L$2,'FB 콘텐츠 data'!$A$1:$AL$1,0)),"")</f>
        <v/>
      </c>
      <c r="M44" s="126" t="str">
        <f>IFERROR(INDEX('FB 콘텐츠 data'!$A$1:$AL$25,MATCH('FB 신규발행'!$A44,'FB 콘텐츠 data'!$AV:$AV,0),MATCH(M$2,'FB 콘텐츠 data'!$A$1:$AL$1,0)),"")</f>
        <v/>
      </c>
      <c r="N44" s="126" t="str">
        <f>IFERROR(INDEX('FB 콘텐츠 data'!$A$1:$AL$25,MATCH('FB 신규발행'!$A44,'FB 콘텐츠 data'!$AV:$AV,0),MATCH(N$2,'FB 콘텐츠 data'!$A$1:$AL$1,0)),"")</f>
        <v/>
      </c>
      <c r="O44" s="126" t="str">
        <f>IFERROR(INDEX('FB 콘텐츠 data'!$A$1:$AL$25,MATCH('FB 신규발행'!$A44,'FB 콘텐츠 data'!$AV:$AV,0),MATCH(O$2,'FB 콘텐츠 data'!$A$1:$AL$1,0)),"")</f>
        <v/>
      </c>
      <c r="P44" s="126" t="str">
        <f>IFERROR(INDEX('FB 콘텐츠 data'!$A$1:$AL$25,MATCH('FB 신규발행'!$A44,'FB 콘텐츠 data'!$AV:$AV,0),MATCH(P$2,'FB 콘텐츠 data'!$A$1:$AL$1,0)),"")</f>
        <v/>
      </c>
      <c r="Q44" s="126" t="str">
        <f>IFERROR(INDEX('FB 콘텐츠 data'!$A$1:$AL$25,MATCH('FB 신규발행'!$A44,'FB 콘텐츠 data'!$AV:$AV,0),MATCH(Q$2,'FB 콘텐츠 data'!$A$1:$AL$1,0)),"")</f>
        <v/>
      </c>
      <c r="R44" s="127" t="str">
        <f t="shared" si="6"/>
        <v/>
      </c>
      <c r="T44" s="48" t="str">
        <f t="shared" si="7"/>
        <v/>
      </c>
      <c r="U44" s="48" t="str">
        <f t="shared" si="8"/>
        <v/>
      </c>
      <c r="Y44" s="113"/>
    </row>
    <row r="45" spans="1:25" ht="17.45" customHeight="1">
      <c r="A45" s="129">
        <v>43</v>
      </c>
      <c r="B45" s="124" t="str">
        <f>IFERROR(INDEX('FB 콘텐츠 data'!AU:AU,MATCH('FB 신규발행'!A45,'FB 콘텐츠 data'!AV:AV,0)),"")</f>
        <v/>
      </c>
      <c r="C45" s="125" t="str">
        <f>IFERROR(INDEX('FB 콘텐츠 data'!$A$1:$AL$25,MATCH('FB 신규발행'!$A45,'FB 콘텐츠 data'!$AV:$AV,0),MATCH(C$2,'FB 콘텐츠 data'!$A$1:$AL$1,0)),"")</f>
        <v/>
      </c>
      <c r="D45" s="128" t="str">
        <f>IFERROR(IF(INDEX('FB 콘텐츠 data 제목 입력'!C:C,MATCH('FB 신규발행'!A45,'FB 콘텐츠 data 제목 입력'!A:A,0))=0,"",INDEX('FB 콘텐츠 data 제목 입력'!C:C,MATCH('FB 신규발행'!A45,'FB 콘텐츠 data 제목 입력'!A:A,0))),"")</f>
        <v/>
      </c>
      <c r="E45" s="126" t="str">
        <f>IFERROR(INDEX('FB 콘텐츠 data'!$A$1:$AL$25,MATCH('FB 신규발행'!$A45,'FB 콘텐츠 data'!$AV:$AV,0),MATCH(E$2,'FB 콘텐츠 data'!$A$1:$AL$1,0)),"")</f>
        <v/>
      </c>
      <c r="F45" s="126" t="str">
        <f>IFERROR(INDEX('FB 콘텐츠 data'!$A$1:$AL$25,MATCH('FB 신규발행'!$A45,'FB 콘텐츠 data'!$AV:$AV,0),MATCH(F$2,'FB 콘텐츠 data'!$A$1:$AL$1,0)),"")</f>
        <v/>
      </c>
      <c r="G45" s="126" t="str">
        <f>IFERROR(INDEX('FB 콘텐츠 data'!$A$1:$AL$25,MATCH('FB 신규발행'!$A45,'FB 콘텐츠 data'!$AV:$AV,0),MATCH(G$2,'FB 콘텐츠 data'!$A$1:$AL$1,0)),"")</f>
        <v/>
      </c>
      <c r="H45" s="126" t="str">
        <f t="shared" si="5"/>
        <v/>
      </c>
      <c r="I45" s="126" t="str">
        <f>IFERROR(INDEX('FB 콘텐츠 data'!$A$1:$AL$25,MATCH('FB 신규발행'!$A45,'FB 콘텐츠 data'!$AV:$AV,0),MATCH(I$2,'FB 콘텐츠 data'!$A$1:$AL$1,0)),"")</f>
        <v/>
      </c>
      <c r="J45" s="126" t="str">
        <f>IFERROR(INDEX('FB 콘텐츠 data'!$A$1:$AL$25,MATCH('FB 신규발행'!$A45,'FB 콘텐츠 data'!$AV:$AV,0),MATCH(J$2,'FB 콘텐츠 data'!$A$1:$AL$1,0)),"")</f>
        <v/>
      </c>
      <c r="K45" s="216" t="str">
        <f>IFERROR(INDEX('FB 콘텐츠 data'!$A$1:$AV$25,MATCH('FB 신규발행'!$A45,'FB 콘텐츠 data'!$AV:$AV,0),MATCH(K$2,'FB 콘텐츠 data'!$A$1:$AV$1,0)),"")</f>
        <v/>
      </c>
      <c r="L45" s="126" t="str">
        <f>IFERROR(INDEX('FB 콘텐츠 data'!$A$1:$AL$25,MATCH('FB 신규발행'!$A45,'FB 콘텐츠 data'!$AV:$AV,0),MATCH(L$2,'FB 콘텐츠 data'!$A$1:$AL$1,0)),"")</f>
        <v/>
      </c>
      <c r="M45" s="126" t="str">
        <f>IFERROR(INDEX('FB 콘텐츠 data'!$A$1:$AL$25,MATCH('FB 신규발행'!$A45,'FB 콘텐츠 data'!$AV:$AV,0),MATCH(M$2,'FB 콘텐츠 data'!$A$1:$AL$1,0)),"")</f>
        <v/>
      </c>
      <c r="N45" s="126" t="str">
        <f>IFERROR(INDEX('FB 콘텐츠 data'!$A$1:$AL$25,MATCH('FB 신규발행'!$A45,'FB 콘텐츠 data'!$AV:$AV,0),MATCH(N$2,'FB 콘텐츠 data'!$A$1:$AL$1,0)),"")</f>
        <v/>
      </c>
      <c r="O45" s="126" t="str">
        <f>IFERROR(INDEX('FB 콘텐츠 data'!$A$1:$AL$25,MATCH('FB 신규발행'!$A45,'FB 콘텐츠 data'!$AV:$AV,0),MATCH(O$2,'FB 콘텐츠 data'!$A$1:$AL$1,0)),"")</f>
        <v/>
      </c>
      <c r="P45" s="126" t="str">
        <f>IFERROR(INDEX('FB 콘텐츠 data'!$A$1:$AL$25,MATCH('FB 신규발행'!$A45,'FB 콘텐츠 data'!$AV:$AV,0),MATCH(P$2,'FB 콘텐츠 data'!$A$1:$AL$1,0)),"")</f>
        <v/>
      </c>
      <c r="Q45" s="126" t="str">
        <f>IFERROR(INDEX('FB 콘텐츠 data'!$A$1:$AL$25,MATCH('FB 신규발행'!$A45,'FB 콘텐츠 data'!$AV:$AV,0),MATCH(Q$2,'FB 콘텐츠 data'!$A$1:$AL$1,0)),"")</f>
        <v/>
      </c>
      <c r="R45" s="127" t="str">
        <f t="shared" si="6"/>
        <v/>
      </c>
      <c r="T45" s="48" t="str">
        <f t="shared" si="7"/>
        <v/>
      </c>
      <c r="U45" s="48" t="str">
        <f t="shared" si="8"/>
        <v/>
      </c>
      <c r="Y45" s="113"/>
    </row>
    <row r="46" spans="1:25" ht="17.45" customHeight="1">
      <c r="A46" s="129">
        <v>44</v>
      </c>
      <c r="B46" s="124" t="str">
        <f>IFERROR(INDEX('FB 콘텐츠 data'!AU:AU,MATCH('FB 신규발행'!A46,'FB 콘텐츠 data'!AV:AV,0)),"")</f>
        <v/>
      </c>
      <c r="C46" s="125" t="str">
        <f>IFERROR(INDEX('FB 콘텐츠 data'!$A$1:$AL$25,MATCH('FB 신규발행'!$A46,'FB 콘텐츠 data'!$AV:$AV,0),MATCH(C$2,'FB 콘텐츠 data'!$A$1:$AL$1,0)),"")</f>
        <v/>
      </c>
      <c r="D46" s="128" t="str">
        <f>IFERROR(IF(INDEX('FB 콘텐츠 data 제목 입력'!C:C,MATCH('FB 신규발행'!A46,'FB 콘텐츠 data 제목 입력'!A:A,0))=0,"",INDEX('FB 콘텐츠 data 제목 입력'!C:C,MATCH('FB 신규발행'!A46,'FB 콘텐츠 data 제목 입력'!A:A,0))),"")</f>
        <v/>
      </c>
      <c r="E46" s="126" t="str">
        <f>IFERROR(INDEX('FB 콘텐츠 data'!$A$1:$AL$25,MATCH('FB 신규발행'!$A46,'FB 콘텐츠 data'!$AV:$AV,0),MATCH(E$2,'FB 콘텐츠 data'!$A$1:$AL$1,0)),"")</f>
        <v/>
      </c>
      <c r="F46" s="126" t="str">
        <f>IFERROR(INDEX('FB 콘텐츠 data'!$A$1:$AL$25,MATCH('FB 신규발행'!$A46,'FB 콘텐츠 data'!$AV:$AV,0),MATCH(F$2,'FB 콘텐츠 data'!$A$1:$AL$1,0)),"")</f>
        <v/>
      </c>
      <c r="G46" s="126" t="str">
        <f>IFERROR(INDEX('FB 콘텐츠 data'!$A$1:$AL$25,MATCH('FB 신규발행'!$A46,'FB 콘텐츠 data'!$AV:$AV,0),MATCH(G$2,'FB 콘텐츠 data'!$A$1:$AL$1,0)),"")</f>
        <v/>
      </c>
      <c r="H46" s="126" t="str">
        <f t="shared" si="5"/>
        <v/>
      </c>
      <c r="I46" s="126" t="str">
        <f>IFERROR(INDEX('FB 콘텐츠 data'!$A$1:$AL$25,MATCH('FB 신규발행'!$A46,'FB 콘텐츠 data'!$AV:$AV,0),MATCH(I$2,'FB 콘텐츠 data'!$A$1:$AL$1,0)),"")</f>
        <v/>
      </c>
      <c r="J46" s="126" t="str">
        <f>IFERROR(INDEX('FB 콘텐츠 data'!$A$1:$AL$25,MATCH('FB 신규발행'!$A46,'FB 콘텐츠 data'!$AV:$AV,0),MATCH(J$2,'FB 콘텐츠 data'!$A$1:$AL$1,0)),"")</f>
        <v/>
      </c>
      <c r="K46" s="216" t="str">
        <f>IFERROR(INDEX('FB 콘텐츠 data'!$A$1:$AV$25,MATCH('FB 신규발행'!$A46,'FB 콘텐츠 data'!$AV:$AV,0),MATCH(K$2,'FB 콘텐츠 data'!$A$1:$AV$1,0)),"")</f>
        <v/>
      </c>
      <c r="L46" s="126" t="str">
        <f>IFERROR(INDEX('FB 콘텐츠 data'!$A$1:$AL$25,MATCH('FB 신규발행'!$A46,'FB 콘텐츠 data'!$AV:$AV,0),MATCH(L$2,'FB 콘텐츠 data'!$A$1:$AL$1,0)),"")</f>
        <v/>
      </c>
      <c r="M46" s="126" t="str">
        <f>IFERROR(INDEX('FB 콘텐츠 data'!$A$1:$AL$25,MATCH('FB 신규발행'!$A46,'FB 콘텐츠 data'!$AV:$AV,0),MATCH(M$2,'FB 콘텐츠 data'!$A$1:$AL$1,0)),"")</f>
        <v/>
      </c>
      <c r="N46" s="126" t="str">
        <f>IFERROR(INDEX('FB 콘텐츠 data'!$A$1:$AL$25,MATCH('FB 신규발행'!$A46,'FB 콘텐츠 data'!$AV:$AV,0),MATCH(N$2,'FB 콘텐츠 data'!$A$1:$AL$1,0)),"")</f>
        <v/>
      </c>
      <c r="O46" s="126" t="str">
        <f>IFERROR(INDEX('FB 콘텐츠 data'!$A$1:$AL$25,MATCH('FB 신규발행'!$A46,'FB 콘텐츠 data'!$AV:$AV,0),MATCH(O$2,'FB 콘텐츠 data'!$A$1:$AL$1,0)),"")</f>
        <v/>
      </c>
      <c r="P46" s="126" t="str">
        <f>IFERROR(INDEX('FB 콘텐츠 data'!$A$1:$AL$25,MATCH('FB 신규발행'!$A46,'FB 콘텐츠 data'!$AV:$AV,0),MATCH(P$2,'FB 콘텐츠 data'!$A$1:$AL$1,0)),"")</f>
        <v/>
      </c>
      <c r="Q46" s="126" t="str">
        <f>IFERROR(INDEX('FB 콘텐츠 data'!$A$1:$AL$25,MATCH('FB 신규발행'!$A46,'FB 콘텐츠 data'!$AV:$AV,0),MATCH(Q$2,'FB 콘텐츠 data'!$A$1:$AL$1,0)),"")</f>
        <v/>
      </c>
      <c r="R46" s="127" t="str">
        <f t="shared" si="6"/>
        <v/>
      </c>
      <c r="T46" s="48" t="str">
        <f t="shared" si="7"/>
        <v/>
      </c>
      <c r="U46" s="48" t="str">
        <f t="shared" si="8"/>
        <v/>
      </c>
      <c r="Y46" s="113"/>
    </row>
    <row r="47" spans="1:25" ht="17.45" customHeight="1">
      <c r="A47" s="129">
        <v>45</v>
      </c>
      <c r="B47" s="124" t="str">
        <f>IFERROR(INDEX('FB 콘텐츠 data'!AU:AU,MATCH('FB 신규발행'!A47,'FB 콘텐츠 data'!AV:AV,0)),"")</f>
        <v/>
      </c>
      <c r="C47" s="125" t="str">
        <f>IFERROR(INDEX('FB 콘텐츠 data'!$A$1:$AL$25,MATCH('FB 신규발행'!$A47,'FB 콘텐츠 data'!$AV:$AV,0),MATCH(C$2,'FB 콘텐츠 data'!$A$1:$AL$1,0)),"")</f>
        <v/>
      </c>
      <c r="D47" s="128" t="str">
        <f>IFERROR(IF(INDEX('FB 콘텐츠 data 제목 입력'!C:C,MATCH('FB 신규발행'!A47,'FB 콘텐츠 data 제목 입력'!A:A,0))=0,"",INDEX('FB 콘텐츠 data 제목 입력'!C:C,MATCH('FB 신규발행'!A47,'FB 콘텐츠 data 제목 입력'!A:A,0))),"")</f>
        <v/>
      </c>
      <c r="E47" s="126" t="str">
        <f>IFERROR(INDEX('FB 콘텐츠 data'!$A$1:$AL$25,MATCH('FB 신규발행'!$A47,'FB 콘텐츠 data'!$AV:$AV,0),MATCH(E$2,'FB 콘텐츠 data'!$A$1:$AL$1,0)),"")</f>
        <v/>
      </c>
      <c r="F47" s="126" t="str">
        <f>IFERROR(INDEX('FB 콘텐츠 data'!$A$1:$AL$25,MATCH('FB 신규발행'!$A47,'FB 콘텐츠 data'!$AV:$AV,0),MATCH(F$2,'FB 콘텐츠 data'!$A$1:$AL$1,0)),"")</f>
        <v/>
      </c>
      <c r="G47" s="126" t="str">
        <f>IFERROR(INDEX('FB 콘텐츠 data'!$A$1:$AL$25,MATCH('FB 신규발행'!$A47,'FB 콘텐츠 data'!$AV:$AV,0),MATCH(G$2,'FB 콘텐츠 data'!$A$1:$AL$1,0)),"")</f>
        <v/>
      </c>
      <c r="H47" s="126" t="str">
        <f t="shared" si="5"/>
        <v/>
      </c>
      <c r="I47" s="126" t="str">
        <f>IFERROR(INDEX('FB 콘텐츠 data'!$A$1:$AL$25,MATCH('FB 신규발행'!$A47,'FB 콘텐츠 data'!$AV:$AV,0),MATCH(I$2,'FB 콘텐츠 data'!$A$1:$AL$1,0)),"")</f>
        <v/>
      </c>
      <c r="J47" s="126" t="str">
        <f>IFERROR(INDEX('FB 콘텐츠 data'!$A$1:$AL$25,MATCH('FB 신규발행'!$A47,'FB 콘텐츠 data'!$AV:$AV,0),MATCH(J$2,'FB 콘텐츠 data'!$A$1:$AL$1,0)),"")</f>
        <v/>
      </c>
      <c r="K47" s="216" t="str">
        <f>IFERROR(INDEX('FB 콘텐츠 data'!$A$1:$AV$25,MATCH('FB 신규발행'!$A47,'FB 콘텐츠 data'!$AV:$AV,0),MATCH(K$2,'FB 콘텐츠 data'!$A$1:$AV$1,0)),"")</f>
        <v/>
      </c>
      <c r="L47" s="126" t="str">
        <f>IFERROR(INDEX('FB 콘텐츠 data'!$A$1:$AL$25,MATCH('FB 신규발행'!$A47,'FB 콘텐츠 data'!$AV:$AV,0),MATCH(L$2,'FB 콘텐츠 data'!$A$1:$AL$1,0)),"")</f>
        <v/>
      </c>
      <c r="M47" s="126" t="str">
        <f>IFERROR(INDEX('FB 콘텐츠 data'!$A$1:$AL$25,MATCH('FB 신규발행'!$A47,'FB 콘텐츠 data'!$AV:$AV,0),MATCH(M$2,'FB 콘텐츠 data'!$A$1:$AL$1,0)),"")</f>
        <v/>
      </c>
      <c r="N47" s="126" t="str">
        <f>IFERROR(INDEX('FB 콘텐츠 data'!$A$1:$AL$25,MATCH('FB 신규발행'!$A47,'FB 콘텐츠 data'!$AV:$AV,0),MATCH(N$2,'FB 콘텐츠 data'!$A$1:$AL$1,0)),"")</f>
        <v/>
      </c>
      <c r="O47" s="126" t="str">
        <f>IFERROR(INDEX('FB 콘텐츠 data'!$A$1:$AL$25,MATCH('FB 신규발행'!$A47,'FB 콘텐츠 data'!$AV:$AV,0),MATCH(O$2,'FB 콘텐츠 data'!$A$1:$AL$1,0)),"")</f>
        <v/>
      </c>
      <c r="P47" s="126" t="str">
        <f>IFERROR(INDEX('FB 콘텐츠 data'!$A$1:$AL$25,MATCH('FB 신규발행'!$A47,'FB 콘텐츠 data'!$AV:$AV,0),MATCH(P$2,'FB 콘텐츠 data'!$A$1:$AL$1,0)),"")</f>
        <v/>
      </c>
      <c r="Q47" s="126" t="str">
        <f>IFERROR(INDEX('FB 콘텐츠 data'!$A$1:$AL$25,MATCH('FB 신규발행'!$A47,'FB 콘텐츠 data'!$AV:$AV,0),MATCH(Q$2,'FB 콘텐츠 data'!$A$1:$AL$1,0)),"")</f>
        <v/>
      </c>
      <c r="R47" s="127" t="str">
        <f t="shared" si="6"/>
        <v/>
      </c>
      <c r="T47" s="48" t="str">
        <f t="shared" si="7"/>
        <v/>
      </c>
      <c r="U47" s="48" t="str">
        <f t="shared" si="8"/>
        <v/>
      </c>
      <c r="Y47" s="113"/>
    </row>
    <row r="48" spans="1:25" ht="17.45" customHeight="1">
      <c r="A48" s="129">
        <v>46</v>
      </c>
      <c r="B48" s="124" t="str">
        <f>IFERROR(INDEX('FB 콘텐츠 data'!AU:AU,MATCH('FB 신규발행'!A48,'FB 콘텐츠 data'!AV:AV,0)),"")</f>
        <v/>
      </c>
      <c r="C48" s="125" t="str">
        <f>IFERROR(INDEX('FB 콘텐츠 data'!$A$1:$AL$25,MATCH('FB 신규발행'!$A48,'FB 콘텐츠 data'!$AV:$AV,0),MATCH(C$2,'FB 콘텐츠 data'!$A$1:$AL$1,0)),"")</f>
        <v/>
      </c>
      <c r="D48" s="128" t="str">
        <f>IFERROR(IF(INDEX('FB 콘텐츠 data 제목 입력'!C:C,MATCH('FB 신규발행'!A48,'FB 콘텐츠 data 제목 입력'!A:A,0))=0,"",INDEX('FB 콘텐츠 data 제목 입력'!C:C,MATCH('FB 신규발행'!A48,'FB 콘텐츠 data 제목 입력'!A:A,0))),"")</f>
        <v/>
      </c>
      <c r="E48" s="126" t="str">
        <f>IFERROR(INDEX('FB 콘텐츠 data'!$A$1:$AL$25,MATCH('FB 신규발행'!$A48,'FB 콘텐츠 data'!$AV:$AV,0),MATCH(E$2,'FB 콘텐츠 data'!$A$1:$AL$1,0)),"")</f>
        <v/>
      </c>
      <c r="F48" s="126" t="str">
        <f>IFERROR(INDEX('FB 콘텐츠 data'!$A$1:$AL$25,MATCH('FB 신규발행'!$A48,'FB 콘텐츠 data'!$AV:$AV,0),MATCH(F$2,'FB 콘텐츠 data'!$A$1:$AL$1,0)),"")</f>
        <v/>
      </c>
      <c r="G48" s="126" t="str">
        <f>IFERROR(INDEX('FB 콘텐츠 data'!$A$1:$AL$25,MATCH('FB 신규발행'!$A48,'FB 콘텐츠 data'!$AV:$AV,0),MATCH(G$2,'FB 콘텐츠 data'!$A$1:$AL$1,0)),"")</f>
        <v/>
      </c>
      <c r="H48" s="126" t="str">
        <f t="shared" si="5"/>
        <v/>
      </c>
      <c r="I48" s="126" t="str">
        <f>IFERROR(INDEX('FB 콘텐츠 data'!$A$1:$AL$25,MATCH('FB 신규발행'!$A48,'FB 콘텐츠 data'!$AV:$AV,0),MATCH(I$2,'FB 콘텐츠 data'!$A$1:$AL$1,0)),"")</f>
        <v/>
      </c>
      <c r="J48" s="126" t="str">
        <f>IFERROR(INDEX('FB 콘텐츠 data'!$A$1:$AL$25,MATCH('FB 신규발행'!$A48,'FB 콘텐츠 data'!$AV:$AV,0),MATCH(J$2,'FB 콘텐츠 data'!$A$1:$AL$1,0)),"")</f>
        <v/>
      </c>
      <c r="K48" s="216" t="str">
        <f>IFERROR(INDEX('FB 콘텐츠 data'!$A$1:$AV$25,MATCH('FB 신규발행'!$A48,'FB 콘텐츠 data'!$AV:$AV,0),MATCH(K$2,'FB 콘텐츠 data'!$A$1:$AV$1,0)),"")</f>
        <v/>
      </c>
      <c r="L48" s="126" t="str">
        <f>IFERROR(INDEX('FB 콘텐츠 data'!$A$1:$AL$25,MATCH('FB 신규발행'!$A48,'FB 콘텐츠 data'!$AV:$AV,0),MATCH(L$2,'FB 콘텐츠 data'!$A$1:$AL$1,0)),"")</f>
        <v/>
      </c>
      <c r="M48" s="126" t="str">
        <f>IFERROR(INDEX('FB 콘텐츠 data'!$A$1:$AL$25,MATCH('FB 신규발행'!$A48,'FB 콘텐츠 data'!$AV:$AV,0),MATCH(M$2,'FB 콘텐츠 data'!$A$1:$AL$1,0)),"")</f>
        <v/>
      </c>
      <c r="N48" s="126" t="str">
        <f>IFERROR(INDEX('FB 콘텐츠 data'!$A$1:$AL$25,MATCH('FB 신규발행'!$A48,'FB 콘텐츠 data'!$AV:$AV,0),MATCH(N$2,'FB 콘텐츠 data'!$A$1:$AL$1,0)),"")</f>
        <v/>
      </c>
      <c r="O48" s="126" t="str">
        <f>IFERROR(INDEX('FB 콘텐츠 data'!$A$1:$AL$25,MATCH('FB 신규발행'!$A48,'FB 콘텐츠 data'!$AV:$AV,0),MATCH(O$2,'FB 콘텐츠 data'!$A$1:$AL$1,0)),"")</f>
        <v/>
      </c>
      <c r="P48" s="126" t="str">
        <f>IFERROR(INDEX('FB 콘텐츠 data'!$A$1:$AL$25,MATCH('FB 신규발행'!$A48,'FB 콘텐츠 data'!$AV:$AV,0),MATCH(P$2,'FB 콘텐츠 data'!$A$1:$AL$1,0)),"")</f>
        <v/>
      </c>
      <c r="Q48" s="126" t="str">
        <f>IFERROR(INDEX('FB 콘텐츠 data'!$A$1:$AL$25,MATCH('FB 신규발행'!$A48,'FB 콘텐츠 data'!$AV:$AV,0),MATCH(Q$2,'FB 콘텐츠 data'!$A$1:$AL$1,0)),"")</f>
        <v/>
      </c>
      <c r="R48" s="127" t="str">
        <f t="shared" si="6"/>
        <v/>
      </c>
      <c r="T48" s="48" t="str">
        <f t="shared" si="7"/>
        <v/>
      </c>
      <c r="U48" s="48" t="str">
        <f t="shared" si="8"/>
        <v/>
      </c>
      <c r="Y48" s="113"/>
    </row>
    <row r="49" spans="1:25" ht="17.45" customHeight="1">
      <c r="A49" s="129">
        <v>47</v>
      </c>
      <c r="B49" s="124" t="str">
        <f>IFERROR(INDEX('FB 콘텐츠 data'!AU:AU,MATCH('FB 신규발행'!A49,'FB 콘텐츠 data'!AV:AV,0)),"")</f>
        <v/>
      </c>
      <c r="C49" s="125" t="str">
        <f>IFERROR(INDEX('FB 콘텐츠 data'!$A$1:$AL$25,MATCH('FB 신규발행'!$A49,'FB 콘텐츠 data'!$AV:$AV,0),MATCH(C$2,'FB 콘텐츠 data'!$A$1:$AL$1,0)),"")</f>
        <v/>
      </c>
      <c r="D49" s="128" t="str">
        <f>IFERROR(IF(INDEX('FB 콘텐츠 data 제목 입력'!C:C,MATCH('FB 신규발행'!A49,'FB 콘텐츠 data 제목 입력'!A:A,0))=0,"",INDEX('FB 콘텐츠 data 제목 입력'!C:C,MATCH('FB 신규발행'!A49,'FB 콘텐츠 data 제목 입력'!A:A,0))),"")</f>
        <v/>
      </c>
      <c r="E49" s="126" t="str">
        <f>IFERROR(INDEX('FB 콘텐츠 data'!$A$1:$AL$25,MATCH('FB 신규발행'!$A49,'FB 콘텐츠 data'!$AV:$AV,0),MATCH(E$2,'FB 콘텐츠 data'!$A$1:$AL$1,0)),"")</f>
        <v/>
      </c>
      <c r="F49" s="126" t="str">
        <f>IFERROR(INDEX('FB 콘텐츠 data'!$A$1:$AL$25,MATCH('FB 신규발행'!$A49,'FB 콘텐츠 data'!$AV:$AV,0),MATCH(F$2,'FB 콘텐츠 data'!$A$1:$AL$1,0)),"")</f>
        <v/>
      </c>
      <c r="G49" s="126" t="str">
        <f>IFERROR(INDEX('FB 콘텐츠 data'!$A$1:$AL$25,MATCH('FB 신규발행'!$A49,'FB 콘텐츠 data'!$AV:$AV,0),MATCH(G$2,'FB 콘텐츠 data'!$A$1:$AL$1,0)),"")</f>
        <v/>
      </c>
      <c r="H49" s="126" t="str">
        <f t="shared" si="5"/>
        <v/>
      </c>
      <c r="I49" s="126" t="str">
        <f>IFERROR(INDEX('FB 콘텐츠 data'!$A$1:$AL$25,MATCH('FB 신규발행'!$A49,'FB 콘텐츠 data'!$AV:$AV,0),MATCH(I$2,'FB 콘텐츠 data'!$A$1:$AL$1,0)),"")</f>
        <v/>
      </c>
      <c r="J49" s="126" t="str">
        <f>IFERROR(INDEX('FB 콘텐츠 data'!$A$1:$AL$25,MATCH('FB 신규발행'!$A49,'FB 콘텐츠 data'!$AV:$AV,0),MATCH(J$2,'FB 콘텐츠 data'!$A$1:$AL$1,0)),"")</f>
        <v/>
      </c>
      <c r="K49" s="216" t="str">
        <f>IFERROR(INDEX('FB 콘텐츠 data'!$A$1:$AV$25,MATCH('FB 신규발행'!$A49,'FB 콘텐츠 data'!$AV:$AV,0),MATCH(K$2,'FB 콘텐츠 data'!$A$1:$AV$1,0)),"")</f>
        <v/>
      </c>
      <c r="L49" s="126" t="str">
        <f>IFERROR(INDEX('FB 콘텐츠 data'!$A$1:$AL$25,MATCH('FB 신규발행'!$A49,'FB 콘텐츠 data'!$AV:$AV,0),MATCH(L$2,'FB 콘텐츠 data'!$A$1:$AL$1,0)),"")</f>
        <v/>
      </c>
      <c r="M49" s="126" t="str">
        <f>IFERROR(INDEX('FB 콘텐츠 data'!$A$1:$AL$25,MATCH('FB 신규발행'!$A49,'FB 콘텐츠 data'!$AV:$AV,0),MATCH(M$2,'FB 콘텐츠 data'!$A$1:$AL$1,0)),"")</f>
        <v/>
      </c>
      <c r="N49" s="126" t="str">
        <f>IFERROR(INDEX('FB 콘텐츠 data'!$A$1:$AL$25,MATCH('FB 신규발행'!$A49,'FB 콘텐츠 data'!$AV:$AV,0),MATCH(N$2,'FB 콘텐츠 data'!$A$1:$AL$1,0)),"")</f>
        <v/>
      </c>
      <c r="O49" s="126" t="str">
        <f>IFERROR(INDEX('FB 콘텐츠 data'!$A$1:$AL$25,MATCH('FB 신규발행'!$A49,'FB 콘텐츠 data'!$AV:$AV,0),MATCH(O$2,'FB 콘텐츠 data'!$A$1:$AL$1,0)),"")</f>
        <v/>
      </c>
      <c r="P49" s="126" t="str">
        <f>IFERROR(INDEX('FB 콘텐츠 data'!$A$1:$AL$25,MATCH('FB 신규발행'!$A49,'FB 콘텐츠 data'!$AV:$AV,0),MATCH(P$2,'FB 콘텐츠 data'!$A$1:$AL$1,0)),"")</f>
        <v/>
      </c>
      <c r="Q49" s="126" t="str">
        <f>IFERROR(INDEX('FB 콘텐츠 data'!$A$1:$AL$25,MATCH('FB 신규발행'!$A49,'FB 콘텐츠 data'!$AV:$AV,0),MATCH(Q$2,'FB 콘텐츠 data'!$A$1:$AL$1,0)),"")</f>
        <v/>
      </c>
      <c r="R49" s="127" t="str">
        <f t="shared" si="6"/>
        <v/>
      </c>
      <c r="T49" s="48" t="str">
        <f t="shared" si="7"/>
        <v/>
      </c>
      <c r="U49" s="48" t="str">
        <f t="shared" si="8"/>
        <v/>
      </c>
      <c r="Y49" s="113"/>
    </row>
    <row r="50" spans="1:25" ht="17.45" customHeight="1">
      <c r="A50" s="129">
        <v>48</v>
      </c>
      <c r="B50" s="124" t="str">
        <f>IFERROR(INDEX('FB 콘텐츠 data'!AU:AU,MATCH('FB 신규발행'!A50,'FB 콘텐츠 data'!AV:AV,0)),"")</f>
        <v/>
      </c>
      <c r="C50" s="125" t="str">
        <f>IFERROR(INDEX('FB 콘텐츠 data'!$A$1:$AL$25,MATCH('FB 신규발행'!$A50,'FB 콘텐츠 data'!$AV:$AV,0),MATCH(C$2,'FB 콘텐츠 data'!$A$1:$AL$1,0)),"")</f>
        <v/>
      </c>
      <c r="D50" s="128" t="str">
        <f>IFERROR(IF(INDEX('FB 콘텐츠 data 제목 입력'!C:C,MATCH('FB 신규발행'!A50,'FB 콘텐츠 data 제목 입력'!A:A,0))=0,"",INDEX('FB 콘텐츠 data 제목 입력'!C:C,MATCH('FB 신규발행'!A50,'FB 콘텐츠 data 제목 입력'!A:A,0))),"")</f>
        <v/>
      </c>
      <c r="E50" s="126" t="str">
        <f>IFERROR(INDEX('FB 콘텐츠 data'!$A$1:$AL$25,MATCH('FB 신규발행'!$A50,'FB 콘텐츠 data'!$AV:$AV,0),MATCH(E$2,'FB 콘텐츠 data'!$A$1:$AL$1,0)),"")</f>
        <v/>
      </c>
      <c r="F50" s="126" t="str">
        <f>IFERROR(INDEX('FB 콘텐츠 data'!$A$1:$AL$25,MATCH('FB 신규발행'!$A50,'FB 콘텐츠 data'!$AV:$AV,0),MATCH(F$2,'FB 콘텐츠 data'!$A$1:$AL$1,0)),"")</f>
        <v/>
      </c>
      <c r="G50" s="126" t="str">
        <f>IFERROR(INDEX('FB 콘텐츠 data'!$A$1:$AL$25,MATCH('FB 신규발행'!$A50,'FB 콘텐츠 data'!$AV:$AV,0),MATCH(G$2,'FB 콘텐츠 data'!$A$1:$AL$1,0)),"")</f>
        <v/>
      </c>
      <c r="H50" s="126" t="str">
        <f t="shared" si="5"/>
        <v/>
      </c>
      <c r="I50" s="126" t="str">
        <f>IFERROR(INDEX('FB 콘텐츠 data'!$A$1:$AL$25,MATCH('FB 신규발행'!$A50,'FB 콘텐츠 data'!$AV:$AV,0),MATCH(I$2,'FB 콘텐츠 data'!$A$1:$AL$1,0)),"")</f>
        <v/>
      </c>
      <c r="J50" s="126" t="str">
        <f>IFERROR(INDEX('FB 콘텐츠 data'!$A$1:$AL$25,MATCH('FB 신규발행'!$A50,'FB 콘텐츠 data'!$AV:$AV,0),MATCH(J$2,'FB 콘텐츠 data'!$A$1:$AL$1,0)),"")</f>
        <v/>
      </c>
      <c r="K50" s="216" t="str">
        <f>IFERROR(INDEX('FB 콘텐츠 data'!$A$1:$AV$25,MATCH('FB 신규발행'!$A50,'FB 콘텐츠 data'!$AV:$AV,0),MATCH(K$2,'FB 콘텐츠 data'!$A$1:$AV$1,0)),"")</f>
        <v/>
      </c>
      <c r="L50" s="126" t="str">
        <f>IFERROR(INDEX('FB 콘텐츠 data'!$A$1:$AL$25,MATCH('FB 신규발행'!$A50,'FB 콘텐츠 data'!$AV:$AV,0),MATCH(L$2,'FB 콘텐츠 data'!$A$1:$AL$1,0)),"")</f>
        <v/>
      </c>
      <c r="M50" s="126" t="str">
        <f>IFERROR(INDEX('FB 콘텐츠 data'!$A$1:$AL$25,MATCH('FB 신규발행'!$A50,'FB 콘텐츠 data'!$AV:$AV,0),MATCH(M$2,'FB 콘텐츠 data'!$A$1:$AL$1,0)),"")</f>
        <v/>
      </c>
      <c r="N50" s="126" t="str">
        <f>IFERROR(INDEX('FB 콘텐츠 data'!$A$1:$AL$25,MATCH('FB 신규발행'!$A50,'FB 콘텐츠 data'!$AV:$AV,0),MATCH(N$2,'FB 콘텐츠 data'!$A$1:$AL$1,0)),"")</f>
        <v/>
      </c>
      <c r="O50" s="126" t="str">
        <f>IFERROR(INDEX('FB 콘텐츠 data'!$A$1:$AL$25,MATCH('FB 신규발행'!$A50,'FB 콘텐츠 data'!$AV:$AV,0),MATCH(O$2,'FB 콘텐츠 data'!$A$1:$AL$1,0)),"")</f>
        <v/>
      </c>
      <c r="P50" s="126" t="str">
        <f>IFERROR(INDEX('FB 콘텐츠 data'!$A$1:$AL$25,MATCH('FB 신규발행'!$A50,'FB 콘텐츠 data'!$AV:$AV,0),MATCH(P$2,'FB 콘텐츠 data'!$A$1:$AL$1,0)),"")</f>
        <v/>
      </c>
      <c r="Q50" s="126" t="str">
        <f>IFERROR(INDEX('FB 콘텐츠 data'!$A$1:$AL$25,MATCH('FB 신규발행'!$A50,'FB 콘텐츠 data'!$AV:$AV,0),MATCH(Q$2,'FB 콘텐츠 data'!$A$1:$AL$1,0)),"")</f>
        <v/>
      </c>
      <c r="R50" s="127" t="str">
        <f t="shared" si="6"/>
        <v/>
      </c>
      <c r="T50" s="48" t="str">
        <f t="shared" si="7"/>
        <v/>
      </c>
      <c r="U50" s="48" t="str">
        <f t="shared" si="8"/>
        <v/>
      </c>
      <c r="Y50" s="113"/>
    </row>
    <row r="51" spans="1:25" ht="17.45" customHeight="1">
      <c r="A51" s="129">
        <v>49</v>
      </c>
      <c r="B51" s="124" t="str">
        <f>IFERROR(INDEX('FB 콘텐츠 data'!AU:AU,MATCH('FB 신규발행'!A51,'FB 콘텐츠 data'!AV:AV,0)),"")</f>
        <v/>
      </c>
      <c r="C51" s="125" t="str">
        <f>IFERROR(INDEX('FB 콘텐츠 data'!$A$1:$AL$25,MATCH('FB 신규발행'!$A51,'FB 콘텐츠 data'!$AV:$AV,0),MATCH(C$2,'FB 콘텐츠 data'!$A$1:$AL$1,0)),"")</f>
        <v/>
      </c>
      <c r="D51" s="128" t="str">
        <f>IFERROR(IF(INDEX('FB 콘텐츠 data 제목 입력'!C:C,MATCH('FB 신규발행'!A51,'FB 콘텐츠 data 제목 입력'!A:A,0))=0,"",INDEX('FB 콘텐츠 data 제목 입력'!C:C,MATCH('FB 신규발행'!A51,'FB 콘텐츠 data 제목 입력'!A:A,0))),"")</f>
        <v/>
      </c>
      <c r="E51" s="126" t="str">
        <f>IFERROR(INDEX('FB 콘텐츠 data'!$A$1:$AL$25,MATCH('FB 신규발행'!$A51,'FB 콘텐츠 data'!$AV:$AV,0),MATCH(E$2,'FB 콘텐츠 data'!$A$1:$AL$1,0)),"")</f>
        <v/>
      </c>
      <c r="F51" s="126" t="str">
        <f>IFERROR(INDEX('FB 콘텐츠 data'!$A$1:$AL$25,MATCH('FB 신규발행'!$A51,'FB 콘텐츠 data'!$AV:$AV,0),MATCH(F$2,'FB 콘텐츠 data'!$A$1:$AL$1,0)),"")</f>
        <v/>
      </c>
      <c r="G51" s="126" t="str">
        <f>IFERROR(INDEX('FB 콘텐츠 data'!$A$1:$AL$25,MATCH('FB 신규발행'!$A51,'FB 콘텐츠 data'!$AV:$AV,0),MATCH(G$2,'FB 콘텐츠 data'!$A$1:$AL$1,0)),"")</f>
        <v/>
      </c>
      <c r="H51" s="126" t="str">
        <f t="shared" si="5"/>
        <v/>
      </c>
      <c r="I51" s="126" t="str">
        <f>IFERROR(INDEX('FB 콘텐츠 data'!$A$1:$AL$25,MATCH('FB 신규발행'!$A51,'FB 콘텐츠 data'!$AV:$AV,0),MATCH(I$2,'FB 콘텐츠 data'!$A$1:$AL$1,0)),"")</f>
        <v/>
      </c>
      <c r="J51" s="126" t="str">
        <f>IFERROR(INDEX('FB 콘텐츠 data'!$A$1:$AL$25,MATCH('FB 신규발행'!$A51,'FB 콘텐츠 data'!$AV:$AV,0),MATCH(J$2,'FB 콘텐츠 data'!$A$1:$AL$1,0)),"")</f>
        <v/>
      </c>
      <c r="K51" s="216" t="str">
        <f>IFERROR(INDEX('FB 콘텐츠 data'!$A$1:$AV$25,MATCH('FB 신규발행'!$A51,'FB 콘텐츠 data'!$AV:$AV,0),MATCH(K$2,'FB 콘텐츠 data'!$A$1:$AV$1,0)),"")</f>
        <v/>
      </c>
      <c r="L51" s="126" t="str">
        <f>IFERROR(INDEX('FB 콘텐츠 data'!$A$1:$AL$25,MATCH('FB 신규발행'!$A51,'FB 콘텐츠 data'!$AV:$AV,0),MATCH(L$2,'FB 콘텐츠 data'!$A$1:$AL$1,0)),"")</f>
        <v/>
      </c>
      <c r="M51" s="126" t="str">
        <f>IFERROR(INDEX('FB 콘텐츠 data'!$A$1:$AL$25,MATCH('FB 신규발행'!$A51,'FB 콘텐츠 data'!$AV:$AV,0),MATCH(M$2,'FB 콘텐츠 data'!$A$1:$AL$1,0)),"")</f>
        <v/>
      </c>
      <c r="N51" s="126" t="str">
        <f>IFERROR(INDEX('FB 콘텐츠 data'!$A$1:$AL$25,MATCH('FB 신규발행'!$A51,'FB 콘텐츠 data'!$AV:$AV,0),MATCH(N$2,'FB 콘텐츠 data'!$A$1:$AL$1,0)),"")</f>
        <v/>
      </c>
      <c r="O51" s="126" t="str">
        <f>IFERROR(INDEX('FB 콘텐츠 data'!$A$1:$AL$25,MATCH('FB 신규발행'!$A51,'FB 콘텐츠 data'!$AV:$AV,0),MATCH(O$2,'FB 콘텐츠 data'!$A$1:$AL$1,0)),"")</f>
        <v/>
      </c>
      <c r="P51" s="126" t="str">
        <f>IFERROR(INDEX('FB 콘텐츠 data'!$A$1:$AL$25,MATCH('FB 신규발행'!$A51,'FB 콘텐츠 data'!$AV:$AV,0),MATCH(P$2,'FB 콘텐츠 data'!$A$1:$AL$1,0)),"")</f>
        <v/>
      </c>
      <c r="Q51" s="126" t="str">
        <f>IFERROR(INDEX('FB 콘텐츠 data'!$A$1:$AL$25,MATCH('FB 신규발행'!$A51,'FB 콘텐츠 data'!$AV:$AV,0),MATCH(Q$2,'FB 콘텐츠 data'!$A$1:$AL$1,0)),"")</f>
        <v/>
      </c>
      <c r="R51" s="127" t="str">
        <f t="shared" si="6"/>
        <v/>
      </c>
      <c r="T51" s="48" t="str">
        <f t="shared" si="7"/>
        <v/>
      </c>
      <c r="U51" s="48" t="str">
        <f t="shared" si="8"/>
        <v/>
      </c>
      <c r="Y51" s="113"/>
    </row>
    <row r="52" spans="1:25" ht="17.45" customHeight="1">
      <c r="A52" s="129">
        <v>50</v>
      </c>
      <c r="B52" s="124" t="str">
        <f>IFERROR(INDEX('FB 콘텐츠 data'!AU:AU,MATCH('FB 신규발행'!A52,'FB 콘텐츠 data'!AV:AV,0)),"")</f>
        <v/>
      </c>
      <c r="C52" s="125" t="str">
        <f>IFERROR(INDEX('FB 콘텐츠 data'!$A$1:$AL$25,MATCH('FB 신규발행'!$A52,'FB 콘텐츠 data'!$AV:$AV,0),MATCH(C$2,'FB 콘텐츠 data'!$A$1:$AL$1,0)),"")</f>
        <v/>
      </c>
      <c r="D52" s="128" t="str">
        <f>IFERROR(IF(INDEX('FB 콘텐츠 data 제목 입력'!C:C,MATCH('FB 신규발행'!A52,'FB 콘텐츠 data 제목 입력'!A:A,0))=0,"",INDEX('FB 콘텐츠 data 제목 입력'!C:C,MATCH('FB 신규발행'!A52,'FB 콘텐츠 data 제목 입력'!A:A,0))),"")</f>
        <v/>
      </c>
      <c r="E52" s="126" t="str">
        <f>IFERROR(INDEX('FB 콘텐츠 data'!$A$1:$AL$25,MATCH('FB 신규발행'!$A52,'FB 콘텐츠 data'!$AV:$AV,0),MATCH(E$2,'FB 콘텐츠 data'!$A$1:$AL$1,0)),"")</f>
        <v/>
      </c>
      <c r="F52" s="126" t="str">
        <f>IFERROR(INDEX('FB 콘텐츠 data'!$A$1:$AL$25,MATCH('FB 신규발행'!$A52,'FB 콘텐츠 data'!$AV:$AV,0),MATCH(F$2,'FB 콘텐츠 data'!$A$1:$AL$1,0)),"")</f>
        <v/>
      </c>
      <c r="G52" s="126" t="str">
        <f>IFERROR(INDEX('FB 콘텐츠 data'!$A$1:$AL$25,MATCH('FB 신규발행'!$A52,'FB 콘텐츠 data'!$AV:$AV,0),MATCH(G$2,'FB 콘텐츠 data'!$A$1:$AL$1,0)),"")</f>
        <v/>
      </c>
      <c r="H52" s="126" t="str">
        <f t="shared" si="5"/>
        <v/>
      </c>
      <c r="I52" s="126" t="str">
        <f>IFERROR(INDEX('FB 콘텐츠 data'!$A$1:$AL$25,MATCH('FB 신규발행'!$A52,'FB 콘텐츠 data'!$AV:$AV,0),MATCH(I$2,'FB 콘텐츠 data'!$A$1:$AL$1,0)),"")</f>
        <v/>
      </c>
      <c r="J52" s="126" t="str">
        <f>IFERROR(INDEX('FB 콘텐츠 data'!$A$1:$AL$25,MATCH('FB 신규발행'!$A52,'FB 콘텐츠 data'!$AV:$AV,0),MATCH(J$2,'FB 콘텐츠 data'!$A$1:$AL$1,0)),"")</f>
        <v/>
      </c>
      <c r="K52" s="216" t="str">
        <f>IFERROR(INDEX('FB 콘텐츠 data'!$A$1:$AV$25,MATCH('FB 신규발행'!$A52,'FB 콘텐츠 data'!$AV:$AV,0),MATCH(K$2,'FB 콘텐츠 data'!$A$1:$AV$1,0)),"")</f>
        <v/>
      </c>
      <c r="L52" s="126" t="str">
        <f>IFERROR(INDEX('FB 콘텐츠 data'!$A$1:$AL$25,MATCH('FB 신규발행'!$A52,'FB 콘텐츠 data'!$AV:$AV,0),MATCH(L$2,'FB 콘텐츠 data'!$A$1:$AL$1,0)),"")</f>
        <v/>
      </c>
      <c r="M52" s="126" t="str">
        <f>IFERROR(INDEX('FB 콘텐츠 data'!$A$1:$AL$25,MATCH('FB 신규발행'!$A52,'FB 콘텐츠 data'!$AV:$AV,0),MATCH(M$2,'FB 콘텐츠 data'!$A$1:$AL$1,0)),"")</f>
        <v/>
      </c>
      <c r="N52" s="126" t="str">
        <f>IFERROR(INDEX('FB 콘텐츠 data'!$A$1:$AL$25,MATCH('FB 신규발행'!$A52,'FB 콘텐츠 data'!$AV:$AV,0),MATCH(N$2,'FB 콘텐츠 data'!$A$1:$AL$1,0)),"")</f>
        <v/>
      </c>
      <c r="O52" s="126" t="str">
        <f>IFERROR(INDEX('FB 콘텐츠 data'!$A$1:$AL$25,MATCH('FB 신규발행'!$A52,'FB 콘텐츠 data'!$AV:$AV,0),MATCH(O$2,'FB 콘텐츠 data'!$A$1:$AL$1,0)),"")</f>
        <v/>
      </c>
      <c r="P52" s="126" t="str">
        <f>IFERROR(INDEX('FB 콘텐츠 data'!$A$1:$AL$25,MATCH('FB 신규발행'!$A52,'FB 콘텐츠 data'!$AV:$AV,0),MATCH(P$2,'FB 콘텐츠 data'!$A$1:$AL$1,0)),"")</f>
        <v/>
      </c>
      <c r="Q52" s="126" t="str">
        <f>IFERROR(INDEX('FB 콘텐츠 data'!$A$1:$AL$25,MATCH('FB 신규발행'!$A52,'FB 콘텐츠 data'!$AV:$AV,0),MATCH(Q$2,'FB 콘텐츠 data'!$A$1:$AL$1,0)),"")</f>
        <v/>
      </c>
      <c r="R52" s="127" t="str">
        <f t="shared" si="6"/>
        <v/>
      </c>
      <c r="T52" s="48" t="str">
        <f t="shared" si="7"/>
        <v/>
      </c>
      <c r="U52" s="48" t="str">
        <f t="shared" si="8"/>
        <v/>
      </c>
      <c r="Y52" s="113"/>
    </row>
    <row r="53" spans="1:25" ht="17.45" customHeight="1">
      <c r="A53" s="129">
        <v>51</v>
      </c>
      <c r="B53" s="124" t="str">
        <f>IFERROR(INDEX('FB 콘텐츠 data'!AU:AU,MATCH('FB 신규발행'!A53,'FB 콘텐츠 data'!AV:AV,0)),"")</f>
        <v/>
      </c>
      <c r="C53" s="125" t="str">
        <f>IFERROR(INDEX('FB 콘텐츠 data'!$A$1:$AL$25,MATCH('FB 신규발행'!$A53,'FB 콘텐츠 data'!$AV:$AV,0),MATCH(C$2,'FB 콘텐츠 data'!$A$1:$AL$1,0)),"")</f>
        <v/>
      </c>
      <c r="D53" s="128" t="str">
        <f>IFERROR(IF(INDEX('FB 콘텐츠 data 제목 입력'!C:C,MATCH('FB 신규발행'!A53,'FB 콘텐츠 data 제목 입력'!A:A,0))=0,"",INDEX('FB 콘텐츠 data 제목 입력'!C:C,MATCH('FB 신규발행'!A53,'FB 콘텐츠 data 제목 입력'!A:A,0))),"")</f>
        <v/>
      </c>
      <c r="E53" s="126" t="str">
        <f>IFERROR(INDEX('FB 콘텐츠 data'!$A$1:$AL$25,MATCH('FB 신규발행'!$A53,'FB 콘텐츠 data'!$AV:$AV,0),MATCH(E$2,'FB 콘텐츠 data'!$A$1:$AL$1,0)),"")</f>
        <v/>
      </c>
      <c r="F53" s="126" t="str">
        <f>IFERROR(INDEX('FB 콘텐츠 data'!$A$1:$AL$25,MATCH('FB 신규발행'!$A53,'FB 콘텐츠 data'!$AV:$AV,0),MATCH(F$2,'FB 콘텐츠 data'!$A$1:$AL$1,0)),"")</f>
        <v/>
      </c>
      <c r="G53" s="126" t="str">
        <f>IFERROR(INDEX('FB 콘텐츠 data'!$A$1:$AL$25,MATCH('FB 신규발행'!$A53,'FB 콘텐츠 data'!$AV:$AV,0),MATCH(G$2,'FB 콘텐츠 data'!$A$1:$AL$1,0)),"")</f>
        <v/>
      </c>
      <c r="H53" s="126" t="str">
        <f t="shared" si="5"/>
        <v/>
      </c>
      <c r="I53" s="126" t="str">
        <f>IFERROR(INDEX('FB 콘텐츠 data'!$A$1:$AL$25,MATCH('FB 신규발행'!$A53,'FB 콘텐츠 data'!$AV:$AV,0),MATCH(I$2,'FB 콘텐츠 data'!$A$1:$AL$1,0)),"")</f>
        <v/>
      </c>
      <c r="J53" s="126" t="str">
        <f>IFERROR(INDEX('FB 콘텐츠 data'!$A$1:$AL$25,MATCH('FB 신규발행'!$A53,'FB 콘텐츠 data'!$AV:$AV,0),MATCH(J$2,'FB 콘텐츠 data'!$A$1:$AL$1,0)),"")</f>
        <v/>
      </c>
      <c r="K53" s="216" t="str">
        <f>IFERROR(INDEX('FB 콘텐츠 data'!$A$1:$AV$25,MATCH('FB 신규발행'!$A53,'FB 콘텐츠 data'!$AV:$AV,0),MATCH(K$2,'FB 콘텐츠 data'!$A$1:$AV$1,0)),"")</f>
        <v/>
      </c>
      <c r="L53" s="126" t="str">
        <f>IFERROR(INDEX('FB 콘텐츠 data'!$A$1:$AL$25,MATCH('FB 신규발행'!$A53,'FB 콘텐츠 data'!$AV:$AV,0),MATCH(L$2,'FB 콘텐츠 data'!$A$1:$AL$1,0)),"")</f>
        <v/>
      </c>
      <c r="M53" s="126" t="str">
        <f>IFERROR(INDEX('FB 콘텐츠 data'!$A$1:$AL$25,MATCH('FB 신규발행'!$A53,'FB 콘텐츠 data'!$AV:$AV,0),MATCH(M$2,'FB 콘텐츠 data'!$A$1:$AL$1,0)),"")</f>
        <v/>
      </c>
      <c r="N53" s="126" t="str">
        <f>IFERROR(INDEX('FB 콘텐츠 data'!$A$1:$AL$25,MATCH('FB 신규발행'!$A53,'FB 콘텐츠 data'!$AV:$AV,0),MATCH(N$2,'FB 콘텐츠 data'!$A$1:$AL$1,0)),"")</f>
        <v/>
      </c>
      <c r="O53" s="126" t="str">
        <f>IFERROR(INDEX('FB 콘텐츠 data'!$A$1:$AL$25,MATCH('FB 신규발행'!$A53,'FB 콘텐츠 data'!$AV:$AV,0),MATCH(O$2,'FB 콘텐츠 data'!$A$1:$AL$1,0)),"")</f>
        <v/>
      </c>
      <c r="P53" s="126" t="str">
        <f>IFERROR(INDEX('FB 콘텐츠 data'!$A$1:$AL$25,MATCH('FB 신규발행'!$A53,'FB 콘텐츠 data'!$AV:$AV,0),MATCH(P$2,'FB 콘텐츠 data'!$A$1:$AL$1,0)),"")</f>
        <v/>
      </c>
      <c r="Q53" s="126" t="str">
        <f>IFERROR(INDEX('FB 콘텐츠 data'!$A$1:$AL$25,MATCH('FB 신규발행'!$A53,'FB 콘텐츠 data'!$AV:$AV,0),MATCH(Q$2,'FB 콘텐츠 data'!$A$1:$AL$1,0)),"")</f>
        <v/>
      </c>
      <c r="R53" s="127" t="str">
        <f t="shared" si="6"/>
        <v/>
      </c>
      <c r="T53" s="48" t="str">
        <f t="shared" si="7"/>
        <v/>
      </c>
      <c r="U53" s="48" t="str">
        <f t="shared" si="8"/>
        <v/>
      </c>
      <c r="Y53" s="113"/>
    </row>
    <row r="54" spans="1:25" ht="17.45" customHeight="1">
      <c r="A54" s="129">
        <v>52</v>
      </c>
      <c r="B54" s="124" t="str">
        <f>IFERROR(INDEX('FB 콘텐츠 data'!AU:AU,MATCH('FB 신규발행'!A54,'FB 콘텐츠 data'!AV:AV,0)),"")</f>
        <v/>
      </c>
      <c r="C54" s="125" t="str">
        <f>IFERROR(INDEX('FB 콘텐츠 data'!$A$1:$AL$25,MATCH('FB 신규발행'!$A54,'FB 콘텐츠 data'!$AV:$AV,0),MATCH(C$2,'FB 콘텐츠 data'!$A$1:$AL$1,0)),"")</f>
        <v/>
      </c>
      <c r="D54" s="128" t="str">
        <f>IFERROR(IF(INDEX('FB 콘텐츠 data 제목 입력'!C:C,MATCH('FB 신규발행'!A54,'FB 콘텐츠 data 제목 입력'!A:A,0))=0,"",INDEX('FB 콘텐츠 data 제목 입력'!C:C,MATCH('FB 신규발행'!A54,'FB 콘텐츠 data 제목 입력'!A:A,0))),"")</f>
        <v/>
      </c>
      <c r="E54" s="126" t="str">
        <f>IFERROR(INDEX('FB 콘텐츠 data'!$A$1:$AL$25,MATCH('FB 신규발행'!$A54,'FB 콘텐츠 data'!$AV:$AV,0),MATCH(E$2,'FB 콘텐츠 data'!$A$1:$AL$1,0)),"")</f>
        <v/>
      </c>
      <c r="F54" s="126" t="str">
        <f>IFERROR(INDEX('FB 콘텐츠 data'!$A$1:$AL$25,MATCH('FB 신규발행'!$A54,'FB 콘텐츠 data'!$AV:$AV,0),MATCH(F$2,'FB 콘텐츠 data'!$A$1:$AL$1,0)),"")</f>
        <v/>
      </c>
      <c r="G54" s="126" t="str">
        <f>IFERROR(INDEX('FB 콘텐츠 data'!$A$1:$AL$25,MATCH('FB 신규발행'!$A54,'FB 콘텐츠 data'!$AV:$AV,0),MATCH(G$2,'FB 콘텐츠 data'!$A$1:$AL$1,0)),"")</f>
        <v/>
      </c>
      <c r="H54" s="126" t="str">
        <f t="shared" si="5"/>
        <v/>
      </c>
      <c r="I54" s="126" t="str">
        <f>IFERROR(INDEX('FB 콘텐츠 data'!$A$1:$AL$25,MATCH('FB 신규발행'!$A54,'FB 콘텐츠 data'!$AV:$AV,0),MATCH(I$2,'FB 콘텐츠 data'!$A$1:$AL$1,0)),"")</f>
        <v/>
      </c>
      <c r="J54" s="126" t="str">
        <f>IFERROR(INDEX('FB 콘텐츠 data'!$A$1:$AL$25,MATCH('FB 신규발행'!$A54,'FB 콘텐츠 data'!$AV:$AV,0),MATCH(J$2,'FB 콘텐츠 data'!$A$1:$AL$1,0)),"")</f>
        <v/>
      </c>
      <c r="K54" s="216" t="str">
        <f>IFERROR(INDEX('FB 콘텐츠 data'!$A$1:$AV$25,MATCH('FB 신규발행'!$A54,'FB 콘텐츠 data'!$AV:$AV,0),MATCH(K$2,'FB 콘텐츠 data'!$A$1:$AV$1,0)),"")</f>
        <v/>
      </c>
      <c r="L54" s="126" t="str">
        <f>IFERROR(INDEX('FB 콘텐츠 data'!$A$1:$AL$25,MATCH('FB 신규발행'!$A54,'FB 콘텐츠 data'!$AV:$AV,0),MATCH(L$2,'FB 콘텐츠 data'!$A$1:$AL$1,0)),"")</f>
        <v/>
      </c>
      <c r="M54" s="126" t="str">
        <f>IFERROR(INDEX('FB 콘텐츠 data'!$A$1:$AL$25,MATCH('FB 신규발행'!$A54,'FB 콘텐츠 data'!$AV:$AV,0),MATCH(M$2,'FB 콘텐츠 data'!$A$1:$AL$1,0)),"")</f>
        <v/>
      </c>
      <c r="N54" s="126" t="str">
        <f>IFERROR(INDEX('FB 콘텐츠 data'!$A$1:$AL$25,MATCH('FB 신규발행'!$A54,'FB 콘텐츠 data'!$AV:$AV,0),MATCH(N$2,'FB 콘텐츠 data'!$A$1:$AL$1,0)),"")</f>
        <v/>
      </c>
      <c r="O54" s="126" t="str">
        <f>IFERROR(INDEX('FB 콘텐츠 data'!$A$1:$AL$25,MATCH('FB 신규발행'!$A54,'FB 콘텐츠 data'!$AV:$AV,0),MATCH(O$2,'FB 콘텐츠 data'!$A$1:$AL$1,0)),"")</f>
        <v/>
      </c>
      <c r="P54" s="126" t="str">
        <f>IFERROR(INDEX('FB 콘텐츠 data'!$A$1:$AL$25,MATCH('FB 신규발행'!$A54,'FB 콘텐츠 data'!$AV:$AV,0),MATCH(P$2,'FB 콘텐츠 data'!$A$1:$AL$1,0)),"")</f>
        <v/>
      </c>
      <c r="Q54" s="126" t="str">
        <f>IFERROR(INDEX('FB 콘텐츠 data'!$A$1:$AL$25,MATCH('FB 신규발행'!$A54,'FB 콘텐츠 data'!$AV:$AV,0),MATCH(Q$2,'FB 콘텐츠 data'!$A$1:$AL$1,0)),"")</f>
        <v/>
      </c>
      <c r="R54" s="127" t="str">
        <f t="shared" si="6"/>
        <v/>
      </c>
      <c r="T54" s="48" t="str">
        <f t="shared" si="7"/>
        <v/>
      </c>
      <c r="U54" s="48" t="str">
        <f t="shared" si="8"/>
        <v/>
      </c>
      <c r="Y54" s="113"/>
    </row>
    <row r="55" spans="1:25" ht="17.45" customHeight="1">
      <c r="A55" s="129">
        <v>53</v>
      </c>
      <c r="B55" s="124" t="str">
        <f>IFERROR(INDEX('FB 콘텐츠 data'!AU:AU,MATCH('FB 신규발행'!A55,'FB 콘텐츠 data'!AV:AV,0)),"")</f>
        <v/>
      </c>
      <c r="C55" s="125" t="str">
        <f>IFERROR(INDEX('FB 콘텐츠 data'!$A$1:$AL$25,MATCH('FB 신규발행'!$A55,'FB 콘텐츠 data'!$AV:$AV,0),MATCH(C$2,'FB 콘텐츠 data'!$A$1:$AL$1,0)),"")</f>
        <v/>
      </c>
      <c r="D55" s="128" t="str">
        <f>IFERROR(IF(INDEX('FB 콘텐츠 data 제목 입력'!C:C,MATCH('FB 신규발행'!A55,'FB 콘텐츠 data 제목 입력'!A:A,0))=0,"",INDEX('FB 콘텐츠 data 제목 입력'!C:C,MATCH('FB 신규발행'!A55,'FB 콘텐츠 data 제목 입력'!A:A,0))),"")</f>
        <v/>
      </c>
      <c r="E55" s="126" t="str">
        <f>IFERROR(INDEX('FB 콘텐츠 data'!$A$1:$AL$25,MATCH('FB 신규발행'!$A55,'FB 콘텐츠 data'!$AV:$AV,0),MATCH(E$2,'FB 콘텐츠 data'!$A$1:$AL$1,0)),"")</f>
        <v/>
      </c>
      <c r="F55" s="126" t="str">
        <f>IFERROR(INDEX('FB 콘텐츠 data'!$A$1:$AL$25,MATCH('FB 신규발행'!$A55,'FB 콘텐츠 data'!$AV:$AV,0),MATCH(F$2,'FB 콘텐츠 data'!$A$1:$AL$1,0)),"")</f>
        <v/>
      </c>
      <c r="G55" s="126" t="str">
        <f>IFERROR(INDEX('FB 콘텐츠 data'!$A$1:$AL$25,MATCH('FB 신규발행'!$A55,'FB 콘텐츠 data'!$AV:$AV,0),MATCH(G$2,'FB 콘텐츠 data'!$A$1:$AL$1,0)),"")</f>
        <v/>
      </c>
      <c r="H55" s="126" t="str">
        <f t="shared" si="5"/>
        <v/>
      </c>
      <c r="I55" s="126" t="str">
        <f>IFERROR(INDEX('FB 콘텐츠 data'!$A$1:$AL$25,MATCH('FB 신규발행'!$A55,'FB 콘텐츠 data'!$AV:$AV,0),MATCH(I$2,'FB 콘텐츠 data'!$A$1:$AL$1,0)),"")</f>
        <v/>
      </c>
      <c r="J55" s="126" t="str">
        <f>IFERROR(INDEX('FB 콘텐츠 data'!$A$1:$AL$25,MATCH('FB 신규발행'!$A55,'FB 콘텐츠 data'!$AV:$AV,0),MATCH(J$2,'FB 콘텐츠 data'!$A$1:$AL$1,0)),"")</f>
        <v/>
      </c>
      <c r="K55" s="216" t="str">
        <f>IFERROR(INDEX('FB 콘텐츠 data'!$A$1:$AV$25,MATCH('FB 신규발행'!$A55,'FB 콘텐츠 data'!$AV:$AV,0),MATCH(K$2,'FB 콘텐츠 data'!$A$1:$AV$1,0)),"")</f>
        <v/>
      </c>
      <c r="L55" s="126" t="str">
        <f>IFERROR(INDEX('FB 콘텐츠 data'!$A$1:$AL$25,MATCH('FB 신규발행'!$A55,'FB 콘텐츠 data'!$AV:$AV,0),MATCH(L$2,'FB 콘텐츠 data'!$A$1:$AL$1,0)),"")</f>
        <v/>
      </c>
      <c r="M55" s="126" t="str">
        <f>IFERROR(INDEX('FB 콘텐츠 data'!$A$1:$AL$25,MATCH('FB 신규발행'!$A55,'FB 콘텐츠 data'!$AV:$AV,0),MATCH(M$2,'FB 콘텐츠 data'!$A$1:$AL$1,0)),"")</f>
        <v/>
      </c>
      <c r="N55" s="126" t="str">
        <f>IFERROR(INDEX('FB 콘텐츠 data'!$A$1:$AL$25,MATCH('FB 신규발행'!$A55,'FB 콘텐츠 data'!$AV:$AV,0),MATCH(N$2,'FB 콘텐츠 data'!$A$1:$AL$1,0)),"")</f>
        <v/>
      </c>
      <c r="O55" s="126" t="str">
        <f>IFERROR(INDEX('FB 콘텐츠 data'!$A$1:$AL$25,MATCH('FB 신규발행'!$A55,'FB 콘텐츠 data'!$AV:$AV,0),MATCH(O$2,'FB 콘텐츠 data'!$A$1:$AL$1,0)),"")</f>
        <v/>
      </c>
      <c r="P55" s="126" t="str">
        <f>IFERROR(INDEX('FB 콘텐츠 data'!$A$1:$AL$25,MATCH('FB 신규발행'!$A55,'FB 콘텐츠 data'!$AV:$AV,0),MATCH(P$2,'FB 콘텐츠 data'!$A$1:$AL$1,0)),"")</f>
        <v/>
      </c>
      <c r="Q55" s="126" t="str">
        <f>IFERROR(INDEX('FB 콘텐츠 data'!$A$1:$AL$25,MATCH('FB 신규발행'!$A55,'FB 콘텐츠 data'!$AV:$AV,0),MATCH(Q$2,'FB 콘텐츠 data'!$A$1:$AL$1,0)),"")</f>
        <v/>
      </c>
      <c r="R55" s="127" t="str">
        <f t="shared" si="6"/>
        <v/>
      </c>
      <c r="T55" s="48" t="str">
        <f t="shared" si="7"/>
        <v/>
      </c>
      <c r="U55" s="48" t="str">
        <f t="shared" si="8"/>
        <v/>
      </c>
      <c r="Y55" s="113"/>
    </row>
    <row r="56" spans="1:25" ht="17.45" customHeight="1">
      <c r="A56" s="129">
        <v>54</v>
      </c>
      <c r="B56" s="124" t="str">
        <f>IFERROR(INDEX('FB 콘텐츠 data'!AU:AU,MATCH('FB 신규발행'!A56,'FB 콘텐츠 data'!AV:AV,0)),"")</f>
        <v/>
      </c>
      <c r="C56" s="125" t="str">
        <f>IFERROR(INDEX('FB 콘텐츠 data'!$A$1:$AL$25,MATCH('FB 신규발행'!$A56,'FB 콘텐츠 data'!$AV:$AV,0),MATCH(C$2,'FB 콘텐츠 data'!$A$1:$AL$1,0)),"")</f>
        <v/>
      </c>
      <c r="D56" s="128" t="str">
        <f>IFERROR(IF(INDEX('FB 콘텐츠 data 제목 입력'!C:C,MATCH('FB 신규발행'!A56,'FB 콘텐츠 data 제목 입력'!A:A,0))=0,"",INDEX('FB 콘텐츠 data 제목 입력'!C:C,MATCH('FB 신규발행'!A56,'FB 콘텐츠 data 제목 입력'!A:A,0))),"")</f>
        <v/>
      </c>
      <c r="E56" s="126" t="str">
        <f>IFERROR(INDEX('FB 콘텐츠 data'!$A$1:$AL$25,MATCH('FB 신규발행'!$A56,'FB 콘텐츠 data'!$AV:$AV,0),MATCH(E$2,'FB 콘텐츠 data'!$A$1:$AL$1,0)),"")</f>
        <v/>
      </c>
      <c r="F56" s="126" t="str">
        <f>IFERROR(INDEX('FB 콘텐츠 data'!$A$1:$AL$25,MATCH('FB 신규발행'!$A56,'FB 콘텐츠 data'!$AV:$AV,0),MATCH(F$2,'FB 콘텐츠 data'!$A$1:$AL$1,0)),"")</f>
        <v/>
      </c>
      <c r="G56" s="126" t="str">
        <f>IFERROR(INDEX('FB 콘텐츠 data'!$A$1:$AL$25,MATCH('FB 신규발행'!$A56,'FB 콘텐츠 data'!$AV:$AV,0),MATCH(G$2,'FB 콘텐츠 data'!$A$1:$AL$1,0)),"")</f>
        <v/>
      </c>
      <c r="H56" s="126" t="str">
        <f t="shared" si="5"/>
        <v/>
      </c>
      <c r="I56" s="126" t="str">
        <f>IFERROR(INDEX('FB 콘텐츠 data'!$A$1:$AL$25,MATCH('FB 신규발행'!$A56,'FB 콘텐츠 data'!$AV:$AV,0),MATCH(I$2,'FB 콘텐츠 data'!$A$1:$AL$1,0)),"")</f>
        <v/>
      </c>
      <c r="J56" s="126" t="str">
        <f>IFERROR(INDEX('FB 콘텐츠 data'!$A$1:$AL$25,MATCH('FB 신규발행'!$A56,'FB 콘텐츠 data'!$AV:$AV,0),MATCH(J$2,'FB 콘텐츠 data'!$A$1:$AL$1,0)),"")</f>
        <v/>
      </c>
      <c r="K56" s="216" t="str">
        <f>IFERROR(INDEX('FB 콘텐츠 data'!$A$1:$AV$25,MATCH('FB 신규발행'!$A56,'FB 콘텐츠 data'!$AV:$AV,0),MATCH(K$2,'FB 콘텐츠 data'!$A$1:$AV$1,0)),"")</f>
        <v/>
      </c>
      <c r="L56" s="126" t="str">
        <f>IFERROR(INDEX('FB 콘텐츠 data'!$A$1:$AL$25,MATCH('FB 신규발행'!$A56,'FB 콘텐츠 data'!$AV:$AV,0),MATCH(L$2,'FB 콘텐츠 data'!$A$1:$AL$1,0)),"")</f>
        <v/>
      </c>
      <c r="M56" s="126" t="str">
        <f>IFERROR(INDEX('FB 콘텐츠 data'!$A$1:$AL$25,MATCH('FB 신규발행'!$A56,'FB 콘텐츠 data'!$AV:$AV,0),MATCH(M$2,'FB 콘텐츠 data'!$A$1:$AL$1,0)),"")</f>
        <v/>
      </c>
      <c r="N56" s="126" t="str">
        <f>IFERROR(INDEX('FB 콘텐츠 data'!$A$1:$AL$25,MATCH('FB 신규발행'!$A56,'FB 콘텐츠 data'!$AV:$AV,0),MATCH(N$2,'FB 콘텐츠 data'!$A$1:$AL$1,0)),"")</f>
        <v/>
      </c>
      <c r="O56" s="126" t="str">
        <f>IFERROR(INDEX('FB 콘텐츠 data'!$A$1:$AL$25,MATCH('FB 신규발행'!$A56,'FB 콘텐츠 data'!$AV:$AV,0),MATCH(O$2,'FB 콘텐츠 data'!$A$1:$AL$1,0)),"")</f>
        <v/>
      </c>
      <c r="P56" s="126" t="str">
        <f>IFERROR(INDEX('FB 콘텐츠 data'!$A$1:$AL$25,MATCH('FB 신규발행'!$A56,'FB 콘텐츠 data'!$AV:$AV,0),MATCH(P$2,'FB 콘텐츠 data'!$A$1:$AL$1,0)),"")</f>
        <v/>
      </c>
      <c r="Q56" s="126" t="str">
        <f>IFERROR(INDEX('FB 콘텐츠 data'!$A$1:$AL$25,MATCH('FB 신규발행'!$A56,'FB 콘텐츠 data'!$AV:$AV,0),MATCH(Q$2,'FB 콘텐츠 data'!$A$1:$AL$1,0)),"")</f>
        <v/>
      </c>
      <c r="R56" s="127" t="str">
        <f t="shared" si="6"/>
        <v/>
      </c>
      <c r="T56" s="48" t="str">
        <f t="shared" si="7"/>
        <v/>
      </c>
      <c r="U56" s="48" t="str">
        <f t="shared" si="8"/>
        <v/>
      </c>
      <c r="Y56" s="113"/>
    </row>
    <row r="57" spans="1:25" ht="17.45" customHeight="1">
      <c r="A57" s="129">
        <v>55</v>
      </c>
      <c r="B57" s="124" t="str">
        <f>IFERROR(INDEX('FB 콘텐츠 data'!AU:AU,MATCH('FB 신규발행'!A57,'FB 콘텐츠 data'!AV:AV,0)),"")</f>
        <v/>
      </c>
      <c r="C57" s="125" t="str">
        <f>IFERROR(INDEX('FB 콘텐츠 data'!$A$1:$AL$25,MATCH('FB 신규발행'!$A57,'FB 콘텐츠 data'!$AV:$AV,0),MATCH(C$2,'FB 콘텐츠 data'!$A$1:$AL$1,0)),"")</f>
        <v/>
      </c>
      <c r="D57" s="128" t="str">
        <f>IFERROR(IF(INDEX('FB 콘텐츠 data 제목 입력'!C:C,MATCH('FB 신규발행'!A57,'FB 콘텐츠 data 제목 입력'!A:A,0))=0,"",INDEX('FB 콘텐츠 data 제목 입력'!C:C,MATCH('FB 신규발행'!A57,'FB 콘텐츠 data 제목 입력'!A:A,0))),"")</f>
        <v/>
      </c>
      <c r="E57" s="126" t="str">
        <f>IFERROR(INDEX('FB 콘텐츠 data'!$A$1:$AL$25,MATCH('FB 신규발행'!$A57,'FB 콘텐츠 data'!$AV:$AV,0),MATCH(E$2,'FB 콘텐츠 data'!$A$1:$AL$1,0)),"")</f>
        <v/>
      </c>
      <c r="F57" s="126" t="str">
        <f>IFERROR(INDEX('FB 콘텐츠 data'!$A$1:$AL$25,MATCH('FB 신규발행'!$A57,'FB 콘텐츠 data'!$AV:$AV,0),MATCH(F$2,'FB 콘텐츠 data'!$A$1:$AL$1,0)),"")</f>
        <v/>
      </c>
      <c r="G57" s="126" t="str">
        <f>IFERROR(INDEX('FB 콘텐츠 data'!$A$1:$AL$25,MATCH('FB 신규발행'!$A57,'FB 콘텐츠 data'!$AV:$AV,0),MATCH(G$2,'FB 콘텐츠 data'!$A$1:$AL$1,0)),"")</f>
        <v/>
      </c>
      <c r="H57" s="126" t="str">
        <f t="shared" si="5"/>
        <v/>
      </c>
      <c r="I57" s="126" t="str">
        <f>IFERROR(INDEX('FB 콘텐츠 data'!$A$1:$AL$25,MATCH('FB 신규발행'!$A57,'FB 콘텐츠 data'!$AV:$AV,0),MATCH(I$2,'FB 콘텐츠 data'!$A$1:$AL$1,0)),"")</f>
        <v/>
      </c>
      <c r="J57" s="126" t="str">
        <f>IFERROR(INDEX('FB 콘텐츠 data'!$A$1:$AL$25,MATCH('FB 신규발행'!$A57,'FB 콘텐츠 data'!$AV:$AV,0),MATCH(J$2,'FB 콘텐츠 data'!$A$1:$AL$1,0)),"")</f>
        <v/>
      </c>
      <c r="K57" s="216" t="str">
        <f>IFERROR(INDEX('FB 콘텐츠 data'!$A$1:$AV$25,MATCH('FB 신규발행'!$A57,'FB 콘텐츠 data'!$AV:$AV,0),MATCH(K$2,'FB 콘텐츠 data'!$A$1:$AV$1,0)),"")</f>
        <v/>
      </c>
      <c r="L57" s="126" t="str">
        <f>IFERROR(INDEX('FB 콘텐츠 data'!$A$1:$AL$25,MATCH('FB 신규발행'!$A57,'FB 콘텐츠 data'!$AV:$AV,0),MATCH(L$2,'FB 콘텐츠 data'!$A$1:$AL$1,0)),"")</f>
        <v/>
      </c>
      <c r="M57" s="126" t="str">
        <f>IFERROR(INDEX('FB 콘텐츠 data'!$A$1:$AL$25,MATCH('FB 신규발행'!$A57,'FB 콘텐츠 data'!$AV:$AV,0),MATCH(M$2,'FB 콘텐츠 data'!$A$1:$AL$1,0)),"")</f>
        <v/>
      </c>
      <c r="N57" s="126" t="str">
        <f>IFERROR(INDEX('FB 콘텐츠 data'!$A$1:$AL$25,MATCH('FB 신규발행'!$A57,'FB 콘텐츠 data'!$AV:$AV,0),MATCH(N$2,'FB 콘텐츠 data'!$A$1:$AL$1,0)),"")</f>
        <v/>
      </c>
      <c r="O57" s="126" t="str">
        <f>IFERROR(INDEX('FB 콘텐츠 data'!$A$1:$AL$25,MATCH('FB 신규발행'!$A57,'FB 콘텐츠 data'!$AV:$AV,0),MATCH(O$2,'FB 콘텐츠 data'!$A$1:$AL$1,0)),"")</f>
        <v/>
      </c>
      <c r="P57" s="126" t="str">
        <f>IFERROR(INDEX('FB 콘텐츠 data'!$A$1:$AL$25,MATCH('FB 신규발행'!$A57,'FB 콘텐츠 data'!$AV:$AV,0),MATCH(P$2,'FB 콘텐츠 data'!$A$1:$AL$1,0)),"")</f>
        <v/>
      </c>
      <c r="Q57" s="126" t="str">
        <f>IFERROR(INDEX('FB 콘텐츠 data'!$A$1:$AL$25,MATCH('FB 신규발행'!$A57,'FB 콘텐츠 data'!$AV:$AV,0),MATCH(Q$2,'FB 콘텐츠 data'!$A$1:$AL$1,0)),"")</f>
        <v/>
      </c>
      <c r="R57" s="127" t="str">
        <f t="shared" si="6"/>
        <v/>
      </c>
      <c r="T57" s="48" t="str">
        <f t="shared" si="7"/>
        <v/>
      </c>
      <c r="U57" s="48" t="str">
        <f t="shared" si="8"/>
        <v/>
      </c>
      <c r="Y57" s="113"/>
    </row>
    <row r="58" spans="1:25" ht="17.45" customHeight="1">
      <c r="A58" s="129">
        <v>56</v>
      </c>
      <c r="B58" s="124" t="str">
        <f>IFERROR(INDEX('FB 콘텐츠 data'!AU:AU,MATCH('FB 신규발행'!A58,'FB 콘텐츠 data'!AV:AV,0)),"")</f>
        <v/>
      </c>
      <c r="C58" s="125" t="str">
        <f>IFERROR(INDEX('FB 콘텐츠 data'!$A$1:$AL$25,MATCH('FB 신규발행'!$A58,'FB 콘텐츠 data'!$AV:$AV,0),MATCH(C$2,'FB 콘텐츠 data'!$A$1:$AL$1,0)),"")</f>
        <v/>
      </c>
      <c r="D58" s="128" t="str">
        <f>IFERROR(IF(INDEX('FB 콘텐츠 data 제목 입력'!C:C,MATCH('FB 신규발행'!A58,'FB 콘텐츠 data 제목 입력'!A:A,0))=0,"",INDEX('FB 콘텐츠 data 제목 입력'!C:C,MATCH('FB 신규발행'!A58,'FB 콘텐츠 data 제목 입력'!A:A,0))),"")</f>
        <v/>
      </c>
      <c r="E58" s="126" t="str">
        <f>IFERROR(INDEX('FB 콘텐츠 data'!$A$1:$AL$25,MATCH('FB 신규발행'!$A58,'FB 콘텐츠 data'!$AV:$AV,0),MATCH(E$2,'FB 콘텐츠 data'!$A$1:$AL$1,0)),"")</f>
        <v/>
      </c>
      <c r="F58" s="126" t="str">
        <f>IFERROR(INDEX('FB 콘텐츠 data'!$A$1:$AL$25,MATCH('FB 신규발행'!$A58,'FB 콘텐츠 data'!$AV:$AV,0),MATCH(F$2,'FB 콘텐츠 data'!$A$1:$AL$1,0)),"")</f>
        <v/>
      </c>
      <c r="G58" s="126" t="str">
        <f>IFERROR(INDEX('FB 콘텐츠 data'!$A$1:$AL$25,MATCH('FB 신규발행'!$A58,'FB 콘텐츠 data'!$AV:$AV,0),MATCH(G$2,'FB 콘텐츠 data'!$A$1:$AL$1,0)),"")</f>
        <v/>
      </c>
      <c r="H58" s="126" t="str">
        <f t="shared" si="5"/>
        <v/>
      </c>
      <c r="I58" s="126" t="str">
        <f>IFERROR(INDEX('FB 콘텐츠 data'!$A$1:$AL$25,MATCH('FB 신규발행'!$A58,'FB 콘텐츠 data'!$AV:$AV,0),MATCH(I$2,'FB 콘텐츠 data'!$A$1:$AL$1,0)),"")</f>
        <v/>
      </c>
      <c r="J58" s="126" t="str">
        <f>IFERROR(INDEX('FB 콘텐츠 data'!$A$1:$AL$25,MATCH('FB 신규발행'!$A58,'FB 콘텐츠 data'!$AV:$AV,0),MATCH(J$2,'FB 콘텐츠 data'!$A$1:$AL$1,0)),"")</f>
        <v/>
      </c>
      <c r="K58" s="216" t="str">
        <f>IFERROR(INDEX('FB 콘텐츠 data'!$A$1:$AV$25,MATCH('FB 신규발행'!$A58,'FB 콘텐츠 data'!$AV:$AV,0),MATCH(K$2,'FB 콘텐츠 data'!$A$1:$AV$1,0)),"")</f>
        <v/>
      </c>
      <c r="L58" s="126" t="str">
        <f>IFERROR(INDEX('FB 콘텐츠 data'!$A$1:$AL$25,MATCH('FB 신규발행'!$A58,'FB 콘텐츠 data'!$AV:$AV,0),MATCH(L$2,'FB 콘텐츠 data'!$A$1:$AL$1,0)),"")</f>
        <v/>
      </c>
      <c r="M58" s="126" t="str">
        <f>IFERROR(INDEX('FB 콘텐츠 data'!$A$1:$AL$25,MATCH('FB 신규발행'!$A58,'FB 콘텐츠 data'!$AV:$AV,0),MATCH(M$2,'FB 콘텐츠 data'!$A$1:$AL$1,0)),"")</f>
        <v/>
      </c>
      <c r="N58" s="126" t="str">
        <f>IFERROR(INDEX('FB 콘텐츠 data'!$A$1:$AL$25,MATCH('FB 신규발행'!$A58,'FB 콘텐츠 data'!$AV:$AV,0),MATCH(N$2,'FB 콘텐츠 data'!$A$1:$AL$1,0)),"")</f>
        <v/>
      </c>
      <c r="O58" s="126" t="str">
        <f>IFERROR(INDEX('FB 콘텐츠 data'!$A$1:$AL$25,MATCH('FB 신규발행'!$A58,'FB 콘텐츠 data'!$AV:$AV,0),MATCH(O$2,'FB 콘텐츠 data'!$A$1:$AL$1,0)),"")</f>
        <v/>
      </c>
      <c r="P58" s="126" t="str">
        <f>IFERROR(INDEX('FB 콘텐츠 data'!$A$1:$AL$25,MATCH('FB 신규발행'!$A58,'FB 콘텐츠 data'!$AV:$AV,0),MATCH(P$2,'FB 콘텐츠 data'!$A$1:$AL$1,0)),"")</f>
        <v/>
      </c>
      <c r="Q58" s="126" t="str">
        <f>IFERROR(INDEX('FB 콘텐츠 data'!$A$1:$AL$25,MATCH('FB 신규발행'!$A58,'FB 콘텐츠 data'!$AV:$AV,0),MATCH(Q$2,'FB 콘텐츠 data'!$A$1:$AL$1,0)),"")</f>
        <v/>
      </c>
      <c r="R58" s="127" t="str">
        <f t="shared" si="6"/>
        <v/>
      </c>
      <c r="T58" s="48" t="str">
        <f t="shared" si="7"/>
        <v/>
      </c>
      <c r="U58" s="48" t="str">
        <f t="shared" si="8"/>
        <v/>
      </c>
      <c r="Y58" s="113"/>
    </row>
    <row r="59" spans="1:25" ht="17.45" customHeight="1">
      <c r="A59" s="129">
        <v>57</v>
      </c>
      <c r="B59" s="124" t="str">
        <f>IFERROR(INDEX('FB 콘텐츠 data'!AU:AU,MATCH('FB 신규발행'!A59,'FB 콘텐츠 data'!AV:AV,0)),"")</f>
        <v/>
      </c>
      <c r="C59" s="125" t="str">
        <f>IFERROR(INDEX('FB 콘텐츠 data'!$A$1:$AL$25,MATCH('FB 신규발행'!$A59,'FB 콘텐츠 data'!$AV:$AV,0),MATCH(C$2,'FB 콘텐츠 data'!$A$1:$AL$1,0)),"")</f>
        <v/>
      </c>
      <c r="D59" s="128" t="str">
        <f>IFERROR(IF(INDEX('FB 콘텐츠 data 제목 입력'!C:C,MATCH('FB 신규발행'!A59,'FB 콘텐츠 data 제목 입력'!A:A,0))=0,"",INDEX('FB 콘텐츠 data 제목 입력'!C:C,MATCH('FB 신규발행'!A59,'FB 콘텐츠 data 제목 입력'!A:A,0))),"")</f>
        <v/>
      </c>
      <c r="E59" s="126" t="str">
        <f>IFERROR(INDEX('FB 콘텐츠 data'!$A$1:$AL$25,MATCH('FB 신규발행'!$A59,'FB 콘텐츠 data'!$AV:$AV,0),MATCH(E$2,'FB 콘텐츠 data'!$A$1:$AL$1,0)),"")</f>
        <v/>
      </c>
      <c r="F59" s="126" t="str">
        <f>IFERROR(INDEX('FB 콘텐츠 data'!$A$1:$AL$25,MATCH('FB 신규발행'!$A59,'FB 콘텐츠 data'!$AV:$AV,0),MATCH(F$2,'FB 콘텐츠 data'!$A$1:$AL$1,0)),"")</f>
        <v/>
      </c>
      <c r="G59" s="126" t="str">
        <f>IFERROR(INDEX('FB 콘텐츠 data'!$A$1:$AL$25,MATCH('FB 신규발행'!$A59,'FB 콘텐츠 data'!$AV:$AV,0),MATCH(G$2,'FB 콘텐츠 data'!$A$1:$AL$1,0)),"")</f>
        <v/>
      </c>
      <c r="H59" s="126" t="str">
        <f t="shared" si="5"/>
        <v/>
      </c>
      <c r="I59" s="126" t="str">
        <f>IFERROR(INDEX('FB 콘텐츠 data'!$A$1:$AL$25,MATCH('FB 신규발행'!$A59,'FB 콘텐츠 data'!$AV:$AV,0),MATCH(I$2,'FB 콘텐츠 data'!$A$1:$AL$1,0)),"")</f>
        <v/>
      </c>
      <c r="J59" s="126" t="str">
        <f>IFERROR(INDEX('FB 콘텐츠 data'!$A$1:$AL$25,MATCH('FB 신규발행'!$A59,'FB 콘텐츠 data'!$AV:$AV,0),MATCH(J$2,'FB 콘텐츠 data'!$A$1:$AL$1,0)),"")</f>
        <v/>
      </c>
      <c r="K59" s="216" t="str">
        <f>IFERROR(INDEX('FB 콘텐츠 data'!$A$1:$AV$25,MATCH('FB 신규발행'!$A59,'FB 콘텐츠 data'!$AV:$AV,0),MATCH(K$2,'FB 콘텐츠 data'!$A$1:$AV$1,0)),"")</f>
        <v/>
      </c>
      <c r="L59" s="126" t="str">
        <f>IFERROR(INDEX('FB 콘텐츠 data'!$A$1:$AL$25,MATCH('FB 신규발행'!$A59,'FB 콘텐츠 data'!$AV:$AV,0),MATCH(L$2,'FB 콘텐츠 data'!$A$1:$AL$1,0)),"")</f>
        <v/>
      </c>
      <c r="M59" s="126" t="str">
        <f>IFERROR(INDEX('FB 콘텐츠 data'!$A$1:$AL$25,MATCH('FB 신규발행'!$A59,'FB 콘텐츠 data'!$AV:$AV,0),MATCH(M$2,'FB 콘텐츠 data'!$A$1:$AL$1,0)),"")</f>
        <v/>
      </c>
      <c r="N59" s="126" t="str">
        <f>IFERROR(INDEX('FB 콘텐츠 data'!$A$1:$AL$25,MATCH('FB 신규발행'!$A59,'FB 콘텐츠 data'!$AV:$AV,0),MATCH(N$2,'FB 콘텐츠 data'!$A$1:$AL$1,0)),"")</f>
        <v/>
      </c>
      <c r="O59" s="126" t="str">
        <f>IFERROR(INDEX('FB 콘텐츠 data'!$A$1:$AL$25,MATCH('FB 신규발행'!$A59,'FB 콘텐츠 data'!$AV:$AV,0),MATCH(O$2,'FB 콘텐츠 data'!$A$1:$AL$1,0)),"")</f>
        <v/>
      </c>
      <c r="P59" s="126" t="str">
        <f>IFERROR(INDEX('FB 콘텐츠 data'!$A$1:$AL$25,MATCH('FB 신규발행'!$A59,'FB 콘텐츠 data'!$AV:$AV,0),MATCH(P$2,'FB 콘텐츠 data'!$A$1:$AL$1,0)),"")</f>
        <v/>
      </c>
      <c r="Q59" s="126" t="str">
        <f>IFERROR(INDEX('FB 콘텐츠 data'!$A$1:$AL$25,MATCH('FB 신규발행'!$A59,'FB 콘텐츠 data'!$AV:$AV,0),MATCH(Q$2,'FB 콘텐츠 data'!$A$1:$AL$1,0)),"")</f>
        <v/>
      </c>
      <c r="R59" s="127" t="str">
        <f t="shared" si="6"/>
        <v/>
      </c>
      <c r="T59" s="48" t="str">
        <f t="shared" si="7"/>
        <v/>
      </c>
      <c r="U59" s="48" t="str">
        <f t="shared" si="8"/>
        <v/>
      </c>
      <c r="Y59" s="113"/>
    </row>
    <row r="60" spans="1:25" ht="17.45" customHeight="1">
      <c r="A60" s="129">
        <v>58</v>
      </c>
      <c r="B60" s="124" t="str">
        <f>IFERROR(INDEX('FB 콘텐츠 data'!AU:AU,MATCH('FB 신규발행'!A60,'FB 콘텐츠 data'!AV:AV,0)),"")</f>
        <v/>
      </c>
      <c r="C60" s="125" t="str">
        <f>IFERROR(INDEX('FB 콘텐츠 data'!$A$1:$AL$25,MATCH('FB 신규발행'!$A60,'FB 콘텐츠 data'!$AV:$AV,0),MATCH(C$2,'FB 콘텐츠 data'!$A$1:$AL$1,0)),"")</f>
        <v/>
      </c>
      <c r="D60" s="128" t="str">
        <f>IFERROR(IF(INDEX('FB 콘텐츠 data 제목 입력'!C:C,MATCH('FB 신규발행'!A60,'FB 콘텐츠 data 제목 입력'!A:A,0))=0,"",INDEX('FB 콘텐츠 data 제목 입력'!C:C,MATCH('FB 신규발행'!A60,'FB 콘텐츠 data 제목 입력'!A:A,0))),"")</f>
        <v/>
      </c>
      <c r="E60" s="126" t="str">
        <f>IFERROR(INDEX('FB 콘텐츠 data'!$A$1:$AL$25,MATCH('FB 신규발행'!$A60,'FB 콘텐츠 data'!$AV:$AV,0),MATCH(E$2,'FB 콘텐츠 data'!$A$1:$AL$1,0)),"")</f>
        <v/>
      </c>
      <c r="F60" s="126" t="str">
        <f>IFERROR(INDEX('FB 콘텐츠 data'!$A$1:$AL$25,MATCH('FB 신규발행'!$A60,'FB 콘텐츠 data'!$AV:$AV,0),MATCH(F$2,'FB 콘텐츠 data'!$A$1:$AL$1,0)),"")</f>
        <v/>
      </c>
      <c r="G60" s="126" t="str">
        <f>IFERROR(INDEX('FB 콘텐츠 data'!$A$1:$AL$25,MATCH('FB 신규발행'!$A60,'FB 콘텐츠 data'!$AV:$AV,0),MATCH(G$2,'FB 콘텐츠 data'!$A$1:$AL$1,0)),"")</f>
        <v/>
      </c>
      <c r="H60" s="126" t="str">
        <f t="shared" si="5"/>
        <v/>
      </c>
      <c r="I60" s="126" t="str">
        <f>IFERROR(INDEX('FB 콘텐츠 data'!$A$1:$AL$25,MATCH('FB 신규발행'!$A60,'FB 콘텐츠 data'!$AV:$AV,0),MATCH(I$2,'FB 콘텐츠 data'!$A$1:$AL$1,0)),"")</f>
        <v/>
      </c>
      <c r="J60" s="126" t="str">
        <f>IFERROR(INDEX('FB 콘텐츠 data'!$A$1:$AL$25,MATCH('FB 신규발행'!$A60,'FB 콘텐츠 data'!$AV:$AV,0),MATCH(J$2,'FB 콘텐츠 data'!$A$1:$AL$1,0)),"")</f>
        <v/>
      </c>
      <c r="K60" s="216" t="str">
        <f>IFERROR(INDEX('FB 콘텐츠 data'!$A$1:$AV$25,MATCH('FB 신규발행'!$A60,'FB 콘텐츠 data'!$AV:$AV,0),MATCH(K$2,'FB 콘텐츠 data'!$A$1:$AV$1,0)),"")</f>
        <v/>
      </c>
      <c r="L60" s="126" t="str">
        <f>IFERROR(INDEX('FB 콘텐츠 data'!$A$1:$AL$25,MATCH('FB 신규발행'!$A60,'FB 콘텐츠 data'!$AV:$AV,0),MATCH(L$2,'FB 콘텐츠 data'!$A$1:$AL$1,0)),"")</f>
        <v/>
      </c>
      <c r="M60" s="126" t="str">
        <f>IFERROR(INDEX('FB 콘텐츠 data'!$A$1:$AL$25,MATCH('FB 신규발행'!$A60,'FB 콘텐츠 data'!$AV:$AV,0),MATCH(M$2,'FB 콘텐츠 data'!$A$1:$AL$1,0)),"")</f>
        <v/>
      </c>
      <c r="N60" s="126" t="str">
        <f>IFERROR(INDEX('FB 콘텐츠 data'!$A$1:$AL$25,MATCH('FB 신규발행'!$A60,'FB 콘텐츠 data'!$AV:$AV,0),MATCH(N$2,'FB 콘텐츠 data'!$A$1:$AL$1,0)),"")</f>
        <v/>
      </c>
      <c r="O60" s="126" t="str">
        <f>IFERROR(INDEX('FB 콘텐츠 data'!$A$1:$AL$25,MATCH('FB 신규발행'!$A60,'FB 콘텐츠 data'!$AV:$AV,0),MATCH(O$2,'FB 콘텐츠 data'!$A$1:$AL$1,0)),"")</f>
        <v/>
      </c>
      <c r="P60" s="126" t="str">
        <f>IFERROR(INDEX('FB 콘텐츠 data'!$A$1:$AL$25,MATCH('FB 신규발행'!$A60,'FB 콘텐츠 data'!$AV:$AV,0),MATCH(P$2,'FB 콘텐츠 data'!$A$1:$AL$1,0)),"")</f>
        <v/>
      </c>
      <c r="Q60" s="126" t="str">
        <f>IFERROR(INDEX('FB 콘텐츠 data'!$A$1:$AL$25,MATCH('FB 신규발행'!$A60,'FB 콘텐츠 data'!$AV:$AV,0),MATCH(Q$2,'FB 콘텐츠 data'!$A$1:$AL$1,0)),"")</f>
        <v/>
      </c>
      <c r="R60" s="127" t="str">
        <f t="shared" si="6"/>
        <v/>
      </c>
      <c r="T60" s="48" t="str">
        <f t="shared" si="7"/>
        <v/>
      </c>
      <c r="U60" s="48" t="str">
        <f t="shared" si="8"/>
        <v/>
      </c>
      <c r="Y60" s="113"/>
    </row>
    <row r="61" spans="1:25" ht="17.45" customHeight="1">
      <c r="A61" s="129">
        <v>59</v>
      </c>
      <c r="B61" s="124" t="str">
        <f>IFERROR(INDEX('FB 콘텐츠 data'!AU:AU,MATCH('FB 신규발행'!A61,'FB 콘텐츠 data'!AV:AV,0)),"")</f>
        <v/>
      </c>
      <c r="C61" s="125" t="str">
        <f>IFERROR(INDEX('FB 콘텐츠 data'!$A$1:$AL$25,MATCH('FB 신규발행'!$A61,'FB 콘텐츠 data'!$AV:$AV,0),MATCH(C$2,'FB 콘텐츠 data'!$A$1:$AL$1,0)),"")</f>
        <v/>
      </c>
      <c r="D61" s="128" t="str">
        <f>IFERROR(IF(INDEX('FB 콘텐츠 data 제목 입력'!C:C,MATCH('FB 신규발행'!A61,'FB 콘텐츠 data 제목 입력'!A:A,0))=0,"",INDEX('FB 콘텐츠 data 제목 입력'!C:C,MATCH('FB 신규발행'!A61,'FB 콘텐츠 data 제목 입력'!A:A,0))),"")</f>
        <v/>
      </c>
      <c r="E61" s="126" t="str">
        <f>IFERROR(INDEX('FB 콘텐츠 data'!$A$1:$AL$25,MATCH('FB 신규발행'!$A61,'FB 콘텐츠 data'!$AV:$AV,0),MATCH(E$2,'FB 콘텐츠 data'!$A$1:$AL$1,0)),"")</f>
        <v/>
      </c>
      <c r="F61" s="126" t="str">
        <f>IFERROR(INDEX('FB 콘텐츠 data'!$A$1:$AL$25,MATCH('FB 신규발행'!$A61,'FB 콘텐츠 data'!$AV:$AV,0),MATCH(F$2,'FB 콘텐츠 data'!$A$1:$AL$1,0)),"")</f>
        <v/>
      </c>
      <c r="G61" s="126" t="str">
        <f>IFERROR(INDEX('FB 콘텐츠 data'!$A$1:$AL$25,MATCH('FB 신규발행'!$A61,'FB 콘텐츠 data'!$AV:$AV,0),MATCH(G$2,'FB 콘텐츠 data'!$A$1:$AL$1,0)),"")</f>
        <v/>
      </c>
      <c r="H61" s="126" t="str">
        <f t="shared" si="5"/>
        <v/>
      </c>
      <c r="I61" s="126" t="str">
        <f>IFERROR(INDEX('FB 콘텐츠 data'!$A$1:$AL$25,MATCH('FB 신규발행'!$A61,'FB 콘텐츠 data'!$AV:$AV,0),MATCH(I$2,'FB 콘텐츠 data'!$A$1:$AL$1,0)),"")</f>
        <v/>
      </c>
      <c r="J61" s="126" t="str">
        <f>IFERROR(INDEX('FB 콘텐츠 data'!$A$1:$AL$25,MATCH('FB 신규발행'!$A61,'FB 콘텐츠 data'!$AV:$AV,0),MATCH(J$2,'FB 콘텐츠 data'!$A$1:$AL$1,0)),"")</f>
        <v/>
      </c>
      <c r="K61" s="216" t="str">
        <f>IFERROR(INDEX('FB 콘텐츠 data'!$A$1:$AV$25,MATCH('FB 신규발행'!$A61,'FB 콘텐츠 data'!$AV:$AV,0),MATCH(K$2,'FB 콘텐츠 data'!$A$1:$AV$1,0)),"")</f>
        <v/>
      </c>
      <c r="L61" s="126" t="str">
        <f>IFERROR(INDEX('FB 콘텐츠 data'!$A$1:$AL$25,MATCH('FB 신규발행'!$A61,'FB 콘텐츠 data'!$AV:$AV,0),MATCH(L$2,'FB 콘텐츠 data'!$A$1:$AL$1,0)),"")</f>
        <v/>
      </c>
      <c r="M61" s="126" t="str">
        <f>IFERROR(INDEX('FB 콘텐츠 data'!$A$1:$AL$25,MATCH('FB 신규발행'!$A61,'FB 콘텐츠 data'!$AV:$AV,0),MATCH(M$2,'FB 콘텐츠 data'!$A$1:$AL$1,0)),"")</f>
        <v/>
      </c>
      <c r="N61" s="126" t="str">
        <f>IFERROR(INDEX('FB 콘텐츠 data'!$A$1:$AL$25,MATCH('FB 신규발행'!$A61,'FB 콘텐츠 data'!$AV:$AV,0),MATCH(N$2,'FB 콘텐츠 data'!$A$1:$AL$1,0)),"")</f>
        <v/>
      </c>
      <c r="O61" s="126" t="str">
        <f>IFERROR(INDEX('FB 콘텐츠 data'!$A$1:$AL$25,MATCH('FB 신규발행'!$A61,'FB 콘텐츠 data'!$AV:$AV,0),MATCH(O$2,'FB 콘텐츠 data'!$A$1:$AL$1,0)),"")</f>
        <v/>
      </c>
      <c r="P61" s="126" t="str">
        <f>IFERROR(INDEX('FB 콘텐츠 data'!$A$1:$AL$25,MATCH('FB 신규발행'!$A61,'FB 콘텐츠 data'!$AV:$AV,0),MATCH(P$2,'FB 콘텐츠 data'!$A$1:$AL$1,0)),"")</f>
        <v/>
      </c>
      <c r="Q61" s="126" t="str">
        <f>IFERROR(INDEX('FB 콘텐츠 data'!$A$1:$AL$25,MATCH('FB 신규발행'!$A61,'FB 콘텐츠 data'!$AV:$AV,0),MATCH(Q$2,'FB 콘텐츠 data'!$A$1:$AL$1,0)),"")</f>
        <v/>
      </c>
      <c r="R61" s="127" t="str">
        <f t="shared" si="6"/>
        <v/>
      </c>
      <c r="T61" s="48" t="str">
        <f t="shared" si="7"/>
        <v/>
      </c>
      <c r="U61" s="48" t="str">
        <f t="shared" si="8"/>
        <v/>
      </c>
      <c r="Y61" s="113"/>
    </row>
    <row r="62" spans="1:25" ht="17.45" customHeight="1">
      <c r="A62" s="129">
        <v>60</v>
      </c>
      <c r="B62" s="124" t="str">
        <f>IFERROR(INDEX('FB 콘텐츠 data'!AU:AU,MATCH('FB 신규발행'!A62,'FB 콘텐츠 data'!AV:AV,0)),"")</f>
        <v/>
      </c>
      <c r="C62" s="125" t="str">
        <f>IFERROR(INDEX('FB 콘텐츠 data'!$A$1:$AL$25,MATCH('FB 신규발행'!$A62,'FB 콘텐츠 data'!$AV:$AV,0),MATCH(C$2,'FB 콘텐츠 data'!$A$1:$AL$1,0)),"")</f>
        <v/>
      </c>
      <c r="D62" s="128" t="str">
        <f>IFERROR(IF(INDEX('FB 콘텐츠 data 제목 입력'!C:C,MATCH('FB 신규발행'!A62,'FB 콘텐츠 data 제목 입력'!A:A,0))=0,"",INDEX('FB 콘텐츠 data 제목 입력'!C:C,MATCH('FB 신규발행'!A62,'FB 콘텐츠 data 제목 입력'!A:A,0))),"")</f>
        <v/>
      </c>
      <c r="E62" s="126" t="str">
        <f>IFERROR(INDEX('FB 콘텐츠 data'!$A$1:$AL$25,MATCH('FB 신규발행'!$A62,'FB 콘텐츠 data'!$AV:$AV,0),MATCH(E$2,'FB 콘텐츠 data'!$A$1:$AL$1,0)),"")</f>
        <v/>
      </c>
      <c r="F62" s="126" t="str">
        <f>IFERROR(INDEX('FB 콘텐츠 data'!$A$1:$AL$25,MATCH('FB 신규발행'!$A62,'FB 콘텐츠 data'!$AV:$AV,0),MATCH(F$2,'FB 콘텐츠 data'!$A$1:$AL$1,0)),"")</f>
        <v/>
      </c>
      <c r="G62" s="126" t="str">
        <f>IFERROR(INDEX('FB 콘텐츠 data'!$A$1:$AL$25,MATCH('FB 신규발행'!$A62,'FB 콘텐츠 data'!$AV:$AV,0),MATCH(G$2,'FB 콘텐츠 data'!$A$1:$AL$1,0)),"")</f>
        <v/>
      </c>
      <c r="H62" s="126" t="str">
        <f t="shared" si="5"/>
        <v/>
      </c>
      <c r="I62" s="126" t="str">
        <f>IFERROR(INDEX('FB 콘텐츠 data'!$A$1:$AL$25,MATCH('FB 신규발행'!$A62,'FB 콘텐츠 data'!$AV:$AV,0),MATCH(I$2,'FB 콘텐츠 data'!$A$1:$AL$1,0)),"")</f>
        <v/>
      </c>
      <c r="J62" s="126" t="str">
        <f>IFERROR(INDEX('FB 콘텐츠 data'!$A$1:$AL$25,MATCH('FB 신규발행'!$A62,'FB 콘텐츠 data'!$AV:$AV,0),MATCH(J$2,'FB 콘텐츠 data'!$A$1:$AL$1,0)),"")</f>
        <v/>
      </c>
      <c r="K62" s="216" t="str">
        <f>IFERROR(INDEX('FB 콘텐츠 data'!$A$1:$AV$25,MATCH('FB 신규발행'!$A62,'FB 콘텐츠 data'!$AV:$AV,0),MATCH(K$2,'FB 콘텐츠 data'!$A$1:$AV$1,0)),"")</f>
        <v/>
      </c>
      <c r="L62" s="126" t="str">
        <f>IFERROR(INDEX('FB 콘텐츠 data'!$A$1:$AL$25,MATCH('FB 신규발행'!$A62,'FB 콘텐츠 data'!$AV:$AV,0),MATCH(L$2,'FB 콘텐츠 data'!$A$1:$AL$1,0)),"")</f>
        <v/>
      </c>
      <c r="M62" s="126" t="str">
        <f>IFERROR(INDEX('FB 콘텐츠 data'!$A$1:$AL$25,MATCH('FB 신규발행'!$A62,'FB 콘텐츠 data'!$AV:$AV,0),MATCH(M$2,'FB 콘텐츠 data'!$A$1:$AL$1,0)),"")</f>
        <v/>
      </c>
      <c r="N62" s="126" t="str">
        <f>IFERROR(INDEX('FB 콘텐츠 data'!$A$1:$AL$25,MATCH('FB 신규발행'!$A62,'FB 콘텐츠 data'!$AV:$AV,0),MATCH(N$2,'FB 콘텐츠 data'!$A$1:$AL$1,0)),"")</f>
        <v/>
      </c>
      <c r="O62" s="126" t="str">
        <f>IFERROR(INDEX('FB 콘텐츠 data'!$A$1:$AL$25,MATCH('FB 신규발행'!$A62,'FB 콘텐츠 data'!$AV:$AV,0),MATCH(O$2,'FB 콘텐츠 data'!$A$1:$AL$1,0)),"")</f>
        <v/>
      </c>
      <c r="P62" s="126" t="str">
        <f>IFERROR(INDEX('FB 콘텐츠 data'!$A$1:$AL$25,MATCH('FB 신규발행'!$A62,'FB 콘텐츠 data'!$AV:$AV,0),MATCH(P$2,'FB 콘텐츠 data'!$A$1:$AL$1,0)),"")</f>
        <v/>
      </c>
      <c r="Q62" s="126" t="str">
        <f>IFERROR(INDEX('FB 콘텐츠 data'!$A$1:$AL$25,MATCH('FB 신규발행'!$A62,'FB 콘텐츠 data'!$AV:$AV,0),MATCH(Q$2,'FB 콘텐츠 data'!$A$1:$AL$1,0)),"")</f>
        <v/>
      </c>
      <c r="R62" s="127" t="str">
        <f t="shared" si="6"/>
        <v/>
      </c>
      <c r="T62" s="48" t="str">
        <f t="shared" si="7"/>
        <v/>
      </c>
      <c r="U62" s="48" t="str">
        <f t="shared" si="8"/>
        <v/>
      </c>
      <c r="Y62" s="113"/>
    </row>
    <row r="63" spans="1:25" ht="17.45" customHeight="1">
      <c r="A63" s="129">
        <v>61</v>
      </c>
      <c r="B63" s="124" t="str">
        <f>IFERROR(INDEX('FB 콘텐츠 data'!AU:AU,MATCH('FB 신규발행'!A63,'FB 콘텐츠 data'!AV:AV,0)),"")</f>
        <v/>
      </c>
      <c r="C63" s="125" t="str">
        <f>IFERROR(INDEX('FB 콘텐츠 data'!$A$1:$AL$25,MATCH('FB 신규발행'!$A63,'FB 콘텐츠 data'!$AV:$AV,0),MATCH(C$2,'FB 콘텐츠 data'!$A$1:$AL$1,0)),"")</f>
        <v/>
      </c>
      <c r="D63" s="128" t="str">
        <f>IFERROR(IF(INDEX('FB 콘텐츠 data 제목 입력'!C:C,MATCH('FB 신규발행'!A63,'FB 콘텐츠 data 제목 입력'!A:A,0))=0,"",INDEX('FB 콘텐츠 data 제목 입력'!C:C,MATCH('FB 신규발행'!A63,'FB 콘텐츠 data 제목 입력'!A:A,0))),"")</f>
        <v/>
      </c>
      <c r="E63" s="126" t="str">
        <f>IFERROR(INDEX('FB 콘텐츠 data'!$A$1:$AL$25,MATCH('FB 신규발행'!$A63,'FB 콘텐츠 data'!$AV:$AV,0),MATCH(E$2,'FB 콘텐츠 data'!$A$1:$AL$1,0)),"")</f>
        <v/>
      </c>
      <c r="F63" s="126" t="str">
        <f>IFERROR(INDEX('FB 콘텐츠 data'!$A$1:$AL$25,MATCH('FB 신규발행'!$A63,'FB 콘텐츠 data'!$AV:$AV,0),MATCH(F$2,'FB 콘텐츠 data'!$A$1:$AL$1,0)),"")</f>
        <v/>
      </c>
      <c r="G63" s="126" t="str">
        <f>IFERROR(INDEX('FB 콘텐츠 data'!$A$1:$AL$25,MATCH('FB 신규발행'!$A63,'FB 콘텐츠 data'!$AV:$AV,0),MATCH(G$2,'FB 콘텐츠 data'!$A$1:$AL$1,0)),"")</f>
        <v/>
      </c>
      <c r="H63" s="126" t="str">
        <f t="shared" si="5"/>
        <v/>
      </c>
      <c r="I63" s="126" t="str">
        <f>IFERROR(INDEX('FB 콘텐츠 data'!$A$1:$AL$25,MATCH('FB 신규발행'!$A63,'FB 콘텐츠 data'!$AV:$AV,0),MATCH(I$2,'FB 콘텐츠 data'!$A$1:$AL$1,0)),"")</f>
        <v/>
      </c>
      <c r="J63" s="126" t="str">
        <f>IFERROR(INDEX('FB 콘텐츠 data'!$A$1:$AL$25,MATCH('FB 신규발행'!$A63,'FB 콘텐츠 data'!$AV:$AV,0),MATCH(J$2,'FB 콘텐츠 data'!$A$1:$AL$1,0)),"")</f>
        <v/>
      </c>
      <c r="K63" s="216" t="str">
        <f>IFERROR(INDEX('FB 콘텐츠 data'!$A$1:$AV$25,MATCH('FB 신규발행'!$A63,'FB 콘텐츠 data'!$AV:$AV,0),MATCH(K$2,'FB 콘텐츠 data'!$A$1:$AV$1,0)),"")</f>
        <v/>
      </c>
      <c r="L63" s="126" t="str">
        <f>IFERROR(INDEX('FB 콘텐츠 data'!$A$1:$AL$25,MATCH('FB 신규발행'!$A63,'FB 콘텐츠 data'!$AV:$AV,0),MATCH(L$2,'FB 콘텐츠 data'!$A$1:$AL$1,0)),"")</f>
        <v/>
      </c>
      <c r="M63" s="126" t="str">
        <f>IFERROR(INDEX('FB 콘텐츠 data'!$A$1:$AL$25,MATCH('FB 신규발행'!$A63,'FB 콘텐츠 data'!$AV:$AV,0),MATCH(M$2,'FB 콘텐츠 data'!$A$1:$AL$1,0)),"")</f>
        <v/>
      </c>
      <c r="N63" s="126" t="str">
        <f>IFERROR(INDEX('FB 콘텐츠 data'!$A$1:$AL$25,MATCH('FB 신규발행'!$A63,'FB 콘텐츠 data'!$AV:$AV,0),MATCH(N$2,'FB 콘텐츠 data'!$A$1:$AL$1,0)),"")</f>
        <v/>
      </c>
      <c r="O63" s="126" t="str">
        <f>IFERROR(INDEX('FB 콘텐츠 data'!$A$1:$AL$25,MATCH('FB 신규발행'!$A63,'FB 콘텐츠 data'!$AV:$AV,0),MATCH(O$2,'FB 콘텐츠 data'!$A$1:$AL$1,0)),"")</f>
        <v/>
      </c>
      <c r="P63" s="126" t="str">
        <f>IFERROR(INDEX('FB 콘텐츠 data'!$A$1:$AL$25,MATCH('FB 신규발행'!$A63,'FB 콘텐츠 data'!$AV:$AV,0),MATCH(P$2,'FB 콘텐츠 data'!$A$1:$AL$1,0)),"")</f>
        <v/>
      </c>
      <c r="Q63" s="126" t="str">
        <f>IFERROR(INDEX('FB 콘텐츠 data'!$A$1:$AL$25,MATCH('FB 신규발행'!$A63,'FB 콘텐츠 data'!$AV:$AV,0),MATCH(Q$2,'FB 콘텐츠 data'!$A$1:$AL$1,0)),"")</f>
        <v/>
      </c>
      <c r="R63" s="127" t="str">
        <f t="shared" si="6"/>
        <v/>
      </c>
      <c r="T63" s="48" t="str">
        <f t="shared" si="7"/>
        <v/>
      </c>
      <c r="U63" s="48" t="str">
        <f t="shared" si="8"/>
        <v/>
      </c>
      <c r="Y63" s="113"/>
    </row>
    <row r="64" spans="1:25" ht="17.45" customHeight="1">
      <c r="A64" s="129">
        <v>62</v>
      </c>
      <c r="B64" s="124" t="str">
        <f>IFERROR(INDEX('FB 콘텐츠 data'!AU:AU,MATCH('FB 신규발행'!A64,'FB 콘텐츠 data'!AV:AV,0)),"")</f>
        <v/>
      </c>
      <c r="C64" s="125" t="str">
        <f>IFERROR(INDEX('FB 콘텐츠 data'!$A$1:$AL$25,MATCH('FB 신규발행'!$A64,'FB 콘텐츠 data'!$AV:$AV,0),MATCH(C$2,'FB 콘텐츠 data'!$A$1:$AL$1,0)),"")</f>
        <v/>
      </c>
      <c r="D64" s="128" t="str">
        <f>IFERROR(IF(INDEX('FB 콘텐츠 data 제목 입력'!C:C,MATCH('FB 신규발행'!A64,'FB 콘텐츠 data 제목 입력'!A:A,0))=0,"",INDEX('FB 콘텐츠 data 제목 입력'!C:C,MATCH('FB 신규발행'!A64,'FB 콘텐츠 data 제목 입력'!A:A,0))),"")</f>
        <v/>
      </c>
      <c r="E64" s="126" t="str">
        <f>IFERROR(INDEX('FB 콘텐츠 data'!$A$1:$AL$25,MATCH('FB 신규발행'!$A64,'FB 콘텐츠 data'!$AV:$AV,0),MATCH(E$2,'FB 콘텐츠 data'!$A$1:$AL$1,0)),"")</f>
        <v/>
      </c>
      <c r="F64" s="126" t="str">
        <f>IFERROR(INDEX('FB 콘텐츠 data'!$A$1:$AL$25,MATCH('FB 신규발행'!$A64,'FB 콘텐츠 data'!$AV:$AV,0),MATCH(F$2,'FB 콘텐츠 data'!$A$1:$AL$1,0)),"")</f>
        <v/>
      </c>
      <c r="G64" s="126" t="str">
        <f>IFERROR(INDEX('FB 콘텐츠 data'!$A$1:$AL$25,MATCH('FB 신규발행'!$A64,'FB 콘텐츠 data'!$AV:$AV,0),MATCH(G$2,'FB 콘텐츠 data'!$A$1:$AL$1,0)),"")</f>
        <v/>
      </c>
      <c r="H64" s="126" t="str">
        <f t="shared" si="5"/>
        <v/>
      </c>
      <c r="I64" s="126" t="str">
        <f>IFERROR(INDEX('FB 콘텐츠 data'!$A$1:$AL$25,MATCH('FB 신규발행'!$A64,'FB 콘텐츠 data'!$AV:$AV,0),MATCH(I$2,'FB 콘텐츠 data'!$A$1:$AL$1,0)),"")</f>
        <v/>
      </c>
      <c r="J64" s="126" t="str">
        <f>IFERROR(INDEX('FB 콘텐츠 data'!$A$1:$AL$25,MATCH('FB 신규발행'!$A64,'FB 콘텐츠 data'!$AV:$AV,0),MATCH(J$2,'FB 콘텐츠 data'!$A$1:$AL$1,0)),"")</f>
        <v/>
      </c>
      <c r="K64" s="216" t="str">
        <f>IFERROR(INDEX('FB 콘텐츠 data'!$A$1:$AV$25,MATCH('FB 신규발행'!$A64,'FB 콘텐츠 data'!$AV:$AV,0),MATCH(K$2,'FB 콘텐츠 data'!$A$1:$AV$1,0)),"")</f>
        <v/>
      </c>
      <c r="L64" s="126" t="str">
        <f>IFERROR(INDEX('FB 콘텐츠 data'!$A$1:$AL$25,MATCH('FB 신규발행'!$A64,'FB 콘텐츠 data'!$AV:$AV,0),MATCH(L$2,'FB 콘텐츠 data'!$A$1:$AL$1,0)),"")</f>
        <v/>
      </c>
      <c r="M64" s="126" t="str">
        <f>IFERROR(INDEX('FB 콘텐츠 data'!$A$1:$AL$25,MATCH('FB 신규발행'!$A64,'FB 콘텐츠 data'!$AV:$AV,0),MATCH(M$2,'FB 콘텐츠 data'!$A$1:$AL$1,0)),"")</f>
        <v/>
      </c>
      <c r="N64" s="126" t="str">
        <f>IFERROR(INDEX('FB 콘텐츠 data'!$A$1:$AL$25,MATCH('FB 신규발행'!$A64,'FB 콘텐츠 data'!$AV:$AV,0),MATCH(N$2,'FB 콘텐츠 data'!$A$1:$AL$1,0)),"")</f>
        <v/>
      </c>
      <c r="O64" s="126" t="str">
        <f>IFERROR(INDEX('FB 콘텐츠 data'!$A$1:$AL$25,MATCH('FB 신규발행'!$A64,'FB 콘텐츠 data'!$AV:$AV,0),MATCH(O$2,'FB 콘텐츠 data'!$A$1:$AL$1,0)),"")</f>
        <v/>
      </c>
      <c r="P64" s="126" t="str">
        <f>IFERROR(INDEX('FB 콘텐츠 data'!$A$1:$AL$25,MATCH('FB 신규발행'!$A64,'FB 콘텐츠 data'!$AV:$AV,0),MATCH(P$2,'FB 콘텐츠 data'!$A$1:$AL$1,0)),"")</f>
        <v/>
      </c>
      <c r="Q64" s="126" t="str">
        <f>IFERROR(INDEX('FB 콘텐츠 data'!$A$1:$AL$25,MATCH('FB 신규발행'!$A64,'FB 콘텐츠 data'!$AV:$AV,0),MATCH(Q$2,'FB 콘텐츠 data'!$A$1:$AL$1,0)),"")</f>
        <v/>
      </c>
      <c r="R64" s="127" t="str">
        <f t="shared" si="6"/>
        <v/>
      </c>
      <c r="T64" s="48" t="str">
        <f t="shared" si="7"/>
        <v/>
      </c>
      <c r="U64" s="48" t="str">
        <f t="shared" si="8"/>
        <v/>
      </c>
      <c r="Y64" s="113"/>
    </row>
    <row r="65" spans="1:25" ht="17.45" customHeight="1">
      <c r="A65" s="129">
        <v>63</v>
      </c>
      <c r="B65" s="124" t="str">
        <f>IFERROR(INDEX('FB 콘텐츠 data'!AU:AU,MATCH('FB 신규발행'!A65,'FB 콘텐츠 data'!AV:AV,0)),"")</f>
        <v/>
      </c>
      <c r="C65" s="125" t="str">
        <f>IFERROR(INDEX('FB 콘텐츠 data'!$A$1:$AL$25,MATCH('FB 신규발행'!$A65,'FB 콘텐츠 data'!$AV:$AV,0),MATCH(C$2,'FB 콘텐츠 data'!$A$1:$AL$1,0)),"")</f>
        <v/>
      </c>
      <c r="D65" s="128" t="str">
        <f>IFERROR(IF(INDEX('FB 콘텐츠 data 제목 입력'!C:C,MATCH('FB 신규발행'!A65,'FB 콘텐츠 data 제목 입력'!A:A,0))=0,"",INDEX('FB 콘텐츠 data 제목 입력'!C:C,MATCH('FB 신규발행'!A65,'FB 콘텐츠 data 제목 입력'!A:A,0))),"")</f>
        <v/>
      </c>
      <c r="E65" s="126" t="str">
        <f>IFERROR(INDEX('FB 콘텐츠 data'!$A$1:$AL$25,MATCH('FB 신규발행'!$A65,'FB 콘텐츠 data'!$AV:$AV,0),MATCH(E$2,'FB 콘텐츠 data'!$A$1:$AL$1,0)),"")</f>
        <v/>
      </c>
      <c r="F65" s="126" t="str">
        <f>IFERROR(INDEX('FB 콘텐츠 data'!$A$1:$AL$25,MATCH('FB 신규발행'!$A65,'FB 콘텐츠 data'!$AV:$AV,0),MATCH(F$2,'FB 콘텐츠 data'!$A$1:$AL$1,0)),"")</f>
        <v/>
      </c>
      <c r="G65" s="126" t="str">
        <f>IFERROR(INDEX('FB 콘텐츠 data'!$A$1:$AL$25,MATCH('FB 신규발행'!$A65,'FB 콘텐츠 data'!$AV:$AV,0),MATCH(G$2,'FB 콘텐츠 data'!$A$1:$AL$1,0)),"")</f>
        <v/>
      </c>
      <c r="H65" s="126" t="str">
        <f t="shared" si="5"/>
        <v/>
      </c>
      <c r="I65" s="126" t="str">
        <f>IFERROR(INDEX('FB 콘텐츠 data'!$A$1:$AL$25,MATCH('FB 신규발행'!$A65,'FB 콘텐츠 data'!$AV:$AV,0),MATCH(I$2,'FB 콘텐츠 data'!$A$1:$AL$1,0)),"")</f>
        <v/>
      </c>
      <c r="J65" s="126" t="str">
        <f>IFERROR(INDEX('FB 콘텐츠 data'!$A$1:$AL$25,MATCH('FB 신규발행'!$A65,'FB 콘텐츠 data'!$AV:$AV,0),MATCH(J$2,'FB 콘텐츠 data'!$A$1:$AL$1,0)),"")</f>
        <v/>
      </c>
      <c r="K65" s="216" t="str">
        <f>IFERROR(INDEX('FB 콘텐츠 data'!$A$1:$AV$25,MATCH('FB 신규발행'!$A65,'FB 콘텐츠 data'!$AV:$AV,0),MATCH(K$2,'FB 콘텐츠 data'!$A$1:$AV$1,0)),"")</f>
        <v/>
      </c>
      <c r="L65" s="126" t="str">
        <f>IFERROR(INDEX('FB 콘텐츠 data'!$A$1:$AL$25,MATCH('FB 신규발행'!$A65,'FB 콘텐츠 data'!$AV:$AV,0),MATCH(L$2,'FB 콘텐츠 data'!$A$1:$AL$1,0)),"")</f>
        <v/>
      </c>
      <c r="M65" s="126" t="str">
        <f>IFERROR(INDEX('FB 콘텐츠 data'!$A$1:$AL$25,MATCH('FB 신규발행'!$A65,'FB 콘텐츠 data'!$AV:$AV,0),MATCH(M$2,'FB 콘텐츠 data'!$A$1:$AL$1,0)),"")</f>
        <v/>
      </c>
      <c r="N65" s="126" t="str">
        <f>IFERROR(INDEX('FB 콘텐츠 data'!$A$1:$AL$25,MATCH('FB 신규발행'!$A65,'FB 콘텐츠 data'!$AV:$AV,0),MATCH(N$2,'FB 콘텐츠 data'!$A$1:$AL$1,0)),"")</f>
        <v/>
      </c>
      <c r="O65" s="126" t="str">
        <f>IFERROR(INDEX('FB 콘텐츠 data'!$A$1:$AL$25,MATCH('FB 신규발행'!$A65,'FB 콘텐츠 data'!$AV:$AV,0),MATCH(O$2,'FB 콘텐츠 data'!$A$1:$AL$1,0)),"")</f>
        <v/>
      </c>
      <c r="P65" s="126" t="str">
        <f>IFERROR(INDEX('FB 콘텐츠 data'!$A$1:$AL$25,MATCH('FB 신규발행'!$A65,'FB 콘텐츠 data'!$AV:$AV,0),MATCH(P$2,'FB 콘텐츠 data'!$A$1:$AL$1,0)),"")</f>
        <v/>
      </c>
      <c r="Q65" s="126" t="str">
        <f>IFERROR(INDEX('FB 콘텐츠 data'!$A$1:$AL$25,MATCH('FB 신규발행'!$A65,'FB 콘텐츠 data'!$AV:$AV,0),MATCH(Q$2,'FB 콘텐츠 data'!$A$1:$AL$1,0)),"")</f>
        <v/>
      </c>
      <c r="R65" s="127" t="str">
        <f t="shared" si="6"/>
        <v/>
      </c>
      <c r="T65" s="48" t="str">
        <f t="shared" si="7"/>
        <v/>
      </c>
      <c r="U65" s="48" t="str">
        <f t="shared" si="8"/>
        <v/>
      </c>
      <c r="Y65" s="113"/>
    </row>
    <row r="66" spans="1:25" ht="17.45" customHeight="1">
      <c r="A66" s="129">
        <v>64</v>
      </c>
      <c r="B66" s="124" t="str">
        <f>IFERROR(INDEX('FB 콘텐츠 data'!AU:AU,MATCH('FB 신규발행'!A66,'FB 콘텐츠 data'!AV:AV,0)),"")</f>
        <v/>
      </c>
      <c r="C66" s="125" t="str">
        <f>IFERROR(INDEX('FB 콘텐츠 data'!$A$1:$AL$25,MATCH('FB 신규발행'!$A66,'FB 콘텐츠 data'!$AV:$AV,0),MATCH(C$2,'FB 콘텐츠 data'!$A$1:$AL$1,0)),"")</f>
        <v/>
      </c>
      <c r="D66" s="128" t="str">
        <f>IFERROR(IF(INDEX('FB 콘텐츠 data 제목 입력'!C:C,MATCH('FB 신규발행'!A66,'FB 콘텐츠 data 제목 입력'!A:A,0))=0,"",INDEX('FB 콘텐츠 data 제목 입력'!C:C,MATCH('FB 신규발행'!A66,'FB 콘텐츠 data 제목 입력'!A:A,0))),"")</f>
        <v/>
      </c>
      <c r="E66" s="126" t="str">
        <f>IFERROR(INDEX('FB 콘텐츠 data'!$A$1:$AL$25,MATCH('FB 신규발행'!$A66,'FB 콘텐츠 data'!$AV:$AV,0),MATCH(E$2,'FB 콘텐츠 data'!$A$1:$AL$1,0)),"")</f>
        <v/>
      </c>
      <c r="F66" s="126" t="str">
        <f>IFERROR(INDEX('FB 콘텐츠 data'!$A$1:$AL$25,MATCH('FB 신규발행'!$A66,'FB 콘텐츠 data'!$AV:$AV,0),MATCH(F$2,'FB 콘텐츠 data'!$A$1:$AL$1,0)),"")</f>
        <v/>
      </c>
      <c r="G66" s="126" t="str">
        <f>IFERROR(INDEX('FB 콘텐츠 data'!$A$1:$AL$25,MATCH('FB 신규발행'!$A66,'FB 콘텐츠 data'!$AV:$AV,0),MATCH(G$2,'FB 콘텐츠 data'!$A$1:$AL$1,0)),"")</f>
        <v/>
      </c>
      <c r="H66" s="126" t="str">
        <f t="shared" si="5"/>
        <v/>
      </c>
      <c r="I66" s="126" t="str">
        <f>IFERROR(INDEX('FB 콘텐츠 data'!$A$1:$AL$25,MATCH('FB 신규발행'!$A66,'FB 콘텐츠 data'!$AV:$AV,0),MATCH(I$2,'FB 콘텐츠 data'!$A$1:$AL$1,0)),"")</f>
        <v/>
      </c>
      <c r="J66" s="126" t="str">
        <f>IFERROR(INDEX('FB 콘텐츠 data'!$A$1:$AL$25,MATCH('FB 신규발행'!$A66,'FB 콘텐츠 data'!$AV:$AV,0),MATCH(J$2,'FB 콘텐츠 data'!$A$1:$AL$1,0)),"")</f>
        <v/>
      </c>
      <c r="K66" s="216" t="str">
        <f>IFERROR(INDEX('FB 콘텐츠 data'!$A$1:$AV$25,MATCH('FB 신규발행'!$A66,'FB 콘텐츠 data'!$AV:$AV,0),MATCH(K$2,'FB 콘텐츠 data'!$A$1:$AV$1,0)),"")</f>
        <v/>
      </c>
      <c r="L66" s="126" t="str">
        <f>IFERROR(INDEX('FB 콘텐츠 data'!$A$1:$AL$25,MATCH('FB 신규발행'!$A66,'FB 콘텐츠 data'!$AV:$AV,0),MATCH(L$2,'FB 콘텐츠 data'!$A$1:$AL$1,0)),"")</f>
        <v/>
      </c>
      <c r="M66" s="126" t="str">
        <f>IFERROR(INDEX('FB 콘텐츠 data'!$A$1:$AL$25,MATCH('FB 신규발행'!$A66,'FB 콘텐츠 data'!$AV:$AV,0),MATCH(M$2,'FB 콘텐츠 data'!$A$1:$AL$1,0)),"")</f>
        <v/>
      </c>
      <c r="N66" s="126" t="str">
        <f>IFERROR(INDEX('FB 콘텐츠 data'!$A$1:$AL$25,MATCH('FB 신규발행'!$A66,'FB 콘텐츠 data'!$AV:$AV,0),MATCH(N$2,'FB 콘텐츠 data'!$A$1:$AL$1,0)),"")</f>
        <v/>
      </c>
      <c r="O66" s="126" t="str">
        <f>IFERROR(INDEX('FB 콘텐츠 data'!$A$1:$AL$25,MATCH('FB 신규발행'!$A66,'FB 콘텐츠 data'!$AV:$AV,0),MATCH(O$2,'FB 콘텐츠 data'!$A$1:$AL$1,0)),"")</f>
        <v/>
      </c>
      <c r="P66" s="126" t="str">
        <f>IFERROR(INDEX('FB 콘텐츠 data'!$A$1:$AL$25,MATCH('FB 신규발행'!$A66,'FB 콘텐츠 data'!$AV:$AV,0),MATCH(P$2,'FB 콘텐츠 data'!$A$1:$AL$1,0)),"")</f>
        <v/>
      </c>
      <c r="Q66" s="126" t="str">
        <f>IFERROR(INDEX('FB 콘텐츠 data'!$A$1:$AL$25,MATCH('FB 신규발행'!$A66,'FB 콘텐츠 data'!$AV:$AV,0),MATCH(Q$2,'FB 콘텐츠 data'!$A$1:$AL$1,0)),"")</f>
        <v/>
      </c>
      <c r="R66" s="127" t="str">
        <f t="shared" si="6"/>
        <v/>
      </c>
      <c r="T66" s="48" t="str">
        <f t="shared" si="7"/>
        <v/>
      </c>
      <c r="U66" s="48" t="str">
        <f t="shared" si="8"/>
        <v/>
      </c>
      <c r="Y66" s="113"/>
    </row>
    <row r="67" spans="1:25" ht="17.45" customHeight="1">
      <c r="A67" s="129">
        <v>65</v>
      </c>
      <c r="B67" s="124" t="str">
        <f>IFERROR(INDEX('FB 콘텐츠 data'!AU:AU,MATCH('FB 신규발행'!A67,'FB 콘텐츠 data'!AV:AV,0)),"")</f>
        <v/>
      </c>
      <c r="C67" s="125" t="str">
        <f>IFERROR(INDEX('FB 콘텐츠 data'!$A$1:$AL$25,MATCH('FB 신규발행'!$A67,'FB 콘텐츠 data'!$AV:$AV,0),MATCH(C$2,'FB 콘텐츠 data'!$A$1:$AL$1,0)),"")</f>
        <v/>
      </c>
      <c r="D67" s="128" t="str">
        <f>IFERROR(IF(INDEX('FB 콘텐츠 data 제목 입력'!C:C,MATCH('FB 신규발행'!A67,'FB 콘텐츠 data 제목 입력'!A:A,0))=0,"",INDEX('FB 콘텐츠 data 제목 입력'!C:C,MATCH('FB 신규발행'!A67,'FB 콘텐츠 data 제목 입력'!A:A,0))),"")</f>
        <v/>
      </c>
      <c r="E67" s="126" t="str">
        <f>IFERROR(INDEX('FB 콘텐츠 data'!$A$1:$AL$25,MATCH('FB 신규발행'!$A67,'FB 콘텐츠 data'!$AV:$AV,0),MATCH(E$2,'FB 콘텐츠 data'!$A$1:$AL$1,0)),"")</f>
        <v/>
      </c>
      <c r="F67" s="126" t="str">
        <f>IFERROR(INDEX('FB 콘텐츠 data'!$A$1:$AL$25,MATCH('FB 신규발행'!$A67,'FB 콘텐츠 data'!$AV:$AV,0),MATCH(F$2,'FB 콘텐츠 data'!$A$1:$AL$1,0)),"")</f>
        <v/>
      </c>
      <c r="G67" s="126" t="str">
        <f>IFERROR(INDEX('FB 콘텐츠 data'!$A$1:$AL$25,MATCH('FB 신규발행'!$A67,'FB 콘텐츠 data'!$AV:$AV,0),MATCH(G$2,'FB 콘텐츠 data'!$A$1:$AL$1,0)),"")</f>
        <v/>
      </c>
      <c r="H67" s="126" t="str">
        <f t="shared" ref="H67:H98" si="9">IF(B67="","",I67+J67+O67+Q67)</f>
        <v/>
      </c>
      <c r="I67" s="126" t="str">
        <f>IFERROR(INDEX('FB 콘텐츠 data'!$A$1:$AL$25,MATCH('FB 신규발행'!$A67,'FB 콘텐츠 data'!$AV:$AV,0),MATCH(I$2,'FB 콘텐츠 data'!$A$1:$AL$1,0)),"")</f>
        <v/>
      </c>
      <c r="J67" s="126" t="str">
        <f>IFERROR(INDEX('FB 콘텐츠 data'!$A$1:$AL$25,MATCH('FB 신규발행'!$A67,'FB 콘텐츠 data'!$AV:$AV,0),MATCH(J$2,'FB 콘텐츠 data'!$A$1:$AL$1,0)),"")</f>
        <v/>
      </c>
      <c r="K67" s="216" t="str">
        <f>IFERROR(INDEX('FB 콘텐츠 data'!$A$1:$AV$25,MATCH('FB 신규발행'!$A67,'FB 콘텐츠 data'!$AV:$AV,0),MATCH(K$2,'FB 콘텐츠 data'!$A$1:$AV$1,0)),"")</f>
        <v/>
      </c>
      <c r="L67" s="126" t="str">
        <f>IFERROR(INDEX('FB 콘텐츠 data'!$A$1:$AL$25,MATCH('FB 신규발행'!$A67,'FB 콘텐츠 data'!$AV:$AV,0),MATCH(L$2,'FB 콘텐츠 data'!$A$1:$AL$1,0)),"")</f>
        <v/>
      </c>
      <c r="M67" s="126" t="str">
        <f>IFERROR(INDEX('FB 콘텐츠 data'!$A$1:$AL$25,MATCH('FB 신규발행'!$A67,'FB 콘텐츠 data'!$AV:$AV,0),MATCH(M$2,'FB 콘텐츠 data'!$A$1:$AL$1,0)),"")</f>
        <v/>
      </c>
      <c r="N67" s="126" t="str">
        <f>IFERROR(INDEX('FB 콘텐츠 data'!$A$1:$AL$25,MATCH('FB 신규발행'!$A67,'FB 콘텐츠 data'!$AV:$AV,0),MATCH(N$2,'FB 콘텐츠 data'!$A$1:$AL$1,0)),"")</f>
        <v/>
      </c>
      <c r="O67" s="126" t="str">
        <f>IFERROR(INDEX('FB 콘텐츠 data'!$A$1:$AL$25,MATCH('FB 신규발행'!$A67,'FB 콘텐츠 data'!$AV:$AV,0),MATCH(O$2,'FB 콘텐츠 data'!$A$1:$AL$1,0)),"")</f>
        <v/>
      </c>
      <c r="P67" s="126" t="str">
        <f>IFERROR(INDEX('FB 콘텐츠 data'!$A$1:$AL$25,MATCH('FB 신규발행'!$A67,'FB 콘텐츠 data'!$AV:$AV,0),MATCH(P$2,'FB 콘텐츠 data'!$A$1:$AL$1,0)),"")</f>
        <v/>
      </c>
      <c r="Q67" s="126" t="str">
        <f>IFERROR(INDEX('FB 콘텐츠 data'!$A$1:$AL$25,MATCH('FB 신규발행'!$A67,'FB 콘텐츠 data'!$AV:$AV,0),MATCH(Q$2,'FB 콘텐츠 data'!$A$1:$AL$1,0)),"")</f>
        <v/>
      </c>
      <c r="R67" s="127" t="str">
        <f t="shared" ref="R67:R82" si="10">IFERROR(H67/F67,"")</f>
        <v/>
      </c>
      <c r="T67" s="48" t="str">
        <f t="shared" ref="T67:T82" si="11">IFERROR(RANK(R67,$R$3:$R$82,0),"")</f>
        <v/>
      </c>
      <c r="U67" s="48" t="str">
        <f t="shared" ref="U67:U82" si="12">IFERROR(RANK(E67,$E$3:$E$82,0),"")</f>
        <v/>
      </c>
      <c r="Y67" s="113"/>
    </row>
    <row r="68" spans="1:25" ht="17.45" customHeight="1">
      <c r="A68" s="129">
        <v>66</v>
      </c>
      <c r="B68" s="124" t="str">
        <f>IFERROR(INDEX('FB 콘텐츠 data'!AU:AU,MATCH('FB 신규발행'!A68,'FB 콘텐츠 data'!AV:AV,0)),"")</f>
        <v/>
      </c>
      <c r="C68" s="125" t="str">
        <f>IFERROR(INDEX('FB 콘텐츠 data'!$A$1:$AL$25,MATCH('FB 신규발행'!$A68,'FB 콘텐츠 data'!$AV:$AV,0),MATCH(C$2,'FB 콘텐츠 data'!$A$1:$AL$1,0)),"")</f>
        <v/>
      </c>
      <c r="D68" s="128" t="str">
        <f>IFERROR(IF(INDEX('FB 콘텐츠 data 제목 입력'!C:C,MATCH('FB 신규발행'!A68,'FB 콘텐츠 data 제목 입력'!A:A,0))=0,"",INDEX('FB 콘텐츠 data 제목 입력'!C:C,MATCH('FB 신규발행'!A68,'FB 콘텐츠 data 제목 입력'!A:A,0))),"")</f>
        <v/>
      </c>
      <c r="E68" s="126" t="str">
        <f>IFERROR(INDEX('FB 콘텐츠 data'!$A$1:$AL$25,MATCH('FB 신규발행'!$A68,'FB 콘텐츠 data'!$AV:$AV,0),MATCH(E$2,'FB 콘텐츠 data'!$A$1:$AL$1,0)),"")</f>
        <v/>
      </c>
      <c r="F68" s="126" t="str">
        <f>IFERROR(INDEX('FB 콘텐츠 data'!$A$1:$AL$25,MATCH('FB 신규발행'!$A68,'FB 콘텐츠 data'!$AV:$AV,0),MATCH(F$2,'FB 콘텐츠 data'!$A$1:$AL$1,0)),"")</f>
        <v/>
      </c>
      <c r="G68" s="126" t="str">
        <f>IFERROR(INDEX('FB 콘텐츠 data'!$A$1:$AL$25,MATCH('FB 신규발행'!$A68,'FB 콘텐츠 data'!$AV:$AV,0),MATCH(G$2,'FB 콘텐츠 data'!$A$1:$AL$1,0)),"")</f>
        <v/>
      </c>
      <c r="H68" s="126" t="str">
        <f t="shared" si="9"/>
        <v/>
      </c>
      <c r="I68" s="126" t="str">
        <f>IFERROR(INDEX('FB 콘텐츠 data'!$A$1:$AL$25,MATCH('FB 신규발행'!$A68,'FB 콘텐츠 data'!$AV:$AV,0),MATCH(I$2,'FB 콘텐츠 data'!$A$1:$AL$1,0)),"")</f>
        <v/>
      </c>
      <c r="J68" s="126" t="str">
        <f>IFERROR(INDEX('FB 콘텐츠 data'!$A$1:$AL$25,MATCH('FB 신규발행'!$A68,'FB 콘텐츠 data'!$AV:$AV,0),MATCH(J$2,'FB 콘텐츠 data'!$A$1:$AL$1,0)),"")</f>
        <v/>
      </c>
      <c r="K68" s="216" t="str">
        <f>IFERROR(INDEX('FB 콘텐츠 data'!$A$1:$AV$25,MATCH('FB 신규발행'!$A68,'FB 콘텐츠 data'!$AV:$AV,0),MATCH(K$2,'FB 콘텐츠 data'!$A$1:$AV$1,0)),"")</f>
        <v/>
      </c>
      <c r="L68" s="126" t="str">
        <f>IFERROR(INDEX('FB 콘텐츠 data'!$A$1:$AL$25,MATCH('FB 신규발행'!$A68,'FB 콘텐츠 data'!$AV:$AV,0),MATCH(L$2,'FB 콘텐츠 data'!$A$1:$AL$1,0)),"")</f>
        <v/>
      </c>
      <c r="M68" s="126" t="str">
        <f>IFERROR(INDEX('FB 콘텐츠 data'!$A$1:$AL$25,MATCH('FB 신규발행'!$A68,'FB 콘텐츠 data'!$AV:$AV,0),MATCH(M$2,'FB 콘텐츠 data'!$A$1:$AL$1,0)),"")</f>
        <v/>
      </c>
      <c r="N68" s="126" t="str">
        <f>IFERROR(INDEX('FB 콘텐츠 data'!$A$1:$AL$25,MATCH('FB 신규발행'!$A68,'FB 콘텐츠 data'!$AV:$AV,0),MATCH(N$2,'FB 콘텐츠 data'!$A$1:$AL$1,0)),"")</f>
        <v/>
      </c>
      <c r="O68" s="126" t="str">
        <f>IFERROR(INDEX('FB 콘텐츠 data'!$A$1:$AL$25,MATCH('FB 신규발행'!$A68,'FB 콘텐츠 data'!$AV:$AV,0),MATCH(O$2,'FB 콘텐츠 data'!$A$1:$AL$1,0)),"")</f>
        <v/>
      </c>
      <c r="P68" s="126" t="str">
        <f>IFERROR(INDEX('FB 콘텐츠 data'!$A$1:$AL$25,MATCH('FB 신규발행'!$A68,'FB 콘텐츠 data'!$AV:$AV,0),MATCH(P$2,'FB 콘텐츠 data'!$A$1:$AL$1,0)),"")</f>
        <v/>
      </c>
      <c r="Q68" s="126" t="str">
        <f>IFERROR(INDEX('FB 콘텐츠 data'!$A$1:$AL$25,MATCH('FB 신규발행'!$A68,'FB 콘텐츠 data'!$AV:$AV,0),MATCH(Q$2,'FB 콘텐츠 data'!$A$1:$AL$1,0)),"")</f>
        <v/>
      </c>
      <c r="R68" s="127" t="str">
        <f t="shared" si="10"/>
        <v/>
      </c>
      <c r="T68" s="48" t="str">
        <f t="shared" si="11"/>
        <v/>
      </c>
      <c r="U68" s="48" t="str">
        <f t="shared" si="12"/>
        <v/>
      </c>
      <c r="Y68" s="113"/>
    </row>
    <row r="69" spans="1:25" ht="17.45" customHeight="1">
      <c r="A69" s="129">
        <v>67</v>
      </c>
      <c r="B69" s="124" t="str">
        <f>IFERROR(INDEX('FB 콘텐츠 data'!AU:AU,MATCH('FB 신규발행'!A69,'FB 콘텐츠 data'!AV:AV,0)),"")</f>
        <v/>
      </c>
      <c r="C69" s="125" t="str">
        <f>IFERROR(INDEX('FB 콘텐츠 data'!$A$1:$AL$25,MATCH('FB 신규발행'!$A69,'FB 콘텐츠 data'!$AV:$AV,0),MATCH(C$2,'FB 콘텐츠 data'!$A$1:$AL$1,0)),"")</f>
        <v/>
      </c>
      <c r="D69" s="128" t="str">
        <f>IFERROR(IF(INDEX('FB 콘텐츠 data 제목 입력'!C:C,MATCH('FB 신규발행'!A69,'FB 콘텐츠 data 제목 입력'!A:A,0))=0,"",INDEX('FB 콘텐츠 data 제목 입력'!C:C,MATCH('FB 신규발행'!A69,'FB 콘텐츠 data 제목 입력'!A:A,0))),"")</f>
        <v/>
      </c>
      <c r="E69" s="126" t="str">
        <f>IFERROR(INDEX('FB 콘텐츠 data'!$A$1:$AL$25,MATCH('FB 신규발행'!$A69,'FB 콘텐츠 data'!$AV:$AV,0),MATCH(E$2,'FB 콘텐츠 data'!$A$1:$AL$1,0)),"")</f>
        <v/>
      </c>
      <c r="F69" s="126" t="str">
        <f>IFERROR(INDEX('FB 콘텐츠 data'!$A$1:$AL$25,MATCH('FB 신규발행'!$A69,'FB 콘텐츠 data'!$AV:$AV,0),MATCH(F$2,'FB 콘텐츠 data'!$A$1:$AL$1,0)),"")</f>
        <v/>
      </c>
      <c r="G69" s="126" t="str">
        <f>IFERROR(INDEX('FB 콘텐츠 data'!$A$1:$AL$25,MATCH('FB 신규발행'!$A69,'FB 콘텐츠 data'!$AV:$AV,0),MATCH(G$2,'FB 콘텐츠 data'!$A$1:$AL$1,0)),"")</f>
        <v/>
      </c>
      <c r="H69" s="126" t="str">
        <f t="shared" si="9"/>
        <v/>
      </c>
      <c r="I69" s="126" t="str">
        <f>IFERROR(INDEX('FB 콘텐츠 data'!$A$1:$AL$25,MATCH('FB 신규발행'!$A69,'FB 콘텐츠 data'!$AV:$AV,0),MATCH(I$2,'FB 콘텐츠 data'!$A$1:$AL$1,0)),"")</f>
        <v/>
      </c>
      <c r="J69" s="126" t="str">
        <f>IFERROR(INDEX('FB 콘텐츠 data'!$A$1:$AL$25,MATCH('FB 신규발행'!$A69,'FB 콘텐츠 data'!$AV:$AV,0),MATCH(J$2,'FB 콘텐츠 data'!$A$1:$AL$1,0)),"")</f>
        <v/>
      </c>
      <c r="K69" s="216" t="str">
        <f>IFERROR(INDEX('FB 콘텐츠 data'!$A$1:$AV$25,MATCH('FB 신규발행'!$A69,'FB 콘텐츠 data'!$AV:$AV,0),MATCH(K$2,'FB 콘텐츠 data'!$A$1:$AV$1,0)),"")</f>
        <v/>
      </c>
      <c r="L69" s="126" t="str">
        <f>IFERROR(INDEX('FB 콘텐츠 data'!$A$1:$AL$25,MATCH('FB 신규발행'!$A69,'FB 콘텐츠 data'!$AV:$AV,0),MATCH(L$2,'FB 콘텐츠 data'!$A$1:$AL$1,0)),"")</f>
        <v/>
      </c>
      <c r="M69" s="126" t="str">
        <f>IFERROR(INDEX('FB 콘텐츠 data'!$A$1:$AL$25,MATCH('FB 신규발행'!$A69,'FB 콘텐츠 data'!$AV:$AV,0),MATCH(M$2,'FB 콘텐츠 data'!$A$1:$AL$1,0)),"")</f>
        <v/>
      </c>
      <c r="N69" s="126" t="str">
        <f>IFERROR(INDEX('FB 콘텐츠 data'!$A$1:$AL$25,MATCH('FB 신규발행'!$A69,'FB 콘텐츠 data'!$AV:$AV,0),MATCH(N$2,'FB 콘텐츠 data'!$A$1:$AL$1,0)),"")</f>
        <v/>
      </c>
      <c r="O69" s="126" t="str">
        <f>IFERROR(INDEX('FB 콘텐츠 data'!$A$1:$AL$25,MATCH('FB 신규발행'!$A69,'FB 콘텐츠 data'!$AV:$AV,0),MATCH(O$2,'FB 콘텐츠 data'!$A$1:$AL$1,0)),"")</f>
        <v/>
      </c>
      <c r="P69" s="126" t="str">
        <f>IFERROR(INDEX('FB 콘텐츠 data'!$A$1:$AL$25,MATCH('FB 신규발행'!$A69,'FB 콘텐츠 data'!$AV:$AV,0),MATCH(P$2,'FB 콘텐츠 data'!$A$1:$AL$1,0)),"")</f>
        <v/>
      </c>
      <c r="Q69" s="126" t="str">
        <f>IFERROR(INDEX('FB 콘텐츠 data'!$A$1:$AL$25,MATCH('FB 신규발행'!$A69,'FB 콘텐츠 data'!$AV:$AV,0),MATCH(Q$2,'FB 콘텐츠 data'!$A$1:$AL$1,0)),"")</f>
        <v/>
      </c>
      <c r="R69" s="127" t="str">
        <f t="shared" si="10"/>
        <v/>
      </c>
      <c r="T69" s="48" t="str">
        <f t="shared" si="11"/>
        <v/>
      </c>
      <c r="U69" s="48" t="str">
        <f t="shared" si="12"/>
        <v/>
      </c>
      <c r="Y69" s="113"/>
    </row>
    <row r="70" spans="1:25" ht="17.45" customHeight="1">
      <c r="A70" s="129">
        <v>68</v>
      </c>
      <c r="B70" s="124" t="str">
        <f>IFERROR(INDEX('FB 콘텐츠 data'!AU:AU,MATCH('FB 신규발행'!A70,'FB 콘텐츠 data'!AV:AV,0)),"")</f>
        <v/>
      </c>
      <c r="C70" s="125" t="str">
        <f>IFERROR(INDEX('FB 콘텐츠 data'!$A$1:$AL$25,MATCH('FB 신규발행'!$A70,'FB 콘텐츠 data'!$AV:$AV,0),MATCH(C$2,'FB 콘텐츠 data'!$A$1:$AL$1,0)),"")</f>
        <v/>
      </c>
      <c r="D70" s="128" t="str">
        <f>IFERROR(IF(INDEX('FB 콘텐츠 data 제목 입력'!C:C,MATCH('FB 신규발행'!A70,'FB 콘텐츠 data 제목 입력'!A:A,0))=0,"",INDEX('FB 콘텐츠 data 제목 입력'!C:C,MATCH('FB 신규발행'!A70,'FB 콘텐츠 data 제목 입력'!A:A,0))),"")</f>
        <v/>
      </c>
      <c r="E70" s="126" t="str">
        <f>IFERROR(INDEX('FB 콘텐츠 data'!$A$1:$AL$25,MATCH('FB 신규발행'!$A70,'FB 콘텐츠 data'!$AV:$AV,0),MATCH(E$2,'FB 콘텐츠 data'!$A$1:$AL$1,0)),"")</f>
        <v/>
      </c>
      <c r="F70" s="126" t="str">
        <f>IFERROR(INDEX('FB 콘텐츠 data'!$A$1:$AL$25,MATCH('FB 신규발행'!$A70,'FB 콘텐츠 data'!$AV:$AV,0),MATCH(F$2,'FB 콘텐츠 data'!$A$1:$AL$1,0)),"")</f>
        <v/>
      </c>
      <c r="G70" s="126" t="str">
        <f>IFERROR(INDEX('FB 콘텐츠 data'!$A$1:$AL$25,MATCH('FB 신규발행'!$A70,'FB 콘텐츠 data'!$AV:$AV,0),MATCH(G$2,'FB 콘텐츠 data'!$A$1:$AL$1,0)),"")</f>
        <v/>
      </c>
      <c r="H70" s="126" t="str">
        <f t="shared" si="9"/>
        <v/>
      </c>
      <c r="I70" s="126" t="str">
        <f>IFERROR(INDEX('FB 콘텐츠 data'!$A$1:$AL$25,MATCH('FB 신규발행'!$A70,'FB 콘텐츠 data'!$AV:$AV,0),MATCH(I$2,'FB 콘텐츠 data'!$A$1:$AL$1,0)),"")</f>
        <v/>
      </c>
      <c r="J70" s="126" t="str">
        <f>IFERROR(INDEX('FB 콘텐츠 data'!$A$1:$AL$25,MATCH('FB 신규발행'!$A70,'FB 콘텐츠 data'!$AV:$AV,0),MATCH(J$2,'FB 콘텐츠 data'!$A$1:$AL$1,0)),"")</f>
        <v/>
      </c>
      <c r="K70" s="216" t="str">
        <f>IFERROR(INDEX('FB 콘텐츠 data'!$A$1:$AV$25,MATCH('FB 신규발행'!$A70,'FB 콘텐츠 data'!$AV:$AV,0),MATCH(K$2,'FB 콘텐츠 data'!$A$1:$AV$1,0)),"")</f>
        <v/>
      </c>
      <c r="L70" s="126" t="str">
        <f>IFERROR(INDEX('FB 콘텐츠 data'!$A$1:$AL$25,MATCH('FB 신규발행'!$A70,'FB 콘텐츠 data'!$AV:$AV,0),MATCH(L$2,'FB 콘텐츠 data'!$A$1:$AL$1,0)),"")</f>
        <v/>
      </c>
      <c r="M70" s="126" t="str">
        <f>IFERROR(INDEX('FB 콘텐츠 data'!$A$1:$AL$25,MATCH('FB 신규발행'!$A70,'FB 콘텐츠 data'!$AV:$AV,0),MATCH(M$2,'FB 콘텐츠 data'!$A$1:$AL$1,0)),"")</f>
        <v/>
      </c>
      <c r="N70" s="126" t="str">
        <f>IFERROR(INDEX('FB 콘텐츠 data'!$A$1:$AL$25,MATCH('FB 신규발행'!$A70,'FB 콘텐츠 data'!$AV:$AV,0),MATCH(N$2,'FB 콘텐츠 data'!$A$1:$AL$1,0)),"")</f>
        <v/>
      </c>
      <c r="O70" s="126" t="str">
        <f>IFERROR(INDEX('FB 콘텐츠 data'!$A$1:$AL$25,MATCH('FB 신규발행'!$A70,'FB 콘텐츠 data'!$AV:$AV,0),MATCH(O$2,'FB 콘텐츠 data'!$A$1:$AL$1,0)),"")</f>
        <v/>
      </c>
      <c r="P70" s="126" t="str">
        <f>IFERROR(INDEX('FB 콘텐츠 data'!$A$1:$AL$25,MATCH('FB 신규발행'!$A70,'FB 콘텐츠 data'!$AV:$AV,0),MATCH(P$2,'FB 콘텐츠 data'!$A$1:$AL$1,0)),"")</f>
        <v/>
      </c>
      <c r="Q70" s="126" t="str">
        <f>IFERROR(INDEX('FB 콘텐츠 data'!$A$1:$AL$25,MATCH('FB 신규발행'!$A70,'FB 콘텐츠 data'!$AV:$AV,0),MATCH(Q$2,'FB 콘텐츠 data'!$A$1:$AL$1,0)),"")</f>
        <v/>
      </c>
      <c r="R70" s="127" t="str">
        <f t="shared" si="10"/>
        <v/>
      </c>
      <c r="T70" s="48" t="str">
        <f t="shared" si="11"/>
        <v/>
      </c>
      <c r="U70" s="48" t="str">
        <f t="shared" si="12"/>
        <v/>
      </c>
      <c r="Y70" s="113"/>
    </row>
    <row r="71" spans="1:25" ht="17.45" customHeight="1">
      <c r="A71" s="129">
        <v>69</v>
      </c>
      <c r="B71" s="124" t="str">
        <f>IFERROR(INDEX('FB 콘텐츠 data'!AU:AU,MATCH('FB 신규발행'!A71,'FB 콘텐츠 data'!AV:AV,0)),"")</f>
        <v/>
      </c>
      <c r="C71" s="125" t="str">
        <f>IFERROR(INDEX('FB 콘텐츠 data'!$A$1:$AL$25,MATCH('FB 신규발행'!$A71,'FB 콘텐츠 data'!$AV:$AV,0),MATCH(C$2,'FB 콘텐츠 data'!$A$1:$AL$1,0)),"")</f>
        <v/>
      </c>
      <c r="D71" s="128" t="str">
        <f>IFERROR(IF(INDEX('FB 콘텐츠 data 제목 입력'!C:C,MATCH('FB 신규발행'!A71,'FB 콘텐츠 data 제목 입력'!A:A,0))=0,"",INDEX('FB 콘텐츠 data 제목 입력'!C:C,MATCH('FB 신규발행'!A71,'FB 콘텐츠 data 제목 입력'!A:A,0))),"")</f>
        <v/>
      </c>
      <c r="E71" s="126" t="str">
        <f>IFERROR(INDEX('FB 콘텐츠 data'!$A$1:$AL$25,MATCH('FB 신규발행'!$A71,'FB 콘텐츠 data'!$AV:$AV,0),MATCH(E$2,'FB 콘텐츠 data'!$A$1:$AL$1,0)),"")</f>
        <v/>
      </c>
      <c r="F71" s="126" t="str">
        <f>IFERROR(INDEX('FB 콘텐츠 data'!$A$1:$AL$25,MATCH('FB 신규발행'!$A71,'FB 콘텐츠 data'!$AV:$AV,0),MATCH(F$2,'FB 콘텐츠 data'!$A$1:$AL$1,0)),"")</f>
        <v/>
      </c>
      <c r="G71" s="126" t="str">
        <f>IFERROR(INDEX('FB 콘텐츠 data'!$A$1:$AL$25,MATCH('FB 신규발행'!$A71,'FB 콘텐츠 data'!$AV:$AV,0),MATCH(G$2,'FB 콘텐츠 data'!$A$1:$AL$1,0)),"")</f>
        <v/>
      </c>
      <c r="H71" s="126" t="str">
        <f t="shared" si="9"/>
        <v/>
      </c>
      <c r="I71" s="126" t="str">
        <f>IFERROR(INDEX('FB 콘텐츠 data'!$A$1:$AL$25,MATCH('FB 신규발행'!$A71,'FB 콘텐츠 data'!$AV:$AV,0),MATCH(I$2,'FB 콘텐츠 data'!$A$1:$AL$1,0)),"")</f>
        <v/>
      </c>
      <c r="J71" s="126" t="str">
        <f>IFERROR(INDEX('FB 콘텐츠 data'!$A$1:$AL$25,MATCH('FB 신규발행'!$A71,'FB 콘텐츠 data'!$AV:$AV,0),MATCH(J$2,'FB 콘텐츠 data'!$A$1:$AL$1,0)),"")</f>
        <v/>
      </c>
      <c r="K71" s="216" t="str">
        <f>IFERROR(INDEX('FB 콘텐츠 data'!$A$1:$AV$25,MATCH('FB 신규발행'!$A71,'FB 콘텐츠 data'!$AV:$AV,0),MATCH(K$2,'FB 콘텐츠 data'!$A$1:$AV$1,0)),"")</f>
        <v/>
      </c>
      <c r="L71" s="126" t="str">
        <f>IFERROR(INDEX('FB 콘텐츠 data'!$A$1:$AL$25,MATCH('FB 신규발행'!$A71,'FB 콘텐츠 data'!$AV:$AV,0),MATCH(L$2,'FB 콘텐츠 data'!$A$1:$AL$1,0)),"")</f>
        <v/>
      </c>
      <c r="M71" s="126" t="str">
        <f>IFERROR(INDEX('FB 콘텐츠 data'!$A$1:$AL$25,MATCH('FB 신규발행'!$A71,'FB 콘텐츠 data'!$AV:$AV,0),MATCH(M$2,'FB 콘텐츠 data'!$A$1:$AL$1,0)),"")</f>
        <v/>
      </c>
      <c r="N71" s="126" t="str">
        <f>IFERROR(INDEX('FB 콘텐츠 data'!$A$1:$AL$25,MATCH('FB 신규발행'!$A71,'FB 콘텐츠 data'!$AV:$AV,0),MATCH(N$2,'FB 콘텐츠 data'!$A$1:$AL$1,0)),"")</f>
        <v/>
      </c>
      <c r="O71" s="126" t="str">
        <f>IFERROR(INDEX('FB 콘텐츠 data'!$A$1:$AL$25,MATCH('FB 신규발행'!$A71,'FB 콘텐츠 data'!$AV:$AV,0),MATCH(O$2,'FB 콘텐츠 data'!$A$1:$AL$1,0)),"")</f>
        <v/>
      </c>
      <c r="P71" s="126" t="str">
        <f>IFERROR(INDEX('FB 콘텐츠 data'!$A$1:$AL$25,MATCH('FB 신규발행'!$A71,'FB 콘텐츠 data'!$AV:$AV,0),MATCH(P$2,'FB 콘텐츠 data'!$A$1:$AL$1,0)),"")</f>
        <v/>
      </c>
      <c r="Q71" s="126" t="str">
        <f>IFERROR(INDEX('FB 콘텐츠 data'!$A$1:$AL$25,MATCH('FB 신규발행'!$A71,'FB 콘텐츠 data'!$AV:$AV,0),MATCH(Q$2,'FB 콘텐츠 data'!$A$1:$AL$1,0)),"")</f>
        <v/>
      </c>
      <c r="R71" s="127" t="str">
        <f t="shared" si="10"/>
        <v/>
      </c>
      <c r="T71" s="48" t="str">
        <f t="shared" si="11"/>
        <v/>
      </c>
      <c r="U71" s="48" t="str">
        <f t="shared" si="12"/>
        <v/>
      </c>
      <c r="Y71" s="113"/>
    </row>
    <row r="72" spans="1:25" ht="17.45" customHeight="1">
      <c r="A72" s="129">
        <v>70</v>
      </c>
      <c r="B72" s="124" t="str">
        <f>IFERROR(INDEX('FB 콘텐츠 data'!AU:AU,MATCH('FB 신규발행'!A72,'FB 콘텐츠 data'!AV:AV,0)),"")</f>
        <v/>
      </c>
      <c r="C72" s="125" t="str">
        <f>IFERROR(INDEX('FB 콘텐츠 data'!$A$1:$AL$25,MATCH('FB 신규발행'!$A72,'FB 콘텐츠 data'!$AV:$AV,0),MATCH(C$2,'FB 콘텐츠 data'!$A$1:$AL$1,0)),"")</f>
        <v/>
      </c>
      <c r="D72" s="128" t="str">
        <f>IFERROR(IF(INDEX('FB 콘텐츠 data 제목 입력'!C:C,MATCH('FB 신규발행'!A72,'FB 콘텐츠 data 제목 입력'!A:A,0))=0,"",INDEX('FB 콘텐츠 data 제목 입력'!C:C,MATCH('FB 신규발행'!A72,'FB 콘텐츠 data 제목 입력'!A:A,0))),"")</f>
        <v/>
      </c>
      <c r="E72" s="126" t="str">
        <f>IFERROR(INDEX('FB 콘텐츠 data'!$A$1:$AL$25,MATCH('FB 신규발행'!$A72,'FB 콘텐츠 data'!$AV:$AV,0),MATCH(E$2,'FB 콘텐츠 data'!$A$1:$AL$1,0)),"")</f>
        <v/>
      </c>
      <c r="F72" s="126" t="str">
        <f>IFERROR(INDEX('FB 콘텐츠 data'!$A$1:$AL$25,MATCH('FB 신규발행'!$A72,'FB 콘텐츠 data'!$AV:$AV,0),MATCH(F$2,'FB 콘텐츠 data'!$A$1:$AL$1,0)),"")</f>
        <v/>
      </c>
      <c r="G72" s="126" t="str">
        <f>IFERROR(INDEX('FB 콘텐츠 data'!$A$1:$AL$25,MATCH('FB 신규발행'!$A72,'FB 콘텐츠 data'!$AV:$AV,0),MATCH(G$2,'FB 콘텐츠 data'!$A$1:$AL$1,0)),"")</f>
        <v/>
      </c>
      <c r="H72" s="126" t="str">
        <f t="shared" si="9"/>
        <v/>
      </c>
      <c r="I72" s="126" t="str">
        <f>IFERROR(INDEX('FB 콘텐츠 data'!$A$1:$AL$25,MATCH('FB 신규발행'!$A72,'FB 콘텐츠 data'!$AV:$AV,0),MATCH(I$2,'FB 콘텐츠 data'!$A$1:$AL$1,0)),"")</f>
        <v/>
      </c>
      <c r="J72" s="126" t="str">
        <f>IFERROR(INDEX('FB 콘텐츠 data'!$A$1:$AL$25,MATCH('FB 신규발행'!$A72,'FB 콘텐츠 data'!$AV:$AV,0),MATCH(J$2,'FB 콘텐츠 data'!$A$1:$AL$1,0)),"")</f>
        <v/>
      </c>
      <c r="K72" s="216" t="str">
        <f>IFERROR(INDEX('FB 콘텐츠 data'!$A$1:$AV$25,MATCH('FB 신규발행'!$A72,'FB 콘텐츠 data'!$AV:$AV,0),MATCH(K$2,'FB 콘텐츠 data'!$A$1:$AV$1,0)),"")</f>
        <v/>
      </c>
      <c r="L72" s="126" t="str">
        <f>IFERROR(INDEX('FB 콘텐츠 data'!$A$1:$AL$25,MATCH('FB 신규발행'!$A72,'FB 콘텐츠 data'!$AV:$AV,0),MATCH(L$2,'FB 콘텐츠 data'!$A$1:$AL$1,0)),"")</f>
        <v/>
      </c>
      <c r="M72" s="126" t="str">
        <f>IFERROR(INDEX('FB 콘텐츠 data'!$A$1:$AL$25,MATCH('FB 신규발행'!$A72,'FB 콘텐츠 data'!$AV:$AV,0),MATCH(M$2,'FB 콘텐츠 data'!$A$1:$AL$1,0)),"")</f>
        <v/>
      </c>
      <c r="N72" s="126" t="str">
        <f>IFERROR(INDEX('FB 콘텐츠 data'!$A$1:$AL$25,MATCH('FB 신규발행'!$A72,'FB 콘텐츠 data'!$AV:$AV,0),MATCH(N$2,'FB 콘텐츠 data'!$A$1:$AL$1,0)),"")</f>
        <v/>
      </c>
      <c r="O72" s="126" t="str">
        <f>IFERROR(INDEX('FB 콘텐츠 data'!$A$1:$AL$25,MATCH('FB 신규발행'!$A72,'FB 콘텐츠 data'!$AV:$AV,0),MATCH(O$2,'FB 콘텐츠 data'!$A$1:$AL$1,0)),"")</f>
        <v/>
      </c>
      <c r="P72" s="126" t="str">
        <f>IFERROR(INDEX('FB 콘텐츠 data'!$A$1:$AL$25,MATCH('FB 신규발행'!$A72,'FB 콘텐츠 data'!$AV:$AV,0),MATCH(P$2,'FB 콘텐츠 data'!$A$1:$AL$1,0)),"")</f>
        <v/>
      </c>
      <c r="Q72" s="126" t="str">
        <f>IFERROR(INDEX('FB 콘텐츠 data'!$A$1:$AL$25,MATCH('FB 신규발행'!$A72,'FB 콘텐츠 data'!$AV:$AV,0),MATCH(Q$2,'FB 콘텐츠 data'!$A$1:$AL$1,0)),"")</f>
        <v/>
      </c>
      <c r="R72" s="127" t="str">
        <f t="shared" si="10"/>
        <v/>
      </c>
      <c r="T72" s="48" t="str">
        <f t="shared" si="11"/>
        <v/>
      </c>
      <c r="U72" s="48" t="str">
        <f t="shared" si="12"/>
        <v/>
      </c>
      <c r="Y72" s="113"/>
    </row>
    <row r="73" spans="1:25" ht="17.45" customHeight="1">
      <c r="A73" s="129">
        <v>71</v>
      </c>
      <c r="B73" s="124" t="str">
        <f>IFERROR(INDEX('FB 콘텐츠 data'!AU:AU,MATCH('FB 신규발행'!A73,'FB 콘텐츠 data'!AV:AV,0)),"")</f>
        <v/>
      </c>
      <c r="C73" s="125" t="str">
        <f>IFERROR(INDEX('FB 콘텐츠 data'!$A$1:$AL$25,MATCH('FB 신규발행'!$A73,'FB 콘텐츠 data'!$AV:$AV,0),MATCH(C$2,'FB 콘텐츠 data'!$A$1:$AL$1,0)),"")</f>
        <v/>
      </c>
      <c r="D73" s="128" t="str">
        <f>IFERROR(IF(INDEX('FB 콘텐츠 data 제목 입력'!C:C,MATCH('FB 신규발행'!A73,'FB 콘텐츠 data 제목 입력'!A:A,0))=0,"",INDEX('FB 콘텐츠 data 제목 입력'!C:C,MATCH('FB 신규발행'!A73,'FB 콘텐츠 data 제목 입력'!A:A,0))),"")</f>
        <v/>
      </c>
      <c r="E73" s="126" t="str">
        <f>IFERROR(INDEX('FB 콘텐츠 data'!$A$1:$AL$25,MATCH('FB 신규발행'!$A73,'FB 콘텐츠 data'!$AV:$AV,0),MATCH(E$2,'FB 콘텐츠 data'!$A$1:$AL$1,0)),"")</f>
        <v/>
      </c>
      <c r="F73" s="126" t="str">
        <f>IFERROR(INDEX('FB 콘텐츠 data'!$A$1:$AL$25,MATCH('FB 신규발행'!$A73,'FB 콘텐츠 data'!$AV:$AV,0),MATCH(F$2,'FB 콘텐츠 data'!$A$1:$AL$1,0)),"")</f>
        <v/>
      </c>
      <c r="G73" s="126" t="str">
        <f>IFERROR(INDEX('FB 콘텐츠 data'!$A$1:$AL$25,MATCH('FB 신규발행'!$A73,'FB 콘텐츠 data'!$AV:$AV,0),MATCH(G$2,'FB 콘텐츠 data'!$A$1:$AL$1,0)),"")</f>
        <v/>
      </c>
      <c r="H73" s="126" t="str">
        <f t="shared" si="9"/>
        <v/>
      </c>
      <c r="I73" s="126" t="str">
        <f>IFERROR(INDEX('FB 콘텐츠 data'!$A$1:$AL$25,MATCH('FB 신규발행'!$A73,'FB 콘텐츠 data'!$AV:$AV,0),MATCH(I$2,'FB 콘텐츠 data'!$A$1:$AL$1,0)),"")</f>
        <v/>
      </c>
      <c r="J73" s="126" t="str">
        <f>IFERROR(INDEX('FB 콘텐츠 data'!$A$1:$AL$25,MATCH('FB 신규발행'!$A73,'FB 콘텐츠 data'!$AV:$AV,0),MATCH(J$2,'FB 콘텐츠 data'!$A$1:$AL$1,0)),"")</f>
        <v/>
      </c>
      <c r="K73" s="216" t="str">
        <f>IFERROR(INDEX('FB 콘텐츠 data'!$A$1:$AV$25,MATCH('FB 신규발행'!$A73,'FB 콘텐츠 data'!$AV:$AV,0),MATCH(K$2,'FB 콘텐츠 data'!$A$1:$AV$1,0)),"")</f>
        <v/>
      </c>
      <c r="L73" s="126" t="str">
        <f>IFERROR(INDEX('FB 콘텐츠 data'!$A$1:$AL$25,MATCH('FB 신규발행'!$A73,'FB 콘텐츠 data'!$AV:$AV,0),MATCH(L$2,'FB 콘텐츠 data'!$A$1:$AL$1,0)),"")</f>
        <v/>
      </c>
      <c r="M73" s="126" t="str">
        <f>IFERROR(INDEX('FB 콘텐츠 data'!$A$1:$AL$25,MATCH('FB 신규발행'!$A73,'FB 콘텐츠 data'!$AV:$AV,0),MATCH(M$2,'FB 콘텐츠 data'!$A$1:$AL$1,0)),"")</f>
        <v/>
      </c>
      <c r="N73" s="126" t="str">
        <f>IFERROR(INDEX('FB 콘텐츠 data'!$A$1:$AL$25,MATCH('FB 신규발행'!$A73,'FB 콘텐츠 data'!$AV:$AV,0),MATCH(N$2,'FB 콘텐츠 data'!$A$1:$AL$1,0)),"")</f>
        <v/>
      </c>
      <c r="O73" s="126" t="str">
        <f>IFERROR(INDEX('FB 콘텐츠 data'!$A$1:$AL$25,MATCH('FB 신규발행'!$A73,'FB 콘텐츠 data'!$AV:$AV,0),MATCH(O$2,'FB 콘텐츠 data'!$A$1:$AL$1,0)),"")</f>
        <v/>
      </c>
      <c r="P73" s="126" t="str">
        <f>IFERROR(INDEX('FB 콘텐츠 data'!$A$1:$AL$25,MATCH('FB 신규발행'!$A73,'FB 콘텐츠 data'!$AV:$AV,0),MATCH(P$2,'FB 콘텐츠 data'!$A$1:$AL$1,0)),"")</f>
        <v/>
      </c>
      <c r="Q73" s="126" t="str">
        <f>IFERROR(INDEX('FB 콘텐츠 data'!$A$1:$AL$25,MATCH('FB 신규발행'!$A73,'FB 콘텐츠 data'!$AV:$AV,0),MATCH(Q$2,'FB 콘텐츠 data'!$A$1:$AL$1,0)),"")</f>
        <v/>
      </c>
      <c r="R73" s="127" t="str">
        <f t="shared" si="10"/>
        <v/>
      </c>
      <c r="T73" s="48" t="str">
        <f t="shared" si="11"/>
        <v/>
      </c>
      <c r="U73" s="48" t="str">
        <f t="shared" si="12"/>
        <v/>
      </c>
      <c r="Y73" s="113"/>
    </row>
    <row r="74" spans="1:25" ht="17.45" customHeight="1">
      <c r="A74" s="129">
        <v>72</v>
      </c>
      <c r="B74" s="124" t="str">
        <f>IFERROR(INDEX('FB 콘텐츠 data'!AU:AU,MATCH('FB 신규발행'!A74,'FB 콘텐츠 data'!AV:AV,0)),"")</f>
        <v/>
      </c>
      <c r="C74" s="125" t="str">
        <f>IFERROR(INDEX('FB 콘텐츠 data'!$A$1:$AL$25,MATCH('FB 신규발행'!$A74,'FB 콘텐츠 data'!$AV:$AV,0),MATCH(C$2,'FB 콘텐츠 data'!$A$1:$AL$1,0)),"")</f>
        <v/>
      </c>
      <c r="D74" s="128" t="str">
        <f>IFERROR(IF(INDEX('FB 콘텐츠 data 제목 입력'!C:C,MATCH('FB 신규발행'!A74,'FB 콘텐츠 data 제목 입력'!A:A,0))=0,"",INDEX('FB 콘텐츠 data 제목 입력'!C:C,MATCH('FB 신규발행'!A74,'FB 콘텐츠 data 제목 입력'!A:A,0))),"")</f>
        <v/>
      </c>
      <c r="E74" s="126" t="str">
        <f>IFERROR(INDEX('FB 콘텐츠 data'!$A$1:$AL$25,MATCH('FB 신규발행'!$A74,'FB 콘텐츠 data'!$AV:$AV,0),MATCH(E$2,'FB 콘텐츠 data'!$A$1:$AL$1,0)),"")</f>
        <v/>
      </c>
      <c r="F74" s="126" t="str">
        <f>IFERROR(INDEX('FB 콘텐츠 data'!$A$1:$AL$25,MATCH('FB 신규발행'!$A74,'FB 콘텐츠 data'!$AV:$AV,0),MATCH(F$2,'FB 콘텐츠 data'!$A$1:$AL$1,0)),"")</f>
        <v/>
      </c>
      <c r="G74" s="126" t="str">
        <f>IFERROR(INDEX('FB 콘텐츠 data'!$A$1:$AL$25,MATCH('FB 신규발행'!$A74,'FB 콘텐츠 data'!$AV:$AV,0),MATCH(G$2,'FB 콘텐츠 data'!$A$1:$AL$1,0)),"")</f>
        <v/>
      </c>
      <c r="H74" s="126" t="str">
        <f t="shared" si="9"/>
        <v/>
      </c>
      <c r="I74" s="126" t="str">
        <f>IFERROR(INDEX('FB 콘텐츠 data'!$A$1:$AL$25,MATCH('FB 신규발행'!$A74,'FB 콘텐츠 data'!$AV:$AV,0),MATCH(I$2,'FB 콘텐츠 data'!$A$1:$AL$1,0)),"")</f>
        <v/>
      </c>
      <c r="J74" s="126" t="str">
        <f>IFERROR(INDEX('FB 콘텐츠 data'!$A$1:$AL$25,MATCH('FB 신규발행'!$A74,'FB 콘텐츠 data'!$AV:$AV,0),MATCH(J$2,'FB 콘텐츠 data'!$A$1:$AL$1,0)),"")</f>
        <v/>
      </c>
      <c r="K74" s="216" t="str">
        <f>IFERROR(INDEX('FB 콘텐츠 data'!$A$1:$AV$25,MATCH('FB 신규발행'!$A74,'FB 콘텐츠 data'!$AV:$AV,0),MATCH(K$2,'FB 콘텐츠 data'!$A$1:$AV$1,0)),"")</f>
        <v/>
      </c>
      <c r="L74" s="126" t="str">
        <f>IFERROR(INDEX('FB 콘텐츠 data'!$A$1:$AL$25,MATCH('FB 신규발행'!$A74,'FB 콘텐츠 data'!$AV:$AV,0),MATCH(L$2,'FB 콘텐츠 data'!$A$1:$AL$1,0)),"")</f>
        <v/>
      </c>
      <c r="M74" s="126" t="str">
        <f>IFERROR(INDEX('FB 콘텐츠 data'!$A$1:$AL$25,MATCH('FB 신규발행'!$A74,'FB 콘텐츠 data'!$AV:$AV,0),MATCH(M$2,'FB 콘텐츠 data'!$A$1:$AL$1,0)),"")</f>
        <v/>
      </c>
      <c r="N74" s="126" t="str">
        <f>IFERROR(INDEX('FB 콘텐츠 data'!$A$1:$AL$25,MATCH('FB 신규발행'!$A74,'FB 콘텐츠 data'!$AV:$AV,0),MATCH(N$2,'FB 콘텐츠 data'!$A$1:$AL$1,0)),"")</f>
        <v/>
      </c>
      <c r="O74" s="126" t="str">
        <f>IFERROR(INDEX('FB 콘텐츠 data'!$A$1:$AL$25,MATCH('FB 신규발행'!$A74,'FB 콘텐츠 data'!$AV:$AV,0),MATCH(O$2,'FB 콘텐츠 data'!$A$1:$AL$1,0)),"")</f>
        <v/>
      </c>
      <c r="P74" s="126" t="str">
        <f>IFERROR(INDEX('FB 콘텐츠 data'!$A$1:$AL$25,MATCH('FB 신규발행'!$A74,'FB 콘텐츠 data'!$AV:$AV,0),MATCH(P$2,'FB 콘텐츠 data'!$A$1:$AL$1,0)),"")</f>
        <v/>
      </c>
      <c r="Q74" s="126" t="str">
        <f>IFERROR(INDEX('FB 콘텐츠 data'!$A$1:$AL$25,MATCH('FB 신규발행'!$A74,'FB 콘텐츠 data'!$AV:$AV,0),MATCH(Q$2,'FB 콘텐츠 data'!$A$1:$AL$1,0)),"")</f>
        <v/>
      </c>
      <c r="R74" s="127" t="str">
        <f t="shared" si="10"/>
        <v/>
      </c>
      <c r="T74" s="48" t="str">
        <f t="shared" si="11"/>
        <v/>
      </c>
      <c r="U74" s="48" t="str">
        <f t="shared" si="12"/>
        <v/>
      </c>
      <c r="Y74" s="113"/>
    </row>
    <row r="75" spans="1:25" ht="17.45" customHeight="1">
      <c r="A75" s="129">
        <v>73</v>
      </c>
      <c r="B75" s="124" t="str">
        <f>IFERROR(INDEX('FB 콘텐츠 data'!AU:AU,MATCH('FB 신규발행'!A75,'FB 콘텐츠 data'!AV:AV,0)),"")</f>
        <v/>
      </c>
      <c r="C75" s="125" t="str">
        <f>IFERROR(INDEX('FB 콘텐츠 data'!$A$1:$AL$25,MATCH('FB 신규발행'!$A75,'FB 콘텐츠 data'!$AV:$AV,0),MATCH(C$2,'FB 콘텐츠 data'!$A$1:$AL$1,0)),"")</f>
        <v/>
      </c>
      <c r="D75" s="128" t="str">
        <f>IFERROR(IF(INDEX('FB 콘텐츠 data 제목 입력'!C:C,MATCH('FB 신규발행'!A75,'FB 콘텐츠 data 제목 입력'!A:A,0))=0,"",INDEX('FB 콘텐츠 data 제목 입력'!C:C,MATCH('FB 신규발행'!A75,'FB 콘텐츠 data 제목 입력'!A:A,0))),"")</f>
        <v/>
      </c>
      <c r="E75" s="126" t="str">
        <f>IFERROR(INDEX('FB 콘텐츠 data'!$A$1:$AL$25,MATCH('FB 신규발행'!$A75,'FB 콘텐츠 data'!$AV:$AV,0),MATCH(E$2,'FB 콘텐츠 data'!$A$1:$AL$1,0)),"")</f>
        <v/>
      </c>
      <c r="F75" s="126" t="str">
        <f>IFERROR(INDEX('FB 콘텐츠 data'!$A$1:$AL$25,MATCH('FB 신규발행'!$A75,'FB 콘텐츠 data'!$AV:$AV,0),MATCH(F$2,'FB 콘텐츠 data'!$A$1:$AL$1,0)),"")</f>
        <v/>
      </c>
      <c r="G75" s="126" t="str">
        <f>IFERROR(INDEX('FB 콘텐츠 data'!$A$1:$AL$25,MATCH('FB 신규발행'!$A75,'FB 콘텐츠 data'!$AV:$AV,0),MATCH(G$2,'FB 콘텐츠 data'!$A$1:$AL$1,0)),"")</f>
        <v/>
      </c>
      <c r="H75" s="126" t="str">
        <f t="shared" si="9"/>
        <v/>
      </c>
      <c r="I75" s="126" t="str">
        <f>IFERROR(INDEX('FB 콘텐츠 data'!$A$1:$AL$25,MATCH('FB 신규발행'!$A75,'FB 콘텐츠 data'!$AV:$AV,0),MATCH(I$2,'FB 콘텐츠 data'!$A$1:$AL$1,0)),"")</f>
        <v/>
      </c>
      <c r="J75" s="126" t="str">
        <f>IFERROR(INDEX('FB 콘텐츠 data'!$A$1:$AL$25,MATCH('FB 신규발행'!$A75,'FB 콘텐츠 data'!$AV:$AV,0),MATCH(J$2,'FB 콘텐츠 data'!$A$1:$AL$1,0)),"")</f>
        <v/>
      </c>
      <c r="K75" s="216" t="str">
        <f>IFERROR(INDEX('FB 콘텐츠 data'!$A$1:$AV$25,MATCH('FB 신규발행'!$A75,'FB 콘텐츠 data'!$AV:$AV,0),MATCH(K$2,'FB 콘텐츠 data'!$A$1:$AV$1,0)),"")</f>
        <v/>
      </c>
      <c r="L75" s="126" t="str">
        <f>IFERROR(INDEX('FB 콘텐츠 data'!$A$1:$AL$25,MATCH('FB 신규발행'!$A75,'FB 콘텐츠 data'!$AV:$AV,0),MATCH(L$2,'FB 콘텐츠 data'!$A$1:$AL$1,0)),"")</f>
        <v/>
      </c>
      <c r="M75" s="126" t="str">
        <f>IFERROR(INDEX('FB 콘텐츠 data'!$A$1:$AL$25,MATCH('FB 신규발행'!$A75,'FB 콘텐츠 data'!$AV:$AV,0),MATCH(M$2,'FB 콘텐츠 data'!$A$1:$AL$1,0)),"")</f>
        <v/>
      </c>
      <c r="N75" s="126" t="str">
        <f>IFERROR(INDEX('FB 콘텐츠 data'!$A$1:$AL$25,MATCH('FB 신규발행'!$A75,'FB 콘텐츠 data'!$AV:$AV,0),MATCH(N$2,'FB 콘텐츠 data'!$A$1:$AL$1,0)),"")</f>
        <v/>
      </c>
      <c r="O75" s="126" t="str">
        <f>IFERROR(INDEX('FB 콘텐츠 data'!$A$1:$AL$25,MATCH('FB 신규발행'!$A75,'FB 콘텐츠 data'!$AV:$AV,0),MATCH(O$2,'FB 콘텐츠 data'!$A$1:$AL$1,0)),"")</f>
        <v/>
      </c>
      <c r="P75" s="126" t="str">
        <f>IFERROR(INDEX('FB 콘텐츠 data'!$A$1:$AL$25,MATCH('FB 신규발행'!$A75,'FB 콘텐츠 data'!$AV:$AV,0),MATCH(P$2,'FB 콘텐츠 data'!$A$1:$AL$1,0)),"")</f>
        <v/>
      </c>
      <c r="Q75" s="126" t="str">
        <f>IFERROR(INDEX('FB 콘텐츠 data'!$A$1:$AL$25,MATCH('FB 신규발행'!$A75,'FB 콘텐츠 data'!$AV:$AV,0),MATCH(Q$2,'FB 콘텐츠 data'!$A$1:$AL$1,0)),"")</f>
        <v/>
      </c>
      <c r="R75" s="127" t="str">
        <f t="shared" si="10"/>
        <v/>
      </c>
      <c r="T75" s="48" t="str">
        <f t="shared" si="11"/>
        <v/>
      </c>
      <c r="U75" s="48" t="str">
        <f t="shared" si="12"/>
        <v/>
      </c>
      <c r="Y75" s="113"/>
    </row>
    <row r="76" spans="1:25" ht="17.45" customHeight="1">
      <c r="A76" s="129">
        <v>74</v>
      </c>
      <c r="B76" s="124" t="str">
        <f>IFERROR(INDEX('FB 콘텐츠 data'!AU:AU,MATCH('FB 신규발행'!A76,'FB 콘텐츠 data'!AV:AV,0)),"")</f>
        <v/>
      </c>
      <c r="C76" s="125" t="str">
        <f>IFERROR(INDEX('FB 콘텐츠 data'!$A$1:$AL$25,MATCH('FB 신규발행'!$A76,'FB 콘텐츠 data'!$AV:$AV,0),MATCH(C$2,'FB 콘텐츠 data'!$A$1:$AL$1,0)),"")</f>
        <v/>
      </c>
      <c r="D76" s="128" t="str">
        <f>IFERROR(IF(INDEX('FB 콘텐츠 data 제목 입력'!C:C,MATCH('FB 신규발행'!A76,'FB 콘텐츠 data 제목 입력'!A:A,0))=0,"",INDEX('FB 콘텐츠 data 제목 입력'!C:C,MATCH('FB 신규발행'!A76,'FB 콘텐츠 data 제목 입력'!A:A,0))),"")</f>
        <v/>
      </c>
      <c r="E76" s="126" t="str">
        <f>IFERROR(INDEX('FB 콘텐츠 data'!$A$1:$AL$25,MATCH('FB 신규발행'!$A76,'FB 콘텐츠 data'!$AV:$AV,0),MATCH(E$2,'FB 콘텐츠 data'!$A$1:$AL$1,0)),"")</f>
        <v/>
      </c>
      <c r="F76" s="126" t="str">
        <f>IFERROR(INDEX('FB 콘텐츠 data'!$A$1:$AL$25,MATCH('FB 신규발행'!$A76,'FB 콘텐츠 data'!$AV:$AV,0),MATCH(F$2,'FB 콘텐츠 data'!$A$1:$AL$1,0)),"")</f>
        <v/>
      </c>
      <c r="G76" s="126" t="str">
        <f>IFERROR(INDEX('FB 콘텐츠 data'!$A$1:$AL$25,MATCH('FB 신규발행'!$A76,'FB 콘텐츠 data'!$AV:$AV,0),MATCH(G$2,'FB 콘텐츠 data'!$A$1:$AL$1,0)),"")</f>
        <v/>
      </c>
      <c r="H76" s="126" t="str">
        <f t="shared" si="9"/>
        <v/>
      </c>
      <c r="I76" s="126" t="str">
        <f>IFERROR(INDEX('FB 콘텐츠 data'!$A$1:$AL$25,MATCH('FB 신규발행'!$A76,'FB 콘텐츠 data'!$AV:$AV,0),MATCH(I$2,'FB 콘텐츠 data'!$A$1:$AL$1,0)),"")</f>
        <v/>
      </c>
      <c r="J76" s="126" t="str">
        <f>IFERROR(INDEX('FB 콘텐츠 data'!$A$1:$AL$25,MATCH('FB 신규발행'!$A76,'FB 콘텐츠 data'!$AV:$AV,0),MATCH(J$2,'FB 콘텐츠 data'!$A$1:$AL$1,0)),"")</f>
        <v/>
      </c>
      <c r="K76" s="216" t="str">
        <f>IFERROR(INDEX('FB 콘텐츠 data'!$A$1:$AV$25,MATCH('FB 신규발행'!$A76,'FB 콘텐츠 data'!$AV:$AV,0),MATCH(K$2,'FB 콘텐츠 data'!$A$1:$AV$1,0)),"")</f>
        <v/>
      </c>
      <c r="L76" s="126" t="str">
        <f>IFERROR(INDEX('FB 콘텐츠 data'!$A$1:$AL$25,MATCH('FB 신규발행'!$A76,'FB 콘텐츠 data'!$AV:$AV,0),MATCH(L$2,'FB 콘텐츠 data'!$A$1:$AL$1,0)),"")</f>
        <v/>
      </c>
      <c r="M76" s="126" t="str">
        <f>IFERROR(INDEX('FB 콘텐츠 data'!$A$1:$AL$25,MATCH('FB 신규발행'!$A76,'FB 콘텐츠 data'!$AV:$AV,0),MATCH(M$2,'FB 콘텐츠 data'!$A$1:$AL$1,0)),"")</f>
        <v/>
      </c>
      <c r="N76" s="126" t="str">
        <f>IFERROR(INDEX('FB 콘텐츠 data'!$A$1:$AL$25,MATCH('FB 신규발행'!$A76,'FB 콘텐츠 data'!$AV:$AV,0),MATCH(N$2,'FB 콘텐츠 data'!$A$1:$AL$1,0)),"")</f>
        <v/>
      </c>
      <c r="O76" s="126" t="str">
        <f>IFERROR(INDEX('FB 콘텐츠 data'!$A$1:$AL$25,MATCH('FB 신규발행'!$A76,'FB 콘텐츠 data'!$AV:$AV,0),MATCH(O$2,'FB 콘텐츠 data'!$A$1:$AL$1,0)),"")</f>
        <v/>
      </c>
      <c r="P76" s="126" t="str">
        <f>IFERROR(INDEX('FB 콘텐츠 data'!$A$1:$AL$25,MATCH('FB 신규발행'!$A76,'FB 콘텐츠 data'!$AV:$AV,0),MATCH(P$2,'FB 콘텐츠 data'!$A$1:$AL$1,0)),"")</f>
        <v/>
      </c>
      <c r="Q76" s="126" t="str">
        <f>IFERROR(INDEX('FB 콘텐츠 data'!$A$1:$AL$25,MATCH('FB 신규발행'!$A76,'FB 콘텐츠 data'!$AV:$AV,0),MATCH(Q$2,'FB 콘텐츠 data'!$A$1:$AL$1,0)),"")</f>
        <v/>
      </c>
      <c r="R76" s="127" t="str">
        <f t="shared" si="10"/>
        <v/>
      </c>
      <c r="T76" s="48" t="str">
        <f t="shared" si="11"/>
        <v/>
      </c>
      <c r="U76" s="48" t="str">
        <f t="shared" si="12"/>
        <v/>
      </c>
      <c r="Y76" s="113"/>
    </row>
    <row r="77" spans="1:25" ht="17.45" customHeight="1">
      <c r="A77" s="129">
        <v>75</v>
      </c>
      <c r="B77" s="124" t="str">
        <f>IFERROR(INDEX('FB 콘텐츠 data'!AU:AU,MATCH('FB 신규발행'!A77,'FB 콘텐츠 data'!AV:AV,0)),"")</f>
        <v/>
      </c>
      <c r="C77" s="125" t="str">
        <f>IFERROR(INDEX('FB 콘텐츠 data'!$A$1:$AL$25,MATCH('FB 신규발행'!$A77,'FB 콘텐츠 data'!$AV:$AV,0),MATCH(C$2,'FB 콘텐츠 data'!$A$1:$AL$1,0)),"")</f>
        <v/>
      </c>
      <c r="D77" s="128" t="str">
        <f>IFERROR(IF(INDEX('FB 콘텐츠 data 제목 입력'!C:C,MATCH('FB 신규발행'!A77,'FB 콘텐츠 data 제목 입력'!A:A,0))=0,"",INDEX('FB 콘텐츠 data 제목 입력'!C:C,MATCH('FB 신규발행'!A77,'FB 콘텐츠 data 제목 입력'!A:A,0))),"")</f>
        <v/>
      </c>
      <c r="E77" s="126" t="str">
        <f>IFERROR(INDEX('FB 콘텐츠 data'!$A$1:$AL$25,MATCH('FB 신규발행'!$A77,'FB 콘텐츠 data'!$AV:$AV,0),MATCH(E$2,'FB 콘텐츠 data'!$A$1:$AL$1,0)),"")</f>
        <v/>
      </c>
      <c r="F77" s="126" t="str">
        <f>IFERROR(INDEX('FB 콘텐츠 data'!$A$1:$AL$25,MATCH('FB 신규발행'!$A77,'FB 콘텐츠 data'!$AV:$AV,0),MATCH(F$2,'FB 콘텐츠 data'!$A$1:$AL$1,0)),"")</f>
        <v/>
      </c>
      <c r="G77" s="126" t="str">
        <f>IFERROR(INDEX('FB 콘텐츠 data'!$A$1:$AL$25,MATCH('FB 신규발행'!$A77,'FB 콘텐츠 data'!$AV:$AV,0),MATCH(G$2,'FB 콘텐츠 data'!$A$1:$AL$1,0)),"")</f>
        <v/>
      </c>
      <c r="H77" s="126" t="str">
        <f t="shared" si="9"/>
        <v/>
      </c>
      <c r="I77" s="126" t="str">
        <f>IFERROR(INDEX('FB 콘텐츠 data'!$A$1:$AL$25,MATCH('FB 신규발행'!$A77,'FB 콘텐츠 data'!$AV:$AV,0),MATCH(I$2,'FB 콘텐츠 data'!$A$1:$AL$1,0)),"")</f>
        <v/>
      </c>
      <c r="J77" s="126" t="str">
        <f>IFERROR(INDEX('FB 콘텐츠 data'!$A$1:$AL$25,MATCH('FB 신규발행'!$A77,'FB 콘텐츠 data'!$AV:$AV,0),MATCH(J$2,'FB 콘텐츠 data'!$A$1:$AL$1,0)),"")</f>
        <v/>
      </c>
      <c r="K77" s="216" t="str">
        <f>IFERROR(INDEX('FB 콘텐츠 data'!$A$1:$AV$25,MATCH('FB 신규발행'!$A77,'FB 콘텐츠 data'!$AV:$AV,0),MATCH(K$2,'FB 콘텐츠 data'!$A$1:$AV$1,0)),"")</f>
        <v/>
      </c>
      <c r="L77" s="126" t="str">
        <f>IFERROR(INDEX('FB 콘텐츠 data'!$A$1:$AL$25,MATCH('FB 신규발행'!$A77,'FB 콘텐츠 data'!$AV:$AV,0),MATCH(L$2,'FB 콘텐츠 data'!$A$1:$AL$1,0)),"")</f>
        <v/>
      </c>
      <c r="M77" s="126" t="str">
        <f>IFERROR(INDEX('FB 콘텐츠 data'!$A$1:$AL$25,MATCH('FB 신규발행'!$A77,'FB 콘텐츠 data'!$AV:$AV,0),MATCH(M$2,'FB 콘텐츠 data'!$A$1:$AL$1,0)),"")</f>
        <v/>
      </c>
      <c r="N77" s="126" t="str">
        <f>IFERROR(INDEX('FB 콘텐츠 data'!$A$1:$AL$25,MATCH('FB 신규발행'!$A77,'FB 콘텐츠 data'!$AV:$AV,0),MATCH(N$2,'FB 콘텐츠 data'!$A$1:$AL$1,0)),"")</f>
        <v/>
      </c>
      <c r="O77" s="126" t="str">
        <f>IFERROR(INDEX('FB 콘텐츠 data'!$A$1:$AL$25,MATCH('FB 신규발행'!$A77,'FB 콘텐츠 data'!$AV:$AV,0),MATCH(O$2,'FB 콘텐츠 data'!$A$1:$AL$1,0)),"")</f>
        <v/>
      </c>
      <c r="P77" s="126" t="str">
        <f>IFERROR(INDEX('FB 콘텐츠 data'!$A$1:$AL$25,MATCH('FB 신규발행'!$A77,'FB 콘텐츠 data'!$AV:$AV,0),MATCH(P$2,'FB 콘텐츠 data'!$A$1:$AL$1,0)),"")</f>
        <v/>
      </c>
      <c r="Q77" s="126" t="str">
        <f>IFERROR(INDEX('FB 콘텐츠 data'!$A$1:$AL$25,MATCH('FB 신규발행'!$A77,'FB 콘텐츠 data'!$AV:$AV,0),MATCH(Q$2,'FB 콘텐츠 data'!$A$1:$AL$1,0)),"")</f>
        <v/>
      </c>
      <c r="R77" s="127" t="str">
        <f t="shared" si="10"/>
        <v/>
      </c>
      <c r="T77" s="48" t="str">
        <f t="shared" si="11"/>
        <v/>
      </c>
      <c r="U77" s="48" t="str">
        <f t="shared" si="12"/>
        <v/>
      </c>
      <c r="Y77" s="113"/>
    </row>
    <row r="78" spans="1:25" ht="17.45" customHeight="1">
      <c r="A78" s="129">
        <v>76</v>
      </c>
      <c r="B78" s="124" t="str">
        <f>IFERROR(INDEX('FB 콘텐츠 data'!AU:AU,MATCH('FB 신규발행'!A78,'FB 콘텐츠 data'!AV:AV,0)),"")</f>
        <v/>
      </c>
      <c r="C78" s="125" t="str">
        <f>IFERROR(INDEX('FB 콘텐츠 data'!$A$1:$AL$25,MATCH('FB 신규발행'!$A78,'FB 콘텐츠 data'!$AV:$AV,0),MATCH(C$2,'FB 콘텐츠 data'!$A$1:$AL$1,0)),"")</f>
        <v/>
      </c>
      <c r="D78" s="128" t="str">
        <f>IFERROR(IF(INDEX('FB 콘텐츠 data 제목 입력'!C:C,MATCH('FB 신규발행'!A78,'FB 콘텐츠 data 제목 입력'!A:A,0))=0,"",INDEX('FB 콘텐츠 data 제목 입력'!C:C,MATCH('FB 신규발행'!A78,'FB 콘텐츠 data 제목 입력'!A:A,0))),"")</f>
        <v/>
      </c>
      <c r="E78" s="126" t="str">
        <f>IFERROR(INDEX('FB 콘텐츠 data'!$A$1:$AL$25,MATCH('FB 신규발행'!$A78,'FB 콘텐츠 data'!$AV:$AV,0),MATCH(E$2,'FB 콘텐츠 data'!$A$1:$AL$1,0)),"")</f>
        <v/>
      </c>
      <c r="F78" s="126" t="str">
        <f>IFERROR(INDEX('FB 콘텐츠 data'!$A$1:$AL$25,MATCH('FB 신규발행'!$A78,'FB 콘텐츠 data'!$AV:$AV,0),MATCH(F$2,'FB 콘텐츠 data'!$A$1:$AL$1,0)),"")</f>
        <v/>
      </c>
      <c r="G78" s="126" t="str">
        <f>IFERROR(INDEX('FB 콘텐츠 data'!$A$1:$AL$25,MATCH('FB 신규발행'!$A78,'FB 콘텐츠 data'!$AV:$AV,0),MATCH(G$2,'FB 콘텐츠 data'!$A$1:$AL$1,0)),"")</f>
        <v/>
      </c>
      <c r="H78" s="126" t="str">
        <f t="shared" si="9"/>
        <v/>
      </c>
      <c r="I78" s="126" t="str">
        <f>IFERROR(INDEX('FB 콘텐츠 data'!$A$1:$AL$25,MATCH('FB 신규발행'!$A78,'FB 콘텐츠 data'!$AV:$AV,0),MATCH(I$2,'FB 콘텐츠 data'!$A$1:$AL$1,0)),"")</f>
        <v/>
      </c>
      <c r="J78" s="126" t="str">
        <f>IFERROR(INDEX('FB 콘텐츠 data'!$A$1:$AL$25,MATCH('FB 신규발행'!$A78,'FB 콘텐츠 data'!$AV:$AV,0),MATCH(J$2,'FB 콘텐츠 data'!$A$1:$AL$1,0)),"")</f>
        <v/>
      </c>
      <c r="K78" s="216" t="str">
        <f>IFERROR(INDEX('FB 콘텐츠 data'!$A$1:$AV$25,MATCH('FB 신규발행'!$A78,'FB 콘텐츠 data'!$AV:$AV,0),MATCH(K$2,'FB 콘텐츠 data'!$A$1:$AV$1,0)),"")</f>
        <v/>
      </c>
      <c r="L78" s="126" t="str">
        <f>IFERROR(INDEX('FB 콘텐츠 data'!$A$1:$AL$25,MATCH('FB 신규발행'!$A78,'FB 콘텐츠 data'!$AV:$AV,0),MATCH(L$2,'FB 콘텐츠 data'!$A$1:$AL$1,0)),"")</f>
        <v/>
      </c>
      <c r="M78" s="126" t="str">
        <f>IFERROR(INDEX('FB 콘텐츠 data'!$A$1:$AL$25,MATCH('FB 신규발행'!$A78,'FB 콘텐츠 data'!$AV:$AV,0),MATCH(M$2,'FB 콘텐츠 data'!$A$1:$AL$1,0)),"")</f>
        <v/>
      </c>
      <c r="N78" s="126" t="str">
        <f>IFERROR(INDEX('FB 콘텐츠 data'!$A$1:$AL$25,MATCH('FB 신규발행'!$A78,'FB 콘텐츠 data'!$AV:$AV,0),MATCH(N$2,'FB 콘텐츠 data'!$A$1:$AL$1,0)),"")</f>
        <v/>
      </c>
      <c r="O78" s="126" t="str">
        <f>IFERROR(INDEX('FB 콘텐츠 data'!$A$1:$AL$25,MATCH('FB 신규발행'!$A78,'FB 콘텐츠 data'!$AV:$AV,0),MATCH(O$2,'FB 콘텐츠 data'!$A$1:$AL$1,0)),"")</f>
        <v/>
      </c>
      <c r="P78" s="126" t="str">
        <f>IFERROR(INDEX('FB 콘텐츠 data'!$A$1:$AL$25,MATCH('FB 신규발행'!$A78,'FB 콘텐츠 data'!$AV:$AV,0),MATCH(P$2,'FB 콘텐츠 data'!$A$1:$AL$1,0)),"")</f>
        <v/>
      </c>
      <c r="Q78" s="126" t="str">
        <f>IFERROR(INDEX('FB 콘텐츠 data'!$A$1:$AL$25,MATCH('FB 신규발행'!$A78,'FB 콘텐츠 data'!$AV:$AV,0),MATCH(Q$2,'FB 콘텐츠 data'!$A$1:$AL$1,0)),"")</f>
        <v/>
      </c>
      <c r="R78" s="127" t="str">
        <f t="shared" si="10"/>
        <v/>
      </c>
      <c r="T78" s="48" t="str">
        <f t="shared" si="11"/>
        <v/>
      </c>
      <c r="U78" s="48" t="str">
        <f t="shared" si="12"/>
        <v/>
      </c>
      <c r="Y78" s="113"/>
    </row>
    <row r="79" spans="1:25" ht="17.45" customHeight="1">
      <c r="A79" s="129">
        <v>77</v>
      </c>
      <c r="B79" s="124" t="str">
        <f>IFERROR(INDEX('FB 콘텐츠 data'!AU:AU,MATCH('FB 신규발행'!A79,'FB 콘텐츠 data'!AV:AV,0)),"")</f>
        <v/>
      </c>
      <c r="C79" s="125" t="str">
        <f>IFERROR(INDEX('FB 콘텐츠 data'!$A$1:$AL$25,MATCH('FB 신규발행'!$A79,'FB 콘텐츠 data'!$AV:$AV,0),MATCH(C$2,'FB 콘텐츠 data'!$A$1:$AL$1,0)),"")</f>
        <v/>
      </c>
      <c r="D79" s="128" t="str">
        <f>IFERROR(IF(INDEX('FB 콘텐츠 data 제목 입력'!C:C,MATCH('FB 신규발행'!A79,'FB 콘텐츠 data 제목 입력'!A:A,0))=0,"",INDEX('FB 콘텐츠 data 제목 입력'!C:C,MATCH('FB 신규발행'!A79,'FB 콘텐츠 data 제목 입력'!A:A,0))),"")</f>
        <v/>
      </c>
      <c r="E79" s="126" t="str">
        <f>IFERROR(INDEX('FB 콘텐츠 data'!$A$1:$AL$25,MATCH('FB 신규발행'!$A79,'FB 콘텐츠 data'!$AV:$AV,0),MATCH(E$2,'FB 콘텐츠 data'!$A$1:$AL$1,0)),"")</f>
        <v/>
      </c>
      <c r="F79" s="126" t="str">
        <f>IFERROR(INDEX('FB 콘텐츠 data'!$A$1:$AL$25,MATCH('FB 신규발행'!$A79,'FB 콘텐츠 data'!$AV:$AV,0),MATCH(F$2,'FB 콘텐츠 data'!$A$1:$AL$1,0)),"")</f>
        <v/>
      </c>
      <c r="G79" s="126" t="str">
        <f>IFERROR(INDEX('FB 콘텐츠 data'!$A$1:$AL$25,MATCH('FB 신규발행'!$A79,'FB 콘텐츠 data'!$AV:$AV,0),MATCH(G$2,'FB 콘텐츠 data'!$A$1:$AL$1,0)),"")</f>
        <v/>
      </c>
      <c r="H79" s="126" t="str">
        <f t="shared" si="9"/>
        <v/>
      </c>
      <c r="I79" s="126" t="str">
        <f>IFERROR(INDEX('FB 콘텐츠 data'!$A$1:$AL$25,MATCH('FB 신규발행'!$A79,'FB 콘텐츠 data'!$AV:$AV,0),MATCH(I$2,'FB 콘텐츠 data'!$A$1:$AL$1,0)),"")</f>
        <v/>
      </c>
      <c r="J79" s="126" t="str">
        <f>IFERROR(INDEX('FB 콘텐츠 data'!$A$1:$AL$25,MATCH('FB 신규발행'!$A79,'FB 콘텐츠 data'!$AV:$AV,0),MATCH(J$2,'FB 콘텐츠 data'!$A$1:$AL$1,0)),"")</f>
        <v/>
      </c>
      <c r="K79" s="216" t="str">
        <f>IFERROR(INDEX('FB 콘텐츠 data'!$A$1:$AV$25,MATCH('FB 신규발행'!$A79,'FB 콘텐츠 data'!$AV:$AV,0),MATCH(K$2,'FB 콘텐츠 data'!$A$1:$AV$1,0)),"")</f>
        <v/>
      </c>
      <c r="L79" s="126" t="str">
        <f>IFERROR(INDEX('FB 콘텐츠 data'!$A$1:$AL$25,MATCH('FB 신규발행'!$A79,'FB 콘텐츠 data'!$AV:$AV,0),MATCH(L$2,'FB 콘텐츠 data'!$A$1:$AL$1,0)),"")</f>
        <v/>
      </c>
      <c r="M79" s="126" t="str">
        <f>IFERROR(INDEX('FB 콘텐츠 data'!$A$1:$AL$25,MATCH('FB 신규발행'!$A79,'FB 콘텐츠 data'!$AV:$AV,0),MATCH(M$2,'FB 콘텐츠 data'!$A$1:$AL$1,0)),"")</f>
        <v/>
      </c>
      <c r="N79" s="126" t="str">
        <f>IFERROR(INDEX('FB 콘텐츠 data'!$A$1:$AL$25,MATCH('FB 신규발행'!$A79,'FB 콘텐츠 data'!$AV:$AV,0),MATCH(N$2,'FB 콘텐츠 data'!$A$1:$AL$1,0)),"")</f>
        <v/>
      </c>
      <c r="O79" s="126" t="str">
        <f>IFERROR(INDEX('FB 콘텐츠 data'!$A$1:$AL$25,MATCH('FB 신규발행'!$A79,'FB 콘텐츠 data'!$AV:$AV,0),MATCH(O$2,'FB 콘텐츠 data'!$A$1:$AL$1,0)),"")</f>
        <v/>
      </c>
      <c r="P79" s="126" t="str">
        <f>IFERROR(INDEX('FB 콘텐츠 data'!$A$1:$AL$25,MATCH('FB 신규발행'!$A79,'FB 콘텐츠 data'!$AV:$AV,0),MATCH(P$2,'FB 콘텐츠 data'!$A$1:$AL$1,0)),"")</f>
        <v/>
      </c>
      <c r="Q79" s="126" t="str">
        <f>IFERROR(INDEX('FB 콘텐츠 data'!$A$1:$AL$25,MATCH('FB 신규발행'!$A79,'FB 콘텐츠 data'!$AV:$AV,0),MATCH(Q$2,'FB 콘텐츠 data'!$A$1:$AL$1,0)),"")</f>
        <v/>
      </c>
      <c r="R79" s="127" t="str">
        <f t="shared" si="10"/>
        <v/>
      </c>
      <c r="T79" s="48" t="str">
        <f t="shared" si="11"/>
        <v/>
      </c>
      <c r="U79" s="48" t="str">
        <f t="shared" si="12"/>
        <v/>
      </c>
      <c r="Y79" s="113"/>
    </row>
    <row r="80" spans="1:25" ht="17.45" customHeight="1">
      <c r="A80" s="129">
        <v>78</v>
      </c>
      <c r="B80" s="124" t="str">
        <f>IFERROR(INDEX('FB 콘텐츠 data'!AU:AU,MATCH('FB 신규발행'!A80,'FB 콘텐츠 data'!AV:AV,0)),"")</f>
        <v/>
      </c>
      <c r="C80" s="125" t="str">
        <f>IFERROR(INDEX('FB 콘텐츠 data'!$A$1:$AL$25,MATCH('FB 신규발행'!$A80,'FB 콘텐츠 data'!$AV:$AV,0),MATCH(C$2,'FB 콘텐츠 data'!$A$1:$AL$1,0)),"")</f>
        <v/>
      </c>
      <c r="D80" s="128" t="str">
        <f>IFERROR(IF(INDEX('FB 콘텐츠 data 제목 입력'!C:C,MATCH('FB 신규발행'!A80,'FB 콘텐츠 data 제목 입력'!A:A,0))=0,"",INDEX('FB 콘텐츠 data 제목 입력'!C:C,MATCH('FB 신규발행'!A80,'FB 콘텐츠 data 제목 입력'!A:A,0))),"")</f>
        <v/>
      </c>
      <c r="E80" s="126" t="str">
        <f>IFERROR(INDEX('FB 콘텐츠 data'!$A$1:$AL$25,MATCH('FB 신규발행'!$A80,'FB 콘텐츠 data'!$AV:$AV,0),MATCH(E$2,'FB 콘텐츠 data'!$A$1:$AL$1,0)),"")</f>
        <v/>
      </c>
      <c r="F80" s="126" t="str">
        <f>IFERROR(INDEX('FB 콘텐츠 data'!$A$1:$AL$25,MATCH('FB 신규발행'!$A80,'FB 콘텐츠 data'!$AV:$AV,0),MATCH(F$2,'FB 콘텐츠 data'!$A$1:$AL$1,0)),"")</f>
        <v/>
      </c>
      <c r="G80" s="126" t="str">
        <f>IFERROR(INDEX('FB 콘텐츠 data'!$A$1:$AL$25,MATCH('FB 신규발행'!$A80,'FB 콘텐츠 data'!$AV:$AV,0),MATCH(G$2,'FB 콘텐츠 data'!$A$1:$AL$1,0)),"")</f>
        <v/>
      </c>
      <c r="H80" s="126" t="str">
        <f t="shared" si="9"/>
        <v/>
      </c>
      <c r="I80" s="126" t="str">
        <f>IFERROR(INDEX('FB 콘텐츠 data'!$A$1:$AL$25,MATCH('FB 신규발행'!$A80,'FB 콘텐츠 data'!$AV:$AV,0),MATCH(I$2,'FB 콘텐츠 data'!$A$1:$AL$1,0)),"")</f>
        <v/>
      </c>
      <c r="J80" s="126" t="str">
        <f>IFERROR(INDEX('FB 콘텐츠 data'!$A$1:$AL$25,MATCH('FB 신규발행'!$A80,'FB 콘텐츠 data'!$AV:$AV,0),MATCH(J$2,'FB 콘텐츠 data'!$A$1:$AL$1,0)),"")</f>
        <v/>
      </c>
      <c r="K80" s="216" t="str">
        <f>IFERROR(INDEX('FB 콘텐츠 data'!$A$1:$AV$25,MATCH('FB 신규발행'!$A80,'FB 콘텐츠 data'!$AV:$AV,0),MATCH(K$2,'FB 콘텐츠 data'!$A$1:$AV$1,0)),"")</f>
        <v/>
      </c>
      <c r="L80" s="126" t="str">
        <f>IFERROR(INDEX('FB 콘텐츠 data'!$A$1:$AL$25,MATCH('FB 신규발행'!$A80,'FB 콘텐츠 data'!$AV:$AV,0),MATCH(L$2,'FB 콘텐츠 data'!$A$1:$AL$1,0)),"")</f>
        <v/>
      </c>
      <c r="M80" s="126" t="str">
        <f>IFERROR(INDEX('FB 콘텐츠 data'!$A$1:$AL$25,MATCH('FB 신규발행'!$A80,'FB 콘텐츠 data'!$AV:$AV,0),MATCH(M$2,'FB 콘텐츠 data'!$A$1:$AL$1,0)),"")</f>
        <v/>
      </c>
      <c r="N80" s="126" t="str">
        <f>IFERROR(INDEX('FB 콘텐츠 data'!$A$1:$AL$25,MATCH('FB 신규발행'!$A80,'FB 콘텐츠 data'!$AV:$AV,0),MATCH(N$2,'FB 콘텐츠 data'!$A$1:$AL$1,0)),"")</f>
        <v/>
      </c>
      <c r="O80" s="126" t="str">
        <f>IFERROR(INDEX('FB 콘텐츠 data'!$A$1:$AL$25,MATCH('FB 신규발행'!$A80,'FB 콘텐츠 data'!$AV:$AV,0),MATCH(O$2,'FB 콘텐츠 data'!$A$1:$AL$1,0)),"")</f>
        <v/>
      </c>
      <c r="P80" s="126" t="str">
        <f>IFERROR(INDEX('FB 콘텐츠 data'!$A$1:$AL$25,MATCH('FB 신규발행'!$A80,'FB 콘텐츠 data'!$AV:$AV,0),MATCH(P$2,'FB 콘텐츠 data'!$A$1:$AL$1,0)),"")</f>
        <v/>
      </c>
      <c r="Q80" s="126" t="str">
        <f>IFERROR(INDEX('FB 콘텐츠 data'!$A$1:$AL$25,MATCH('FB 신규발행'!$A80,'FB 콘텐츠 data'!$AV:$AV,0),MATCH(Q$2,'FB 콘텐츠 data'!$A$1:$AL$1,0)),"")</f>
        <v/>
      </c>
      <c r="R80" s="127" t="str">
        <f t="shared" si="10"/>
        <v/>
      </c>
      <c r="T80" s="48" t="str">
        <f t="shared" si="11"/>
        <v/>
      </c>
      <c r="U80" s="48" t="str">
        <f t="shared" si="12"/>
        <v/>
      </c>
      <c r="Y80" s="113"/>
    </row>
    <row r="81" spans="1:25" ht="17.45" customHeight="1">
      <c r="A81" s="129">
        <v>79</v>
      </c>
      <c r="B81" s="124" t="str">
        <f>IFERROR(INDEX('FB 콘텐츠 data'!AU:AU,MATCH('FB 신규발행'!A81,'FB 콘텐츠 data'!AV:AV,0)),"")</f>
        <v/>
      </c>
      <c r="C81" s="125" t="str">
        <f>IFERROR(INDEX('FB 콘텐츠 data'!$A$1:$AL$25,MATCH('FB 신규발행'!$A81,'FB 콘텐츠 data'!$AV:$AV,0),MATCH(C$2,'FB 콘텐츠 data'!$A$1:$AL$1,0)),"")</f>
        <v/>
      </c>
      <c r="D81" s="128" t="str">
        <f>IFERROR(IF(INDEX('FB 콘텐츠 data 제목 입력'!C:C,MATCH('FB 신규발행'!A81,'FB 콘텐츠 data 제목 입력'!A:A,0))=0,"",INDEX('FB 콘텐츠 data 제목 입력'!C:C,MATCH('FB 신규발행'!A81,'FB 콘텐츠 data 제목 입력'!A:A,0))),"")</f>
        <v/>
      </c>
      <c r="E81" s="126" t="str">
        <f>IFERROR(INDEX('FB 콘텐츠 data'!$A$1:$AL$25,MATCH('FB 신규발행'!$A81,'FB 콘텐츠 data'!$AV:$AV,0),MATCH(E$2,'FB 콘텐츠 data'!$A$1:$AL$1,0)),"")</f>
        <v/>
      </c>
      <c r="F81" s="126" t="str">
        <f>IFERROR(INDEX('FB 콘텐츠 data'!$A$1:$AL$25,MATCH('FB 신규발행'!$A81,'FB 콘텐츠 data'!$AV:$AV,0),MATCH(F$2,'FB 콘텐츠 data'!$A$1:$AL$1,0)),"")</f>
        <v/>
      </c>
      <c r="G81" s="126" t="str">
        <f>IFERROR(INDEX('FB 콘텐츠 data'!$A$1:$AL$25,MATCH('FB 신규발행'!$A81,'FB 콘텐츠 data'!$AV:$AV,0),MATCH(G$2,'FB 콘텐츠 data'!$A$1:$AL$1,0)),"")</f>
        <v/>
      </c>
      <c r="H81" s="126" t="str">
        <f t="shared" si="9"/>
        <v/>
      </c>
      <c r="I81" s="126" t="str">
        <f>IFERROR(INDEX('FB 콘텐츠 data'!$A$1:$AL$25,MATCH('FB 신규발행'!$A81,'FB 콘텐츠 data'!$AV:$AV,0),MATCH(I$2,'FB 콘텐츠 data'!$A$1:$AL$1,0)),"")</f>
        <v/>
      </c>
      <c r="J81" s="126" t="str">
        <f>IFERROR(INDEX('FB 콘텐츠 data'!$A$1:$AL$25,MATCH('FB 신규발행'!$A81,'FB 콘텐츠 data'!$AV:$AV,0),MATCH(J$2,'FB 콘텐츠 data'!$A$1:$AL$1,0)),"")</f>
        <v/>
      </c>
      <c r="K81" s="216" t="str">
        <f>IFERROR(INDEX('FB 콘텐츠 data'!$A$1:$AV$25,MATCH('FB 신규발행'!$A81,'FB 콘텐츠 data'!$AV:$AV,0),MATCH(K$2,'FB 콘텐츠 data'!$A$1:$AV$1,0)),"")</f>
        <v/>
      </c>
      <c r="L81" s="126" t="str">
        <f>IFERROR(INDEX('FB 콘텐츠 data'!$A$1:$AL$25,MATCH('FB 신규발행'!$A81,'FB 콘텐츠 data'!$AV:$AV,0),MATCH(L$2,'FB 콘텐츠 data'!$A$1:$AL$1,0)),"")</f>
        <v/>
      </c>
      <c r="M81" s="126" t="str">
        <f>IFERROR(INDEX('FB 콘텐츠 data'!$A$1:$AL$25,MATCH('FB 신규발행'!$A81,'FB 콘텐츠 data'!$AV:$AV,0),MATCH(M$2,'FB 콘텐츠 data'!$A$1:$AL$1,0)),"")</f>
        <v/>
      </c>
      <c r="N81" s="126" t="str">
        <f>IFERROR(INDEX('FB 콘텐츠 data'!$A$1:$AL$25,MATCH('FB 신규발행'!$A81,'FB 콘텐츠 data'!$AV:$AV,0),MATCH(N$2,'FB 콘텐츠 data'!$A$1:$AL$1,0)),"")</f>
        <v/>
      </c>
      <c r="O81" s="126" t="str">
        <f>IFERROR(INDEX('FB 콘텐츠 data'!$A$1:$AL$25,MATCH('FB 신규발행'!$A81,'FB 콘텐츠 data'!$AV:$AV,0),MATCH(O$2,'FB 콘텐츠 data'!$A$1:$AL$1,0)),"")</f>
        <v/>
      </c>
      <c r="P81" s="126" t="str">
        <f>IFERROR(INDEX('FB 콘텐츠 data'!$A$1:$AL$25,MATCH('FB 신규발행'!$A81,'FB 콘텐츠 data'!$AV:$AV,0),MATCH(P$2,'FB 콘텐츠 data'!$A$1:$AL$1,0)),"")</f>
        <v/>
      </c>
      <c r="Q81" s="126" t="str">
        <f>IFERROR(INDEX('FB 콘텐츠 data'!$A$1:$AL$25,MATCH('FB 신규발행'!$A81,'FB 콘텐츠 data'!$AV:$AV,0),MATCH(Q$2,'FB 콘텐츠 data'!$A$1:$AL$1,0)),"")</f>
        <v/>
      </c>
      <c r="R81" s="127" t="str">
        <f t="shared" si="10"/>
        <v/>
      </c>
      <c r="T81" s="48" t="str">
        <f t="shared" si="11"/>
        <v/>
      </c>
      <c r="U81" s="48" t="str">
        <f t="shared" si="12"/>
        <v/>
      </c>
      <c r="Y81" s="113"/>
    </row>
    <row r="82" spans="1:25" ht="17.45" customHeight="1">
      <c r="A82" s="129">
        <v>80</v>
      </c>
      <c r="B82" s="124" t="str">
        <f>IFERROR(INDEX('FB 콘텐츠 data'!AU:AU,MATCH('FB 신규발행'!A82,'FB 콘텐츠 data'!AV:AV,0)),"")</f>
        <v/>
      </c>
      <c r="C82" s="125" t="str">
        <f>IFERROR(INDEX('FB 콘텐츠 data'!$A$1:$AL$25,MATCH('FB 신규발행'!$A82,'FB 콘텐츠 data'!$AV:$AV,0),MATCH(C$2,'FB 콘텐츠 data'!$A$1:$AL$1,0)),"")</f>
        <v/>
      </c>
      <c r="D82" s="128" t="str">
        <f>IFERROR(IF(INDEX('FB 콘텐츠 data 제목 입력'!C:C,MATCH('FB 신규발행'!A82,'FB 콘텐츠 data 제목 입력'!A:A,0))=0,"",INDEX('FB 콘텐츠 data 제목 입력'!C:C,MATCH('FB 신규발행'!A82,'FB 콘텐츠 data 제목 입력'!A:A,0))),"")</f>
        <v/>
      </c>
      <c r="E82" s="126" t="str">
        <f>IFERROR(INDEX('FB 콘텐츠 data'!$A$1:$AL$25,MATCH('FB 신규발행'!$A82,'FB 콘텐츠 data'!$AV:$AV,0),MATCH(E$2,'FB 콘텐츠 data'!$A$1:$AL$1,0)),"")</f>
        <v/>
      </c>
      <c r="F82" s="126" t="str">
        <f>IFERROR(INDEX('FB 콘텐츠 data'!$A$1:$AL$25,MATCH('FB 신규발행'!$A82,'FB 콘텐츠 data'!$AV:$AV,0),MATCH(F$2,'FB 콘텐츠 data'!$A$1:$AL$1,0)),"")</f>
        <v/>
      </c>
      <c r="G82" s="126" t="str">
        <f>IFERROR(INDEX('FB 콘텐츠 data'!$A$1:$AL$25,MATCH('FB 신규발행'!$A82,'FB 콘텐츠 data'!$AV:$AV,0),MATCH(G$2,'FB 콘텐츠 data'!$A$1:$AL$1,0)),"")</f>
        <v/>
      </c>
      <c r="H82" s="126" t="str">
        <f t="shared" si="9"/>
        <v/>
      </c>
      <c r="I82" s="126" t="str">
        <f>IFERROR(INDEX('FB 콘텐츠 data'!$A$1:$AL$25,MATCH('FB 신규발행'!$A82,'FB 콘텐츠 data'!$AV:$AV,0),MATCH(I$2,'FB 콘텐츠 data'!$A$1:$AL$1,0)),"")</f>
        <v/>
      </c>
      <c r="J82" s="126" t="str">
        <f>IFERROR(INDEX('FB 콘텐츠 data'!$A$1:$AL$25,MATCH('FB 신규발행'!$A82,'FB 콘텐츠 data'!$AV:$AV,0),MATCH(J$2,'FB 콘텐츠 data'!$A$1:$AL$1,0)),"")</f>
        <v/>
      </c>
      <c r="K82" s="216" t="str">
        <f>IFERROR(INDEX('FB 콘텐츠 data'!$A$1:$AV$25,MATCH('FB 신규발행'!$A82,'FB 콘텐츠 data'!$AV:$AV,0),MATCH(K$2,'FB 콘텐츠 data'!$A$1:$AV$1,0)),"")</f>
        <v/>
      </c>
      <c r="L82" s="126" t="str">
        <f>IFERROR(INDEX('FB 콘텐츠 data'!$A$1:$AL$25,MATCH('FB 신규발행'!$A82,'FB 콘텐츠 data'!$AV:$AV,0),MATCH(L$2,'FB 콘텐츠 data'!$A$1:$AL$1,0)),"")</f>
        <v/>
      </c>
      <c r="M82" s="126" t="str">
        <f>IFERROR(INDEX('FB 콘텐츠 data'!$A$1:$AL$25,MATCH('FB 신규발행'!$A82,'FB 콘텐츠 data'!$AV:$AV,0),MATCH(M$2,'FB 콘텐츠 data'!$A$1:$AL$1,0)),"")</f>
        <v/>
      </c>
      <c r="N82" s="126" t="str">
        <f>IFERROR(INDEX('FB 콘텐츠 data'!$A$1:$AL$25,MATCH('FB 신규발행'!$A82,'FB 콘텐츠 data'!$AV:$AV,0),MATCH(N$2,'FB 콘텐츠 data'!$A$1:$AL$1,0)),"")</f>
        <v/>
      </c>
      <c r="O82" s="126" t="str">
        <f>IFERROR(INDEX('FB 콘텐츠 data'!$A$1:$AL$25,MATCH('FB 신규발행'!$A82,'FB 콘텐츠 data'!$AV:$AV,0),MATCH(O$2,'FB 콘텐츠 data'!$A$1:$AL$1,0)),"")</f>
        <v/>
      </c>
      <c r="P82" s="126" t="str">
        <f>IFERROR(INDEX('FB 콘텐츠 data'!$A$1:$AL$25,MATCH('FB 신규발행'!$A82,'FB 콘텐츠 data'!$AV:$AV,0),MATCH(P$2,'FB 콘텐츠 data'!$A$1:$AL$1,0)),"")</f>
        <v/>
      </c>
      <c r="Q82" s="126" t="str">
        <f>IFERROR(INDEX('FB 콘텐츠 data'!$A$1:$AL$25,MATCH('FB 신규발행'!$A82,'FB 콘텐츠 data'!$AV:$AV,0),MATCH(Q$2,'FB 콘텐츠 data'!$A$1:$AL$1,0)),"")</f>
        <v/>
      </c>
      <c r="R82" s="127" t="str">
        <f t="shared" si="10"/>
        <v/>
      </c>
      <c r="T82" s="48" t="str">
        <f t="shared" si="11"/>
        <v/>
      </c>
      <c r="U82" s="48" t="str">
        <f t="shared" si="12"/>
        <v/>
      </c>
      <c r="Y82" s="113"/>
    </row>
  </sheetData>
  <phoneticPr fontId="1" type="noConversion"/>
  <pageMargins left="0.7" right="0.7" top="0.75" bottom="0.75" header="0.3" footer="0.3"/>
  <pageSetup paperSize="9" orientation="portrait" r:id="rId1"/>
  <ignoredErrors>
    <ignoredError sqref="H3 H4:H82 D3:D82 K3:K82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79998168889431442"/>
  </sheetPr>
  <dimension ref="A1:S33"/>
  <sheetViews>
    <sheetView workbookViewId="0">
      <selection activeCell="P18" sqref="P18"/>
    </sheetView>
  </sheetViews>
  <sheetFormatPr defaultColWidth="8.75" defaultRowHeight="14.25"/>
  <cols>
    <col min="1" max="2" width="8.75" style="52"/>
    <col min="3" max="3" width="9.125" style="52" bestFit="1" customWidth="1"/>
    <col min="4" max="18" width="8.75" style="52"/>
    <col min="19" max="19" width="8.75" style="59"/>
    <col min="20" max="16384" width="8.75" style="52"/>
  </cols>
  <sheetData>
    <row r="1" spans="1:19" s="51" customFormat="1">
      <c r="S1" s="59"/>
    </row>
    <row r="2" spans="1:19" s="102" customFormat="1">
      <c r="A2" s="132" t="str">
        <f>HYPERLINK(INDEX('FB 콘텐츠 data'!I:I,MATCH(INDEX('FB 신규발행'!$A:$A,MATCH(1,'FB 신규발행'!$T:$T,0)),'FB 콘텐츠 data'!AV:AV,0)),"1. "&amp;INDEX('FB 신규발행'!$D:$D,MATCH(1,'FB 신규발행'!$T:$T,0)))</f>
        <v>1. 삼일절</v>
      </c>
      <c r="B2" s="130"/>
      <c r="D2" s="130"/>
      <c r="F2" s="132" t="str">
        <f>HYPERLINK(INDEX('FB 콘텐츠 data'!I:I,MATCH(INDEX('FB 신규발행'!$A:$A,MATCH(2,'FB 신규발행'!$T:$T,0)),'FB 콘텐츠 data'!AV:AV,0)),"2. "&amp;INDEX('FB 신규발행'!$D:$D,MATCH(2,'FB 신규발행'!$T:$T,0)))</f>
        <v>2. [EVENT] SK에너지 머핀</v>
      </c>
      <c r="G2" s="130"/>
      <c r="I2" s="130"/>
      <c r="K2" s="132" t="str">
        <f>HYPERLINK(INDEX('FB 콘텐츠 data'!I:I,MATCH(INDEX('FB 신규발행'!$A:$A,MATCH(3,'FB 신규발행'!$T:$T,0)),'FB 콘텐츠 data'!AV:AV,0)),"3. "&amp;INDEX('FB 신규발행'!$D:$D,MATCH(3,'FB 신규발행'!$T:$T,0)))</f>
        <v>3. 슼슼 배우는 2차전지 이야기</v>
      </c>
      <c r="L2" s="130"/>
      <c r="M2" s="130"/>
      <c r="N2" s="130"/>
      <c r="Q2" s="102" t="s">
        <v>114</v>
      </c>
      <c r="S2" s="131"/>
    </row>
    <row r="3" spans="1:19" ht="16.5">
      <c r="D3" s="60"/>
      <c r="I3" s="60"/>
      <c r="N3" s="60"/>
      <c r="Q3" s="102" t="s">
        <v>115</v>
      </c>
    </row>
    <row r="4" spans="1:19" ht="15" thickBot="1">
      <c r="A4" s="53" t="s">
        <v>74</v>
      </c>
      <c r="B4" s="61">
        <f>VLOOKUP(INDEX('FB 신규발행'!$D:$D,MATCH(1,'FB 신규발행'!$T:$T,0)),'FB 신규발행'!$D:$R,3,FALSE)</f>
        <v>11750</v>
      </c>
      <c r="C4" s="54" t="s">
        <v>75</v>
      </c>
      <c r="D4" s="61">
        <f>VLOOKUP(INDEX('FB 신규발행'!$D:$D,MATCH(1,'FB 신규발행'!$T:$T,0)),'FB 신규발행'!$D:$R,2,FALSE)</f>
        <v>15976</v>
      </c>
      <c r="F4" s="53" t="s">
        <v>74</v>
      </c>
      <c r="G4" s="61">
        <f>VLOOKUP(INDEX('FB 신규발행'!$D:$D,MATCH(2,'FB 신규발행'!$T:$T,0)),'FB 신규발행'!$D:$R,3,FALSE)</f>
        <v>12114</v>
      </c>
      <c r="H4" s="54" t="s">
        <v>75</v>
      </c>
      <c r="I4" s="61">
        <f>VLOOKUP(INDEX('FB 신규발행'!$D:$D,MATCH(2,'FB 신규발행'!$T:$T,0)),'FB 신규발행'!$D:$R,2,FALSE)</f>
        <v>18075</v>
      </c>
      <c r="K4" s="53" t="s">
        <v>74</v>
      </c>
      <c r="L4" s="61">
        <f>VLOOKUP(INDEX('FB 신규발행'!$D:$D,MATCH(3,'FB 신규발행'!$T:$T,0)),'FB 신규발행'!$D:$R,3,FALSE)</f>
        <v>24829</v>
      </c>
      <c r="M4" s="54" t="s">
        <v>75</v>
      </c>
      <c r="N4" s="61">
        <f>VLOOKUP(INDEX('FB 신규발행'!$D:$D,MATCH(3,'FB 신규발행'!$T:$T,0)),'FB 신규발행'!$D:$R,2,FALSE)</f>
        <v>48057</v>
      </c>
      <c r="Q4" s="102"/>
    </row>
    <row r="5" spans="1:19" ht="15.75" thickTop="1" thickBot="1">
      <c r="A5" s="55" t="s">
        <v>19</v>
      </c>
      <c r="B5" s="61">
        <f>VLOOKUP(INDEX('FB 신규발행'!$D:$D,MATCH(1,'FB 신규발행'!$T:$T,0)),'FB 신규발행'!$D:$R,5,FALSE)</f>
        <v>1409</v>
      </c>
      <c r="C5" s="56" t="s">
        <v>20</v>
      </c>
      <c r="D5" s="61">
        <f>VLOOKUP(INDEX('FB 신규발행'!$D:$D,MATCH(1,'FB 신규발행'!$T:$T,0)),'FB 신규발행'!$D:$R,6,FALSE)</f>
        <v>1102</v>
      </c>
      <c r="F5" s="55" t="s">
        <v>19</v>
      </c>
      <c r="G5" s="61">
        <f>VLOOKUP(INDEX('FB 신규발행'!$D:$D,MATCH(2,'FB 신규발행'!$T:$T,0)),'FB 신규발행'!$D:$R,5,FALSE)</f>
        <v>1432</v>
      </c>
      <c r="H5" s="56" t="s">
        <v>20</v>
      </c>
      <c r="I5" s="61">
        <f>VLOOKUP(INDEX('FB 신규발행'!$D:$D,MATCH(2,'FB 신규발행'!$T:$T,0)),'FB 신규발행'!$D:$R,6,FALSE)</f>
        <v>570</v>
      </c>
      <c r="K5" s="55" t="s">
        <v>19</v>
      </c>
      <c r="L5" s="61">
        <f>VLOOKUP(INDEX('FB 신규발행'!$D:$D,MATCH(3,'FB 신규발행'!$T:$T,0)),'FB 신규발행'!$D:$R,5,FALSE)</f>
        <v>2450</v>
      </c>
      <c r="M5" s="56" t="s">
        <v>20</v>
      </c>
      <c r="N5" s="61">
        <f>VLOOKUP(INDEX('FB 신규발행'!$D:$D,MATCH(3,'FB 신규발행'!$T:$T,0)),'FB 신규발행'!$D:$R,6,FALSE)</f>
        <v>934</v>
      </c>
      <c r="Q5" s="102"/>
    </row>
    <row r="6" spans="1:19" ht="15.75" thickTop="1" thickBot="1">
      <c r="A6" s="57" t="s">
        <v>50</v>
      </c>
      <c r="B6" s="61">
        <f>VLOOKUP(INDEX('FB 신규발행'!$D:$D,MATCH(1,'FB 신규발행'!$T:$T,0)),'FB 신규발행'!$D:$R,10,FALSE)</f>
        <v>61</v>
      </c>
      <c r="C6" s="56" t="s">
        <v>92</v>
      </c>
      <c r="D6" s="61">
        <f>VLOOKUP(INDEX('FB 신규발행'!$D:$D,MATCH(1,'FB 신규발행'!$T:$T,0)),'FB 신규발행'!$D:$R,12,FALSE)</f>
        <v>34</v>
      </c>
      <c r="F6" s="57" t="s">
        <v>50</v>
      </c>
      <c r="G6" s="61">
        <f>VLOOKUP(INDEX('FB 신규발행'!$D:$D,MATCH(2,'FB 신규발행'!$T:$T,0)),'FB 신규발행'!$D:$R,10,FALSE)</f>
        <v>0</v>
      </c>
      <c r="H6" s="56" t="s">
        <v>92</v>
      </c>
      <c r="I6" s="61">
        <f>VLOOKUP(INDEX('FB 신규발행'!$D:$D,MATCH(2,'FB 신규발행'!$T:$T,0)),'FB 신규발행'!$D:$R,12,FALSE)</f>
        <v>62</v>
      </c>
      <c r="K6" s="57" t="s">
        <v>50</v>
      </c>
      <c r="L6" s="61">
        <f>VLOOKUP(INDEX('FB 신규발행'!$D:$D,MATCH(3,'FB 신규발행'!$T:$T,0)),'FB 신규발행'!$D:$R,10,FALSE)</f>
        <v>994</v>
      </c>
      <c r="M6" s="56" t="s">
        <v>92</v>
      </c>
      <c r="N6" s="61">
        <f>VLOOKUP(INDEX('FB 신규발행'!$D:$D,MATCH(3,'FB 신규발행'!$T:$T,0)),'FB 신규발행'!$D:$R,12,FALSE)</f>
        <v>36</v>
      </c>
      <c r="Q6" s="102"/>
    </row>
    <row r="7" spans="1:19" ht="15.75" thickTop="1" thickBot="1">
      <c r="A7" s="58" t="s">
        <v>93</v>
      </c>
      <c r="B7" s="61">
        <f>VLOOKUP(INDEX('FB 신규발행'!$D:$D,MATCH(1,'FB 신규발행'!$T:$T,0)),'FB 신규발행'!$D:$R,4,FALSE)</f>
        <v>4523</v>
      </c>
      <c r="C7" s="56" t="s">
        <v>94</v>
      </c>
      <c r="D7" s="86">
        <f>B7/B4</f>
        <v>0.38493617021276594</v>
      </c>
      <c r="F7" s="58" t="s">
        <v>60</v>
      </c>
      <c r="G7" s="61">
        <f>VLOOKUP(INDEX('FB 신규발행'!$D:$D,MATCH(2,'FB 신규발행'!$T:$T,0)),'FB 신규발행'!$D:$R,4,FALSE)</f>
        <v>3566</v>
      </c>
      <c r="H7" s="56" t="s">
        <v>65</v>
      </c>
      <c r="I7" s="86">
        <f>G7/G4</f>
        <v>0.29437015023939245</v>
      </c>
      <c r="K7" s="58" t="s">
        <v>60</v>
      </c>
      <c r="L7" s="61">
        <f>VLOOKUP(INDEX('FB 신규발행'!$D:$D,MATCH(3,'FB 신규발행'!$T:$T,0)),'FB 신규발행'!$D:$R,4,FALSE)</f>
        <v>4551</v>
      </c>
      <c r="M7" s="56" t="s">
        <v>65</v>
      </c>
      <c r="N7" s="86">
        <f>L7/L4</f>
        <v>0.18329372910709252</v>
      </c>
    </row>
    <row r="8" spans="1:19" ht="15" thickTop="1"/>
    <row r="9" spans="1:19">
      <c r="B9" s="59"/>
    </row>
    <row r="10" spans="1:19">
      <c r="B10" s="52" t="s">
        <v>76</v>
      </c>
    </row>
    <row r="11" spans="1:19">
      <c r="B11" s="52" t="s">
        <v>119</v>
      </c>
    </row>
    <row r="24" spans="3:3" ht="16.5">
      <c r="C24" s="116"/>
    </row>
    <row r="25" spans="3:3" ht="16.5">
      <c r="C25" s="116"/>
    </row>
    <row r="33" spans="3:3" ht="16.5">
      <c r="C33" s="116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0.79998168889431442"/>
  </sheetPr>
  <dimension ref="A1:Y99"/>
  <sheetViews>
    <sheetView topLeftCell="F1" workbookViewId="0">
      <selection activeCell="R1" sqref="R1"/>
    </sheetView>
  </sheetViews>
  <sheetFormatPr defaultRowHeight="16.5"/>
  <cols>
    <col min="1" max="4" width="8.75" style="50"/>
    <col min="5" max="5" width="60.25" style="50" customWidth="1"/>
    <col min="6" max="6" width="8.75" style="50"/>
    <col min="7" max="7" width="10.75" style="50" bestFit="1" customWidth="1"/>
    <col min="8" max="19" width="8.75" style="50"/>
    <col min="20" max="20" width="10.875" bestFit="1" customWidth="1"/>
  </cols>
  <sheetData>
    <row r="1" spans="1:25">
      <c r="A1" s="50" t="s">
        <v>35</v>
      </c>
      <c r="B1" s="50" t="s">
        <v>79</v>
      </c>
      <c r="C1" s="50" t="s">
        <v>80</v>
      </c>
      <c r="D1" s="50" t="s">
        <v>81</v>
      </c>
      <c r="E1" s="50" t="s">
        <v>38</v>
      </c>
      <c r="F1" s="50" t="s">
        <v>39</v>
      </c>
      <c r="G1" s="50" t="s">
        <v>40</v>
      </c>
      <c r="H1" s="50" t="s">
        <v>42</v>
      </c>
      <c r="I1" s="50" t="s">
        <v>45</v>
      </c>
      <c r="J1" s="50" t="s">
        <v>128</v>
      </c>
      <c r="K1" s="50" t="s">
        <v>49</v>
      </c>
      <c r="L1" s="50" t="s">
        <v>53</v>
      </c>
      <c r="M1" s="50" t="s">
        <v>74</v>
      </c>
      <c r="N1" s="50" t="s">
        <v>50</v>
      </c>
      <c r="O1" s="50" t="s">
        <v>82</v>
      </c>
      <c r="P1" s="50" t="s">
        <v>134</v>
      </c>
      <c r="Q1" s="50" t="s">
        <v>19</v>
      </c>
      <c r="R1" s="50" t="s">
        <v>20</v>
      </c>
      <c r="S1" s="50" t="s">
        <v>83</v>
      </c>
    </row>
    <row r="2" spans="1:25">
      <c r="A2" s="50" t="s">
        <v>270</v>
      </c>
      <c r="E2" s="50" t="s">
        <v>217</v>
      </c>
      <c r="F2" s="50">
        <v>0</v>
      </c>
      <c r="G2" s="117" t="s">
        <v>177</v>
      </c>
      <c r="H2" s="50" t="s">
        <v>259</v>
      </c>
      <c r="I2" s="50" t="s">
        <v>172</v>
      </c>
      <c r="K2" s="50" t="s">
        <v>160</v>
      </c>
      <c r="L2" s="50">
        <v>1713</v>
      </c>
      <c r="M2" s="50">
        <v>1470</v>
      </c>
      <c r="N2" s="50">
        <v>3</v>
      </c>
      <c r="O2" s="50">
        <v>0</v>
      </c>
      <c r="P2" s="50">
        <v>0</v>
      </c>
      <c r="Q2" s="50">
        <v>93</v>
      </c>
      <c r="R2" s="50">
        <v>0</v>
      </c>
      <c r="S2" s="50">
        <v>4</v>
      </c>
      <c r="T2" s="38">
        <f>IF(G2="","",IFERROR(DATE(MID(G2,7,4),LEFT(G2,2),MID(G2,4,2)),G2))</f>
        <v>45351</v>
      </c>
      <c r="U2">
        <f>IFERROR(RANK(T2,T:T,1)+COUNTIF($T$1:T1,T2),"")</f>
        <v>1</v>
      </c>
      <c r="W2">
        <f>LEN(E2)</f>
        <v>3</v>
      </c>
      <c r="Y2" s="118" t="s">
        <v>137</v>
      </c>
    </row>
    <row r="3" spans="1:25">
      <c r="A3" s="50" t="s">
        <v>270</v>
      </c>
      <c r="E3" s="50" t="s">
        <v>219</v>
      </c>
      <c r="F3" s="50">
        <v>0</v>
      </c>
      <c r="G3" s="117" t="s">
        <v>220</v>
      </c>
      <c r="H3" s="50" t="s">
        <v>260</v>
      </c>
      <c r="I3" s="50" t="s">
        <v>172</v>
      </c>
      <c r="K3" s="50" t="s">
        <v>160</v>
      </c>
      <c r="L3" s="50">
        <v>1752</v>
      </c>
      <c r="M3" s="50">
        <v>1491</v>
      </c>
      <c r="N3" s="50">
        <v>0</v>
      </c>
      <c r="O3" s="50">
        <v>0</v>
      </c>
      <c r="P3" s="50">
        <v>0</v>
      </c>
      <c r="Q3" s="50">
        <v>45</v>
      </c>
      <c r="R3" s="50">
        <v>0</v>
      </c>
      <c r="S3" s="50">
        <v>2</v>
      </c>
      <c r="T3" s="38">
        <f t="shared" ref="T3:T66" si="0">IF(G3="","",IFERROR(DATE(MID(G3,7,4),LEFT(G3,2),MID(G3,4,2)),G3))</f>
        <v>45354</v>
      </c>
      <c r="U3">
        <f>IFERROR(RANK(T3,T:T,1)+COUNTIF($T$1:T2,T3),"")</f>
        <v>2</v>
      </c>
      <c r="W3">
        <f t="shared" ref="W3:W66" si="1">LEN(E3)</f>
        <v>13</v>
      </c>
      <c r="Y3" s="118"/>
    </row>
    <row r="4" spans="1:25">
      <c r="A4" s="50" t="s">
        <v>270</v>
      </c>
      <c r="E4" s="50" t="s">
        <v>225</v>
      </c>
      <c r="F4" s="50">
        <v>0</v>
      </c>
      <c r="G4" s="117" t="s">
        <v>226</v>
      </c>
      <c r="H4" s="50" t="s">
        <v>261</v>
      </c>
      <c r="I4" s="50" t="s">
        <v>173</v>
      </c>
      <c r="K4" s="50" t="s">
        <v>160</v>
      </c>
      <c r="L4" s="50">
        <v>2785</v>
      </c>
      <c r="M4" s="50">
        <v>2187</v>
      </c>
      <c r="N4" s="50">
        <v>20</v>
      </c>
      <c r="O4" s="50">
        <v>8</v>
      </c>
      <c r="P4" s="50">
        <v>0</v>
      </c>
      <c r="Q4" s="50">
        <v>99</v>
      </c>
      <c r="R4" s="50">
        <v>1</v>
      </c>
      <c r="S4" s="50">
        <v>157</v>
      </c>
      <c r="T4" s="38">
        <f t="shared" si="0"/>
        <v>45358</v>
      </c>
      <c r="U4">
        <f>IFERROR(RANK(T4,T:T,1)+COUNTIF($T$1:T3,T4),"")</f>
        <v>3</v>
      </c>
      <c r="W4">
        <f t="shared" si="1"/>
        <v>15</v>
      </c>
      <c r="Y4" s="118"/>
    </row>
    <row r="5" spans="1:25">
      <c r="A5" s="50" t="s">
        <v>270</v>
      </c>
      <c r="E5" s="50" t="s">
        <v>228</v>
      </c>
      <c r="F5" s="50">
        <v>0</v>
      </c>
      <c r="G5" s="117" t="s">
        <v>229</v>
      </c>
      <c r="H5" s="50" t="s">
        <v>262</v>
      </c>
      <c r="I5" s="50" t="s">
        <v>172</v>
      </c>
      <c r="K5" s="50" t="s">
        <v>160</v>
      </c>
      <c r="L5" s="50">
        <v>1933</v>
      </c>
      <c r="M5" s="50">
        <v>1695</v>
      </c>
      <c r="N5" s="50">
        <v>1</v>
      </c>
      <c r="O5" s="50">
        <v>0</v>
      </c>
      <c r="P5" s="50">
        <v>0</v>
      </c>
      <c r="Q5" s="50">
        <v>70</v>
      </c>
      <c r="R5" s="50">
        <v>0</v>
      </c>
      <c r="S5" s="50">
        <v>1</v>
      </c>
      <c r="T5" s="38">
        <f t="shared" si="0"/>
        <v>45361</v>
      </c>
      <c r="U5">
        <f>IFERROR(RANK(T5,T:T,1)+COUNTIF($T$1:T4,T5),"")</f>
        <v>4</v>
      </c>
      <c r="W5">
        <f t="shared" si="1"/>
        <v>13</v>
      </c>
      <c r="Y5" s="118"/>
    </row>
    <row r="6" spans="1:25">
      <c r="A6" s="50" t="s">
        <v>270</v>
      </c>
      <c r="E6" s="50" t="s">
        <v>231</v>
      </c>
      <c r="F6" s="50">
        <v>0</v>
      </c>
      <c r="G6" s="117" t="s">
        <v>232</v>
      </c>
      <c r="H6" s="50" t="s">
        <v>263</v>
      </c>
      <c r="I6" s="50" t="s">
        <v>173</v>
      </c>
      <c r="K6" s="50" t="s">
        <v>160</v>
      </c>
      <c r="L6" s="50">
        <v>1685</v>
      </c>
      <c r="M6" s="50">
        <v>1326</v>
      </c>
      <c r="N6" s="50">
        <v>5</v>
      </c>
      <c r="O6" s="50">
        <v>0</v>
      </c>
      <c r="P6" s="50">
        <v>0</v>
      </c>
      <c r="Q6" s="50">
        <v>98</v>
      </c>
      <c r="R6" s="50">
        <v>4</v>
      </c>
      <c r="S6" s="50">
        <v>24</v>
      </c>
      <c r="T6" s="38">
        <f t="shared" si="0"/>
        <v>45366</v>
      </c>
      <c r="U6">
        <f>IFERROR(RANK(T6,T:T,1)+COUNTIF($T$1:T5,T6),"")</f>
        <v>5</v>
      </c>
      <c r="W6">
        <f t="shared" si="1"/>
        <v>9</v>
      </c>
      <c r="Y6" s="118"/>
    </row>
    <row r="7" spans="1:25">
      <c r="A7" s="50" t="s">
        <v>270</v>
      </c>
      <c r="E7" s="50" t="s">
        <v>234</v>
      </c>
      <c r="F7" s="50">
        <v>0</v>
      </c>
      <c r="G7" s="117" t="s">
        <v>235</v>
      </c>
      <c r="H7" s="50" t="s">
        <v>264</v>
      </c>
      <c r="I7" s="50" t="s">
        <v>172</v>
      </c>
      <c r="K7" s="50" t="s">
        <v>160</v>
      </c>
      <c r="L7" s="50">
        <v>1925</v>
      </c>
      <c r="M7" s="50">
        <v>1648</v>
      </c>
      <c r="N7" s="50">
        <v>1</v>
      </c>
      <c r="O7" s="50">
        <v>1</v>
      </c>
      <c r="P7" s="50">
        <v>0</v>
      </c>
      <c r="Q7" s="50">
        <v>99</v>
      </c>
      <c r="R7" s="50">
        <v>0</v>
      </c>
      <c r="S7" s="50">
        <v>5</v>
      </c>
      <c r="T7" s="38">
        <f t="shared" si="0"/>
        <v>45368</v>
      </c>
      <c r="U7">
        <f>IFERROR(RANK(T7,T:T,1)+COUNTIF($T$1:T6,T7),"")</f>
        <v>6</v>
      </c>
      <c r="W7">
        <f t="shared" si="1"/>
        <v>15</v>
      </c>
      <c r="Y7" s="118"/>
    </row>
    <row r="8" spans="1:25">
      <c r="A8" s="50" t="s">
        <v>270</v>
      </c>
      <c r="E8" s="50" t="s">
        <v>237</v>
      </c>
      <c r="F8" s="50">
        <v>18</v>
      </c>
      <c r="G8" s="117" t="s">
        <v>238</v>
      </c>
      <c r="H8" s="50" t="s">
        <v>265</v>
      </c>
      <c r="I8" s="50" t="s">
        <v>174</v>
      </c>
      <c r="K8" s="50" t="s">
        <v>160</v>
      </c>
      <c r="L8" s="50">
        <v>3797</v>
      </c>
      <c r="M8" s="50">
        <v>3159</v>
      </c>
      <c r="N8" s="50">
        <v>61</v>
      </c>
      <c r="O8" s="50">
        <v>189</v>
      </c>
      <c r="P8" s="50">
        <v>4377</v>
      </c>
      <c r="Q8" s="50">
        <v>842</v>
      </c>
      <c r="R8" s="50">
        <v>1023</v>
      </c>
      <c r="S8" s="50">
        <v>64</v>
      </c>
      <c r="T8" s="38">
        <f t="shared" si="0"/>
        <v>45369</v>
      </c>
      <c r="U8">
        <f>IFERROR(RANK(T8,T:T,1)+COUNTIF($T$1:T7,T8),"")</f>
        <v>7</v>
      </c>
      <c r="W8">
        <f t="shared" si="1"/>
        <v>16</v>
      </c>
      <c r="Y8" s="118"/>
    </row>
    <row r="9" spans="1:25">
      <c r="A9" s="50" t="s">
        <v>270</v>
      </c>
      <c r="E9" s="50" t="s">
        <v>240</v>
      </c>
      <c r="F9" s="50">
        <v>0</v>
      </c>
      <c r="G9" s="117" t="s">
        <v>241</v>
      </c>
      <c r="H9" s="50" t="s">
        <v>266</v>
      </c>
      <c r="I9" s="50" t="s">
        <v>173</v>
      </c>
      <c r="K9" s="50" t="s">
        <v>160</v>
      </c>
      <c r="L9" s="50">
        <v>2512</v>
      </c>
      <c r="M9" s="50">
        <v>2006</v>
      </c>
      <c r="N9" s="50">
        <v>12</v>
      </c>
      <c r="O9" s="50">
        <v>2</v>
      </c>
      <c r="P9" s="50">
        <v>0</v>
      </c>
      <c r="Q9" s="50">
        <v>114</v>
      </c>
      <c r="R9" s="50">
        <v>0</v>
      </c>
      <c r="S9" s="50">
        <v>58</v>
      </c>
      <c r="T9" s="38">
        <f t="shared" si="0"/>
        <v>45372</v>
      </c>
      <c r="U9">
        <f>IFERROR(RANK(T9,T:T,1)+COUNTIF($T$1:T8,T9),"")</f>
        <v>8</v>
      </c>
      <c r="W9">
        <f t="shared" si="1"/>
        <v>15</v>
      </c>
      <c r="Y9" s="118"/>
    </row>
    <row r="10" spans="1:25">
      <c r="A10" s="50" t="s">
        <v>270</v>
      </c>
      <c r="E10" s="50" t="s">
        <v>243</v>
      </c>
      <c r="F10" s="50">
        <v>0</v>
      </c>
      <c r="G10" s="117" t="s">
        <v>244</v>
      </c>
      <c r="H10" s="50" t="s">
        <v>267</v>
      </c>
      <c r="I10" s="50" t="s">
        <v>172</v>
      </c>
      <c r="K10" s="50" t="s">
        <v>160</v>
      </c>
      <c r="L10" s="50">
        <v>1318</v>
      </c>
      <c r="M10" s="50">
        <v>1154</v>
      </c>
      <c r="N10" s="50">
        <v>2</v>
      </c>
      <c r="O10" s="50">
        <v>0</v>
      </c>
      <c r="P10" s="50">
        <v>0</v>
      </c>
      <c r="Q10" s="50">
        <v>51</v>
      </c>
      <c r="R10" s="50">
        <v>0</v>
      </c>
      <c r="S10" s="50">
        <v>1</v>
      </c>
      <c r="T10" s="38">
        <f t="shared" si="0"/>
        <v>45375</v>
      </c>
      <c r="U10">
        <f>IFERROR(RANK(T10,T:T,1)+COUNTIF($T$1:T9,T10),"")</f>
        <v>9</v>
      </c>
      <c r="W10">
        <f t="shared" si="1"/>
        <v>12</v>
      </c>
      <c r="Y10" s="118"/>
    </row>
    <row r="11" spans="1:25">
      <c r="A11" s="50" t="s">
        <v>270</v>
      </c>
      <c r="E11" s="50" t="s">
        <v>246</v>
      </c>
      <c r="F11" s="50">
        <v>130</v>
      </c>
      <c r="G11" s="117" t="s">
        <v>247</v>
      </c>
      <c r="H11" s="50" t="s">
        <v>268</v>
      </c>
      <c r="I11" s="50" t="s">
        <v>174</v>
      </c>
      <c r="K11" s="50" t="s">
        <v>160</v>
      </c>
      <c r="L11" s="50">
        <v>1787</v>
      </c>
      <c r="M11" s="50">
        <v>1341</v>
      </c>
      <c r="N11" s="50">
        <v>3</v>
      </c>
      <c r="O11" s="50">
        <v>1</v>
      </c>
      <c r="P11" s="50">
        <v>1816</v>
      </c>
      <c r="Q11" s="50">
        <v>47</v>
      </c>
      <c r="R11" s="50">
        <v>2</v>
      </c>
      <c r="S11" s="50">
        <v>4</v>
      </c>
      <c r="T11" s="38">
        <f t="shared" si="0"/>
        <v>45376</v>
      </c>
      <c r="U11">
        <f>IFERROR(RANK(T11,T:T,1)+COUNTIF($T$1:T10,T11),"")</f>
        <v>10</v>
      </c>
      <c r="W11">
        <f t="shared" si="1"/>
        <v>12</v>
      </c>
      <c r="Y11" s="118"/>
    </row>
    <row r="12" spans="1:25">
      <c r="A12" s="50" t="s">
        <v>270</v>
      </c>
      <c r="E12" s="50" t="s">
        <v>252</v>
      </c>
      <c r="F12" s="50">
        <v>0</v>
      </c>
      <c r="G12" s="117" t="s">
        <v>253</v>
      </c>
      <c r="H12" s="50" t="s">
        <v>269</v>
      </c>
      <c r="I12" s="50" t="s">
        <v>172</v>
      </c>
      <c r="K12" s="50" t="s">
        <v>160</v>
      </c>
      <c r="L12" s="50">
        <v>884</v>
      </c>
      <c r="M12" s="50">
        <v>795</v>
      </c>
      <c r="N12" s="50">
        <v>3</v>
      </c>
      <c r="O12" s="50">
        <v>0</v>
      </c>
      <c r="P12" s="50">
        <v>0</v>
      </c>
      <c r="Q12" s="50">
        <v>24</v>
      </c>
      <c r="R12" s="50">
        <v>0</v>
      </c>
      <c r="S12" s="50">
        <v>2</v>
      </c>
      <c r="T12" s="38">
        <f t="shared" si="0"/>
        <v>45382</v>
      </c>
      <c r="U12">
        <f>IFERROR(RANK(T12,T:T,1)+COUNTIF($T$1:T11,T12),"")</f>
        <v>11</v>
      </c>
      <c r="W12">
        <f t="shared" si="1"/>
        <v>13</v>
      </c>
      <c r="Y12" s="118"/>
    </row>
    <row r="13" spans="1:25">
      <c r="G13" s="117"/>
      <c r="T13" s="38" t="str">
        <f t="shared" si="0"/>
        <v/>
      </c>
      <c r="U13" t="str">
        <f>IFERROR(RANK(T13,T:T,1)+COUNTIF($T$1:T12,T13),"")</f>
        <v/>
      </c>
      <c r="W13">
        <f t="shared" si="1"/>
        <v>0</v>
      </c>
      <c r="Y13" s="118"/>
    </row>
    <row r="14" spans="1:25">
      <c r="G14" s="117"/>
      <c r="T14" s="38" t="str">
        <f t="shared" si="0"/>
        <v/>
      </c>
      <c r="U14" t="str">
        <f>IFERROR(RANK(T14,T:T,1)+COUNTIF($T$1:T13,T14),"")</f>
        <v/>
      </c>
      <c r="W14">
        <f t="shared" si="1"/>
        <v>0</v>
      </c>
      <c r="Y14" s="118"/>
    </row>
    <row r="15" spans="1:25">
      <c r="G15" s="117"/>
      <c r="T15" s="38" t="str">
        <f t="shared" si="0"/>
        <v/>
      </c>
      <c r="U15" t="str">
        <f>IFERROR(RANK(T15,T:T,1)+COUNTIF($T$1:T14,T15),"")</f>
        <v/>
      </c>
      <c r="W15">
        <f t="shared" si="1"/>
        <v>0</v>
      </c>
      <c r="Y15" s="118"/>
    </row>
    <row r="16" spans="1:25">
      <c r="G16" s="117"/>
      <c r="T16" s="38" t="str">
        <f t="shared" si="0"/>
        <v/>
      </c>
      <c r="U16" t="str">
        <f>IFERROR(RANK(T16,T:T,1)+COUNTIF($T$1:T15,T16),"")</f>
        <v/>
      </c>
      <c r="W16">
        <f t="shared" si="1"/>
        <v>0</v>
      </c>
      <c r="Y16" s="118"/>
    </row>
    <row r="17" spans="7:25">
      <c r="G17" s="117"/>
      <c r="T17" s="38" t="str">
        <f t="shared" si="0"/>
        <v/>
      </c>
      <c r="U17" t="str">
        <f>IFERROR(RANK(T17,T:T,1)+COUNTIF($T$1:T16,T17),"")</f>
        <v/>
      </c>
      <c r="W17">
        <f t="shared" si="1"/>
        <v>0</v>
      </c>
      <c r="Y17" s="118"/>
    </row>
    <row r="18" spans="7:25">
      <c r="T18" s="38" t="str">
        <f t="shared" si="0"/>
        <v/>
      </c>
      <c r="U18" t="str">
        <f>IFERROR(RANK(T18,T:T,1)+COUNTIF($T$1:T17,T18),"")</f>
        <v/>
      </c>
      <c r="W18">
        <f t="shared" si="1"/>
        <v>0</v>
      </c>
      <c r="Y18" s="118"/>
    </row>
    <row r="19" spans="7:25">
      <c r="T19" s="38" t="str">
        <f t="shared" si="0"/>
        <v/>
      </c>
      <c r="U19" t="str">
        <f>IFERROR(RANK(T19,T:T,1)+COUNTIF($T$1:T18,T19),"")</f>
        <v/>
      </c>
      <c r="W19">
        <f t="shared" si="1"/>
        <v>0</v>
      </c>
      <c r="Y19" s="118"/>
    </row>
    <row r="20" spans="7:25">
      <c r="T20" s="38" t="str">
        <f t="shared" si="0"/>
        <v/>
      </c>
      <c r="U20" t="str">
        <f>IFERROR(RANK(T20,T:T,1)+COUNTIF($T$1:T19,T20),"")</f>
        <v/>
      </c>
      <c r="W20">
        <f t="shared" si="1"/>
        <v>0</v>
      </c>
      <c r="Y20" s="118"/>
    </row>
    <row r="21" spans="7:25">
      <c r="T21" s="38" t="str">
        <f t="shared" si="0"/>
        <v/>
      </c>
      <c r="U21" t="str">
        <f>IFERROR(RANK(T21,T:T,1)+COUNTIF($T$1:T20,T21),"")</f>
        <v/>
      </c>
      <c r="W21">
        <f t="shared" si="1"/>
        <v>0</v>
      </c>
      <c r="Y21" s="118"/>
    </row>
    <row r="22" spans="7:25">
      <c r="T22" s="38" t="str">
        <f t="shared" si="0"/>
        <v/>
      </c>
      <c r="U22" t="str">
        <f>IFERROR(RANK(T22,T:T,1)+COUNTIF($T$1:T21,T22),"")</f>
        <v/>
      </c>
      <c r="W22">
        <f t="shared" si="1"/>
        <v>0</v>
      </c>
      <c r="Y22" s="118"/>
    </row>
    <row r="23" spans="7:25">
      <c r="T23" s="38" t="str">
        <f t="shared" si="0"/>
        <v/>
      </c>
      <c r="U23" t="str">
        <f>IFERROR(RANK(T23,T:T,1)+COUNTIF($T$1:T22,T23),"")</f>
        <v/>
      </c>
      <c r="W23">
        <f t="shared" si="1"/>
        <v>0</v>
      </c>
      <c r="Y23" s="118"/>
    </row>
    <row r="24" spans="7:25">
      <c r="T24" s="38" t="str">
        <f t="shared" si="0"/>
        <v/>
      </c>
      <c r="U24" t="str">
        <f>IFERROR(RANK(T24,T:T,1)+COUNTIF($T$1:T23,T24),"")</f>
        <v/>
      </c>
      <c r="W24">
        <f t="shared" si="1"/>
        <v>0</v>
      </c>
      <c r="Y24" s="118"/>
    </row>
    <row r="25" spans="7:25">
      <c r="T25" s="38" t="str">
        <f t="shared" si="0"/>
        <v/>
      </c>
      <c r="U25" t="str">
        <f>IFERROR(RANK(T25,T:T,1)+COUNTIF($T$1:T24,T25),"")</f>
        <v/>
      </c>
      <c r="W25">
        <f t="shared" si="1"/>
        <v>0</v>
      </c>
      <c r="Y25" s="118"/>
    </row>
    <row r="26" spans="7:25">
      <c r="T26" s="38" t="str">
        <f t="shared" si="0"/>
        <v/>
      </c>
      <c r="U26" t="str">
        <f>IFERROR(RANK(T26,T:T,1)+COUNTIF($T$1:T25,T26),"")</f>
        <v/>
      </c>
      <c r="W26">
        <f t="shared" si="1"/>
        <v>0</v>
      </c>
      <c r="Y26" s="118"/>
    </row>
    <row r="27" spans="7:25">
      <c r="T27" s="38" t="str">
        <f t="shared" si="0"/>
        <v/>
      </c>
      <c r="U27" t="str">
        <f>IFERROR(RANK(T27,T:T,1)+COUNTIF($T$1:T26,T27),"")</f>
        <v/>
      </c>
      <c r="W27">
        <f t="shared" si="1"/>
        <v>0</v>
      </c>
      <c r="Y27" s="118"/>
    </row>
    <row r="28" spans="7:25">
      <c r="T28" s="38" t="str">
        <f t="shared" si="0"/>
        <v/>
      </c>
      <c r="U28" t="str">
        <f>IFERROR(RANK(T28,T:T,1)+COUNTIF($T$1:T27,T28),"")</f>
        <v/>
      </c>
      <c r="W28">
        <f t="shared" si="1"/>
        <v>0</v>
      </c>
      <c r="Y28" s="118"/>
    </row>
    <row r="29" spans="7:25">
      <c r="T29" s="38" t="str">
        <f t="shared" si="0"/>
        <v/>
      </c>
      <c r="U29" t="str">
        <f>IFERROR(RANK(T29,T:T,1)+COUNTIF($T$1:T28,T29),"")</f>
        <v/>
      </c>
      <c r="W29">
        <f t="shared" si="1"/>
        <v>0</v>
      </c>
      <c r="Y29" s="118"/>
    </row>
    <row r="30" spans="7:25">
      <c r="T30" s="38" t="str">
        <f t="shared" si="0"/>
        <v/>
      </c>
      <c r="U30" t="str">
        <f>IFERROR(RANK(T30,T:T,1)+COUNTIF($T$1:T29,T30),"")</f>
        <v/>
      </c>
      <c r="W30">
        <f t="shared" si="1"/>
        <v>0</v>
      </c>
      <c r="Y30" s="118"/>
    </row>
    <row r="31" spans="7:25">
      <c r="T31" s="38" t="str">
        <f t="shared" si="0"/>
        <v/>
      </c>
      <c r="U31" t="str">
        <f>IFERROR(RANK(T31,T:T,1)+COUNTIF($T$1:T30,T31),"")</f>
        <v/>
      </c>
      <c r="W31">
        <f t="shared" si="1"/>
        <v>0</v>
      </c>
      <c r="Y31" s="118"/>
    </row>
    <row r="32" spans="7:25">
      <c r="T32" s="38" t="str">
        <f t="shared" si="0"/>
        <v/>
      </c>
      <c r="U32" t="str">
        <f>IFERROR(RANK(T32,T:T,1)+COUNTIF($T$1:T31,T32),"")</f>
        <v/>
      </c>
      <c r="W32">
        <f t="shared" si="1"/>
        <v>0</v>
      </c>
      <c r="Y32" s="118"/>
    </row>
    <row r="33" spans="20:25">
      <c r="T33" s="38" t="str">
        <f t="shared" si="0"/>
        <v/>
      </c>
      <c r="U33" t="str">
        <f>IFERROR(RANK(T33,T:T,1)+COUNTIF($T$1:T32,T33),"")</f>
        <v/>
      </c>
      <c r="W33">
        <f t="shared" si="1"/>
        <v>0</v>
      </c>
      <c r="Y33" s="118"/>
    </row>
    <row r="34" spans="20:25">
      <c r="T34" s="38" t="str">
        <f t="shared" si="0"/>
        <v/>
      </c>
      <c r="U34" t="str">
        <f>IFERROR(RANK(T34,T:T,1)+COUNTIF($T$1:T33,T34),"")</f>
        <v/>
      </c>
      <c r="W34">
        <f t="shared" si="1"/>
        <v>0</v>
      </c>
      <c r="Y34" s="118"/>
    </row>
    <row r="35" spans="20:25">
      <c r="T35" s="38" t="str">
        <f t="shared" si="0"/>
        <v/>
      </c>
      <c r="U35" t="str">
        <f>IFERROR(RANK(T35,T:T,1)+COUNTIF($T$1:T34,T35),"")</f>
        <v/>
      </c>
      <c r="W35">
        <f t="shared" si="1"/>
        <v>0</v>
      </c>
      <c r="Y35" s="118"/>
    </row>
    <row r="36" spans="20:25">
      <c r="T36" s="38" t="str">
        <f t="shared" si="0"/>
        <v/>
      </c>
      <c r="U36" t="str">
        <f>IFERROR(RANK(T36,T:T,1)+COUNTIF($T$1:T35,T36),"")</f>
        <v/>
      </c>
      <c r="W36">
        <f t="shared" si="1"/>
        <v>0</v>
      </c>
      <c r="Y36" s="118"/>
    </row>
    <row r="37" spans="20:25">
      <c r="T37" s="38" t="str">
        <f t="shared" si="0"/>
        <v/>
      </c>
      <c r="U37" t="str">
        <f>IFERROR(RANK(T37,T:T,1)+COUNTIF($T$1:T36,T37),"")</f>
        <v/>
      </c>
      <c r="W37">
        <f t="shared" si="1"/>
        <v>0</v>
      </c>
      <c r="Y37" s="118"/>
    </row>
    <row r="38" spans="20:25">
      <c r="T38" s="38" t="str">
        <f t="shared" si="0"/>
        <v/>
      </c>
      <c r="U38" t="str">
        <f>IFERROR(RANK(T38,T:T,1)+COUNTIF($T$1:T37,T38),"")</f>
        <v/>
      </c>
      <c r="W38">
        <f t="shared" si="1"/>
        <v>0</v>
      </c>
      <c r="Y38" s="118"/>
    </row>
    <row r="39" spans="20:25">
      <c r="T39" s="38" t="str">
        <f t="shared" si="0"/>
        <v/>
      </c>
      <c r="U39" t="str">
        <f>IFERROR(RANK(T39,T:T,1)+COUNTIF($T$1:T38,T39),"")</f>
        <v/>
      </c>
      <c r="W39">
        <f t="shared" si="1"/>
        <v>0</v>
      </c>
      <c r="Y39" s="118"/>
    </row>
    <row r="40" spans="20:25">
      <c r="T40" s="38" t="str">
        <f t="shared" si="0"/>
        <v/>
      </c>
      <c r="U40" t="str">
        <f>IFERROR(RANK(T40,T:T,1)+COUNTIF($T$1:T39,T40),"")</f>
        <v/>
      </c>
      <c r="W40">
        <f t="shared" si="1"/>
        <v>0</v>
      </c>
      <c r="Y40" s="118"/>
    </row>
    <row r="41" spans="20:25">
      <c r="T41" s="38" t="str">
        <f t="shared" si="0"/>
        <v/>
      </c>
      <c r="U41" t="str">
        <f>IFERROR(RANK(T41,T:T,1)+COUNTIF($T$1:T40,T41),"")</f>
        <v/>
      </c>
      <c r="W41">
        <f t="shared" si="1"/>
        <v>0</v>
      </c>
      <c r="Y41" s="118"/>
    </row>
    <row r="42" spans="20:25">
      <c r="T42" s="38" t="str">
        <f t="shared" si="0"/>
        <v/>
      </c>
      <c r="U42" t="str">
        <f>IFERROR(RANK(T42,T:T,1)+COUNTIF($T$1:T41,T42),"")</f>
        <v/>
      </c>
      <c r="W42">
        <f t="shared" si="1"/>
        <v>0</v>
      </c>
      <c r="Y42" s="118"/>
    </row>
    <row r="43" spans="20:25">
      <c r="T43" s="38" t="str">
        <f t="shared" si="0"/>
        <v/>
      </c>
      <c r="U43" t="str">
        <f>IFERROR(RANK(T43,T:T,1)+COUNTIF($T$1:T42,T43),"")</f>
        <v/>
      </c>
      <c r="W43">
        <f t="shared" si="1"/>
        <v>0</v>
      </c>
      <c r="Y43" s="118"/>
    </row>
    <row r="44" spans="20:25">
      <c r="T44" s="38" t="str">
        <f t="shared" si="0"/>
        <v/>
      </c>
      <c r="U44" t="str">
        <f>IFERROR(RANK(T44,T:T,1)+COUNTIF($T$1:T43,T44),"")</f>
        <v/>
      </c>
      <c r="W44">
        <f t="shared" si="1"/>
        <v>0</v>
      </c>
    </row>
    <row r="45" spans="20:25">
      <c r="T45" s="38" t="str">
        <f t="shared" si="0"/>
        <v/>
      </c>
      <c r="U45" t="str">
        <f>IFERROR(RANK(T45,T:T,1)+COUNTIF($T$1:T44,T45),"")</f>
        <v/>
      </c>
      <c r="W45">
        <f t="shared" si="1"/>
        <v>0</v>
      </c>
    </row>
    <row r="46" spans="20:25">
      <c r="T46" s="38" t="str">
        <f t="shared" si="0"/>
        <v/>
      </c>
      <c r="U46" t="str">
        <f>IFERROR(RANK(T46,T:T,1)+COUNTIF($T$1:T45,T46),"")</f>
        <v/>
      </c>
      <c r="W46">
        <f t="shared" si="1"/>
        <v>0</v>
      </c>
    </row>
    <row r="47" spans="20:25">
      <c r="T47" s="38" t="str">
        <f t="shared" si="0"/>
        <v/>
      </c>
      <c r="U47" t="str">
        <f>IFERROR(RANK(T47,T:T,1)+COUNTIF($T$1:T46,T47),"")</f>
        <v/>
      </c>
      <c r="W47">
        <f t="shared" si="1"/>
        <v>0</v>
      </c>
    </row>
    <row r="48" spans="20:25">
      <c r="T48" s="38" t="str">
        <f t="shared" si="0"/>
        <v/>
      </c>
      <c r="U48" t="str">
        <f>IFERROR(RANK(T48,T:T,1)+COUNTIF($T$1:T47,T48),"")</f>
        <v/>
      </c>
      <c r="W48">
        <f t="shared" si="1"/>
        <v>0</v>
      </c>
    </row>
    <row r="49" spans="20:23">
      <c r="T49" s="38" t="str">
        <f t="shared" si="0"/>
        <v/>
      </c>
      <c r="U49" t="str">
        <f>IFERROR(RANK(T49,T:T,1)+COUNTIF($T$1:T48,T49),"")</f>
        <v/>
      </c>
      <c r="W49">
        <f t="shared" si="1"/>
        <v>0</v>
      </c>
    </row>
    <row r="50" spans="20:23">
      <c r="T50" s="38" t="str">
        <f t="shared" si="0"/>
        <v/>
      </c>
      <c r="U50" t="str">
        <f>IFERROR(RANK(T50,T:T,1)+COUNTIF($T$1:T49,T50),"")</f>
        <v/>
      </c>
      <c r="W50">
        <f t="shared" si="1"/>
        <v>0</v>
      </c>
    </row>
    <row r="51" spans="20:23">
      <c r="T51" s="38" t="str">
        <f t="shared" si="0"/>
        <v/>
      </c>
      <c r="U51" t="str">
        <f>IFERROR(RANK(T51,T:T,1)+COUNTIF($T$1:T50,T51),"")</f>
        <v/>
      </c>
      <c r="W51">
        <f t="shared" si="1"/>
        <v>0</v>
      </c>
    </row>
    <row r="52" spans="20:23">
      <c r="T52" s="38" t="str">
        <f t="shared" si="0"/>
        <v/>
      </c>
      <c r="U52" t="str">
        <f>IFERROR(RANK(T52,T:T,1)+COUNTIF($T$1:T51,T52),"")</f>
        <v/>
      </c>
      <c r="W52">
        <f t="shared" si="1"/>
        <v>0</v>
      </c>
    </row>
    <row r="53" spans="20:23">
      <c r="T53" s="38" t="str">
        <f t="shared" si="0"/>
        <v/>
      </c>
      <c r="U53" t="str">
        <f>IFERROR(RANK(T53,T:T,1)+COUNTIF($T$1:T52,T53),"")</f>
        <v/>
      </c>
      <c r="W53">
        <f t="shared" si="1"/>
        <v>0</v>
      </c>
    </row>
    <row r="54" spans="20:23">
      <c r="T54" s="38" t="str">
        <f t="shared" si="0"/>
        <v/>
      </c>
      <c r="U54" t="str">
        <f>IFERROR(RANK(T54,T:T,1)+COUNTIF($T$1:T53,T54),"")</f>
        <v/>
      </c>
      <c r="W54">
        <f t="shared" si="1"/>
        <v>0</v>
      </c>
    </row>
    <row r="55" spans="20:23">
      <c r="T55" s="38" t="str">
        <f t="shared" si="0"/>
        <v/>
      </c>
      <c r="U55" t="str">
        <f>IFERROR(RANK(T55,T:T,1)+COUNTIF($T$1:T54,T55),"")</f>
        <v/>
      </c>
      <c r="W55">
        <f t="shared" si="1"/>
        <v>0</v>
      </c>
    </row>
    <row r="56" spans="20:23">
      <c r="T56" s="38" t="str">
        <f t="shared" si="0"/>
        <v/>
      </c>
      <c r="U56" t="str">
        <f>IFERROR(RANK(T56,T:T,1)+COUNTIF($T$1:T55,T56),"")</f>
        <v/>
      </c>
      <c r="W56">
        <f t="shared" si="1"/>
        <v>0</v>
      </c>
    </row>
    <row r="57" spans="20:23">
      <c r="T57" s="38" t="str">
        <f t="shared" si="0"/>
        <v/>
      </c>
      <c r="U57" t="str">
        <f>IFERROR(RANK(T57,T:T,1)+COUNTIF($T$1:T56,T57),"")</f>
        <v/>
      </c>
      <c r="W57">
        <f t="shared" si="1"/>
        <v>0</v>
      </c>
    </row>
    <row r="58" spans="20:23">
      <c r="T58" s="38" t="str">
        <f t="shared" si="0"/>
        <v/>
      </c>
      <c r="U58" t="str">
        <f>IFERROR(RANK(T58,T:T,1)+COUNTIF($T$1:T57,T58),"")</f>
        <v/>
      </c>
      <c r="W58">
        <f t="shared" si="1"/>
        <v>0</v>
      </c>
    </row>
    <row r="59" spans="20:23">
      <c r="T59" s="38" t="str">
        <f t="shared" si="0"/>
        <v/>
      </c>
      <c r="U59" t="str">
        <f>IFERROR(RANK(T59,T:T,1)+COUNTIF($T$1:T58,T59),"")</f>
        <v/>
      </c>
      <c r="W59">
        <f t="shared" si="1"/>
        <v>0</v>
      </c>
    </row>
    <row r="60" spans="20:23">
      <c r="T60" s="38" t="str">
        <f t="shared" si="0"/>
        <v/>
      </c>
      <c r="U60" t="str">
        <f>IFERROR(RANK(T60,T:T,1)+COUNTIF($T$1:T59,T60),"")</f>
        <v/>
      </c>
      <c r="W60">
        <f t="shared" si="1"/>
        <v>0</v>
      </c>
    </row>
    <row r="61" spans="20:23">
      <c r="T61" s="38" t="str">
        <f t="shared" si="0"/>
        <v/>
      </c>
      <c r="U61" t="str">
        <f>IFERROR(RANK(T61,T:T,1)+COUNTIF($T$1:T60,T61),"")</f>
        <v/>
      </c>
      <c r="W61">
        <f t="shared" si="1"/>
        <v>0</v>
      </c>
    </row>
    <row r="62" spans="20:23">
      <c r="T62" s="38" t="str">
        <f t="shared" si="0"/>
        <v/>
      </c>
      <c r="U62" t="str">
        <f>IFERROR(RANK(T62,T:T,1)+COUNTIF($T$1:T61,T62),"")</f>
        <v/>
      </c>
      <c r="W62">
        <f t="shared" si="1"/>
        <v>0</v>
      </c>
    </row>
    <row r="63" spans="20:23">
      <c r="T63" s="38" t="str">
        <f t="shared" si="0"/>
        <v/>
      </c>
      <c r="U63" t="str">
        <f>IFERROR(RANK(T63,T:T,1)+COUNTIF($T$1:T62,T63),"")</f>
        <v/>
      </c>
      <c r="W63">
        <f t="shared" si="1"/>
        <v>0</v>
      </c>
    </row>
    <row r="64" spans="20:23">
      <c r="T64" s="38" t="str">
        <f t="shared" si="0"/>
        <v/>
      </c>
      <c r="U64" t="str">
        <f>IFERROR(RANK(T64,T:T,1)+COUNTIF($T$1:T63,T64),"")</f>
        <v/>
      </c>
      <c r="W64">
        <f t="shared" si="1"/>
        <v>0</v>
      </c>
    </row>
    <row r="65" spans="20:23">
      <c r="T65" s="38" t="str">
        <f t="shared" si="0"/>
        <v/>
      </c>
      <c r="U65" t="str">
        <f>IFERROR(RANK(T65,T:T,1)+COUNTIF($T$1:T64,T65),"")</f>
        <v/>
      </c>
      <c r="W65">
        <f t="shared" si="1"/>
        <v>0</v>
      </c>
    </row>
    <row r="66" spans="20:23">
      <c r="T66" s="38" t="str">
        <f t="shared" si="0"/>
        <v/>
      </c>
      <c r="U66" t="str">
        <f>IFERROR(RANK(T66,T:T,1)+COUNTIF($T$1:T65,T66),"")</f>
        <v/>
      </c>
      <c r="W66">
        <f t="shared" si="1"/>
        <v>0</v>
      </c>
    </row>
    <row r="67" spans="20:23">
      <c r="T67" s="38" t="str">
        <f t="shared" ref="T67:T99" si="2">IF(G67="","",IFERROR(DATE(MID(G67,7,4),LEFT(G67,2),MID(G67,4,2)),G67))</f>
        <v/>
      </c>
      <c r="U67" t="str">
        <f>IFERROR(RANK(T67,T:T,1)+COUNTIF($T$1:T66,T67),"")</f>
        <v/>
      </c>
      <c r="W67">
        <f t="shared" ref="W67:W99" si="3">LEN(E67)</f>
        <v>0</v>
      </c>
    </row>
    <row r="68" spans="20:23">
      <c r="T68" s="38" t="str">
        <f t="shared" si="2"/>
        <v/>
      </c>
      <c r="U68" t="str">
        <f>IFERROR(RANK(T68,T:T,1)+COUNTIF($T$1:T67,T68),"")</f>
        <v/>
      </c>
      <c r="W68">
        <f t="shared" si="3"/>
        <v>0</v>
      </c>
    </row>
    <row r="69" spans="20:23">
      <c r="T69" s="38" t="str">
        <f t="shared" si="2"/>
        <v/>
      </c>
      <c r="U69" t="str">
        <f>IFERROR(RANK(T69,T:T,1)+COUNTIF($T$1:T68,T69),"")</f>
        <v/>
      </c>
      <c r="W69">
        <f t="shared" si="3"/>
        <v>0</v>
      </c>
    </row>
    <row r="70" spans="20:23">
      <c r="T70" s="38" t="str">
        <f t="shared" si="2"/>
        <v/>
      </c>
      <c r="U70" t="str">
        <f>IFERROR(RANK(T70,T:T,1)+COUNTIF($T$1:T69,T70),"")</f>
        <v/>
      </c>
      <c r="W70">
        <f t="shared" si="3"/>
        <v>0</v>
      </c>
    </row>
    <row r="71" spans="20:23">
      <c r="T71" s="38" t="str">
        <f t="shared" si="2"/>
        <v/>
      </c>
      <c r="U71" t="str">
        <f>IFERROR(RANK(T71,T:T,1)+COUNTIF($T$1:T70,T71),"")</f>
        <v/>
      </c>
      <c r="W71">
        <f t="shared" si="3"/>
        <v>0</v>
      </c>
    </row>
    <row r="72" spans="20:23">
      <c r="T72" s="38" t="str">
        <f t="shared" si="2"/>
        <v/>
      </c>
      <c r="U72" t="str">
        <f>IFERROR(RANK(T72,T:T,1)+COUNTIF($T$1:T71,T72),"")</f>
        <v/>
      </c>
      <c r="W72">
        <f t="shared" si="3"/>
        <v>0</v>
      </c>
    </row>
    <row r="73" spans="20:23">
      <c r="T73" s="38" t="str">
        <f t="shared" si="2"/>
        <v/>
      </c>
      <c r="U73" t="str">
        <f>IFERROR(RANK(T73,T:T,1)+COUNTIF($T$1:T72,T73),"")</f>
        <v/>
      </c>
      <c r="W73">
        <f t="shared" si="3"/>
        <v>0</v>
      </c>
    </row>
    <row r="74" spans="20:23">
      <c r="T74" s="38" t="str">
        <f t="shared" si="2"/>
        <v/>
      </c>
      <c r="U74" t="str">
        <f>IFERROR(RANK(T74,T:T,1)+COUNTIF($T$1:T73,T74),"")</f>
        <v/>
      </c>
      <c r="W74">
        <f t="shared" si="3"/>
        <v>0</v>
      </c>
    </row>
    <row r="75" spans="20:23">
      <c r="T75" s="38" t="str">
        <f t="shared" si="2"/>
        <v/>
      </c>
      <c r="U75" t="str">
        <f>IFERROR(RANK(T75,T:T,1)+COUNTIF($T$1:T74,T75),"")</f>
        <v/>
      </c>
      <c r="W75">
        <f t="shared" si="3"/>
        <v>0</v>
      </c>
    </row>
    <row r="76" spans="20:23">
      <c r="T76" s="38" t="str">
        <f t="shared" si="2"/>
        <v/>
      </c>
      <c r="U76" t="str">
        <f>IFERROR(RANK(T76,T:T,1)+COUNTIF($T$1:T75,T76),"")</f>
        <v/>
      </c>
      <c r="W76">
        <f t="shared" si="3"/>
        <v>0</v>
      </c>
    </row>
    <row r="77" spans="20:23">
      <c r="T77" s="38" t="str">
        <f t="shared" si="2"/>
        <v/>
      </c>
      <c r="U77" t="str">
        <f>IFERROR(RANK(T77,T:T,1)+COUNTIF($T$1:T76,T77),"")</f>
        <v/>
      </c>
      <c r="W77">
        <f t="shared" si="3"/>
        <v>0</v>
      </c>
    </row>
    <row r="78" spans="20:23">
      <c r="T78" s="38" t="str">
        <f t="shared" si="2"/>
        <v/>
      </c>
      <c r="U78" t="str">
        <f>IFERROR(RANK(T78,T:T,1)+COUNTIF($T$1:T77,T78),"")</f>
        <v/>
      </c>
      <c r="W78">
        <f t="shared" si="3"/>
        <v>0</v>
      </c>
    </row>
    <row r="79" spans="20:23">
      <c r="T79" s="38" t="str">
        <f t="shared" si="2"/>
        <v/>
      </c>
      <c r="U79" t="str">
        <f>IFERROR(RANK(T79,T:T,1)+COUNTIF($T$1:T78,T79),"")</f>
        <v/>
      </c>
      <c r="W79">
        <f t="shared" si="3"/>
        <v>0</v>
      </c>
    </row>
    <row r="80" spans="20:23">
      <c r="T80" s="38" t="str">
        <f t="shared" si="2"/>
        <v/>
      </c>
      <c r="U80" t="str">
        <f>IFERROR(RANK(T80,T:T,1)+COUNTIF($T$1:T79,T80),"")</f>
        <v/>
      </c>
      <c r="W80">
        <f t="shared" si="3"/>
        <v>0</v>
      </c>
    </row>
    <row r="81" spans="20:23">
      <c r="T81" s="38" t="str">
        <f t="shared" si="2"/>
        <v/>
      </c>
      <c r="U81" t="str">
        <f>IFERROR(RANK(T81,T:T,1)+COUNTIF($T$1:T80,T81),"")</f>
        <v/>
      </c>
      <c r="W81">
        <f t="shared" si="3"/>
        <v>0</v>
      </c>
    </row>
    <row r="82" spans="20:23">
      <c r="T82" s="38" t="str">
        <f t="shared" si="2"/>
        <v/>
      </c>
      <c r="U82" t="str">
        <f>IFERROR(RANK(T82,T:T,1)+COUNTIF($T$1:T81,T82),"")</f>
        <v/>
      </c>
      <c r="W82">
        <f t="shared" si="3"/>
        <v>0</v>
      </c>
    </row>
    <row r="83" spans="20:23">
      <c r="T83" s="38" t="str">
        <f t="shared" si="2"/>
        <v/>
      </c>
      <c r="U83" t="str">
        <f>IFERROR(RANK(T83,T:T,1)+COUNTIF($T$1:T82,T83),"")</f>
        <v/>
      </c>
      <c r="W83">
        <f t="shared" si="3"/>
        <v>0</v>
      </c>
    </row>
    <row r="84" spans="20:23">
      <c r="T84" s="38" t="str">
        <f t="shared" si="2"/>
        <v/>
      </c>
      <c r="U84" t="str">
        <f>IFERROR(RANK(T84,T:T,1)+COUNTIF($T$1:T83,T84),"")</f>
        <v/>
      </c>
      <c r="W84">
        <f t="shared" si="3"/>
        <v>0</v>
      </c>
    </row>
    <row r="85" spans="20:23">
      <c r="T85" s="38" t="str">
        <f t="shared" si="2"/>
        <v/>
      </c>
      <c r="U85" t="str">
        <f>IFERROR(RANK(T85,T:T,1)+COUNTIF($T$1:T84,T85),"")</f>
        <v/>
      </c>
      <c r="W85">
        <f t="shared" si="3"/>
        <v>0</v>
      </c>
    </row>
    <row r="86" spans="20:23">
      <c r="T86" s="38" t="str">
        <f t="shared" si="2"/>
        <v/>
      </c>
      <c r="U86" t="str">
        <f>IFERROR(RANK(T86,T:T,1)+COUNTIF($T$1:T85,T86),"")</f>
        <v/>
      </c>
      <c r="W86">
        <f t="shared" si="3"/>
        <v>0</v>
      </c>
    </row>
    <row r="87" spans="20:23">
      <c r="T87" s="38" t="str">
        <f t="shared" si="2"/>
        <v/>
      </c>
      <c r="U87" t="str">
        <f>IFERROR(RANK(T87,T:T,1)+COUNTIF($T$1:T86,T87),"")</f>
        <v/>
      </c>
      <c r="W87">
        <f t="shared" si="3"/>
        <v>0</v>
      </c>
    </row>
    <row r="88" spans="20:23">
      <c r="T88" s="38" t="str">
        <f t="shared" si="2"/>
        <v/>
      </c>
      <c r="U88" t="str">
        <f>IFERROR(RANK(T88,T:T,1)+COUNTIF($T$1:T87,T88),"")</f>
        <v/>
      </c>
      <c r="W88">
        <f t="shared" si="3"/>
        <v>0</v>
      </c>
    </row>
    <row r="89" spans="20:23">
      <c r="T89" s="38" t="str">
        <f t="shared" si="2"/>
        <v/>
      </c>
      <c r="U89" t="str">
        <f>IFERROR(RANK(T89,T:T,1)+COUNTIF($T$1:T88,T89),"")</f>
        <v/>
      </c>
      <c r="W89">
        <f t="shared" si="3"/>
        <v>0</v>
      </c>
    </row>
    <row r="90" spans="20:23">
      <c r="T90" s="38" t="str">
        <f t="shared" si="2"/>
        <v/>
      </c>
      <c r="U90" t="str">
        <f>IFERROR(RANK(T90,T:T,1)+COUNTIF($T$1:T89,T90),"")</f>
        <v/>
      </c>
      <c r="W90">
        <f t="shared" si="3"/>
        <v>0</v>
      </c>
    </row>
    <row r="91" spans="20:23">
      <c r="T91" s="38" t="str">
        <f t="shared" si="2"/>
        <v/>
      </c>
      <c r="U91" t="str">
        <f>IFERROR(RANK(T91,T:T,1)+COUNTIF($T$1:T90,T91),"")</f>
        <v/>
      </c>
      <c r="W91">
        <f t="shared" si="3"/>
        <v>0</v>
      </c>
    </row>
    <row r="92" spans="20:23">
      <c r="T92" s="38" t="str">
        <f t="shared" si="2"/>
        <v/>
      </c>
      <c r="U92" t="str">
        <f>IFERROR(RANK(T92,T:T,1)+COUNTIF($T$1:T91,T92),"")</f>
        <v/>
      </c>
      <c r="W92">
        <f t="shared" si="3"/>
        <v>0</v>
      </c>
    </row>
    <row r="93" spans="20:23">
      <c r="T93" s="38" t="str">
        <f t="shared" si="2"/>
        <v/>
      </c>
      <c r="U93" t="str">
        <f>IFERROR(RANK(T93,T:T,1)+COUNTIF($T$1:T92,T93),"")</f>
        <v/>
      </c>
      <c r="W93">
        <f t="shared" si="3"/>
        <v>0</v>
      </c>
    </row>
    <row r="94" spans="20:23">
      <c r="T94" s="38" t="str">
        <f t="shared" si="2"/>
        <v/>
      </c>
      <c r="U94" t="str">
        <f>IFERROR(RANK(T94,T:T,1)+COUNTIF($T$1:T93,T94),"")</f>
        <v/>
      </c>
      <c r="W94">
        <f t="shared" si="3"/>
        <v>0</v>
      </c>
    </row>
    <row r="95" spans="20:23">
      <c r="T95" s="38" t="str">
        <f t="shared" si="2"/>
        <v/>
      </c>
      <c r="U95" t="str">
        <f>IFERROR(RANK(T95,T:T,1)+COUNTIF($T$1:T94,T95),"")</f>
        <v/>
      </c>
      <c r="W95">
        <f t="shared" si="3"/>
        <v>0</v>
      </c>
    </row>
    <row r="96" spans="20:23">
      <c r="T96" s="38" t="str">
        <f t="shared" si="2"/>
        <v/>
      </c>
      <c r="U96" t="str">
        <f>IFERROR(RANK(T96,T:T,1)+COUNTIF($T$1:T95,T96),"")</f>
        <v/>
      </c>
      <c r="W96">
        <f t="shared" si="3"/>
        <v>0</v>
      </c>
    </row>
    <row r="97" spans="20:23">
      <c r="T97" s="38" t="str">
        <f t="shared" si="2"/>
        <v/>
      </c>
      <c r="U97" t="str">
        <f>IFERROR(RANK(T97,T:T,1)+COUNTIF($T$1:T96,T97),"")</f>
        <v/>
      </c>
      <c r="W97">
        <f t="shared" si="3"/>
        <v>0</v>
      </c>
    </row>
    <row r="98" spans="20:23">
      <c r="T98" s="38" t="str">
        <f t="shared" si="2"/>
        <v/>
      </c>
      <c r="U98" t="str">
        <f>IFERROR(RANK(T98,T:T,1)+COUNTIF($T$1:T97,T98),"")</f>
        <v/>
      </c>
      <c r="W98">
        <f t="shared" si="3"/>
        <v>0</v>
      </c>
    </row>
    <row r="99" spans="20:23">
      <c r="T99" s="38" t="str">
        <f t="shared" si="2"/>
        <v/>
      </c>
      <c r="U99" t="str">
        <f>IFERROR(RANK(T99,T:T,1)+COUNTIF($T$1:T98,T99),"")</f>
        <v/>
      </c>
      <c r="W99">
        <f t="shared" si="3"/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0BFF1-0DB0-4FB7-A0C1-AC7CE7587B8E}">
  <sheetPr codeName="Sheet4">
    <tabColor rgb="FFFFFF00"/>
  </sheetPr>
  <dimension ref="A1:F53"/>
  <sheetViews>
    <sheetView workbookViewId="0">
      <selection activeCell="B4" sqref="B4"/>
    </sheetView>
  </sheetViews>
  <sheetFormatPr defaultRowHeight="16.5"/>
  <cols>
    <col min="2" max="2" width="82.875" style="48" customWidth="1"/>
    <col min="3" max="3" width="68.875" style="111" customWidth="1"/>
    <col min="6" max="6" width="8.625" style="113"/>
  </cols>
  <sheetData>
    <row r="1" spans="1:6">
      <c r="B1" s="113" t="s">
        <v>126</v>
      </c>
      <c r="C1" s="113" t="s">
        <v>125</v>
      </c>
      <c r="F1" s="118" t="s">
        <v>135</v>
      </c>
    </row>
    <row r="2" spans="1:6">
      <c r="A2">
        <v>1</v>
      </c>
      <c r="B2" s="48" t="str">
        <f>IFERROR(INDEX('IG 콘텐츠 data'!$A$1:$AL$25,MATCH($A2,'IG 콘텐츠 data'!$U:$U,0),MATCH(LEFT(B$1,2),'IG 콘텐츠 data'!$A$1:$AL$1,0)),"")</f>
        <v>삼일절</v>
      </c>
      <c r="C2" s="111" t="s">
        <v>217</v>
      </c>
      <c r="E2">
        <f>IF(AND(B2&lt;&gt;"",C2=""),1,0)</f>
        <v>0</v>
      </c>
    </row>
    <row r="3" spans="1:6">
      <c r="A3">
        <v>2</v>
      </c>
      <c r="B3" s="48" t="str">
        <f>IFERROR(INDEX('IG 콘텐츠 data'!$A$1:$AL$25,MATCH($A3,'IG 콘텐츠 data'!$U:$U,0),MATCH(LEFT(B$1,2),'IG 콘텐츠 data'!$A$1:$AL$1,0)),"")</f>
        <v>이노드림(게오르크 짐멜)</v>
      </c>
      <c r="C3" s="111" t="s">
        <v>219</v>
      </c>
      <c r="E3">
        <f t="shared" ref="E3:E53" si="0">IF(AND(B3&lt;&gt;"",C3=""),1,0)</f>
        <v>0</v>
      </c>
    </row>
    <row r="4" spans="1:6">
      <c r="A4">
        <v>3</v>
      </c>
      <c r="B4" s="48" t="str">
        <f>IFERROR(INDEX('IG 콘텐츠 data'!$A$1:$AL$25,MATCH($A4,'IG 콘텐츠 data'!$U:$U,0),MATCH(LEFT(B$1,2),'IG 콘텐츠 data'!$A$1:$AL$1,0)),"")</f>
        <v>슼슼 읽히는 2차전지 이야기</v>
      </c>
      <c r="C4" s="111" t="s">
        <v>225</v>
      </c>
      <c r="E4">
        <f t="shared" si="0"/>
        <v>0</v>
      </c>
    </row>
    <row r="5" spans="1:6">
      <c r="A5">
        <v>4</v>
      </c>
      <c r="B5" s="48" t="str">
        <f>IFERROR(INDEX('IG 콘텐츠 data'!$A$1:$AL$25,MATCH($A5,'IG 콘텐츠 data'!$U:$U,0),MATCH(LEFT(B$1,2),'IG 콘텐츠 data'!$A$1:$AL$1,0)),"")</f>
        <v>이노드림(르네 데카르트)</v>
      </c>
      <c r="C5" s="111" t="s">
        <v>228</v>
      </c>
      <c r="E5">
        <f t="shared" si="0"/>
        <v>0</v>
      </c>
    </row>
    <row r="6" spans="1:6">
      <c r="A6">
        <v>5</v>
      </c>
      <c r="B6" s="48" t="str">
        <f>IFERROR(INDEX('IG 콘텐츠 data'!$A$1:$AL$25,MATCH($A6,'IG 콘텐츠 data'!$U:$U,0),MATCH(LEFT(B$1,2),'IG 콘텐츠 data'!$A$1:$AL$1,0)),"")</f>
        <v>세계 재활용의 날</v>
      </c>
      <c r="C6" s="111" t="s">
        <v>231</v>
      </c>
      <c r="E6">
        <f t="shared" si="0"/>
        <v>0</v>
      </c>
    </row>
    <row r="7" spans="1:6">
      <c r="A7">
        <v>6</v>
      </c>
      <c r="B7" s="48" t="str">
        <f>IFERROR(INDEX('IG 콘텐츠 data'!$A$1:$AL$25,MATCH($A7,'IG 콘텐츠 data'!$U:$U,0),MATCH(LEFT(B$1,2),'IG 콘텐츠 data'!$A$1:$AL$1,0)),"")</f>
        <v>이노드림(모리스 메를로퐁티)</v>
      </c>
      <c r="C7" s="111" t="s">
        <v>234</v>
      </c>
      <c r="E7">
        <f t="shared" si="0"/>
        <v>0</v>
      </c>
    </row>
    <row r="8" spans="1:6">
      <c r="A8">
        <v>7</v>
      </c>
      <c r="B8" s="48" t="str">
        <f>IFERROR(INDEX('IG 콘텐츠 data'!$A$1:$AL$25,MATCH($A8,'IG 콘텐츠 data'!$U:$U,0),MATCH(LEFT(B$1,2),'IG 콘텐츠 data'!$A$1:$AL$1,0)),"")</f>
        <v>[EVENT] SK에너지 머핀</v>
      </c>
      <c r="C8" s="111" t="s">
        <v>237</v>
      </c>
      <c r="E8">
        <f t="shared" si="0"/>
        <v>0</v>
      </c>
    </row>
    <row r="9" spans="1:6">
      <c r="A9">
        <v>8</v>
      </c>
      <c r="B9" s="48" t="str">
        <f>IFERROR(INDEX('IG 콘텐츠 data'!$A$1:$AL$25,MATCH($A9,'IG 콘텐츠 data'!$U:$U,0),MATCH(LEFT(B$1,2),'IG 콘텐츠 data'!$A$1:$AL$1,0)),"")</f>
        <v>슼슼 배우는 2차전지 이야기</v>
      </c>
      <c r="C9" s="111" t="s">
        <v>240</v>
      </c>
      <c r="E9">
        <f t="shared" si="0"/>
        <v>0</v>
      </c>
    </row>
    <row r="10" spans="1:6">
      <c r="A10">
        <v>9</v>
      </c>
      <c r="B10" s="48" t="str">
        <f>IFERROR(INDEX('IG 콘텐츠 data'!$A$1:$AL$25,MATCH($A10,'IG 콘텐츠 data'!$U:$U,0),MATCH(LEFT(B$1,2),'IG 콘텐츠 data'!$A$1:$AL$1,0)),"")</f>
        <v>이노드림(빅터 프랭클)</v>
      </c>
      <c r="C10" s="111" t="s">
        <v>243</v>
      </c>
      <c r="E10">
        <f t="shared" si="0"/>
        <v>0</v>
      </c>
    </row>
    <row r="11" spans="1:6">
      <c r="A11">
        <v>10</v>
      </c>
      <c r="B11" s="48" t="str">
        <f>IFERROR(INDEX('IG 콘텐츠 data'!$A$1:$AL$25,MATCH($A11,'IG 콘텐츠 data'!$U:$U,0),MATCH(LEFT(B$1,2),'IG 콘텐츠 data'!$A$1:$AL$1,0)),"")</f>
        <v>팩트체크해~油 Ep.2</v>
      </c>
      <c r="C11" s="111" t="s">
        <v>246</v>
      </c>
      <c r="E11">
        <f t="shared" si="0"/>
        <v>0</v>
      </c>
    </row>
    <row r="12" spans="1:6">
      <c r="A12">
        <v>11</v>
      </c>
      <c r="B12" s="48" t="str">
        <f>IFERROR(INDEX('IG 콘텐츠 data'!$A$1:$AL$25,MATCH($A12,'IG 콘텐츠 data'!$U:$U,0),MATCH(LEFT(B$1,2),'IG 콘텐츠 data'!$A$1:$AL$1,0)),"")</f>
        <v>이노드림(임마누엘 칸트)</v>
      </c>
      <c r="C12" s="111" t="s">
        <v>252</v>
      </c>
      <c r="E12">
        <f t="shared" si="0"/>
        <v>0</v>
      </c>
    </row>
    <row r="13" spans="1:6">
      <c r="A13">
        <v>12</v>
      </c>
      <c r="B13" s="48" t="str">
        <f>IFERROR(INDEX('IG 콘텐츠 data'!$A$1:$AL$25,MATCH($A13,'IG 콘텐츠 data'!$U:$U,0),MATCH(LEFT(B$1,2),'IG 콘텐츠 data'!$A$1:$AL$1,0)),"")</f>
        <v/>
      </c>
      <c r="E13">
        <f t="shared" si="0"/>
        <v>0</v>
      </c>
    </row>
    <row r="14" spans="1:6">
      <c r="A14">
        <v>13</v>
      </c>
      <c r="B14" s="48" t="str">
        <f>IFERROR(INDEX('IG 콘텐츠 data'!$A$1:$AL$25,MATCH($A14,'IG 콘텐츠 data'!$U:$U,0),MATCH(LEFT(B$1,2),'IG 콘텐츠 data'!$A$1:$AL$1,0)),"")</f>
        <v/>
      </c>
      <c r="E14">
        <f t="shared" si="0"/>
        <v>0</v>
      </c>
    </row>
    <row r="15" spans="1:6">
      <c r="A15">
        <v>14</v>
      </c>
      <c r="B15" s="48" t="str">
        <f>IFERROR(INDEX('IG 콘텐츠 data'!$A$1:$AL$25,MATCH($A15,'IG 콘텐츠 data'!$U:$U,0),MATCH(LEFT(B$1,2),'IG 콘텐츠 data'!$A$1:$AL$1,0)),"")</f>
        <v/>
      </c>
      <c r="E15">
        <f t="shared" si="0"/>
        <v>0</v>
      </c>
    </row>
    <row r="16" spans="1:6">
      <c r="A16">
        <v>15</v>
      </c>
      <c r="B16" s="48" t="str">
        <f>IFERROR(INDEX('IG 콘텐츠 data'!$A$1:$AL$25,MATCH($A16,'IG 콘텐츠 data'!$U:$U,0),MATCH(LEFT(B$1,2),'IG 콘텐츠 data'!$A$1:$AL$1,0)),"")</f>
        <v/>
      </c>
      <c r="E16">
        <f t="shared" si="0"/>
        <v>0</v>
      </c>
    </row>
    <row r="17" spans="1:5">
      <c r="A17">
        <v>16</v>
      </c>
      <c r="B17" s="48" t="str">
        <f>IFERROR(INDEX('IG 콘텐츠 data'!$A$1:$AL$25,MATCH($A17,'IG 콘텐츠 data'!$U:$U,0),MATCH(LEFT(B$1,2),'IG 콘텐츠 data'!$A$1:$AL$1,0)),"")</f>
        <v/>
      </c>
      <c r="E17">
        <f t="shared" si="0"/>
        <v>0</v>
      </c>
    </row>
    <row r="18" spans="1:5">
      <c r="A18">
        <v>17</v>
      </c>
      <c r="B18" s="48" t="str">
        <f>IFERROR(INDEX('IG 콘텐츠 data'!$A$1:$AL$25,MATCH($A18,'IG 콘텐츠 data'!$U:$U,0),MATCH(LEFT(B$1,2),'IG 콘텐츠 data'!$A$1:$AL$1,0)),"")</f>
        <v/>
      </c>
      <c r="E18">
        <f t="shared" si="0"/>
        <v>0</v>
      </c>
    </row>
    <row r="19" spans="1:5">
      <c r="A19">
        <v>18</v>
      </c>
      <c r="B19" s="48" t="str">
        <f>IFERROR(INDEX('IG 콘텐츠 data'!$A$1:$AL$25,MATCH($A19,'IG 콘텐츠 data'!$U:$U,0),MATCH(LEFT(B$1,2),'IG 콘텐츠 data'!$A$1:$AL$1,0)),"")</f>
        <v/>
      </c>
      <c r="E19">
        <f t="shared" si="0"/>
        <v>0</v>
      </c>
    </row>
    <row r="20" spans="1:5">
      <c r="A20">
        <v>19</v>
      </c>
      <c r="B20" s="48" t="str">
        <f>IFERROR(INDEX('IG 콘텐츠 data'!$A$1:$AL$25,MATCH($A20,'IG 콘텐츠 data'!$U:$U,0),MATCH(LEFT(B$1,2),'IG 콘텐츠 data'!$A$1:$AL$1,0)),"")</f>
        <v/>
      </c>
      <c r="E20">
        <f t="shared" si="0"/>
        <v>0</v>
      </c>
    </row>
    <row r="21" spans="1:5">
      <c r="A21">
        <v>20</v>
      </c>
      <c r="B21" s="48" t="str">
        <f>IFERROR(INDEX('IG 콘텐츠 data'!$A$1:$AL$25,MATCH($A21,'IG 콘텐츠 data'!$U:$U,0),MATCH(LEFT(B$1,2),'IG 콘텐츠 data'!$A$1:$AL$1,0)),"")</f>
        <v/>
      </c>
      <c r="E21">
        <f t="shared" si="0"/>
        <v>0</v>
      </c>
    </row>
    <row r="22" spans="1:5">
      <c r="A22">
        <v>21</v>
      </c>
      <c r="B22" s="48" t="str">
        <f>IFERROR(INDEX('IG 콘텐츠 data'!$A$1:$AL$25,MATCH($A22,'IG 콘텐츠 data'!$U:$U,0),MATCH(LEFT(B$1,2),'IG 콘텐츠 data'!$A$1:$AL$1,0)),"")</f>
        <v/>
      </c>
      <c r="E22">
        <f t="shared" si="0"/>
        <v>0</v>
      </c>
    </row>
    <row r="23" spans="1:5">
      <c r="A23">
        <v>22</v>
      </c>
      <c r="B23" s="48" t="str">
        <f>IFERROR(INDEX('IG 콘텐츠 data'!$A$1:$AL$25,MATCH($A23,'IG 콘텐츠 data'!$U:$U,0),MATCH(LEFT(B$1,2),'IG 콘텐츠 data'!$A$1:$AL$1,0)),"")</f>
        <v/>
      </c>
      <c r="E23">
        <f t="shared" si="0"/>
        <v>0</v>
      </c>
    </row>
    <row r="24" spans="1:5">
      <c r="A24">
        <v>23</v>
      </c>
      <c r="B24" s="48" t="str">
        <f>IFERROR(INDEX('IG 콘텐츠 data'!$A$1:$AL$25,MATCH($A24,'IG 콘텐츠 data'!$U:$U,0),MATCH(LEFT(B$1,2),'IG 콘텐츠 data'!$A$1:$AL$1,0)),"")</f>
        <v/>
      </c>
      <c r="E24">
        <f t="shared" si="0"/>
        <v>0</v>
      </c>
    </row>
    <row r="25" spans="1:5">
      <c r="A25">
        <v>24</v>
      </c>
      <c r="B25" s="48" t="str">
        <f>IFERROR(INDEX('IG 콘텐츠 data'!$A$1:$AL$25,MATCH($A25,'IG 콘텐츠 data'!$U:$U,0),MATCH(LEFT(B$1,2),'IG 콘텐츠 data'!$A$1:$AL$1,0)),"")</f>
        <v/>
      </c>
      <c r="E25">
        <f t="shared" si="0"/>
        <v>0</v>
      </c>
    </row>
    <row r="26" spans="1:5">
      <c r="A26">
        <v>25</v>
      </c>
      <c r="B26" s="48" t="str">
        <f>IFERROR(INDEX('IG 콘텐츠 data'!$A$1:$AL$25,MATCH($A26,'IG 콘텐츠 data'!$U:$U,0),MATCH(LEFT(B$1,2),'IG 콘텐츠 data'!$A$1:$AL$1,0)),"")</f>
        <v/>
      </c>
      <c r="E26">
        <f t="shared" si="0"/>
        <v>0</v>
      </c>
    </row>
    <row r="27" spans="1:5">
      <c r="A27">
        <v>26</v>
      </c>
      <c r="B27" s="48" t="str">
        <f>IFERROR(INDEX('IG 콘텐츠 data'!$A$1:$AL$25,MATCH($A27,'IG 콘텐츠 data'!$U:$U,0),MATCH(LEFT(B$1,2),'IG 콘텐츠 data'!$A$1:$AL$1,0)),"")</f>
        <v/>
      </c>
      <c r="E27">
        <f t="shared" si="0"/>
        <v>0</v>
      </c>
    </row>
    <row r="28" spans="1:5">
      <c r="A28">
        <v>27</v>
      </c>
      <c r="B28" s="48" t="str">
        <f>IFERROR(INDEX('IG 콘텐츠 data'!$A$1:$AL$25,MATCH($A28,'IG 콘텐츠 data'!$U:$U,0),MATCH(LEFT(B$1,2),'IG 콘텐츠 data'!$A$1:$AL$1,0)),"")</f>
        <v/>
      </c>
      <c r="E28">
        <f t="shared" si="0"/>
        <v>0</v>
      </c>
    </row>
    <row r="29" spans="1:5">
      <c r="A29">
        <v>28</v>
      </c>
      <c r="B29" s="48" t="str">
        <f>IFERROR(INDEX('IG 콘텐츠 data'!$A$1:$AL$25,MATCH($A29,'IG 콘텐츠 data'!$U:$U,0),MATCH(LEFT(B$1,2),'IG 콘텐츠 data'!$A$1:$AL$1,0)),"")</f>
        <v/>
      </c>
      <c r="E29">
        <f t="shared" si="0"/>
        <v>0</v>
      </c>
    </row>
    <row r="30" spans="1:5">
      <c r="A30">
        <v>29</v>
      </c>
      <c r="B30" s="48" t="str">
        <f>IFERROR(INDEX('IG 콘텐츠 data'!$A$1:$AL$25,MATCH($A30,'IG 콘텐츠 data'!$U:$U,0),MATCH(LEFT(B$1,2),'IG 콘텐츠 data'!$A$1:$AL$1,0)),"")</f>
        <v/>
      </c>
      <c r="E30">
        <f t="shared" si="0"/>
        <v>0</v>
      </c>
    </row>
    <row r="31" spans="1:5">
      <c r="A31">
        <v>30</v>
      </c>
      <c r="B31" s="48" t="str">
        <f>IFERROR(INDEX('IG 콘텐츠 data'!$A$1:$AL$25,MATCH($A31,'IG 콘텐츠 data'!$U:$U,0),MATCH(LEFT(B$1,2),'IG 콘텐츠 data'!$A$1:$AL$1,0)),"")</f>
        <v/>
      </c>
      <c r="E31">
        <f t="shared" si="0"/>
        <v>0</v>
      </c>
    </row>
    <row r="32" spans="1:5">
      <c r="A32">
        <v>31</v>
      </c>
      <c r="B32" s="48" t="str">
        <f>IFERROR(INDEX('IG 콘텐츠 data'!$A$1:$AL$25,MATCH($A32,'IG 콘텐츠 data'!$U:$U,0),MATCH(LEFT(B$1,2),'IG 콘텐츠 data'!$A$1:$AL$1,0)),"")</f>
        <v/>
      </c>
      <c r="E32">
        <f t="shared" si="0"/>
        <v>0</v>
      </c>
    </row>
    <row r="33" spans="1:5">
      <c r="A33">
        <v>32</v>
      </c>
      <c r="B33" s="48" t="str">
        <f>IFERROR(INDEX('IG 콘텐츠 data'!$A$1:$AL$25,MATCH($A33,'IG 콘텐츠 data'!$U:$U,0),MATCH(LEFT(B$1,2),'IG 콘텐츠 data'!$A$1:$AL$1,0)),"")</f>
        <v/>
      </c>
      <c r="E33">
        <f t="shared" si="0"/>
        <v>0</v>
      </c>
    </row>
    <row r="34" spans="1:5">
      <c r="A34">
        <v>33</v>
      </c>
      <c r="B34" s="48" t="str">
        <f>IFERROR(INDEX('IG 콘텐츠 data'!$A$1:$AL$25,MATCH($A34,'IG 콘텐츠 data'!$U:$U,0),MATCH(LEFT(B$1,2),'IG 콘텐츠 data'!$A$1:$AL$1,0)),"")</f>
        <v/>
      </c>
      <c r="E34">
        <f t="shared" si="0"/>
        <v>0</v>
      </c>
    </row>
    <row r="35" spans="1:5">
      <c r="A35">
        <v>34</v>
      </c>
      <c r="B35" s="48" t="str">
        <f>IFERROR(INDEX('IG 콘텐츠 data'!$A$1:$AL$25,MATCH($A35,'IG 콘텐츠 data'!$U:$U,0),MATCH(LEFT(B$1,2),'IG 콘텐츠 data'!$A$1:$AL$1,0)),"")</f>
        <v/>
      </c>
      <c r="E35">
        <f t="shared" si="0"/>
        <v>0</v>
      </c>
    </row>
    <row r="36" spans="1:5">
      <c r="A36">
        <v>35</v>
      </c>
      <c r="B36" s="48" t="str">
        <f>IFERROR(INDEX('IG 콘텐츠 data'!$A$1:$AL$25,MATCH($A36,'IG 콘텐츠 data'!$U:$U,0),MATCH(LEFT(B$1,2),'IG 콘텐츠 data'!$A$1:$AL$1,0)),"")</f>
        <v/>
      </c>
      <c r="E36">
        <f t="shared" si="0"/>
        <v>0</v>
      </c>
    </row>
    <row r="37" spans="1:5">
      <c r="A37">
        <v>36</v>
      </c>
      <c r="B37" s="48" t="str">
        <f>IFERROR(INDEX('IG 콘텐츠 data'!$A$1:$AL$25,MATCH($A37,'IG 콘텐츠 data'!$U:$U,0),MATCH(LEFT(B$1,2),'IG 콘텐츠 data'!$A$1:$AL$1,0)),"")</f>
        <v/>
      </c>
      <c r="E37">
        <f t="shared" si="0"/>
        <v>0</v>
      </c>
    </row>
    <row r="38" spans="1:5">
      <c r="A38">
        <v>37</v>
      </c>
      <c r="B38" s="48" t="str">
        <f>IFERROR(INDEX('IG 콘텐츠 data'!$A$1:$AL$25,MATCH($A38,'IG 콘텐츠 data'!$U:$U,0),MATCH(LEFT(B$1,2),'IG 콘텐츠 data'!$A$1:$AL$1,0)),"")</f>
        <v/>
      </c>
      <c r="E38">
        <f t="shared" si="0"/>
        <v>0</v>
      </c>
    </row>
    <row r="39" spans="1:5">
      <c r="A39">
        <v>38</v>
      </c>
      <c r="B39" s="48" t="str">
        <f>IFERROR(INDEX('IG 콘텐츠 data'!$A$1:$AL$25,MATCH($A39,'IG 콘텐츠 data'!$U:$U,0),MATCH(LEFT(B$1,2),'IG 콘텐츠 data'!$A$1:$AL$1,0)),"")</f>
        <v/>
      </c>
      <c r="E39">
        <f t="shared" si="0"/>
        <v>0</v>
      </c>
    </row>
    <row r="40" spans="1:5">
      <c r="A40">
        <v>39</v>
      </c>
      <c r="B40" s="48" t="str">
        <f>IFERROR(INDEX('IG 콘텐츠 data'!$A$1:$AL$25,MATCH($A40,'IG 콘텐츠 data'!$U:$U,0),MATCH(LEFT(B$1,2),'IG 콘텐츠 data'!$A$1:$AL$1,0)),"")</f>
        <v/>
      </c>
      <c r="E40">
        <f t="shared" si="0"/>
        <v>0</v>
      </c>
    </row>
    <row r="41" spans="1:5">
      <c r="A41">
        <v>40</v>
      </c>
      <c r="B41" s="48" t="str">
        <f>IFERROR(INDEX('IG 콘텐츠 data'!$A$1:$AL$25,MATCH($A41,'IG 콘텐츠 data'!$U:$U,0),MATCH(LEFT(B$1,2),'IG 콘텐츠 data'!$A$1:$AL$1,0)),"")</f>
        <v/>
      </c>
      <c r="E41">
        <f t="shared" si="0"/>
        <v>0</v>
      </c>
    </row>
    <row r="42" spans="1:5">
      <c r="A42">
        <v>41</v>
      </c>
      <c r="B42" s="48" t="str">
        <f>IFERROR(INDEX('IG 콘텐츠 data'!$A$1:$AL$25,MATCH($A42,'IG 콘텐츠 data'!$U:$U,0),MATCH(LEFT(B$1,2),'IG 콘텐츠 data'!$A$1:$AL$1,0)),"")</f>
        <v/>
      </c>
      <c r="E42">
        <f t="shared" si="0"/>
        <v>0</v>
      </c>
    </row>
    <row r="43" spans="1:5">
      <c r="A43">
        <v>42</v>
      </c>
      <c r="B43" s="48" t="str">
        <f>IFERROR(INDEX('IG 콘텐츠 data'!$A$1:$AL$25,MATCH($A43,'IG 콘텐츠 data'!$U:$U,0),MATCH(LEFT(B$1,2),'IG 콘텐츠 data'!$A$1:$AL$1,0)),"")</f>
        <v/>
      </c>
      <c r="E43">
        <f t="shared" si="0"/>
        <v>0</v>
      </c>
    </row>
    <row r="44" spans="1:5">
      <c r="A44">
        <v>43</v>
      </c>
      <c r="B44" s="48" t="str">
        <f>IFERROR(INDEX('IG 콘텐츠 data'!$A$1:$AL$25,MATCH($A44,'IG 콘텐츠 data'!$U:$U,0),MATCH(LEFT(B$1,2),'IG 콘텐츠 data'!$A$1:$AL$1,0)),"")</f>
        <v/>
      </c>
      <c r="E44">
        <f t="shared" si="0"/>
        <v>0</v>
      </c>
    </row>
    <row r="45" spans="1:5">
      <c r="A45">
        <v>44</v>
      </c>
      <c r="B45" s="48" t="str">
        <f>IFERROR(INDEX('IG 콘텐츠 data'!$A$1:$AL$25,MATCH($A45,'IG 콘텐츠 data'!$U:$U,0),MATCH(LEFT(B$1,2),'IG 콘텐츠 data'!$A$1:$AL$1,0)),"")</f>
        <v/>
      </c>
      <c r="E45">
        <f t="shared" si="0"/>
        <v>0</v>
      </c>
    </row>
    <row r="46" spans="1:5">
      <c r="A46">
        <v>45</v>
      </c>
      <c r="B46" s="48" t="str">
        <f>IFERROR(INDEX('IG 콘텐츠 data'!$A$1:$AL$25,MATCH($A46,'IG 콘텐츠 data'!$U:$U,0),MATCH(LEFT(B$1,2),'IG 콘텐츠 data'!$A$1:$AL$1,0)),"")</f>
        <v/>
      </c>
      <c r="E46">
        <f t="shared" si="0"/>
        <v>0</v>
      </c>
    </row>
    <row r="47" spans="1:5">
      <c r="A47">
        <v>46</v>
      </c>
      <c r="B47" s="48" t="str">
        <f>IFERROR(INDEX('IG 콘텐츠 data'!$A$1:$AL$25,MATCH($A47,'IG 콘텐츠 data'!$U:$U,0),MATCH(LEFT(B$1,2),'IG 콘텐츠 data'!$A$1:$AL$1,0)),"")</f>
        <v/>
      </c>
      <c r="E47">
        <f t="shared" si="0"/>
        <v>0</v>
      </c>
    </row>
    <row r="48" spans="1:5">
      <c r="A48">
        <v>47</v>
      </c>
      <c r="B48" s="48" t="str">
        <f>IFERROR(INDEX('IG 콘텐츠 data'!$A$1:$AL$25,MATCH($A48,'IG 콘텐츠 data'!$U:$U,0),MATCH(LEFT(B$1,2),'IG 콘텐츠 data'!$A$1:$AL$1,0)),"")</f>
        <v/>
      </c>
      <c r="E48">
        <f t="shared" si="0"/>
        <v>0</v>
      </c>
    </row>
    <row r="49" spans="1:5">
      <c r="A49">
        <v>48</v>
      </c>
      <c r="B49" s="48" t="str">
        <f>IFERROR(INDEX('IG 콘텐츠 data'!$A$1:$AL$25,MATCH($A49,'IG 콘텐츠 data'!$U:$U,0),MATCH(LEFT(B$1,2),'IG 콘텐츠 data'!$A$1:$AL$1,0)),"")</f>
        <v/>
      </c>
      <c r="E49">
        <f t="shared" si="0"/>
        <v>0</v>
      </c>
    </row>
    <row r="50" spans="1:5">
      <c r="A50">
        <v>49</v>
      </c>
      <c r="B50" s="48" t="str">
        <f>IFERROR(INDEX('IG 콘텐츠 data'!$A$1:$AL$25,MATCH($A50,'IG 콘텐츠 data'!$U:$U,0),MATCH(LEFT(B$1,2),'IG 콘텐츠 data'!$A$1:$AL$1,0)),"")</f>
        <v/>
      </c>
      <c r="E50">
        <f t="shared" si="0"/>
        <v>0</v>
      </c>
    </row>
    <row r="51" spans="1:5">
      <c r="A51">
        <v>50</v>
      </c>
      <c r="B51" s="48" t="str">
        <f>IFERROR(INDEX('IG 콘텐츠 data'!$A$1:$AL$25,MATCH($A51,'IG 콘텐츠 data'!$U:$U,0),MATCH(LEFT(B$1,2),'IG 콘텐츠 data'!$A$1:$AL$1,0)),"")</f>
        <v/>
      </c>
      <c r="E51">
        <f t="shared" si="0"/>
        <v>0</v>
      </c>
    </row>
    <row r="52" spans="1:5">
      <c r="E52">
        <f t="shared" si="0"/>
        <v>0</v>
      </c>
    </row>
    <row r="53" spans="1:5">
      <c r="E53">
        <f t="shared" si="0"/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theme="7" tint="0.79998168889431442"/>
  </sheetPr>
  <dimension ref="A1:Y43"/>
  <sheetViews>
    <sheetView workbookViewId="0">
      <selection activeCell="E22" sqref="E22"/>
    </sheetView>
  </sheetViews>
  <sheetFormatPr defaultRowHeight="16.5"/>
  <cols>
    <col min="1" max="21" width="8.75" style="43"/>
  </cols>
  <sheetData>
    <row r="1" spans="1:25">
      <c r="A1" s="43" t="s">
        <v>35</v>
      </c>
      <c r="B1" s="43" t="s">
        <v>79</v>
      </c>
      <c r="C1" s="43" t="s">
        <v>80</v>
      </c>
      <c r="D1" s="43" t="s">
        <v>81</v>
      </c>
      <c r="E1" s="43" t="s">
        <v>38</v>
      </c>
      <c r="F1" s="43" t="s">
        <v>39</v>
      </c>
      <c r="G1" s="43" t="s">
        <v>40</v>
      </c>
      <c r="H1" s="43" t="s">
        <v>42</v>
      </c>
      <c r="I1" s="43" t="s">
        <v>45</v>
      </c>
      <c r="J1" s="43" t="s">
        <v>128</v>
      </c>
      <c r="K1" s="43" t="s">
        <v>49</v>
      </c>
      <c r="L1" s="43" t="s">
        <v>53</v>
      </c>
      <c r="M1" s="43" t="s">
        <v>74</v>
      </c>
      <c r="N1" s="43" t="s">
        <v>50</v>
      </c>
      <c r="O1" s="43" t="s">
        <v>82</v>
      </c>
      <c r="P1" s="43" t="s">
        <v>99</v>
      </c>
      <c r="Q1" s="43" t="s">
        <v>100</v>
      </c>
      <c r="R1" s="43" t="s">
        <v>55</v>
      </c>
      <c r="S1" s="43" t="s">
        <v>175</v>
      </c>
      <c r="T1" s="43" t="s">
        <v>101</v>
      </c>
      <c r="U1" s="43" t="s">
        <v>102</v>
      </c>
    </row>
    <row r="2" spans="1:25">
      <c r="A2" s="43" t="s">
        <v>270</v>
      </c>
      <c r="D2" s="43" t="s">
        <v>157</v>
      </c>
      <c r="G2" s="43">
        <v>45352</v>
      </c>
      <c r="I2" s="43" t="s">
        <v>176</v>
      </c>
      <c r="K2" s="43" t="s">
        <v>160</v>
      </c>
      <c r="L2" s="43">
        <v>334</v>
      </c>
      <c r="M2" s="43">
        <v>334</v>
      </c>
      <c r="N2" s="43">
        <v>0</v>
      </c>
      <c r="O2" s="43">
        <v>0</v>
      </c>
      <c r="P2" s="43">
        <v>1</v>
      </c>
      <c r="Q2" s="43">
        <v>0</v>
      </c>
      <c r="R2" s="43" t="s">
        <v>255</v>
      </c>
      <c r="V2">
        <f>IF(COUNTIF($G$2:G2, G2) = 1, 1, 0)</f>
        <v>1</v>
      </c>
      <c r="Y2" s="118" t="s">
        <v>137</v>
      </c>
    </row>
    <row r="3" spans="1:25">
      <c r="A3" s="43" t="s">
        <v>270</v>
      </c>
      <c r="D3" s="43" t="s">
        <v>157</v>
      </c>
      <c r="G3" s="43" t="s">
        <v>161</v>
      </c>
      <c r="I3" s="43" t="s">
        <v>176</v>
      </c>
      <c r="K3" s="43" t="s">
        <v>160</v>
      </c>
      <c r="L3" s="43">
        <v>387</v>
      </c>
      <c r="M3" s="43">
        <v>374</v>
      </c>
      <c r="N3" s="43">
        <v>0</v>
      </c>
      <c r="O3" s="43">
        <v>0</v>
      </c>
      <c r="P3" s="43">
        <v>8</v>
      </c>
      <c r="Q3" s="43">
        <v>0</v>
      </c>
      <c r="R3" s="43">
        <v>11</v>
      </c>
      <c r="V3">
        <f>IF(COUNTIF($G$2:G3, G3) = 1, 1, 0)</f>
        <v>1</v>
      </c>
      <c r="Y3" s="113"/>
    </row>
    <row r="4" spans="1:25">
      <c r="A4" s="43" t="s">
        <v>270</v>
      </c>
      <c r="D4" s="43" t="s">
        <v>157</v>
      </c>
      <c r="G4" s="43" t="s">
        <v>177</v>
      </c>
      <c r="I4" s="43" t="s">
        <v>176</v>
      </c>
      <c r="K4" s="43" t="s">
        <v>160</v>
      </c>
      <c r="L4" s="43">
        <v>327</v>
      </c>
      <c r="M4" s="43">
        <v>324</v>
      </c>
      <c r="N4" s="43">
        <v>1</v>
      </c>
      <c r="O4" s="43">
        <v>0</v>
      </c>
      <c r="P4" s="43">
        <v>6</v>
      </c>
      <c r="Q4" s="43">
        <v>0</v>
      </c>
      <c r="R4" s="43" t="s">
        <v>255</v>
      </c>
      <c r="V4">
        <f>IF(COUNTIF($G$2:G4, G4) = 1, 1, 0)</f>
        <v>1</v>
      </c>
      <c r="Y4" s="113"/>
    </row>
    <row r="5" spans="1:25">
      <c r="A5" s="43" t="s">
        <v>270</v>
      </c>
      <c r="D5" s="43" t="s">
        <v>157</v>
      </c>
      <c r="G5" s="43" t="s">
        <v>178</v>
      </c>
      <c r="I5" s="43" t="s">
        <v>176</v>
      </c>
      <c r="K5" s="43" t="s">
        <v>160</v>
      </c>
      <c r="L5" s="43">
        <v>361</v>
      </c>
      <c r="M5" s="43">
        <v>361</v>
      </c>
      <c r="N5" s="43">
        <v>0</v>
      </c>
      <c r="O5" s="43">
        <v>0</v>
      </c>
      <c r="P5" s="43">
        <v>5</v>
      </c>
      <c r="Q5" s="43">
        <v>0</v>
      </c>
      <c r="R5" s="43" t="s">
        <v>255</v>
      </c>
      <c r="V5">
        <f>IF(COUNTIF($G$2:G5, G5) = 1, 1, 0)</f>
        <v>1</v>
      </c>
      <c r="Y5" s="113"/>
    </row>
    <row r="6" spans="1:25">
      <c r="A6" s="43" t="s">
        <v>270</v>
      </c>
      <c r="D6" s="43" t="s">
        <v>157</v>
      </c>
      <c r="G6" s="43" t="s">
        <v>162</v>
      </c>
      <c r="I6" s="43" t="s">
        <v>176</v>
      </c>
      <c r="K6" s="43" t="s">
        <v>160</v>
      </c>
      <c r="L6" s="43">
        <v>381</v>
      </c>
      <c r="M6" s="43">
        <v>371</v>
      </c>
      <c r="N6" s="43">
        <v>0</v>
      </c>
      <c r="O6" s="43">
        <v>0</v>
      </c>
      <c r="P6" s="43">
        <v>4</v>
      </c>
      <c r="Q6" s="43">
        <v>0</v>
      </c>
      <c r="R6" s="43" t="s">
        <v>255</v>
      </c>
      <c r="V6">
        <f>IF(COUNTIF($G$2:G6, G6) = 1, 1, 0)</f>
        <v>1</v>
      </c>
      <c r="Y6" s="113"/>
    </row>
    <row r="7" spans="1:25">
      <c r="A7" s="43" t="s">
        <v>270</v>
      </c>
      <c r="D7" s="43" t="s">
        <v>157</v>
      </c>
      <c r="G7" s="43" t="s">
        <v>164</v>
      </c>
      <c r="I7" s="43" t="s">
        <v>176</v>
      </c>
      <c r="K7" s="43" t="s">
        <v>160</v>
      </c>
      <c r="L7" s="43">
        <v>367</v>
      </c>
      <c r="M7" s="43">
        <v>359</v>
      </c>
      <c r="N7" s="43">
        <v>0</v>
      </c>
      <c r="O7" s="43">
        <v>1</v>
      </c>
      <c r="P7" s="43">
        <v>11</v>
      </c>
      <c r="Q7" s="43">
        <v>0</v>
      </c>
      <c r="R7" s="43">
        <v>4</v>
      </c>
      <c r="V7">
        <f>IF(COUNTIF($G$2:G7, G7) = 1, 1, 0)</f>
        <v>1</v>
      </c>
      <c r="Y7" s="113"/>
    </row>
    <row r="8" spans="1:25">
      <c r="A8" s="43" t="s">
        <v>270</v>
      </c>
      <c r="D8" s="43" t="s">
        <v>157</v>
      </c>
      <c r="G8" s="43" t="s">
        <v>165</v>
      </c>
      <c r="I8" s="43" t="s">
        <v>176</v>
      </c>
      <c r="K8" s="43" t="s">
        <v>160</v>
      </c>
      <c r="L8" s="43">
        <v>371</v>
      </c>
      <c r="M8" s="43">
        <v>366</v>
      </c>
      <c r="N8" s="43">
        <v>0</v>
      </c>
      <c r="O8" s="43">
        <v>3</v>
      </c>
      <c r="P8" s="43">
        <v>11</v>
      </c>
      <c r="Q8" s="43">
        <v>0</v>
      </c>
      <c r="R8" s="43" t="s">
        <v>255</v>
      </c>
      <c r="V8">
        <f>IF(COUNTIF($G$2:G8, G8) = 1, 1, 0)</f>
        <v>1</v>
      </c>
      <c r="Y8" s="113"/>
    </row>
    <row r="9" spans="1:25">
      <c r="A9" s="43" t="s">
        <v>270</v>
      </c>
      <c r="D9" s="43" t="s">
        <v>157</v>
      </c>
      <c r="G9" s="43" t="s">
        <v>166</v>
      </c>
      <c r="I9" s="43" t="s">
        <v>176</v>
      </c>
      <c r="K9" s="43" t="s">
        <v>160</v>
      </c>
      <c r="L9" s="43">
        <v>357</v>
      </c>
      <c r="M9" s="43">
        <v>352</v>
      </c>
      <c r="N9" s="43">
        <v>0</v>
      </c>
      <c r="O9" s="43">
        <v>2</v>
      </c>
      <c r="P9" s="43">
        <v>7</v>
      </c>
      <c r="Q9" s="43">
        <v>0</v>
      </c>
      <c r="R9" s="43" t="s">
        <v>255</v>
      </c>
      <c r="V9">
        <f>IF(COUNTIF($G$2:G9, G9) = 1, 1, 0)</f>
        <v>1</v>
      </c>
      <c r="Y9" s="113"/>
    </row>
    <row r="10" spans="1:25">
      <c r="A10" s="43" t="s">
        <v>270</v>
      </c>
      <c r="D10" s="43" t="s">
        <v>157</v>
      </c>
      <c r="G10" s="43" t="s">
        <v>168</v>
      </c>
      <c r="I10" s="43" t="s">
        <v>176</v>
      </c>
      <c r="K10" s="43" t="s">
        <v>160</v>
      </c>
      <c r="L10" s="43">
        <v>662</v>
      </c>
      <c r="M10" s="43">
        <v>660</v>
      </c>
      <c r="N10" s="43">
        <v>0</v>
      </c>
      <c r="O10" s="43">
        <v>0</v>
      </c>
      <c r="P10" s="43">
        <v>14</v>
      </c>
      <c r="Q10" s="43">
        <v>1</v>
      </c>
      <c r="R10" s="43">
        <v>18</v>
      </c>
      <c r="V10">
        <f>IF(COUNTIF($G$2:G10, G10) = 1, 1, 0)</f>
        <v>1</v>
      </c>
      <c r="Y10" s="113"/>
    </row>
    <row r="11" spans="1:25">
      <c r="V11">
        <f>IF(COUNTIF($G$2:G11, G11) = 1, 1, 0)</f>
        <v>0</v>
      </c>
      <c r="Y11" s="113"/>
    </row>
    <row r="12" spans="1:25">
      <c r="V12">
        <f>IF(COUNTIF($G$2:G12, G12) = 1, 1, 0)</f>
        <v>0</v>
      </c>
      <c r="Y12" s="113"/>
    </row>
    <row r="13" spans="1:25">
      <c r="V13">
        <f>IF(COUNTIF($G$2:G13, G13) = 1, 1, 0)</f>
        <v>0</v>
      </c>
      <c r="Y13" s="113"/>
    </row>
    <row r="14" spans="1:25">
      <c r="V14">
        <f>IF(COUNTIF($G$2:G14, G14) = 1, 1, 0)</f>
        <v>0</v>
      </c>
      <c r="Y14" s="113"/>
    </row>
    <row r="15" spans="1:25">
      <c r="V15">
        <f>IF(COUNTIF($G$2:G15, G15) = 1, 1, 0)</f>
        <v>0</v>
      </c>
      <c r="Y15" s="113"/>
    </row>
    <row r="16" spans="1:25">
      <c r="V16">
        <f>IF(COUNTIF($G$2:G16, G16) = 1, 1, 0)</f>
        <v>0</v>
      </c>
      <c r="Y16" s="113"/>
    </row>
    <row r="17" spans="22:25">
      <c r="V17">
        <f>IF(COUNTIF($G$2:G17, G17) = 1, 1, 0)</f>
        <v>0</v>
      </c>
      <c r="Y17" s="113"/>
    </row>
    <row r="18" spans="22:25">
      <c r="V18">
        <f>IF(COUNTIF($G$2:G18, G18) = 1, 1, 0)</f>
        <v>0</v>
      </c>
      <c r="Y18" s="113"/>
    </row>
    <row r="19" spans="22:25">
      <c r="Y19" s="113"/>
    </row>
    <row r="20" spans="22:25">
      <c r="Y20" s="113"/>
    </row>
    <row r="21" spans="22:25">
      <c r="Y21" s="113"/>
    </row>
    <row r="22" spans="22:25">
      <c r="Y22" s="113"/>
    </row>
    <row r="23" spans="22:25">
      <c r="Y23" s="113"/>
    </row>
    <row r="24" spans="22:25">
      <c r="Y24" s="113"/>
    </row>
    <row r="25" spans="22:25">
      <c r="Y25" s="113"/>
    </row>
    <row r="26" spans="22:25">
      <c r="Y26" s="113"/>
    </row>
    <row r="27" spans="22:25">
      <c r="Y27" s="113"/>
    </row>
    <row r="28" spans="22:25">
      <c r="Y28" s="113"/>
    </row>
    <row r="29" spans="22:25">
      <c r="Y29" s="113"/>
    </row>
    <row r="30" spans="22:25">
      <c r="Y30" s="113"/>
    </row>
    <row r="31" spans="22:25">
      <c r="Y31" s="113"/>
    </row>
    <row r="32" spans="22:25">
      <c r="Y32" s="113"/>
    </row>
    <row r="33" spans="25:25">
      <c r="Y33" s="113"/>
    </row>
    <row r="34" spans="25:25">
      <c r="Y34" s="113"/>
    </row>
    <row r="35" spans="25:25">
      <c r="Y35" s="113"/>
    </row>
    <row r="36" spans="25:25">
      <c r="Y36" s="113"/>
    </row>
    <row r="37" spans="25:25">
      <c r="Y37" s="113"/>
    </row>
    <row r="38" spans="25:25">
      <c r="Y38" s="113"/>
    </row>
    <row r="39" spans="25:25">
      <c r="Y39" s="113"/>
    </row>
    <row r="40" spans="25:25">
      <c r="Y40" s="113"/>
    </row>
    <row r="41" spans="25:25">
      <c r="Y41" s="113"/>
    </row>
    <row r="42" spans="25:25">
      <c r="Y42" s="113"/>
    </row>
    <row r="43" spans="25:25">
      <c r="Y43" s="11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9" tint="0.79998168889431442"/>
  </sheetPr>
  <dimension ref="A1:Z75"/>
  <sheetViews>
    <sheetView zoomScaleNormal="100" workbookViewId="0">
      <selection activeCell="R14" sqref="R14"/>
    </sheetView>
  </sheetViews>
  <sheetFormatPr defaultColWidth="8.75" defaultRowHeight="16.5"/>
  <cols>
    <col min="1" max="5" width="18.5" style="63" customWidth="1"/>
    <col min="6" max="9" width="8.75" style="63"/>
    <col min="10" max="13" width="12.75" style="63" customWidth="1"/>
    <col min="14" max="16384" width="8.75" style="63"/>
  </cols>
  <sheetData>
    <row r="1" spans="1:26">
      <c r="A1" s="62" t="s">
        <v>66</v>
      </c>
      <c r="B1" s="62" t="s">
        <v>78</v>
      </c>
      <c r="C1" s="62" t="s">
        <v>212</v>
      </c>
      <c r="D1" s="62" t="s">
        <v>68</v>
      </c>
      <c r="E1" s="62" t="s">
        <v>69</v>
      </c>
      <c r="F1" s="62" t="s">
        <v>60</v>
      </c>
      <c r="G1" s="62" t="s">
        <v>70</v>
      </c>
    </row>
    <row r="2" spans="1:26" ht="17.25" thickBot="1">
      <c r="A2" s="105">
        <v>45078</v>
      </c>
      <c r="B2" s="84">
        <v>25330</v>
      </c>
      <c r="C2" s="84">
        <v>469</v>
      </c>
      <c r="D2" s="84">
        <v>5</v>
      </c>
      <c r="E2" s="84">
        <v>301819</v>
      </c>
      <c r="F2" s="84">
        <v>251</v>
      </c>
      <c r="G2" s="85">
        <v>3.1854287574416566E-4</v>
      </c>
    </row>
    <row r="3" spans="1:26">
      <c r="A3" s="100">
        <v>45108</v>
      </c>
      <c r="B3" s="64">
        <v>24784</v>
      </c>
      <c r="C3" s="64">
        <v>648</v>
      </c>
      <c r="D3" s="64">
        <v>14</v>
      </c>
      <c r="E3" s="64">
        <v>787963</v>
      </c>
      <c r="F3" s="64">
        <v>2050</v>
      </c>
      <c r="G3" s="65">
        <v>2.6016450010977674E-3</v>
      </c>
      <c r="I3" s="178" t="s">
        <v>63</v>
      </c>
      <c r="J3" s="179"/>
      <c r="K3" s="179"/>
      <c r="L3" s="179"/>
      <c r="M3" s="179"/>
      <c r="N3" s="179"/>
      <c r="O3" s="180"/>
      <c r="Q3" s="119" t="s">
        <v>138</v>
      </c>
    </row>
    <row r="4" spans="1:26">
      <c r="A4" s="100">
        <v>45139</v>
      </c>
      <c r="B4" s="64">
        <v>24120</v>
      </c>
      <c r="C4" s="64">
        <v>340</v>
      </c>
      <c r="D4" s="64">
        <v>17</v>
      </c>
      <c r="E4" s="64">
        <v>592629</v>
      </c>
      <c r="F4" s="64">
        <v>6971</v>
      </c>
      <c r="G4" s="65">
        <v>1.1762839820528526E-2</v>
      </c>
      <c r="I4" s="95" t="s">
        <v>11</v>
      </c>
      <c r="J4" s="94" t="s">
        <v>110</v>
      </c>
      <c r="K4" s="94" t="s">
        <v>212</v>
      </c>
      <c r="L4" s="94" t="s">
        <v>111</v>
      </c>
      <c r="M4" s="94" t="s">
        <v>74</v>
      </c>
      <c r="N4" s="94" t="s">
        <v>51</v>
      </c>
      <c r="O4" s="96" t="s">
        <v>112</v>
      </c>
      <c r="Q4" s="112"/>
    </row>
    <row r="5" spans="1:26" ht="17.25" thickBot="1">
      <c r="A5" s="100">
        <v>45170</v>
      </c>
      <c r="B5" s="64">
        <v>24351</v>
      </c>
      <c r="C5" s="64">
        <v>823</v>
      </c>
      <c r="D5" s="64">
        <v>14</v>
      </c>
      <c r="E5" s="64">
        <v>1575986</v>
      </c>
      <c r="F5" s="64">
        <v>15843</v>
      </c>
      <c r="G5" s="65">
        <v>1.0052754275735952E-2</v>
      </c>
      <c r="I5" s="98">
        <f>일일data!$A$4</f>
        <v>45352</v>
      </c>
      <c r="J5" s="68">
        <f>VLOOKUP(EOMONTH(일일data!$A$4,0),일일data!$A:$Y,20,FALSE)</f>
        <v>24159</v>
      </c>
      <c r="K5" s="68" cm="1">
        <f t="array" ref="K5">INDEX('구글시트 data'!O:O,COUNTA('구글시트 data'!O:O))</f>
        <v>1071</v>
      </c>
      <c r="L5" s="68">
        <f>COUNTA('IG 콘텐츠 data'!A:A)-1</f>
        <v>11</v>
      </c>
      <c r="M5" s="68" cm="1">
        <f t="array" ref="M5">INDEX('구글시트 data'!H:H,COUNTA('구글시트 data'!H:H))</f>
        <v>151612</v>
      </c>
      <c r="N5" s="88">
        <v>9364</v>
      </c>
      <c r="O5" s="69">
        <f>N5/M5</f>
        <v>6.1762921140806795E-2</v>
      </c>
      <c r="Q5" s="112"/>
    </row>
    <row r="6" spans="1:26">
      <c r="A6" s="100" t="s">
        <v>122</v>
      </c>
      <c r="B6" s="64">
        <v>24169</v>
      </c>
      <c r="C6" s="64">
        <v>525</v>
      </c>
      <c r="D6" s="64">
        <v>16</v>
      </c>
      <c r="E6" s="64">
        <v>2154607</v>
      </c>
      <c r="F6" s="64">
        <v>26366</v>
      </c>
      <c r="G6" s="65">
        <v>1.2237034410451651E-2</v>
      </c>
      <c r="Q6" s="112"/>
    </row>
    <row r="7" spans="1:26">
      <c r="A7" s="100" t="s">
        <v>127</v>
      </c>
      <c r="B7" s="64">
        <v>24349</v>
      </c>
      <c r="C7" s="64">
        <v>720</v>
      </c>
      <c r="D7" s="64">
        <v>13</v>
      </c>
      <c r="E7" s="64">
        <v>707256</v>
      </c>
      <c r="F7" s="64">
        <v>19575</v>
      </c>
      <c r="G7" s="65">
        <v>2.767738979945027E-2</v>
      </c>
      <c r="J7" s="177" t="str">
        <f>IF(I5=INDEX(A:A,COUNTA(A:A)),"현재 장표 작업 완료, ppt에 아래 표 붙여넣으시오","위의 초록셀을 왼쪽 표에 값붙하시오")</f>
        <v>현재 장표 작업 완료, ppt에 아래 표 붙여넣으시오</v>
      </c>
      <c r="K7" s="177"/>
      <c r="L7" s="177"/>
      <c r="M7" s="177"/>
      <c r="Q7" s="112"/>
    </row>
    <row r="8" spans="1:26">
      <c r="A8" s="100">
        <v>45261</v>
      </c>
      <c r="B8" s="64">
        <v>24077</v>
      </c>
      <c r="C8" s="64">
        <v>205</v>
      </c>
      <c r="D8" s="64">
        <v>15</v>
      </c>
      <c r="E8" s="64">
        <v>389586</v>
      </c>
      <c r="F8" s="64">
        <v>9936</v>
      </c>
      <c r="G8" s="65">
        <v>2.5503996550184042E-2</v>
      </c>
      <c r="Q8" s="112"/>
    </row>
    <row r="9" spans="1:26">
      <c r="A9" s="100">
        <v>45292</v>
      </c>
      <c r="B9" s="64">
        <v>23803</v>
      </c>
      <c r="C9" s="64">
        <v>184</v>
      </c>
      <c r="D9" s="64">
        <v>16</v>
      </c>
      <c r="E9" s="64">
        <v>339172</v>
      </c>
      <c r="F9" s="64">
        <v>14189</v>
      </c>
      <c r="G9" s="65">
        <v>4.1834231599306548E-2</v>
      </c>
      <c r="Q9" s="112"/>
      <c r="R9" s="63" t="str" cm="1">
        <f t="array" ref="R9">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4월 1일 기준 팬 수 24,159명으로 전월 대비 2.66% 증가</v>
      </c>
    </row>
    <row r="10" spans="1:26">
      <c r="A10" s="100">
        <v>45323</v>
      </c>
      <c r="B10" s="64">
        <v>23534</v>
      </c>
      <c r="C10" s="64">
        <v>156</v>
      </c>
      <c r="D10" s="64">
        <v>10</v>
      </c>
      <c r="E10" s="64">
        <v>157953</v>
      </c>
      <c r="F10" s="64">
        <v>7821</v>
      </c>
      <c r="G10" s="65">
        <v>4.9514729064975026E-2</v>
      </c>
      <c r="J10" s="173" t="s">
        <v>71</v>
      </c>
      <c r="K10" s="173"/>
      <c r="L10" s="173"/>
      <c r="M10" s="173"/>
      <c r="Q10" s="112"/>
      <c r="R10" s="63" t="str" cm="1">
        <f t="array" ref="R10">"신규 팔로워 "&amp;TEXT(L13,"#,###")&amp;"로 전월 대비 "&amp;IF(L13&gt;=K13,TEXT((L13-K13)/K13,"#.#0%")&amp;" 증가",TEXT(ABS((L13-K13)/K13),"#.#0%")&amp;" 감소")&amp;", 팔로워 이탈 "&amp;INDEX('구글시트 data'!Q:Q,COUNTA('구글시트 data'!Q:Q))&amp;"로 전월 대비 "&amp;IF(INDEX('구글시트 data'!Q:Q,COUNTA('구글시트 data'!Q:Q))&gt;INDEX('구글시트 data'!Q:Q,COUNTA('구글시트 data'!Q:Q)-1),TEXT((INDEX('구글시트 data'!Q:Q,COUNTA('구글시트 data'!Q:Q))-INDEX('구글시트 data'!Q:Q,COUNTA('구글시트 data'!Q:Q)-1))/INDEX('구글시트 data'!Q:Q,COUNTA('구글시트 data'!Q:Q)-1),"#.#0%")&amp;" 증가",TEXT(ABS((INDEX('구글시트 data'!Q:Q,COUNTA('구글시트 data'!Q:Q))-INDEX('구글시트 data'!Q:Q,COUNTA('구글시트 data'!Q:Q)-1))/INDEX('구글시트 data'!Q:Q,COUNTA('구글시트 data'!Q:Q)-1)),"#.#0%")&amp;" 감소")</f>
        <v>신규 팔로워 1,071로 전월 대비 586.54% 증가, 팔로워 이탈 454로 전월 대비 5.42% 감소</v>
      </c>
    </row>
    <row r="11" spans="1:26">
      <c r="A11" s="100">
        <v>45352</v>
      </c>
      <c r="B11" s="64">
        <v>24159</v>
      </c>
      <c r="C11" s="64">
        <v>1071</v>
      </c>
      <c r="D11" s="64">
        <v>11</v>
      </c>
      <c r="E11" s="64">
        <v>151612</v>
      </c>
      <c r="F11" s="64">
        <v>9364</v>
      </c>
      <c r="G11" s="65">
        <v>6.1762921140806795E-2</v>
      </c>
      <c r="J11" s="71" t="s">
        <v>139</v>
      </c>
      <c r="K11" s="107">
        <f>INDEX(A:A,COUNTA(B:B)-1)</f>
        <v>45323</v>
      </c>
      <c r="L11" s="107">
        <f>INDEX(A:A,COUNTA(B:B))</f>
        <v>45352</v>
      </c>
      <c r="M11" s="70" t="s">
        <v>77</v>
      </c>
      <c r="Q11" s="112"/>
      <c r="R11" s="63" t="str">
        <f>"포스팅 발행 수 "&amp;TEXT(L14,"#,###")&amp;"로 전월 대비 "&amp;IF(L14&gt;=K14,TEXT((L14-K14)/K14,"#.#0%")&amp;" 증가",TEXT(ABS((L14-K14)/K14),"#.#0%")&amp;" 감소")</f>
        <v>포스팅 발행 수 11로 전월 대비 10.0% 증가</v>
      </c>
    </row>
    <row r="12" spans="1:26">
      <c r="A12" s="100"/>
      <c r="B12" s="64"/>
      <c r="C12" s="64"/>
      <c r="D12" s="64"/>
      <c r="E12" s="64"/>
      <c r="F12" s="64"/>
      <c r="G12" s="65"/>
      <c r="J12" s="71" t="s">
        <v>86</v>
      </c>
      <c r="K12" s="72">
        <f>INDEX(B:B,COUNTA(B:B)-1)</f>
        <v>23534</v>
      </c>
      <c r="L12" s="72">
        <f>INDEX(B:B,COUNTA(B:B))</f>
        <v>24159</v>
      </c>
      <c r="M12" s="72" t="str">
        <f>IF(K12&gt;L12,"▼ "&amp;TEXT(ABS((L12-K12)/K12),"0.00%"),"▲ "&amp;TEXT(ABS((L12-K12)/K12),"0.00%"))</f>
        <v>▲ 2.66%</v>
      </c>
      <c r="P12" s="66"/>
      <c r="Q12" s="112"/>
      <c r="R12" s="63" t="str">
        <f>"콘텐츠 도달 "&amp;TEXT(L15,"#,###")&amp;"로 전월 대비 "&amp;IF(L15&gt;=K15,TEXT((L15-K15)/K15,"#.#0%")&amp;" 증가",TEXT(ABS((L15-K15)/K15),"#.#0%")&amp;" 감소")</f>
        <v>콘텐츠 도달 151,612로 전월 대비 4.01% 감소</v>
      </c>
    </row>
    <row r="13" spans="1:26">
      <c r="A13" s="100"/>
      <c r="B13" s="64"/>
      <c r="C13" s="64"/>
      <c r="D13" s="64"/>
      <c r="E13" s="64"/>
      <c r="F13" s="64"/>
      <c r="G13" s="65"/>
      <c r="J13" s="71" t="s">
        <v>212</v>
      </c>
      <c r="K13" s="72">
        <f>INDEX(C:C,COUNTA(C:C)-1)</f>
        <v>156</v>
      </c>
      <c r="L13" s="72">
        <f>INDEX(C:C,COUNTA(C:C))</f>
        <v>1071</v>
      </c>
      <c r="M13" s="72" t="str">
        <f>IF(K13&gt;L13,"▼ "&amp;TEXT(ABS((L13-K13)/K13),"0.00%"),"▲ "&amp;TEXT(ABS((L13-K13)/K13),"0.00%"))</f>
        <v>▲ 586.54%</v>
      </c>
      <c r="P13" s="66"/>
      <c r="Q13" s="112"/>
      <c r="R13" s="63" t="str">
        <f>"콘텐츠 참여 "&amp;TEXT(L16,"#,###")&amp;"로 전월 대비 "&amp;IF(L16&gt;=K16,TEXT((L16-K16)/K16,"#.#0%")&amp;" 증가",TEXT(ABS((L16-K16)/K16),"#.#0%")&amp;" 감소")</f>
        <v>콘텐츠 참여 9,364로 전월 대비 19.73% 증가</v>
      </c>
    </row>
    <row r="14" spans="1:26">
      <c r="A14" s="100"/>
      <c r="B14" s="64"/>
      <c r="C14" s="64"/>
      <c r="D14" s="64"/>
      <c r="E14" s="64"/>
      <c r="F14" s="64"/>
      <c r="G14" s="65"/>
      <c r="J14" s="71" t="s">
        <v>17</v>
      </c>
      <c r="K14" s="73">
        <f>INDEX(D:D,COUNTA(D:D)-1)</f>
        <v>10</v>
      </c>
      <c r="L14" s="72">
        <f>INDEX(D:D,COUNTA(D:D))</f>
        <v>11</v>
      </c>
      <c r="M14" s="72" t="str">
        <f t="shared" ref="M14:M16" si="0">IF(K14&gt;L14,"▼ "&amp;TEXT(ABS((L14-K14)/K14),"0.00%"),"▲ "&amp;TEXT(ABS((L14-K14)/K14),"0.00%"))</f>
        <v>▲ 10.00%</v>
      </c>
      <c r="P14" s="66"/>
      <c r="Q14" s="112"/>
      <c r="R14" s="63" t="str">
        <f>"콘텐츠 평균 도달 "&amp;TEXT(L15/L14,"#,###")&amp;"으로 전월 대비 "&amp;IF(L15/L14&gt;K15/K14,TEXT(((L15/L14-K15/K14)/(K15/K14)),"#.##%")&amp;" 증가",TEXT(ABS((L15/L14-K15/K14)/(K15/K14)),"#.##%")&amp;" 감소")</f>
        <v>콘텐츠 평균 도달 13,783으로 전월 대비 12.74% 감소</v>
      </c>
    </row>
    <row r="15" spans="1:26">
      <c r="A15" s="100"/>
      <c r="B15" s="64"/>
      <c r="C15" s="64"/>
      <c r="D15" s="64"/>
      <c r="E15" s="64"/>
      <c r="F15" s="64"/>
      <c r="G15" s="65"/>
      <c r="J15" s="71" t="s">
        <v>18</v>
      </c>
      <c r="K15" s="72">
        <f>INDEX(E:E,COUNTA(D:D)-1)</f>
        <v>157953</v>
      </c>
      <c r="L15" s="72">
        <f>INDEX(E:E,COUNTA(D:D))</f>
        <v>151612</v>
      </c>
      <c r="M15" s="72" t="str">
        <f t="shared" si="0"/>
        <v>▼ 4.01%</v>
      </c>
      <c r="P15" s="66"/>
      <c r="Q15" s="112"/>
      <c r="Z15" s="120"/>
    </row>
    <row r="16" spans="1:26">
      <c r="A16" s="100"/>
      <c r="B16" s="64"/>
      <c r="C16" s="64"/>
      <c r="D16" s="64"/>
      <c r="E16" s="64"/>
      <c r="F16" s="64"/>
      <c r="G16" s="65"/>
      <c r="J16" s="71" t="s">
        <v>64</v>
      </c>
      <c r="K16" s="72">
        <f>INDEX(F:F,COUNTA(D:D)-1)</f>
        <v>7821</v>
      </c>
      <c r="L16" s="72">
        <f>INDEX(F:F,COUNTA(D:D))</f>
        <v>9364</v>
      </c>
      <c r="M16" s="72" t="str">
        <f t="shared" si="0"/>
        <v>▲ 19.73%</v>
      </c>
      <c r="P16" s="66"/>
      <c r="Q16" s="112"/>
    </row>
    <row r="17" spans="1:17">
      <c r="A17" s="100"/>
      <c r="B17" s="64"/>
      <c r="C17" s="64"/>
      <c r="D17" s="64"/>
      <c r="E17" s="64"/>
      <c r="F17" s="64"/>
      <c r="G17" s="65"/>
      <c r="J17" s="71" t="s">
        <v>65</v>
      </c>
      <c r="K17" s="74">
        <f>INDEX(G:G,COUNTA(D:D)-1)</f>
        <v>4.9514729064975026E-2</v>
      </c>
      <c r="L17" s="74">
        <f>INDEX(G:G,COUNTA(D:D))</f>
        <v>6.1762921140806795E-2</v>
      </c>
      <c r="M17" s="72" t="str">
        <f>IF(K17&gt;L17,"▼ "&amp;TEXT(100*ABS(L17-K17),"0.00")&amp;"%p","▲ "&amp;TEXT(100*ABS(L17-K17),"0.00")&amp;"%p")</f>
        <v>▲ 1.22%p</v>
      </c>
      <c r="P17" s="66"/>
      <c r="Q17" s="112"/>
    </row>
    <row r="18" spans="1:17">
      <c r="A18" s="100"/>
      <c r="B18" s="64"/>
      <c r="C18" s="64"/>
      <c r="D18" s="64"/>
      <c r="E18" s="64"/>
      <c r="F18" s="64"/>
      <c r="G18" s="65"/>
      <c r="J18" s="67"/>
      <c r="Q18" s="112"/>
    </row>
    <row r="19" spans="1:17">
      <c r="A19" s="100"/>
      <c r="B19" s="64"/>
      <c r="C19" s="64"/>
      <c r="D19" s="64"/>
      <c r="E19" s="64"/>
      <c r="F19" s="64"/>
      <c r="G19" s="65"/>
      <c r="Q19" s="112"/>
    </row>
    <row r="20" spans="1:17">
      <c r="A20" s="100"/>
      <c r="B20" s="64"/>
      <c r="C20" s="64"/>
      <c r="D20" s="64"/>
      <c r="E20" s="64"/>
      <c r="F20" s="64"/>
      <c r="G20" s="65"/>
      <c r="Q20" s="112"/>
    </row>
    <row r="21" spans="1:17">
      <c r="A21" s="100"/>
      <c r="B21" s="64"/>
      <c r="C21" s="64"/>
      <c r="D21" s="64"/>
      <c r="E21" s="64"/>
      <c r="F21" s="64"/>
      <c r="G21" s="65"/>
      <c r="Q21" s="112"/>
    </row>
    <row r="22" spans="1:17">
      <c r="A22" s="100"/>
      <c r="B22" s="64"/>
      <c r="C22" s="64"/>
      <c r="D22" s="64"/>
      <c r="E22" s="64"/>
      <c r="F22" s="64"/>
      <c r="G22" s="65"/>
      <c r="Q22" s="112"/>
    </row>
    <row r="23" spans="1:17">
      <c r="A23" s="100"/>
      <c r="B23" s="64"/>
      <c r="C23" s="64"/>
      <c r="D23" s="64"/>
      <c r="E23" s="64"/>
      <c r="F23" s="64"/>
      <c r="G23" s="65"/>
      <c r="Q23" s="112"/>
    </row>
    <row r="24" spans="1:17">
      <c r="A24" s="100"/>
      <c r="B24" s="64"/>
      <c r="C24" s="64"/>
      <c r="D24" s="64"/>
      <c r="E24" s="64"/>
      <c r="F24" s="64"/>
      <c r="G24" s="65"/>
      <c r="Q24" s="112"/>
    </row>
    <row r="25" spans="1:17">
      <c r="A25" s="100"/>
      <c r="B25" s="64"/>
      <c r="C25" s="64"/>
      <c r="D25" s="64"/>
      <c r="E25" s="64"/>
      <c r="F25" s="64"/>
      <c r="G25" s="65"/>
      <c r="Q25" s="112"/>
    </row>
    <row r="26" spans="1:17">
      <c r="A26" s="100"/>
      <c r="B26" s="64"/>
      <c r="C26" s="64"/>
      <c r="D26" s="64"/>
      <c r="E26" s="64"/>
      <c r="F26" s="64"/>
      <c r="G26" s="65"/>
      <c r="Q26" s="112"/>
    </row>
    <row r="27" spans="1:17">
      <c r="A27" s="100"/>
      <c r="B27" s="64"/>
      <c r="C27" s="64"/>
      <c r="D27" s="64"/>
      <c r="E27" s="64"/>
      <c r="F27" s="64"/>
      <c r="G27" s="65"/>
      <c r="Q27" s="112"/>
    </row>
    <row r="28" spans="1:17">
      <c r="A28" s="100"/>
      <c r="B28" s="64"/>
      <c r="C28" s="64"/>
      <c r="D28" s="64"/>
      <c r="E28" s="64"/>
      <c r="F28" s="64"/>
      <c r="G28" s="65"/>
      <c r="Q28" s="112"/>
    </row>
    <row r="29" spans="1:17">
      <c r="A29" s="100"/>
      <c r="B29" s="64"/>
      <c r="C29" s="64"/>
      <c r="D29" s="64"/>
      <c r="E29" s="64"/>
      <c r="F29" s="64"/>
      <c r="G29" s="65"/>
      <c r="Q29" s="112"/>
    </row>
    <row r="30" spans="1:17">
      <c r="A30" s="100"/>
      <c r="B30" s="64"/>
      <c r="C30" s="64"/>
      <c r="D30" s="64"/>
      <c r="E30" s="64"/>
      <c r="F30" s="64"/>
      <c r="G30" s="65"/>
      <c r="Q30" s="112"/>
    </row>
    <row r="31" spans="1:17">
      <c r="A31" s="100"/>
      <c r="B31" s="64"/>
      <c r="C31" s="64"/>
      <c r="D31" s="64"/>
      <c r="E31" s="64"/>
      <c r="F31" s="64"/>
      <c r="G31" s="65"/>
      <c r="Q31" s="112"/>
    </row>
    <row r="32" spans="1:17">
      <c r="A32" s="100"/>
      <c r="B32" s="64"/>
      <c r="C32" s="64"/>
      <c r="D32" s="64"/>
      <c r="E32" s="64"/>
      <c r="F32" s="64"/>
      <c r="G32" s="65"/>
      <c r="Q32" s="112"/>
    </row>
    <row r="33" spans="1:17">
      <c r="A33" s="100"/>
      <c r="B33" s="64"/>
      <c r="C33" s="64"/>
      <c r="D33" s="64"/>
      <c r="E33" s="64"/>
      <c r="F33" s="64"/>
      <c r="G33" s="65"/>
      <c r="Q33" s="112"/>
    </row>
    <row r="34" spans="1:17">
      <c r="A34" s="100"/>
      <c r="B34" s="64"/>
      <c r="C34" s="64"/>
      <c r="D34" s="64"/>
      <c r="E34" s="64"/>
      <c r="F34" s="64"/>
      <c r="G34" s="65"/>
      <c r="Q34" s="112"/>
    </row>
    <row r="35" spans="1:17">
      <c r="A35" s="100"/>
      <c r="B35" s="64"/>
      <c r="C35" s="64"/>
      <c r="D35" s="64"/>
      <c r="E35" s="64"/>
      <c r="F35" s="64"/>
      <c r="G35" s="65"/>
      <c r="Q35" s="112"/>
    </row>
    <row r="36" spans="1:17">
      <c r="A36" s="100"/>
      <c r="B36" s="64"/>
      <c r="C36" s="64"/>
      <c r="D36" s="64"/>
      <c r="E36" s="64"/>
      <c r="F36" s="64"/>
      <c r="G36" s="65"/>
      <c r="Q36" s="112"/>
    </row>
    <row r="37" spans="1:17">
      <c r="A37" s="100"/>
      <c r="B37" s="64"/>
      <c r="C37" s="64"/>
      <c r="D37" s="64"/>
      <c r="E37" s="64"/>
      <c r="F37" s="64"/>
      <c r="G37" s="65"/>
      <c r="Q37" s="112"/>
    </row>
    <row r="38" spans="1:17">
      <c r="A38" s="100"/>
      <c r="B38" s="64"/>
      <c r="C38" s="64"/>
      <c r="D38" s="64"/>
      <c r="E38" s="64"/>
      <c r="F38" s="64"/>
      <c r="G38" s="65"/>
      <c r="Q38" s="112"/>
    </row>
    <row r="39" spans="1:17">
      <c r="A39" s="100"/>
      <c r="B39" s="64"/>
      <c r="C39" s="64"/>
      <c r="D39" s="64"/>
      <c r="E39" s="64"/>
      <c r="F39" s="64"/>
      <c r="G39" s="65"/>
      <c r="Q39" s="112"/>
    </row>
    <row r="40" spans="1:17">
      <c r="A40" s="100"/>
      <c r="B40" s="64"/>
      <c r="C40" s="64"/>
      <c r="D40" s="64"/>
      <c r="E40" s="64"/>
      <c r="F40" s="64"/>
      <c r="G40" s="65"/>
      <c r="Q40" s="112"/>
    </row>
    <row r="41" spans="1:17">
      <c r="A41" s="100"/>
      <c r="B41" s="64"/>
      <c r="C41" s="64"/>
      <c r="D41" s="64"/>
      <c r="E41" s="64"/>
      <c r="F41" s="64"/>
      <c r="G41" s="65"/>
      <c r="Q41" s="112"/>
    </row>
    <row r="42" spans="1:17">
      <c r="A42" s="100"/>
      <c r="B42" s="64"/>
      <c r="C42" s="64"/>
      <c r="D42" s="64"/>
      <c r="E42" s="64"/>
      <c r="F42" s="64"/>
      <c r="G42" s="65"/>
      <c r="Q42" s="112"/>
    </row>
    <row r="43" spans="1:17">
      <c r="A43" s="100"/>
      <c r="B43" s="64"/>
      <c r="C43" s="64"/>
      <c r="D43" s="64"/>
      <c r="E43" s="64"/>
      <c r="F43" s="64"/>
      <c r="G43" s="65"/>
      <c r="Q43" s="112"/>
    </row>
    <row r="44" spans="1:17">
      <c r="A44" s="100"/>
      <c r="B44" s="64"/>
      <c r="C44" s="64"/>
      <c r="D44" s="64"/>
      <c r="E44" s="64"/>
      <c r="F44" s="64"/>
      <c r="G44" s="65"/>
      <c r="Q44" s="112"/>
    </row>
    <row r="45" spans="1:17">
      <c r="A45" s="100"/>
      <c r="B45" s="64"/>
      <c r="C45" s="64"/>
      <c r="D45" s="64"/>
      <c r="E45" s="64"/>
      <c r="F45" s="64"/>
      <c r="G45" s="65"/>
      <c r="Q45" s="112"/>
    </row>
    <row r="46" spans="1:17">
      <c r="A46" s="100"/>
      <c r="B46" s="64"/>
      <c r="C46" s="64"/>
      <c r="D46" s="64"/>
      <c r="E46" s="64"/>
      <c r="F46" s="64"/>
      <c r="G46" s="65"/>
      <c r="Q46" s="112"/>
    </row>
    <row r="47" spans="1:17">
      <c r="A47" s="100"/>
      <c r="B47" s="64"/>
      <c r="C47" s="64"/>
      <c r="D47" s="64"/>
      <c r="E47" s="64"/>
      <c r="F47" s="64"/>
      <c r="G47" s="65"/>
      <c r="Q47" s="112"/>
    </row>
    <row r="48" spans="1:17">
      <c r="A48" s="100"/>
      <c r="B48" s="64"/>
      <c r="C48" s="64"/>
      <c r="D48" s="64"/>
      <c r="E48" s="64"/>
      <c r="F48" s="64"/>
      <c r="G48" s="65"/>
      <c r="Q48" s="112"/>
    </row>
    <row r="49" spans="1:17">
      <c r="A49" s="100"/>
      <c r="B49" s="64"/>
      <c r="C49" s="64"/>
      <c r="D49" s="64"/>
      <c r="E49" s="64"/>
      <c r="F49" s="64"/>
      <c r="G49" s="65"/>
      <c r="Q49" s="112"/>
    </row>
    <row r="50" spans="1:17">
      <c r="A50" s="100"/>
      <c r="B50" s="64"/>
      <c r="C50" s="64"/>
      <c r="D50" s="64"/>
      <c r="E50" s="64"/>
      <c r="F50" s="64"/>
      <c r="G50" s="65"/>
      <c r="Q50" s="112"/>
    </row>
    <row r="51" spans="1:17">
      <c r="A51" s="100"/>
      <c r="B51" s="64"/>
      <c r="C51" s="64"/>
      <c r="D51" s="64"/>
      <c r="E51" s="64"/>
      <c r="F51" s="64"/>
      <c r="G51" s="65"/>
      <c r="Q51" s="112"/>
    </row>
    <row r="52" spans="1:17">
      <c r="A52" s="100"/>
      <c r="B52" s="64"/>
      <c r="C52" s="64"/>
      <c r="D52" s="64"/>
      <c r="E52" s="64"/>
      <c r="F52" s="64"/>
      <c r="G52" s="65"/>
      <c r="Q52" s="112"/>
    </row>
    <row r="53" spans="1:17">
      <c r="A53" s="100"/>
      <c r="B53" s="64"/>
      <c r="C53" s="64"/>
      <c r="D53" s="64"/>
      <c r="E53" s="64"/>
      <c r="F53" s="64"/>
      <c r="G53" s="65"/>
      <c r="Q53" s="112"/>
    </row>
    <row r="54" spans="1:17">
      <c r="A54" s="100"/>
      <c r="B54" s="64"/>
      <c r="C54" s="64"/>
      <c r="D54" s="64"/>
      <c r="E54" s="64"/>
      <c r="F54" s="64"/>
      <c r="G54" s="65"/>
      <c r="Q54" s="112"/>
    </row>
    <row r="55" spans="1:17">
      <c r="A55" s="100"/>
      <c r="B55" s="64"/>
      <c r="C55" s="64"/>
      <c r="D55" s="64"/>
      <c r="E55" s="64"/>
      <c r="F55" s="64"/>
      <c r="G55" s="65"/>
      <c r="Q55" s="112"/>
    </row>
    <row r="56" spans="1:17">
      <c r="A56" s="100"/>
      <c r="B56" s="64"/>
      <c r="C56" s="64"/>
      <c r="D56" s="64"/>
      <c r="E56" s="64"/>
      <c r="F56" s="64"/>
      <c r="G56" s="65"/>
      <c r="Q56" s="112"/>
    </row>
    <row r="57" spans="1:17">
      <c r="A57" s="100"/>
      <c r="B57" s="64"/>
      <c r="C57" s="64"/>
      <c r="D57" s="64"/>
      <c r="E57" s="64"/>
      <c r="F57" s="64"/>
      <c r="G57" s="65"/>
      <c r="Q57" s="112"/>
    </row>
    <row r="58" spans="1:17">
      <c r="A58" s="100"/>
      <c r="B58" s="64"/>
      <c r="C58" s="64"/>
      <c r="D58" s="64"/>
      <c r="E58" s="64"/>
      <c r="F58" s="64"/>
      <c r="G58" s="65"/>
      <c r="Q58" s="112"/>
    </row>
    <row r="59" spans="1:17">
      <c r="A59" s="100"/>
      <c r="B59" s="64"/>
      <c r="C59" s="64"/>
      <c r="D59" s="64"/>
      <c r="E59" s="64"/>
      <c r="F59" s="64"/>
      <c r="G59" s="65"/>
      <c r="Q59" s="112"/>
    </row>
    <row r="60" spans="1:17">
      <c r="A60" s="100"/>
      <c r="B60" s="64"/>
      <c r="C60" s="64"/>
      <c r="D60" s="64"/>
      <c r="E60" s="64"/>
      <c r="F60" s="64"/>
      <c r="G60" s="65"/>
      <c r="Q60" s="112"/>
    </row>
    <row r="61" spans="1:17">
      <c r="A61" s="100"/>
      <c r="B61" s="64"/>
      <c r="C61" s="64"/>
      <c r="D61" s="64"/>
      <c r="E61" s="64"/>
      <c r="F61" s="64"/>
      <c r="G61" s="65"/>
      <c r="Q61" s="112"/>
    </row>
    <row r="62" spans="1:17">
      <c r="A62" s="100"/>
      <c r="B62" s="64"/>
      <c r="C62" s="64"/>
      <c r="D62" s="64"/>
      <c r="E62" s="64"/>
      <c r="F62" s="64"/>
      <c r="G62" s="65"/>
      <c r="Q62" s="112"/>
    </row>
    <row r="63" spans="1:17">
      <c r="A63" s="100"/>
      <c r="B63" s="64"/>
      <c r="C63" s="64"/>
      <c r="D63" s="64"/>
      <c r="E63" s="64"/>
      <c r="F63" s="64"/>
      <c r="G63" s="65"/>
      <c r="Q63" s="112"/>
    </row>
    <row r="64" spans="1:17">
      <c r="A64" s="100"/>
      <c r="B64" s="64"/>
      <c r="C64" s="64"/>
      <c r="D64" s="64"/>
      <c r="E64" s="64"/>
      <c r="F64" s="64"/>
      <c r="G64" s="65"/>
      <c r="Q64" s="112"/>
    </row>
    <row r="65" spans="1:17">
      <c r="A65" s="100"/>
      <c r="B65" s="64"/>
      <c r="C65" s="64"/>
      <c r="D65" s="64"/>
      <c r="E65" s="64"/>
      <c r="F65" s="64"/>
      <c r="G65" s="65"/>
      <c r="Q65" s="112"/>
    </row>
    <row r="66" spans="1:17">
      <c r="A66" s="100"/>
      <c r="B66" s="64"/>
      <c r="C66" s="64"/>
      <c r="D66" s="64"/>
      <c r="E66" s="64"/>
      <c r="F66" s="64"/>
      <c r="G66" s="65"/>
      <c r="Q66" s="112"/>
    </row>
    <row r="67" spans="1:17">
      <c r="A67" s="100"/>
      <c r="B67" s="64"/>
      <c r="C67" s="64"/>
      <c r="D67" s="64"/>
      <c r="E67" s="64"/>
      <c r="F67" s="64"/>
      <c r="G67" s="65"/>
      <c r="Q67" s="112"/>
    </row>
    <row r="68" spans="1:17">
      <c r="A68" s="100"/>
      <c r="B68" s="64"/>
      <c r="C68" s="64"/>
      <c r="D68" s="64"/>
      <c r="E68" s="64"/>
      <c r="F68" s="64"/>
      <c r="G68" s="65"/>
      <c r="Q68" s="112"/>
    </row>
    <row r="69" spans="1:17">
      <c r="A69" s="100"/>
      <c r="B69" s="64"/>
      <c r="C69" s="64"/>
      <c r="D69" s="64"/>
      <c r="E69" s="64"/>
      <c r="F69" s="64"/>
      <c r="G69" s="65"/>
      <c r="Q69" s="112"/>
    </row>
    <row r="70" spans="1:17">
      <c r="A70" s="100"/>
      <c r="B70" s="64"/>
      <c r="C70" s="64"/>
      <c r="D70" s="64"/>
      <c r="E70" s="64"/>
      <c r="F70" s="64"/>
      <c r="G70" s="65"/>
    </row>
    <row r="71" spans="1:17">
      <c r="A71" s="100"/>
      <c r="B71" s="64"/>
      <c r="C71" s="64"/>
      <c r="D71" s="64"/>
      <c r="E71" s="64"/>
      <c r="F71" s="64"/>
      <c r="G71" s="65"/>
    </row>
    <row r="72" spans="1:17">
      <c r="A72" s="100"/>
      <c r="B72" s="64"/>
      <c r="C72" s="64"/>
      <c r="D72" s="64"/>
      <c r="E72" s="64"/>
      <c r="F72" s="64"/>
      <c r="G72" s="65"/>
    </row>
    <row r="73" spans="1:17">
      <c r="A73" s="100"/>
      <c r="B73" s="64"/>
      <c r="C73" s="64"/>
      <c r="D73" s="64"/>
      <c r="E73" s="64"/>
      <c r="F73" s="64"/>
      <c r="G73" s="65"/>
    </row>
    <row r="74" spans="1:17">
      <c r="A74" s="100"/>
      <c r="B74" s="64"/>
      <c r="C74" s="64"/>
      <c r="D74" s="64"/>
      <c r="E74" s="64"/>
      <c r="F74" s="64"/>
      <c r="G74" s="65"/>
    </row>
    <row r="75" spans="1:17">
      <c r="A75" s="100"/>
      <c r="B75" s="64"/>
      <c r="C75" s="64"/>
      <c r="D75" s="64"/>
      <c r="E75" s="64"/>
      <c r="F75" s="64"/>
      <c r="G75" s="65"/>
    </row>
  </sheetData>
  <mergeCells count="3">
    <mergeCell ref="J7:M7"/>
    <mergeCell ref="J10:M10"/>
    <mergeCell ref="I3:O3"/>
  </mergeCells>
  <phoneticPr fontId="1" type="noConversion"/>
  <conditionalFormatting sqref="J7:M7">
    <cfRule type="containsText" dxfId="0" priority="1" operator="containsText" text="값붙">
      <formula>NOT(ISERROR(SEARCH("값붙",J7)))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79998168889431442"/>
  </sheetPr>
  <dimension ref="A1:U42"/>
  <sheetViews>
    <sheetView workbookViewId="0">
      <selection activeCell="O16" sqref="O16"/>
    </sheetView>
  </sheetViews>
  <sheetFormatPr defaultRowHeight="16.5"/>
  <cols>
    <col min="1" max="1" width="8.75"/>
    <col min="2" max="2" width="10" customWidth="1"/>
    <col min="3" max="3" width="9.25" customWidth="1"/>
    <col min="4" max="4" width="52.75" customWidth="1"/>
    <col min="14" max="14" width="10.625" customWidth="1"/>
    <col min="16" max="16" width="9.25" customWidth="1"/>
    <col min="21" max="21" width="8.625" style="113"/>
  </cols>
  <sheetData>
    <row r="1" spans="1:21">
      <c r="B1" t="s">
        <v>103</v>
      </c>
      <c r="D1" s="48" t="str">
        <f>"인스타그램 스토리 총 "&amp;SUM('IG story data'!V:V)&amp;"건 게시, 총 "&amp;TEXT(SUM('IG story data'!M:M),"#,###")&amp;" 노출, "&amp;TEXT(SUM('IG story data'!P:P),"#,###")&amp;"건의 프로필 방문"</f>
        <v>인스타그램 스토리 총 9건 게시, 총 3,501 노출, 67건의 프로필 방문</v>
      </c>
      <c r="U1" s="118" t="s">
        <v>136</v>
      </c>
    </row>
    <row r="2" spans="1:21">
      <c r="N2" s="46"/>
      <c r="U2" s="118"/>
    </row>
    <row r="3" spans="1:21">
      <c r="B3" s="44" t="s">
        <v>49</v>
      </c>
      <c r="C3" s="44" t="s">
        <v>59</v>
      </c>
      <c r="D3" s="49" t="s">
        <v>58</v>
      </c>
      <c r="E3" s="44" t="s">
        <v>61</v>
      </c>
      <c r="F3" s="44" t="s">
        <v>84</v>
      </c>
      <c r="G3" s="44" t="s">
        <v>50</v>
      </c>
      <c r="H3" s="44" t="s">
        <v>143</v>
      </c>
      <c r="I3" s="44" t="s">
        <v>144</v>
      </c>
      <c r="J3" s="44" t="s">
        <v>19</v>
      </c>
      <c r="K3" s="44" t="s">
        <v>20</v>
      </c>
      <c r="L3" s="44" t="s">
        <v>85</v>
      </c>
      <c r="M3" s="44" t="s">
        <v>60</v>
      </c>
      <c r="N3" s="44" t="s">
        <v>96</v>
      </c>
      <c r="U3" s="118"/>
    </row>
    <row r="4" spans="1:21" ht="17.45" customHeight="1">
      <c r="A4">
        <v>1</v>
      </c>
      <c r="B4" s="124">
        <f>IFERROR(INDEX('IG 콘텐츠 data'!T:T,MATCH('IG 신규발행'!A4,'IG 콘텐츠 data'!U:U,0)),"")</f>
        <v>45351</v>
      </c>
      <c r="C4" s="126" t="str">
        <f>IFERROR(IF(INDEX('IG 콘텐츠 data'!$A$1:$AL$25,MATCH('IG 신규발행'!$A4,'IG 콘텐츠 data'!$U:$U,0),MATCH(C$3,'IG 콘텐츠 data'!$A$1:$S$1,0))="IG 이미지","이미지",IF(INDEX('IG 콘텐츠 data'!$A$1:$AL$25,MATCH('IG 신규발행'!$A4,'IG 콘텐츠 data'!$U:$U,0),MATCH(C$3,'IG 콘텐츠 data'!$A$1:$S$1,0))="IG 슬라이드","슬라이드",IF(INDEX('IG 콘텐츠 data'!$A$1:$AL$25,MATCH('IG 신규발행'!$A4,'IG 콘텐츠 data'!$U:$U,0),MATCH(C$3,'IG 콘텐츠 data'!$A$1:$S$1,0))="Instagram 릴스","영상"))),"")</f>
        <v>이미지</v>
      </c>
      <c r="D4" s="128" t="str">
        <f>IFERROR(IF(INDEX('IG 콘텐츠 data 제목 입력'!C:C,MATCH('IG 신규발행'!A4,'IG 콘텐츠 data 제목 입력'!A:A,0))=0,"",INDEX('IG 콘텐츠 data 제목 입력'!C:C,MATCH('IG 신규발행'!A4,'IG 콘텐츠 data 제목 입력'!A:A,0))),"")</f>
        <v>삼일절</v>
      </c>
      <c r="E4" s="126">
        <f>IFERROR(INDEX('IG 콘텐츠 data'!$A$1:$AL$25,MATCH('IG 신규발행'!$A4,'IG 콘텐츠 data'!$U:$U,0),MATCH(E$3,'IG 콘텐츠 data'!$A$1:$S$1,0)),"")</f>
        <v>1713</v>
      </c>
      <c r="F4" s="126">
        <f>IFERROR(INDEX('IG 콘텐츠 data'!$A$1:$AL$25,MATCH('IG 신규발행'!$A4,'IG 콘텐츠 data'!$U:$U,0),MATCH(F$3,'IG 콘텐츠 data'!$A$1:$S$1,0)),"")</f>
        <v>1470</v>
      </c>
      <c r="G4" s="126">
        <f>IFERROR(INDEX('IG 콘텐츠 data'!$A$1:$AL$25,MATCH('IG 신규발행'!$A4,'IG 콘텐츠 data'!$U:$U,0),MATCH(G$3,'IG 콘텐츠 data'!$A$1:$S$1,0)),"")</f>
        <v>3</v>
      </c>
      <c r="H4" s="126">
        <f>IFERROR(INDEX('IG 콘텐츠 data'!$A$1:$AL$25,MATCH('IG 신규발행'!$A4,'IG 콘텐츠 data'!$U:$U,0),MATCH(H$3,'IG 콘텐츠 data'!$A$1:$S$1,0)),"")</f>
        <v>0</v>
      </c>
      <c r="I4" s="126">
        <f>IFERROR(INDEX('IG 콘텐츠 data'!$A$1:$AL$25,MATCH('IG 신규발행'!$A4,'IG 콘텐츠 data'!$U:$U,0),MATCH(I$3,'IG 콘텐츠 data'!$A$1:$S$1,0)),"")</f>
        <v>0</v>
      </c>
      <c r="J4" s="126">
        <f>IFERROR(INDEX('IG 콘텐츠 data'!$A$1:$AL$25,MATCH('IG 신규발행'!$A4,'IG 콘텐츠 data'!$U:$U,0),MATCH(J$3,'IG 콘텐츠 data'!$A$1:$S$1,0)),"")</f>
        <v>93</v>
      </c>
      <c r="K4" s="126">
        <f>IFERROR(INDEX('IG 콘텐츠 data'!$L$1:$S$25,MATCH('IG 신규발행'!$A4,'IG 콘텐츠 data'!$U:$U,0),MATCH(K$3,'IG 콘텐츠 data'!$L$1:$S$1,0)),"")</f>
        <v>0</v>
      </c>
      <c r="L4" s="126">
        <f>IFERROR(INDEX('IG 콘텐츠 data'!$A$1:$AL$25,MATCH('IG 신규발행'!$A4,'IG 콘텐츠 data'!$U:$U,0),MATCH(L$3,'IG 콘텐츠 data'!$A$1:$S$1,0)),"")</f>
        <v>4</v>
      </c>
      <c r="M4" s="126">
        <f>IF(B4="","",SUM(J4:L4)+G4)</f>
        <v>100</v>
      </c>
      <c r="N4" s="127">
        <f>IFERROR(M4/F4,"")</f>
        <v>6.8027210884353748E-2</v>
      </c>
      <c r="P4" s="48">
        <f t="shared" ref="P4:P42" si="0">IFERROR(RANK(N4,$N$4:$N$42,0),"")</f>
        <v>5</v>
      </c>
      <c r="Q4" s="48">
        <f t="shared" ref="Q4:Q42" si="1">IFERROR(RANK(E4,$E$4:$E$42,0),"")</f>
        <v>8</v>
      </c>
      <c r="S4">
        <f>IFERROR(INDEX(A:A,MATCH(A4,P:P,0)),"")</f>
        <v>7</v>
      </c>
      <c r="U4" s="118"/>
    </row>
    <row r="5" spans="1:21" ht="17.45" customHeight="1">
      <c r="A5">
        <v>2</v>
      </c>
      <c r="B5" s="124">
        <f>IFERROR(INDEX('IG 콘텐츠 data'!T:T,MATCH('IG 신규발행'!A5,'IG 콘텐츠 data'!U:U,0)),"")</f>
        <v>45354</v>
      </c>
      <c r="C5" s="126" t="str">
        <f>IFERROR(IF(INDEX('IG 콘텐츠 data'!$A$1:$AL$25,MATCH('IG 신규발행'!$A5,'IG 콘텐츠 data'!$U:$U,0),MATCH(C$3,'IG 콘텐츠 data'!$A$1:$S$1,0))="IG 이미지","이미지",IF(INDEX('IG 콘텐츠 data'!$A$1:$AL$25,MATCH('IG 신규발행'!$A5,'IG 콘텐츠 data'!$U:$U,0),MATCH(C$3,'IG 콘텐츠 data'!$A$1:$S$1,0))="IG 슬라이드","슬라이드",IF(INDEX('IG 콘텐츠 data'!$A$1:$AL$25,MATCH('IG 신규발행'!$A5,'IG 콘텐츠 data'!$U:$U,0),MATCH(C$3,'IG 콘텐츠 data'!$A$1:$S$1,0))="Instagram 릴스","영상"))),"")</f>
        <v>이미지</v>
      </c>
      <c r="D5" s="128" t="str">
        <f>IFERROR(IF(INDEX('IG 콘텐츠 data 제목 입력'!C:C,MATCH('IG 신규발행'!A5,'IG 콘텐츠 data 제목 입력'!A:A,0))=0,"",INDEX('IG 콘텐츠 data 제목 입력'!C:C,MATCH('IG 신규발행'!A5,'IG 콘텐츠 data 제목 입력'!A:A,0))),"")</f>
        <v>이노드림(게오르크 짐멜)</v>
      </c>
      <c r="E5" s="126">
        <f>IFERROR(INDEX('IG 콘텐츠 data'!$A$1:$AL$25,MATCH('IG 신규발행'!$A5,'IG 콘텐츠 data'!$U:$U,0),MATCH(E$3,'IG 콘텐츠 data'!$A$1:$S$1,0)),"")</f>
        <v>1752</v>
      </c>
      <c r="F5" s="126">
        <f>IFERROR(INDEX('IG 콘텐츠 data'!$A$1:$AL$25,MATCH('IG 신규발행'!$A5,'IG 콘텐츠 data'!$U:$U,0),MATCH(F$3,'IG 콘텐츠 data'!$A$1:$S$1,0)),"")</f>
        <v>1491</v>
      </c>
      <c r="G5" s="126">
        <f>IFERROR(INDEX('IG 콘텐츠 data'!$A$1:$AL$25,MATCH('IG 신규발행'!$A5,'IG 콘텐츠 data'!$U:$U,0),MATCH(G$3,'IG 콘텐츠 data'!$A$1:$S$1,0)),"")</f>
        <v>0</v>
      </c>
      <c r="H5" s="126">
        <f>IFERROR(INDEX('IG 콘텐츠 data'!$A$1:$AL$25,MATCH('IG 신규발행'!$A5,'IG 콘텐츠 data'!$U:$U,0),MATCH(H$3,'IG 콘텐츠 data'!$A$1:$S$1,0)),"")</f>
        <v>0</v>
      </c>
      <c r="I5" s="126">
        <f>IFERROR(INDEX('IG 콘텐츠 data'!$A$1:$AL$25,MATCH('IG 신규발행'!$A5,'IG 콘텐츠 data'!$U:$U,0),MATCH(I$3,'IG 콘텐츠 data'!$A$1:$S$1,0)),"")</f>
        <v>0</v>
      </c>
      <c r="J5" s="126">
        <f>IFERROR(INDEX('IG 콘텐츠 data'!$A$1:$AL$25,MATCH('IG 신규발행'!$A5,'IG 콘텐츠 data'!$U:$U,0),MATCH(J$3,'IG 콘텐츠 data'!$A$1:$S$1,0)),"")</f>
        <v>45</v>
      </c>
      <c r="K5" s="126">
        <f>IFERROR(INDEX('IG 콘텐츠 data'!$L$1:$S$25,MATCH('IG 신규발행'!$A5,'IG 콘텐츠 data'!$U:$U,0),MATCH(K$3,'IG 콘텐츠 data'!$L$1:$S$1,0)),"")</f>
        <v>0</v>
      </c>
      <c r="L5" s="126">
        <f>IFERROR(INDEX('IG 콘텐츠 data'!$A$1:$AL$25,MATCH('IG 신규발행'!$A5,'IG 콘텐츠 data'!$U:$U,0),MATCH(L$3,'IG 콘텐츠 data'!$A$1:$S$1,0)),"")</f>
        <v>2</v>
      </c>
      <c r="M5" s="126">
        <f t="shared" ref="M5:M42" si="2">IF(B5="","",SUM(J5:L5)+G5)</f>
        <v>47</v>
      </c>
      <c r="N5" s="127">
        <f>IFERROR(M5/F5,"")</f>
        <v>3.1522468142186455E-2</v>
      </c>
      <c r="P5" s="48">
        <f t="shared" si="0"/>
        <v>11</v>
      </c>
      <c r="Q5" s="48">
        <f t="shared" si="1"/>
        <v>7</v>
      </c>
      <c r="S5">
        <f t="shared" ref="S5:S42" si="3">IFERROR(INDEX(A:A,MATCH(A5,P:P,0)),"")</f>
        <v>3</v>
      </c>
      <c r="U5" s="118"/>
    </row>
    <row r="6" spans="1:21" ht="17.45" customHeight="1">
      <c r="A6">
        <v>3</v>
      </c>
      <c r="B6" s="124">
        <f>IFERROR(INDEX('IG 콘텐츠 data'!T:T,MATCH('IG 신규발행'!A6,'IG 콘텐츠 data'!U:U,0)),"")</f>
        <v>45358</v>
      </c>
      <c r="C6" s="126" t="str">
        <f>IFERROR(IF(INDEX('IG 콘텐츠 data'!$A$1:$AL$25,MATCH('IG 신규발행'!$A6,'IG 콘텐츠 data'!$U:$U,0),MATCH(C$3,'IG 콘텐츠 data'!$A$1:$S$1,0))="IG 이미지","이미지",IF(INDEX('IG 콘텐츠 data'!$A$1:$AL$25,MATCH('IG 신규발행'!$A6,'IG 콘텐츠 data'!$U:$U,0),MATCH(C$3,'IG 콘텐츠 data'!$A$1:$S$1,0))="IG 슬라이드","슬라이드",IF(INDEX('IG 콘텐츠 data'!$A$1:$AL$25,MATCH('IG 신규발행'!$A6,'IG 콘텐츠 data'!$U:$U,0),MATCH(C$3,'IG 콘텐츠 data'!$A$1:$S$1,0))="Instagram 릴스","영상"))),"")</f>
        <v>슬라이드</v>
      </c>
      <c r="D6" s="128" t="str">
        <f>IFERROR(IF(INDEX('IG 콘텐츠 data 제목 입력'!C:C,MATCH('IG 신규발행'!A6,'IG 콘텐츠 data 제목 입력'!A:A,0))=0,"",INDEX('IG 콘텐츠 data 제목 입력'!C:C,MATCH('IG 신규발행'!A6,'IG 콘텐츠 data 제목 입력'!A:A,0))),"")</f>
        <v>슼슼 읽히는 2차전지 이야기</v>
      </c>
      <c r="E6" s="126">
        <f>IFERROR(INDEX('IG 콘텐츠 data'!$A$1:$AL$25,MATCH('IG 신규발행'!$A6,'IG 콘텐츠 data'!$U:$U,0),MATCH(E$3,'IG 콘텐츠 data'!$A$1:$S$1,0)),"")</f>
        <v>2785</v>
      </c>
      <c r="F6" s="126">
        <f>IFERROR(INDEX('IG 콘텐츠 data'!$A$1:$AL$25,MATCH('IG 신규발행'!$A6,'IG 콘텐츠 data'!$U:$U,0),MATCH(F$3,'IG 콘텐츠 data'!$A$1:$S$1,0)),"")</f>
        <v>2187</v>
      </c>
      <c r="G6" s="126">
        <f>IFERROR(INDEX('IG 콘텐츠 data'!$A$1:$AL$25,MATCH('IG 신규발행'!$A6,'IG 콘텐츠 data'!$U:$U,0),MATCH(G$3,'IG 콘텐츠 data'!$A$1:$S$1,0)),"")</f>
        <v>20</v>
      </c>
      <c r="H6" s="126">
        <f>IFERROR(INDEX('IG 콘텐츠 data'!$A$1:$AL$25,MATCH('IG 신규발행'!$A6,'IG 콘텐츠 data'!$U:$U,0),MATCH(H$3,'IG 콘텐츠 data'!$A$1:$S$1,0)),"")</f>
        <v>8</v>
      </c>
      <c r="I6" s="126">
        <f>IFERROR(INDEX('IG 콘텐츠 data'!$A$1:$AL$25,MATCH('IG 신규발행'!$A6,'IG 콘텐츠 data'!$U:$U,0),MATCH(I$3,'IG 콘텐츠 data'!$A$1:$S$1,0)),"")</f>
        <v>0</v>
      </c>
      <c r="J6" s="126">
        <f>IFERROR(INDEX('IG 콘텐츠 data'!$A$1:$AL$25,MATCH('IG 신규발행'!$A6,'IG 콘텐츠 data'!$U:$U,0),MATCH(J$3,'IG 콘텐츠 data'!$A$1:$S$1,0)),"")</f>
        <v>99</v>
      </c>
      <c r="K6" s="126">
        <f>IFERROR(INDEX('IG 콘텐츠 data'!$L$1:$S$25,MATCH('IG 신규발행'!$A6,'IG 콘텐츠 data'!$U:$U,0),MATCH(K$3,'IG 콘텐츠 data'!$L$1:$S$1,0)),"")</f>
        <v>1</v>
      </c>
      <c r="L6" s="126">
        <f>IFERROR(INDEX('IG 콘텐츠 data'!$A$1:$AL$25,MATCH('IG 신규발행'!$A6,'IG 콘텐츠 data'!$U:$U,0),MATCH(L$3,'IG 콘텐츠 data'!$A$1:$S$1,0)),"")</f>
        <v>157</v>
      </c>
      <c r="M6" s="126">
        <f t="shared" si="2"/>
        <v>277</v>
      </c>
      <c r="N6" s="127">
        <f>IFERROR(M6/F6,"")</f>
        <v>0.12665752171925013</v>
      </c>
      <c r="P6" s="48">
        <f t="shared" si="0"/>
        <v>2</v>
      </c>
      <c r="Q6" s="48">
        <f t="shared" si="1"/>
        <v>2</v>
      </c>
      <c r="S6">
        <f t="shared" si="3"/>
        <v>5</v>
      </c>
      <c r="U6" s="118"/>
    </row>
    <row r="7" spans="1:21" ht="17.45" customHeight="1">
      <c r="A7">
        <v>4</v>
      </c>
      <c r="B7" s="124">
        <f>IFERROR(INDEX('IG 콘텐츠 data'!T:T,MATCH('IG 신규발행'!A7,'IG 콘텐츠 data'!U:U,0)),"")</f>
        <v>45361</v>
      </c>
      <c r="C7" s="126" t="str">
        <f>IFERROR(IF(INDEX('IG 콘텐츠 data'!$A$1:$AL$25,MATCH('IG 신규발행'!$A7,'IG 콘텐츠 data'!$U:$U,0),MATCH(C$3,'IG 콘텐츠 data'!$A$1:$S$1,0))="IG 이미지","이미지",IF(INDEX('IG 콘텐츠 data'!$A$1:$AL$25,MATCH('IG 신규발행'!$A7,'IG 콘텐츠 data'!$U:$U,0),MATCH(C$3,'IG 콘텐츠 data'!$A$1:$S$1,0))="IG 슬라이드","슬라이드",IF(INDEX('IG 콘텐츠 data'!$A$1:$AL$25,MATCH('IG 신규발행'!$A7,'IG 콘텐츠 data'!$U:$U,0),MATCH(C$3,'IG 콘텐츠 data'!$A$1:$S$1,0))="Instagram 릴스","영상"))),"")</f>
        <v>이미지</v>
      </c>
      <c r="D7" s="128" t="str">
        <f>IFERROR(IF(INDEX('IG 콘텐츠 data 제목 입력'!C:C,MATCH('IG 신규발행'!A7,'IG 콘텐츠 data 제목 입력'!A:A,0))=0,"",INDEX('IG 콘텐츠 data 제목 입력'!C:C,MATCH('IG 신규발행'!A7,'IG 콘텐츠 data 제목 입력'!A:A,0))),"")</f>
        <v>이노드림(르네 데카르트)</v>
      </c>
      <c r="E7" s="126">
        <f>IFERROR(INDEX('IG 콘텐츠 data'!$A$1:$AL$25,MATCH('IG 신규발행'!$A7,'IG 콘텐츠 data'!$U:$U,0),MATCH(E$3,'IG 콘텐츠 data'!$A$1:$S$1,0)),"")</f>
        <v>1933</v>
      </c>
      <c r="F7" s="126">
        <f>IFERROR(INDEX('IG 콘텐츠 data'!$A$1:$AL$25,MATCH('IG 신규발행'!$A7,'IG 콘텐츠 data'!$U:$U,0),MATCH(F$3,'IG 콘텐츠 data'!$A$1:$S$1,0)),"")</f>
        <v>1695</v>
      </c>
      <c r="G7" s="126">
        <f>IFERROR(INDEX('IG 콘텐츠 data'!$A$1:$AL$25,MATCH('IG 신규발행'!$A7,'IG 콘텐츠 data'!$U:$U,0),MATCH(G$3,'IG 콘텐츠 data'!$A$1:$S$1,0)),"")</f>
        <v>1</v>
      </c>
      <c r="H7" s="126">
        <f>IFERROR(INDEX('IG 콘텐츠 data'!$A$1:$AL$25,MATCH('IG 신규발행'!$A7,'IG 콘텐츠 data'!$U:$U,0),MATCH(H$3,'IG 콘텐츠 data'!$A$1:$S$1,0)),"")</f>
        <v>0</v>
      </c>
      <c r="I7" s="126">
        <f>IFERROR(INDEX('IG 콘텐츠 data'!$A$1:$AL$25,MATCH('IG 신규발행'!$A7,'IG 콘텐츠 data'!$U:$U,0),MATCH(I$3,'IG 콘텐츠 data'!$A$1:$S$1,0)),"")</f>
        <v>0</v>
      </c>
      <c r="J7" s="126">
        <f>IFERROR(INDEX('IG 콘텐츠 data'!$A$1:$AL$25,MATCH('IG 신규발행'!$A7,'IG 콘텐츠 data'!$U:$U,0),MATCH(J$3,'IG 콘텐츠 data'!$A$1:$S$1,0)),"")</f>
        <v>70</v>
      </c>
      <c r="K7" s="126">
        <f>IFERROR(INDEX('IG 콘텐츠 data'!$L$1:$S$25,MATCH('IG 신규발행'!$A7,'IG 콘텐츠 data'!$U:$U,0),MATCH(K$3,'IG 콘텐츠 data'!$L$1:$S$1,0)),"")</f>
        <v>0</v>
      </c>
      <c r="L7" s="126">
        <f>IFERROR(INDEX('IG 콘텐츠 data'!$A$1:$AL$25,MATCH('IG 신규발행'!$A7,'IG 콘텐츠 data'!$U:$U,0),MATCH(L$3,'IG 콘텐츠 data'!$A$1:$S$1,0)),"")</f>
        <v>1</v>
      </c>
      <c r="M7" s="126">
        <f t="shared" si="2"/>
        <v>72</v>
      </c>
      <c r="N7" s="127">
        <f>IFERROR(M7/F7,"")</f>
        <v>4.247787610619469E-2</v>
      </c>
      <c r="P7" s="48">
        <f t="shared" si="0"/>
        <v>8</v>
      </c>
      <c r="Q7" s="48">
        <f t="shared" si="1"/>
        <v>4</v>
      </c>
      <c r="S7">
        <f t="shared" si="3"/>
        <v>8</v>
      </c>
      <c r="U7" s="118"/>
    </row>
    <row r="8" spans="1:21" ht="17.45" customHeight="1">
      <c r="A8">
        <v>5</v>
      </c>
      <c r="B8" s="124">
        <f>IFERROR(INDEX('IG 콘텐츠 data'!T:T,MATCH('IG 신규발행'!A8,'IG 콘텐츠 data'!U:U,0)),"")</f>
        <v>45366</v>
      </c>
      <c r="C8" s="126" t="str">
        <f>IFERROR(IF(INDEX('IG 콘텐츠 data'!$A$1:$AL$25,MATCH('IG 신규발행'!$A8,'IG 콘텐츠 data'!$U:$U,0),MATCH(C$3,'IG 콘텐츠 data'!$A$1:$S$1,0))="IG 이미지","이미지",IF(INDEX('IG 콘텐츠 data'!$A$1:$AL$25,MATCH('IG 신규발행'!$A8,'IG 콘텐츠 data'!$U:$U,0),MATCH(C$3,'IG 콘텐츠 data'!$A$1:$S$1,0))="IG 슬라이드","슬라이드",IF(INDEX('IG 콘텐츠 data'!$A$1:$AL$25,MATCH('IG 신규발행'!$A8,'IG 콘텐츠 data'!$U:$U,0),MATCH(C$3,'IG 콘텐츠 data'!$A$1:$S$1,0))="Instagram 릴스","영상"))),"")</f>
        <v>슬라이드</v>
      </c>
      <c r="D8" s="128" t="str">
        <f>IFERROR(IF(INDEX('IG 콘텐츠 data 제목 입력'!C:C,MATCH('IG 신규발행'!A8,'IG 콘텐츠 data 제목 입력'!A:A,0))=0,"",INDEX('IG 콘텐츠 data 제목 입력'!C:C,MATCH('IG 신규발행'!A8,'IG 콘텐츠 data 제목 입력'!A:A,0))),"")</f>
        <v>세계 재활용의 날</v>
      </c>
      <c r="E8" s="126">
        <f>IFERROR(INDEX('IG 콘텐츠 data'!$A$1:$AL$25,MATCH('IG 신규발행'!$A8,'IG 콘텐츠 data'!$U:$U,0),MATCH(E$3,'IG 콘텐츠 data'!$A$1:$S$1,0)),"")</f>
        <v>1685</v>
      </c>
      <c r="F8" s="126">
        <f>IFERROR(INDEX('IG 콘텐츠 data'!$A$1:$AL$25,MATCH('IG 신규발행'!$A8,'IG 콘텐츠 data'!$U:$U,0),MATCH(F$3,'IG 콘텐츠 data'!$A$1:$S$1,0)),"")</f>
        <v>1326</v>
      </c>
      <c r="G8" s="126">
        <f>IFERROR(INDEX('IG 콘텐츠 data'!$A$1:$AL$25,MATCH('IG 신규발행'!$A8,'IG 콘텐츠 data'!$U:$U,0),MATCH(G$3,'IG 콘텐츠 data'!$A$1:$S$1,0)),"")</f>
        <v>5</v>
      </c>
      <c r="H8" s="126">
        <f>IFERROR(INDEX('IG 콘텐츠 data'!$A$1:$AL$25,MATCH('IG 신규발행'!$A8,'IG 콘텐츠 data'!$U:$U,0),MATCH(H$3,'IG 콘텐츠 data'!$A$1:$S$1,0)),"")</f>
        <v>0</v>
      </c>
      <c r="I8" s="126">
        <f>IFERROR(INDEX('IG 콘텐츠 data'!$A$1:$AL$25,MATCH('IG 신규발행'!$A8,'IG 콘텐츠 data'!$U:$U,0),MATCH(I$3,'IG 콘텐츠 data'!$A$1:$S$1,0)),"")</f>
        <v>0</v>
      </c>
      <c r="J8" s="126">
        <f>IFERROR(INDEX('IG 콘텐츠 data'!$A$1:$AL$25,MATCH('IG 신규발행'!$A8,'IG 콘텐츠 data'!$U:$U,0),MATCH(J$3,'IG 콘텐츠 data'!$A$1:$S$1,0)),"")</f>
        <v>98</v>
      </c>
      <c r="K8" s="126">
        <f>IFERROR(INDEX('IG 콘텐츠 data'!$L$1:$S$25,MATCH('IG 신규발행'!$A8,'IG 콘텐츠 data'!$U:$U,0),MATCH(K$3,'IG 콘텐츠 data'!$L$1:$S$1,0)),"")</f>
        <v>4</v>
      </c>
      <c r="L8" s="126">
        <f>IFERROR(INDEX('IG 콘텐츠 data'!$A$1:$AL$25,MATCH('IG 신규발행'!$A8,'IG 콘텐츠 data'!$U:$U,0),MATCH(L$3,'IG 콘텐츠 data'!$A$1:$S$1,0)),"")</f>
        <v>24</v>
      </c>
      <c r="M8" s="126">
        <f t="shared" si="2"/>
        <v>131</v>
      </c>
      <c r="N8" s="127">
        <f>IFERROR(M8/F8,"")</f>
        <v>9.8793363499245848E-2</v>
      </c>
      <c r="P8" s="48">
        <f t="shared" si="0"/>
        <v>3</v>
      </c>
      <c r="Q8" s="48">
        <f t="shared" si="1"/>
        <v>9</v>
      </c>
      <c r="S8">
        <f t="shared" si="3"/>
        <v>1</v>
      </c>
      <c r="U8" s="118"/>
    </row>
    <row r="9" spans="1:21" ht="17.45" customHeight="1">
      <c r="A9">
        <v>6</v>
      </c>
      <c r="B9" s="124">
        <f>IFERROR(INDEX('IG 콘텐츠 data'!T:T,MATCH('IG 신규발행'!A9,'IG 콘텐츠 data'!U:U,0)),"")</f>
        <v>45368</v>
      </c>
      <c r="C9" s="126" t="str">
        <f>IFERROR(IF(INDEX('IG 콘텐츠 data'!$A$1:$AL$25,MATCH('IG 신규발행'!$A9,'IG 콘텐츠 data'!$U:$U,0),MATCH(C$3,'IG 콘텐츠 data'!$A$1:$S$1,0))="IG 이미지","이미지",IF(INDEX('IG 콘텐츠 data'!$A$1:$AL$25,MATCH('IG 신규발행'!$A9,'IG 콘텐츠 data'!$U:$U,0),MATCH(C$3,'IG 콘텐츠 data'!$A$1:$S$1,0))="IG 슬라이드","슬라이드",IF(INDEX('IG 콘텐츠 data'!$A$1:$AL$25,MATCH('IG 신규발행'!$A9,'IG 콘텐츠 data'!$U:$U,0),MATCH(C$3,'IG 콘텐츠 data'!$A$1:$S$1,0))="Instagram 릴스","영상"))),"")</f>
        <v>이미지</v>
      </c>
      <c r="D9" s="128" t="str">
        <f>IFERROR(IF(INDEX('IG 콘텐츠 data 제목 입력'!C:C,MATCH('IG 신규발행'!A9,'IG 콘텐츠 data 제목 입력'!A:A,0))=0,"",INDEX('IG 콘텐츠 data 제목 입력'!C:C,MATCH('IG 신규발행'!A9,'IG 콘텐츠 data 제목 입력'!A:A,0))),"")</f>
        <v>이노드림(모리스 메를로퐁티)</v>
      </c>
      <c r="E9" s="126">
        <f>IFERROR(INDEX('IG 콘텐츠 data'!$A$1:$AL$25,MATCH('IG 신규발행'!$A9,'IG 콘텐츠 data'!$U:$U,0),MATCH(E$3,'IG 콘텐츠 data'!$A$1:$S$1,0)),"")</f>
        <v>1925</v>
      </c>
      <c r="F9" s="126">
        <f>IFERROR(INDEX('IG 콘텐츠 data'!$A$1:$AL$25,MATCH('IG 신규발행'!$A9,'IG 콘텐츠 data'!$U:$U,0),MATCH(F$3,'IG 콘텐츠 data'!$A$1:$S$1,0)),"")</f>
        <v>1648</v>
      </c>
      <c r="G9" s="126">
        <f>IFERROR(INDEX('IG 콘텐츠 data'!$A$1:$AL$25,MATCH('IG 신규발행'!$A9,'IG 콘텐츠 data'!$U:$U,0),MATCH(G$3,'IG 콘텐츠 data'!$A$1:$S$1,0)),"")</f>
        <v>1</v>
      </c>
      <c r="H9" s="126">
        <f>IFERROR(INDEX('IG 콘텐츠 data'!$A$1:$AL$25,MATCH('IG 신규발행'!$A9,'IG 콘텐츠 data'!$U:$U,0),MATCH(H$3,'IG 콘텐츠 data'!$A$1:$S$1,0)),"")</f>
        <v>1</v>
      </c>
      <c r="I9" s="126">
        <f>IFERROR(INDEX('IG 콘텐츠 data'!$A$1:$AL$25,MATCH('IG 신규발행'!$A9,'IG 콘텐츠 data'!$U:$U,0),MATCH(I$3,'IG 콘텐츠 data'!$A$1:$S$1,0)),"")</f>
        <v>0</v>
      </c>
      <c r="J9" s="126">
        <f>IFERROR(INDEX('IG 콘텐츠 data'!$A$1:$AL$25,MATCH('IG 신규발행'!$A9,'IG 콘텐츠 data'!$U:$U,0),MATCH(J$3,'IG 콘텐츠 data'!$A$1:$S$1,0)),"")</f>
        <v>99</v>
      </c>
      <c r="K9" s="126">
        <f>IFERROR(INDEX('IG 콘텐츠 data'!$L$1:$S$25,MATCH('IG 신규발행'!$A9,'IG 콘텐츠 data'!$U:$U,0),MATCH(K$3,'IG 콘텐츠 data'!$L$1:$S$1,0)),"")</f>
        <v>0</v>
      </c>
      <c r="L9" s="126">
        <f>IFERROR(INDEX('IG 콘텐츠 data'!$A$1:$AL$25,MATCH('IG 신규발행'!$A9,'IG 콘텐츠 data'!$U:$U,0),MATCH(L$3,'IG 콘텐츠 data'!$A$1:$S$1,0)),"")</f>
        <v>5</v>
      </c>
      <c r="M9" s="126">
        <f t="shared" si="2"/>
        <v>105</v>
      </c>
      <c r="N9" s="127">
        <f>IFERROR(M9/F9,"")</f>
        <v>6.3713592233009708E-2</v>
      </c>
      <c r="P9" s="48">
        <f t="shared" si="0"/>
        <v>6</v>
      </c>
      <c r="Q9" s="48">
        <f t="shared" si="1"/>
        <v>5</v>
      </c>
      <c r="S9">
        <f t="shared" si="3"/>
        <v>6</v>
      </c>
      <c r="U9" s="118"/>
    </row>
    <row r="10" spans="1:21" ht="17.45" customHeight="1">
      <c r="A10">
        <v>7</v>
      </c>
      <c r="B10" s="124">
        <f>IFERROR(INDEX('IG 콘텐츠 data'!T:T,MATCH('IG 신규발행'!A10,'IG 콘텐츠 data'!U:U,0)),"")</f>
        <v>45369</v>
      </c>
      <c r="C10" s="126" t="str">
        <f>IFERROR(IF(INDEX('IG 콘텐츠 data'!$A$1:$AL$25,MATCH('IG 신규발행'!$A10,'IG 콘텐츠 data'!$U:$U,0),MATCH(C$3,'IG 콘텐츠 data'!$A$1:$S$1,0))="IG 이미지","이미지",IF(INDEX('IG 콘텐츠 data'!$A$1:$AL$25,MATCH('IG 신규발행'!$A10,'IG 콘텐츠 data'!$U:$U,0),MATCH(C$3,'IG 콘텐츠 data'!$A$1:$S$1,0))="IG 슬라이드","슬라이드",IF(INDEX('IG 콘텐츠 data'!$A$1:$AL$25,MATCH('IG 신규발행'!$A10,'IG 콘텐츠 data'!$U:$U,0),MATCH(C$3,'IG 콘텐츠 data'!$A$1:$S$1,0))="Instagram 릴스","영상"))),"")</f>
        <v>영상</v>
      </c>
      <c r="D10" s="128" t="str">
        <f>IFERROR(IF(INDEX('IG 콘텐츠 data 제목 입력'!C:C,MATCH('IG 신규발행'!A10,'IG 콘텐츠 data 제목 입력'!A:A,0))=0,"",INDEX('IG 콘텐츠 data 제목 입력'!C:C,MATCH('IG 신규발행'!A10,'IG 콘텐츠 data 제목 입력'!A:A,0))),"")</f>
        <v>[EVENT] SK에너지 머핀</v>
      </c>
      <c r="E10" s="126">
        <f>IFERROR(INDEX('IG 콘텐츠 data'!$A$1:$AL$25,MATCH('IG 신규발행'!$A10,'IG 콘텐츠 data'!$U:$U,0),MATCH(E$3,'IG 콘텐츠 data'!$A$1:$S$1,0)),"")</f>
        <v>3797</v>
      </c>
      <c r="F10" s="126">
        <f>IFERROR(INDEX('IG 콘텐츠 data'!$A$1:$AL$25,MATCH('IG 신규발행'!$A10,'IG 콘텐츠 data'!$U:$U,0),MATCH(F$3,'IG 콘텐츠 data'!$A$1:$S$1,0)),"")</f>
        <v>3159</v>
      </c>
      <c r="G10" s="126">
        <f>IFERROR(INDEX('IG 콘텐츠 data'!$A$1:$AL$25,MATCH('IG 신규발행'!$A10,'IG 콘텐츠 data'!$U:$U,0),MATCH(G$3,'IG 콘텐츠 data'!$A$1:$S$1,0)),"")</f>
        <v>61</v>
      </c>
      <c r="H10" s="126">
        <f>IFERROR(INDEX('IG 콘텐츠 data'!$A$1:$AL$25,MATCH('IG 신규발행'!$A10,'IG 콘텐츠 data'!$U:$U,0),MATCH(H$3,'IG 콘텐츠 data'!$A$1:$S$1,0)),"")</f>
        <v>189</v>
      </c>
      <c r="I10" s="126">
        <f>IFERROR(INDEX('IG 콘텐츠 data'!$A$1:$AL$25,MATCH('IG 신규발행'!$A10,'IG 콘텐츠 data'!$U:$U,0),MATCH(I$3,'IG 콘텐츠 data'!$A$1:$S$1,0)),"")</f>
        <v>4377</v>
      </c>
      <c r="J10" s="126">
        <f>IFERROR(INDEX('IG 콘텐츠 data'!$A$1:$AL$25,MATCH('IG 신규발행'!$A10,'IG 콘텐츠 data'!$U:$U,0),MATCH(J$3,'IG 콘텐츠 data'!$A$1:$S$1,0)),"")</f>
        <v>842</v>
      </c>
      <c r="K10" s="126">
        <f>IFERROR(INDEX('IG 콘텐츠 data'!$L$1:$S$25,MATCH('IG 신규발행'!$A10,'IG 콘텐츠 data'!$U:$U,0),MATCH(K$3,'IG 콘텐츠 data'!$L$1:$S$1,0)),"")</f>
        <v>1023</v>
      </c>
      <c r="L10" s="126">
        <f>IFERROR(INDEX('IG 콘텐츠 data'!$A$1:$AL$25,MATCH('IG 신규발행'!$A10,'IG 콘텐츠 data'!$U:$U,0),MATCH(L$3,'IG 콘텐츠 data'!$A$1:$S$1,0)),"")</f>
        <v>64</v>
      </c>
      <c r="M10" s="126">
        <f t="shared" si="2"/>
        <v>1990</v>
      </c>
      <c r="N10" s="127">
        <f>IFERROR(M10/F10,"")</f>
        <v>0.62994618550174108</v>
      </c>
      <c r="P10" s="48">
        <f t="shared" si="0"/>
        <v>1</v>
      </c>
      <c r="Q10" s="48">
        <f t="shared" si="1"/>
        <v>1</v>
      </c>
      <c r="S10">
        <f t="shared" si="3"/>
        <v>9</v>
      </c>
      <c r="U10" s="118"/>
    </row>
    <row r="11" spans="1:21" ht="17.45" customHeight="1">
      <c r="A11">
        <v>8</v>
      </c>
      <c r="B11" s="124">
        <f>IFERROR(INDEX('IG 콘텐츠 data'!T:T,MATCH('IG 신규발행'!A11,'IG 콘텐츠 data'!U:U,0)),"")</f>
        <v>45372</v>
      </c>
      <c r="C11" s="126" t="str">
        <f>IFERROR(IF(INDEX('IG 콘텐츠 data'!$A$1:$AL$25,MATCH('IG 신규발행'!$A11,'IG 콘텐츠 data'!$U:$U,0),MATCH(C$3,'IG 콘텐츠 data'!$A$1:$S$1,0))="IG 이미지","이미지",IF(INDEX('IG 콘텐츠 data'!$A$1:$AL$25,MATCH('IG 신규발행'!$A11,'IG 콘텐츠 data'!$U:$U,0),MATCH(C$3,'IG 콘텐츠 data'!$A$1:$S$1,0))="IG 슬라이드","슬라이드",IF(INDEX('IG 콘텐츠 data'!$A$1:$AL$25,MATCH('IG 신규발행'!$A11,'IG 콘텐츠 data'!$U:$U,0),MATCH(C$3,'IG 콘텐츠 data'!$A$1:$S$1,0))="Instagram 릴스","영상"))),"")</f>
        <v>슬라이드</v>
      </c>
      <c r="D11" s="128" t="str">
        <f>IFERROR(IF(INDEX('IG 콘텐츠 data 제목 입력'!C:C,MATCH('IG 신규발행'!A11,'IG 콘텐츠 data 제목 입력'!A:A,0))=0,"",INDEX('IG 콘텐츠 data 제목 입력'!C:C,MATCH('IG 신규발행'!A11,'IG 콘텐츠 data 제목 입력'!A:A,0))),"")</f>
        <v>슼슼 배우는 2차전지 이야기</v>
      </c>
      <c r="E11" s="126">
        <f>IFERROR(INDEX('IG 콘텐츠 data'!$A$1:$AL$25,MATCH('IG 신규발행'!$A11,'IG 콘텐츠 data'!$U:$U,0),MATCH(E$3,'IG 콘텐츠 data'!$A$1:$S$1,0)),"")</f>
        <v>2512</v>
      </c>
      <c r="F11" s="126">
        <f>IFERROR(INDEX('IG 콘텐츠 data'!$A$1:$AL$25,MATCH('IG 신규발행'!$A11,'IG 콘텐츠 data'!$U:$U,0),MATCH(F$3,'IG 콘텐츠 data'!$A$1:$S$1,0)),"")</f>
        <v>2006</v>
      </c>
      <c r="G11" s="126">
        <f>IFERROR(INDEX('IG 콘텐츠 data'!$A$1:$AL$25,MATCH('IG 신규발행'!$A11,'IG 콘텐츠 data'!$U:$U,0),MATCH(G$3,'IG 콘텐츠 data'!$A$1:$S$1,0)),"")</f>
        <v>12</v>
      </c>
      <c r="H11" s="126">
        <f>IFERROR(INDEX('IG 콘텐츠 data'!$A$1:$AL$25,MATCH('IG 신규발행'!$A11,'IG 콘텐츠 data'!$U:$U,0),MATCH(H$3,'IG 콘텐츠 data'!$A$1:$S$1,0)),"")</f>
        <v>2</v>
      </c>
      <c r="I11" s="126">
        <f>IFERROR(INDEX('IG 콘텐츠 data'!$A$1:$AL$25,MATCH('IG 신규발행'!$A11,'IG 콘텐츠 data'!$U:$U,0),MATCH(I$3,'IG 콘텐츠 data'!$A$1:$S$1,0)),"")</f>
        <v>0</v>
      </c>
      <c r="J11" s="126">
        <f>IFERROR(INDEX('IG 콘텐츠 data'!$A$1:$AL$25,MATCH('IG 신규발행'!$A11,'IG 콘텐츠 data'!$U:$U,0),MATCH(J$3,'IG 콘텐츠 data'!$A$1:$S$1,0)),"")</f>
        <v>114</v>
      </c>
      <c r="K11" s="126">
        <f>IFERROR(INDEX('IG 콘텐츠 data'!$L$1:$S$25,MATCH('IG 신규발행'!$A11,'IG 콘텐츠 data'!$U:$U,0),MATCH(K$3,'IG 콘텐츠 data'!$L$1:$S$1,0)),"")</f>
        <v>0</v>
      </c>
      <c r="L11" s="126">
        <f>IFERROR(INDEX('IG 콘텐츠 data'!$A$1:$AL$25,MATCH('IG 신규발행'!$A11,'IG 콘텐츠 data'!$U:$U,0),MATCH(L$3,'IG 콘텐츠 data'!$A$1:$S$1,0)),"")</f>
        <v>58</v>
      </c>
      <c r="M11" s="126">
        <f t="shared" si="2"/>
        <v>184</v>
      </c>
      <c r="N11" s="127">
        <f>IFERROR(M11/F11,"")</f>
        <v>9.1724825523429712E-2</v>
      </c>
      <c r="P11" s="48">
        <f t="shared" si="0"/>
        <v>4</v>
      </c>
      <c r="Q11" s="48">
        <f t="shared" si="1"/>
        <v>3</v>
      </c>
      <c r="S11">
        <f t="shared" si="3"/>
        <v>4</v>
      </c>
      <c r="U11" s="118"/>
    </row>
    <row r="12" spans="1:21" ht="17.45" customHeight="1">
      <c r="A12">
        <v>9</v>
      </c>
      <c r="B12" s="124">
        <f>IFERROR(INDEX('IG 콘텐츠 data'!T:T,MATCH('IG 신규발행'!A12,'IG 콘텐츠 data'!U:U,0)),"")</f>
        <v>45375</v>
      </c>
      <c r="C12" s="126" t="str">
        <f>IFERROR(IF(INDEX('IG 콘텐츠 data'!$A$1:$AL$25,MATCH('IG 신규발행'!$A12,'IG 콘텐츠 data'!$U:$U,0),MATCH(C$3,'IG 콘텐츠 data'!$A$1:$S$1,0))="IG 이미지","이미지",IF(INDEX('IG 콘텐츠 data'!$A$1:$AL$25,MATCH('IG 신규발행'!$A12,'IG 콘텐츠 data'!$U:$U,0),MATCH(C$3,'IG 콘텐츠 data'!$A$1:$S$1,0))="IG 슬라이드","슬라이드",IF(INDEX('IG 콘텐츠 data'!$A$1:$AL$25,MATCH('IG 신규발행'!$A12,'IG 콘텐츠 data'!$U:$U,0),MATCH(C$3,'IG 콘텐츠 data'!$A$1:$S$1,0))="Instagram 릴스","영상"))),"")</f>
        <v>이미지</v>
      </c>
      <c r="D12" s="128" t="str">
        <f>IFERROR(IF(INDEX('IG 콘텐츠 data 제목 입력'!C:C,MATCH('IG 신규발행'!A12,'IG 콘텐츠 data 제목 입력'!A:A,0))=0,"",INDEX('IG 콘텐츠 data 제목 입력'!C:C,MATCH('IG 신규발행'!A12,'IG 콘텐츠 data 제목 입력'!A:A,0))),"")</f>
        <v>이노드림(빅터 프랭클)</v>
      </c>
      <c r="E12" s="126">
        <f>IFERROR(INDEX('IG 콘텐츠 data'!$A$1:$AL$25,MATCH('IG 신규발행'!$A12,'IG 콘텐츠 data'!$U:$U,0),MATCH(E$3,'IG 콘텐츠 data'!$A$1:$S$1,0)),"")</f>
        <v>1318</v>
      </c>
      <c r="F12" s="126">
        <f>IFERROR(INDEX('IG 콘텐츠 data'!$A$1:$AL$25,MATCH('IG 신규발행'!$A12,'IG 콘텐츠 data'!$U:$U,0),MATCH(F$3,'IG 콘텐츠 data'!$A$1:$S$1,0)),"")</f>
        <v>1154</v>
      </c>
      <c r="G12" s="126">
        <f>IFERROR(INDEX('IG 콘텐츠 data'!$A$1:$AL$25,MATCH('IG 신규발행'!$A12,'IG 콘텐츠 data'!$U:$U,0),MATCH(G$3,'IG 콘텐츠 data'!$A$1:$S$1,0)),"")</f>
        <v>2</v>
      </c>
      <c r="H12" s="126">
        <f>IFERROR(INDEX('IG 콘텐츠 data'!$A$1:$AL$25,MATCH('IG 신규발행'!$A12,'IG 콘텐츠 data'!$U:$U,0),MATCH(H$3,'IG 콘텐츠 data'!$A$1:$S$1,0)),"")</f>
        <v>0</v>
      </c>
      <c r="I12" s="126">
        <f>IFERROR(INDEX('IG 콘텐츠 data'!$A$1:$AL$25,MATCH('IG 신규발행'!$A12,'IG 콘텐츠 data'!$U:$U,0),MATCH(I$3,'IG 콘텐츠 data'!$A$1:$S$1,0)),"")</f>
        <v>0</v>
      </c>
      <c r="J12" s="126">
        <f>IFERROR(INDEX('IG 콘텐츠 data'!$A$1:$AL$25,MATCH('IG 신규발행'!$A12,'IG 콘텐츠 data'!$U:$U,0),MATCH(J$3,'IG 콘텐츠 data'!$A$1:$S$1,0)),"")</f>
        <v>51</v>
      </c>
      <c r="K12" s="126">
        <f>IFERROR(INDEX('IG 콘텐츠 data'!$L$1:$S$25,MATCH('IG 신규발행'!$A12,'IG 콘텐츠 data'!$U:$U,0),MATCH(K$3,'IG 콘텐츠 data'!$L$1:$S$1,0)),"")</f>
        <v>0</v>
      </c>
      <c r="L12" s="126">
        <f>IFERROR(INDEX('IG 콘텐츠 data'!$A$1:$AL$25,MATCH('IG 신규발행'!$A12,'IG 콘텐츠 data'!$U:$U,0),MATCH(L$3,'IG 콘텐츠 data'!$A$1:$S$1,0)),"")</f>
        <v>1</v>
      </c>
      <c r="M12" s="126">
        <f t="shared" si="2"/>
        <v>54</v>
      </c>
      <c r="N12" s="127">
        <f>IFERROR(M12/F12,"")</f>
        <v>4.6793760831889082E-2</v>
      </c>
      <c r="P12" s="48">
        <f t="shared" si="0"/>
        <v>7</v>
      </c>
      <c r="Q12" s="48">
        <f t="shared" si="1"/>
        <v>10</v>
      </c>
      <c r="S12">
        <f t="shared" si="3"/>
        <v>10</v>
      </c>
      <c r="U12" s="118"/>
    </row>
    <row r="13" spans="1:21" ht="17.45" customHeight="1">
      <c r="A13">
        <v>10</v>
      </c>
      <c r="B13" s="124">
        <f>IFERROR(INDEX('IG 콘텐츠 data'!T:T,MATCH('IG 신규발행'!A13,'IG 콘텐츠 data'!U:U,0)),"")</f>
        <v>45376</v>
      </c>
      <c r="C13" s="126" t="str">
        <f>IFERROR(IF(INDEX('IG 콘텐츠 data'!$A$1:$AL$25,MATCH('IG 신규발행'!$A13,'IG 콘텐츠 data'!$U:$U,0),MATCH(C$3,'IG 콘텐츠 data'!$A$1:$S$1,0))="IG 이미지","이미지",IF(INDEX('IG 콘텐츠 data'!$A$1:$AL$25,MATCH('IG 신규발행'!$A13,'IG 콘텐츠 data'!$U:$U,0),MATCH(C$3,'IG 콘텐츠 data'!$A$1:$S$1,0))="IG 슬라이드","슬라이드",IF(INDEX('IG 콘텐츠 data'!$A$1:$AL$25,MATCH('IG 신규발행'!$A13,'IG 콘텐츠 data'!$U:$U,0),MATCH(C$3,'IG 콘텐츠 data'!$A$1:$S$1,0))="Instagram 릴스","영상"))),"")</f>
        <v>영상</v>
      </c>
      <c r="D13" s="128" t="str">
        <f>IFERROR(IF(INDEX('IG 콘텐츠 data 제목 입력'!C:C,MATCH('IG 신규발행'!A13,'IG 콘텐츠 data 제목 입력'!A:A,0))=0,"",INDEX('IG 콘텐츠 data 제목 입력'!C:C,MATCH('IG 신규발행'!A13,'IG 콘텐츠 data 제목 입력'!A:A,0))),"")</f>
        <v>팩트체크해~油 Ep.2</v>
      </c>
      <c r="E13" s="126">
        <f>IFERROR(INDEX('IG 콘텐츠 data'!$A$1:$AL$25,MATCH('IG 신규발행'!$A13,'IG 콘텐츠 data'!$U:$U,0),MATCH(E$3,'IG 콘텐츠 data'!$A$1:$S$1,0)),"")</f>
        <v>1787</v>
      </c>
      <c r="F13" s="126">
        <f>IFERROR(INDEX('IG 콘텐츠 data'!$A$1:$AL$25,MATCH('IG 신규발행'!$A13,'IG 콘텐츠 data'!$U:$U,0),MATCH(F$3,'IG 콘텐츠 data'!$A$1:$S$1,0)),"")</f>
        <v>1341</v>
      </c>
      <c r="G13" s="126">
        <f>IFERROR(INDEX('IG 콘텐츠 data'!$A$1:$AL$25,MATCH('IG 신규발행'!$A13,'IG 콘텐츠 data'!$U:$U,0),MATCH(G$3,'IG 콘텐츠 data'!$A$1:$S$1,0)),"")</f>
        <v>3</v>
      </c>
      <c r="H13" s="126">
        <f>IFERROR(INDEX('IG 콘텐츠 data'!$A$1:$AL$25,MATCH('IG 신규발행'!$A13,'IG 콘텐츠 data'!$U:$U,0),MATCH(H$3,'IG 콘텐츠 data'!$A$1:$S$1,0)),"")</f>
        <v>1</v>
      </c>
      <c r="I13" s="126">
        <f>IFERROR(INDEX('IG 콘텐츠 data'!$A$1:$AL$25,MATCH('IG 신규발행'!$A13,'IG 콘텐츠 data'!$U:$U,0),MATCH(I$3,'IG 콘텐츠 data'!$A$1:$S$1,0)),"")</f>
        <v>1816</v>
      </c>
      <c r="J13" s="126">
        <f>IFERROR(INDEX('IG 콘텐츠 data'!$A$1:$AL$25,MATCH('IG 신규발행'!$A13,'IG 콘텐츠 data'!$U:$U,0),MATCH(J$3,'IG 콘텐츠 data'!$A$1:$S$1,0)),"")</f>
        <v>47</v>
      </c>
      <c r="K13" s="126">
        <f>IFERROR(INDEX('IG 콘텐츠 data'!$L$1:$S$25,MATCH('IG 신규발행'!$A13,'IG 콘텐츠 data'!$U:$U,0),MATCH(K$3,'IG 콘텐츠 data'!$L$1:$S$1,0)),"")</f>
        <v>2</v>
      </c>
      <c r="L13" s="126">
        <f>IFERROR(INDEX('IG 콘텐츠 data'!$A$1:$AL$25,MATCH('IG 신규발행'!$A13,'IG 콘텐츠 data'!$U:$U,0),MATCH(L$3,'IG 콘텐츠 data'!$A$1:$S$1,0)),"")</f>
        <v>4</v>
      </c>
      <c r="M13" s="126">
        <f t="shared" si="2"/>
        <v>56</v>
      </c>
      <c r="N13" s="127">
        <f>IFERROR(M13/F13,"")</f>
        <v>4.1759880686055184E-2</v>
      </c>
      <c r="P13" s="48">
        <f t="shared" si="0"/>
        <v>9</v>
      </c>
      <c r="Q13" s="48">
        <f t="shared" si="1"/>
        <v>6</v>
      </c>
      <c r="S13">
        <f t="shared" si="3"/>
        <v>11</v>
      </c>
      <c r="U13" s="118"/>
    </row>
    <row r="14" spans="1:21" ht="17.45" customHeight="1">
      <c r="A14">
        <v>11</v>
      </c>
      <c r="B14" s="124">
        <f>IFERROR(INDEX('IG 콘텐츠 data'!T:T,MATCH('IG 신규발행'!A14,'IG 콘텐츠 data'!U:U,0)),"")</f>
        <v>45382</v>
      </c>
      <c r="C14" s="126" t="str">
        <f>IFERROR(IF(INDEX('IG 콘텐츠 data'!$A$1:$AL$25,MATCH('IG 신규발행'!$A14,'IG 콘텐츠 data'!$U:$U,0),MATCH(C$3,'IG 콘텐츠 data'!$A$1:$S$1,0))="IG 이미지","이미지",IF(INDEX('IG 콘텐츠 data'!$A$1:$AL$25,MATCH('IG 신규발행'!$A14,'IG 콘텐츠 data'!$U:$U,0),MATCH(C$3,'IG 콘텐츠 data'!$A$1:$S$1,0))="IG 슬라이드","슬라이드",IF(INDEX('IG 콘텐츠 data'!$A$1:$AL$25,MATCH('IG 신규발행'!$A14,'IG 콘텐츠 data'!$U:$U,0),MATCH(C$3,'IG 콘텐츠 data'!$A$1:$S$1,0))="Instagram 릴스","영상"))),"")</f>
        <v>이미지</v>
      </c>
      <c r="D14" s="128" t="str">
        <f>IFERROR(IF(INDEX('IG 콘텐츠 data 제목 입력'!C:C,MATCH('IG 신규발행'!A14,'IG 콘텐츠 data 제목 입력'!A:A,0))=0,"",INDEX('IG 콘텐츠 data 제목 입력'!C:C,MATCH('IG 신규발행'!A14,'IG 콘텐츠 data 제목 입력'!A:A,0))),"")</f>
        <v>이노드림(임마누엘 칸트)</v>
      </c>
      <c r="E14" s="126">
        <f>IFERROR(INDEX('IG 콘텐츠 data'!$A$1:$AL$25,MATCH('IG 신규발행'!$A14,'IG 콘텐츠 data'!$U:$U,0),MATCH(E$3,'IG 콘텐츠 data'!$A$1:$S$1,0)),"")</f>
        <v>884</v>
      </c>
      <c r="F14" s="126">
        <f>IFERROR(INDEX('IG 콘텐츠 data'!$A$1:$AL$25,MATCH('IG 신규발행'!$A14,'IG 콘텐츠 data'!$U:$U,0),MATCH(F$3,'IG 콘텐츠 data'!$A$1:$S$1,0)),"")</f>
        <v>795</v>
      </c>
      <c r="G14" s="126">
        <f>IFERROR(INDEX('IG 콘텐츠 data'!$A$1:$AL$25,MATCH('IG 신규발행'!$A14,'IG 콘텐츠 data'!$U:$U,0),MATCH(G$3,'IG 콘텐츠 data'!$A$1:$S$1,0)),"")</f>
        <v>3</v>
      </c>
      <c r="H14" s="126">
        <f>IFERROR(INDEX('IG 콘텐츠 data'!$A$1:$AL$25,MATCH('IG 신규발행'!$A14,'IG 콘텐츠 data'!$U:$U,0),MATCH(H$3,'IG 콘텐츠 data'!$A$1:$S$1,0)),"")</f>
        <v>0</v>
      </c>
      <c r="I14" s="126">
        <f>IFERROR(INDEX('IG 콘텐츠 data'!$A$1:$AL$25,MATCH('IG 신규발행'!$A14,'IG 콘텐츠 data'!$U:$U,0),MATCH(I$3,'IG 콘텐츠 data'!$A$1:$S$1,0)),"")</f>
        <v>0</v>
      </c>
      <c r="J14" s="126">
        <f>IFERROR(INDEX('IG 콘텐츠 data'!$A$1:$AL$25,MATCH('IG 신규발행'!$A14,'IG 콘텐츠 data'!$U:$U,0),MATCH(J$3,'IG 콘텐츠 data'!$A$1:$S$1,0)),"")</f>
        <v>24</v>
      </c>
      <c r="K14" s="126">
        <f>IFERROR(INDEX('IG 콘텐츠 data'!$L$1:$S$25,MATCH('IG 신규발행'!$A14,'IG 콘텐츠 data'!$U:$U,0),MATCH(K$3,'IG 콘텐츠 data'!$L$1:$S$1,0)),"")</f>
        <v>0</v>
      </c>
      <c r="L14" s="126">
        <f>IFERROR(INDEX('IG 콘텐츠 data'!$A$1:$AL$25,MATCH('IG 신규발행'!$A14,'IG 콘텐츠 data'!$U:$U,0),MATCH(L$3,'IG 콘텐츠 data'!$A$1:$S$1,0)),"")</f>
        <v>2</v>
      </c>
      <c r="M14" s="126">
        <f t="shared" si="2"/>
        <v>29</v>
      </c>
      <c r="N14" s="127">
        <f>IFERROR(M14/F14,"")</f>
        <v>3.6477987421383647E-2</v>
      </c>
      <c r="P14" s="48">
        <f t="shared" si="0"/>
        <v>10</v>
      </c>
      <c r="Q14" s="48">
        <f t="shared" si="1"/>
        <v>11</v>
      </c>
      <c r="S14">
        <f t="shared" si="3"/>
        <v>2</v>
      </c>
      <c r="U14" s="118"/>
    </row>
    <row r="15" spans="1:21" ht="17.45" customHeight="1">
      <c r="A15">
        <v>12</v>
      </c>
      <c r="B15" s="124" t="str">
        <f>IFERROR(INDEX('IG 콘텐츠 data'!T:T,MATCH('IG 신규발행'!A15,'IG 콘텐츠 data'!U:U,0)),"")</f>
        <v/>
      </c>
      <c r="C15" s="126" t="str">
        <f>IFERROR(IF(INDEX('IG 콘텐츠 data'!$A$1:$AL$25,MATCH('IG 신규발행'!$A15,'IG 콘텐츠 data'!$U:$U,0),MATCH(C$3,'IG 콘텐츠 data'!$A$1:$S$1,0))="IG 이미지","이미지",IF(INDEX('IG 콘텐츠 data'!$A$1:$AL$25,MATCH('IG 신규발행'!$A15,'IG 콘텐츠 data'!$U:$U,0),MATCH(C$3,'IG 콘텐츠 data'!$A$1:$S$1,0))="IG 슬라이드","슬라이드",IF(INDEX('IG 콘텐츠 data'!$A$1:$AL$25,MATCH('IG 신규발행'!$A15,'IG 콘텐츠 data'!$U:$U,0),MATCH(C$3,'IG 콘텐츠 data'!$A$1:$S$1,0))="Instagram 릴스","영상"))),"")</f>
        <v/>
      </c>
      <c r="D15" s="128" t="str">
        <f>IFERROR(IF(INDEX('IG 콘텐츠 data 제목 입력'!C:C,MATCH('IG 신규발행'!A15,'IG 콘텐츠 data 제목 입력'!A:A,0))=0,"",INDEX('IG 콘텐츠 data 제목 입력'!C:C,MATCH('IG 신규발행'!A15,'IG 콘텐츠 data 제목 입력'!A:A,0))),"")</f>
        <v/>
      </c>
      <c r="E15" s="126" t="str">
        <f>IFERROR(INDEX('IG 콘텐츠 data'!$A$1:$AL$25,MATCH('IG 신규발행'!$A15,'IG 콘텐츠 data'!$U:$U,0),MATCH(E$3,'IG 콘텐츠 data'!$A$1:$S$1,0)),"")</f>
        <v/>
      </c>
      <c r="F15" s="126" t="str">
        <f>IFERROR(INDEX('IG 콘텐츠 data'!$A$1:$AL$25,MATCH('IG 신규발행'!$A15,'IG 콘텐츠 data'!$U:$U,0),MATCH(F$3,'IG 콘텐츠 data'!$A$1:$S$1,0)),"")</f>
        <v/>
      </c>
      <c r="G15" s="126" t="str">
        <f>IFERROR(INDEX('IG 콘텐츠 data'!$A$1:$AL$25,MATCH('IG 신규발행'!$A15,'IG 콘텐츠 data'!$U:$U,0),MATCH(G$3,'IG 콘텐츠 data'!$A$1:$S$1,0)),"")</f>
        <v/>
      </c>
      <c r="H15" s="126" t="str">
        <f>IFERROR(INDEX('IG 콘텐츠 data'!$A$1:$AL$25,MATCH('IG 신규발행'!$A15,'IG 콘텐츠 data'!$U:$U,0),MATCH(H$3,'IG 콘텐츠 data'!$A$1:$S$1,0)),"")</f>
        <v/>
      </c>
      <c r="I15" s="126" t="str">
        <f>IFERROR(INDEX('IG 콘텐츠 data'!$A$1:$AL$25,MATCH('IG 신규발행'!$A15,'IG 콘텐츠 data'!$U:$U,0),MATCH(I$3,'IG 콘텐츠 data'!$A$1:$S$1,0)),"")</f>
        <v/>
      </c>
      <c r="J15" s="126" t="str">
        <f>IFERROR(INDEX('IG 콘텐츠 data'!$A$1:$AL$25,MATCH('IG 신규발행'!$A15,'IG 콘텐츠 data'!$U:$U,0),MATCH(J$3,'IG 콘텐츠 data'!$A$1:$S$1,0)),"")</f>
        <v/>
      </c>
      <c r="K15" s="126" t="str">
        <f>IFERROR(INDEX('IG 콘텐츠 data'!$L$1:$S$25,MATCH('IG 신규발행'!$A15,'IG 콘텐츠 data'!$U:$U,0),MATCH(K$3,'IG 콘텐츠 data'!$L$1:$S$1,0)),"")</f>
        <v/>
      </c>
      <c r="L15" s="126" t="str">
        <f>IFERROR(INDEX('IG 콘텐츠 data'!$A$1:$AL$25,MATCH('IG 신규발행'!$A15,'IG 콘텐츠 data'!$U:$U,0),MATCH(L$3,'IG 콘텐츠 data'!$A$1:$S$1,0)),"")</f>
        <v/>
      </c>
      <c r="M15" s="126" t="str">
        <f t="shared" si="2"/>
        <v/>
      </c>
      <c r="N15" s="127" t="str">
        <f>IFERROR(M15/F15,"")</f>
        <v/>
      </c>
      <c r="P15" s="48" t="str">
        <f t="shared" si="0"/>
        <v/>
      </c>
      <c r="Q15" s="48" t="str">
        <f t="shared" si="1"/>
        <v/>
      </c>
      <c r="S15" t="str">
        <f t="shared" si="3"/>
        <v/>
      </c>
      <c r="U15" s="118"/>
    </row>
    <row r="16" spans="1:21" ht="17.45" customHeight="1">
      <c r="A16">
        <v>13</v>
      </c>
      <c r="B16" s="124" t="str">
        <f>IFERROR(INDEX('IG 콘텐츠 data'!T:T,MATCH('IG 신규발행'!A16,'IG 콘텐츠 data'!U:U,0)),"")</f>
        <v/>
      </c>
      <c r="C16" s="126" t="str">
        <f>IFERROR(IF(INDEX('IG 콘텐츠 data'!$A$1:$AL$25,MATCH('IG 신규발행'!$A16,'IG 콘텐츠 data'!$U:$U,0),MATCH(C$3,'IG 콘텐츠 data'!$A$1:$S$1,0))="IG 이미지","이미지",IF(INDEX('IG 콘텐츠 data'!$A$1:$AL$25,MATCH('IG 신규발행'!$A16,'IG 콘텐츠 data'!$U:$U,0),MATCH(C$3,'IG 콘텐츠 data'!$A$1:$S$1,0))="IG 슬라이드","슬라이드",IF(INDEX('IG 콘텐츠 data'!$A$1:$AL$25,MATCH('IG 신규발행'!$A16,'IG 콘텐츠 data'!$U:$U,0),MATCH(C$3,'IG 콘텐츠 data'!$A$1:$S$1,0))="Instagram 릴스","영상"))),"")</f>
        <v/>
      </c>
      <c r="D16" s="128" t="str">
        <f>IFERROR(IF(INDEX('IG 콘텐츠 data 제목 입력'!C:C,MATCH('IG 신규발행'!A16,'IG 콘텐츠 data 제목 입력'!A:A,0))=0,"",INDEX('IG 콘텐츠 data 제목 입력'!C:C,MATCH('IG 신규발행'!A16,'IG 콘텐츠 data 제목 입력'!A:A,0))),"")</f>
        <v/>
      </c>
      <c r="E16" s="126" t="str">
        <f>IFERROR(INDEX('IG 콘텐츠 data'!$A$1:$AL$25,MATCH('IG 신규발행'!$A16,'IG 콘텐츠 data'!$U:$U,0),MATCH(E$3,'IG 콘텐츠 data'!$A$1:$S$1,0)),"")</f>
        <v/>
      </c>
      <c r="F16" s="126" t="str">
        <f>IFERROR(INDEX('IG 콘텐츠 data'!$A$1:$AL$25,MATCH('IG 신규발행'!$A16,'IG 콘텐츠 data'!$U:$U,0),MATCH(F$3,'IG 콘텐츠 data'!$A$1:$S$1,0)),"")</f>
        <v/>
      </c>
      <c r="G16" s="126" t="str">
        <f>IFERROR(INDEX('IG 콘텐츠 data'!$A$1:$AL$25,MATCH('IG 신규발행'!$A16,'IG 콘텐츠 data'!$U:$U,0),MATCH(G$3,'IG 콘텐츠 data'!$A$1:$S$1,0)),"")</f>
        <v/>
      </c>
      <c r="H16" s="126" t="str">
        <f>IFERROR(INDEX('IG 콘텐츠 data'!$A$1:$AL$25,MATCH('IG 신규발행'!$A16,'IG 콘텐츠 data'!$U:$U,0),MATCH(H$3,'IG 콘텐츠 data'!$A$1:$S$1,0)),"")</f>
        <v/>
      </c>
      <c r="I16" s="126" t="str">
        <f>IFERROR(INDEX('IG 콘텐츠 data'!$A$1:$AL$25,MATCH('IG 신규발행'!$A16,'IG 콘텐츠 data'!$U:$U,0),MATCH(I$3,'IG 콘텐츠 data'!$A$1:$S$1,0)),"")</f>
        <v/>
      </c>
      <c r="J16" s="126" t="str">
        <f>IFERROR(INDEX('IG 콘텐츠 data'!$A$1:$AL$25,MATCH('IG 신규발행'!$A16,'IG 콘텐츠 data'!$U:$U,0),MATCH(J$3,'IG 콘텐츠 data'!$A$1:$S$1,0)),"")</f>
        <v/>
      </c>
      <c r="K16" s="126" t="str">
        <f>IFERROR(INDEX('IG 콘텐츠 data'!$L$1:$S$25,MATCH('IG 신규발행'!$A16,'IG 콘텐츠 data'!$U:$U,0),MATCH(K$3,'IG 콘텐츠 data'!$L$1:$S$1,0)),"")</f>
        <v/>
      </c>
      <c r="L16" s="126" t="str">
        <f>IFERROR(INDEX('IG 콘텐츠 data'!$A$1:$AL$25,MATCH('IG 신규발행'!$A16,'IG 콘텐츠 data'!$U:$U,0),MATCH(L$3,'IG 콘텐츠 data'!$A$1:$S$1,0)),"")</f>
        <v/>
      </c>
      <c r="M16" s="126" t="str">
        <f t="shared" si="2"/>
        <v/>
      </c>
      <c r="N16" s="127" t="str">
        <f>IFERROR(M16/F16,"")</f>
        <v/>
      </c>
      <c r="P16" s="48" t="str">
        <f t="shared" si="0"/>
        <v/>
      </c>
      <c r="Q16" s="48" t="str">
        <f t="shared" si="1"/>
        <v/>
      </c>
      <c r="S16" t="str">
        <f t="shared" si="3"/>
        <v/>
      </c>
      <c r="U16" s="118"/>
    </row>
    <row r="17" spans="1:21" ht="17.45" customHeight="1">
      <c r="A17">
        <v>14</v>
      </c>
      <c r="B17" s="124" t="str">
        <f>IFERROR(INDEX('IG 콘텐츠 data'!T:T,MATCH('IG 신규발행'!A17,'IG 콘텐츠 data'!U:U,0)),"")</f>
        <v/>
      </c>
      <c r="C17" s="126" t="str">
        <f>IFERROR(IF(INDEX('IG 콘텐츠 data'!$A$1:$AL$25,MATCH('IG 신규발행'!$A17,'IG 콘텐츠 data'!$U:$U,0),MATCH(C$3,'IG 콘텐츠 data'!$A$1:$S$1,0))="IG 이미지","이미지",IF(INDEX('IG 콘텐츠 data'!$A$1:$AL$25,MATCH('IG 신규발행'!$A17,'IG 콘텐츠 data'!$U:$U,0),MATCH(C$3,'IG 콘텐츠 data'!$A$1:$S$1,0))="IG 슬라이드","슬라이드",IF(INDEX('IG 콘텐츠 data'!$A$1:$AL$25,MATCH('IG 신규발행'!$A17,'IG 콘텐츠 data'!$U:$U,0),MATCH(C$3,'IG 콘텐츠 data'!$A$1:$S$1,0))="Instagram 릴스","영상"))),"")</f>
        <v/>
      </c>
      <c r="D17" s="128" t="str">
        <f>IFERROR(IF(INDEX('IG 콘텐츠 data 제목 입력'!C:C,MATCH('IG 신규발행'!A17,'IG 콘텐츠 data 제목 입력'!A:A,0))=0,"",INDEX('IG 콘텐츠 data 제목 입력'!C:C,MATCH('IG 신규발행'!A17,'IG 콘텐츠 data 제목 입력'!A:A,0))),"")</f>
        <v/>
      </c>
      <c r="E17" s="126" t="str">
        <f>IFERROR(INDEX('IG 콘텐츠 data'!$A$1:$AL$25,MATCH('IG 신규발행'!$A17,'IG 콘텐츠 data'!$U:$U,0),MATCH(E$3,'IG 콘텐츠 data'!$A$1:$S$1,0)),"")</f>
        <v/>
      </c>
      <c r="F17" s="126" t="str">
        <f>IFERROR(INDEX('IG 콘텐츠 data'!$A$1:$AL$25,MATCH('IG 신규발행'!$A17,'IG 콘텐츠 data'!$U:$U,0),MATCH(F$3,'IG 콘텐츠 data'!$A$1:$S$1,0)),"")</f>
        <v/>
      </c>
      <c r="G17" s="126" t="str">
        <f>IFERROR(INDEX('IG 콘텐츠 data'!$A$1:$AL$25,MATCH('IG 신규발행'!$A17,'IG 콘텐츠 data'!$U:$U,0),MATCH(G$3,'IG 콘텐츠 data'!$A$1:$S$1,0)),"")</f>
        <v/>
      </c>
      <c r="H17" s="126" t="str">
        <f>IFERROR(INDEX('IG 콘텐츠 data'!$A$1:$AL$25,MATCH('IG 신규발행'!$A17,'IG 콘텐츠 data'!$U:$U,0),MATCH(H$3,'IG 콘텐츠 data'!$A$1:$S$1,0)),"")</f>
        <v/>
      </c>
      <c r="I17" s="126" t="str">
        <f>IFERROR(INDEX('IG 콘텐츠 data'!$A$1:$AL$25,MATCH('IG 신규발행'!$A17,'IG 콘텐츠 data'!$U:$U,0),MATCH(I$3,'IG 콘텐츠 data'!$A$1:$S$1,0)),"")</f>
        <v/>
      </c>
      <c r="J17" s="126" t="str">
        <f>IFERROR(INDEX('IG 콘텐츠 data'!$A$1:$AL$25,MATCH('IG 신규발행'!$A17,'IG 콘텐츠 data'!$U:$U,0),MATCH(J$3,'IG 콘텐츠 data'!$A$1:$S$1,0)),"")</f>
        <v/>
      </c>
      <c r="K17" s="126" t="str">
        <f>IFERROR(INDEX('IG 콘텐츠 data'!$L$1:$S$25,MATCH('IG 신규발행'!$A17,'IG 콘텐츠 data'!$U:$U,0),MATCH(K$3,'IG 콘텐츠 data'!$L$1:$S$1,0)),"")</f>
        <v/>
      </c>
      <c r="L17" s="126" t="str">
        <f>IFERROR(INDEX('IG 콘텐츠 data'!$A$1:$AL$25,MATCH('IG 신규발행'!$A17,'IG 콘텐츠 data'!$U:$U,0),MATCH(L$3,'IG 콘텐츠 data'!$A$1:$S$1,0)),"")</f>
        <v/>
      </c>
      <c r="M17" s="126" t="str">
        <f t="shared" si="2"/>
        <v/>
      </c>
      <c r="N17" s="127" t="str">
        <f>IFERROR(M17/F17,"")</f>
        <v/>
      </c>
      <c r="P17" s="48" t="str">
        <f t="shared" si="0"/>
        <v/>
      </c>
      <c r="Q17" s="48" t="str">
        <f t="shared" si="1"/>
        <v/>
      </c>
      <c r="S17" t="str">
        <f t="shared" si="3"/>
        <v/>
      </c>
      <c r="U17" s="118"/>
    </row>
    <row r="18" spans="1:21" ht="17.45" customHeight="1">
      <c r="A18">
        <v>15</v>
      </c>
      <c r="B18" s="124" t="str">
        <f>IFERROR(INDEX('IG 콘텐츠 data'!T:T,MATCH('IG 신규발행'!A18,'IG 콘텐츠 data'!U:U,0)),"")</f>
        <v/>
      </c>
      <c r="C18" s="126" t="str">
        <f>IFERROR(IF(INDEX('IG 콘텐츠 data'!$A$1:$AL$25,MATCH('IG 신규발행'!$A18,'IG 콘텐츠 data'!$U:$U,0),MATCH(C$3,'IG 콘텐츠 data'!$A$1:$S$1,0))="IG 이미지","이미지",IF(INDEX('IG 콘텐츠 data'!$A$1:$AL$25,MATCH('IG 신규발행'!$A18,'IG 콘텐츠 data'!$U:$U,0),MATCH(C$3,'IG 콘텐츠 data'!$A$1:$S$1,0))="IG 슬라이드","슬라이드",IF(INDEX('IG 콘텐츠 data'!$A$1:$AL$25,MATCH('IG 신규발행'!$A18,'IG 콘텐츠 data'!$U:$U,0),MATCH(C$3,'IG 콘텐츠 data'!$A$1:$S$1,0))="Instagram 릴스","영상"))),"")</f>
        <v/>
      </c>
      <c r="D18" s="128" t="str">
        <f>IFERROR(IF(INDEX('IG 콘텐츠 data 제목 입력'!C:C,MATCH('IG 신규발행'!A18,'IG 콘텐츠 data 제목 입력'!A:A,0))=0,"",INDEX('IG 콘텐츠 data 제목 입력'!C:C,MATCH('IG 신규발행'!A18,'IG 콘텐츠 data 제목 입력'!A:A,0))),"")</f>
        <v/>
      </c>
      <c r="E18" s="126" t="str">
        <f>IFERROR(INDEX('IG 콘텐츠 data'!$A$1:$AL$25,MATCH('IG 신규발행'!$A18,'IG 콘텐츠 data'!$U:$U,0),MATCH(E$3,'IG 콘텐츠 data'!$A$1:$S$1,0)),"")</f>
        <v/>
      </c>
      <c r="F18" s="126" t="str">
        <f>IFERROR(INDEX('IG 콘텐츠 data'!$A$1:$AL$25,MATCH('IG 신규발행'!$A18,'IG 콘텐츠 data'!$U:$U,0),MATCH(F$3,'IG 콘텐츠 data'!$A$1:$S$1,0)),"")</f>
        <v/>
      </c>
      <c r="G18" s="126" t="str">
        <f>IFERROR(INDEX('IG 콘텐츠 data'!$A$1:$AL$25,MATCH('IG 신규발행'!$A18,'IG 콘텐츠 data'!$U:$U,0),MATCH(G$3,'IG 콘텐츠 data'!$A$1:$S$1,0)),"")</f>
        <v/>
      </c>
      <c r="H18" s="126" t="str">
        <f>IFERROR(INDEX('IG 콘텐츠 data'!$A$1:$AL$25,MATCH('IG 신규발행'!$A18,'IG 콘텐츠 data'!$U:$U,0),MATCH(H$3,'IG 콘텐츠 data'!$A$1:$S$1,0)),"")</f>
        <v/>
      </c>
      <c r="I18" s="126" t="str">
        <f>IFERROR(INDEX('IG 콘텐츠 data'!$A$1:$AL$25,MATCH('IG 신규발행'!$A18,'IG 콘텐츠 data'!$U:$U,0),MATCH(I$3,'IG 콘텐츠 data'!$A$1:$S$1,0)),"")</f>
        <v/>
      </c>
      <c r="J18" s="126" t="str">
        <f>IFERROR(INDEX('IG 콘텐츠 data'!$A$1:$AL$25,MATCH('IG 신규발행'!$A18,'IG 콘텐츠 data'!$U:$U,0),MATCH(J$3,'IG 콘텐츠 data'!$A$1:$S$1,0)),"")</f>
        <v/>
      </c>
      <c r="K18" s="126" t="str">
        <f>IFERROR(INDEX('IG 콘텐츠 data'!$L$1:$S$25,MATCH('IG 신규발행'!$A18,'IG 콘텐츠 data'!$U:$U,0),MATCH(K$3,'IG 콘텐츠 data'!$L$1:$S$1,0)),"")</f>
        <v/>
      </c>
      <c r="L18" s="126" t="str">
        <f>IFERROR(INDEX('IG 콘텐츠 data'!$A$1:$AL$25,MATCH('IG 신규발행'!$A18,'IG 콘텐츠 data'!$U:$U,0),MATCH(L$3,'IG 콘텐츠 data'!$A$1:$S$1,0)),"")</f>
        <v/>
      </c>
      <c r="M18" s="126" t="str">
        <f t="shared" si="2"/>
        <v/>
      </c>
      <c r="N18" s="127" t="str">
        <f>IFERROR(M18/F18,"")</f>
        <v/>
      </c>
      <c r="P18" s="48" t="str">
        <f t="shared" si="0"/>
        <v/>
      </c>
      <c r="Q18" s="48" t="str">
        <f t="shared" si="1"/>
        <v/>
      </c>
      <c r="S18" t="str">
        <f t="shared" si="3"/>
        <v/>
      </c>
      <c r="U18" s="118"/>
    </row>
    <row r="19" spans="1:21" ht="17.45" customHeight="1">
      <c r="A19">
        <v>16</v>
      </c>
      <c r="B19" s="124" t="str">
        <f>IFERROR(INDEX('IG 콘텐츠 data'!T:T,MATCH('IG 신규발행'!A19,'IG 콘텐츠 data'!U:U,0)),"")</f>
        <v/>
      </c>
      <c r="C19" s="126" t="str">
        <f>IFERROR(IF(INDEX('IG 콘텐츠 data'!$A$1:$AL$25,MATCH('IG 신규발행'!$A19,'IG 콘텐츠 data'!$U:$U,0),MATCH(C$3,'IG 콘텐츠 data'!$A$1:$S$1,0))="IG 이미지","이미지",IF(INDEX('IG 콘텐츠 data'!$A$1:$AL$25,MATCH('IG 신규발행'!$A19,'IG 콘텐츠 data'!$U:$U,0),MATCH(C$3,'IG 콘텐츠 data'!$A$1:$S$1,0))="IG 슬라이드","슬라이드",IF(INDEX('IG 콘텐츠 data'!$A$1:$AL$25,MATCH('IG 신규발행'!$A19,'IG 콘텐츠 data'!$U:$U,0),MATCH(C$3,'IG 콘텐츠 data'!$A$1:$S$1,0))="Instagram 릴스","영상"))),"")</f>
        <v/>
      </c>
      <c r="D19" s="128" t="str">
        <f>IFERROR(IF(INDEX('IG 콘텐츠 data 제목 입력'!C:C,MATCH('IG 신규발행'!A19,'IG 콘텐츠 data 제목 입력'!A:A,0))=0,"",INDEX('IG 콘텐츠 data 제목 입력'!C:C,MATCH('IG 신규발행'!A19,'IG 콘텐츠 data 제목 입력'!A:A,0))),"")</f>
        <v/>
      </c>
      <c r="E19" s="126" t="str">
        <f>IFERROR(INDEX('IG 콘텐츠 data'!$A$1:$AL$25,MATCH('IG 신규발행'!$A19,'IG 콘텐츠 data'!$U:$U,0),MATCH(E$3,'IG 콘텐츠 data'!$A$1:$S$1,0)),"")</f>
        <v/>
      </c>
      <c r="F19" s="126" t="str">
        <f>IFERROR(INDEX('IG 콘텐츠 data'!$A$1:$AL$25,MATCH('IG 신규발행'!$A19,'IG 콘텐츠 data'!$U:$U,0),MATCH(F$3,'IG 콘텐츠 data'!$A$1:$S$1,0)),"")</f>
        <v/>
      </c>
      <c r="G19" s="126" t="str">
        <f>IFERROR(INDEX('IG 콘텐츠 data'!$A$1:$AL$25,MATCH('IG 신규발행'!$A19,'IG 콘텐츠 data'!$U:$U,0),MATCH(G$3,'IG 콘텐츠 data'!$A$1:$S$1,0)),"")</f>
        <v/>
      </c>
      <c r="H19" s="126" t="str">
        <f>IFERROR(INDEX('IG 콘텐츠 data'!$A$1:$AL$25,MATCH('IG 신규발행'!$A19,'IG 콘텐츠 data'!$U:$U,0),MATCH(H$3,'IG 콘텐츠 data'!$A$1:$S$1,0)),"")</f>
        <v/>
      </c>
      <c r="I19" s="126" t="str">
        <f>IFERROR(INDEX('IG 콘텐츠 data'!$A$1:$AL$25,MATCH('IG 신규발행'!$A19,'IG 콘텐츠 data'!$U:$U,0),MATCH(I$3,'IG 콘텐츠 data'!$A$1:$S$1,0)),"")</f>
        <v/>
      </c>
      <c r="J19" s="126" t="str">
        <f>IFERROR(INDEX('IG 콘텐츠 data'!$A$1:$AL$25,MATCH('IG 신규발행'!$A19,'IG 콘텐츠 data'!$U:$U,0),MATCH(J$3,'IG 콘텐츠 data'!$A$1:$S$1,0)),"")</f>
        <v/>
      </c>
      <c r="K19" s="126" t="str">
        <f>IFERROR(INDEX('IG 콘텐츠 data'!$L$1:$S$25,MATCH('IG 신규발행'!$A19,'IG 콘텐츠 data'!$U:$U,0),MATCH(K$3,'IG 콘텐츠 data'!$L$1:$S$1,0)),"")</f>
        <v/>
      </c>
      <c r="L19" s="126" t="str">
        <f>IFERROR(INDEX('IG 콘텐츠 data'!$A$1:$AL$25,MATCH('IG 신규발행'!$A19,'IG 콘텐츠 data'!$U:$U,0),MATCH(L$3,'IG 콘텐츠 data'!$A$1:$S$1,0)),"")</f>
        <v/>
      </c>
      <c r="M19" s="126" t="str">
        <f t="shared" si="2"/>
        <v/>
      </c>
      <c r="N19" s="127" t="str">
        <f>IFERROR(M19/F19,"")</f>
        <v/>
      </c>
      <c r="P19" s="48" t="str">
        <f t="shared" si="0"/>
        <v/>
      </c>
      <c r="Q19" s="48" t="str">
        <f t="shared" si="1"/>
        <v/>
      </c>
      <c r="S19" t="str">
        <f t="shared" si="3"/>
        <v/>
      </c>
      <c r="U19" s="118"/>
    </row>
    <row r="20" spans="1:21" ht="17.45" customHeight="1">
      <c r="A20">
        <v>17</v>
      </c>
      <c r="B20" s="124" t="str">
        <f>IFERROR(INDEX('IG 콘텐츠 data'!T:T,MATCH('IG 신규발행'!A20,'IG 콘텐츠 data'!U:U,0)),"")</f>
        <v/>
      </c>
      <c r="C20" s="126" t="str">
        <f>IFERROR(IF(INDEX('IG 콘텐츠 data'!$A$1:$AL$25,MATCH('IG 신규발행'!$A20,'IG 콘텐츠 data'!$U:$U,0),MATCH(C$3,'IG 콘텐츠 data'!$A$1:$S$1,0))="IG 이미지","이미지",IF(INDEX('IG 콘텐츠 data'!$A$1:$AL$25,MATCH('IG 신규발행'!$A20,'IG 콘텐츠 data'!$U:$U,0),MATCH(C$3,'IG 콘텐츠 data'!$A$1:$S$1,0))="IG 슬라이드","슬라이드",IF(INDEX('IG 콘텐츠 data'!$A$1:$AL$25,MATCH('IG 신규발행'!$A20,'IG 콘텐츠 data'!$U:$U,0),MATCH(C$3,'IG 콘텐츠 data'!$A$1:$S$1,0))="Instagram 릴스","영상"))),"")</f>
        <v/>
      </c>
      <c r="D20" s="128" t="str">
        <f>IFERROR(IF(INDEX('IG 콘텐츠 data 제목 입력'!C:C,MATCH('IG 신규발행'!A20,'IG 콘텐츠 data 제목 입력'!A:A,0))=0,"",INDEX('IG 콘텐츠 data 제목 입력'!C:C,MATCH('IG 신규발행'!A20,'IG 콘텐츠 data 제목 입력'!A:A,0))),"")</f>
        <v/>
      </c>
      <c r="E20" s="126" t="str">
        <f>IFERROR(INDEX('IG 콘텐츠 data'!$A$1:$AL$25,MATCH('IG 신규발행'!$A20,'IG 콘텐츠 data'!$U:$U,0),MATCH(E$3,'IG 콘텐츠 data'!$A$1:$S$1,0)),"")</f>
        <v/>
      </c>
      <c r="F20" s="126" t="str">
        <f>IFERROR(INDEX('IG 콘텐츠 data'!$A$1:$AL$25,MATCH('IG 신규발행'!$A20,'IG 콘텐츠 data'!$U:$U,0),MATCH(F$3,'IG 콘텐츠 data'!$A$1:$S$1,0)),"")</f>
        <v/>
      </c>
      <c r="G20" s="126" t="str">
        <f>IFERROR(INDEX('IG 콘텐츠 data'!$A$1:$AL$25,MATCH('IG 신규발행'!$A20,'IG 콘텐츠 data'!$U:$U,0),MATCH(G$3,'IG 콘텐츠 data'!$A$1:$S$1,0)),"")</f>
        <v/>
      </c>
      <c r="H20" s="126" t="str">
        <f>IFERROR(INDEX('IG 콘텐츠 data'!$A$1:$AL$25,MATCH('IG 신규발행'!$A20,'IG 콘텐츠 data'!$U:$U,0),MATCH(H$3,'IG 콘텐츠 data'!$A$1:$S$1,0)),"")</f>
        <v/>
      </c>
      <c r="I20" s="126" t="str">
        <f>IFERROR(INDEX('IG 콘텐츠 data'!$A$1:$AL$25,MATCH('IG 신규발행'!$A20,'IG 콘텐츠 data'!$U:$U,0),MATCH(I$3,'IG 콘텐츠 data'!$A$1:$S$1,0)),"")</f>
        <v/>
      </c>
      <c r="J20" s="126" t="str">
        <f>IFERROR(INDEX('IG 콘텐츠 data'!$A$1:$AL$25,MATCH('IG 신규발행'!$A20,'IG 콘텐츠 data'!$U:$U,0),MATCH(J$3,'IG 콘텐츠 data'!$A$1:$S$1,0)),"")</f>
        <v/>
      </c>
      <c r="K20" s="126" t="str">
        <f>IFERROR(INDEX('IG 콘텐츠 data'!$L$1:$S$25,MATCH('IG 신규발행'!$A20,'IG 콘텐츠 data'!$U:$U,0),MATCH(K$3,'IG 콘텐츠 data'!$L$1:$S$1,0)),"")</f>
        <v/>
      </c>
      <c r="L20" s="126" t="str">
        <f>IFERROR(INDEX('IG 콘텐츠 data'!$A$1:$AL$25,MATCH('IG 신규발행'!$A20,'IG 콘텐츠 data'!$U:$U,0),MATCH(L$3,'IG 콘텐츠 data'!$A$1:$S$1,0)),"")</f>
        <v/>
      </c>
      <c r="M20" s="126" t="str">
        <f t="shared" si="2"/>
        <v/>
      </c>
      <c r="N20" s="127" t="str">
        <f>IFERROR(M20/F20,"")</f>
        <v/>
      </c>
      <c r="P20" s="48" t="str">
        <f t="shared" si="0"/>
        <v/>
      </c>
      <c r="Q20" s="48" t="str">
        <f t="shared" si="1"/>
        <v/>
      </c>
      <c r="S20" t="str">
        <f t="shared" si="3"/>
        <v/>
      </c>
      <c r="U20" s="118"/>
    </row>
    <row r="21" spans="1:21" ht="17.45" customHeight="1">
      <c r="A21">
        <v>18</v>
      </c>
      <c r="B21" s="124" t="str">
        <f>IFERROR(INDEX('IG 콘텐츠 data'!T:T,MATCH('IG 신규발행'!A21,'IG 콘텐츠 data'!U:U,0)),"")</f>
        <v/>
      </c>
      <c r="C21" s="126" t="str">
        <f>IFERROR(IF(INDEX('IG 콘텐츠 data'!$A$1:$AL$25,MATCH('IG 신규발행'!$A21,'IG 콘텐츠 data'!$U:$U,0),MATCH(C$3,'IG 콘텐츠 data'!$A$1:$S$1,0))="IG 이미지","이미지",IF(INDEX('IG 콘텐츠 data'!$A$1:$AL$25,MATCH('IG 신규발행'!$A21,'IG 콘텐츠 data'!$U:$U,0),MATCH(C$3,'IG 콘텐츠 data'!$A$1:$S$1,0))="IG 슬라이드","슬라이드",IF(INDEX('IG 콘텐츠 data'!$A$1:$AL$25,MATCH('IG 신규발행'!$A21,'IG 콘텐츠 data'!$U:$U,0),MATCH(C$3,'IG 콘텐츠 data'!$A$1:$S$1,0))="Instagram 릴스","영상"))),"")</f>
        <v/>
      </c>
      <c r="D21" s="128" t="str">
        <f>IFERROR(IF(INDEX('IG 콘텐츠 data 제목 입력'!C:C,MATCH('IG 신규발행'!A21,'IG 콘텐츠 data 제목 입력'!A:A,0))=0,"",INDEX('IG 콘텐츠 data 제목 입력'!C:C,MATCH('IG 신규발행'!A21,'IG 콘텐츠 data 제목 입력'!A:A,0))),"")</f>
        <v/>
      </c>
      <c r="E21" s="126" t="str">
        <f>IFERROR(INDEX('IG 콘텐츠 data'!$A$1:$AL$25,MATCH('IG 신규발행'!$A21,'IG 콘텐츠 data'!$U:$U,0),MATCH(E$3,'IG 콘텐츠 data'!$A$1:$S$1,0)),"")</f>
        <v/>
      </c>
      <c r="F21" s="126" t="str">
        <f>IFERROR(INDEX('IG 콘텐츠 data'!$A$1:$AL$25,MATCH('IG 신규발행'!$A21,'IG 콘텐츠 data'!$U:$U,0),MATCH(F$3,'IG 콘텐츠 data'!$A$1:$S$1,0)),"")</f>
        <v/>
      </c>
      <c r="G21" s="126" t="str">
        <f>IFERROR(INDEX('IG 콘텐츠 data'!$A$1:$AL$25,MATCH('IG 신규발행'!$A21,'IG 콘텐츠 data'!$U:$U,0),MATCH(G$3,'IG 콘텐츠 data'!$A$1:$S$1,0)),"")</f>
        <v/>
      </c>
      <c r="H21" s="126" t="str">
        <f>IFERROR(INDEX('IG 콘텐츠 data'!$A$1:$AL$25,MATCH('IG 신규발행'!$A21,'IG 콘텐츠 data'!$U:$U,0),MATCH(H$3,'IG 콘텐츠 data'!$A$1:$S$1,0)),"")</f>
        <v/>
      </c>
      <c r="I21" s="126" t="str">
        <f>IFERROR(INDEX('IG 콘텐츠 data'!$A$1:$AL$25,MATCH('IG 신규발행'!$A21,'IG 콘텐츠 data'!$U:$U,0),MATCH(I$3,'IG 콘텐츠 data'!$A$1:$S$1,0)),"")</f>
        <v/>
      </c>
      <c r="J21" s="126" t="str">
        <f>IFERROR(INDEX('IG 콘텐츠 data'!$A$1:$AL$25,MATCH('IG 신규발행'!$A21,'IG 콘텐츠 data'!$U:$U,0),MATCH(J$3,'IG 콘텐츠 data'!$A$1:$S$1,0)),"")</f>
        <v/>
      </c>
      <c r="K21" s="126" t="str">
        <f>IFERROR(INDEX('IG 콘텐츠 data'!$L$1:$S$25,MATCH('IG 신규발행'!$A21,'IG 콘텐츠 data'!$U:$U,0),MATCH(K$3,'IG 콘텐츠 data'!$L$1:$S$1,0)),"")</f>
        <v/>
      </c>
      <c r="L21" s="126" t="str">
        <f>IFERROR(INDEX('IG 콘텐츠 data'!$A$1:$AL$25,MATCH('IG 신규발행'!$A21,'IG 콘텐츠 data'!$U:$U,0),MATCH(L$3,'IG 콘텐츠 data'!$A$1:$S$1,0)),"")</f>
        <v/>
      </c>
      <c r="M21" s="126" t="str">
        <f t="shared" si="2"/>
        <v/>
      </c>
      <c r="N21" s="127" t="str">
        <f>IFERROR(M21/F21,"")</f>
        <v/>
      </c>
      <c r="P21" s="48" t="str">
        <f t="shared" si="0"/>
        <v/>
      </c>
      <c r="Q21" s="48" t="str">
        <f t="shared" si="1"/>
        <v/>
      </c>
      <c r="S21" t="str">
        <f t="shared" si="3"/>
        <v/>
      </c>
      <c r="U21" s="118"/>
    </row>
    <row r="22" spans="1:21" ht="17.45" customHeight="1">
      <c r="A22">
        <v>19</v>
      </c>
      <c r="B22" s="124" t="str">
        <f>IFERROR(INDEX('IG 콘텐츠 data'!T:T,MATCH('IG 신규발행'!A22,'IG 콘텐츠 data'!U:U,0)),"")</f>
        <v/>
      </c>
      <c r="C22" s="126" t="str">
        <f>IFERROR(IF(INDEX('IG 콘텐츠 data'!$A$1:$AL$25,MATCH('IG 신규발행'!$A22,'IG 콘텐츠 data'!$U:$U,0),MATCH(C$3,'IG 콘텐츠 data'!$A$1:$S$1,0))="IG 이미지","이미지",IF(INDEX('IG 콘텐츠 data'!$A$1:$AL$25,MATCH('IG 신규발행'!$A22,'IG 콘텐츠 data'!$U:$U,0),MATCH(C$3,'IG 콘텐츠 data'!$A$1:$S$1,0))="IG 슬라이드","슬라이드",IF(INDEX('IG 콘텐츠 data'!$A$1:$AL$25,MATCH('IG 신규발행'!$A22,'IG 콘텐츠 data'!$U:$U,0),MATCH(C$3,'IG 콘텐츠 data'!$A$1:$S$1,0))="Instagram 릴스","영상"))),"")</f>
        <v/>
      </c>
      <c r="D22" s="128" t="str">
        <f>IFERROR(IF(INDEX('IG 콘텐츠 data 제목 입력'!C:C,MATCH('IG 신규발행'!A22,'IG 콘텐츠 data 제목 입력'!A:A,0))=0,"",INDEX('IG 콘텐츠 data 제목 입력'!C:C,MATCH('IG 신규발행'!A22,'IG 콘텐츠 data 제목 입력'!A:A,0))),"")</f>
        <v/>
      </c>
      <c r="E22" s="126" t="str">
        <f>IFERROR(INDEX('IG 콘텐츠 data'!$A$1:$AL$25,MATCH('IG 신규발행'!$A22,'IG 콘텐츠 data'!$U:$U,0),MATCH(E$3,'IG 콘텐츠 data'!$A$1:$S$1,0)),"")</f>
        <v/>
      </c>
      <c r="F22" s="126" t="str">
        <f>IFERROR(INDEX('IG 콘텐츠 data'!$A$1:$AL$25,MATCH('IG 신규발행'!$A22,'IG 콘텐츠 data'!$U:$U,0),MATCH(F$3,'IG 콘텐츠 data'!$A$1:$S$1,0)),"")</f>
        <v/>
      </c>
      <c r="G22" s="126" t="str">
        <f>IFERROR(INDEX('IG 콘텐츠 data'!$A$1:$AL$25,MATCH('IG 신규발행'!$A22,'IG 콘텐츠 data'!$U:$U,0),MATCH(G$3,'IG 콘텐츠 data'!$A$1:$S$1,0)),"")</f>
        <v/>
      </c>
      <c r="H22" s="126" t="str">
        <f>IFERROR(INDEX('IG 콘텐츠 data'!$A$1:$AL$25,MATCH('IG 신규발행'!$A22,'IG 콘텐츠 data'!$U:$U,0),MATCH(H$3,'IG 콘텐츠 data'!$A$1:$S$1,0)),"")</f>
        <v/>
      </c>
      <c r="I22" s="126" t="str">
        <f>IFERROR(INDEX('IG 콘텐츠 data'!$A$1:$AL$25,MATCH('IG 신규발행'!$A22,'IG 콘텐츠 data'!$U:$U,0),MATCH(I$3,'IG 콘텐츠 data'!$A$1:$S$1,0)),"")</f>
        <v/>
      </c>
      <c r="J22" s="126" t="str">
        <f>IFERROR(INDEX('IG 콘텐츠 data'!$A$1:$AL$25,MATCH('IG 신규발행'!$A22,'IG 콘텐츠 data'!$U:$U,0),MATCH(J$3,'IG 콘텐츠 data'!$A$1:$S$1,0)),"")</f>
        <v/>
      </c>
      <c r="K22" s="126" t="str">
        <f>IFERROR(INDEX('IG 콘텐츠 data'!$L$1:$S$25,MATCH('IG 신규발행'!$A22,'IG 콘텐츠 data'!$U:$U,0),MATCH(K$3,'IG 콘텐츠 data'!$L$1:$S$1,0)),"")</f>
        <v/>
      </c>
      <c r="L22" s="126" t="str">
        <f>IFERROR(INDEX('IG 콘텐츠 data'!$A$1:$AL$25,MATCH('IG 신규발행'!$A22,'IG 콘텐츠 data'!$U:$U,0),MATCH(L$3,'IG 콘텐츠 data'!$A$1:$S$1,0)),"")</f>
        <v/>
      </c>
      <c r="M22" s="126" t="str">
        <f t="shared" si="2"/>
        <v/>
      </c>
      <c r="N22" s="127" t="str">
        <f>IFERROR(M22/F22,"")</f>
        <v/>
      </c>
      <c r="P22" s="48" t="str">
        <f t="shared" si="0"/>
        <v/>
      </c>
      <c r="Q22" s="48" t="str">
        <f t="shared" si="1"/>
        <v/>
      </c>
      <c r="S22" t="str">
        <f t="shared" si="3"/>
        <v/>
      </c>
      <c r="U22" s="118"/>
    </row>
    <row r="23" spans="1:21" ht="17.45" customHeight="1">
      <c r="A23">
        <v>20</v>
      </c>
      <c r="B23" s="124" t="str">
        <f>IFERROR(INDEX('IG 콘텐츠 data'!T:T,MATCH('IG 신규발행'!A23,'IG 콘텐츠 data'!U:U,0)),"")</f>
        <v/>
      </c>
      <c r="C23" s="126" t="str">
        <f>IFERROR(IF(INDEX('IG 콘텐츠 data'!$A$1:$AL$25,MATCH('IG 신규발행'!$A23,'IG 콘텐츠 data'!$U:$U,0),MATCH(C$3,'IG 콘텐츠 data'!$A$1:$S$1,0))="IG 이미지","이미지",IF(INDEX('IG 콘텐츠 data'!$A$1:$AL$25,MATCH('IG 신규발행'!$A23,'IG 콘텐츠 data'!$U:$U,0),MATCH(C$3,'IG 콘텐츠 data'!$A$1:$S$1,0))="IG 슬라이드","슬라이드",IF(INDEX('IG 콘텐츠 data'!$A$1:$AL$25,MATCH('IG 신규발행'!$A23,'IG 콘텐츠 data'!$U:$U,0),MATCH(C$3,'IG 콘텐츠 data'!$A$1:$S$1,0))="Instagram 릴스","영상"))),"")</f>
        <v/>
      </c>
      <c r="D23" s="128" t="str">
        <f>IFERROR(IF(INDEX('IG 콘텐츠 data 제목 입력'!C:C,MATCH('IG 신규발행'!A23,'IG 콘텐츠 data 제목 입력'!A:A,0))=0,"",INDEX('IG 콘텐츠 data 제목 입력'!C:C,MATCH('IG 신규발행'!A23,'IG 콘텐츠 data 제목 입력'!A:A,0))),"")</f>
        <v/>
      </c>
      <c r="E23" s="126" t="str">
        <f>IFERROR(INDEX('IG 콘텐츠 data'!$A$1:$AL$25,MATCH('IG 신규발행'!$A23,'IG 콘텐츠 data'!$U:$U,0),MATCH(E$3,'IG 콘텐츠 data'!$A$1:$S$1,0)),"")</f>
        <v/>
      </c>
      <c r="F23" s="126" t="str">
        <f>IFERROR(INDEX('IG 콘텐츠 data'!$A$1:$AL$25,MATCH('IG 신규발행'!$A23,'IG 콘텐츠 data'!$U:$U,0),MATCH(F$3,'IG 콘텐츠 data'!$A$1:$S$1,0)),"")</f>
        <v/>
      </c>
      <c r="G23" s="126" t="str">
        <f>IFERROR(INDEX('IG 콘텐츠 data'!$A$1:$AL$25,MATCH('IG 신규발행'!$A23,'IG 콘텐츠 data'!$U:$U,0),MATCH(G$3,'IG 콘텐츠 data'!$A$1:$S$1,0)),"")</f>
        <v/>
      </c>
      <c r="H23" s="126" t="str">
        <f>IFERROR(INDEX('IG 콘텐츠 data'!$A$1:$AL$25,MATCH('IG 신규발행'!$A23,'IG 콘텐츠 data'!$U:$U,0),MATCH(H$3,'IG 콘텐츠 data'!$A$1:$S$1,0)),"")</f>
        <v/>
      </c>
      <c r="I23" s="126" t="str">
        <f>IFERROR(INDEX('IG 콘텐츠 data'!$A$1:$AL$25,MATCH('IG 신규발행'!$A23,'IG 콘텐츠 data'!$U:$U,0),MATCH(I$3,'IG 콘텐츠 data'!$A$1:$S$1,0)),"")</f>
        <v/>
      </c>
      <c r="J23" s="126" t="str">
        <f>IFERROR(INDEX('IG 콘텐츠 data'!$A$1:$AL$25,MATCH('IG 신규발행'!$A23,'IG 콘텐츠 data'!$U:$U,0),MATCH(J$3,'IG 콘텐츠 data'!$A$1:$S$1,0)),"")</f>
        <v/>
      </c>
      <c r="K23" s="126" t="str">
        <f>IFERROR(INDEX('IG 콘텐츠 data'!$L$1:$S$25,MATCH('IG 신규발행'!$A23,'IG 콘텐츠 data'!$U:$U,0),MATCH(K$3,'IG 콘텐츠 data'!$L$1:$S$1,0)),"")</f>
        <v/>
      </c>
      <c r="L23" s="126" t="str">
        <f>IFERROR(INDEX('IG 콘텐츠 data'!$A$1:$AL$25,MATCH('IG 신규발행'!$A23,'IG 콘텐츠 data'!$U:$U,0),MATCH(L$3,'IG 콘텐츠 data'!$A$1:$S$1,0)),"")</f>
        <v/>
      </c>
      <c r="M23" s="126" t="str">
        <f t="shared" si="2"/>
        <v/>
      </c>
      <c r="N23" s="127" t="str">
        <f>IFERROR(M23/F23,"")</f>
        <v/>
      </c>
      <c r="P23" s="48" t="str">
        <f t="shared" si="0"/>
        <v/>
      </c>
      <c r="Q23" s="48" t="str">
        <f t="shared" si="1"/>
        <v/>
      </c>
      <c r="S23" t="str">
        <f t="shared" si="3"/>
        <v/>
      </c>
      <c r="U23" s="118"/>
    </row>
    <row r="24" spans="1:21" ht="17.45" customHeight="1">
      <c r="A24">
        <v>21</v>
      </c>
      <c r="B24" s="124" t="str">
        <f>IFERROR(INDEX('IG 콘텐츠 data'!T:T,MATCH('IG 신규발행'!A24,'IG 콘텐츠 data'!U:U,0)),"")</f>
        <v/>
      </c>
      <c r="C24" s="126" t="str">
        <f>IFERROR(IF(INDEX('IG 콘텐츠 data'!$A$1:$AL$25,MATCH('IG 신규발행'!$A24,'IG 콘텐츠 data'!$U:$U,0),MATCH(C$3,'IG 콘텐츠 data'!$A$1:$S$1,0))="IG 이미지","이미지",IF(INDEX('IG 콘텐츠 data'!$A$1:$AL$25,MATCH('IG 신규발행'!$A24,'IG 콘텐츠 data'!$U:$U,0),MATCH(C$3,'IG 콘텐츠 data'!$A$1:$S$1,0))="IG 슬라이드","슬라이드",IF(INDEX('IG 콘텐츠 data'!$A$1:$AL$25,MATCH('IG 신규발행'!$A24,'IG 콘텐츠 data'!$U:$U,0),MATCH(C$3,'IG 콘텐츠 data'!$A$1:$S$1,0))="Instagram 릴스","영상"))),"")</f>
        <v/>
      </c>
      <c r="D24" s="128" t="str">
        <f>IFERROR(IF(INDEX('IG 콘텐츠 data 제목 입력'!C:C,MATCH('IG 신규발행'!A24,'IG 콘텐츠 data 제목 입력'!A:A,0))=0,"",INDEX('IG 콘텐츠 data 제목 입력'!C:C,MATCH('IG 신규발행'!A24,'IG 콘텐츠 data 제목 입력'!A:A,0))),"")</f>
        <v/>
      </c>
      <c r="E24" s="126" t="str">
        <f>IFERROR(INDEX('IG 콘텐츠 data'!$A$1:$AL$25,MATCH('IG 신규발행'!$A24,'IG 콘텐츠 data'!$U:$U,0),MATCH(E$3,'IG 콘텐츠 data'!$A$1:$S$1,0)),"")</f>
        <v/>
      </c>
      <c r="F24" s="126" t="str">
        <f>IFERROR(INDEX('IG 콘텐츠 data'!$A$1:$AL$25,MATCH('IG 신규발행'!$A24,'IG 콘텐츠 data'!$U:$U,0),MATCH(F$3,'IG 콘텐츠 data'!$A$1:$S$1,0)),"")</f>
        <v/>
      </c>
      <c r="G24" s="126" t="str">
        <f>IFERROR(INDEX('IG 콘텐츠 data'!$A$1:$AL$25,MATCH('IG 신규발행'!$A24,'IG 콘텐츠 data'!$U:$U,0),MATCH(G$3,'IG 콘텐츠 data'!$A$1:$S$1,0)),"")</f>
        <v/>
      </c>
      <c r="H24" s="126" t="str">
        <f>IFERROR(INDEX('IG 콘텐츠 data'!$A$1:$AL$25,MATCH('IG 신규발행'!$A24,'IG 콘텐츠 data'!$U:$U,0),MATCH(H$3,'IG 콘텐츠 data'!$A$1:$S$1,0)),"")</f>
        <v/>
      </c>
      <c r="I24" s="126" t="str">
        <f>IFERROR(INDEX('IG 콘텐츠 data'!$A$1:$AL$25,MATCH('IG 신규발행'!$A24,'IG 콘텐츠 data'!$U:$U,0),MATCH(I$3,'IG 콘텐츠 data'!$A$1:$S$1,0)),"")</f>
        <v/>
      </c>
      <c r="J24" s="126" t="str">
        <f>IFERROR(INDEX('IG 콘텐츠 data'!$A$1:$AL$25,MATCH('IG 신규발행'!$A24,'IG 콘텐츠 data'!$U:$U,0),MATCH(J$3,'IG 콘텐츠 data'!$A$1:$S$1,0)),"")</f>
        <v/>
      </c>
      <c r="K24" s="126" t="str">
        <f>IFERROR(INDEX('IG 콘텐츠 data'!$L$1:$S$25,MATCH('IG 신규발행'!$A24,'IG 콘텐츠 data'!$U:$U,0),MATCH(K$3,'IG 콘텐츠 data'!$L$1:$S$1,0)),"")</f>
        <v/>
      </c>
      <c r="L24" s="126" t="str">
        <f>IFERROR(INDEX('IG 콘텐츠 data'!$A$1:$AL$25,MATCH('IG 신규발행'!$A24,'IG 콘텐츠 data'!$U:$U,0),MATCH(L$3,'IG 콘텐츠 data'!$A$1:$S$1,0)),"")</f>
        <v/>
      </c>
      <c r="M24" s="126" t="str">
        <f t="shared" si="2"/>
        <v/>
      </c>
      <c r="N24" s="127" t="str">
        <f>IFERROR(M24/F24,"")</f>
        <v/>
      </c>
      <c r="P24" s="48" t="str">
        <f t="shared" si="0"/>
        <v/>
      </c>
      <c r="Q24" s="48" t="str">
        <f t="shared" si="1"/>
        <v/>
      </c>
      <c r="S24" t="str">
        <f t="shared" si="3"/>
        <v/>
      </c>
      <c r="U24" s="118"/>
    </row>
    <row r="25" spans="1:21" ht="17.45" customHeight="1">
      <c r="A25">
        <v>22</v>
      </c>
      <c r="B25" s="124" t="str">
        <f>IFERROR(INDEX('IG 콘텐츠 data'!T:T,MATCH('IG 신규발행'!A25,'IG 콘텐츠 data'!U:U,0)),"")</f>
        <v/>
      </c>
      <c r="C25" s="126" t="str">
        <f>IFERROR(IF(INDEX('IG 콘텐츠 data'!$A$1:$AL$25,MATCH('IG 신규발행'!$A25,'IG 콘텐츠 data'!$U:$U,0),MATCH(C$3,'IG 콘텐츠 data'!$A$1:$S$1,0))="IG 이미지","이미지",IF(INDEX('IG 콘텐츠 data'!$A$1:$AL$25,MATCH('IG 신규발행'!$A25,'IG 콘텐츠 data'!$U:$U,0),MATCH(C$3,'IG 콘텐츠 data'!$A$1:$S$1,0))="IG 슬라이드","슬라이드",IF(INDEX('IG 콘텐츠 data'!$A$1:$AL$25,MATCH('IG 신규발행'!$A25,'IG 콘텐츠 data'!$U:$U,0),MATCH(C$3,'IG 콘텐츠 data'!$A$1:$S$1,0))="Instagram 릴스","영상"))),"")</f>
        <v/>
      </c>
      <c r="D25" s="128" t="str">
        <f>IFERROR(IF(INDEX('IG 콘텐츠 data 제목 입력'!C:C,MATCH('IG 신규발행'!A25,'IG 콘텐츠 data 제목 입력'!A:A,0))=0,"",INDEX('IG 콘텐츠 data 제목 입력'!C:C,MATCH('IG 신규발행'!A25,'IG 콘텐츠 data 제목 입력'!A:A,0))),"")</f>
        <v/>
      </c>
      <c r="E25" s="126" t="str">
        <f>IFERROR(INDEX('IG 콘텐츠 data'!$A$1:$AL$25,MATCH('IG 신규발행'!$A25,'IG 콘텐츠 data'!$U:$U,0),MATCH(E$3,'IG 콘텐츠 data'!$A$1:$S$1,0)),"")</f>
        <v/>
      </c>
      <c r="F25" s="126" t="str">
        <f>IFERROR(INDEX('IG 콘텐츠 data'!$A$1:$AL$25,MATCH('IG 신규발행'!$A25,'IG 콘텐츠 data'!$U:$U,0),MATCH(F$3,'IG 콘텐츠 data'!$A$1:$S$1,0)),"")</f>
        <v/>
      </c>
      <c r="G25" s="126" t="str">
        <f>IFERROR(INDEX('IG 콘텐츠 data'!$A$1:$AL$25,MATCH('IG 신규발행'!$A25,'IG 콘텐츠 data'!$U:$U,0),MATCH(G$3,'IG 콘텐츠 data'!$A$1:$S$1,0)),"")</f>
        <v/>
      </c>
      <c r="H25" s="126" t="str">
        <f>IFERROR(INDEX('IG 콘텐츠 data'!$A$1:$AL$25,MATCH('IG 신규발행'!$A25,'IG 콘텐츠 data'!$U:$U,0),MATCH(H$3,'IG 콘텐츠 data'!$A$1:$S$1,0)),"")</f>
        <v/>
      </c>
      <c r="I25" s="126" t="str">
        <f>IFERROR(INDEX('IG 콘텐츠 data'!$A$1:$AL$25,MATCH('IG 신규발행'!$A25,'IG 콘텐츠 data'!$U:$U,0),MATCH(I$3,'IG 콘텐츠 data'!$A$1:$S$1,0)),"")</f>
        <v/>
      </c>
      <c r="J25" s="126" t="str">
        <f>IFERROR(INDEX('IG 콘텐츠 data'!$A$1:$AL$25,MATCH('IG 신규발행'!$A25,'IG 콘텐츠 data'!$U:$U,0),MATCH(J$3,'IG 콘텐츠 data'!$A$1:$S$1,0)),"")</f>
        <v/>
      </c>
      <c r="K25" s="126" t="str">
        <f>IFERROR(INDEX('IG 콘텐츠 data'!$L$1:$S$25,MATCH('IG 신규발행'!$A25,'IG 콘텐츠 data'!$U:$U,0),MATCH(K$3,'IG 콘텐츠 data'!$L$1:$S$1,0)),"")</f>
        <v/>
      </c>
      <c r="L25" s="126" t="str">
        <f>IFERROR(INDEX('IG 콘텐츠 data'!$A$1:$AL$25,MATCH('IG 신규발행'!$A25,'IG 콘텐츠 data'!$U:$U,0),MATCH(L$3,'IG 콘텐츠 data'!$A$1:$S$1,0)),"")</f>
        <v/>
      </c>
      <c r="M25" s="126" t="str">
        <f t="shared" si="2"/>
        <v/>
      </c>
      <c r="N25" s="127" t="str">
        <f>IFERROR(M25/F25,"")</f>
        <v/>
      </c>
      <c r="P25" s="48" t="str">
        <f t="shared" si="0"/>
        <v/>
      </c>
      <c r="Q25" s="48" t="str">
        <f t="shared" si="1"/>
        <v/>
      </c>
      <c r="S25" t="str">
        <f t="shared" si="3"/>
        <v/>
      </c>
      <c r="U25" s="118"/>
    </row>
    <row r="26" spans="1:21" ht="17.45" customHeight="1">
      <c r="A26">
        <v>23</v>
      </c>
      <c r="B26" s="124" t="str">
        <f>IFERROR(INDEX('IG 콘텐츠 data'!T:T,MATCH('IG 신규발행'!A26,'IG 콘텐츠 data'!U:U,0)),"")</f>
        <v/>
      </c>
      <c r="C26" s="126" t="str">
        <f>IFERROR(IF(INDEX('IG 콘텐츠 data'!$A$1:$AL$25,MATCH('IG 신규발행'!$A26,'IG 콘텐츠 data'!$U:$U,0),MATCH(C$3,'IG 콘텐츠 data'!$A$1:$S$1,0))="IG 이미지","이미지",IF(INDEX('IG 콘텐츠 data'!$A$1:$AL$25,MATCH('IG 신규발행'!$A26,'IG 콘텐츠 data'!$U:$U,0),MATCH(C$3,'IG 콘텐츠 data'!$A$1:$S$1,0))="IG 슬라이드","슬라이드",IF(INDEX('IG 콘텐츠 data'!$A$1:$AL$25,MATCH('IG 신규발행'!$A26,'IG 콘텐츠 data'!$U:$U,0),MATCH(C$3,'IG 콘텐츠 data'!$A$1:$S$1,0))="Instagram 릴스","영상"))),"")</f>
        <v/>
      </c>
      <c r="D26" s="128" t="str">
        <f>IFERROR(IF(INDEX('IG 콘텐츠 data 제목 입력'!C:C,MATCH('IG 신규발행'!A26,'IG 콘텐츠 data 제목 입력'!A:A,0))=0,"",INDEX('IG 콘텐츠 data 제목 입력'!C:C,MATCH('IG 신규발행'!A26,'IG 콘텐츠 data 제목 입력'!A:A,0))),"")</f>
        <v/>
      </c>
      <c r="E26" s="126" t="str">
        <f>IFERROR(INDEX('IG 콘텐츠 data'!$A$1:$AL$25,MATCH('IG 신규발행'!$A26,'IG 콘텐츠 data'!$U:$U,0),MATCH(E$3,'IG 콘텐츠 data'!$A$1:$S$1,0)),"")</f>
        <v/>
      </c>
      <c r="F26" s="126" t="str">
        <f>IFERROR(INDEX('IG 콘텐츠 data'!$A$1:$AL$25,MATCH('IG 신규발행'!$A26,'IG 콘텐츠 data'!$U:$U,0),MATCH(F$3,'IG 콘텐츠 data'!$A$1:$S$1,0)),"")</f>
        <v/>
      </c>
      <c r="G26" s="126" t="str">
        <f>IFERROR(INDEX('IG 콘텐츠 data'!$A$1:$AL$25,MATCH('IG 신규발행'!$A26,'IG 콘텐츠 data'!$U:$U,0),MATCH(G$3,'IG 콘텐츠 data'!$A$1:$S$1,0)),"")</f>
        <v/>
      </c>
      <c r="H26" s="126" t="str">
        <f>IFERROR(INDEX('IG 콘텐츠 data'!$A$1:$AL$25,MATCH('IG 신규발행'!$A26,'IG 콘텐츠 data'!$U:$U,0),MATCH(H$3,'IG 콘텐츠 data'!$A$1:$S$1,0)),"")</f>
        <v/>
      </c>
      <c r="I26" s="126" t="str">
        <f>IFERROR(INDEX('IG 콘텐츠 data'!$A$1:$AL$25,MATCH('IG 신규발행'!$A26,'IG 콘텐츠 data'!$U:$U,0),MATCH(I$3,'IG 콘텐츠 data'!$A$1:$S$1,0)),"")</f>
        <v/>
      </c>
      <c r="J26" s="126" t="str">
        <f>IFERROR(INDEX('IG 콘텐츠 data'!$A$1:$AL$25,MATCH('IG 신규발행'!$A26,'IG 콘텐츠 data'!$U:$U,0),MATCH(J$3,'IG 콘텐츠 data'!$A$1:$S$1,0)),"")</f>
        <v/>
      </c>
      <c r="K26" s="126" t="str">
        <f>IFERROR(INDEX('IG 콘텐츠 data'!$L$1:$S$25,MATCH('IG 신규발행'!$A26,'IG 콘텐츠 data'!$U:$U,0),MATCH(K$3,'IG 콘텐츠 data'!$L$1:$S$1,0)),"")</f>
        <v/>
      </c>
      <c r="L26" s="126" t="str">
        <f>IFERROR(INDEX('IG 콘텐츠 data'!$A$1:$AL$25,MATCH('IG 신규발행'!$A26,'IG 콘텐츠 data'!$U:$U,0),MATCH(L$3,'IG 콘텐츠 data'!$A$1:$S$1,0)),"")</f>
        <v/>
      </c>
      <c r="M26" s="126" t="str">
        <f t="shared" si="2"/>
        <v/>
      </c>
      <c r="N26" s="127" t="str">
        <f>IFERROR(M26/F26,"")</f>
        <v/>
      </c>
      <c r="P26" s="48" t="str">
        <f t="shared" si="0"/>
        <v/>
      </c>
      <c r="Q26" s="48" t="str">
        <f t="shared" si="1"/>
        <v/>
      </c>
      <c r="S26" t="str">
        <f t="shared" si="3"/>
        <v/>
      </c>
      <c r="U26" s="118"/>
    </row>
    <row r="27" spans="1:21" ht="17.45" customHeight="1">
      <c r="A27">
        <v>24</v>
      </c>
      <c r="B27" s="124" t="str">
        <f>IFERROR(INDEX('IG 콘텐츠 data'!T:T,MATCH('IG 신규발행'!A27,'IG 콘텐츠 data'!U:U,0)),"")</f>
        <v/>
      </c>
      <c r="C27" s="126" t="str">
        <f>IFERROR(IF(INDEX('IG 콘텐츠 data'!$A$1:$AL$25,MATCH('IG 신규발행'!$A27,'IG 콘텐츠 data'!$U:$U,0),MATCH(C$3,'IG 콘텐츠 data'!$A$1:$S$1,0))="IG 이미지","이미지",IF(INDEX('IG 콘텐츠 data'!$A$1:$AL$25,MATCH('IG 신규발행'!$A27,'IG 콘텐츠 data'!$U:$U,0),MATCH(C$3,'IG 콘텐츠 data'!$A$1:$S$1,0))="IG 슬라이드","슬라이드",IF(INDEX('IG 콘텐츠 data'!$A$1:$AL$25,MATCH('IG 신규발행'!$A27,'IG 콘텐츠 data'!$U:$U,0),MATCH(C$3,'IG 콘텐츠 data'!$A$1:$S$1,0))="Instagram 릴스","영상"))),"")</f>
        <v/>
      </c>
      <c r="D27" s="128" t="str">
        <f>IFERROR(IF(INDEX('IG 콘텐츠 data 제목 입력'!C:C,MATCH('IG 신규발행'!A27,'IG 콘텐츠 data 제목 입력'!A:A,0))=0,"",INDEX('IG 콘텐츠 data 제목 입력'!C:C,MATCH('IG 신규발행'!A27,'IG 콘텐츠 data 제목 입력'!A:A,0))),"")</f>
        <v/>
      </c>
      <c r="E27" s="126" t="str">
        <f>IFERROR(INDEX('IG 콘텐츠 data'!$A$1:$AL$25,MATCH('IG 신규발행'!$A27,'IG 콘텐츠 data'!$U:$U,0),MATCH(E$3,'IG 콘텐츠 data'!$A$1:$S$1,0)),"")</f>
        <v/>
      </c>
      <c r="F27" s="126" t="str">
        <f>IFERROR(INDEX('IG 콘텐츠 data'!$A$1:$AL$25,MATCH('IG 신규발행'!$A27,'IG 콘텐츠 data'!$U:$U,0),MATCH(F$3,'IG 콘텐츠 data'!$A$1:$S$1,0)),"")</f>
        <v/>
      </c>
      <c r="G27" s="126" t="str">
        <f>IFERROR(INDEX('IG 콘텐츠 data'!$A$1:$AL$25,MATCH('IG 신규발행'!$A27,'IG 콘텐츠 data'!$U:$U,0),MATCH(G$3,'IG 콘텐츠 data'!$A$1:$S$1,0)),"")</f>
        <v/>
      </c>
      <c r="H27" s="126" t="str">
        <f>IFERROR(INDEX('IG 콘텐츠 data'!$A$1:$AL$25,MATCH('IG 신규발행'!$A27,'IG 콘텐츠 data'!$U:$U,0),MATCH(H$3,'IG 콘텐츠 data'!$A$1:$S$1,0)),"")</f>
        <v/>
      </c>
      <c r="I27" s="126" t="str">
        <f>IFERROR(INDEX('IG 콘텐츠 data'!$A$1:$AL$25,MATCH('IG 신규발행'!$A27,'IG 콘텐츠 data'!$U:$U,0),MATCH(I$3,'IG 콘텐츠 data'!$A$1:$S$1,0)),"")</f>
        <v/>
      </c>
      <c r="J27" s="126" t="str">
        <f>IFERROR(INDEX('IG 콘텐츠 data'!$A$1:$AL$25,MATCH('IG 신규발행'!$A27,'IG 콘텐츠 data'!$U:$U,0),MATCH(J$3,'IG 콘텐츠 data'!$A$1:$S$1,0)),"")</f>
        <v/>
      </c>
      <c r="K27" s="126" t="str">
        <f>IFERROR(INDEX('IG 콘텐츠 data'!$L$1:$S$25,MATCH('IG 신규발행'!$A27,'IG 콘텐츠 data'!$U:$U,0),MATCH(K$3,'IG 콘텐츠 data'!$L$1:$S$1,0)),"")</f>
        <v/>
      </c>
      <c r="L27" s="126" t="str">
        <f>IFERROR(INDEX('IG 콘텐츠 data'!$A$1:$AL$25,MATCH('IG 신규발행'!$A27,'IG 콘텐츠 data'!$U:$U,0),MATCH(L$3,'IG 콘텐츠 data'!$A$1:$S$1,0)),"")</f>
        <v/>
      </c>
      <c r="M27" s="126" t="str">
        <f t="shared" si="2"/>
        <v/>
      </c>
      <c r="N27" s="127" t="str">
        <f>IFERROR(M27/F27,"")</f>
        <v/>
      </c>
      <c r="P27" s="48" t="str">
        <f t="shared" si="0"/>
        <v/>
      </c>
      <c r="Q27" s="48" t="str">
        <f t="shared" si="1"/>
        <v/>
      </c>
      <c r="S27" t="str">
        <f t="shared" si="3"/>
        <v/>
      </c>
      <c r="U27" s="118"/>
    </row>
    <row r="28" spans="1:21" ht="17.45" customHeight="1">
      <c r="A28">
        <v>25</v>
      </c>
      <c r="B28" s="124" t="str">
        <f>IFERROR(INDEX('IG 콘텐츠 data'!T:T,MATCH('IG 신규발행'!A28,'IG 콘텐츠 data'!U:U,0)),"")</f>
        <v/>
      </c>
      <c r="C28" s="126" t="str">
        <f>IFERROR(IF(INDEX('IG 콘텐츠 data'!$A$1:$AL$25,MATCH('IG 신규발행'!$A28,'IG 콘텐츠 data'!$U:$U,0),MATCH(C$3,'IG 콘텐츠 data'!$A$1:$S$1,0))="IG 이미지","이미지",IF(INDEX('IG 콘텐츠 data'!$A$1:$AL$25,MATCH('IG 신규발행'!$A28,'IG 콘텐츠 data'!$U:$U,0),MATCH(C$3,'IG 콘텐츠 data'!$A$1:$S$1,0))="IG 슬라이드","슬라이드",IF(INDEX('IG 콘텐츠 data'!$A$1:$AL$25,MATCH('IG 신규발행'!$A28,'IG 콘텐츠 data'!$U:$U,0),MATCH(C$3,'IG 콘텐츠 data'!$A$1:$S$1,0))="Instagram 릴스","영상"))),"")</f>
        <v/>
      </c>
      <c r="D28" s="128" t="str">
        <f>IFERROR(IF(INDEX('IG 콘텐츠 data 제목 입력'!C:C,MATCH('IG 신규발행'!A28,'IG 콘텐츠 data 제목 입력'!A:A,0))=0,"",INDEX('IG 콘텐츠 data 제목 입력'!C:C,MATCH('IG 신규발행'!A28,'IG 콘텐츠 data 제목 입력'!A:A,0))),"")</f>
        <v/>
      </c>
      <c r="E28" s="126" t="str">
        <f>IFERROR(INDEX('IG 콘텐츠 data'!$A$1:$AL$25,MATCH('IG 신규발행'!$A28,'IG 콘텐츠 data'!$U:$U,0),MATCH(E$3,'IG 콘텐츠 data'!$A$1:$S$1,0)),"")</f>
        <v/>
      </c>
      <c r="F28" s="126" t="str">
        <f>IFERROR(INDEX('IG 콘텐츠 data'!$A$1:$AL$25,MATCH('IG 신규발행'!$A28,'IG 콘텐츠 data'!$U:$U,0),MATCH(F$3,'IG 콘텐츠 data'!$A$1:$S$1,0)),"")</f>
        <v/>
      </c>
      <c r="G28" s="126" t="str">
        <f>IFERROR(INDEX('IG 콘텐츠 data'!$A$1:$AL$25,MATCH('IG 신규발행'!$A28,'IG 콘텐츠 data'!$U:$U,0),MATCH(G$3,'IG 콘텐츠 data'!$A$1:$S$1,0)),"")</f>
        <v/>
      </c>
      <c r="H28" s="126" t="str">
        <f>IFERROR(INDEX('IG 콘텐츠 data'!$A$1:$AL$25,MATCH('IG 신규발행'!$A28,'IG 콘텐츠 data'!$U:$U,0),MATCH(H$3,'IG 콘텐츠 data'!$A$1:$S$1,0)),"")</f>
        <v/>
      </c>
      <c r="I28" s="126" t="str">
        <f>IFERROR(INDEX('IG 콘텐츠 data'!$A$1:$AL$25,MATCH('IG 신규발행'!$A28,'IG 콘텐츠 data'!$U:$U,0),MATCH(I$3,'IG 콘텐츠 data'!$A$1:$S$1,0)),"")</f>
        <v/>
      </c>
      <c r="J28" s="126" t="str">
        <f>IFERROR(INDEX('IG 콘텐츠 data'!$A$1:$AL$25,MATCH('IG 신규발행'!$A28,'IG 콘텐츠 data'!$U:$U,0),MATCH(J$3,'IG 콘텐츠 data'!$A$1:$S$1,0)),"")</f>
        <v/>
      </c>
      <c r="K28" s="126" t="str">
        <f>IFERROR(INDEX('IG 콘텐츠 data'!$L$1:$S$25,MATCH('IG 신규발행'!$A28,'IG 콘텐츠 data'!$U:$U,0),MATCH(K$3,'IG 콘텐츠 data'!$L$1:$S$1,0)),"")</f>
        <v/>
      </c>
      <c r="L28" s="126" t="str">
        <f>IFERROR(INDEX('IG 콘텐츠 data'!$A$1:$AL$25,MATCH('IG 신규발행'!$A28,'IG 콘텐츠 data'!$U:$U,0),MATCH(L$3,'IG 콘텐츠 data'!$A$1:$S$1,0)),"")</f>
        <v/>
      </c>
      <c r="M28" s="126" t="str">
        <f t="shared" si="2"/>
        <v/>
      </c>
      <c r="N28" s="127" t="str">
        <f>IFERROR(M28/F28,"")</f>
        <v/>
      </c>
      <c r="P28" s="48" t="str">
        <f t="shared" si="0"/>
        <v/>
      </c>
      <c r="Q28" s="48" t="str">
        <f t="shared" si="1"/>
        <v/>
      </c>
      <c r="S28" t="str">
        <f t="shared" si="3"/>
        <v/>
      </c>
      <c r="U28" s="118"/>
    </row>
    <row r="29" spans="1:21" ht="17.45" customHeight="1">
      <c r="A29">
        <v>26</v>
      </c>
      <c r="B29" s="124" t="str">
        <f>IFERROR(INDEX('IG 콘텐츠 data'!T:T,MATCH('IG 신규발행'!A29,'IG 콘텐츠 data'!U:U,0)),"")</f>
        <v/>
      </c>
      <c r="C29" s="126" t="str">
        <f>IFERROR(IF(INDEX('IG 콘텐츠 data'!$A$1:$AL$25,MATCH('IG 신규발행'!$A29,'IG 콘텐츠 data'!$U:$U,0),MATCH(C$3,'IG 콘텐츠 data'!$A$1:$S$1,0))="IG 이미지","이미지",IF(INDEX('IG 콘텐츠 data'!$A$1:$AL$25,MATCH('IG 신규발행'!$A29,'IG 콘텐츠 data'!$U:$U,0),MATCH(C$3,'IG 콘텐츠 data'!$A$1:$S$1,0))="IG 슬라이드","슬라이드",IF(INDEX('IG 콘텐츠 data'!$A$1:$AL$25,MATCH('IG 신규발행'!$A29,'IG 콘텐츠 data'!$U:$U,0),MATCH(C$3,'IG 콘텐츠 data'!$A$1:$S$1,0))="Instagram 릴스","영상"))),"")</f>
        <v/>
      </c>
      <c r="D29" s="128" t="str">
        <f>IFERROR(IF(INDEX('IG 콘텐츠 data 제목 입력'!C:C,MATCH('IG 신규발행'!A29,'IG 콘텐츠 data 제목 입력'!A:A,0))=0,"",INDEX('IG 콘텐츠 data 제목 입력'!C:C,MATCH('IG 신규발행'!A29,'IG 콘텐츠 data 제목 입력'!A:A,0))),"")</f>
        <v/>
      </c>
      <c r="E29" s="126" t="str">
        <f>IFERROR(INDEX('IG 콘텐츠 data'!$A$1:$AL$25,MATCH('IG 신규발행'!$A29,'IG 콘텐츠 data'!$U:$U,0),MATCH(E$3,'IG 콘텐츠 data'!$A$1:$S$1,0)),"")</f>
        <v/>
      </c>
      <c r="F29" s="126" t="str">
        <f>IFERROR(INDEX('IG 콘텐츠 data'!$A$1:$AL$25,MATCH('IG 신규발행'!$A29,'IG 콘텐츠 data'!$U:$U,0),MATCH(F$3,'IG 콘텐츠 data'!$A$1:$S$1,0)),"")</f>
        <v/>
      </c>
      <c r="G29" s="126" t="str">
        <f>IFERROR(INDEX('IG 콘텐츠 data'!$A$1:$AL$25,MATCH('IG 신규발행'!$A29,'IG 콘텐츠 data'!$U:$U,0),MATCH(G$3,'IG 콘텐츠 data'!$A$1:$S$1,0)),"")</f>
        <v/>
      </c>
      <c r="H29" s="126" t="str">
        <f>IFERROR(INDEX('IG 콘텐츠 data'!$A$1:$AL$25,MATCH('IG 신규발행'!$A29,'IG 콘텐츠 data'!$U:$U,0),MATCH(H$3,'IG 콘텐츠 data'!$A$1:$S$1,0)),"")</f>
        <v/>
      </c>
      <c r="I29" s="126" t="str">
        <f>IFERROR(INDEX('IG 콘텐츠 data'!$A$1:$AL$25,MATCH('IG 신규발행'!$A29,'IG 콘텐츠 data'!$U:$U,0),MATCH(I$3,'IG 콘텐츠 data'!$A$1:$S$1,0)),"")</f>
        <v/>
      </c>
      <c r="J29" s="126" t="str">
        <f>IFERROR(INDEX('IG 콘텐츠 data'!$A$1:$AL$25,MATCH('IG 신규발행'!$A29,'IG 콘텐츠 data'!$U:$U,0),MATCH(J$3,'IG 콘텐츠 data'!$A$1:$S$1,0)),"")</f>
        <v/>
      </c>
      <c r="K29" s="126" t="str">
        <f>IFERROR(INDEX('IG 콘텐츠 data'!$L$1:$S$25,MATCH('IG 신규발행'!$A29,'IG 콘텐츠 data'!$U:$U,0),MATCH(K$3,'IG 콘텐츠 data'!$L$1:$S$1,0)),"")</f>
        <v/>
      </c>
      <c r="L29" s="126" t="str">
        <f>IFERROR(INDEX('IG 콘텐츠 data'!$A$1:$AL$25,MATCH('IG 신규발행'!$A29,'IG 콘텐츠 data'!$U:$U,0),MATCH(L$3,'IG 콘텐츠 data'!$A$1:$S$1,0)),"")</f>
        <v/>
      </c>
      <c r="M29" s="126" t="str">
        <f t="shared" si="2"/>
        <v/>
      </c>
      <c r="N29" s="127" t="str">
        <f>IFERROR(M29/F29,"")</f>
        <v/>
      </c>
      <c r="P29" s="48" t="str">
        <f t="shared" si="0"/>
        <v/>
      </c>
      <c r="Q29" s="48" t="str">
        <f t="shared" si="1"/>
        <v/>
      </c>
      <c r="S29" t="str">
        <f t="shared" si="3"/>
        <v/>
      </c>
      <c r="U29" s="118"/>
    </row>
    <row r="30" spans="1:21" ht="17.45" customHeight="1">
      <c r="A30">
        <v>27</v>
      </c>
      <c r="B30" s="124" t="str">
        <f>IFERROR(INDEX('IG 콘텐츠 data'!T:T,MATCH('IG 신규발행'!A30,'IG 콘텐츠 data'!U:U,0)),"")</f>
        <v/>
      </c>
      <c r="C30" s="126" t="str">
        <f>IFERROR(IF(INDEX('IG 콘텐츠 data'!$A$1:$AL$25,MATCH('IG 신규발행'!$A30,'IG 콘텐츠 data'!$U:$U,0),MATCH(C$3,'IG 콘텐츠 data'!$A$1:$S$1,0))="IG 이미지","이미지",IF(INDEX('IG 콘텐츠 data'!$A$1:$AL$25,MATCH('IG 신규발행'!$A30,'IG 콘텐츠 data'!$U:$U,0),MATCH(C$3,'IG 콘텐츠 data'!$A$1:$S$1,0))="IG 슬라이드","슬라이드",IF(INDEX('IG 콘텐츠 data'!$A$1:$AL$25,MATCH('IG 신규발행'!$A30,'IG 콘텐츠 data'!$U:$U,0),MATCH(C$3,'IG 콘텐츠 data'!$A$1:$S$1,0))="Instagram 릴스","영상"))),"")</f>
        <v/>
      </c>
      <c r="D30" s="128" t="str">
        <f>IFERROR(IF(INDEX('IG 콘텐츠 data 제목 입력'!C:C,MATCH('IG 신규발행'!A30,'IG 콘텐츠 data 제목 입력'!A:A,0))=0,"",INDEX('IG 콘텐츠 data 제목 입력'!C:C,MATCH('IG 신규발행'!A30,'IG 콘텐츠 data 제목 입력'!A:A,0))),"")</f>
        <v/>
      </c>
      <c r="E30" s="126" t="str">
        <f>IFERROR(INDEX('IG 콘텐츠 data'!$A$1:$AL$25,MATCH('IG 신규발행'!$A30,'IG 콘텐츠 data'!$U:$U,0),MATCH(E$3,'IG 콘텐츠 data'!$A$1:$S$1,0)),"")</f>
        <v/>
      </c>
      <c r="F30" s="126" t="str">
        <f>IFERROR(INDEX('IG 콘텐츠 data'!$A$1:$AL$25,MATCH('IG 신규발행'!$A30,'IG 콘텐츠 data'!$U:$U,0),MATCH(F$3,'IG 콘텐츠 data'!$A$1:$S$1,0)),"")</f>
        <v/>
      </c>
      <c r="G30" s="126" t="str">
        <f>IFERROR(INDEX('IG 콘텐츠 data'!$A$1:$AL$25,MATCH('IG 신규발행'!$A30,'IG 콘텐츠 data'!$U:$U,0),MATCH(G$3,'IG 콘텐츠 data'!$A$1:$S$1,0)),"")</f>
        <v/>
      </c>
      <c r="H30" s="126" t="str">
        <f>IFERROR(INDEX('IG 콘텐츠 data'!$A$1:$AL$25,MATCH('IG 신규발행'!$A30,'IG 콘텐츠 data'!$U:$U,0),MATCH(H$3,'IG 콘텐츠 data'!$A$1:$S$1,0)),"")</f>
        <v/>
      </c>
      <c r="I30" s="126" t="str">
        <f>IFERROR(INDEX('IG 콘텐츠 data'!$A$1:$AL$25,MATCH('IG 신규발행'!$A30,'IG 콘텐츠 data'!$U:$U,0),MATCH(I$3,'IG 콘텐츠 data'!$A$1:$S$1,0)),"")</f>
        <v/>
      </c>
      <c r="J30" s="126" t="str">
        <f>IFERROR(INDEX('IG 콘텐츠 data'!$A$1:$AL$25,MATCH('IG 신규발행'!$A30,'IG 콘텐츠 data'!$U:$U,0),MATCH(J$3,'IG 콘텐츠 data'!$A$1:$S$1,0)),"")</f>
        <v/>
      </c>
      <c r="K30" s="126" t="str">
        <f>IFERROR(INDEX('IG 콘텐츠 data'!$L$1:$S$25,MATCH('IG 신규발행'!$A30,'IG 콘텐츠 data'!$U:$U,0),MATCH(K$3,'IG 콘텐츠 data'!$L$1:$S$1,0)),"")</f>
        <v/>
      </c>
      <c r="L30" s="126" t="str">
        <f>IFERROR(INDEX('IG 콘텐츠 data'!$A$1:$AL$25,MATCH('IG 신규발행'!$A30,'IG 콘텐츠 data'!$U:$U,0),MATCH(L$3,'IG 콘텐츠 data'!$A$1:$S$1,0)),"")</f>
        <v/>
      </c>
      <c r="M30" s="126" t="str">
        <f t="shared" si="2"/>
        <v/>
      </c>
      <c r="N30" s="127" t="str">
        <f>IFERROR(M30/F30,"")</f>
        <v/>
      </c>
      <c r="P30" s="48" t="str">
        <f t="shared" si="0"/>
        <v/>
      </c>
      <c r="Q30" s="48" t="str">
        <f t="shared" si="1"/>
        <v/>
      </c>
      <c r="S30" t="str">
        <f t="shared" si="3"/>
        <v/>
      </c>
      <c r="U30" s="118"/>
    </row>
    <row r="31" spans="1:21" ht="17.45" customHeight="1">
      <c r="A31">
        <v>28</v>
      </c>
      <c r="B31" s="124" t="str">
        <f>IFERROR(INDEX('IG 콘텐츠 data'!T:T,MATCH('IG 신규발행'!A31,'IG 콘텐츠 data'!U:U,0)),"")</f>
        <v/>
      </c>
      <c r="C31" s="126" t="str">
        <f>IFERROR(IF(INDEX('IG 콘텐츠 data'!$A$1:$AL$25,MATCH('IG 신규발행'!$A31,'IG 콘텐츠 data'!$U:$U,0),MATCH(C$3,'IG 콘텐츠 data'!$A$1:$S$1,0))="IG 이미지","이미지",IF(INDEX('IG 콘텐츠 data'!$A$1:$AL$25,MATCH('IG 신규발행'!$A31,'IG 콘텐츠 data'!$U:$U,0),MATCH(C$3,'IG 콘텐츠 data'!$A$1:$S$1,0))="IG 슬라이드","슬라이드",IF(INDEX('IG 콘텐츠 data'!$A$1:$AL$25,MATCH('IG 신규발행'!$A31,'IG 콘텐츠 data'!$U:$U,0),MATCH(C$3,'IG 콘텐츠 data'!$A$1:$S$1,0))="Instagram 릴스","영상"))),"")</f>
        <v/>
      </c>
      <c r="D31" s="128" t="str">
        <f>IFERROR(IF(INDEX('IG 콘텐츠 data 제목 입력'!C:C,MATCH('IG 신규발행'!A31,'IG 콘텐츠 data 제목 입력'!A:A,0))=0,"",INDEX('IG 콘텐츠 data 제목 입력'!C:C,MATCH('IG 신규발행'!A31,'IG 콘텐츠 data 제목 입력'!A:A,0))),"")</f>
        <v/>
      </c>
      <c r="E31" s="126" t="str">
        <f>IFERROR(INDEX('IG 콘텐츠 data'!$A$1:$AL$25,MATCH('IG 신규발행'!$A31,'IG 콘텐츠 data'!$U:$U,0),MATCH(E$3,'IG 콘텐츠 data'!$A$1:$S$1,0)),"")</f>
        <v/>
      </c>
      <c r="F31" s="126" t="str">
        <f>IFERROR(INDEX('IG 콘텐츠 data'!$A$1:$AL$25,MATCH('IG 신규발행'!$A31,'IG 콘텐츠 data'!$U:$U,0),MATCH(F$3,'IG 콘텐츠 data'!$A$1:$S$1,0)),"")</f>
        <v/>
      </c>
      <c r="G31" s="126" t="str">
        <f>IFERROR(INDEX('IG 콘텐츠 data'!$A$1:$AL$25,MATCH('IG 신규발행'!$A31,'IG 콘텐츠 data'!$U:$U,0),MATCH(G$3,'IG 콘텐츠 data'!$A$1:$S$1,0)),"")</f>
        <v/>
      </c>
      <c r="H31" s="126" t="str">
        <f>IFERROR(INDEX('IG 콘텐츠 data'!$A$1:$AL$25,MATCH('IG 신규발행'!$A31,'IG 콘텐츠 data'!$U:$U,0),MATCH(H$3,'IG 콘텐츠 data'!$A$1:$S$1,0)),"")</f>
        <v/>
      </c>
      <c r="I31" s="126" t="str">
        <f>IFERROR(INDEX('IG 콘텐츠 data'!$A$1:$AL$25,MATCH('IG 신규발행'!$A31,'IG 콘텐츠 data'!$U:$U,0),MATCH(I$3,'IG 콘텐츠 data'!$A$1:$S$1,0)),"")</f>
        <v/>
      </c>
      <c r="J31" s="126" t="str">
        <f>IFERROR(INDEX('IG 콘텐츠 data'!$A$1:$AL$25,MATCH('IG 신규발행'!$A31,'IG 콘텐츠 data'!$U:$U,0),MATCH(J$3,'IG 콘텐츠 data'!$A$1:$S$1,0)),"")</f>
        <v/>
      </c>
      <c r="K31" s="126" t="str">
        <f>IFERROR(INDEX('IG 콘텐츠 data'!$L$1:$S$25,MATCH('IG 신규발행'!$A31,'IG 콘텐츠 data'!$U:$U,0),MATCH(K$3,'IG 콘텐츠 data'!$L$1:$S$1,0)),"")</f>
        <v/>
      </c>
      <c r="L31" s="126" t="str">
        <f>IFERROR(INDEX('IG 콘텐츠 data'!$A$1:$AL$25,MATCH('IG 신규발행'!$A31,'IG 콘텐츠 data'!$U:$U,0),MATCH(L$3,'IG 콘텐츠 data'!$A$1:$S$1,0)),"")</f>
        <v/>
      </c>
      <c r="M31" s="126" t="str">
        <f t="shared" si="2"/>
        <v/>
      </c>
      <c r="N31" s="127" t="str">
        <f>IFERROR(M31/F31,"")</f>
        <v/>
      </c>
      <c r="P31" s="48" t="str">
        <f t="shared" si="0"/>
        <v/>
      </c>
      <c r="Q31" s="48" t="str">
        <f t="shared" si="1"/>
        <v/>
      </c>
      <c r="S31" t="str">
        <f t="shared" si="3"/>
        <v/>
      </c>
      <c r="U31" s="118"/>
    </row>
    <row r="32" spans="1:21" ht="17.45" customHeight="1">
      <c r="A32">
        <v>29</v>
      </c>
      <c r="B32" s="124" t="str">
        <f>IFERROR(INDEX('IG 콘텐츠 data'!T:T,MATCH('IG 신규발행'!A32,'IG 콘텐츠 data'!U:U,0)),"")</f>
        <v/>
      </c>
      <c r="C32" s="126" t="str">
        <f>IFERROR(IF(INDEX('IG 콘텐츠 data'!$A$1:$AL$25,MATCH('IG 신규발행'!$A32,'IG 콘텐츠 data'!$U:$U,0),MATCH(C$3,'IG 콘텐츠 data'!$A$1:$S$1,0))="IG 이미지","이미지",IF(INDEX('IG 콘텐츠 data'!$A$1:$AL$25,MATCH('IG 신규발행'!$A32,'IG 콘텐츠 data'!$U:$U,0),MATCH(C$3,'IG 콘텐츠 data'!$A$1:$S$1,0))="IG 슬라이드","슬라이드",IF(INDEX('IG 콘텐츠 data'!$A$1:$AL$25,MATCH('IG 신규발행'!$A32,'IG 콘텐츠 data'!$U:$U,0),MATCH(C$3,'IG 콘텐츠 data'!$A$1:$S$1,0))="Instagram 릴스","영상"))),"")</f>
        <v/>
      </c>
      <c r="D32" s="128" t="str">
        <f>IFERROR(IF(INDEX('IG 콘텐츠 data 제목 입력'!C:C,MATCH('IG 신규발행'!A32,'IG 콘텐츠 data 제목 입력'!A:A,0))=0,"",INDEX('IG 콘텐츠 data 제목 입력'!C:C,MATCH('IG 신규발행'!A32,'IG 콘텐츠 data 제목 입력'!A:A,0))),"")</f>
        <v/>
      </c>
      <c r="E32" s="126" t="str">
        <f>IFERROR(INDEX('IG 콘텐츠 data'!$A$1:$AL$25,MATCH('IG 신규발행'!$A32,'IG 콘텐츠 data'!$U:$U,0),MATCH(E$3,'IG 콘텐츠 data'!$A$1:$S$1,0)),"")</f>
        <v/>
      </c>
      <c r="F32" s="126" t="str">
        <f>IFERROR(INDEX('IG 콘텐츠 data'!$A$1:$AL$25,MATCH('IG 신규발행'!$A32,'IG 콘텐츠 data'!$U:$U,0),MATCH(F$3,'IG 콘텐츠 data'!$A$1:$S$1,0)),"")</f>
        <v/>
      </c>
      <c r="G32" s="126" t="str">
        <f>IFERROR(INDEX('IG 콘텐츠 data'!$A$1:$AL$25,MATCH('IG 신규발행'!$A32,'IG 콘텐츠 data'!$U:$U,0),MATCH(G$3,'IG 콘텐츠 data'!$A$1:$S$1,0)),"")</f>
        <v/>
      </c>
      <c r="H32" s="126" t="str">
        <f>IFERROR(INDEX('IG 콘텐츠 data'!$A$1:$AL$25,MATCH('IG 신규발행'!$A32,'IG 콘텐츠 data'!$U:$U,0),MATCH(H$3,'IG 콘텐츠 data'!$A$1:$S$1,0)),"")</f>
        <v/>
      </c>
      <c r="I32" s="126" t="str">
        <f>IFERROR(INDEX('IG 콘텐츠 data'!$A$1:$AL$25,MATCH('IG 신규발행'!$A32,'IG 콘텐츠 data'!$U:$U,0),MATCH(I$3,'IG 콘텐츠 data'!$A$1:$S$1,0)),"")</f>
        <v/>
      </c>
      <c r="J32" s="126" t="str">
        <f>IFERROR(INDEX('IG 콘텐츠 data'!$A$1:$AL$25,MATCH('IG 신규발행'!$A32,'IG 콘텐츠 data'!$U:$U,0),MATCH(J$3,'IG 콘텐츠 data'!$A$1:$S$1,0)),"")</f>
        <v/>
      </c>
      <c r="K32" s="126" t="str">
        <f>IFERROR(INDEX('IG 콘텐츠 data'!$L$1:$S$25,MATCH('IG 신규발행'!$A32,'IG 콘텐츠 data'!$U:$U,0),MATCH(K$3,'IG 콘텐츠 data'!$L$1:$S$1,0)),"")</f>
        <v/>
      </c>
      <c r="L32" s="126" t="str">
        <f>IFERROR(INDEX('IG 콘텐츠 data'!$A$1:$AL$25,MATCH('IG 신규발행'!$A32,'IG 콘텐츠 data'!$U:$U,0),MATCH(L$3,'IG 콘텐츠 data'!$A$1:$S$1,0)),"")</f>
        <v/>
      </c>
      <c r="M32" s="126" t="str">
        <f t="shared" si="2"/>
        <v/>
      </c>
      <c r="N32" s="127" t="str">
        <f>IFERROR(M32/F32,"")</f>
        <v/>
      </c>
      <c r="P32" s="48" t="str">
        <f t="shared" si="0"/>
        <v/>
      </c>
      <c r="Q32" s="48" t="str">
        <f t="shared" si="1"/>
        <v/>
      </c>
      <c r="S32" t="str">
        <f t="shared" si="3"/>
        <v/>
      </c>
      <c r="U32" s="118"/>
    </row>
    <row r="33" spans="1:21" ht="17.45" customHeight="1">
      <c r="A33">
        <v>30</v>
      </c>
      <c r="B33" s="124" t="str">
        <f>IFERROR(INDEX('IG 콘텐츠 data'!T:T,MATCH('IG 신규발행'!A33,'IG 콘텐츠 data'!U:U,0)),"")</f>
        <v/>
      </c>
      <c r="C33" s="126" t="str">
        <f>IFERROR(IF(INDEX('IG 콘텐츠 data'!$A$1:$AL$25,MATCH('IG 신규발행'!$A33,'IG 콘텐츠 data'!$U:$U,0),MATCH(C$3,'IG 콘텐츠 data'!$A$1:$S$1,0))="IG 이미지","이미지",IF(INDEX('IG 콘텐츠 data'!$A$1:$AL$25,MATCH('IG 신규발행'!$A33,'IG 콘텐츠 data'!$U:$U,0),MATCH(C$3,'IG 콘텐츠 data'!$A$1:$S$1,0))="IG 슬라이드","슬라이드",IF(INDEX('IG 콘텐츠 data'!$A$1:$AL$25,MATCH('IG 신규발행'!$A33,'IG 콘텐츠 data'!$U:$U,0),MATCH(C$3,'IG 콘텐츠 data'!$A$1:$S$1,0))="Instagram 릴스","영상"))),"")</f>
        <v/>
      </c>
      <c r="D33" s="128" t="str">
        <f>IFERROR(IF(INDEX('IG 콘텐츠 data 제목 입력'!C:C,MATCH('IG 신규발행'!A33,'IG 콘텐츠 data 제목 입력'!A:A,0))=0,"",INDEX('IG 콘텐츠 data 제목 입력'!C:C,MATCH('IG 신규발행'!A33,'IG 콘텐츠 data 제목 입력'!A:A,0))),"")</f>
        <v/>
      </c>
      <c r="E33" s="126" t="str">
        <f>IFERROR(INDEX('IG 콘텐츠 data'!$A$1:$AL$25,MATCH('IG 신규발행'!$A33,'IG 콘텐츠 data'!$U:$U,0),MATCH(E$3,'IG 콘텐츠 data'!$A$1:$S$1,0)),"")</f>
        <v/>
      </c>
      <c r="F33" s="126" t="str">
        <f>IFERROR(INDEX('IG 콘텐츠 data'!$A$1:$AL$25,MATCH('IG 신규발행'!$A33,'IG 콘텐츠 data'!$U:$U,0),MATCH(F$3,'IG 콘텐츠 data'!$A$1:$S$1,0)),"")</f>
        <v/>
      </c>
      <c r="G33" s="126" t="str">
        <f>IFERROR(INDEX('IG 콘텐츠 data'!$A$1:$AL$25,MATCH('IG 신규발행'!$A33,'IG 콘텐츠 data'!$U:$U,0),MATCH(G$3,'IG 콘텐츠 data'!$A$1:$S$1,0)),"")</f>
        <v/>
      </c>
      <c r="H33" s="126" t="str">
        <f>IFERROR(INDEX('IG 콘텐츠 data'!$A$1:$AL$25,MATCH('IG 신규발행'!$A33,'IG 콘텐츠 data'!$U:$U,0),MATCH(H$3,'IG 콘텐츠 data'!$A$1:$S$1,0)),"")</f>
        <v/>
      </c>
      <c r="I33" s="126" t="str">
        <f>IFERROR(INDEX('IG 콘텐츠 data'!$A$1:$AL$25,MATCH('IG 신규발행'!$A33,'IG 콘텐츠 data'!$U:$U,0),MATCH(I$3,'IG 콘텐츠 data'!$A$1:$S$1,0)),"")</f>
        <v/>
      </c>
      <c r="J33" s="126" t="str">
        <f>IFERROR(INDEX('IG 콘텐츠 data'!$A$1:$AL$25,MATCH('IG 신규발행'!$A33,'IG 콘텐츠 data'!$U:$U,0),MATCH(J$3,'IG 콘텐츠 data'!$A$1:$S$1,0)),"")</f>
        <v/>
      </c>
      <c r="K33" s="126" t="str">
        <f>IFERROR(INDEX('IG 콘텐츠 data'!$L$1:$S$25,MATCH('IG 신규발행'!$A33,'IG 콘텐츠 data'!$U:$U,0),MATCH(K$3,'IG 콘텐츠 data'!$L$1:$S$1,0)),"")</f>
        <v/>
      </c>
      <c r="L33" s="126" t="str">
        <f>IFERROR(INDEX('IG 콘텐츠 data'!$A$1:$AL$25,MATCH('IG 신규발행'!$A33,'IG 콘텐츠 data'!$U:$U,0),MATCH(L$3,'IG 콘텐츠 data'!$A$1:$S$1,0)),"")</f>
        <v/>
      </c>
      <c r="M33" s="126" t="str">
        <f t="shared" si="2"/>
        <v/>
      </c>
      <c r="N33" s="127" t="str">
        <f>IFERROR(M33/F33,"")</f>
        <v/>
      </c>
      <c r="P33" s="48" t="str">
        <f t="shared" si="0"/>
        <v/>
      </c>
      <c r="Q33" s="48" t="str">
        <f t="shared" si="1"/>
        <v/>
      </c>
      <c r="S33" t="str">
        <f t="shared" si="3"/>
        <v/>
      </c>
      <c r="U33" s="118"/>
    </row>
    <row r="34" spans="1:21" ht="17.45" customHeight="1">
      <c r="A34">
        <v>31</v>
      </c>
      <c r="B34" s="124" t="str">
        <f>IFERROR(INDEX('IG 콘텐츠 data'!T:T,MATCH('IG 신규발행'!A34,'IG 콘텐츠 data'!U:U,0)),"")</f>
        <v/>
      </c>
      <c r="C34" s="126" t="str">
        <f>IFERROR(IF(INDEX('IG 콘텐츠 data'!$A$1:$AL$25,MATCH('IG 신규발행'!$A34,'IG 콘텐츠 data'!$U:$U,0),MATCH(C$3,'IG 콘텐츠 data'!$A$1:$S$1,0))="IG 이미지","이미지",IF(INDEX('IG 콘텐츠 data'!$A$1:$AL$25,MATCH('IG 신규발행'!$A34,'IG 콘텐츠 data'!$U:$U,0),MATCH(C$3,'IG 콘텐츠 data'!$A$1:$S$1,0))="IG 슬라이드","슬라이드",IF(INDEX('IG 콘텐츠 data'!$A$1:$AL$25,MATCH('IG 신규발행'!$A34,'IG 콘텐츠 data'!$U:$U,0),MATCH(C$3,'IG 콘텐츠 data'!$A$1:$S$1,0))="Instagram 릴스","영상"))),"")</f>
        <v/>
      </c>
      <c r="D34" s="128" t="str">
        <f>IFERROR(IF(INDEX('IG 콘텐츠 data 제목 입력'!C:C,MATCH('IG 신규발행'!A34,'IG 콘텐츠 data 제목 입력'!A:A,0))=0,"",INDEX('IG 콘텐츠 data 제목 입력'!C:C,MATCH('IG 신규발행'!A34,'IG 콘텐츠 data 제목 입력'!A:A,0))),"")</f>
        <v/>
      </c>
      <c r="E34" s="126" t="str">
        <f>IFERROR(INDEX('IG 콘텐츠 data'!$A$1:$AL$25,MATCH('IG 신규발행'!$A34,'IG 콘텐츠 data'!$U:$U,0),MATCH(E$3,'IG 콘텐츠 data'!$A$1:$S$1,0)),"")</f>
        <v/>
      </c>
      <c r="F34" s="126" t="str">
        <f>IFERROR(INDEX('IG 콘텐츠 data'!$A$1:$AL$25,MATCH('IG 신규발행'!$A34,'IG 콘텐츠 data'!$U:$U,0),MATCH(F$3,'IG 콘텐츠 data'!$A$1:$S$1,0)),"")</f>
        <v/>
      </c>
      <c r="G34" s="126" t="str">
        <f>IFERROR(INDEX('IG 콘텐츠 data'!$A$1:$AL$25,MATCH('IG 신규발행'!$A34,'IG 콘텐츠 data'!$U:$U,0),MATCH(G$3,'IG 콘텐츠 data'!$A$1:$S$1,0)),"")</f>
        <v/>
      </c>
      <c r="H34" s="126" t="str">
        <f>IFERROR(INDEX('IG 콘텐츠 data'!$A$1:$AL$25,MATCH('IG 신규발행'!$A34,'IG 콘텐츠 data'!$U:$U,0),MATCH(H$3,'IG 콘텐츠 data'!$A$1:$S$1,0)),"")</f>
        <v/>
      </c>
      <c r="I34" s="126" t="str">
        <f>IFERROR(INDEX('IG 콘텐츠 data'!$A$1:$AL$25,MATCH('IG 신규발행'!$A34,'IG 콘텐츠 data'!$U:$U,0),MATCH(I$3,'IG 콘텐츠 data'!$A$1:$S$1,0)),"")</f>
        <v/>
      </c>
      <c r="J34" s="126" t="str">
        <f>IFERROR(INDEX('IG 콘텐츠 data'!$A$1:$AL$25,MATCH('IG 신규발행'!$A34,'IG 콘텐츠 data'!$U:$U,0),MATCH(J$3,'IG 콘텐츠 data'!$A$1:$S$1,0)),"")</f>
        <v/>
      </c>
      <c r="K34" s="126" t="str">
        <f>IFERROR(INDEX('IG 콘텐츠 data'!$L$1:$S$25,MATCH('IG 신규발행'!$A34,'IG 콘텐츠 data'!$U:$U,0),MATCH(K$3,'IG 콘텐츠 data'!$L$1:$S$1,0)),"")</f>
        <v/>
      </c>
      <c r="L34" s="126" t="str">
        <f>IFERROR(INDEX('IG 콘텐츠 data'!$A$1:$AL$25,MATCH('IG 신규발행'!$A34,'IG 콘텐츠 data'!$U:$U,0),MATCH(L$3,'IG 콘텐츠 data'!$A$1:$S$1,0)),"")</f>
        <v/>
      </c>
      <c r="M34" s="126" t="str">
        <f t="shared" si="2"/>
        <v/>
      </c>
      <c r="N34" s="127" t="str">
        <f>IFERROR(M34/F34,"")</f>
        <v/>
      </c>
      <c r="P34" s="48" t="str">
        <f t="shared" si="0"/>
        <v/>
      </c>
      <c r="Q34" s="48" t="str">
        <f t="shared" si="1"/>
        <v/>
      </c>
      <c r="S34" t="str">
        <f t="shared" si="3"/>
        <v/>
      </c>
      <c r="U34" s="118"/>
    </row>
    <row r="35" spans="1:21" ht="17.45" customHeight="1">
      <c r="A35">
        <v>32</v>
      </c>
      <c r="B35" s="124" t="str">
        <f>IFERROR(INDEX('IG 콘텐츠 data'!T:T,MATCH('IG 신규발행'!A35,'IG 콘텐츠 data'!U:U,0)),"")</f>
        <v/>
      </c>
      <c r="C35" s="126" t="str">
        <f>IFERROR(IF(INDEX('IG 콘텐츠 data'!$A$1:$AL$25,MATCH('IG 신규발행'!$A35,'IG 콘텐츠 data'!$U:$U,0),MATCH(C$3,'IG 콘텐츠 data'!$A$1:$S$1,0))="IG 이미지","이미지",IF(INDEX('IG 콘텐츠 data'!$A$1:$AL$25,MATCH('IG 신규발행'!$A35,'IG 콘텐츠 data'!$U:$U,0),MATCH(C$3,'IG 콘텐츠 data'!$A$1:$S$1,0))="IG 슬라이드","슬라이드",IF(INDEX('IG 콘텐츠 data'!$A$1:$AL$25,MATCH('IG 신규발행'!$A35,'IG 콘텐츠 data'!$U:$U,0),MATCH(C$3,'IG 콘텐츠 data'!$A$1:$S$1,0))="Instagram 릴스","영상"))),"")</f>
        <v/>
      </c>
      <c r="D35" s="128" t="str">
        <f>IFERROR(IF(INDEX('IG 콘텐츠 data 제목 입력'!C:C,MATCH('IG 신규발행'!A35,'IG 콘텐츠 data 제목 입력'!A:A,0))=0,"",INDEX('IG 콘텐츠 data 제목 입력'!C:C,MATCH('IG 신규발행'!A35,'IG 콘텐츠 data 제목 입력'!A:A,0))),"")</f>
        <v/>
      </c>
      <c r="E35" s="126" t="str">
        <f>IFERROR(INDEX('IG 콘텐츠 data'!$A$1:$AL$25,MATCH('IG 신규발행'!$A35,'IG 콘텐츠 data'!$U:$U,0),MATCH(E$3,'IG 콘텐츠 data'!$A$1:$S$1,0)),"")</f>
        <v/>
      </c>
      <c r="F35" s="126" t="str">
        <f>IFERROR(INDEX('IG 콘텐츠 data'!$A$1:$AL$25,MATCH('IG 신규발행'!$A35,'IG 콘텐츠 data'!$U:$U,0),MATCH(F$3,'IG 콘텐츠 data'!$A$1:$S$1,0)),"")</f>
        <v/>
      </c>
      <c r="G35" s="126" t="str">
        <f>IFERROR(INDEX('IG 콘텐츠 data'!$A$1:$AL$25,MATCH('IG 신규발행'!$A35,'IG 콘텐츠 data'!$U:$U,0),MATCH(G$3,'IG 콘텐츠 data'!$A$1:$S$1,0)),"")</f>
        <v/>
      </c>
      <c r="H35" s="126" t="str">
        <f>IFERROR(INDEX('IG 콘텐츠 data'!$A$1:$AL$25,MATCH('IG 신규발행'!$A35,'IG 콘텐츠 data'!$U:$U,0),MATCH(H$3,'IG 콘텐츠 data'!$A$1:$S$1,0)),"")</f>
        <v/>
      </c>
      <c r="I35" s="126" t="str">
        <f>IFERROR(INDEX('IG 콘텐츠 data'!$A$1:$AL$25,MATCH('IG 신규발행'!$A35,'IG 콘텐츠 data'!$U:$U,0),MATCH(I$3,'IG 콘텐츠 data'!$A$1:$S$1,0)),"")</f>
        <v/>
      </c>
      <c r="J35" s="126" t="str">
        <f>IFERROR(INDEX('IG 콘텐츠 data'!$A$1:$AL$25,MATCH('IG 신규발행'!$A35,'IG 콘텐츠 data'!$U:$U,0),MATCH(J$3,'IG 콘텐츠 data'!$A$1:$S$1,0)),"")</f>
        <v/>
      </c>
      <c r="K35" s="126" t="str">
        <f>IFERROR(INDEX('IG 콘텐츠 data'!$L$1:$S$25,MATCH('IG 신규발행'!$A35,'IG 콘텐츠 data'!$U:$U,0),MATCH(K$3,'IG 콘텐츠 data'!$L$1:$S$1,0)),"")</f>
        <v/>
      </c>
      <c r="L35" s="126" t="str">
        <f>IFERROR(INDEX('IG 콘텐츠 data'!$A$1:$AL$25,MATCH('IG 신규발행'!$A35,'IG 콘텐츠 data'!$U:$U,0),MATCH(L$3,'IG 콘텐츠 data'!$A$1:$S$1,0)),"")</f>
        <v/>
      </c>
      <c r="M35" s="126" t="str">
        <f t="shared" si="2"/>
        <v/>
      </c>
      <c r="N35" s="127" t="str">
        <f>IFERROR(M35/F35,"")</f>
        <v/>
      </c>
      <c r="P35" s="48" t="str">
        <f t="shared" si="0"/>
        <v/>
      </c>
      <c r="Q35" s="48" t="str">
        <f t="shared" si="1"/>
        <v/>
      </c>
      <c r="S35" t="str">
        <f t="shared" si="3"/>
        <v/>
      </c>
      <c r="U35" s="118"/>
    </row>
    <row r="36" spans="1:21" ht="17.45" customHeight="1">
      <c r="A36">
        <v>33</v>
      </c>
      <c r="B36" s="124" t="str">
        <f>IFERROR(INDEX('IG 콘텐츠 data'!T:T,MATCH('IG 신규발행'!A36,'IG 콘텐츠 data'!U:U,0)),"")</f>
        <v/>
      </c>
      <c r="C36" s="126" t="str">
        <f>IFERROR(IF(INDEX('IG 콘텐츠 data'!$A$1:$AL$25,MATCH('IG 신규발행'!$A36,'IG 콘텐츠 data'!$U:$U,0),MATCH(C$3,'IG 콘텐츠 data'!$A$1:$S$1,0))="IG 이미지","이미지",IF(INDEX('IG 콘텐츠 data'!$A$1:$AL$25,MATCH('IG 신규발행'!$A36,'IG 콘텐츠 data'!$U:$U,0),MATCH(C$3,'IG 콘텐츠 data'!$A$1:$S$1,0))="IG 슬라이드","슬라이드",IF(INDEX('IG 콘텐츠 data'!$A$1:$AL$25,MATCH('IG 신규발행'!$A36,'IG 콘텐츠 data'!$U:$U,0),MATCH(C$3,'IG 콘텐츠 data'!$A$1:$S$1,0))="Instagram 릴스","영상"))),"")</f>
        <v/>
      </c>
      <c r="D36" s="128" t="str">
        <f>IFERROR(IF(INDEX('IG 콘텐츠 data 제목 입력'!C:C,MATCH('IG 신규발행'!A36,'IG 콘텐츠 data 제목 입력'!A:A,0))=0,"",INDEX('IG 콘텐츠 data 제목 입력'!C:C,MATCH('IG 신규발행'!A36,'IG 콘텐츠 data 제목 입력'!A:A,0))),"")</f>
        <v/>
      </c>
      <c r="E36" s="126" t="str">
        <f>IFERROR(INDEX('IG 콘텐츠 data'!$A$1:$AL$25,MATCH('IG 신규발행'!$A36,'IG 콘텐츠 data'!$U:$U,0),MATCH(E$3,'IG 콘텐츠 data'!$A$1:$S$1,0)),"")</f>
        <v/>
      </c>
      <c r="F36" s="126" t="str">
        <f>IFERROR(INDEX('IG 콘텐츠 data'!$A$1:$AL$25,MATCH('IG 신규발행'!$A36,'IG 콘텐츠 data'!$U:$U,0),MATCH(F$3,'IG 콘텐츠 data'!$A$1:$S$1,0)),"")</f>
        <v/>
      </c>
      <c r="G36" s="126" t="str">
        <f>IFERROR(INDEX('IG 콘텐츠 data'!$A$1:$AL$25,MATCH('IG 신규발행'!$A36,'IG 콘텐츠 data'!$U:$U,0),MATCH(G$3,'IG 콘텐츠 data'!$A$1:$S$1,0)),"")</f>
        <v/>
      </c>
      <c r="H36" s="126" t="str">
        <f>IFERROR(INDEX('IG 콘텐츠 data'!$A$1:$AL$25,MATCH('IG 신규발행'!$A36,'IG 콘텐츠 data'!$U:$U,0),MATCH(H$3,'IG 콘텐츠 data'!$A$1:$S$1,0)),"")</f>
        <v/>
      </c>
      <c r="I36" s="126" t="str">
        <f>IFERROR(INDEX('IG 콘텐츠 data'!$A$1:$AL$25,MATCH('IG 신규발행'!$A36,'IG 콘텐츠 data'!$U:$U,0),MATCH(I$3,'IG 콘텐츠 data'!$A$1:$S$1,0)),"")</f>
        <v/>
      </c>
      <c r="J36" s="126" t="str">
        <f>IFERROR(INDEX('IG 콘텐츠 data'!$A$1:$AL$25,MATCH('IG 신규발행'!$A36,'IG 콘텐츠 data'!$U:$U,0),MATCH(J$3,'IG 콘텐츠 data'!$A$1:$S$1,0)),"")</f>
        <v/>
      </c>
      <c r="K36" s="126" t="str">
        <f>IFERROR(INDEX('IG 콘텐츠 data'!$L$1:$S$25,MATCH('IG 신규발행'!$A36,'IG 콘텐츠 data'!$U:$U,0),MATCH(K$3,'IG 콘텐츠 data'!$L$1:$S$1,0)),"")</f>
        <v/>
      </c>
      <c r="L36" s="126" t="str">
        <f>IFERROR(INDEX('IG 콘텐츠 data'!$A$1:$AL$25,MATCH('IG 신규발행'!$A36,'IG 콘텐츠 data'!$U:$U,0),MATCH(L$3,'IG 콘텐츠 data'!$A$1:$S$1,0)),"")</f>
        <v/>
      </c>
      <c r="M36" s="126" t="str">
        <f t="shared" si="2"/>
        <v/>
      </c>
      <c r="N36" s="127" t="str">
        <f>IFERROR(M36/F36,"")</f>
        <v/>
      </c>
      <c r="P36" s="48" t="str">
        <f t="shared" si="0"/>
        <v/>
      </c>
      <c r="Q36" s="48" t="str">
        <f t="shared" si="1"/>
        <v/>
      </c>
      <c r="S36" t="str">
        <f t="shared" si="3"/>
        <v/>
      </c>
      <c r="U36" s="118"/>
    </row>
    <row r="37" spans="1:21" ht="17.45" customHeight="1">
      <c r="A37">
        <v>34</v>
      </c>
      <c r="B37" s="124" t="str">
        <f>IFERROR(INDEX('IG 콘텐츠 data'!T:T,MATCH('IG 신규발행'!A37,'IG 콘텐츠 data'!U:U,0)),"")</f>
        <v/>
      </c>
      <c r="C37" s="126" t="str">
        <f>IFERROR(IF(INDEX('IG 콘텐츠 data'!$A$1:$AL$25,MATCH('IG 신규발행'!$A37,'IG 콘텐츠 data'!$U:$U,0),MATCH(C$3,'IG 콘텐츠 data'!$A$1:$S$1,0))="IG 이미지","이미지",IF(INDEX('IG 콘텐츠 data'!$A$1:$AL$25,MATCH('IG 신규발행'!$A37,'IG 콘텐츠 data'!$U:$U,0),MATCH(C$3,'IG 콘텐츠 data'!$A$1:$S$1,0))="IG 슬라이드","슬라이드",IF(INDEX('IG 콘텐츠 data'!$A$1:$AL$25,MATCH('IG 신규발행'!$A37,'IG 콘텐츠 data'!$U:$U,0),MATCH(C$3,'IG 콘텐츠 data'!$A$1:$S$1,0))="Instagram 릴스","영상"))),"")</f>
        <v/>
      </c>
      <c r="D37" s="128" t="str">
        <f>IFERROR(IF(INDEX('IG 콘텐츠 data 제목 입력'!C:C,MATCH('IG 신규발행'!A37,'IG 콘텐츠 data 제목 입력'!A:A,0))=0,"",INDEX('IG 콘텐츠 data 제목 입력'!C:C,MATCH('IG 신규발행'!A37,'IG 콘텐츠 data 제목 입력'!A:A,0))),"")</f>
        <v/>
      </c>
      <c r="E37" s="126" t="str">
        <f>IFERROR(INDEX('IG 콘텐츠 data'!$A$1:$AL$25,MATCH('IG 신규발행'!$A37,'IG 콘텐츠 data'!$U:$U,0),MATCH(E$3,'IG 콘텐츠 data'!$A$1:$S$1,0)),"")</f>
        <v/>
      </c>
      <c r="F37" s="126" t="str">
        <f>IFERROR(INDEX('IG 콘텐츠 data'!$A$1:$AL$25,MATCH('IG 신규발행'!$A37,'IG 콘텐츠 data'!$U:$U,0),MATCH(F$3,'IG 콘텐츠 data'!$A$1:$S$1,0)),"")</f>
        <v/>
      </c>
      <c r="G37" s="126" t="str">
        <f>IFERROR(INDEX('IG 콘텐츠 data'!$A$1:$AL$25,MATCH('IG 신규발행'!$A37,'IG 콘텐츠 data'!$U:$U,0),MATCH(G$3,'IG 콘텐츠 data'!$A$1:$S$1,0)),"")</f>
        <v/>
      </c>
      <c r="H37" s="126" t="str">
        <f>IFERROR(INDEX('IG 콘텐츠 data'!$A$1:$AL$25,MATCH('IG 신규발행'!$A37,'IG 콘텐츠 data'!$U:$U,0),MATCH(H$3,'IG 콘텐츠 data'!$A$1:$S$1,0)),"")</f>
        <v/>
      </c>
      <c r="I37" s="126" t="str">
        <f>IFERROR(INDEX('IG 콘텐츠 data'!$A$1:$AL$25,MATCH('IG 신규발행'!$A37,'IG 콘텐츠 data'!$U:$U,0),MATCH(I$3,'IG 콘텐츠 data'!$A$1:$S$1,0)),"")</f>
        <v/>
      </c>
      <c r="J37" s="126" t="str">
        <f>IFERROR(INDEX('IG 콘텐츠 data'!$A$1:$AL$25,MATCH('IG 신규발행'!$A37,'IG 콘텐츠 data'!$U:$U,0),MATCH(J$3,'IG 콘텐츠 data'!$A$1:$S$1,0)),"")</f>
        <v/>
      </c>
      <c r="K37" s="126" t="str">
        <f>IFERROR(INDEX('IG 콘텐츠 data'!$L$1:$S$25,MATCH('IG 신규발행'!$A37,'IG 콘텐츠 data'!$U:$U,0),MATCH(K$3,'IG 콘텐츠 data'!$L$1:$S$1,0)),"")</f>
        <v/>
      </c>
      <c r="L37" s="126" t="str">
        <f>IFERROR(INDEX('IG 콘텐츠 data'!$A$1:$AL$25,MATCH('IG 신규발행'!$A37,'IG 콘텐츠 data'!$U:$U,0),MATCH(L$3,'IG 콘텐츠 data'!$A$1:$S$1,0)),"")</f>
        <v/>
      </c>
      <c r="M37" s="126" t="str">
        <f t="shared" si="2"/>
        <v/>
      </c>
      <c r="N37" s="127" t="str">
        <f>IFERROR(M37/F37,"")</f>
        <v/>
      </c>
      <c r="P37" s="48" t="str">
        <f t="shared" si="0"/>
        <v/>
      </c>
      <c r="Q37" s="48" t="str">
        <f t="shared" si="1"/>
        <v/>
      </c>
      <c r="S37" t="str">
        <f t="shared" si="3"/>
        <v/>
      </c>
      <c r="U37" s="118"/>
    </row>
    <row r="38" spans="1:21" ht="17.45" customHeight="1">
      <c r="A38">
        <v>35</v>
      </c>
      <c r="B38" s="124" t="str">
        <f>IFERROR(INDEX('IG 콘텐츠 data'!T:T,MATCH('IG 신규발행'!A38,'IG 콘텐츠 data'!U:U,0)),"")</f>
        <v/>
      </c>
      <c r="C38" s="126" t="str">
        <f>IFERROR(IF(INDEX('IG 콘텐츠 data'!$A$1:$AL$25,MATCH('IG 신규발행'!$A38,'IG 콘텐츠 data'!$U:$U,0),MATCH(C$3,'IG 콘텐츠 data'!$A$1:$S$1,0))="IG 이미지","이미지",IF(INDEX('IG 콘텐츠 data'!$A$1:$AL$25,MATCH('IG 신규발행'!$A38,'IG 콘텐츠 data'!$U:$U,0),MATCH(C$3,'IG 콘텐츠 data'!$A$1:$S$1,0))="IG 슬라이드","슬라이드",IF(INDEX('IG 콘텐츠 data'!$A$1:$AL$25,MATCH('IG 신규발행'!$A38,'IG 콘텐츠 data'!$U:$U,0),MATCH(C$3,'IG 콘텐츠 data'!$A$1:$S$1,0))="Instagram 릴스","영상"))),"")</f>
        <v/>
      </c>
      <c r="D38" s="128" t="str">
        <f>IFERROR(IF(INDEX('IG 콘텐츠 data 제목 입력'!C:C,MATCH('IG 신규발행'!A38,'IG 콘텐츠 data 제목 입력'!A:A,0))=0,"",INDEX('IG 콘텐츠 data 제목 입력'!C:C,MATCH('IG 신규발행'!A38,'IG 콘텐츠 data 제목 입력'!A:A,0))),"")</f>
        <v/>
      </c>
      <c r="E38" s="126" t="str">
        <f>IFERROR(INDEX('IG 콘텐츠 data'!$A$1:$AL$25,MATCH('IG 신규발행'!$A38,'IG 콘텐츠 data'!$U:$U,0),MATCH(E$3,'IG 콘텐츠 data'!$A$1:$S$1,0)),"")</f>
        <v/>
      </c>
      <c r="F38" s="126" t="str">
        <f>IFERROR(INDEX('IG 콘텐츠 data'!$A$1:$AL$25,MATCH('IG 신규발행'!$A38,'IG 콘텐츠 data'!$U:$U,0),MATCH(F$3,'IG 콘텐츠 data'!$A$1:$S$1,0)),"")</f>
        <v/>
      </c>
      <c r="G38" s="126" t="str">
        <f>IFERROR(INDEX('IG 콘텐츠 data'!$A$1:$AL$25,MATCH('IG 신규발행'!$A38,'IG 콘텐츠 data'!$U:$U,0),MATCH(G$3,'IG 콘텐츠 data'!$A$1:$S$1,0)),"")</f>
        <v/>
      </c>
      <c r="H38" s="126" t="str">
        <f>IFERROR(INDEX('IG 콘텐츠 data'!$A$1:$AL$25,MATCH('IG 신규발행'!$A38,'IG 콘텐츠 data'!$U:$U,0),MATCH(H$3,'IG 콘텐츠 data'!$A$1:$S$1,0)),"")</f>
        <v/>
      </c>
      <c r="I38" s="126" t="str">
        <f>IFERROR(INDEX('IG 콘텐츠 data'!$A$1:$AL$25,MATCH('IG 신규발행'!$A38,'IG 콘텐츠 data'!$U:$U,0),MATCH(I$3,'IG 콘텐츠 data'!$A$1:$S$1,0)),"")</f>
        <v/>
      </c>
      <c r="J38" s="126" t="str">
        <f>IFERROR(INDEX('IG 콘텐츠 data'!$A$1:$AL$25,MATCH('IG 신규발행'!$A38,'IG 콘텐츠 data'!$U:$U,0),MATCH(J$3,'IG 콘텐츠 data'!$A$1:$S$1,0)),"")</f>
        <v/>
      </c>
      <c r="K38" s="126" t="str">
        <f>IFERROR(INDEX('IG 콘텐츠 data'!$L$1:$S$25,MATCH('IG 신규발행'!$A38,'IG 콘텐츠 data'!$U:$U,0),MATCH(K$3,'IG 콘텐츠 data'!$L$1:$S$1,0)),"")</f>
        <v/>
      </c>
      <c r="L38" s="126" t="str">
        <f>IFERROR(INDEX('IG 콘텐츠 data'!$A$1:$AL$25,MATCH('IG 신규발행'!$A38,'IG 콘텐츠 data'!$U:$U,0),MATCH(L$3,'IG 콘텐츠 data'!$A$1:$S$1,0)),"")</f>
        <v/>
      </c>
      <c r="M38" s="126" t="str">
        <f t="shared" si="2"/>
        <v/>
      </c>
      <c r="N38" s="127" t="str">
        <f>IFERROR(M38/F38,"")</f>
        <v/>
      </c>
      <c r="P38" s="48" t="str">
        <f t="shared" si="0"/>
        <v/>
      </c>
      <c r="Q38" s="48" t="str">
        <f t="shared" si="1"/>
        <v/>
      </c>
      <c r="S38" t="str">
        <f t="shared" si="3"/>
        <v/>
      </c>
      <c r="U38" s="118"/>
    </row>
    <row r="39" spans="1:21" ht="17.45" customHeight="1">
      <c r="A39">
        <v>36</v>
      </c>
      <c r="B39" s="124" t="str">
        <f>IFERROR(INDEX('IG 콘텐츠 data'!T:T,MATCH('IG 신규발행'!A39,'IG 콘텐츠 data'!U:U,0)),"")</f>
        <v/>
      </c>
      <c r="C39" s="126" t="str">
        <f>IFERROR(IF(INDEX('IG 콘텐츠 data'!$A$1:$AL$25,MATCH('IG 신규발행'!$A39,'IG 콘텐츠 data'!$U:$U,0),MATCH(C$3,'IG 콘텐츠 data'!$A$1:$S$1,0))="IG 이미지","이미지",IF(INDEX('IG 콘텐츠 data'!$A$1:$AL$25,MATCH('IG 신규발행'!$A39,'IG 콘텐츠 data'!$U:$U,0),MATCH(C$3,'IG 콘텐츠 data'!$A$1:$S$1,0))="IG 슬라이드","슬라이드",IF(INDEX('IG 콘텐츠 data'!$A$1:$AL$25,MATCH('IG 신규발행'!$A39,'IG 콘텐츠 data'!$U:$U,0),MATCH(C$3,'IG 콘텐츠 data'!$A$1:$S$1,0))="Instagram 릴스","영상"))),"")</f>
        <v/>
      </c>
      <c r="D39" s="128" t="str">
        <f>IFERROR(IF(INDEX('IG 콘텐츠 data 제목 입력'!C:C,MATCH('IG 신규발행'!A39,'IG 콘텐츠 data 제목 입력'!A:A,0))=0,"",INDEX('IG 콘텐츠 data 제목 입력'!C:C,MATCH('IG 신규발행'!A39,'IG 콘텐츠 data 제목 입력'!A:A,0))),"")</f>
        <v/>
      </c>
      <c r="E39" s="126" t="str">
        <f>IFERROR(INDEX('IG 콘텐츠 data'!$A$1:$AL$25,MATCH('IG 신규발행'!$A39,'IG 콘텐츠 data'!$U:$U,0),MATCH(E$3,'IG 콘텐츠 data'!$A$1:$S$1,0)),"")</f>
        <v/>
      </c>
      <c r="F39" s="126" t="str">
        <f>IFERROR(INDEX('IG 콘텐츠 data'!$A$1:$AL$25,MATCH('IG 신규발행'!$A39,'IG 콘텐츠 data'!$U:$U,0),MATCH(F$3,'IG 콘텐츠 data'!$A$1:$S$1,0)),"")</f>
        <v/>
      </c>
      <c r="G39" s="126" t="str">
        <f>IFERROR(INDEX('IG 콘텐츠 data'!$A$1:$AL$25,MATCH('IG 신규발행'!$A39,'IG 콘텐츠 data'!$U:$U,0),MATCH(G$3,'IG 콘텐츠 data'!$A$1:$S$1,0)),"")</f>
        <v/>
      </c>
      <c r="H39" s="126" t="str">
        <f>IFERROR(INDEX('IG 콘텐츠 data'!$A$1:$AL$25,MATCH('IG 신규발행'!$A39,'IG 콘텐츠 data'!$U:$U,0),MATCH(H$3,'IG 콘텐츠 data'!$A$1:$S$1,0)),"")</f>
        <v/>
      </c>
      <c r="I39" s="126" t="str">
        <f>IFERROR(INDEX('IG 콘텐츠 data'!$A$1:$AL$25,MATCH('IG 신규발행'!$A39,'IG 콘텐츠 data'!$U:$U,0),MATCH(I$3,'IG 콘텐츠 data'!$A$1:$S$1,0)),"")</f>
        <v/>
      </c>
      <c r="J39" s="126" t="str">
        <f>IFERROR(INDEX('IG 콘텐츠 data'!$A$1:$AL$25,MATCH('IG 신규발행'!$A39,'IG 콘텐츠 data'!$U:$U,0),MATCH(J$3,'IG 콘텐츠 data'!$A$1:$S$1,0)),"")</f>
        <v/>
      </c>
      <c r="K39" s="126" t="str">
        <f>IFERROR(INDEX('IG 콘텐츠 data'!$L$1:$S$25,MATCH('IG 신규발행'!$A39,'IG 콘텐츠 data'!$U:$U,0),MATCH(K$3,'IG 콘텐츠 data'!$L$1:$S$1,0)),"")</f>
        <v/>
      </c>
      <c r="L39" s="126" t="str">
        <f>IFERROR(INDEX('IG 콘텐츠 data'!$A$1:$AL$25,MATCH('IG 신규발행'!$A39,'IG 콘텐츠 data'!$U:$U,0),MATCH(L$3,'IG 콘텐츠 data'!$A$1:$S$1,0)),"")</f>
        <v/>
      </c>
      <c r="M39" s="126" t="str">
        <f t="shared" si="2"/>
        <v/>
      </c>
      <c r="N39" s="127" t="str">
        <f>IFERROR(M39/F39,"")</f>
        <v/>
      </c>
      <c r="P39" s="48" t="str">
        <f t="shared" si="0"/>
        <v/>
      </c>
      <c r="Q39" s="48" t="str">
        <f t="shared" si="1"/>
        <v/>
      </c>
      <c r="S39" t="str">
        <f t="shared" si="3"/>
        <v/>
      </c>
      <c r="U39" s="118"/>
    </row>
    <row r="40" spans="1:21" ht="17.45" customHeight="1">
      <c r="A40">
        <v>37</v>
      </c>
      <c r="B40" s="124" t="str">
        <f>IFERROR(INDEX('IG 콘텐츠 data'!T:T,MATCH('IG 신규발행'!A40,'IG 콘텐츠 data'!U:U,0)),"")</f>
        <v/>
      </c>
      <c r="C40" s="126" t="str">
        <f>IFERROR(IF(INDEX('IG 콘텐츠 data'!$A$1:$AL$25,MATCH('IG 신규발행'!$A40,'IG 콘텐츠 data'!$U:$U,0),MATCH(C$3,'IG 콘텐츠 data'!$A$1:$S$1,0))="IG 이미지","이미지",IF(INDEX('IG 콘텐츠 data'!$A$1:$AL$25,MATCH('IG 신규발행'!$A40,'IG 콘텐츠 data'!$U:$U,0),MATCH(C$3,'IG 콘텐츠 data'!$A$1:$S$1,0))="IG 슬라이드","슬라이드",IF(INDEX('IG 콘텐츠 data'!$A$1:$AL$25,MATCH('IG 신규발행'!$A40,'IG 콘텐츠 data'!$U:$U,0),MATCH(C$3,'IG 콘텐츠 data'!$A$1:$S$1,0))="Instagram 릴스","영상"))),"")</f>
        <v/>
      </c>
      <c r="D40" s="128" t="str">
        <f>IFERROR(IF(INDEX('IG 콘텐츠 data 제목 입력'!C:C,MATCH('IG 신규발행'!A40,'IG 콘텐츠 data 제목 입력'!A:A,0))=0,"",INDEX('IG 콘텐츠 data 제목 입력'!C:C,MATCH('IG 신규발행'!A40,'IG 콘텐츠 data 제목 입력'!A:A,0))),"")</f>
        <v/>
      </c>
      <c r="E40" s="126" t="str">
        <f>IFERROR(INDEX('IG 콘텐츠 data'!$A$1:$AL$25,MATCH('IG 신규발행'!$A40,'IG 콘텐츠 data'!$U:$U,0),MATCH(E$3,'IG 콘텐츠 data'!$A$1:$S$1,0)),"")</f>
        <v/>
      </c>
      <c r="F40" s="126" t="str">
        <f>IFERROR(INDEX('IG 콘텐츠 data'!$A$1:$AL$25,MATCH('IG 신규발행'!$A40,'IG 콘텐츠 data'!$U:$U,0),MATCH(F$3,'IG 콘텐츠 data'!$A$1:$S$1,0)),"")</f>
        <v/>
      </c>
      <c r="G40" s="126" t="str">
        <f>IFERROR(INDEX('IG 콘텐츠 data'!$A$1:$AL$25,MATCH('IG 신규발행'!$A40,'IG 콘텐츠 data'!$U:$U,0),MATCH(G$3,'IG 콘텐츠 data'!$A$1:$S$1,0)),"")</f>
        <v/>
      </c>
      <c r="H40" s="126" t="str">
        <f>IFERROR(INDEX('IG 콘텐츠 data'!$A$1:$AL$25,MATCH('IG 신규발행'!$A40,'IG 콘텐츠 data'!$U:$U,0),MATCH(H$3,'IG 콘텐츠 data'!$A$1:$S$1,0)),"")</f>
        <v/>
      </c>
      <c r="I40" s="126" t="str">
        <f>IFERROR(INDEX('IG 콘텐츠 data'!$A$1:$AL$25,MATCH('IG 신규발행'!$A40,'IG 콘텐츠 data'!$U:$U,0),MATCH(I$3,'IG 콘텐츠 data'!$A$1:$S$1,0)),"")</f>
        <v/>
      </c>
      <c r="J40" s="126" t="str">
        <f>IFERROR(INDEX('IG 콘텐츠 data'!$A$1:$AL$25,MATCH('IG 신규발행'!$A40,'IG 콘텐츠 data'!$U:$U,0),MATCH(J$3,'IG 콘텐츠 data'!$A$1:$S$1,0)),"")</f>
        <v/>
      </c>
      <c r="K40" s="126" t="str">
        <f>IFERROR(INDEX('IG 콘텐츠 data'!$L$1:$S$25,MATCH('IG 신규발행'!$A40,'IG 콘텐츠 data'!$U:$U,0),MATCH(K$3,'IG 콘텐츠 data'!$L$1:$S$1,0)),"")</f>
        <v/>
      </c>
      <c r="L40" s="126" t="str">
        <f>IFERROR(INDEX('IG 콘텐츠 data'!$A$1:$AL$25,MATCH('IG 신규발행'!$A40,'IG 콘텐츠 data'!$U:$U,0),MATCH(L$3,'IG 콘텐츠 data'!$A$1:$S$1,0)),"")</f>
        <v/>
      </c>
      <c r="M40" s="126" t="str">
        <f t="shared" si="2"/>
        <v/>
      </c>
      <c r="N40" s="127" t="str">
        <f>IFERROR(M40/F40,"")</f>
        <v/>
      </c>
      <c r="P40" s="48" t="str">
        <f t="shared" si="0"/>
        <v/>
      </c>
      <c r="Q40" s="48" t="str">
        <f t="shared" si="1"/>
        <v/>
      </c>
      <c r="S40" t="str">
        <f t="shared" si="3"/>
        <v/>
      </c>
      <c r="U40" s="118"/>
    </row>
    <row r="41" spans="1:21" ht="17.45" customHeight="1">
      <c r="A41">
        <v>38</v>
      </c>
      <c r="B41" s="124" t="str">
        <f>IFERROR(INDEX('IG 콘텐츠 data'!T:T,MATCH('IG 신규발행'!A41,'IG 콘텐츠 data'!U:U,0)),"")</f>
        <v/>
      </c>
      <c r="C41" s="126" t="str">
        <f>IFERROR(IF(INDEX('IG 콘텐츠 data'!$A$1:$AL$25,MATCH('IG 신규발행'!$A41,'IG 콘텐츠 data'!$U:$U,0),MATCH(C$3,'IG 콘텐츠 data'!$A$1:$S$1,0))="IG 이미지","이미지",IF(INDEX('IG 콘텐츠 data'!$A$1:$AL$25,MATCH('IG 신규발행'!$A41,'IG 콘텐츠 data'!$U:$U,0),MATCH(C$3,'IG 콘텐츠 data'!$A$1:$S$1,0))="IG 슬라이드","슬라이드",IF(INDEX('IG 콘텐츠 data'!$A$1:$AL$25,MATCH('IG 신규발행'!$A41,'IG 콘텐츠 data'!$U:$U,0),MATCH(C$3,'IG 콘텐츠 data'!$A$1:$S$1,0))="Instagram 릴스","영상"))),"")</f>
        <v/>
      </c>
      <c r="D41" s="128" t="str">
        <f>IFERROR(IF(INDEX('IG 콘텐츠 data 제목 입력'!C:C,MATCH('IG 신규발행'!A41,'IG 콘텐츠 data 제목 입력'!A:A,0))=0,"",INDEX('IG 콘텐츠 data 제목 입력'!C:C,MATCH('IG 신규발행'!A41,'IG 콘텐츠 data 제목 입력'!A:A,0))),"")</f>
        <v/>
      </c>
      <c r="E41" s="126" t="str">
        <f>IFERROR(INDEX('IG 콘텐츠 data'!$A$1:$AL$25,MATCH('IG 신규발행'!$A41,'IG 콘텐츠 data'!$U:$U,0),MATCH(E$3,'IG 콘텐츠 data'!$A$1:$S$1,0)),"")</f>
        <v/>
      </c>
      <c r="F41" s="126" t="str">
        <f>IFERROR(INDEX('IG 콘텐츠 data'!$A$1:$AL$25,MATCH('IG 신규발행'!$A41,'IG 콘텐츠 data'!$U:$U,0),MATCH(F$3,'IG 콘텐츠 data'!$A$1:$S$1,0)),"")</f>
        <v/>
      </c>
      <c r="G41" s="126" t="str">
        <f>IFERROR(INDEX('IG 콘텐츠 data'!$A$1:$AL$25,MATCH('IG 신규발행'!$A41,'IG 콘텐츠 data'!$U:$U,0),MATCH(G$3,'IG 콘텐츠 data'!$A$1:$S$1,0)),"")</f>
        <v/>
      </c>
      <c r="H41" s="126" t="str">
        <f>IFERROR(INDEX('IG 콘텐츠 data'!$A$1:$AL$25,MATCH('IG 신규발행'!$A41,'IG 콘텐츠 data'!$U:$U,0),MATCH(H$3,'IG 콘텐츠 data'!$A$1:$S$1,0)),"")</f>
        <v/>
      </c>
      <c r="I41" s="126" t="str">
        <f>IFERROR(INDEX('IG 콘텐츠 data'!$A$1:$AL$25,MATCH('IG 신규발행'!$A41,'IG 콘텐츠 data'!$U:$U,0),MATCH(I$3,'IG 콘텐츠 data'!$A$1:$S$1,0)),"")</f>
        <v/>
      </c>
      <c r="J41" s="126" t="str">
        <f>IFERROR(INDEX('IG 콘텐츠 data'!$A$1:$AL$25,MATCH('IG 신규발행'!$A41,'IG 콘텐츠 data'!$U:$U,0),MATCH(J$3,'IG 콘텐츠 data'!$A$1:$S$1,0)),"")</f>
        <v/>
      </c>
      <c r="K41" s="126" t="str">
        <f>IFERROR(INDEX('IG 콘텐츠 data'!$L$1:$S$25,MATCH('IG 신규발행'!$A41,'IG 콘텐츠 data'!$U:$U,0),MATCH(K$3,'IG 콘텐츠 data'!$L$1:$S$1,0)),"")</f>
        <v/>
      </c>
      <c r="L41" s="126" t="str">
        <f>IFERROR(INDEX('IG 콘텐츠 data'!$A$1:$AL$25,MATCH('IG 신규발행'!$A41,'IG 콘텐츠 data'!$U:$U,0),MATCH(L$3,'IG 콘텐츠 data'!$A$1:$S$1,0)),"")</f>
        <v/>
      </c>
      <c r="M41" s="126" t="str">
        <f t="shared" si="2"/>
        <v/>
      </c>
      <c r="N41" s="127" t="str">
        <f>IFERROR(M41/F41,"")</f>
        <v/>
      </c>
      <c r="P41" s="48" t="str">
        <f t="shared" si="0"/>
        <v/>
      </c>
      <c r="Q41" s="48" t="str">
        <f t="shared" si="1"/>
        <v/>
      </c>
      <c r="S41" t="str">
        <f t="shared" si="3"/>
        <v/>
      </c>
      <c r="U41" s="118"/>
    </row>
    <row r="42" spans="1:21" ht="17.45" customHeight="1">
      <c r="A42">
        <v>39</v>
      </c>
      <c r="B42" s="124" t="str">
        <f>IFERROR(INDEX('IG 콘텐츠 data'!T:T,MATCH('IG 신규발행'!A42,'IG 콘텐츠 data'!U:U,0)),"")</f>
        <v/>
      </c>
      <c r="C42" s="126" t="str">
        <f>IFERROR(IF(INDEX('IG 콘텐츠 data'!$A$1:$AL$25,MATCH('IG 신규발행'!$A42,'IG 콘텐츠 data'!$U:$U,0),MATCH(C$3,'IG 콘텐츠 data'!$A$1:$S$1,0))="IG 이미지","이미지",IF(INDEX('IG 콘텐츠 data'!$A$1:$AL$25,MATCH('IG 신규발행'!$A42,'IG 콘텐츠 data'!$U:$U,0),MATCH(C$3,'IG 콘텐츠 data'!$A$1:$S$1,0))="IG 슬라이드","슬라이드",IF(INDEX('IG 콘텐츠 data'!$A$1:$AL$25,MATCH('IG 신규발행'!$A42,'IG 콘텐츠 data'!$U:$U,0),MATCH(C$3,'IG 콘텐츠 data'!$A$1:$S$1,0))="Instagram 릴스","영상"))),"")</f>
        <v/>
      </c>
      <c r="D42" s="128" t="str">
        <f>IFERROR(IF(INDEX('IG 콘텐츠 data 제목 입력'!C:C,MATCH('IG 신규발행'!A42,'IG 콘텐츠 data 제목 입력'!A:A,0))=0,"",INDEX('IG 콘텐츠 data 제목 입력'!C:C,MATCH('IG 신규발행'!A42,'IG 콘텐츠 data 제목 입력'!A:A,0))),"")</f>
        <v/>
      </c>
      <c r="E42" s="126" t="str">
        <f>IFERROR(INDEX('IG 콘텐츠 data'!$A$1:$AL$25,MATCH('IG 신규발행'!$A42,'IG 콘텐츠 data'!$U:$U,0),MATCH(E$3,'IG 콘텐츠 data'!$A$1:$S$1,0)),"")</f>
        <v/>
      </c>
      <c r="F42" s="126" t="str">
        <f>IFERROR(INDEX('IG 콘텐츠 data'!$A$1:$AL$25,MATCH('IG 신규발행'!$A42,'IG 콘텐츠 data'!$U:$U,0),MATCH(F$3,'IG 콘텐츠 data'!$A$1:$S$1,0)),"")</f>
        <v/>
      </c>
      <c r="G42" s="126" t="str">
        <f>IFERROR(INDEX('IG 콘텐츠 data'!$A$1:$AL$25,MATCH('IG 신규발행'!$A42,'IG 콘텐츠 data'!$U:$U,0),MATCH(G$3,'IG 콘텐츠 data'!$A$1:$S$1,0)),"")</f>
        <v/>
      </c>
      <c r="H42" s="126" t="str">
        <f>IFERROR(INDEX('IG 콘텐츠 data'!$A$1:$AL$25,MATCH('IG 신규발행'!$A42,'IG 콘텐츠 data'!$U:$U,0),MATCH(H$3,'IG 콘텐츠 data'!$A$1:$S$1,0)),"")</f>
        <v/>
      </c>
      <c r="I42" s="126" t="str">
        <f>IFERROR(INDEX('IG 콘텐츠 data'!$A$1:$AL$25,MATCH('IG 신규발행'!$A42,'IG 콘텐츠 data'!$U:$U,0),MATCH(I$3,'IG 콘텐츠 data'!$A$1:$S$1,0)),"")</f>
        <v/>
      </c>
      <c r="J42" s="126" t="str">
        <f>IFERROR(INDEX('IG 콘텐츠 data'!$A$1:$AL$25,MATCH('IG 신규발행'!$A42,'IG 콘텐츠 data'!$U:$U,0),MATCH(J$3,'IG 콘텐츠 data'!$A$1:$S$1,0)),"")</f>
        <v/>
      </c>
      <c r="K42" s="126" t="str">
        <f>IFERROR(INDEX('IG 콘텐츠 data'!$L$1:$S$25,MATCH('IG 신규발행'!$A42,'IG 콘텐츠 data'!$U:$U,0),MATCH(K$3,'IG 콘텐츠 data'!$L$1:$S$1,0)),"")</f>
        <v/>
      </c>
      <c r="L42" s="126" t="str">
        <f>IFERROR(INDEX('IG 콘텐츠 data'!$A$1:$AL$25,MATCH('IG 신규발행'!$A42,'IG 콘텐츠 data'!$U:$U,0),MATCH(L$3,'IG 콘텐츠 data'!$A$1:$S$1,0)),"")</f>
        <v/>
      </c>
      <c r="M42" s="126" t="str">
        <f t="shared" si="2"/>
        <v/>
      </c>
      <c r="N42" s="127" t="str">
        <f>IFERROR(M42/F42,"")</f>
        <v/>
      </c>
      <c r="P42" s="48" t="str">
        <f t="shared" si="0"/>
        <v/>
      </c>
      <c r="Q42" s="48" t="str">
        <f t="shared" si="1"/>
        <v/>
      </c>
      <c r="S42" t="str">
        <f t="shared" si="3"/>
        <v/>
      </c>
      <c r="U42" s="118"/>
    </row>
  </sheetData>
  <autoFilter ref="A3:N42" xr:uid="{00000000-0001-0000-0C00-000000000000}"/>
  <phoneticPr fontId="1" type="noConversion"/>
  <pageMargins left="0.7" right="0.7" top="0.75" bottom="0.75" header="0.3" footer="0.3"/>
  <pageSetup paperSize="9" orientation="portrait" r:id="rId1"/>
  <ignoredErrors>
    <ignoredError sqref="K4:K42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9" tint="0.79998168889431442"/>
  </sheetPr>
  <dimension ref="B1:U48"/>
  <sheetViews>
    <sheetView tabSelected="1" workbookViewId="0">
      <selection activeCell="M12" sqref="M12"/>
    </sheetView>
  </sheetViews>
  <sheetFormatPr defaultRowHeight="16.5"/>
  <cols>
    <col min="21" max="21" width="8.625" style="114"/>
  </cols>
  <sheetData>
    <row r="1" spans="2:21">
      <c r="U1" s="59"/>
    </row>
    <row r="2" spans="2:21">
      <c r="U2" s="59"/>
    </row>
    <row r="3" spans="2:21">
      <c r="B3" s="132" t="str">
        <f>HYPERLINK(INDEX('IG 콘텐츠 data'!H:H,MATCH(INDEX('IG 신규발행'!$A:$A,MATCH(1,'IG 신규발행'!$P:$P,0)),'IG 콘텐츠 data'!U:U,0)),"1. "&amp;INDEX('IG 신규발행'!$D:$D,MATCH(1,'IG 신규발행'!$P:$P,0)))</f>
        <v>1. [EVENT] SK에너지 머핀</v>
      </c>
      <c r="H3" s="132" t="str">
        <f>HYPERLINK(INDEX('IG 콘텐츠 data'!H:H,MATCH(INDEX('IG 신규발행'!$A:$A,MATCH(2,'IG 신규발행'!$P:$P,0)),'IG 콘텐츠 data'!U:U,0)),"2. "&amp;INDEX('IG 신규발행'!$D:$D,MATCH(2,'IG 신규발행'!$P:$P,0)))</f>
        <v>2. 슼슼 읽히는 2차전지 이야기</v>
      </c>
      <c r="N3" s="132" t="str">
        <f>HYPERLINK(INDEX('IG 콘텐츠 data'!H:H,MATCH(INDEX('IG 신규발행'!$A:$A,MATCH(3,'IG 신규발행'!$P:$P,0)),'IG 콘텐츠 data'!U:U,0)),"3. "&amp;INDEX('IG 신규발행'!$D:$D,MATCH(3,'IG 신규발행'!$P:$P,0)))</f>
        <v>3. 세계 재활용의 날</v>
      </c>
      <c r="U3" s="59"/>
    </row>
    <row r="4" spans="2:21">
      <c r="E4" s="87"/>
      <c r="K4" s="87"/>
      <c r="Q4" s="87"/>
      <c r="U4" s="59"/>
    </row>
    <row r="5" spans="2:21" ht="17.25" thickBot="1">
      <c r="B5" s="53" t="s">
        <v>87</v>
      </c>
      <c r="C5" s="61">
        <f>VLOOKUP(INDEX('IG 신규발행'!$D:$D,MATCH(1,'IG 신규발행'!$P:$P,0)),'IG 신규발행'!$D:$N,3,FALSE)</f>
        <v>3159</v>
      </c>
      <c r="D5" s="54" t="s">
        <v>89</v>
      </c>
      <c r="E5" s="61">
        <f>VLOOKUP(INDEX('IG 신규발행'!$D:$D,MATCH(1,'IG 신규발행'!$P:$P,0)),'IG 신규발행'!$D:$N,2,FALSE)</f>
        <v>3797</v>
      </c>
      <c r="H5" s="53" t="s">
        <v>69</v>
      </c>
      <c r="I5" s="61">
        <f>VLOOKUP(INDEX('IG 신규발행'!$D:$D,MATCH(2,'IG 신규발행'!$P:$P,0)),'IG 신규발행'!$D:$N,3,FALSE)</f>
        <v>2187</v>
      </c>
      <c r="J5" s="54" t="s">
        <v>89</v>
      </c>
      <c r="K5" s="61">
        <f>VLOOKUP(INDEX('IG 신규발행'!$D:$D,MATCH(2,'IG 신규발행'!$P:$P,0)),'IG 신규발행'!$D:$N,2,FALSE)</f>
        <v>2785</v>
      </c>
      <c r="N5" s="53" t="s">
        <v>69</v>
      </c>
      <c r="O5" s="61">
        <f>VLOOKUP(INDEX('IG 신규발행'!$D:$D,MATCH(3,'IG 신규발행'!$P:$P,0)),'IG 신규발행'!$D:$N,3,FALSE)</f>
        <v>1326</v>
      </c>
      <c r="P5" s="54" t="s">
        <v>89</v>
      </c>
      <c r="Q5" s="61">
        <f>VLOOKUP(INDEX('IG 신규발행'!$D:$D,MATCH(3,'IG 신규발행'!$P:$P,0)),'IG 신규발행'!$D:$N,2,FALSE)</f>
        <v>1685</v>
      </c>
      <c r="U5" s="59"/>
    </row>
    <row r="6" spans="2:21" ht="18" thickTop="1" thickBot="1">
      <c r="B6" s="55" t="s">
        <v>88</v>
      </c>
      <c r="C6" s="61">
        <f>VLOOKUP(INDEX('IG 신규발행'!$D:$D,MATCH(1,'IG 신규발행'!$P:$P,0)),'IG 신규발행'!$D:$N,7,FALSE)</f>
        <v>842</v>
      </c>
      <c r="D6" s="56" t="s">
        <v>90</v>
      </c>
      <c r="E6" s="61">
        <f>VLOOKUP(INDEX('IG 신규발행'!$D:$D,MATCH(1,'IG 신규발행'!$P:$P,0)),'IG 신규발행'!$D:$N,8,FALSE)</f>
        <v>1023</v>
      </c>
      <c r="H6" s="55" t="s">
        <v>88</v>
      </c>
      <c r="I6" s="61">
        <f>VLOOKUP(INDEX('IG 신규발행'!$D:$D,MATCH(2,'IG 신규발행'!$P:$P,0)),'IG 신규발행'!$D:$N,7,FALSE)</f>
        <v>99</v>
      </c>
      <c r="J6" s="56" t="s">
        <v>90</v>
      </c>
      <c r="K6" s="61">
        <f>VLOOKUP(INDEX('IG 신규발행'!$D:$D,MATCH(2,'IG 신규발행'!$P:$P,0)),'IG 신규발행'!$D:$N,8,FALSE)</f>
        <v>1</v>
      </c>
      <c r="N6" s="55" t="s">
        <v>88</v>
      </c>
      <c r="O6" s="61">
        <f>VLOOKUP(INDEX('IG 신규발행'!$D:$D,MATCH(3,'IG 신규발행'!$P:$P,0)),'IG 신규발행'!$D:$N,7,FALSE)</f>
        <v>98</v>
      </c>
      <c r="P6" s="56" t="s">
        <v>90</v>
      </c>
      <c r="Q6" s="61">
        <f>VLOOKUP(INDEX('IG 신규발행'!$D:$D,MATCH(3,'IG 신규발행'!$P:$P,0)),'IG 신규발행'!$D:$N,8,FALSE)</f>
        <v>4</v>
      </c>
      <c r="U6" s="59"/>
    </row>
    <row r="7" spans="2:21" ht="18" thickTop="1" thickBot="1">
      <c r="B7" s="57" t="s">
        <v>91</v>
      </c>
      <c r="C7" s="61">
        <f>VLOOKUP(INDEX('IG 신규발행'!$D:$D,MATCH(1,'IG 신규발행'!$P:$P,0)),'IG 신규발행'!$D:$N,4,FALSE)</f>
        <v>61</v>
      </c>
      <c r="D7" s="56" t="s">
        <v>95</v>
      </c>
      <c r="E7" s="61">
        <f>VLOOKUP(INDEX('IG 신규발행'!$D:$D,MATCH(1,'IG 신규발행'!$P:$P,0)),'IG 신규발행'!$D:$N,9,FALSE)</f>
        <v>64</v>
      </c>
      <c r="H7" s="57" t="s">
        <v>91</v>
      </c>
      <c r="I7" s="61">
        <f>VLOOKUP(INDEX('IG 신규발행'!$D:$D,MATCH(2,'IG 신규발행'!$P:$P,0)),'IG 신규발행'!$D:$N,4,FALSE)</f>
        <v>20</v>
      </c>
      <c r="J7" s="56" t="s">
        <v>85</v>
      </c>
      <c r="K7" s="61">
        <f>VLOOKUP(INDEX('IG 신규발행'!$D:$D,MATCH(2,'IG 신규발행'!$P:$P,0)),'IG 신규발행'!$D:$N,9,FALSE)</f>
        <v>157</v>
      </c>
      <c r="N7" s="57" t="s">
        <v>91</v>
      </c>
      <c r="O7" s="61">
        <f>VLOOKUP(INDEX('IG 신규발행'!$D:$D,MATCH(3,'IG 신규발행'!$P:$P,0)),'IG 신규발행'!$D:$N,4,FALSE)</f>
        <v>5</v>
      </c>
      <c r="P7" s="56" t="s">
        <v>85</v>
      </c>
      <c r="Q7" s="61">
        <f>VLOOKUP(INDEX('IG 신규발행'!$D:$D,MATCH(3,'IG 신규발행'!$P:$P,0)),'IG 신규발행'!$D:$N,9,FALSE)</f>
        <v>24</v>
      </c>
      <c r="U7" s="59"/>
    </row>
    <row r="8" spans="2:21" ht="18" thickTop="1" thickBot="1">
      <c r="B8" s="58" t="s">
        <v>93</v>
      </c>
      <c r="C8" s="61">
        <f>VLOOKUP(INDEX('IG 신규발행'!$D:$D,MATCH(1,'IG 신규발행'!$P:$P,0)),'IG 신규발행'!$D:$N,10,FALSE)</f>
        <v>1990</v>
      </c>
      <c r="D8" s="56" t="s">
        <v>94</v>
      </c>
      <c r="E8" s="86">
        <f>VLOOKUP(INDEX('IG 신규발행'!$D:$D,MATCH(1,'IG 신규발행'!$P:$P,0)),'IG 신규발행'!$D:$N,11,FALSE)</f>
        <v>0.62994618550174108</v>
      </c>
      <c r="H8" s="58" t="s">
        <v>60</v>
      </c>
      <c r="I8" s="61">
        <f>VLOOKUP(INDEX('IG 신규발행'!$D:$D,MATCH(2,'IG 신규발행'!$P:$P,0)),'IG 신규발행'!$D:$N,10,FALSE)</f>
        <v>277</v>
      </c>
      <c r="J8" s="56" t="s">
        <v>65</v>
      </c>
      <c r="K8" s="86">
        <f>VLOOKUP(INDEX('IG 신규발행'!$D:$D,MATCH(2,'IG 신규발행'!$P:$P,0)),'IG 신규발행'!$D:$N,11,FALSE)</f>
        <v>0.12665752171925013</v>
      </c>
      <c r="N8" s="58" t="s">
        <v>60</v>
      </c>
      <c r="O8" s="61">
        <f>VLOOKUP(INDEX('IG 신규발행'!$D:$D,MATCH(3,'IG 신규발행'!$P:$P,0)),'IG 신규발행'!$D:$N,10,FALSE)</f>
        <v>131</v>
      </c>
      <c r="P8" s="56" t="s">
        <v>65</v>
      </c>
      <c r="Q8" s="86">
        <f>VLOOKUP(INDEX('IG 신규발행'!$D:$D,MATCH(3,'IG 신규발행'!$P:$P,0)),'IG 신규발행'!$D:$N,11,FALSE)</f>
        <v>9.8793363499245848E-2</v>
      </c>
      <c r="U8" s="59"/>
    </row>
    <row r="9" spans="2:21" ht="17.25" thickTop="1">
      <c r="U9" s="59"/>
    </row>
    <row r="10" spans="2:21">
      <c r="B10" s="59"/>
      <c r="U10" s="59"/>
    </row>
    <row r="11" spans="2:21">
      <c r="B11" s="52" t="s">
        <v>76</v>
      </c>
      <c r="U11" s="59"/>
    </row>
    <row r="12" spans="2:21">
      <c r="B12" s="52" t="s">
        <v>119</v>
      </c>
      <c r="U12" s="59"/>
    </row>
    <row r="13" spans="2:21">
      <c r="U13" s="59"/>
    </row>
    <row r="14" spans="2:21">
      <c r="U14" s="59"/>
    </row>
    <row r="15" spans="2:21">
      <c r="U15" s="59"/>
    </row>
    <row r="16" spans="2:21">
      <c r="U16" s="59"/>
    </row>
    <row r="17" spans="21:21">
      <c r="U17" s="59"/>
    </row>
    <row r="18" spans="21:21">
      <c r="U18" s="59"/>
    </row>
    <row r="19" spans="21:21">
      <c r="U19" s="59"/>
    </row>
    <row r="20" spans="21:21">
      <c r="U20" s="59"/>
    </row>
    <row r="21" spans="21:21">
      <c r="U21" s="59"/>
    </row>
    <row r="22" spans="21:21">
      <c r="U22" s="59"/>
    </row>
    <row r="23" spans="21:21">
      <c r="U23" s="59"/>
    </row>
    <row r="24" spans="21:21">
      <c r="U24" s="59"/>
    </row>
    <row r="25" spans="21:21">
      <c r="U25" s="59"/>
    </row>
    <row r="26" spans="21:21">
      <c r="U26" s="59"/>
    </row>
    <row r="27" spans="21:21">
      <c r="U27" s="59"/>
    </row>
    <row r="28" spans="21:21">
      <c r="U28" s="59"/>
    </row>
    <row r="29" spans="21:21">
      <c r="U29" s="59"/>
    </row>
    <row r="30" spans="21:21">
      <c r="U30" s="59"/>
    </row>
    <row r="31" spans="21:21">
      <c r="U31" s="59"/>
    </row>
    <row r="32" spans="21:21">
      <c r="U32" s="59"/>
    </row>
    <row r="33" spans="21:21">
      <c r="U33" s="59"/>
    </row>
    <row r="34" spans="21:21">
      <c r="U34" s="59"/>
    </row>
    <row r="35" spans="21:21">
      <c r="U35" s="59"/>
    </row>
    <row r="36" spans="21:21">
      <c r="U36" s="59"/>
    </row>
    <row r="37" spans="21:21">
      <c r="U37" s="59"/>
    </row>
    <row r="38" spans="21:21">
      <c r="U38" s="59"/>
    </row>
    <row r="39" spans="21:21">
      <c r="U39" s="59"/>
    </row>
    <row r="40" spans="21:21">
      <c r="U40" s="59"/>
    </row>
    <row r="41" spans="21:21">
      <c r="U41" s="59"/>
    </row>
    <row r="42" spans="21:21">
      <c r="U42" s="59"/>
    </row>
    <row r="43" spans="21:21">
      <c r="U43" s="59"/>
    </row>
    <row r="44" spans="21:21">
      <c r="U44" s="59"/>
    </row>
    <row r="45" spans="21:21">
      <c r="U45" s="59"/>
    </row>
    <row r="46" spans="21:21">
      <c r="U46" s="59"/>
    </row>
    <row r="47" spans="21:21">
      <c r="U47" s="59"/>
    </row>
    <row r="48" spans="21:21">
      <c r="U48" s="5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B36"/>
  <sheetViews>
    <sheetView workbookViewId="0">
      <selection activeCell="E31" sqref="E31"/>
    </sheetView>
  </sheetViews>
  <sheetFormatPr defaultRowHeight="16.5"/>
  <cols>
    <col min="1" max="1" width="10.875" bestFit="1" customWidth="1"/>
  </cols>
  <sheetData>
    <row r="1" spans="1:2">
      <c r="A1" s="91" t="s">
        <v>108</v>
      </c>
      <c r="B1" s="92" t="s">
        <v>109</v>
      </c>
    </row>
    <row r="2" spans="1:2">
      <c r="A2" s="93" t="str">
        <f>IF(일일data!A4="","",TEXT(일일data!A4,"d"))</f>
        <v>1</v>
      </c>
      <c r="B2" s="90">
        <f>IF(일일data!Y4="","",일일data!Y4)</f>
        <v>198460</v>
      </c>
    </row>
    <row r="3" spans="1:2">
      <c r="A3" s="93" t="str">
        <f>IF(일일data!A5="","",TEXT(일일data!A5,"d"))</f>
        <v>2</v>
      </c>
      <c r="B3" s="90">
        <f>IF(일일data!Y5="","",일일data!Y5)</f>
        <v>198389</v>
      </c>
    </row>
    <row r="4" spans="1:2">
      <c r="A4" s="93" t="str">
        <f>IF(일일data!A6="","",TEXT(일일data!A6,"d"))</f>
        <v>3</v>
      </c>
      <c r="B4" s="90">
        <f>IF(일일data!Y6="","",일일data!Y6)</f>
        <v>198350</v>
      </c>
    </row>
    <row r="5" spans="1:2">
      <c r="A5" s="93" t="str">
        <f>IF(일일data!A7="","",TEXT(일일data!A7,"d"))</f>
        <v>4</v>
      </c>
      <c r="B5" s="90">
        <f>IF(일일data!Y7="","",일일data!Y7)</f>
        <v>198286</v>
      </c>
    </row>
    <row r="6" spans="1:2">
      <c r="A6" s="93" t="str">
        <f>IF(일일data!A8="","",TEXT(일일data!A8,"d"))</f>
        <v>5</v>
      </c>
      <c r="B6" s="90">
        <f>IF(일일data!Y8="","",일일data!Y8)</f>
        <v>198211</v>
      </c>
    </row>
    <row r="7" spans="1:2">
      <c r="A7" s="93" t="str">
        <f>IF(일일data!A9="","",TEXT(일일data!A9,"d"))</f>
        <v>6</v>
      </c>
      <c r="B7" s="90">
        <f>IF(일일data!Y9="","",일일data!Y9)</f>
        <v>198161</v>
      </c>
    </row>
    <row r="8" spans="1:2">
      <c r="A8" s="93" t="str">
        <f>IF(일일data!A10="","",TEXT(일일data!A10,"d"))</f>
        <v>7</v>
      </c>
      <c r="B8" s="90">
        <f>IF(일일data!Y10="","",일일data!Y10)</f>
        <v>198106</v>
      </c>
    </row>
    <row r="9" spans="1:2">
      <c r="A9" s="93" t="str">
        <f>IF(일일data!A11="","",TEXT(일일data!A11,"d"))</f>
        <v>8</v>
      </c>
      <c r="B9" s="90">
        <f>IF(일일data!Y11="","",일일data!Y11)</f>
        <v>198063</v>
      </c>
    </row>
    <row r="10" spans="1:2">
      <c r="A10" s="93" t="str">
        <f>IF(일일data!A12="","",TEXT(일일data!A12,"d"))</f>
        <v>9</v>
      </c>
      <c r="B10" s="90">
        <f>IF(일일data!Y12="","",일일data!Y12)</f>
        <v>197986</v>
      </c>
    </row>
    <row r="11" spans="1:2">
      <c r="A11" s="93" t="str">
        <f>IF(일일data!A13="","",TEXT(일일data!A13,"d"))</f>
        <v>10</v>
      </c>
      <c r="B11" s="90">
        <f>IF(일일data!Y13="","",일일data!Y13)</f>
        <v>197947</v>
      </c>
    </row>
    <row r="12" spans="1:2">
      <c r="A12" s="93" t="str">
        <f>IF(일일data!A14="","",TEXT(일일data!A14,"d"))</f>
        <v>11</v>
      </c>
      <c r="B12" s="90">
        <f>IF(일일data!Y14="","",일일data!Y14)</f>
        <v>197868</v>
      </c>
    </row>
    <row r="13" spans="1:2">
      <c r="A13" s="93" t="str">
        <f>IF(일일data!A15="","",TEXT(일일data!A15,"d"))</f>
        <v>12</v>
      </c>
      <c r="B13" s="90">
        <f>IF(일일data!Y15="","",일일data!Y15)</f>
        <v>197818</v>
      </c>
    </row>
    <row r="14" spans="1:2">
      <c r="A14" s="93" t="str">
        <f>IF(일일data!A16="","",TEXT(일일data!A16,"d"))</f>
        <v>13</v>
      </c>
      <c r="B14" s="90">
        <f>IF(일일data!Y16="","",일일data!Y16)</f>
        <v>197769</v>
      </c>
    </row>
    <row r="15" spans="1:2">
      <c r="A15" s="93" t="str">
        <f>IF(일일data!A17="","",TEXT(일일data!A17,"d"))</f>
        <v>14</v>
      </c>
      <c r="B15" s="90">
        <f>IF(일일data!Y17="","",일일data!Y17)</f>
        <v>197722</v>
      </c>
    </row>
    <row r="16" spans="1:2">
      <c r="A16" s="93" t="str">
        <f>IF(일일data!A18="","",TEXT(일일data!A18,"d"))</f>
        <v>15</v>
      </c>
      <c r="B16" s="90">
        <f>IF(일일data!Y18="","",일일data!Y18)</f>
        <v>197654</v>
      </c>
    </row>
    <row r="17" spans="1:2">
      <c r="A17" s="93" t="str">
        <f>IF(일일data!A19="","",TEXT(일일data!A19,"d"))</f>
        <v>16</v>
      </c>
      <c r="B17" s="90">
        <f>IF(일일data!Y19="","",일일data!Y19)</f>
        <v>197593</v>
      </c>
    </row>
    <row r="18" spans="1:2">
      <c r="A18" s="93" t="str">
        <f>IF(일일data!A20="","",TEXT(일일data!A20,"d"))</f>
        <v>17</v>
      </c>
      <c r="B18" s="90">
        <f>IF(일일data!Y20="","",일일data!Y20)</f>
        <v>197526</v>
      </c>
    </row>
    <row r="19" spans="1:2">
      <c r="A19" s="93" t="str">
        <f>IF(일일data!A21="","",TEXT(일일data!A21,"d"))</f>
        <v>18</v>
      </c>
      <c r="B19" s="90">
        <f>IF(일일data!Y21="","",일일data!Y21)</f>
        <v>197467</v>
      </c>
    </row>
    <row r="20" spans="1:2">
      <c r="A20" s="93" t="str">
        <f>IF(일일data!A22="","",TEXT(일일data!A22,"d"))</f>
        <v>19</v>
      </c>
      <c r="B20" s="90">
        <f>IF(일일data!Y22="","",일일data!Y22)</f>
        <v>197408</v>
      </c>
    </row>
    <row r="21" spans="1:2">
      <c r="A21" s="93" t="str">
        <f>IF(일일data!A23="","",TEXT(일일data!A23,"d"))</f>
        <v>20</v>
      </c>
      <c r="B21" s="90">
        <f>IF(일일data!Y23="","",일일data!Y23)</f>
        <v>197365</v>
      </c>
    </row>
    <row r="22" spans="1:2">
      <c r="A22" s="93" t="str">
        <f>IF(일일data!A24="","",TEXT(일일data!A24,"d"))</f>
        <v>21</v>
      </c>
      <c r="B22" s="90">
        <f>IF(일일data!Y24="","",일일data!Y24)</f>
        <v>197323</v>
      </c>
    </row>
    <row r="23" spans="1:2">
      <c r="A23" s="93" t="str">
        <f>IF(일일data!A25="","",TEXT(일일data!A25,"d"))</f>
        <v>22</v>
      </c>
      <c r="B23" s="90">
        <f>IF(일일data!Y25="","",일일data!Y25)</f>
        <v>197275</v>
      </c>
    </row>
    <row r="24" spans="1:2">
      <c r="A24" s="93" t="str">
        <f>IF(일일data!A26="","",TEXT(일일data!A26,"d"))</f>
        <v>23</v>
      </c>
      <c r="B24" s="90">
        <f>IF(일일data!Y26="","",일일data!Y26)</f>
        <v>197205</v>
      </c>
    </row>
    <row r="25" spans="1:2">
      <c r="A25" s="93" t="str">
        <f>IF(일일data!A27="","",TEXT(일일data!A27,"d"))</f>
        <v>24</v>
      </c>
      <c r="B25" s="90">
        <f>IF(일일data!Y27="","",일일data!Y27)</f>
        <v>197171</v>
      </c>
    </row>
    <row r="26" spans="1:2">
      <c r="A26" s="93" t="str">
        <f>IF(일일data!A28="","",TEXT(일일data!A28,"d"))</f>
        <v>25</v>
      </c>
      <c r="B26" s="90">
        <f>IF(일일data!Y28="","",일일data!Y28)</f>
        <v>197088</v>
      </c>
    </row>
    <row r="27" spans="1:2">
      <c r="A27" s="93" t="str">
        <f>IF(일일data!A29="","",TEXT(일일data!A29,"d"))</f>
        <v>26</v>
      </c>
      <c r="B27" s="90">
        <f>IF(일일data!Y29="","",일일data!Y29)</f>
        <v>197055</v>
      </c>
    </row>
    <row r="28" spans="1:2">
      <c r="A28" s="93" t="str">
        <f>IF(일일data!A30="","",TEXT(일일data!A30,"d"))</f>
        <v>27</v>
      </c>
      <c r="B28" s="90">
        <f>IF(일일data!Y30="","",일일data!Y30)</f>
        <v>197008</v>
      </c>
    </row>
    <row r="29" spans="1:2">
      <c r="A29" s="93" t="str">
        <f>IF(일일data!A31="","",TEXT(일일data!A31,"d"))</f>
        <v>28</v>
      </c>
      <c r="B29" s="90">
        <f>IF(일일data!Y31="","",일일data!Y31)</f>
        <v>196965</v>
      </c>
    </row>
    <row r="30" spans="1:2">
      <c r="A30" s="93" t="str">
        <f>IF(일일data!A32="","",TEXT(일일data!A32,"d"))</f>
        <v>29</v>
      </c>
      <c r="B30" s="90">
        <f>IF(일일data!Y32="","",일일data!Y32)</f>
        <v>196913</v>
      </c>
    </row>
    <row r="31" spans="1:2">
      <c r="A31" s="93" t="str">
        <f>IF(일일data!A33="","",TEXT(일일data!A33,"d"))</f>
        <v>30</v>
      </c>
      <c r="B31" s="90">
        <f>IF(일일data!Y33="","",일일data!Y33)</f>
        <v>196865</v>
      </c>
    </row>
    <row r="32" spans="1:2">
      <c r="A32" s="93" t="str">
        <f>IF(일일data!A34="","",TEXT(일일data!A34,"d"))</f>
        <v>31</v>
      </c>
      <c r="B32" s="90">
        <f>IF(일일data!Y34="","",일일data!Y34)</f>
        <v>196824</v>
      </c>
    </row>
    <row r="36" spans="2:2">
      <c r="B36" s="13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사용방법</vt:lpstr>
      <vt:lpstr>일일data</vt:lpstr>
      <vt:lpstr>채널별 팔로워 추이</vt:lpstr>
      <vt:lpstr>FB 콘텐츠 data</vt:lpstr>
      <vt:lpstr>FB 콘텐츠 data 제목 입력</vt:lpstr>
      <vt:lpstr>구글시트 data</vt:lpstr>
      <vt:lpstr>FB 커버</vt:lpstr>
      <vt:lpstr>FB 신규발행</vt:lpstr>
      <vt:lpstr>FB Top3 Post</vt:lpstr>
      <vt:lpstr>IG 콘텐츠 data</vt:lpstr>
      <vt:lpstr>IG 콘텐츠 data 제목 입력</vt:lpstr>
      <vt:lpstr>IG story data</vt:lpstr>
      <vt:lpstr>IG 커버</vt:lpstr>
      <vt:lpstr>IG 신규발행</vt:lpstr>
      <vt:lpstr>IG Top3 Post</vt:lpstr>
      <vt:lpstr>YT 커버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2023-08-08T04:29:36Z</dcterms:created>
  <dcterms:modified xsi:type="dcterms:W3CDTF">2024-04-10T19:13:44Z</dcterms:modified>
</cp:coreProperties>
</file>