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Prain Global/SK Innovation/국문/5월_SNS/"/>
    </mc:Choice>
  </mc:AlternateContent>
  <xr:revisionPtr revIDLastSave="19" documentId="13_ncr:1_{DAC30EF1-AFEE-4292-9ED5-90FA9D215FA5}" xr6:coauthVersionLast="47" xr6:coauthVersionMax="47" xr10:uidLastSave="{97CE181D-6F4D-43FD-9BAC-2D8505E0694C}"/>
  <bookViews>
    <workbookView xWindow="-98" yWindow="-98" windowWidth="20715" windowHeight="13155" tabRatio="825" firstSheet="3" activeTab="13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구글시트 data" sheetId="21" r:id="rId5"/>
    <sheet name="FB 커버" sheetId="3" r:id="rId6"/>
    <sheet name="FB 신규발행" sheetId="8" r:id="rId7"/>
    <sheet name="FB Top3 Post" sheetId="7" r:id="rId8"/>
    <sheet name="IG 콘텐츠 data" sheetId="11" r:id="rId9"/>
    <sheet name="IG story data" sheetId="15" r:id="rId10"/>
    <sheet name="IG 커버" sheetId="10" r:id="rId11"/>
    <sheet name="IG 신규발행" sheetId="12" r:id="rId12"/>
    <sheet name="IG Top3 Post" sheetId="13" r:id="rId13"/>
    <sheet name="YT 커버" sheetId="2" r:id="rId14"/>
  </sheets>
  <definedNames>
    <definedName name="_xlnm._FilterDatabase" localSheetId="6" hidden="1">'FB 신규발행'!$A$2:$R$82</definedName>
    <definedName name="_xlnm._FilterDatabase" localSheetId="11" hidden="1">'IG 신규발행'!$A$3:$N$42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8" i="15" l="1"/>
  <c r="R17" i="15"/>
  <c r="R16" i="15"/>
  <c r="R15" i="15"/>
  <c r="R14" i="15"/>
  <c r="R13" i="15"/>
  <c r="R12" i="15"/>
  <c r="R11" i="15"/>
  <c r="R10" i="15"/>
  <c r="R9" i="15"/>
  <c r="R8" i="15"/>
  <c r="R7" i="15"/>
  <c r="R6" i="15"/>
  <c r="R5" i="15"/>
  <c r="R4" i="15"/>
  <c r="R3" i="15"/>
  <c r="R2" i="15"/>
  <c r="V5" i="12"/>
  <c r="V6" i="12"/>
  <c r="V7" i="12"/>
  <c r="V4" i="12"/>
  <c r="N5" i="7" l="1"/>
  <c r="L5" i="7"/>
  <c r="I5" i="7"/>
  <c r="G5" i="7"/>
  <c r="D5" i="7"/>
  <c r="B5" i="7"/>
  <c r="U99" i="11" l="1"/>
  <c r="R99" i="11"/>
  <c r="S99" i="11" s="1"/>
  <c r="U98" i="11"/>
  <c r="R98" i="11"/>
  <c r="S98" i="11" s="1"/>
  <c r="U97" i="11"/>
  <c r="R97" i="11"/>
  <c r="U96" i="11"/>
  <c r="R96" i="11"/>
  <c r="U95" i="11"/>
  <c r="R95" i="11"/>
  <c r="S95" i="11" s="1"/>
  <c r="U94" i="11"/>
  <c r="R94" i="11"/>
  <c r="U93" i="11"/>
  <c r="R93" i="11"/>
  <c r="U92" i="11"/>
  <c r="R92" i="11"/>
  <c r="S92" i="11" s="1"/>
  <c r="U91" i="11"/>
  <c r="R91" i="11"/>
  <c r="S91" i="11" s="1"/>
  <c r="U90" i="11"/>
  <c r="R90" i="11"/>
  <c r="S90" i="11" s="1"/>
  <c r="U89" i="11"/>
  <c r="R89" i="11"/>
  <c r="U88" i="11"/>
  <c r="R88" i="11"/>
  <c r="U87" i="11"/>
  <c r="R87" i="11"/>
  <c r="S87" i="11" s="1"/>
  <c r="U86" i="11"/>
  <c r="R86" i="11"/>
  <c r="U85" i="11"/>
  <c r="R85" i="11"/>
  <c r="U84" i="11"/>
  <c r="R84" i="11"/>
  <c r="S84" i="11" s="1"/>
  <c r="U83" i="11"/>
  <c r="R83" i="11"/>
  <c r="S83" i="11" s="1"/>
  <c r="U82" i="11"/>
  <c r="R82" i="11"/>
  <c r="S82" i="11" s="1"/>
  <c r="U81" i="11"/>
  <c r="R81" i="11"/>
  <c r="U80" i="11"/>
  <c r="R80" i="11"/>
  <c r="U79" i="11"/>
  <c r="R79" i="11"/>
  <c r="S79" i="11" s="1"/>
  <c r="U78" i="11"/>
  <c r="R78" i="11"/>
  <c r="U77" i="11"/>
  <c r="R77" i="11"/>
  <c r="U76" i="11"/>
  <c r="R76" i="11"/>
  <c r="S76" i="11" s="1"/>
  <c r="U75" i="11"/>
  <c r="R75" i="11"/>
  <c r="S75" i="11" s="1"/>
  <c r="U74" i="11"/>
  <c r="R74" i="11"/>
  <c r="S74" i="11" s="1"/>
  <c r="U73" i="11"/>
  <c r="R73" i="11"/>
  <c r="U72" i="11"/>
  <c r="R72" i="11"/>
  <c r="U71" i="11"/>
  <c r="R71" i="11"/>
  <c r="S71" i="11" s="1"/>
  <c r="U70" i="11"/>
  <c r="R70" i="11"/>
  <c r="U69" i="11"/>
  <c r="R69" i="11"/>
  <c r="U68" i="11"/>
  <c r="R68" i="11"/>
  <c r="S68" i="11" s="1"/>
  <c r="U67" i="11"/>
  <c r="R67" i="11"/>
  <c r="S67" i="11" s="1"/>
  <c r="U66" i="11"/>
  <c r="R66" i="11"/>
  <c r="S66" i="11" s="1"/>
  <c r="U65" i="11"/>
  <c r="R65" i="11"/>
  <c r="U64" i="11"/>
  <c r="R64" i="11"/>
  <c r="U63" i="11"/>
  <c r="R63" i="11"/>
  <c r="S63" i="11" s="1"/>
  <c r="U62" i="11"/>
  <c r="R62" i="11"/>
  <c r="U61" i="11"/>
  <c r="R61" i="11"/>
  <c r="U60" i="11"/>
  <c r="R60" i="11"/>
  <c r="S60" i="11" s="1"/>
  <c r="U59" i="11"/>
  <c r="R59" i="11"/>
  <c r="S59" i="11" s="1"/>
  <c r="U58" i="11"/>
  <c r="R58" i="11"/>
  <c r="S58" i="11" s="1"/>
  <c r="U57" i="11"/>
  <c r="R57" i="11"/>
  <c r="U56" i="11"/>
  <c r="R56" i="11"/>
  <c r="U55" i="11"/>
  <c r="R55" i="11"/>
  <c r="S55" i="11" s="1"/>
  <c r="U54" i="11"/>
  <c r="R54" i="11"/>
  <c r="U53" i="11"/>
  <c r="R53" i="11"/>
  <c r="U52" i="11"/>
  <c r="R52" i="11"/>
  <c r="S52" i="11" s="1"/>
  <c r="U51" i="11"/>
  <c r="R51" i="11"/>
  <c r="S51" i="11" s="1"/>
  <c r="U50" i="11"/>
  <c r="R50" i="11"/>
  <c r="S50" i="11" s="1"/>
  <c r="U49" i="11"/>
  <c r="S49" i="11"/>
  <c r="R49" i="11"/>
  <c r="U48" i="11"/>
  <c r="R48" i="11"/>
  <c r="U47" i="11"/>
  <c r="R47" i="11"/>
  <c r="S47" i="11" s="1"/>
  <c r="U46" i="11"/>
  <c r="R46" i="11"/>
  <c r="U45" i="11"/>
  <c r="R45" i="11"/>
  <c r="U44" i="11"/>
  <c r="R44" i="11"/>
  <c r="S44" i="11" s="1"/>
  <c r="U43" i="11"/>
  <c r="R43" i="11"/>
  <c r="S43" i="11" s="1"/>
  <c r="U42" i="11"/>
  <c r="R42" i="11"/>
  <c r="S42" i="11" s="1"/>
  <c r="U41" i="11"/>
  <c r="R41" i="11"/>
  <c r="U40" i="11"/>
  <c r="R40" i="11"/>
  <c r="S40" i="11" s="1"/>
  <c r="U39" i="11"/>
  <c r="R39" i="11"/>
  <c r="S39" i="11" s="1"/>
  <c r="U38" i="11"/>
  <c r="R38" i="11"/>
  <c r="U37" i="11"/>
  <c r="R37" i="11"/>
  <c r="U36" i="11"/>
  <c r="R36" i="11"/>
  <c r="S36" i="11" s="1"/>
  <c r="U35" i="11"/>
  <c r="R35" i="11"/>
  <c r="S35" i="11" s="1"/>
  <c r="U34" i="11"/>
  <c r="R34" i="11"/>
  <c r="S34" i="11" s="1"/>
  <c r="U33" i="11"/>
  <c r="R33" i="11"/>
  <c r="U32" i="11"/>
  <c r="R32" i="11"/>
  <c r="S32" i="11" s="1"/>
  <c r="U31" i="11"/>
  <c r="R31" i="11"/>
  <c r="S31" i="11" s="1"/>
  <c r="U30" i="11"/>
  <c r="R30" i="11"/>
  <c r="U29" i="11"/>
  <c r="R29" i="11"/>
  <c r="U28" i="11"/>
  <c r="R28" i="11"/>
  <c r="S28" i="11" s="1"/>
  <c r="U27" i="11"/>
  <c r="R27" i="11"/>
  <c r="S27" i="11" s="1"/>
  <c r="U26" i="11"/>
  <c r="R26" i="11"/>
  <c r="S26" i="11" s="1"/>
  <c r="U25" i="11"/>
  <c r="R25" i="11"/>
  <c r="U24" i="11"/>
  <c r="R24" i="11"/>
  <c r="S24" i="11" s="1"/>
  <c r="U23" i="11"/>
  <c r="R23" i="11"/>
  <c r="S23" i="11" s="1"/>
  <c r="U22" i="11"/>
  <c r="R22" i="11"/>
  <c r="U21" i="11"/>
  <c r="R21" i="11"/>
  <c r="U20" i="11"/>
  <c r="R20" i="11"/>
  <c r="S20" i="11" s="1"/>
  <c r="U19" i="11"/>
  <c r="R19" i="11"/>
  <c r="S19" i="11" s="1"/>
  <c r="U18" i="11"/>
  <c r="R18" i="11"/>
  <c r="S18" i="11" s="1"/>
  <c r="U17" i="11"/>
  <c r="R17" i="11"/>
  <c r="U16" i="11"/>
  <c r="R16" i="11"/>
  <c r="S16" i="11" s="1"/>
  <c r="U15" i="11"/>
  <c r="R15" i="11"/>
  <c r="S15" i="11" s="1"/>
  <c r="U14" i="11"/>
  <c r="R14" i="11"/>
  <c r="U13" i="11"/>
  <c r="R13" i="11"/>
  <c r="U12" i="11"/>
  <c r="R12" i="11"/>
  <c r="S12" i="11" s="1"/>
  <c r="U11" i="11"/>
  <c r="R11" i="11"/>
  <c r="S11" i="11" s="1"/>
  <c r="U10" i="11"/>
  <c r="R10" i="11"/>
  <c r="S10" i="11" s="1"/>
  <c r="U9" i="11"/>
  <c r="R9" i="11"/>
  <c r="U8" i="11"/>
  <c r="R8" i="11"/>
  <c r="S8" i="11" s="1"/>
  <c r="U7" i="11"/>
  <c r="R7" i="11"/>
  <c r="S7" i="11" s="1"/>
  <c r="U6" i="11"/>
  <c r="R6" i="11"/>
  <c r="U5" i="11"/>
  <c r="R5" i="11"/>
  <c r="U4" i="11"/>
  <c r="R4" i="11"/>
  <c r="S46" i="11" s="1"/>
  <c r="U3" i="11"/>
  <c r="R3" i="11"/>
  <c r="S70" i="11" s="1"/>
  <c r="U2" i="11"/>
  <c r="R2" i="11"/>
  <c r="S94" i="11" s="1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Q13" i="6"/>
  <c r="AQ12" i="6"/>
  <c r="AQ11" i="6"/>
  <c r="AQ10" i="6"/>
  <c r="AQ9" i="6"/>
  <c r="AQ8" i="6"/>
  <c r="AQ7" i="6"/>
  <c r="AQ6" i="6"/>
  <c r="AQ5" i="6"/>
  <c r="AQ4" i="6"/>
  <c r="AQ3" i="6"/>
  <c r="AQ2" i="6"/>
  <c r="AR2" i="6" s="1"/>
  <c r="AR4" i="6" l="1"/>
  <c r="AR14" i="6"/>
  <c r="AR30" i="6"/>
  <c r="AR7" i="6"/>
  <c r="AR23" i="6"/>
  <c r="AR8" i="6"/>
  <c r="AR9" i="6"/>
  <c r="AR17" i="6"/>
  <c r="AR25" i="6"/>
  <c r="AR33" i="6"/>
  <c r="AR41" i="6"/>
  <c r="AR42" i="6"/>
  <c r="AR18" i="6"/>
  <c r="AR26" i="6"/>
  <c r="AR34" i="6"/>
  <c r="AR3" i="6"/>
  <c r="AR11" i="6"/>
  <c r="AR19" i="6"/>
  <c r="AR27" i="6"/>
  <c r="AR35" i="6"/>
  <c r="AR43" i="6"/>
  <c r="AR36" i="6"/>
  <c r="AR10" i="6"/>
  <c r="AR12" i="6"/>
  <c r="AR20" i="6"/>
  <c r="AR28" i="6"/>
  <c r="AR5" i="6"/>
  <c r="AR13" i="6"/>
  <c r="AR21" i="6"/>
  <c r="AR29" i="6"/>
  <c r="AR37" i="6"/>
  <c r="AR38" i="6"/>
  <c r="AR39" i="6"/>
  <c r="AR6" i="6"/>
  <c r="AR22" i="6"/>
  <c r="AR15" i="6"/>
  <c r="AR31" i="6"/>
  <c r="AR16" i="6"/>
  <c r="AR24" i="6"/>
  <c r="AR32" i="6"/>
  <c r="AR40" i="6"/>
  <c r="S25" i="11"/>
  <c r="S57" i="11"/>
  <c r="S65" i="11"/>
  <c r="S81" i="11"/>
  <c r="S97" i="11"/>
  <c r="S4" i="11"/>
  <c r="S2" i="11"/>
  <c r="S45" i="11"/>
  <c r="S53" i="11"/>
  <c r="S61" i="11"/>
  <c r="S69" i="11"/>
  <c r="S77" i="11"/>
  <c r="S85" i="11"/>
  <c r="S93" i="11"/>
  <c r="S33" i="11"/>
  <c r="S5" i="11"/>
  <c r="S13" i="11"/>
  <c r="S64" i="11"/>
  <c r="S96" i="11"/>
  <c r="S17" i="11"/>
  <c r="S73" i="11"/>
  <c r="S89" i="11"/>
  <c r="S21" i="11"/>
  <c r="S29" i="11"/>
  <c r="S37" i="11"/>
  <c r="S48" i="11"/>
  <c r="S56" i="11"/>
  <c r="S72" i="11"/>
  <c r="S80" i="11"/>
  <c r="S88" i="11"/>
  <c r="S3" i="11"/>
  <c r="S9" i="11"/>
  <c r="S41" i="11"/>
  <c r="S6" i="11"/>
  <c r="S14" i="11"/>
  <c r="S22" i="11"/>
  <c r="S30" i="11"/>
  <c r="S38" i="11"/>
  <c r="S54" i="11"/>
  <c r="S62" i="11"/>
  <c r="S78" i="11"/>
  <c r="S86" i="11"/>
  <c r="R3" i="7" l="1"/>
  <c r="D1" i="12"/>
  <c r="AZ1" i="6"/>
  <c r="R4" i="3"/>
  <c r="Q6" i="13" l="1"/>
  <c r="O6" i="13"/>
  <c r="K6" i="13"/>
  <c r="I6" i="13"/>
  <c r="E6" i="13"/>
  <c r="C6" i="13"/>
  <c r="N4" i="3"/>
  <c r="L5" i="10"/>
  <c r="A21" i="17" l="1"/>
  <c r="A19" i="17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3" i="8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L42" i="12"/>
  <c r="K42" i="12"/>
  <c r="J42" i="12"/>
  <c r="I42" i="12"/>
  <c r="H42" i="12"/>
  <c r="G42" i="12"/>
  <c r="F42" i="12"/>
  <c r="L41" i="12"/>
  <c r="K41" i="12"/>
  <c r="J41" i="12"/>
  <c r="I41" i="12"/>
  <c r="H41" i="12"/>
  <c r="G41" i="12"/>
  <c r="F41" i="12"/>
  <c r="L40" i="12"/>
  <c r="K40" i="12"/>
  <c r="J40" i="12"/>
  <c r="I40" i="12"/>
  <c r="H40" i="12"/>
  <c r="G40" i="12"/>
  <c r="F40" i="12"/>
  <c r="L39" i="12"/>
  <c r="K39" i="12"/>
  <c r="J39" i="12"/>
  <c r="I39" i="12"/>
  <c r="H39" i="12"/>
  <c r="G39" i="12"/>
  <c r="F39" i="12"/>
  <c r="L38" i="12"/>
  <c r="K38" i="12"/>
  <c r="J38" i="12"/>
  <c r="I38" i="12"/>
  <c r="H38" i="12"/>
  <c r="G38" i="12"/>
  <c r="F38" i="12"/>
  <c r="L37" i="12"/>
  <c r="K37" i="12"/>
  <c r="J37" i="12"/>
  <c r="I37" i="12"/>
  <c r="H37" i="12"/>
  <c r="G37" i="12"/>
  <c r="F37" i="12"/>
  <c r="L36" i="12"/>
  <c r="K36" i="12"/>
  <c r="J36" i="12"/>
  <c r="I36" i="12"/>
  <c r="H36" i="12"/>
  <c r="G36" i="12"/>
  <c r="F36" i="12"/>
  <c r="L35" i="12"/>
  <c r="K35" i="12"/>
  <c r="J35" i="12"/>
  <c r="I35" i="12"/>
  <c r="H35" i="12"/>
  <c r="G35" i="12"/>
  <c r="F35" i="12"/>
  <c r="L34" i="12"/>
  <c r="K34" i="12"/>
  <c r="J34" i="12"/>
  <c r="I34" i="12"/>
  <c r="H34" i="12"/>
  <c r="G34" i="12"/>
  <c r="F34" i="12"/>
  <c r="L33" i="12"/>
  <c r="K33" i="12"/>
  <c r="J33" i="12"/>
  <c r="I33" i="12"/>
  <c r="H33" i="12"/>
  <c r="G33" i="12"/>
  <c r="F33" i="12"/>
  <c r="L32" i="12"/>
  <c r="K32" i="12"/>
  <c r="J32" i="12"/>
  <c r="I32" i="12"/>
  <c r="H32" i="12"/>
  <c r="G32" i="12"/>
  <c r="F32" i="12"/>
  <c r="L31" i="12"/>
  <c r="K31" i="12"/>
  <c r="J31" i="12"/>
  <c r="I31" i="12"/>
  <c r="H31" i="12"/>
  <c r="G31" i="12"/>
  <c r="F31" i="12"/>
  <c r="L30" i="12"/>
  <c r="K30" i="12"/>
  <c r="J30" i="12"/>
  <c r="I30" i="12"/>
  <c r="H30" i="12"/>
  <c r="G30" i="12"/>
  <c r="F30" i="12"/>
  <c r="L29" i="12"/>
  <c r="K29" i="12"/>
  <c r="J29" i="12"/>
  <c r="I29" i="12"/>
  <c r="H29" i="12"/>
  <c r="G29" i="12"/>
  <c r="F29" i="12"/>
  <c r="L28" i="12"/>
  <c r="K28" i="12"/>
  <c r="J28" i="12"/>
  <c r="I28" i="12"/>
  <c r="H28" i="12"/>
  <c r="G28" i="12"/>
  <c r="F28" i="12"/>
  <c r="L27" i="12"/>
  <c r="K27" i="12"/>
  <c r="J27" i="12"/>
  <c r="I27" i="12"/>
  <c r="H27" i="12"/>
  <c r="G27" i="12"/>
  <c r="F27" i="12"/>
  <c r="L26" i="12"/>
  <c r="K26" i="12"/>
  <c r="J26" i="12"/>
  <c r="I26" i="12"/>
  <c r="H26" i="12"/>
  <c r="G26" i="12"/>
  <c r="F26" i="12"/>
  <c r="L25" i="12"/>
  <c r="K25" i="12"/>
  <c r="J25" i="12"/>
  <c r="I25" i="12"/>
  <c r="H25" i="12"/>
  <c r="G25" i="12"/>
  <c r="F25" i="12"/>
  <c r="L24" i="12"/>
  <c r="K24" i="12"/>
  <c r="J24" i="12"/>
  <c r="I24" i="12"/>
  <c r="H24" i="12"/>
  <c r="G24" i="12"/>
  <c r="F24" i="12"/>
  <c r="L23" i="12"/>
  <c r="K23" i="12"/>
  <c r="J23" i="12"/>
  <c r="I23" i="12"/>
  <c r="H23" i="12"/>
  <c r="G23" i="12"/>
  <c r="F23" i="12"/>
  <c r="L22" i="12"/>
  <c r="K22" i="12"/>
  <c r="J22" i="12"/>
  <c r="I22" i="12"/>
  <c r="H22" i="12"/>
  <c r="G22" i="12"/>
  <c r="F22" i="12"/>
  <c r="L21" i="12"/>
  <c r="K21" i="12"/>
  <c r="J21" i="12"/>
  <c r="I21" i="12"/>
  <c r="H21" i="12"/>
  <c r="G21" i="12"/>
  <c r="F21" i="12"/>
  <c r="L20" i="12"/>
  <c r="K20" i="12"/>
  <c r="J20" i="12"/>
  <c r="I20" i="12"/>
  <c r="H20" i="12"/>
  <c r="G20" i="12"/>
  <c r="F20" i="12"/>
  <c r="L19" i="12"/>
  <c r="K19" i="12"/>
  <c r="J19" i="12"/>
  <c r="I19" i="12"/>
  <c r="H19" i="12"/>
  <c r="G19" i="12"/>
  <c r="F19" i="12"/>
  <c r="L18" i="12"/>
  <c r="K18" i="12"/>
  <c r="J18" i="12"/>
  <c r="I18" i="12"/>
  <c r="H18" i="12"/>
  <c r="G18" i="12"/>
  <c r="F18" i="12"/>
  <c r="L17" i="12"/>
  <c r="K17" i="12"/>
  <c r="J17" i="12"/>
  <c r="I17" i="12"/>
  <c r="H17" i="12"/>
  <c r="G17" i="12"/>
  <c r="F17" i="12"/>
  <c r="L16" i="12"/>
  <c r="K16" i="12"/>
  <c r="J16" i="12"/>
  <c r="I16" i="12"/>
  <c r="H16" i="12"/>
  <c r="G16" i="12"/>
  <c r="F16" i="12"/>
  <c r="L15" i="12"/>
  <c r="K15" i="12"/>
  <c r="J15" i="12"/>
  <c r="I15" i="12"/>
  <c r="H15" i="12"/>
  <c r="G15" i="12"/>
  <c r="F15" i="12"/>
  <c r="L14" i="12"/>
  <c r="K14" i="12"/>
  <c r="J14" i="12"/>
  <c r="I14" i="12"/>
  <c r="H14" i="12"/>
  <c r="G14" i="12"/>
  <c r="F14" i="12"/>
  <c r="L13" i="12"/>
  <c r="K13" i="12"/>
  <c r="J13" i="12"/>
  <c r="I13" i="12"/>
  <c r="H13" i="12"/>
  <c r="G13" i="12"/>
  <c r="F13" i="12"/>
  <c r="L12" i="12"/>
  <c r="K12" i="12"/>
  <c r="J12" i="12"/>
  <c r="I12" i="12"/>
  <c r="H12" i="12"/>
  <c r="G12" i="12"/>
  <c r="F12" i="12"/>
  <c r="L11" i="12"/>
  <c r="K11" i="12"/>
  <c r="J11" i="12"/>
  <c r="I11" i="12"/>
  <c r="H11" i="12"/>
  <c r="G11" i="12"/>
  <c r="F11" i="12"/>
  <c r="L10" i="12"/>
  <c r="K10" i="12"/>
  <c r="J10" i="12"/>
  <c r="I10" i="12"/>
  <c r="H10" i="12"/>
  <c r="G10" i="12"/>
  <c r="F10" i="12"/>
  <c r="L9" i="12"/>
  <c r="K9" i="12"/>
  <c r="J9" i="12"/>
  <c r="I9" i="12"/>
  <c r="H9" i="12"/>
  <c r="G9" i="12"/>
  <c r="F9" i="12"/>
  <c r="L8" i="12"/>
  <c r="K8" i="12"/>
  <c r="J8" i="12"/>
  <c r="I8" i="12"/>
  <c r="H8" i="12"/>
  <c r="G8" i="12"/>
  <c r="F8" i="12"/>
  <c r="L7" i="12"/>
  <c r="K7" i="12"/>
  <c r="J7" i="12"/>
  <c r="I7" i="12"/>
  <c r="H7" i="12"/>
  <c r="G7" i="12"/>
  <c r="F7" i="12"/>
  <c r="L6" i="12"/>
  <c r="K6" i="12"/>
  <c r="J6" i="12"/>
  <c r="I6" i="12"/>
  <c r="H6" i="12"/>
  <c r="G6" i="12"/>
  <c r="F6" i="12"/>
  <c r="L5" i="12"/>
  <c r="K5" i="12"/>
  <c r="J5" i="12"/>
  <c r="I5" i="12"/>
  <c r="H5" i="12"/>
  <c r="G5" i="12"/>
  <c r="F5" i="12"/>
  <c r="L4" i="12"/>
  <c r="K4" i="12"/>
  <c r="J4" i="12"/>
  <c r="I4" i="12"/>
  <c r="H4" i="12"/>
  <c r="G4" i="12"/>
  <c r="F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" i="12"/>
  <c r="A23" i="17"/>
  <c r="R9" i="10" l="1" a="1"/>
  <c r="R9" i="10" s="1"/>
  <c r="M5" i="10" a="1"/>
  <c r="M5" i="10" s="1"/>
  <c r="K5" i="10" a="1"/>
  <c r="K5" i="10" s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U11" i="3" a="1"/>
  <c r="U11" i="3" s="1"/>
  <c r="U16" i="3" a="1"/>
  <c r="U16" i="3" s="1"/>
  <c r="U14" i="3" a="1"/>
  <c r="U14" i="3" s="1"/>
  <c r="U13" i="3" a="1"/>
  <c r="U13" i="3" s="1"/>
  <c r="U12" i="3" a="1"/>
  <c r="U12" i="3" s="1"/>
  <c r="U10" i="3" a="1"/>
  <c r="U10" i="3" s="1"/>
  <c r="U9" i="3" a="1"/>
  <c r="U9" i="3" s="1"/>
  <c r="U15" i="3" a="1"/>
  <c r="U15" i="3" s="1"/>
  <c r="U8" i="3" a="1"/>
  <c r="U8" i="3" s="1"/>
  <c r="N11" i="3"/>
  <c r="M11" i="3"/>
  <c r="N10" i="3"/>
  <c r="M10" i="3"/>
  <c r="P4" i="3" a="1"/>
  <c r="P4" i="3" s="1"/>
  <c r="O4" i="3" a="1"/>
  <c r="O4" i="3" s="1"/>
  <c r="M4" i="3" a="1"/>
  <c r="M4" i="3" s="1"/>
  <c r="J5" i="10" l="1"/>
  <c r="B23" i="17" l="1"/>
  <c r="J5" i="5"/>
  <c r="I5" i="5"/>
  <c r="A17" i="17"/>
  <c r="B17" i="17" s="1"/>
  <c r="I5" i="10" l="1"/>
  <c r="K4" i="3"/>
  <c r="L6" i="3" s="1"/>
  <c r="A20" i="17" s="1"/>
  <c r="N12" i="3" l="1"/>
  <c r="M12" i="3"/>
  <c r="O12" i="3" s="1"/>
  <c r="L13" i="10"/>
  <c r="R10" i="10" s="1" a="1"/>
  <c r="R10" i="10" s="1"/>
  <c r="K13" i="10"/>
  <c r="M13" i="10" l="1"/>
  <c r="C42" i="12" l="1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B12" i="12"/>
  <c r="B20" i="12"/>
  <c r="B28" i="12"/>
  <c r="M28" i="12" s="1"/>
  <c r="B36" i="12"/>
  <c r="M36" i="12" s="1"/>
  <c r="B4" i="12"/>
  <c r="M4" i="12" s="1"/>
  <c r="B5" i="12"/>
  <c r="B13" i="12"/>
  <c r="B21" i="12"/>
  <c r="M21" i="12" s="1"/>
  <c r="B29" i="12"/>
  <c r="M29" i="12" s="1"/>
  <c r="B37" i="12"/>
  <c r="B6" i="12"/>
  <c r="B14" i="12"/>
  <c r="M14" i="12" s="1"/>
  <c r="B22" i="12"/>
  <c r="M22" i="12" s="1"/>
  <c r="B30" i="12"/>
  <c r="B38" i="12"/>
  <c r="M38" i="12" s="1"/>
  <c r="B7" i="12"/>
  <c r="B15" i="12"/>
  <c r="B23" i="12"/>
  <c r="M23" i="12" s="1"/>
  <c r="B31" i="12"/>
  <c r="B39" i="12"/>
  <c r="M39" i="12" s="1"/>
  <c r="B8" i="12"/>
  <c r="B16" i="12"/>
  <c r="M16" i="12" s="1"/>
  <c r="B24" i="12"/>
  <c r="M24" i="12" s="1"/>
  <c r="B32" i="12"/>
  <c r="M32" i="12" s="1"/>
  <c r="B40" i="12"/>
  <c r="M40" i="12" s="1"/>
  <c r="B9" i="12"/>
  <c r="B17" i="12"/>
  <c r="M17" i="12" s="1"/>
  <c r="B25" i="12"/>
  <c r="M25" i="12" s="1"/>
  <c r="B33" i="12"/>
  <c r="M33" i="12" s="1"/>
  <c r="B41" i="12"/>
  <c r="M41" i="12" s="1"/>
  <c r="B10" i="12"/>
  <c r="B18" i="12"/>
  <c r="M18" i="12" s="1"/>
  <c r="B26" i="12"/>
  <c r="M26" i="12" s="1"/>
  <c r="B34" i="12"/>
  <c r="M34" i="12" s="1"/>
  <c r="B42" i="12"/>
  <c r="M42" i="12" s="1"/>
  <c r="Q35" i="12"/>
  <c r="Q27" i="12"/>
  <c r="B11" i="12"/>
  <c r="B19" i="12"/>
  <c r="B27" i="12"/>
  <c r="M27" i="12" s="1"/>
  <c r="B35" i="12"/>
  <c r="M35" i="12" s="1"/>
  <c r="M31" i="12" l="1"/>
  <c r="N31" i="12" s="1"/>
  <c r="M12" i="12"/>
  <c r="M19" i="12"/>
  <c r="N19" i="12" s="1"/>
  <c r="M15" i="12"/>
  <c r="N15" i="12" s="1"/>
  <c r="M30" i="12"/>
  <c r="N30" i="12" s="1"/>
  <c r="B21" i="17"/>
  <c r="M37" i="12"/>
  <c r="N37" i="12" s="1"/>
  <c r="M20" i="12"/>
  <c r="N20" i="12" s="1"/>
  <c r="M10" i="12"/>
  <c r="N10" i="12" s="1"/>
  <c r="M8" i="12"/>
  <c r="N8" i="12" s="1"/>
  <c r="M6" i="12"/>
  <c r="N6" i="12" s="1"/>
  <c r="M11" i="12"/>
  <c r="N11" i="12" s="1"/>
  <c r="M13" i="12"/>
  <c r="N13" i="12" s="1"/>
  <c r="M9" i="12"/>
  <c r="N9" i="12" s="1"/>
  <c r="M7" i="12"/>
  <c r="N7" i="12" s="1"/>
  <c r="M5" i="12"/>
  <c r="N5" i="12" s="1"/>
  <c r="N35" i="12"/>
  <c r="N33" i="12"/>
  <c r="Q42" i="12"/>
  <c r="Q40" i="12"/>
  <c r="Q38" i="12"/>
  <c r="Q34" i="12"/>
  <c r="Q32" i="12"/>
  <c r="N40" i="12"/>
  <c r="Q30" i="12"/>
  <c r="N38" i="12"/>
  <c r="P38" i="12" s="1"/>
  <c r="Q26" i="12"/>
  <c r="N34" i="12"/>
  <c r="P34" i="12" s="1"/>
  <c r="Q24" i="12"/>
  <c r="N32" i="12"/>
  <c r="Q22" i="12"/>
  <c r="Q28" i="12"/>
  <c r="Q20" i="12"/>
  <c r="Q41" i="12"/>
  <c r="Q39" i="12"/>
  <c r="Q37" i="12"/>
  <c r="N27" i="12"/>
  <c r="Q33" i="12"/>
  <c r="N41" i="12"/>
  <c r="Q31" i="12"/>
  <c r="N39" i="12"/>
  <c r="Q29" i="12"/>
  <c r="Q25" i="12"/>
  <c r="Q23" i="12"/>
  <c r="Q21" i="12"/>
  <c r="N29" i="12"/>
  <c r="Q36" i="12"/>
  <c r="N36" i="12"/>
  <c r="Q19" i="12"/>
  <c r="Q18" i="12"/>
  <c r="N18" i="12"/>
  <c r="Q16" i="12"/>
  <c r="Q15" i="12"/>
  <c r="Q14" i="12"/>
  <c r="Q13" i="12"/>
  <c r="Q4" i="12"/>
  <c r="Q9" i="12"/>
  <c r="Q8" i="12"/>
  <c r="Q7" i="12"/>
  <c r="Q6" i="12"/>
  <c r="Q5" i="12"/>
  <c r="Q12" i="12"/>
  <c r="N17" i="12"/>
  <c r="N16" i="12"/>
  <c r="N14" i="12"/>
  <c r="N4" i="12"/>
  <c r="N12" i="12"/>
  <c r="Q11" i="12"/>
  <c r="N42" i="12"/>
  <c r="P42" i="12" s="1"/>
  <c r="Q17" i="12"/>
  <c r="Q10" i="12"/>
  <c r="N26" i="12"/>
  <c r="N25" i="12"/>
  <c r="N24" i="12"/>
  <c r="N23" i="12"/>
  <c r="N22" i="12"/>
  <c r="N21" i="12"/>
  <c r="N28" i="12"/>
  <c r="L17" i="10"/>
  <c r="K17" i="10"/>
  <c r="L16" i="10"/>
  <c r="K16" i="10"/>
  <c r="L15" i="10"/>
  <c r="K15" i="10"/>
  <c r="L14" i="10"/>
  <c r="K14" i="10"/>
  <c r="L12" i="10"/>
  <c r="K12" i="10"/>
  <c r="L11" i="10"/>
  <c r="K11" i="10"/>
  <c r="J7" i="10"/>
  <c r="A22" i="17" s="1"/>
  <c r="R14" i="10" l="1"/>
  <c r="R12" i="10"/>
  <c r="R11" i="10"/>
  <c r="R13" i="10"/>
  <c r="P31" i="12"/>
  <c r="P36" i="12"/>
  <c r="P39" i="12"/>
  <c r="P41" i="12"/>
  <c r="P27" i="12"/>
  <c r="P40" i="12"/>
  <c r="P25" i="12"/>
  <c r="P20" i="12"/>
  <c r="P29" i="12"/>
  <c r="P26" i="12"/>
  <c r="P32" i="12"/>
  <c r="P35" i="12"/>
  <c r="P22" i="12"/>
  <c r="P33" i="12"/>
  <c r="P28" i="12"/>
  <c r="P30" i="12"/>
  <c r="P21" i="12"/>
  <c r="P23" i="12"/>
  <c r="P24" i="12"/>
  <c r="P37" i="12"/>
  <c r="P19" i="12"/>
  <c r="P18" i="12"/>
  <c r="B22" i="17"/>
  <c r="M17" i="10"/>
  <c r="M12" i="10"/>
  <c r="M16" i="10"/>
  <c r="M14" i="10"/>
  <c r="P14" i="12"/>
  <c r="O5" i="10"/>
  <c r="P11" i="12"/>
  <c r="P13" i="12"/>
  <c r="P5" i="12"/>
  <c r="P17" i="12"/>
  <c r="P6" i="12"/>
  <c r="P10" i="12"/>
  <c r="P7" i="12"/>
  <c r="P15" i="12"/>
  <c r="P9" i="12"/>
  <c r="P12" i="12"/>
  <c r="P8" i="12"/>
  <c r="P16" i="12"/>
  <c r="P4" i="12"/>
  <c r="M15" i="10"/>
  <c r="S5" i="12" l="1"/>
  <c r="S9" i="12"/>
  <c r="S13" i="12"/>
  <c r="S17" i="12"/>
  <c r="S21" i="12"/>
  <c r="S25" i="12"/>
  <c r="S29" i="12"/>
  <c r="S33" i="12"/>
  <c r="S37" i="12"/>
  <c r="S41" i="12"/>
  <c r="S16" i="12"/>
  <c r="S28" i="12"/>
  <c r="S40" i="12"/>
  <c r="S6" i="12"/>
  <c r="S10" i="12"/>
  <c r="S14" i="12"/>
  <c r="S18" i="12"/>
  <c r="S22" i="12"/>
  <c r="S26" i="12"/>
  <c r="S30" i="12"/>
  <c r="S34" i="12"/>
  <c r="S38" i="12"/>
  <c r="S42" i="12"/>
  <c r="S12" i="12"/>
  <c r="S24" i="12"/>
  <c r="S36" i="12"/>
  <c r="S7" i="12"/>
  <c r="S11" i="12"/>
  <c r="S15" i="12"/>
  <c r="S19" i="12"/>
  <c r="S23" i="12"/>
  <c r="S27" i="12"/>
  <c r="S31" i="12"/>
  <c r="S35" i="12"/>
  <c r="S39" i="12"/>
  <c r="S4" i="12"/>
  <c r="S8" i="12"/>
  <c r="S20" i="12"/>
  <c r="S32" i="12"/>
  <c r="K8" i="13"/>
  <c r="Q5" i="13"/>
  <c r="N3" i="13"/>
  <c r="I8" i="13"/>
  <c r="H3" i="13"/>
  <c r="K7" i="13"/>
  <c r="E5" i="13"/>
  <c r="B3" i="13"/>
  <c r="I7" i="13"/>
  <c r="C5" i="13"/>
  <c r="C8" i="13"/>
  <c r="Q8" i="13"/>
  <c r="O5" i="13"/>
  <c r="O8" i="13"/>
  <c r="E7" i="13"/>
  <c r="Q7" i="13"/>
  <c r="K5" i="13"/>
  <c r="O7" i="13"/>
  <c r="I5" i="13"/>
  <c r="C7" i="13"/>
  <c r="E8" i="13"/>
  <c r="S16" i="5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6" i="3"/>
  <c r="M15" i="3"/>
  <c r="M14" i="3"/>
  <c r="M13" i="3"/>
  <c r="N16" i="3"/>
  <c r="N15" i="3"/>
  <c r="N14" i="3"/>
  <c r="N13" i="3"/>
  <c r="O14" i="3" l="1"/>
  <c r="O11" i="3"/>
  <c r="O15" i="3"/>
  <c r="O16" i="3"/>
  <c r="O13" i="3"/>
  <c r="L4" i="3"/>
  <c r="B20" i="17"/>
  <c r="H5" i="5" l="1"/>
  <c r="G5" i="5"/>
  <c r="L5" i="5" s="1"/>
  <c r="A18" i="17" s="1"/>
  <c r="B18" i="17" s="1"/>
  <c r="K4" i="8" l="1"/>
  <c r="K18" i="8"/>
  <c r="K34" i="8"/>
  <c r="K50" i="8"/>
  <c r="K66" i="8"/>
  <c r="K82" i="8"/>
  <c r="G18" i="8"/>
  <c r="G34" i="8"/>
  <c r="G50" i="8"/>
  <c r="G66" i="8"/>
  <c r="G82" i="8"/>
  <c r="G43" i="8"/>
  <c r="G71" i="8"/>
  <c r="K24" i="8"/>
  <c r="K56" i="8"/>
  <c r="G8" i="8"/>
  <c r="G44" i="8"/>
  <c r="G76" i="8"/>
  <c r="K15" i="8"/>
  <c r="K31" i="8"/>
  <c r="K47" i="8"/>
  <c r="K63" i="8"/>
  <c r="K79" i="8"/>
  <c r="G15" i="8"/>
  <c r="G47" i="8"/>
  <c r="G3" i="8"/>
  <c r="K36" i="8"/>
  <c r="K68" i="8"/>
  <c r="G20" i="8"/>
  <c r="G48" i="8"/>
  <c r="G80" i="8"/>
  <c r="K21" i="8"/>
  <c r="K37" i="8"/>
  <c r="K53" i="8"/>
  <c r="K69" i="8"/>
  <c r="G5" i="8"/>
  <c r="G21" i="8"/>
  <c r="G65" i="8"/>
  <c r="G45" i="8"/>
  <c r="G69" i="8"/>
  <c r="K73" i="8"/>
  <c r="G25" i="8"/>
  <c r="G61" i="8"/>
  <c r="G41" i="8"/>
  <c r="K80" i="8"/>
  <c r="K59" i="8"/>
  <c r="K28" i="8"/>
  <c r="G72" i="8"/>
  <c r="K81" i="8"/>
  <c r="G53" i="8"/>
  <c r="K6" i="8"/>
  <c r="K22" i="8"/>
  <c r="K38" i="8"/>
  <c r="K54" i="8"/>
  <c r="K70" i="8"/>
  <c r="G6" i="8"/>
  <c r="G22" i="8"/>
  <c r="G38" i="8"/>
  <c r="G54" i="8"/>
  <c r="G70" i="8"/>
  <c r="G19" i="8"/>
  <c r="G51" i="8"/>
  <c r="G79" i="8"/>
  <c r="K32" i="8"/>
  <c r="K64" i="8"/>
  <c r="G16" i="8"/>
  <c r="G52" i="8"/>
  <c r="K5" i="8"/>
  <c r="K19" i="8"/>
  <c r="K35" i="8"/>
  <c r="K51" i="8"/>
  <c r="K67" i="8"/>
  <c r="K3" i="8"/>
  <c r="G23" i="8"/>
  <c r="G55" i="8"/>
  <c r="K12" i="8"/>
  <c r="K44" i="8"/>
  <c r="K76" i="8"/>
  <c r="G28" i="8"/>
  <c r="G56" i="8"/>
  <c r="K9" i="8"/>
  <c r="K25" i="8"/>
  <c r="K41" i="8"/>
  <c r="K57" i="8"/>
  <c r="G9" i="8"/>
  <c r="G81" i="8"/>
  <c r="G57" i="8"/>
  <c r="G29" i="8"/>
  <c r="G68" i="8"/>
  <c r="K43" i="8"/>
  <c r="G39" i="8"/>
  <c r="K60" i="8"/>
  <c r="K17" i="8"/>
  <c r="K65" i="8"/>
  <c r="G17" i="8"/>
  <c r="G77" i="8"/>
  <c r="K10" i="8"/>
  <c r="K26" i="8"/>
  <c r="K42" i="8"/>
  <c r="K58" i="8"/>
  <c r="K74" i="8"/>
  <c r="G10" i="8"/>
  <c r="G26" i="8"/>
  <c r="G42" i="8"/>
  <c r="G58" i="8"/>
  <c r="G74" i="8"/>
  <c r="G27" i="8"/>
  <c r="G59" i="8"/>
  <c r="K8" i="8"/>
  <c r="K40" i="8"/>
  <c r="K72" i="8"/>
  <c r="G24" i="8"/>
  <c r="G60" i="8"/>
  <c r="K7" i="8"/>
  <c r="K23" i="8"/>
  <c r="K39" i="8"/>
  <c r="K55" i="8"/>
  <c r="K71" i="8"/>
  <c r="G7" i="8"/>
  <c r="G31" i="8"/>
  <c r="G67" i="8"/>
  <c r="K20" i="8"/>
  <c r="K52" i="8"/>
  <c r="G4" i="8"/>
  <c r="G36" i="8"/>
  <c r="G64" i="8"/>
  <c r="K13" i="8"/>
  <c r="K29" i="8"/>
  <c r="K45" i="8"/>
  <c r="K61" i="8"/>
  <c r="K77" i="8"/>
  <c r="G13" i="8"/>
  <c r="G33" i="8"/>
  <c r="G37" i="8"/>
  <c r="K11" i="8"/>
  <c r="K75" i="8"/>
  <c r="G75" i="8"/>
  <c r="G40" i="8"/>
  <c r="K49" i="8"/>
  <c r="G73" i="8"/>
  <c r="K14" i="8"/>
  <c r="K30" i="8"/>
  <c r="K46" i="8"/>
  <c r="K62" i="8"/>
  <c r="K78" i="8"/>
  <c r="G14" i="8"/>
  <c r="G30" i="8"/>
  <c r="G46" i="8"/>
  <c r="G62" i="8"/>
  <c r="G78" i="8"/>
  <c r="G35" i="8"/>
  <c r="G63" i="8"/>
  <c r="K16" i="8"/>
  <c r="K48" i="8"/>
  <c r="G32" i="8"/>
  <c r="K27" i="8"/>
  <c r="G11" i="8"/>
  <c r="G12" i="8"/>
  <c r="K33" i="8"/>
  <c r="G49" i="8"/>
  <c r="M9" i="8"/>
  <c r="M81" i="8"/>
  <c r="P66" i="8"/>
  <c r="L10" i="8"/>
  <c r="L82" i="8"/>
  <c r="P67" i="8"/>
  <c r="L3" i="8"/>
  <c r="M28" i="8"/>
  <c r="N39" i="8"/>
  <c r="P3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N3" i="8"/>
  <c r="P63" i="8"/>
  <c r="P49" i="8"/>
  <c r="P77" i="8"/>
  <c r="M3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J4" i="8"/>
  <c r="J16" i="8"/>
  <c r="J28" i="8"/>
  <c r="J40" i="8"/>
  <c r="J52" i="8"/>
  <c r="J64" i="8"/>
  <c r="J76" i="8"/>
  <c r="J77" i="8"/>
  <c r="J44" i="8"/>
  <c r="J69" i="8"/>
  <c r="J3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3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E34" i="8"/>
  <c r="E47" i="8"/>
  <c r="E53" i="8"/>
  <c r="E60" i="8"/>
  <c r="E66" i="8"/>
  <c r="E79" i="8"/>
  <c r="F4" i="8"/>
  <c r="F12" i="8"/>
  <c r="F20" i="8"/>
  <c r="F28" i="8"/>
  <c r="F36" i="8"/>
  <c r="F44" i="8"/>
  <c r="F52" i="8"/>
  <c r="F60" i="8"/>
  <c r="F68" i="8"/>
  <c r="F76" i="8"/>
  <c r="O25" i="8"/>
  <c r="O61" i="8"/>
  <c r="E3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E41" i="8"/>
  <c r="E48" i="8"/>
  <c r="E54" i="8"/>
  <c r="E67" i="8"/>
  <c r="E73" i="8"/>
  <c r="E80" i="8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E78" i="8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E29" i="8"/>
  <c r="E36" i="8"/>
  <c r="E42" i="8"/>
  <c r="E55" i="8"/>
  <c r="E61" i="8"/>
  <c r="E68" i="8"/>
  <c r="E74" i="8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E30" i="8"/>
  <c r="E43" i="8"/>
  <c r="E49" i="8"/>
  <c r="E56" i="8"/>
  <c r="E62" i="8"/>
  <c r="E75" i="8"/>
  <c r="E81" i="8"/>
  <c r="F7" i="8"/>
  <c r="F15" i="8"/>
  <c r="F23" i="8"/>
  <c r="F31" i="8"/>
  <c r="F39" i="8"/>
  <c r="F47" i="8"/>
  <c r="F55" i="8"/>
  <c r="F63" i="8"/>
  <c r="F71" i="8"/>
  <c r="F79" i="8"/>
  <c r="B3" i="8"/>
  <c r="F73" i="8"/>
  <c r="O9" i="8"/>
  <c r="O65" i="8"/>
  <c r="E27" i="8"/>
  <c r="E72" i="8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E37" i="8"/>
  <c r="E44" i="8"/>
  <c r="E50" i="8"/>
  <c r="E63" i="8"/>
  <c r="E69" i="8"/>
  <c r="E76" i="8"/>
  <c r="E82" i="8"/>
  <c r="U82" i="8" s="1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F19" i="8"/>
  <c r="F3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E32" i="8"/>
  <c r="E38" i="8"/>
  <c r="E51" i="8"/>
  <c r="E57" i="8"/>
  <c r="E64" i="8"/>
  <c r="E70" i="8"/>
  <c r="Q3" i="8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E39" i="8"/>
  <c r="E45" i="8"/>
  <c r="E52" i="8"/>
  <c r="E58" i="8"/>
  <c r="E71" i="8"/>
  <c r="E77" i="8"/>
  <c r="O3" i="8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3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U62" i="8" l="1"/>
  <c r="H79" i="8"/>
  <c r="R79" i="8" s="1"/>
  <c r="H82" i="8"/>
  <c r="R82" i="8" s="1"/>
  <c r="H72" i="8"/>
  <c r="R72" i="8" s="1"/>
  <c r="H76" i="8"/>
  <c r="R76" i="8" s="1"/>
  <c r="U72" i="8"/>
  <c r="H81" i="8"/>
  <c r="R81" i="8" s="1"/>
  <c r="H77" i="8"/>
  <c r="R77" i="8" s="1"/>
  <c r="S4" i="3"/>
  <c r="H75" i="8"/>
  <c r="H19" i="8"/>
  <c r="R19" i="8" s="1"/>
  <c r="H3" i="8"/>
  <c r="H10" i="8"/>
  <c r="R10" i="8" s="1"/>
  <c r="H67" i="8"/>
  <c r="R67" i="8" s="1"/>
  <c r="H23" i="8"/>
  <c r="R23" i="8" s="1"/>
  <c r="H14" i="8"/>
  <c r="R14" i="8" s="1"/>
  <c r="H13" i="8"/>
  <c r="R13" i="8" s="1"/>
  <c r="H15" i="8"/>
  <c r="H6" i="8"/>
  <c r="R6" i="8" s="1"/>
  <c r="H11" i="8"/>
  <c r="R11" i="8" s="1"/>
  <c r="H24" i="8"/>
  <c r="R24" i="8" s="1"/>
  <c r="H7" i="8"/>
  <c r="R7" i="8" s="1"/>
  <c r="H80" i="8"/>
  <c r="R80" i="8" s="1"/>
  <c r="H20" i="8"/>
  <c r="R20" i="8" s="1"/>
  <c r="H16" i="8"/>
  <c r="R16" i="8" s="1"/>
  <c r="H12" i="8"/>
  <c r="H5" i="8"/>
  <c r="R5" i="8" s="1"/>
  <c r="H8" i="8"/>
  <c r="R8" i="8" s="1"/>
  <c r="H17" i="8"/>
  <c r="R17" i="8" s="1"/>
  <c r="H4" i="8"/>
  <c r="R4" i="8" s="1"/>
  <c r="H21" i="8"/>
  <c r="R21" i="8" s="1"/>
  <c r="H73" i="8"/>
  <c r="R73" i="8" s="1"/>
  <c r="H63" i="8"/>
  <c r="R63" i="8" s="1"/>
  <c r="H9" i="8"/>
  <c r="R9" i="8" s="1"/>
  <c r="H22" i="8"/>
  <c r="R22" i="8" s="1"/>
  <c r="H61" i="8"/>
  <c r="R61" i="8" s="1"/>
  <c r="H18" i="8"/>
  <c r="R18" i="8" s="1"/>
  <c r="U76" i="8"/>
  <c r="U68" i="8"/>
  <c r="R68" i="8"/>
  <c r="U26" i="8"/>
  <c r="U71" i="8"/>
  <c r="U27" i="8"/>
  <c r="U74" i="8"/>
  <c r="R71" i="8"/>
  <c r="R62" i="8"/>
  <c r="U77" i="8"/>
  <c r="U37" i="8"/>
  <c r="U53" i="8"/>
  <c r="U32" i="8"/>
  <c r="U75" i="8"/>
  <c r="U63" i="8"/>
  <c r="U79" i="8"/>
  <c r="R36" i="8"/>
  <c r="U51" i="8"/>
  <c r="U31" i="8"/>
  <c r="R52" i="8"/>
  <c r="U52" i="8"/>
  <c r="U73" i="8"/>
  <c r="R65" i="8"/>
  <c r="R74" i="8"/>
  <c r="R44" i="8"/>
  <c r="U45" i="8"/>
  <c r="U25" i="8"/>
  <c r="U81" i="8"/>
  <c r="U67" i="8"/>
  <c r="R75" i="8"/>
  <c r="U39" i="8"/>
  <c r="U46" i="8"/>
  <c r="U61" i="8"/>
  <c r="U54" i="8"/>
  <c r="R28" i="8"/>
  <c r="U55" i="8"/>
  <c r="U48" i="8"/>
  <c r="U56" i="8"/>
  <c r="U42" i="8"/>
  <c r="U41" i="8"/>
  <c r="U59" i="8"/>
  <c r="U69" i="8"/>
  <c r="U49" i="8"/>
  <c r="U35" i="8"/>
  <c r="R78" i="8"/>
  <c r="U40" i="8"/>
  <c r="U43" i="8"/>
  <c r="U29" i="8"/>
  <c r="U78" i="8"/>
  <c r="R70" i="8"/>
  <c r="U57" i="8"/>
  <c r="U36" i="8"/>
  <c r="R64" i="8"/>
  <c r="U70" i="8"/>
  <c r="U50" i="8"/>
  <c r="U30" i="8"/>
  <c r="U33" i="8"/>
  <c r="U64" i="8"/>
  <c r="U44" i="8"/>
  <c r="U65" i="8"/>
  <c r="U66" i="8"/>
  <c r="U60" i="8"/>
  <c r="U58" i="8"/>
  <c r="U38" i="8"/>
  <c r="U80" i="8"/>
  <c r="U47" i="8"/>
  <c r="U34" i="8"/>
  <c r="U28" i="8"/>
  <c r="R53" i="8"/>
  <c r="R29" i="8"/>
  <c r="U23" i="8"/>
  <c r="U24" i="8"/>
  <c r="B19" i="17"/>
  <c r="A24" i="17" s="1"/>
  <c r="R60" i="8"/>
  <c r="U21" i="8"/>
  <c r="U20" i="8"/>
  <c r="U22" i="8"/>
  <c r="R31" i="8"/>
  <c r="R66" i="8"/>
  <c r="R58" i="8"/>
  <c r="R46" i="8"/>
  <c r="R30" i="8"/>
  <c r="U18" i="8"/>
  <c r="U19" i="8"/>
  <c r="R42" i="8"/>
  <c r="R43" i="8"/>
  <c r="R55" i="8"/>
  <c r="R57" i="8"/>
  <c r="U13" i="8"/>
  <c r="R49" i="8"/>
  <c r="R33" i="8"/>
  <c r="U17" i="8"/>
  <c r="U7" i="8"/>
  <c r="U14" i="8"/>
  <c r="U11" i="8"/>
  <c r="U4" i="8"/>
  <c r="U15" i="8"/>
  <c r="U12" i="8"/>
  <c r="U8" i="8"/>
  <c r="U3" i="8"/>
  <c r="U5" i="8"/>
  <c r="U16" i="8"/>
  <c r="U10" i="8"/>
  <c r="U9" i="8"/>
  <c r="U6" i="8"/>
  <c r="R12" i="8"/>
  <c r="R54" i="8"/>
  <c r="R15" i="8"/>
  <c r="R45" i="8"/>
  <c r="R47" i="8"/>
  <c r="R39" i="8"/>
  <c r="R37" i="8"/>
  <c r="R50" i="8"/>
  <c r="R38" i="8"/>
  <c r="R27" i="8"/>
  <c r="R48" i="8"/>
  <c r="R59" i="8"/>
  <c r="R41" i="8"/>
  <c r="R25" i="8"/>
  <c r="R69" i="8"/>
  <c r="R32" i="8"/>
  <c r="R51" i="8"/>
  <c r="R35" i="8"/>
  <c r="R26" i="8"/>
  <c r="R56" i="8"/>
  <c r="R34" i="8"/>
  <c r="R40" i="8"/>
  <c r="T38" i="8" l="1"/>
  <c r="T36" i="8"/>
  <c r="T73" i="8"/>
  <c r="T30" i="8"/>
  <c r="T75" i="8"/>
  <c r="T32" i="8"/>
  <c r="T81" i="8"/>
  <c r="T26" i="8"/>
  <c r="T33" i="8"/>
  <c r="T35" i="8"/>
  <c r="T31" i="8"/>
  <c r="T27" i="8"/>
  <c r="T82" i="8"/>
  <c r="T80" i="8"/>
  <c r="T72" i="8"/>
  <c r="T79" i="8"/>
  <c r="T76" i="8"/>
  <c r="T29" i="8"/>
  <c r="T28" i="8"/>
  <c r="T34" i="8"/>
  <c r="T78" i="8"/>
  <c r="T77" i="8"/>
  <c r="T74" i="8"/>
  <c r="T25" i="8"/>
  <c r="T37" i="8"/>
  <c r="R3" i="8"/>
  <c r="T3" i="8" s="1"/>
  <c r="Q4" i="3"/>
  <c r="T71" i="8" l="1"/>
  <c r="T62" i="8"/>
  <c r="T64" i="8"/>
  <c r="T69" i="8"/>
  <c r="T65" i="8"/>
  <c r="T63" i="8"/>
  <c r="T70" i="8"/>
  <c r="T61" i="8"/>
  <c r="T66" i="8"/>
  <c r="T68" i="8"/>
  <c r="T44" i="8"/>
  <c r="T42" i="8"/>
  <c r="T50" i="8"/>
  <c r="T56" i="8"/>
  <c r="T45" i="8"/>
  <c r="T58" i="8"/>
  <c r="T40" i="8"/>
  <c r="T54" i="8"/>
  <c r="T55" i="8"/>
  <c r="T43" i="8"/>
  <c r="T59" i="8"/>
  <c r="T67" i="8"/>
  <c r="T46" i="8"/>
  <c r="T49" i="8"/>
  <c r="T60" i="8"/>
  <c r="T53" i="8"/>
  <c r="T57" i="8"/>
  <c r="T48" i="8"/>
  <c r="T39" i="8"/>
  <c r="T51" i="8"/>
  <c r="T41" i="8"/>
  <c r="T52" i="8"/>
  <c r="T47" i="8"/>
  <c r="T24" i="8"/>
  <c r="T23" i="8"/>
  <c r="T20" i="8"/>
  <c r="T22" i="8"/>
  <c r="T21" i="8"/>
  <c r="T19" i="8"/>
  <c r="T18" i="8"/>
  <c r="T12" i="8"/>
  <c r="T17" i="8"/>
  <c r="T10" i="8"/>
  <c r="T4" i="8"/>
  <c r="T6" i="8"/>
  <c r="T8" i="8"/>
  <c r="T5" i="8"/>
  <c r="T11" i="8"/>
  <c r="T15" i="8"/>
  <c r="T9" i="8"/>
  <c r="T14" i="8"/>
  <c r="T13" i="8"/>
  <c r="T16" i="8"/>
  <c r="T7" i="8"/>
  <c r="B6" i="7" l="1"/>
  <c r="I6" i="7"/>
  <c r="I4" i="7"/>
  <c r="D6" i="7"/>
  <c r="L4" i="7"/>
  <c r="B7" i="7"/>
  <c r="B4" i="7"/>
  <c r="G6" i="7"/>
  <c r="D4" i="7"/>
  <c r="G4" i="7"/>
  <c r="L6" i="7"/>
  <c r="L7" i="7"/>
  <c r="N4" i="7"/>
  <c r="N6" i="7"/>
  <c r="G7" i="7"/>
  <c r="I7" i="7" s="1"/>
  <c r="V6" i="8"/>
  <c r="V25" i="8"/>
  <c r="V9" i="8"/>
  <c r="V32" i="8"/>
  <c r="V16" i="8"/>
  <c r="V19" i="8"/>
  <c r="V3" i="8"/>
  <c r="V18" i="8"/>
  <c r="V27" i="8"/>
  <c r="V21" i="8"/>
  <c r="V5" i="8"/>
  <c r="V28" i="8"/>
  <c r="V12" i="8"/>
  <c r="V15" i="8"/>
  <c r="V30" i="8"/>
  <c r="V14" i="8"/>
  <c r="V33" i="8"/>
  <c r="V17" i="8"/>
  <c r="V31" i="8"/>
  <c r="V24" i="8"/>
  <c r="V8" i="8"/>
  <c r="V11" i="8"/>
  <c r="V26" i="8"/>
  <c r="V10" i="8"/>
  <c r="V29" i="8"/>
  <c r="V13" i="8"/>
  <c r="V23" i="8"/>
  <c r="V20" i="8"/>
  <c r="V4" i="8"/>
  <c r="V7" i="8"/>
  <c r="V22" i="8"/>
  <c r="A2" i="7"/>
  <c r="F2" i="7"/>
  <c r="K2" i="7"/>
  <c r="N7" i="7" l="1"/>
  <c r="D7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<sst xmlns="http://schemas.openxmlformats.org/spreadsheetml/2006/main" count="573" uniqueCount="278">
  <si>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</si>
  <si>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</si>
  <si>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</si>
  <si>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</si>
  <si>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</si>
  <si>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</si>
  <si>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</si>
  <si>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</si>
  <si>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</si>
  <si>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</si>
  <si>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</si>
  <si>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</si>
  <si>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</si>
  <si>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</si>
  <si>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</si>
  <si>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</si>
  <si>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페이스북 팬수</t>
  </si>
  <si>
    <t>포스팅 발행 수</t>
  </si>
  <si>
    <t>콘텐츠 도달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</si>
  <si>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</si>
  <si>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</si>
  <si>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</si>
  <si>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</si>
  <si>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</si>
  <si>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</si>
  <si>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</si>
  <si>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</si>
  <si>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</si>
  <si>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</si>
  <si>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</si>
  <si>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</si>
  <si>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</si>
  <si>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</si>
  <si>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</si>
  <si>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</si>
  <si>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</si>
  <si>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</si>
  <si>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</si>
  <si>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</si>
  <si>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</si>
  <si>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</si>
  <si>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</si>
  <si>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</si>
  <si>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</si>
  <si>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</si>
  <si>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</si>
  <si>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</si>
  <si>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</si>
  <si>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</si>
  <si>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</si>
  <si>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</si>
  <si>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</si>
  <si>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</si>
  <si>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</si>
  <si>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</si>
  <si>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</si>
  <si>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</si>
  <si>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</si>
  <si>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</si>
  <si>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</si>
  <si>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</si>
  <si>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</si>
  <si>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</si>
  <si>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</si>
  <si>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</si>
  <si>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</si>
  <si>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</si>
  <si>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</si>
  <si>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</si>
  <si>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</si>
  <si>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</si>
  <si>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</si>
  <si>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</si>
  <si>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</si>
  <si>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</si>
  <si>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</si>
  <si>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</si>
  <si>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</si>
  <si>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</si>
  <si>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팔로워 수</t>
    <phoneticPr fontId="1" type="noConversion"/>
  </si>
  <si>
    <t>도달</t>
    <phoneticPr fontId="1" type="noConversion"/>
  </si>
  <si>
    <t>좋아요</t>
    <phoneticPr fontId="1" type="noConversion"/>
  </si>
  <si>
    <t>게시물 노출</t>
    <phoneticPr fontId="1" type="noConversion"/>
  </si>
  <si>
    <t>댓글</t>
    <phoneticPr fontId="1" type="noConversion"/>
  </si>
  <si>
    <t>공유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</si>
  <si>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</si>
  <si>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</si>
  <si>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</si>
  <si>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</si>
  <si>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</si>
  <si>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</si>
  <si>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</si>
  <si>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</si>
  <si>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</si>
  <si>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</si>
  <si>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</si>
  <si>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</si>
  <si>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</si>
  <si>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</si>
  <si>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</si>
  <si>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</si>
  <si>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</si>
  <si>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</si>
  <si>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</si>
  <si>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</si>
  <si>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</si>
  <si>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O</t>
    <phoneticPr fontId="1" type="noConversion"/>
  </si>
  <si>
    <t>X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</si>
  <si>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</si>
  <si>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</si>
  <si>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</si>
  <si>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</si>
  <si>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r>
      <t>1) 위의 작성 전 실행 버튼을</t>
    </r>
    <r>
      <rPr>
        <sz val="11"/>
        <color theme="1"/>
        <rFont val="맑은 고딕"/>
        <family val="2"/>
        <charset val="129"/>
        <scheme val="minor"/>
      </rPr>
      <t xml:space="preserve"> 클릭하시오. </t>
    </r>
    <phoneticPr fontId="1" type="noConversion"/>
  </si>
  <si>
    <t>23년 09월</t>
  </si>
  <si>
    <t>23년 10월</t>
  </si>
  <si>
    <t>23년 8월</t>
  </si>
  <si>
    <t>23년 9월</t>
  </si>
  <si>
    <t>23년11월</t>
  </si>
  <si>
    <t>데이터 댓글</t>
  </si>
  <si>
    <t>Date (2024)</t>
    <phoneticPr fontId="1" type="noConversion"/>
  </si>
  <si>
    <t>3초 이상 조회한 사람</t>
  </si>
  <si>
    <t>추산 수익(USD)</t>
  </si>
  <si>
    <t>광고 CPM(USD)</t>
  </si>
  <si>
    <t>재생 횟수</t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</si>
  <si>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</si>
  <si>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</si>
  <si>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</si>
  <si>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구분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</si>
  <si>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</si>
  <si>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</si>
  <si>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</si>
  <si>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</si>
  <si>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</si>
  <si>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</si>
  <si>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</si>
  <si>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평균 조회 시간: 초</t>
  </si>
  <si>
    <t>N/A</t>
  </si>
  <si>
    <t>사진</t>
  </si>
  <si>
    <t>전체 기간</t>
  </si>
  <si>
    <t>동영상</t>
  </si>
  <si>
    <t>링크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</si>
  <si>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</si>
  <si>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</si>
  <si>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</si>
  <si>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</si>
  <si>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</si>
  <si>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</si>
  <si>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</si>
  <si>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</si>
  <si>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</si>
  <si>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</si>
  <si>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</si>
  <si>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</si>
  <si>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</si>
  <si>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</si>
  <si>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</si>
  <si>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</si>
  <si>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</si>
  <si>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</si>
  <si>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</si>
  <si>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</si>
  <si>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</si>
  <si>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</si>
  <si>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</si>
  <si>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</si>
  <si>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</si>
  <si>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</si>
  <si>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</si>
  <si>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</si>
  <si>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</si>
  <si>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</si>
  <si>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</si>
  <si>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</si>
  <si>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</si>
  <si>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</si>
  <si>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</si>
  <si>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</si>
  <si>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</si>
  <si>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</si>
  <si>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</si>
  <si>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</si>
  <si>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3월</t>
  </si>
  <si>
    <t>오가닉 도달</t>
    <phoneticPr fontId="1" type="noConversion"/>
  </si>
  <si>
    <t>-</t>
    <phoneticPr fontId="1" type="noConversion"/>
  </si>
  <si>
    <t>도달한 사람</t>
  </si>
  <si>
    <t>오가닉 도달</t>
  </si>
  <si>
    <t>사진 조회</t>
  </si>
  <si>
    <t>재생 클릭</t>
  </si>
  <si>
    <t>동영상 60초 이상 조회</t>
  </si>
  <si>
    <t>아티클 일일 스크롤 길이</t>
  </si>
  <si>
    <t>아티클 평균 이용 시간</t>
  </si>
  <si>
    <t>고유 동영상 60초 이상 조회</t>
  </si>
  <si>
    <t>고유 부정적인 사용자 피드백: 모두 숨기기</t>
  </si>
  <si>
    <t>조회 시간: 초</t>
  </si>
  <si>
    <t>4월</t>
  </si>
  <si>
    <t>-</t>
  </si>
  <si>
    <t>평균 재생 시간</t>
  </si>
  <si>
    <t>IG 이미지</t>
  </si>
  <si>
    <t>Instagram 릴스</t>
  </si>
  <si>
    <t>IG 슬라이드</t>
  </si>
  <si>
    <t>설명</t>
    <phoneticPr fontId="1" type="noConversion"/>
  </si>
  <si>
    <t>(연경 참고) 내용</t>
  </si>
  <si>
    <t>프로필 방문</t>
    <phoneticPr fontId="1" type="noConversion"/>
  </si>
  <si>
    <t>스토리 데이터 인사이트 작성용</t>
    <phoneticPr fontId="1" type="noConversion"/>
  </si>
  <si>
    <t>목</t>
  </si>
  <si>
    <t>금</t>
  </si>
  <si>
    <t>토</t>
  </si>
  <si>
    <t>일</t>
  </si>
  <si>
    <t>월</t>
  </si>
  <si>
    <t>화</t>
  </si>
  <si>
    <t>수</t>
  </si>
  <si>
    <t>국제 소방관의 날 *뉴스룸 미러링</t>
  </si>
  <si>
    <t>05/02/2024 19:05</t>
  </si>
  <si>
    <t>https://www.facebook.com/official.skinnovation/posts/pfbid0xZcgKEutk4X5svhSACH38hH98ZvdSM4ugQM273qjEmHdFekabTW3q9jbgJHiWQ7fl</t>
  </si>
  <si>
    <t>이노드림(버트런드 러셀)</t>
  </si>
  <si>
    <t>05/05/2024 18:05</t>
  </si>
  <si>
    <t>https://www.facebook.com/official.skinnovation/posts/pfbid0UXayjifUFK6sQqpzvtsKNkMfD8eDt26GbEx2bRDhqHErcTXVPjpHxfFtyBazgPM7l</t>
  </si>
  <si>
    <t>EVENT 울산대공원 장미축제</t>
  </si>
  <si>
    <t>05/07/2024 23:05</t>
  </si>
  <si>
    <t>https://www.facebook.com/official.skinnovation/posts/pfbid02DXWTTqnrVhk9qV4vKFMgywJNoBhXbGVMN9CK5JvhvnVhY91GVYTTX7mVRfURoQBol</t>
  </si>
  <si>
    <t>이야기를 걷다 Ep. 나무</t>
  </si>
  <si>
    <t>05/08/2024 18:05</t>
  </si>
  <si>
    <t>https://www.facebook.com/official.skinnovation/posts/pfbid02wioEjReUKzwKMj4PonHTzQwT2vPKymRPkwEb8i1civLXpUq6QDU25B58Vdzr2niEl</t>
  </si>
  <si>
    <t>팩트체크해~油 Ep. 4 *뉴스룸 미러링</t>
  </si>
  <si>
    <t>05/10/2024 00:05</t>
  </si>
  <si>
    <t>https://www.facebook.com/official.skinnovation/posts/pfbid033qjLr6Y1Xmkn9Q8UiUvZA7BEMSCHuBqujQBA9qVciCsdreYxsKStFfX41UtQaFB6l</t>
  </si>
  <si>
    <t>이노드림(데이비드 흄)</t>
  </si>
  <si>
    <t>05/12/2024 18:05</t>
  </si>
  <si>
    <t>https://www.facebook.com/official.skinnovation/posts/pfbid02y7WCdCPvPmeqBtjaLiEXav2e6yGeGAudf36E7asUMF3GpBKBGvfJ9dpCVRhhcTzVl</t>
  </si>
  <si>
    <t>5월 CSR 콘텐츠 *뉴스룸 미러링</t>
  </si>
  <si>
    <t>05/13/2024 01:05</t>
  </si>
  <si>
    <t>https://www.facebook.com/official.skinnovation/posts/pfbid0nbTVkKM1xJk6nSGxosHzBoRWbndMMRtgxRWknGJyuUukWKRSSk5gGebKhYXBBQxsl</t>
  </si>
  <si>
    <t>세계 가정의 날</t>
  </si>
  <si>
    <t>05/14/2024 00:05</t>
  </si>
  <si>
    <t>https://www.facebook.com/official.skinnovation/posts/pfbid02JiVUUPqj5dwQti8tW2v9aGVPiti5V6EjcguCM9gtYsX5c5nkJxDH1ia34ww1umYHl</t>
  </si>
  <si>
    <t>이노드림(지두 크리슈나무르티)</t>
  </si>
  <si>
    <t>05/19/2024 18:05</t>
  </si>
  <si>
    <t>https://www.facebook.com/official.skinnovation/posts/pfbid02AzQLG5oXpVPErNXnF5qYiP4rRUSQuEopDRfSiW6G3VF1zfTy3TT78AvvWfoLsH65l</t>
  </si>
  <si>
    <t>[SKinno Tech] 항공유</t>
  </si>
  <si>
    <t>05/21/2024 00:05</t>
  </si>
  <si>
    <t>https://www.facebook.com/official.skinnovation/posts/pfbid0933UwheXmQhKnJj5FQyeCNEoWDpPsM8tsGH2jgbJ3i8cVStKxG2kPXCX88e5qxKZl</t>
  </si>
  <si>
    <t>울산대공원 장미축제 현장 사진</t>
  </si>
  <si>
    <t>05/23/2024 01:05</t>
  </si>
  <si>
    <t>https://www.facebook.com/official.skinnovation/posts/pfbid0g2CrNoZo1nJjaHJ8H5SsYKDp2d3KtVGvEN3fNuRSbJMFFVPkau7rzD6BvoydXUwjl</t>
  </si>
  <si>
    <t>이노드림(존 스튜어트 밀)</t>
  </si>
  <si>
    <t>05/26/2024 18:05</t>
  </si>
  <si>
    <t>https://www.facebook.com/official.skinnovation/posts/pfbid0SBWamCGHVvi1xzUAKJKf5XQTyiANsnEkxFpSARuLSiv2v8hNWT7UYJfRvCKUmfmWl</t>
  </si>
  <si>
    <t>에너지食 Ep.1 *뉴스룸 미러링</t>
  </si>
  <si>
    <t>05/26/2024 22:05</t>
  </si>
  <si>
    <t>https://www.facebook.com/official.skinnovation/posts/pfbid02BaNGK7XSYayPphCB9SjmBc5sJfwcMvzukXhsejkyky2kNSGpbmf4a3RqYQ2sR7mal</t>
  </si>
  <si>
    <t>[과거의 오늘] 서산 배터리 제1공장 착공</t>
  </si>
  <si>
    <t>05/29/2024 18:05</t>
  </si>
  <si>
    <t>https://www.facebook.com/official.skinnovation/posts/pfbid02znvJ5yctVqyW35uA9wkqxLNdvu5VFxnVYhjBTGRMzrqyUe6a834caLFuDSqZhbhHl</t>
  </si>
  <si>
    <t>팩트체크해~油 Ep. 4</t>
  </si>
  <si>
    <t>05/31/2024 02:05</t>
  </si>
  <si>
    <t>https://www.facebook.com/official.skinnovation/posts/pfbid02KH9PvzWLfWo2Ncaouh7s66vbokzrsvRprHaaw5JRgWSJ7FqVEkJmthbbZjB8NqqCl</t>
  </si>
  <si>
    <t>5월</t>
  </si>
  <si>
    <t>https://www.instagram.com/p/C6m5haYSn2Q/</t>
  </si>
  <si>
    <t>https://www.instagram.com/reel/C6sqZvtNouz/</t>
  </si>
  <si>
    <t>https://www.instagram.com/reel/C6unSL6t4Dc/</t>
  </si>
  <si>
    <t>https://www.instagram.com/p/C647HCPPNun/</t>
  </si>
  <si>
    <t>https://www.instagram.com/p/C68JTxmOMay/</t>
  </si>
  <si>
    <t>https://www.instagram.com/p/C7K8stNiTfG/</t>
  </si>
  <si>
    <t>https://www.instagram.com/p/C7ONExdSF-m/</t>
  </si>
  <si>
    <t>https://www.instagram.com/p/C7Td2X_ubW2/</t>
  </si>
  <si>
    <t>https://www.instagram.com/p/C7c-PpVRQX7/</t>
  </si>
  <si>
    <t>https://www.instagram.com/p/C7ksm6WpSa4/</t>
  </si>
  <si>
    <t>https://www.instagram.com/reel/C7oLxzNtYKu/</t>
  </si>
  <si>
    <t>국제 소방관의 날 *뉴스룸 미러링, 뉴스룸 링크 삽입</t>
  </si>
  <si>
    <t>SK이노베이션</t>
  </si>
  <si>
    <t>IG 스토리</t>
  </si>
  <si>
    <t>이야기를 걷다 Ep. 나무, YT 링크 삽입</t>
  </si>
  <si>
    <t>팩트체크해~油 Ep. 4 *뉴스룸 미러링, 뉴스룸 링크 삽입</t>
  </si>
  <si>
    <t>5월 CSR 콘텐츠 *뉴스룸 미러링, 뉴스룸 링크 삽입</t>
  </si>
  <si>
    <t>에너지食 Ep.1 *뉴스룸 미러링, 뉴스룸 링크 삽입</t>
  </si>
  <si>
    <t>[과거의 오늘] 서산 배터리 제1공장 착공, 뉴스룸 링크 삽입</t>
  </si>
  <si>
    <t>05/29/2024 19:05</t>
  </si>
  <si>
    <t>05/31/2024 03:05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</si>
</sst>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d\(aaa\)"/>
    <numFmt numFmtId="184" formatCode="yy&quot;년&quot;\ m&quot;월&quot;"/>
    <numFmt numFmtId="185" formatCode="m&quot;월&quot;"/>
    <numFmt numFmtId="186" formatCode="0_ "/>
  </numFmts>
  <fonts count="3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sz val="11"/>
      <color rgb="FF000000"/>
      <name val="Volvo Novum Light"/>
      <family val="2"/>
    </font>
    <font>
      <b/>
      <sz val="9"/>
      <color theme="1"/>
      <name val="맑은 고딕"/>
      <family val="3"/>
      <charset val="129"/>
    </font>
    <font>
      <b/>
      <sz val="9"/>
      <color rgb="FFFFFFFF"/>
      <name val="나눔고딕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rgb="FFFF0000"/>
      <name val="나눔고딕"/>
      <family val="3"/>
      <charset val="129"/>
    </font>
    <font>
      <b/>
      <sz val="8"/>
      <color rgb="FFFFFFFF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나눔고딕"/>
      <family val="3"/>
      <charset val="129"/>
    </font>
    <font>
      <sz val="11"/>
      <color rgb="FF000000"/>
      <name val="나눔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3"/>
      <color theme="1"/>
      <name val="Arial"/>
      <family val="2"/>
    </font>
    <font>
      <sz val="8"/>
      <color theme="1"/>
      <name val="나눔고딕"/>
      <family val="3"/>
      <charset val="129"/>
    </font>
    <font>
      <sz val="8"/>
      <name val="나눔고딕"/>
      <family val="3"/>
      <charset val="129"/>
    </font>
    <font>
      <u/>
      <sz val="11"/>
      <color theme="10"/>
      <name val="나눔고딕 ExtraBold"/>
      <family val="3"/>
      <charset val="129"/>
    </font>
    <font>
      <b/>
      <sz val="10"/>
      <color rgb="FF000000"/>
      <name val="바탕"/>
      <family val="1"/>
      <charset val="129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220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12" fillId="16" borderId="9" xfId="0" applyFont="1" applyFill="1" applyBorder="1" applyAlignment="1">
      <alignment horizontal="center" vertical="center" wrapText="1" readingOrder="1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12" borderId="0" xfId="0" applyFill="1">
      <alignment vertical="center"/>
    </xf>
    <xf numFmtId="0" fontId="12" fillId="16" borderId="20" xfId="0" applyFont="1" applyFill="1" applyBorder="1" applyAlignment="1">
      <alignment horizontal="center" vertical="center" wrapText="1" readingOrder="1"/>
    </xf>
    <xf numFmtId="0" fontId="0" fillId="2" borderId="0" xfId="0" applyFill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8" fillId="0" borderId="0" xfId="0" applyFont="1" applyProtection="1">
      <alignment vertical="center"/>
      <protection locked="0"/>
    </xf>
    <xf numFmtId="0" fontId="20" fillId="18" borderId="14" xfId="0" applyFont="1" applyFill="1" applyBorder="1" applyAlignment="1" applyProtection="1">
      <alignment horizontal="center" vertical="center" wrapText="1" readingOrder="1"/>
      <protection locked="0"/>
    </xf>
    <xf numFmtId="0" fontId="20" fillId="18" borderId="15" xfId="0" applyFont="1" applyFill="1" applyBorder="1" applyAlignment="1" applyProtection="1">
      <alignment horizontal="center" vertical="center" wrapText="1" readingOrder="1"/>
      <protection locked="0"/>
    </xf>
    <xf numFmtId="0" fontId="20" fillId="18" borderId="16" xfId="0" applyFont="1" applyFill="1" applyBorder="1" applyAlignment="1" applyProtection="1">
      <alignment horizontal="center" vertical="center" wrapText="1" readingOrder="1"/>
      <protection locked="0"/>
    </xf>
    <xf numFmtId="0" fontId="20" fillId="18" borderId="17" xfId="0" applyFont="1" applyFill="1" applyBorder="1" applyAlignment="1" applyProtection="1">
      <alignment horizontal="center" vertical="center" wrapText="1" readingOrder="1"/>
      <protection locked="0"/>
    </xf>
    <xf numFmtId="0" fontId="20" fillId="18" borderId="18" xfId="0" applyFont="1" applyFill="1" applyBorder="1" applyAlignment="1" applyProtection="1">
      <alignment horizontal="center" vertical="center" wrapText="1" readingOrder="1"/>
      <protection locked="0"/>
    </xf>
    <xf numFmtId="0" fontId="20" fillId="18" borderId="19" xfId="0" applyFont="1" applyFill="1" applyBorder="1" applyAlignment="1" applyProtection="1">
      <alignment horizontal="center" vertical="center" wrapText="1" readingOrder="1"/>
      <protection locked="0"/>
    </xf>
    <xf numFmtId="0" fontId="22" fillId="0" borderId="0" xfId="0" applyFont="1" applyProtection="1">
      <alignment vertical="center"/>
      <protection locked="0"/>
    </xf>
    <xf numFmtId="0" fontId="17" fillId="0" borderId="0" xfId="1" applyFill="1" applyAlignment="1" applyProtection="1">
      <alignment vertical="center"/>
    </xf>
    <xf numFmtId="3" fontId="21" fillId="12" borderId="15" xfId="0" applyNumberFormat="1" applyFont="1" applyFill="1" applyBorder="1" applyAlignment="1">
      <alignment horizontal="center" vertical="center" wrapText="1" readingOrder="1"/>
    </xf>
    <xf numFmtId="0" fontId="0" fillId="15" borderId="9" xfId="0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81" fontId="0" fillId="10" borderId="9" xfId="0" applyNumberFormat="1" applyFill="1" applyBorder="1" applyAlignment="1" applyProtection="1">
      <alignment horizontal="center" vertical="center"/>
      <protection locked="0"/>
    </xf>
    <xf numFmtId="10" fontId="0" fillId="10" borderId="9" xfId="0" applyNumberFormat="1" applyFill="1" applyBorder="1" applyAlignment="1" applyProtection="1">
      <alignment horizontal="center" vertical="center"/>
      <protection locked="0"/>
    </xf>
    <xf numFmtId="0" fontId="14" fillId="0" borderId="0" xfId="0" applyFont="1" applyProtection="1">
      <alignment vertical="center"/>
      <protection locked="0"/>
    </xf>
    <xf numFmtId="0" fontId="23" fillId="0" borderId="0" xfId="0" applyFont="1" applyProtection="1">
      <alignment vertical="center"/>
      <protection locked="0"/>
    </xf>
    <xf numFmtId="0" fontId="0" fillId="12" borderId="11" xfId="0" applyFill="1" applyBorder="1" applyAlignment="1">
      <alignment horizontal="center" vertical="center"/>
    </xf>
    <xf numFmtId="10" fontId="0" fillId="12" borderId="12" xfId="0" applyNumberFormat="1" applyFill="1" applyBorder="1" applyAlignment="1">
      <alignment horizontal="center" vertical="center"/>
    </xf>
    <xf numFmtId="0" fontId="24" fillId="12" borderId="9" xfId="0" applyFont="1" applyFill="1" applyBorder="1" applyAlignment="1">
      <alignment horizontal="center" vertical="center" wrapText="1" readingOrder="1"/>
    </xf>
    <xf numFmtId="0" fontId="24" fillId="11" borderId="9" xfId="0" applyFont="1" applyFill="1" applyBorder="1" applyAlignment="1">
      <alignment horizontal="center" vertical="center" wrapText="1" readingOrder="1"/>
    </xf>
    <xf numFmtId="3" fontId="25" fillId="12" borderId="9" xfId="0" applyNumberFormat="1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10" fontId="25" fillId="12" borderId="9" xfId="0" applyNumberFormat="1" applyFont="1" applyFill="1" applyBorder="1" applyAlignment="1">
      <alignment horizontal="center" vertical="center" wrapText="1" readingOrder="1"/>
    </xf>
    <xf numFmtId="0" fontId="0" fillId="11" borderId="9" xfId="0" applyFill="1" applyBorder="1" applyAlignment="1" applyProtection="1">
      <alignment horizontal="center" vertical="center"/>
      <protection locked="0"/>
    </xf>
    <xf numFmtId="180" fontId="0" fillId="10" borderId="9" xfId="0" applyNumberFormat="1" applyFill="1" applyBorder="1" applyAlignment="1" applyProtection="1">
      <alignment horizontal="center" vertical="center"/>
      <protection locked="0"/>
    </xf>
    <xf numFmtId="180" fontId="0" fillId="12" borderId="9" xfId="0" applyNumberFormat="1" applyFill="1" applyBorder="1" applyAlignment="1" applyProtection="1">
      <alignment horizontal="center" vertical="center"/>
      <protection locked="0"/>
    </xf>
    <xf numFmtId="182" fontId="0" fillId="12" borderId="9" xfId="0" applyNumberFormat="1" applyFill="1" applyBorder="1" applyAlignment="1" applyProtection="1">
      <alignment horizontal="center" vertical="center"/>
      <protection locked="0"/>
    </xf>
    <xf numFmtId="180" fontId="0" fillId="0" borderId="0" xfId="0" applyNumberFormat="1" applyProtection="1">
      <alignment vertical="center"/>
      <protection locked="0"/>
    </xf>
    <xf numFmtId="0" fontId="0" fillId="11" borderId="9" xfId="0" applyFill="1" applyBorder="1" applyAlignment="1">
      <alignment horizontal="center" vertical="center"/>
    </xf>
    <xf numFmtId="180" fontId="0" fillId="12" borderId="9" xfId="0" applyNumberFormat="1" applyFill="1" applyBorder="1" applyAlignment="1">
      <alignment horizontal="center" vertical="center"/>
    </xf>
    <xf numFmtId="181" fontId="0" fillId="12" borderId="9" xfId="0" applyNumberFormat="1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 wrapText="1"/>
    </xf>
    <xf numFmtId="181" fontId="27" fillId="10" borderId="9" xfId="0" applyNumberFormat="1" applyFont="1" applyFill="1" applyBorder="1" applyAlignment="1" applyProtection="1">
      <alignment horizontal="center" vertical="center"/>
      <protection locked="0"/>
    </xf>
    <xf numFmtId="10" fontId="27" fillId="10" borderId="9" xfId="0" applyNumberFormat="1" applyFont="1" applyFill="1" applyBorder="1" applyAlignment="1" applyProtection="1">
      <alignment horizontal="center" vertical="center"/>
      <protection locked="0"/>
    </xf>
    <xf numFmtId="10" fontId="21" fillId="12" borderId="15" xfId="0" applyNumberFormat="1" applyFont="1" applyFill="1" applyBorder="1" applyAlignment="1">
      <alignment horizontal="center" vertical="center" wrapText="1" readingOrder="1"/>
    </xf>
    <xf numFmtId="0" fontId="17" fillId="0" borderId="0" xfId="1">
      <alignment vertical="center"/>
    </xf>
    <xf numFmtId="0" fontId="0" fillId="10" borderId="1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81" fontId="0" fillId="12" borderId="25" xfId="0" applyNumberFormat="1" applyFill="1" applyBorder="1">
      <alignment vertical="center"/>
    </xf>
    <xf numFmtId="0" fontId="0" fillId="15" borderId="21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183" fontId="0" fillId="12" borderId="24" xfId="0" applyNumberFormat="1" applyFill="1" applyBorder="1">
      <alignment vertical="center"/>
    </xf>
    <xf numFmtId="0" fontId="0" fillId="15" borderId="9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5" borderId="25" xfId="0" applyFill="1" applyBorder="1" applyAlignment="1">
      <alignment horizontal="center" vertical="center"/>
    </xf>
    <xf numFmtId="0" fontId="0" fillId="13" borderId="28" xfId="0" applyFill="1" applyBorder="1">
      <alignment vertical="center"/>
    </xf>
    <xf numFmtId="184" fontId="10" fillId="12" borderId="10" xfId="0" applyNumberFormat="1" applyFont="1" applyFill="1" applyBorder="1" applyAlignment="1">
      <alignment horizontal="center" vertical="center" wrapText="1" readingOrder="1"/>
    </xf>
    <xf numFmtId="184" fontId="0" fillId="15" borderId="9" xfId="0" applyNumberFormat="1" applyFill="1" applyBorder="1" applyAlignment="1" applyProtection="1">
      <alignment horizontal="center" vertical="center"/>
      <protection locked="0"/>
    </xf>
    <xf numFmtId="184" fontId="0" fillId="10" borderId="9" xfId="0" applyNumberFormat="1" applyFill="1" applyBorder="1" applyAlignment="1" applyProtection="1">
      <alignment horizontal="center" vertical="center"/>
      <protection locked="0"/>
    </xf>
    <xf numFmtId="184" fontId="0" fillId="0" borderId="0" xfId="0" applyNumberForma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8" fillId="20" borderId="28" xfId="0" applyFont="1" applyFill="1" applyBorder="1" applyAlignment="1">
      <alignment horizontal="center" vertical="center"/>
    </xf>
    <xf numFmtId="0" fontId="0" fillId="10" borderId="27" xfId="0" applyFill="1" applyBorder="1" applyAlignment="1">
      <alignment horizontal="left" vertical="center"/>
    </xf>
    <xf numFmtId="184" fontId="26" fillId="10" borderId="9" xfId="0" applyNumberFormat="1" applyFont="1" applyFill="1" applyBorder="1" applyAlignment="1" applyProtection="1">
      <alignment horizontal="center" vertical="center"/>
      <protection locked="0"/>
    </xf>
    <xf numFmtId="0" fontId="0" fillId="15" borderId="26" xfId="0" applyFill="1" applyBorder="1" applyAlignment="1">
      <alignment horizontal="left" vertical="center"/>
    </xf>
    <xf numFmtId="180" fontId="24" fillId="12" borderId="9" xfId="0" applyNumberFormat="1" applyFont="1" applyFill="1" applyBorder="1" applyAlignment="1">
      <alignment horizontal="center" vertical="center" wrapText="1" readingOrder="1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15" fillId="0" borderId="0" xfId="0" applyFont="1" applyProtection="1">
      <alignment vertical="center"/>
      <protection locked="0"/>
    </xf>
    <xf numFmtId="0" fontId="15" fillId="0" borderId="0" xfId="0" applyFont="1">
      <alignment vertical="center"/>
    </xf>
    <xf numFmtId="0" fontId="30" fillId="0" borderId="0" xfId="0" applyFont="1">
      <alignment vertical="center"/>
    </xf>
    <xf numFmtId="0" fontId="0" fillId="2" borderId="0" xfId="0" applyFill="1" applyAlignment="1">
      <alignment vertical="center" wrapText="1"/>
    </xf>
    <xf numFmtId="0" fontId="17" fillId="0" borderId="0" xfId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0" fontId="31" fillId="0" borderId="0" xfId="0" applyFont="1">
      <alignment vertical="center"/>
    </xf>
    <xf numFmtId="0" fontId="31" fillId="0" borderId="0" xfId="0" applyFont="1" applyProtection="1">
      <alignment vertical="center"/>
      <protection locked="0"/>
    </xf>
    <xf numFmtId="3" fontId="25" fillId="0" borderId="0" xfId="0" applyNumberFormat="1" applyFont="1" applyAlignment="1">
      <alignment horizontal="center" vertical="center" wrapText="1" readingOrder="1"/>
    </xf>
    <xf numFmtId="0" fontId="33" fillId="0" borderId="0" xfId="0" applyFont="1">
      <alignment vertical="center"/>
    </xf>
    <xf numFmtId="0" fontId="20" fillId="16" borderId="9" xfId="0" applyFont="1" applyFill="1" applyBorder="1" applyAlignment="1">
      <alignment horizontal="center" vertical="center" wrapText="1" readingOrder="1"/>
    </xf>
    <xf numFmtId="0" fontId="20" fillId="16" borderId="20" xfId="0" applyFont="1" applyFill="1" applyBorder="1" applyAlignment="1">
      <alignment horizontal="center" vertical="center" wrapText="1" readingOrder="1"/>
    </xf>
    <xf numFmtId="179" fontId="34" fillId="12" borderId="9" xfId="0" applyNumberFormat="1" applyFont="1" applyFill="1" applyBorder="1" applyAlignment="1">
      <alignment horizontal="center" vertical="center" wrapText="1" readingOrder="1"/>
    </xf>
    <xf numFmtId="0" fontId="21" fillId="12" borderId="9" xfId="0" applyFont="1" applyFill="1" applyBorder="1" applyAlignment="1">
      <alignment horizontal="center" vertical="center" wrapText="1" readingOrder="1"/>
    </xf>
    <xf numFmtId="182" fontId="21" fillId="12" borderId="9" xfId="0" applyNumberFormat="1" applyFont="1" applyFill="1" applyBorder="1" applyAlignment="1">
      <alignment horizontal="center" vertical="center" wrapText="1" readingOrder="1"/>
    </xf>
    <xf numFmtId="10" fontId="21" fillId="12" borderId="9" xfId="0" applyNumberFormat="1" applyFont="1" applyFill="1" applyBorder="1" applyAlignment="1">
      <alignment horizontal="center" vertical="center" wrapText="1" readingOrder="1"/>
    </xf>
    <xf numFmtId="0" fontId="33" fillId="0" borderId="0" xfId="0" applyFont="1" applyAlignment="1">
      <alignment horizontal="center" vertical="center"/>
    </xf>
    <xf numFmtId="0" fontId="19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5" fillId="12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4" xfId="0" applyFill="1" applyBorder="1">
      <alignment vertical="center"/>
    </xf>
    <xf numFmtId="3" fontId="32" fillId="0" borderId="0" xfId="0" applyNumberFormat="1" applyFont="1" applyAlignment="1">
      <alignment horizontal="center" vertical="center" wrapText="1"/>
    </xf>
    <xf numFmtId="0" fontId="15" fillId="19" borderId="21" xfId="0" applyFont="1" applyFill="1" applyBorder="1" applyAlignment="1" applyProtection="1">
      <alignment horizontal="center" vertical="center"/>
      <protection locked="0"/>
    </xf>
    <xf numFmtId="0" fontId="15" fillId="19" borderId="22" xfId="0" applyFont="1" applyFill="1" applyBorder="1" applyAlignment="1" applyProtection="1">
      <alignment horizontal="center" vertical="center"/>
      <protection locked="0"/>
    </xf>
    <xf numFmtId="0" fontId="15" fillId="19" borderId="23" xfId="0" applyFont="1" applyFill="1" applyBorder="1" applyAlignment="1" applyProtection="1">
      <alignment horizontal="center" vertical="center"/>
      <protection locked="0"/>
    </xf>
    <xf numFmtId="10" fontId="0" fillId="12" borderId="11" xfId="0" applyNumberFormat="1" applyFill="1" applyBorder="1" applyAlignment="1">
      <alignment horizontal="center" vertical="center"/>
    </xf>
    <xf numFmtId="181" fontId="0" fillId="10" borderId="9" xfId="0" applyNumberFormat="1" applyFill="1" applyBorder="1" applyAlignment="1">
      <alignment horizontal="center" vertical="center"/>
    </xf>
    <xf numFmtId="186" fontId="0" fillId="12" borderId="12" xfId="0" applyNumberFormat="1" applyFill="1" applyBorder="1" applyAlignment="1">
      <alignment horizontal="center" vertical="center"/>
    </xf>
    <xf numFmtId="0" fontId="36" fillId="0" borderId="0" xfId="0" applyFont="1">
      <alignment vertical="center"/>
    </xf>
    <xf numFmtId="181" fontId="0" fillId="0" borderId="0" xfId="0" applyNumberFormat="1" applyProtection="1">
      <alignment vertical="center"/>
      <protection locked="0"/>
    </xf>
    <xf numFmtId="0" fontId="37" fillId="2" borderId="37" xfId="0" applyFont="1" applyFill="1" applyBorder="1" applyAlignment="1">
      <alignment vertical="center" wrapText="1"/>
    </xf>
    <xf numFmtId="0" fontId="37" fillId="2" borderId="29" xfId="0" applyFont="1" applyFill="1" applyBorder="1" applyAlignment="1">
      <alignment vertical="center" wrapText="1"/>
    </xf>
    <xf numFmtId="0" fontId="37" fillId="2" borderId="9" xfId="0" applyFont="1" applyFill="1" applyBorder="1" applyAlignment="1">
      <alignment vertical="center" wrapText="1"/>
    </xf>
    <xf numFmtId="0" fontId="37" fillId="2" borderId="25" xfId="0" applyFont="1" applyFill="1" applyBorder="1" applyAlignment="1">
      <alignment vertical="center" wrapText="1"/>
    </xf>
    <xf numFmtId="0" fontId="38" fillId="2" borderId="33" xfId="0" applyFont="1" applyFill="1" applyBorder="1" applyAlignment="1">
      <alignment horizontal="center" vertical="center" wrapText="1"/>
    </xf>
    <xf numFmtId="0" fontId="38" fillId="2" borderId="35" xfId="0" applyFont="1" applyFill="1" applyBorder="1" applyAlignment="1">
      <alignment horizontal="right" vertical="center" wrapText="1"/>
    </xf>
    <xf numFmtId="0" fontId="38" fillId="2" borderId="36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left" vertical="center" wrapText="1"/>
    </xf>
    <xf numFmtId="0" fontId="38" fillId="2" borderId="35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right" vertical="center" wrapText="1"/>
    </xf>
    <xf numFmtId="0" fontId="38" fillId="2" borderId="38" xfId="0" applyFont="1" applyFill="1" applyBorder="1" applyAlignment="1">
      <alignment horizontal="center" vertical="center" wrapText="1"/>
    </xf>
    <xf numFmtId="0" fontId="38" fillId="2" borderId="39" xfId="0" applyFont="1" applyFill="1" applyBorder="1" applyAlignment="1">
      <alignment horizontal="center" vertical="center" wrapText="1"/>
    </xf>
    <xf numFmtId="0" fontId="38" fillId="2" borderId="40" xfId="0" applyFont="1" applyFill="1" applyBorder="1" applyAlignment="1">
      <alignment horizontal="center" vertical="center" wrapText="1"/>
    </xf>
    <xf numFmtId="0" fontId="38" fillId="2" borderId="37" xfId="0" applyFont="1" applyFill="1" applyBorder="1" applyAlignment="1">
      <alignment vertical="center" wrapText="1"/>
    </xf>
    <xf numFmtId="0" fontId="38" fillId="2" borderId="36" xfId="0" applyFont="1" applyFill="1" applyBorder="1" applyAlignment="1">
      <alignment horizontal="center" vertical="center" wrapText="1"/>
    </xf>
    <xf numFmtId="0" fontId="38" fillId="2" borderId="34" xfId="0" applyFont="1" applyFill="1" applyBorder="1" applyAlignment="1">
      <alignment horizontal="center" vertical="center" wrapText="1"/>
    </xf>
    <xf numFmtId="0" fontId="38" fillId="2" borderId="4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 wrapText="1"/>
    </xf>
    <xf numFmtId="0" fontId="38" fillId="2" borderId="32" xfId="0" applyFont="1" applyFill="1" applyBorder="1" applyAlignment="1">
      <alignment horizontal="center" vertical="center" wrapText="1"/>
    </xf>
    <xf numFmtId="0" fontId="38" fillId="2" borderId="20" xfId="0" applyFont="1" applyFill="1" applyBorder="1" applyAlignment="1">
      <alignment vertical="center" wrapText="1"/>
    </xf>
    <xf numFmtId="0" fontId="38" fillId="2" borderId="31" xfId="0" applyFont="1" applyFill="1" applyBorder="1" applyAlignment="1">
      <alignment horizontal="right" vertical="center" wrapText="1"/>
    </xf>
    <xf numFmtId="0" fontId="38" fillId="2" borderId="31" xfId="0" applyFont="1" applyFill="1" applyBorder="1" applyAlignment="1">
      <alignment vertical="center" wrapText="1"/>
    </xf>
    <xf numFmtId="0" fontId="38" fillId="2" borderId="9" xfId="0" applyFont="1" applyFill="1" applyBorder="1" applyAlignment="1">
      <alignment horizontal="center" vertical="center" wrapText="1"/>
    </xf>
    <xf numFmtId="0" fontId="38" fillId="2" borderId="43" xfId="0" applyFont="1" applyFill="1" applyBorder="1" applyAlignment="1">
      <alignment horizontal="center" vertical="center" wrapText="1"/>
    </xf>
    <xf numFmtId="0" fontId="38" fillId="2" borderId="42" xfId="0" applyFont="1" applyFill="1" applyBorder="1" applyAlignment="1">
      <alignment horizontal="center" vertical="center" wrapText="1"/>
    </xf>
    <xf numFmtId="185" fontId="38" fillId="2" borderId="24" xfId="0" applyNumberFormat="1" applyFont="1" applyFill="1" applyBorder="1" applyAlignment="1">
      <alignment horizontal="center" vertical="center" wrapText="1"/>
    </xf>
    <xf numFmtId="0" fontId="37" fillId="2" borderId="9" xfId="0" applyFont="1" applyFill="1" applyBorder="1" applyAlignment="1">
      <alignment horizontal="center" vertical="center" wrapText="1"/>
    </xf>
    <xf numFmtId="3" fontId="37" fillId="2" borderId="9" xfId="0" applyNumberFormat="1" applyFont="1" applyFill="1" applyBorder="1" applyAlignment="1">
      <alignment horizontal="center" vertical="center" wrapText="1"/>
    </xf>
    <xf numFmtId="3" fontId="37" fillId="2" borderId="30" xfId="0" applyNumberFormat="1" applyFont="1" applyFill="1" applyBorder="1" applyAlignment="1">
      <alignment horizontal="center" vertical="center" wrapText="1"/>
    </xf>
    <xf numFmtId="8" fontId="37" fillId="2" borderId="30" xfId="0" applyNumberFormat="1" applyFont="1" applyFill="1" applyBorder="1" applyAlignment="1">
      <alignment horizontal="center" vertical="center" wrapText="1"/>
    </xf>
    <xf numFmtId="3" fontId="37" fillId="2" borderId="20" xfId="0" applyNumberFormat="1" applyFont="1" applyFill="1" applyBorder="1" applyAlignment="1">
      <alignment horizontal="center" vertical="center" wrapText="1"/>
    </xf>
    <xf numFmtId="3" fontId="37" fillId="2" borderId="24" xfId="0" applyNumberFormat="1" applyFont="1" applyFill="1" applyBorder="1" applyAlignment="1">
      <alignment horizontal="center" vertical="center" wrapText="1"/>
    </xf>
    <xf numFmtId="8" fontId="37" fillId="2" borderId="25" xfId="0" applyNumberFormat="1" applyFont="1" applyFill="1" applyBorder="1" applyAlignment="1">
      <alignment horizontal="center" vertical="center" wrapText="1"/>
    </xf>
    <xf numFmtId="8" fontId="37" fillId="2" borderId="9" xfId="0" applyNumberFormat="1" applyFont="1" applyFill="1" applyBorder="1" applyAlignment="1">
      <alignment horizontal="center" vertical="center" wrapText="1"/>
    </xf>
    <xf numFmtId="0" fontId="37" fillId="2" borderId="25" xfId="0" applyFont="1" applyFill="1" applyBorder="1">
      <alignment vertical="center"/>
    </xf>
    <xf numFmtId="0" fontId="27" fillId="0" borderId="23" xfId="0" applyFont="1" applyBorder="1">
      <alignment vertical="center"/>
    </xf>
    <xf numFmtId="0" fontId="27" fillId="0" borderId="25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21" xfId="0" applyFont="1" applyBorder="1">
      <alignment vertical="center"/>
    </xf>
    <xf numFmtId="0" fontId="27" fillId="0" borderId="24" xfId="0" applyFont="1" applyBorder="1">
      <alignment vertical="center"/>
    </xf>
    <xf numFmtId="0" fontId="27" fillId="0" borderId="10" xfId="0" applyFont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13" fillId="0" borderId="13" xfId="0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0" fontId="29" fillId="13" borderId="0" xfId="0" applyFont="1" applyFill="1" applyAlignment="1">
      <alignment horizontal="center" vertical="center"/>
    </xf>
    <xf numFmtId="0" fontId="15" fillId="17" borderId="9" xfId="0" applyFont="1" applyFill="1" applyBorder="1" applyAlignment="1">
      <alignment horizontal="center" vertical="center"/>
    </xf>
    <xf numFmtId="0" fontId="15" fillId="15" borderId="45" xfId="0" applyFont="1" applyFill="1" applyBorder="1" applyAlignment="1">
      <alignment horizontal="center" vertical="center"/>
    </xf>
    <xf numFmtId="0" fontId="15" fillId="15" borderId="46" xfId="0" applyFont="1" applyFill="1" applyBorder="1" applyAlignment="1">
      <alignment horizontal="center" vertical="center"/>
    </xf>
    <xf numFmtId="0" fontId="15" fillId="15" borderId="47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"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06월</c:v>
                </c:pt>
                <c:pt idx="1">
                  <c:v>23년 07월</c:v>
                </c:pt>
                <c:pt idx="2">
                  <c:v>23년 08월</c:v>
                </c:pt>
                <c:pt idx="3">
                  <c:v>23년 09월</c:v>
                </c:pt>
                <c:pt idx="4">
                  <c:v>23년 10월</c:v>
                </c:pt>
                <c:pt idx="5">
                  <c:v>23년 11월</c:v>
                </c:pt>
                <c:pt idx="6">
                  <c:v>23년 12월</c:v>
                </c:pt>
                <c:pt idx="7">
                  <c:v>24년 01월</c:v>
                </c:pt>
                <c:pt idx="8">
                  <c:v>24년 02월</c:v>
                </c:pt>
                <c:pt idx="9">
                  <c:v>24년 03월</c:v>
                </c:pt>
                <c:pt idx="10">
                  <c:v>24년 04월</c:v>
                </c:pt>
                <c:pt idx="11">
                  <c:v>24년 05월</c:v>
                </c:pt>
              </c:strCache>
            </c:strRef>
          </c:cat>
          <c:val>
            <c:numRef>
              <c:f>'채널별 팔로워 추이'!$Q$5:$Q$16</c:f>
              <c:numCache>
                <c:formatCode>#,##0_);[Red]\(#,##0\)</c:formatCode>
                <c:ptCount val="12"/>
                <c:pt idx="0">
                  <c:v>330054</c:v>
                </c:pt>
                <c:pt idx="1">
                  <c:v>329242</c:v>
                </c:pt>
                <c:pt idx="2">
                  <c:v>328540</c:v>
                </c:pt>
                <c:pt idx="3">
                  <c:v>327807</c:v>
                </c:pt>
                <c:pt idx="4">
                  <c:v>327316</c:v>
                </c:pt>
                <c:pt idx="5">
                  <c:v>326663</c:v>
                </c:pt>
                <c:pt idx="6">
                  <c:v>325870</c:v>
                </c:pt>
                <c:pt idx="7">
                  <c:v>325213</c:v>
                </c:pt>
                <c:pt idx="8">
                  <c:v>324457</c:v>
                </c:pt>
                <c:pt idx="9">
                  <c:v>323919</c:v>
                </c:pt>
                <c:pt idx="10">
                  <c:v>323559</c:v>
                </c:pt>
                <c:pt idx="11">
                  <c:v>323315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D-434E-8C14-880B2B3442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06월</c:v>
                </c:pt>
                <c:pt idx="1">
                  <c:v>23년 07월</c:v>
                </c:pt>
                <c:pt idx="2">
                  <c:v>23년 08월</c:v>
                </c:pt>
                <c:pt idx="3">
                  <c:v>23년 09월</c:v>
                </c:pt>
                <c:pt idx="4">
                  <c:v>23년 10월</c:v>
                </c:pt>
                <c:pt idx="5">
                  <c:v>23년 11월</c:v>
                </c:pt>
                <c:pt idx="6">
                  <c:v>23년 12월</c:v>
                </c:pt>
                <c:pt idx="7">
                  <c:v>24년 01월</c:v>
                </c:pt>
                <c:pt idx="8">
                  <c:v>24년 02월</c:v>
                </c:pt>
                <c:pt idx="9">
                  <c:v>24년 03월</c:v>
                </c:pt>
                <c:pt idx="10">
                  <c:v>24년 04월</c:v>
                </c:pt>
                <c:pt idx="11">
                  <c:v>24년 05월</c:v>
                </c:pt>
              </c:strCache>
            </c:strRef>
          </c:cat>
          <c:val>
            <c:numRef>
              <c:f>'채널별 팔로워 추이'!$R$5:$R$16</c:f>
              <c:numCache>
                <c:formatCode>#,##0_);[Red]\(#,##0\)</c:formatCode>
                <c:ptCount val="12"/>
                <c:pt idx="0">
                  <c:v>25330</c:v>
                </c:pt>
                <c:pt idx="1">
                  <c:v>24784</c:v>
                </c:pt>
                <c:pt idx="2">
                  <c:v>24120</c:v>
                </c:pt>
                <c:pt idx="3">
                  <c:v>24351</c:v>
                </c:pt>
                <c:pt idx="4">
                  <c:v>24169</c:v>
                </c:pt>
                <c:pt idx="5">
                  <c:v>24349</c:v>
                </c:pt>
                <c:pt idx="6">
                  <c:v>24077</c:v>
                </c:pt>
                <c:pt idx="7">
                  <c:v>23803</c:v>
                </c:pt>
                <c:pt idx="8">
                  <c:v>23534</c:v>
                </c:pt>
                <c:pt idx="9">
                  <c:v>24159</c:v>
                </c:pt>
                <c:pt idx="10">
                  <c:v>24029</c:v>
                </c:pt>
                <c:pt idx="11">
                  <c:v>24433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3-4299-A944-981F136E1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06월</c:v>
                </c:pt>
                <c:pt idx="1">
                  <c:v>23년 07월</c:v>
                </c:pt>
                <c:pt idx="2">
                  <c:v>23년 08월</c:v>
                </c:pt>
                <c:pt idx="3">
                  <c:v>23년 09월</c:v>
                </c:pt>
                <c:pt idx="4">
                  <c:v>23년 10월</c:v>
                </c:pt>
                <c:pt idx="5">
                  <c:v>23년 11월</c:v>
                </c:pt>
                <c:pt idx="6">
                  <c:v>23년 12월</c:v>
                </c:pt>
                <c:pt idx="7">
                  <c:v>24년 01월</c:v>
                </c:pt>
                <c:pt idx="8">
                  <c:v>24년 02월</c:v>
                </c:pt>
                <c:pt idx="9">
                  <c:v>24년 03월</c:v>
                </c:pt>
                <c:pt idx="10">
                  <c:v>24년 04월</c:v>
                </c:pt>
                <c:pt idx="11">
                  <c:v>24년 05월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104546</c:v>
                </c:pt>
                <c:pt idx="1">
                  <c:v>127484</c:v>
                </c:pt>
                <c:pt idx="2">
                  <c:v>170862</c:v>
                </c:pt>
                <c:pt idx="3">
                  <c:v>209685</c:v>
                </c:pt>
                <c:pt idx="4">
                  <c:v>206054</c:v>
                </c:pt>
                <c:pt idx="5">
                  <c:v>204222</c:v>
                </c:pt>
                <c:pt idx="6">
                  <c:v>203190</c:v>
                </c:pt>
                <c:pt idx="7">
                  <c:v>200818</c:v>
                </c:pt>
                <c:pt idx="8">
                  <c:v>198550</c:v>
                </c:pt>
                <c:pt idx="9">
                  <c:v>196824</c:v>
                </c:pt>
                <c:pt idx="10">
                  <c:v>195398</c:v>
                </c:pt>
                <c:pt idx="11">
                  <c:v>194084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7-4D3C-8C16-C78BDAB819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323559</c:v>
                </c:pt>
                <c:pt idx="1">
                  <c:v>323553</c:v>
                </c:pt>
                <c:pt idx="2">
                  <c:v>323530</c:v>
                </c:pt>
                <c:pt idx="3">
                  <c:v>323530</c:v>
                </c:pt>
                <c:pt idx="4">
                  <c:v>323530</c:v>
                </c:pt>
                <c:pt idx="5">
                  <c:v>323530</c:v>
                </c:pt>
                <c:pt idx="6">
                  <c:v>323502</c:v>
                </c:pt>
                <c:pt idx="7">
                  <c:v>323498</c:v>
                </c:pt>
                <c:pt idx="8">
                  <c:v>323503</c:v>
                </c:pt>
                <c:pt idx="9">
                  <c:v>323481</c:v>
                </c:pt>
                <c:pt idx="10">
                  <c:v>323481</c:v>
                </c:pt>
                <c:pt idx="11">
                  <c:v>323481</c:v>
                </c:pt>
                <c:pt idx="12">
                  <c:v>323464</c:v>
                </c:pt>
                <c:pt idx="13">
                  <c:v>323457</c:v>
                </c:pt>
                <c:pt idx="14">
                  <c:v>323457</c:v>
                </c:pt>
                <c:pt idx="15">
                  <c:v>323429</c:v>
                </c:pt>
                <c:pt idx="16">
                  <c:v>323399</c:v>
                </c:pt>
                <c:pt idx="17">
                  <c:v>323399</c:v>
                </c:pt>
                <c:pt idx="18">
                  <c:v>323399</c:v>
                </c:pt>
                <c:pt idx="19">
                  <c:v>323374</c:v>
                </c:pt>
                <c:pt idx="20">
                  <c:v>323363</c:v>
                </c:pt>
                <c:pt idx="21">
                  <c:v>323360</c:v>
                </c:pt>
                <c:pt idx="22">
                  <c:v>323350</c:v>
                </c:pt>
                <c:pt idx="23">
                  <c:v>323356</c:v>
                </c:pt>
                <c:pt idx="24">
                  <c:v>323356</c:v>
                </c:pt>
                <c:pt idx="25">
                  <c:v>323356</c:v>
                </c:pt>
                <c:pt idx="26">
                  <c:v>323363</c:v>
                </c:pt>
                <c:pt idx="27">
                  <c:v>323349</c:v>
                </c:pt>
                <c:pt idx="28">
                  <c:v>323337</c:v>
                </c:pt>
                <c:pt idx="29">
                  <c:v>323332</c:v>
                </c:pt>
                <c:pt idx="30">
                  <c:v>323315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일일data!$P$4:$P$34</c:f>
              <c:numCache>
                <c:formatCode>_-* #,##0_-;\-* #,##0_-;_-* "-"_-;_-@</c:formatCode>
                <c:ptCount val="31"/>
                <c:pt idx="0">
                  <c:v>326904</c:v>
                </c:pt>
                <c:pt idx="1">
                  <c:v>326893</c:v>
                </c:pt>
                <c:pt idx="2">
                  <c:v>326873</c:v>
                </c:pt>
                <c:pt idx="3">
                  <c:v>326873</c:v>
                </c:pt>
                <c:pt idx="4">
                  <c:v>326873</c:v>
                </c:pt>
                <c:pt idx="5">
                  <c:v>326873</c:v>
                </c:pt>
                <c:pt idx="6">
                  <c:v>326849</c:v>
                </c:pt>
                <c:pt idx="7">
                  <c:v>326841</c:v>
                </c:pt>
                <c:pt idx="8">
                  <c:v>326851</c:v>
                </c:pt>
                <c:pt idx="9">
                  <c:v>326834</c:v>
                </c:pt>
                <c:pt idx="10">
                  <c:v>326834</c:v>
                </c:pt>
                <c:pt idx="11">
                  <c:v>326834</c:v>
                </c:pt>
                <c:pt idx="12">
                  <c:v>326816</c:v>
                </c:pt>
                <c:pt idx="13">
                  <c:v>326810</c:v>
                </c:pt>
                <c:pt idx="14">
                  <c:v>326810</c:v>
                </c:pt>
                <c:pt idx="15">
                  <c:v>326789</c:v>
                </c:pt>
                <c:pt idx="16">
                  <c:v>326761</c:v>
                </c:pt>
                <c:pt idx="17">
                  <c:v>326761</c:v>
                </c:pt>
                <c:pt idx="18">
                  <c:v>326761</c:v>
                </c:pt>
                <c:pt idx="19">
                  <c:v>326745</c:v>
                </c:pt>
                <c:pt idx="20">
                  <c:v>326736</c:v>
                </c:pt>
                <c:pt idx="21">
                  <c:v>326734</c:v>
                </c:pt>
                <c:pt idx="22">
                  <c:v>326725</c:v>
                </c:pt>
                <c:pt idx="23">
                  <c:v>326724</c:v>
                </c:pt>
                <c:pt idx="24">
                  <c:v>326724</c:v>
                </c:pt>
                <c:pt idx="25">
                  <c:v>326724</c:v>
                </c:pt>
                <c:pt idx="26">
                  <c:v>326732</c:v>
                </c:pt>
                <c:pt idx="27">
                  <c:v>326723</c:v>
                </c:pt>
                <c:pt idx="28">
                  <c:v>326710</c:v>
                </c:pt>
                <c:pt idx="29">
                  <c:v>326702</c:v>
                </c:pt>
                <c:pt idx="30">
                  <c:v>326693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date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Offset val="100"/>
        <c:baseTimeUnit val="days"/>
      </c:date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일일data!$T$3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일일data!$T$4:$T$34</c:f>
              <c:numCache>
                <c:formatCode>_-* #,##0_-;\-* #,##0_-;_-* "-"_-;_-@</c:formatCode>
                <c:ptCount val="31"/>
                <c:pt idx="0">
                  <c:v>24070</c:v>
                </c:pt>
                <c:pt idx="1">
                  <c:v>24116</c:v>
                </c:pt>
                <c:pt idx="2">
                  <c:v>24143</c:v>
                </c:pt>
                <c:pt idx="3">
                  <c:v>24165</c:v>
                </c:pt>
                <c:pt idx="4">
                  <c:v>24194</c:v>
                </c:pt>
                <c:pt idx="5">
                  <c:v>24215</c:v>
                </c:pt>
                <c:pt idx="6">
                  <c:v>24304</c:v>
                </c:pt>
                <c:pt idx="7">
                  <c:v>24308</c:v>
                </c:pt>
                <c:pt idx="8">
                  <c:v>24312</c:v>
                </c:pt>
                <c:pt idx="9">
                  <c:v>24315</c:v>
                </c:pt>
                <c:pt idx="10">
                  <c:v>24320</c:v>
                </c:pt>
                <c:pt idx="11">
                  <c:v>24303</c:v>
                </c:pt>
                <c:pt idx="12">
                  <c:v>24307</c:v>
                </c:pt>
                <c:pt idx="13">
                  <c:v>24319</c:v>
                </c:pt>
                <c:pt idx="14">
                  <c:v>24319</c:v>
                </c:pt>
                <c:pt idx="15">
                  <c:v>24301</c:v>
                </c:pt>
                <c:pt idx="16">
                  <c:v>24297</c:v>
                </c:pt>
                <c:pt idx="17">
                  <c:v>24293</c:v>
                </c:pt>
                <c:pt idx="18">
                  <c:v>24288</c:v>
                </c:pt>
                <c:pt idx="19">
                  <c:v>24273</c:v>
                </c:pt>
                <c:pt idx="20">
                  <c:v>24262</c:v>
                </c:pt>
                <c:pt idx="21">
                  <c:v>24282</c:v>
                </c:pt>
                <c:pt idx="22">
                  <c:v>24308</c:v>
                </c:pt>
                <c:pt idx="23">
                  <c:v>24338</c:v>
                </c:pt>
                <c:pt idx="24">
                  <c:v>24393</c:v>
                </c:pt>
                <c:pt idx="25">
                  <c:v>24423</c:v>
                </c:pt>
                <c:pt idx="26">
                  <c:v>24432</c:v>
                </c:pt>
                <c:pt idx="27">
                  <c:v>24431</c:v>
                </c:pt>
                <c:pt idx="28">
                  <c:v>24429</c:v>
                </c:pt>
                <c:pt idx="29">
                  <c:v>24430</c:v>
                </c:pt>
                <c:pt idx="30">
                  <c:v>24433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55</c:v>
                </c:pt>
                <c:pt idx="1">
                  <c:v>54</c:v>
                </c:pt>
                <c:pt idx="2">
                  <c:v>24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78</c:v>
                </c:pt>
                <c:pt idx="7">
                  <c:v>16</c:v>
                </c:pt>
                <c:pt idx="8">
                  <c:v>10</c:v>
                </c:pt>
                <c:pt idx="9">
                  <c:v>14</c:v>
                </c:pt>
                <c:pt idx="10">
                  <c:v>6</c:v>
                </c:pt>
                <c:pt idx="11">
                  <c:v>7</c:v>
                </c:pt>
                <c:pt idx="12">
                  <c:v>13</c:v>
                </c:pt>
                <c:pt idx="13">
                  <c:v>12</c:v>
                </c:pt>
                <c:pt idx="14">
                  <c:v>23</c:v>
                </c:pt>
                <c:pt idx="15">
                  <c:v>4</c:v>
                </c:pt>
                <c:pt idx="16">
                  <c:v>10</c:v>
                </c:pt>
                <c:pt idx="17">
                  <c:v>3</c:v>
                </c:pt>
                <c:pt idx="18">
                  <c:v>4</c:v>
                </c:pt>
                <c:pt idx="19">
                  <c:v>8</c:v>
                </c:pt>
                <c:pt idx="20">
                  <c:v>5</c:v>
                </c:pt>
                <c:pt idx="21">
                  <c:v>56</c:v>
                </c:pt>
                <c:pt idx="22">
                  <c:v>27</c:v>
                </c:pt>
                <c:pt idx="23">
                  <c:v>52</c:v>
                </c:pt>
                <c:pt idx="24">
                  <c:v>52</c:v>
                </c:pt>
                <c:pt idx="25">
                  <c:v>31</c:v>
                </c:pt>
                <c:pt idx="26">
                  <c:v>14</c:v>
                </c:pt>
                <c:pt idx="27">
                  <c:v>14</c:v>
                </c:pt>
                <c:pt idx="28">
                  <c:v>6</c:v>
                </c:pt>
                <c:pt idx="29">
                  <c:v>11</c:v>
                </c:pt>
                <c:pt idx="3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커버'!$A$2:$A$31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'YT 커버'!$B$2:$B$31</c:f>
              <c:numCache>
                <c:formatCode>#,##0_ </c:formatCode>
                <c:ptCount val="30"/>
                <c:pt idx="0">
                  <c:v>195362</c:v>
                </c:pt>
                <c:pt idx="1">
                  <c:v>195335</c:v>
                </c:pt>
                <c:pt idx="2">
                  <c:v>195286</c:v>
                </c:pt>
                <c:pt idx="3">
                  <c:v>195239</c:v>
                </c:pt>
                <c:pt idx="4">
                  <c:v>195183</c:v>
                </c:pt>
                <c:pt idx="5">
                  <c:v>195136</c:v>
                </c:pt>
                <c:pt idx="6">
                  <c:v>195080</c:v>
                </c:pt>
                <c:pt idx="7">
                  <c:v>195041</c:v>
                </c:pt>
                <c:pt idx="8">
                  <c:v>195000</c:v>
                </c:pt>
                <c:pt idx="9">
                  <c:v>194966</c:v>
                </c:pt>
                <c:pt idx="10">
                  <c:v>194913</c:v>
                </c:pt>
                <c:pt idx="11">
                  <c:v>194883</c:v>
                </c:pt>
                <c:pt idx="12">
                  <c:v>194840</c:v>
                </c:pt>
                <c:pt idx="13">
                  <c:v>194743</c:v>
                </c:pt>
                <c:pt idx="14">
                  <c:v>194743</c:v>
                </c:pt>
                <c:pt idx="15">
                  <c:v>194721</c:v>
                </c:pt>
                <c:pt idx="16">
                  <c:v>194676</c:v>
                </c:pt>
                <c:pt idx="17">
                  <c:v>194619</c:v>
                </c:pt>
                <c:pt idx="18">
                  <c:v>194581</c:v>
                </c:pt>
                <c:pt idx="19">
                  <c:v>194530</c:v>
                </c:pt>
                <c:pt idx="20">
                  <c:v>194501</c:v>
                </c:pt>
                <c:pt idx="21">
                  <c:v>194465</c:v>
                </c:pt>
                <c:pt idx="22">
                  <c:v>194422</c:v>
                </c:pt>
                <c:pt idx="23">
                  <c:v>194377</c:v>
                </c:pt>
                <c:pt idx="24">
                  <c:v>194320</c:v>
                </c:pt>
                <c:pt idx="25">
                  <c:v>194284</c:v>
                </c:pt>
                <c:pt idx="26">
                  <c:v>194242</c:v>
                </c:pt>
                <c:pt idx="27">
                  <c:v>194207</c:v>
                </c:pt>
                <c:pt idx="28">
                  <c:v>194174</c:v>
                </c:pt>
                <c:pt idx="29">
                  <c:v>194141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06월</c:v>
                </c:pt>
                <c:pt idx="1">
                  <c:v>23년 07월</c:v>
                </c:pt>
                <c:pt idx="2">
                  <c:v>23년 08월</c:v>
                </c:pt>
                <c:pt idx="3">
                  <c:v>23년 09월</c:v>
                </c:pt>
                <c:pt idx="4">
                  <c:v>23년 10월</c:v>
                </c:pt>
                <c:pt idx="5">
                  <c:v>23년 11월</c:v>
                </c:pt>
                <c:pt idx="6">
                  <c:v>23년 12월</c:v>
                </c:pt>
                <c:pt idx="7">
                  <c:v>24년 01월</c:v>
                </c:pt>
                <c:pt idx="8">
                  <c:v>24년 02월</c:v>
                </c:pt>
                <c:pt idx="9">
                  <c:v>24년 03월</c:v>
                </c:pt>
                <c:pt idx="10">
                  <c:v>24년 04월</c:v>
                </c:pt>
                <c:pt idx="11">
                  <c:v>24년 05월</c:v>
                </c:pt>
              </c:strCache>
            </c:strRef>
          </c:cat>
          <c:val>
            <c:numRef>
              <c:f>'채널별 팔로워 추이'!$S$5:$S$16</c:f>
              <c:numCache>
                <c:formatCode>#,##0_);[Red]\(#,##0\)</c:formatCode>
                <c:ptCount val="12"/>
                <c:pt idx="0">
                  <c:v>104546</c:v>
                </c:pt>
                <c:pt idx="1">
                  <c:v>127484</c:v>
                </c:pt>
                <c:pt idx="2">
                  <c:v>170862</c:v>
                </c:pt>
                <c:pt idx="3">
                  <c:v>209685</c:v>
                </c:pt>
                <c:pt idx="4">
                  <c:v>206054</c:v>
                </c:pt>
                <c:pt idx="5">
                  <c:v>204222</c:v>
                </c:pt>
                <c:pt idx="6">
                  <c:v>203190</c:v>
                </c:pt>
                <c:pt idx="7">
                  <c:v>200818</c:v>
                </c:pt>
                <c:pt idx="8">
                  <c:v>198550</c:v>
                </c:pt>
                <c:pt idx="9">
                  <c:v>196824</c:v>
                </c:pt>
                <c:pt idx="10">
                  <c:v>195398</c:v>
                </c:pt>
                <c:pt idx="11">
                  <c:v>194084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6</xdr:row>
      <xdr:rowOff>68580</xdr:rowOff>
    </xdr:from>
    <xdr:to>
      <xdr:col>13</xdr:col>
      <xdr:colOff>190500</xdr:colOff>
      <xdr:row>13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121920</xdr:colOff>
      <xdr:row>13</xdr:row>
      <xdr:rowOff>125730</xdr:rowOff>
    </xdr:from>
    <xdr:to>
      <xdr:col>13</xdr:col>
      <xdr:colOff>198120</xdr:colOff>
      <xdr:row>20</xdr:row>
      <xdr:rowOff>137160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137160</xdr:colOff>
      <xdr:row>21</xdr:row>
      <xdr:rowOff>72390</xdr:rowOff>
    </xdr:from>
    <xdr:to>
      <xdr:col>13</xdr:col>
      <xdr:colOff>205740</xdr:colOff>
      <xdr:row>28</xdr:row>
      <xdr:rowOff>175260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17</xdr:row>
      <xdr:rowOff>156210</xdr:rowOff>
    </xdr:from>
    <xdr:to>
      <xdr:col>14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661987</xdr:colOff>
      <xdr:row>31</xdr:row>
      <xdr:rowOff>200023</xdr:rowOff>
    </xdr:from>
    <xdr:to>
      <xdr:col>14</xdr:col>
      <xdr:colOff>387937</xdr:colOff>
      <xdr:row>44</xdr:row>
      <xdr:rowOff>73311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6"/>
  <sheetViews>
    <sheetView topLeftCell="A11" workbookViewId="0">
      <selection activeCell="A23" sqref="A23"/>
    </sheetView>
  </sheetViews>
  <sheetFormatPr defaultRowHeight="16.899999999999999"/>
  <cols>
    <col min="1" max="1" width="103.125" customWidth="1"/>
  </cols>
  <sheetData>
    <row r="7" spans="1:1" ht="17.25" thickBot="1"/>
    <row r="8" spans="1:1">
      <c r="A8" s="106" t="s">
        <v>109</v>
      </c>
    </row>
    <row r="9" spans="1:1" ht="17.25" thickBot="1">
      <c r="A9" s="104">
        <v>2024</v>
      </c>
    </row>
    <row r="10" spans="1:1" ht="17.25" thickBot="1">
      <c r="A10" s="89"/>
    </row>
    <row r="11" spans="1:1">
      <c r="A11" s="106" t="s">
        <v>110</v>
      </c>
    </row>
    <row r="12" spans="1:1" ht="17.25" thickBot="1">
      <c r="A12" s="104">
        <v>5</v>
      </c>
    </row>
    <row r="14" spans="1:1" ht="34.5" customHeight="1">
      <c r="A14" s="103" t="s">
        <v>105</v>
      </c>
    </row>
    <row r="15" spans="1:1" ht="27" customHeight="1">
      <c r="A15" s="97" t="s">
        <v>112</v>
      </c>
    </row>
    <row r="16" spans="1:1" ht="27" customHeight="1">
      <c r="A16" s="97" t="s">
        <v>108</v>
      </c>
    </row>
    <row r="17" spans="1:2" ht="27" customHeight="1">
      <c r="A17" s="97" t="str">
        <f>IF(A9&amp;A12=YEAR(일일data!A4)&amp;MONTH(일일data!A4),"3) 일일 data 삽입 완료","3) 일일data 시트 A4에 해당 월 수치 값붙하시오(일일보고서 데이터)")</f>
        <v>3) 일일 data 삽입 완료</v>
      </c>
      <c r="B17" t="b">
        <f>OR(ISNUMBER(SEARCH("완료",A17)),ISNUMBER(SEARCH("완성",A17)))</f>
        <v>1</v>
      </c>
    </row>
    <row r="18" spans="1:2" ht="27" customHeight="1">
      <c r="A18" s="97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t="b">
        <f t="shared" ref="B18:B23" si="0">OR(ISNUMBER(SEARCH("완료",A18)),ISNUMBER(SEARCH("완성",A18)))</f>
        <v>1</v>
      </c>
    </row>
    <row r="19" spans="1:2" ht="27" customHeight="1">
      <c r="A19" s="97" t="str">
        <f>IF('FB 콘텐츠 data'!A2="","5) FB 콘텐츠 data 시트 A1에 로우데이터(목록행 포함) 값붙하시오.","5) FB 콘텐츠 data 삽입 완료, FB 신규발행 시트 완성")</f>
        <v>5) FB 콘텐츠 data 삽입 완료, FB 신규발행 시트 완성</v>
      </c>
      <c r="B19" t="b">
        <f t="shared" si="0"/>
        <v>1</v>
      </c>
    </row>
    <row r="20" spans="1:2" ht="27" customHeight="1">
      <c r="A20" s="97" t="str">
        <f>IF(ISNUMBER(SEARCH("값붙",'FB 커버'!L6))=TRUE,"6) FB 커버 시트의 우측에 있는 표에 신규 좋아요 수치 기입 후 I4:O4의 값을 왼쪽 표 하단에 값붙하시오","6) FB 커버 시트, FB Top3 포스트 시트 완성")</f>
        <v>6) FB 커버 시트, FB Top3 포스트 시트 완성</v>
      </c>
      <c r="B20" t="b">
        <f t="shared" si="0"/>
        <v>1</v>
      </c>
    </row>
    <row r="21" spans="1:2" ht="27" customHeight="1">
      <c r="A21" s="97" t="str">
        <f>IF('IG 콘텐츠 data'!A2="","7) IG 콘텐츠 data 시트 A1에 인스타 로우데이터(목록행 포함) 값붙하시오.","7) IG 콘텐츠 데이터 삽입 완료")</f>
        <v>7) IG 콘텐츠 데이터 삽입 완료</v>
      </c>
      <c r="B21" t="b">
        <f t="shared" si="0"/>
        <v>1</v>
      </c>
    </row>
    <row r="22" spans="1:2" ht="27" customHeight="1">
      <c r="A22" s="97" t="str">
        <f>IF(ISNUMBER(SEARCH("값붙",'IG 커버'!J7))=TRUE,"8) IG 커버 시트 우측 표에 신규 좋아요 수치 기입 후 우측표의 값을 왼쪽 표 하단에 값붙하시오","8) IG 커버 시트 완성")</f>
        <v>8) IG 커버 시트 완성</v>
      </c>
      <c r="B22" t="b">
        <f t="shared" si="0"/>
        <v>1</v>
      </c>
    </row>
    <row r="23" spans="1:2" ht="27" customHeight="1">
      <c r="A23" s="97" t="str">
        <f>IF('IG story data'!A2="","9) IG 스토리 데이터 시트 A1에 스토리 로우데이터(목록행 포함) 값붙하시오","9) IG 스토리 데이터 작성 완료. IG 신규발행 시트 상단에 인사이트 자동 생성 완료")</f>
        <v>9) IG 스토리 데이터 작성 완료. IG 신규발행 시트 상단에 인사이트 자동 생성 완료</v>
      </c>
      <c r="B23" t="b">
        <f t="shared" si="0"/>
        <v>1</v>
      </c>
    </row>
    <row r="24" spans="1:2" ht="27" customHeight="1">
      <c r="A24" s="97" t="str">
        <f>IF(COUNTIF(B:B,TRUE)=7,"10) 모든 장표 완성. 엑셀의 데이터를 ppt로 옮기시오.","10) 우선 1번부터 9번까지의 작업을 완료하시오.")</f>
        <v>10) 모든 장표 완성. 엑셀의 데이터를 ppt로 옮기시오.</v>
      </c>
    </row>
    <row r="25" spans="1:2" ht="16.5" customHeight="1"/>
    <row r="26" spans="1:2" ht="16.5" customHeight="1"/>
  </sheetData>
  <phoneticPr fontId="1" type="noConversion"/>
  <conditionalFormatting sqref="A17:A23">
    <cfRule type="containsText" dxfId="6" priority="4" operator="containsText" text="기입">
      <formula>NOT(ISERROR(SEARCH("기입",A17)))</formula>
    </cfRule>
    <cfRule type="containsText" dxfId="5" priority="5" operator="containsText" text="값붙">
      <formula>NOT(ISERROR(SEARCH("값붙",A17)))</formula>
    </cfRule>
  </conditionalFormatting>
  <conditionalFormatting sqref="A24">
    <cfRule type="containsText" dxfId="4" priority="1" operator="containsText" text="우선">
      <formula>NOT(ISERROR(SEARCH("우선",A24)))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Y36"/>
  <sheetViews>
    <sheetView topLeftCell="A10" workbookViewId="0">
      <selection activeCell="A34" sqref="A34"/>
    </sheetView>
  </sheetViews>
  <sheetFormatPr defaultRowHeight="16.899999999999999"/>
  <sheetData>
    <row r="1" spans="1:25">
      <c r="A1" s="190" t="s">
        <v>0</v>
      </c>
      <c r="B1" s="191"/>
      <c r="C1" s="192" t="s">
        <v>1</v>
      </c>
      <c r="D1" s="193"/>
      <c r="E1" s="193"/>
      <c r="F1" s="193"/>
      <c r="G1" s="193"/>
      <c r="H1" s="193"/>
      <c r="I1" s="193"/>
      <c r="J1" s="193"/>
      <c r="K1" s="193"/>
      <c r="L1" s="194"/>
      <c r="M1" s="195" t="s">
        <v>2</v>
      </c>
      <c r="N1" s="196"/>
      <c r="O1" s="196"/>
      <c r="P1" s="196"/>
      <c r="Q1" s="196"/>
      <c r="R1" s="196"/>
      <c r="S1" s="197"/>
      <c r="T1" s="198" t="s">
        <v>3</v>
      </c>
      <c r="U1" s="199"/>
      <c r="V1" s="199"/>
      <c r="W1" s="199"/>
      <c r="X1" s="200"/>
      <c r="Y1" s="28" t="s">
        <v>4</v>
      </c>
    </row>
    <row r="2" spans="1:25">
      <c r="A2" s="201" t="s">
        <v>119</v>
      </c>
      <c r="B2" s="202"/>
      <c r="C2" s="29" t="s">
        <v>5</v>
      </c>
      <c r="D2" s="203" t="s">
        <v>6</v>
      </c>
      <c r="E2" s="204"/>
      <c r="F2" s="205"/>
      <c r="G2" s="203" t="s">
        <v>7</v>
      </c>
      <c r="H2" s="204"/>
      <c r="I2" s="205"/>
      <c r="J2" s="203" t="s">
        <v>8</v>
      </c>
      <c r="K2" s="204"/>
      <c r="L2" s="205"/>
      <c r="M2" s="206" t="s">
        <v>9</v>
      </c>
      <c r="N2" s="207"/>
      <c r="O2" s="207"/>
      <c r="P2" s="207"/>
      <c r="Q2" s="207"/>
      <c r="R2" s="207"/>
      <c r="S2" s="208"/>
      <c r="T2" s="198" t="s">
        <v>9</v>
      </c>
      <c r="U2" s="199"/>
      <c r="V2" s="199"/>
      <c r="W2" s="199"/>
      <c r="X2" s="200"/>
      <c r="Y2" s="28" t="s">
        <v>10</v>
      </c>
    </row>
    <row r="3" spans="1:25">
      <c r="A3" s="39" t="s">
        <v>21</v>
      </c>
      <c r="B3" s="39" t="s">
        <v>22</v>
      </c>
      <c r="C3" s="40" t="s">
        <v>23</v>
      </c>
      <c r="D3" s="40" t="s">
        <v>24</v>
      </c>
      <c r="E3" s="40" t="s">
        <v>25</v>
      </c>
      <c r="F3" s="41" t="s">
        <v>26</v>
      </c>
      <c r="G3" s="41" t="s">
        <v>24</v>
      </c>
      <c r="H3" s="41" t="s">
        <v>25</v>
      </c>
      <c r="I3" s="41" t="s">
        <v>26</v>
      </c>
      <c r="J3" s="41" t="s">
        <v>24</v>
      </c>
      <c r="K3" s="41" t="s">
        <v>25</v>
      </c>
      <c r="L3" s="41" t="s">
        <v>26</v>
      </c>
      <c r="M3" s="47" t="s">
        <v>69</v>
      </c>
      <c r="N3" s="47" t="s">
        <v>133</v>
      </c>
      <c r="O3" s="47" t="s">
        <v>134</v>
      </c>
      <c r="P3" s="40" t="s">
        <v>27</v>
      </c>
      <c r="Q3" s="40" t="s">
        <v>28</v>
      </c>
      <c r="R3" s="40" t="s">
        <v>29</v>
      </c>
      <c r="S3" s="40" t="s">
        <v>30</v>
      </c>
      <c r="T3" s="42" t="s">
        <v>31</v>
      </c>
      <c r="U3" s="42" t="s">
        <v>179</v>
      </c>
      <c r="V3" s="42" t="s">
        <v>180</v>
      </c>
      <c r="W3" s="42" t="s">
        <v>32</v>
      </c>
      <c r="X3" s="42" t="s">
        <v>33</v>
      </c>
      <c r="Y3" s="42" t="s">
        <v>34</v>
      </c>
    </row>
    <row r="4" spans="1:25">
      <c r="A4" s="1">
        <v>45413</v>
      </c>
      <c r="B4" s="2">
        <v>45413</v>
      </c>
      <c r="C4" s="3"/>
      <c r="D4" s="4"/>
      <c r="E4" s="5"/>
      <c r="F4" s="4"/>
      <c r="G4" s="4"/>
      <c r="H4" s="6"/>
      <c r="I4" s="4"/>
      <c r="J4" s="4"/>
      <c r="K4" s="6"/>
      <c r="L4" s="4"/>
      <c r="M4" s="4">
        <v>323559</v>
      </c>
      <c r="N4" s="4">
        <v>13</v>
      </c>
      <c r="O4" s="4">
        <v>12</v>
      </c>
      <c r="P4" s="3">
        <v>326904</v>
      </c>
      <c r="Q4" s="3"/>
      <c r="R4" s="4"/>
      <c r="S4" s="4">
        <v>20966</v>
      </c>
      <c r="T4" s="4">
        <v>24070</v>
      </c>
      <c r="U4" s="4">
        <v>55</v>
      </c>
      <c r="V4" s="4">
        <v>7</v>
      </c>
      <c r="W4" s="3">
        <v>12246</v>
      </c>
      <c r="X4" s="3">
        <v>16976</v>
      </c>
      <c r="Y4" s="4">
        <v>195362</v>
      </c>
    </row>
    <row r="5" spans="1:25">
      <c r="A5" s="1">
        <v>45414</v>
      </c>
      <c r="B5" s="2">
        <v>45414</v>
      </c>
      <c r="C5" s="3"/>
      <c r="D5" s="4"/>
      <c r="E5" s="5"/>
      <c r="F5" s="4"/>
      <c r="G5" s="4"/>
      <c r="H5" s="6"/>
      <c r="I5" s="4"/>
      <c r="J5" s="4"/>
      <c r="K5" s="6"/>
      <c r="L5" s="4"/>
      <c r="M5" s="4">
        <v>323553</v>
      </c>
      <c r="N5" s="4">
        <v>14</v>
      </c>
      <c r="O5" s="4">
        <v>20</v>
      </c>
      <c r="P5" s="3">
        <v>326893</v>
      </c>
      <c r="Q5" s="3"/>
      <c r="R5" s="4"/>
      <c r="S5" s="4">
        <v>11513</v>
      </c>
      <c r="T5" s="4">
        <v>24116</v>
      </c>
      <c r="U5" s="4">
        <v>54</v>
      </c>
      <c r="V5" s="4">
        <v>13</v>
      </c>
      <c r="W5" s="3">
        <v>10855</v>
      </c>
      <c r="X5" s="3">
        <v>14814</v>
      </c>
      <c r="Y5" s="4">
        <v>195335</v>
      </c>
    </row>
    <row r="6" spans="1:25">
      <c r="A6" s="7">
        <v>45415</v>
      </c>
      <c r="B6" s="2">
        <v>45415</v>
      </c>
      <c r="C6" s="3"/>
      <c r="D6" s="4"/>
      <c r="E6" s="5"/>
      <c r="F6" s="4"/>
      <c r="G6" s="4"/>
      <c r="H6" s="6"/>
      <c r="I6" s="4"/>
      <c r="J6" s="4"/>
      <c r="K6" s="6"/>
      <c r="L6" s="4"/>
      <c r="M6" s="4">
        <v>323530</v>
      </c>
      <c r="N6" s="4">
        <v>7</v>
      </c>
      <c r="O6" s="4">
        <v>13</v>
      </c>
      <c r="P6" s="3">
        <v>326873</v>
      </c>
      <c r="Q6" s="3"/>
      <c r="R6" s="4"/>
      <c r="S6" s="4">
        <v>21078</v>
      </c>
      <c r="T6" s="4">
        <v>24143</v>
      </c>
      <c r="U6" s="4">
        <v>24</v>
      </c>
      <c r="V6" s="4">
        <v>12</v>
      </c>
      <c r="W6" s="3">
        <v>9203</v>
      </c>
      <c r="X6" s="3">
        <v>12365</v>
      </c>
      <c r="Y6" s="4">
        <v>195286</v>
      </c>
    </row>
    <row r="7" spans="1:25">
      <c r="A7" s="7">
        <v>45416</v>
      </c>
      <c r="B7" s="2">
        <v>45416</v>
      </c>
      <c r="C7" s="3"/>
      <c r="D7" s="4"/>
      <c r="E7" s="5"/>
      <c r="F7" s="4"/>
      <c r="G7" s="4"/>
      <c r="H7" s="6"/>
      <c r="I7" s="4"/>
      <c r="J7" s="4"/>
      <c r="K7" s="6"/>
      <c r="L7" s="4"/>
      <c r="M7" s="4">
        <v>323530</v>
      </c>
      <c r="N7" s="4">
        <v>13</v>
      </c>
      <c r="O7" s="4">
        <v>15</v>
      </c>
      <c r="P7" s="3">
        <v>326873</v>
      </c>
      <c r="Q7" s="3"/>
      <c r="R7" s="4"/>
      <c r="S7" s="4">
        <v>17064</v>
      </c>
      <c r="T7" s="4">
        <v>24165</v>
      </c>
      <c r="U7" s="4">
        <v>40</v>
      </c>
      <c r="V7" s="4">
        <v>16</v>
      </c>
      <c r="W7" s="3">
        <v>10076</v>
      </c>
      <c r="X7" s="3">
        <v>13680</v>
      </c>
      <c r="Y7" s="4">
        <v>195239</v>
      </c>
    </row>
    <row r="8" spans="1:25">
      <c r="A8" s="7">
        <v>45417</v>
      </c>
      <c r="B8" s="2">
        <v>45417</v>
      </c>
      <c r="C8" s="3"/>
      <c r="D8" s="4"/>
      <c r="E8" s="6"/>
      <c r="F8" s="4"/>
      <c r="G8" s="4"/>
      <c r="H8" s="6"/>
      <c r="I8" s="4"/>
      <c r="J8" s="4"/>
      <c r="K8" s="6"/>
      <c r="L8" s="4"/>
      <c r="M8" s="4">
        <v>323530</v>
      </c>
      <c r="N8" s="4">
        <v>9</v>
      </c>
      <c r="O8" s="4">
        <v>9</v>
      </c>
      <c r="P8" s="3">
        <v>326873</v>
      </c>
      <c r="Q8" s="3"/>
      <c r="R8" s="4"/>
      <c r="S8" s="4">
        <v>13237</v>
      </c>
      <c r="T8" s="4">
        <v>24194</v>
      </c>
      <c r="U8" s="4">
        <v>41</v>
      </c>
      <c r="V8" s="4">
        <v>12</v>
      </c>
      <c r="W8" s="3">
        <v>11892</v>
      </c>
      <c r="X8" s="3">
        <v>15831</v>
      </c>
      <c r="Y8" s="4">
        <v>195183</v>
      </c>
    </row>
    <row r="9" spans="1:25">
      <c r="A9" s="7">
        <v>45418</v>
      </c>
      <c r="B9" s="2">
        <v>45418</v>
      </c>
      <c r="C9" s="3"/>
      <c r="D9" s="4"/>
      <c r="E9" s="6"/>
      <c r="F9" s="4"/>
      <c r="G9" s="4"/>
      <c r="H9" s="6"/>
      <c r="I9" s="4"/>
      <c r="J9" s="4"/>
      <c r="K9" s="6"/>
      <c r="L9" s="4"/>
      <c r="M9" s="4">
        <v>323530</v>
      </c>
      <c r="N9" s="4">
        <v>21</v>
      </c>
      <c r="O9" s="4">
        <v>16</v>
      </c>
      <c r="P9" s="3">
        <v>326873</v>
      </c>
      <c r="Q9" s="3"/>
      <c r="R9" s="4"/>
      <c r="S9" s="4">
        <v>16502</v>
      </c>
      <c r="T9" s="4">
        <v>24215</v>
      </c>
      <c r="U9" s="4">
        <v>41</v>
      </c>
      <c r="V9" s="4">
        <v>6</v>
      </c>
      <c r="W9" s="3">
        <v>11734</v>
      </c>
      <c r="X9" s="3">
        <v>13955</v>
      </c>
      <c r="Y9" s="4">
        <v>195136</v>
      </c>
    </row>
    <row r="10" spans="1:25">
      <c r="A10" s="7">
        <v>45419</v>
      </c>
      <c r="B10" s="2">
        <v>45419</v>
      </c>
      <c r="C10" s="3"/>
      <c r="D10" s="4"/>
      <c r="E10" s="6"/>
      <c r="F10" s="4"/>
      <c r="G10" s="4"/>
      <c r="H10" s="6"/>
      <c r="I10" s="4"/>
      <c r="J10" s="4"/>
      <c r="K10" s="6"/>
      <c r="L10" s="4"/>
      <c r="M10" s="4">
        <v>323502</v>
      </c>
      <c r="N10" s="4">
        <v>14</v>
      </c>
      <c r="O10" s="4">
        <v>20</v>
      </c>
      <c r="P10" s="3">
        <v>326849</v>
      </c>
      <c r="Q10" s="3"/>
      <c r="R10" s="4"/>
      <c r="S10" s="4">
        <v>10969</v>
      </c>
      <c r="T10" s="4">
        <v>24304</v>
      </c>
      <c r="U10" s="4">
        <v>78</v>
      </c>
      <c r="V10" s="4">
        <v>6</v>
      </c>
      <c r="W10" s="3">
        <v>6645</v>
      </c>
      <c r="X10" s="3">
        <v>7842</v>
      </c>
      <c r="Y10" s="4">
        <v>195080</v>
      </c>
    </row>
    <row r="11" spans="1:25">
      <c r="A11" s="1">
        <v>45420</v>
      </c>
      <c r="B11" s="2">
        <v>45420</v>
      </c>
      <c r="C11" s="3"/>
      <c r="D11" s="4"/>
      <c r="E11" s="6"/>
      <c r="F11" s="4"/>
      <c r="G11" s="4"/>
      <c r="H11" s="6"/>
      <c r="I11" s="4"/>
      <c r="J11" s="4"/>
      <c r="K11" s="6"/>
      <c r="L11" s="4"/>
      <c r="M11" s="4">
        <v>323498</v>
      </c>
      <c r="N11" s="4">
        <v>18</v>
      </c>
      <c r="O11" s="4">
        <v>14</v>
      </c>
      <c r="P11" s="3">
        <v>326841</v>
      </c>
      <c r="Q11" s="3"/>
      <c r="R11" s="4"/>
      <c r="S11" s="4">
        <v>10757</v>
      </c>
      <c r="T11" s="4">
        <v>24308</v>
      </c>
      <c r="U11" s="4">
        <v>16</v>
      </c>
      <c r="V11" s="4">
        <v>17</v>
      </c>
      <c r="W11" s="3">
        <v>7461</v>
      </c>
      <c r="X11" s="3">
        <v>10332</v>
      </c>
      <c r="Y11" s="4">
        <v>195041</v>
      </c>
    </row>
    <row r="12" spans="1:25">
      <c r="A12" s="1">
        <v>45421</v>
      </c>
      <c r="B12" s="2" t="s">
        <v>204</v>
      </c>
      <c r="C12" s="3"/>
      <c r="D12" s="4"/>
      <c r="E12" s="6"/>
      <c r="F12" s="4"/>
      <c r="G12" s="4"/>
      <c r="H12" s="6"/>
      <c r="I12" s="4"/>
      <c r="J12" s="4"/>
      <c r="K12" s="6"/>
      <c r="L12" s="4"/>
      <c r="M12" s="4">
        <v>323503</v>
      </c>
      <c r="N12" s="4">
        <v>24</v>
      </c>
      <c r="O12" s="4">
        <v>19</v>
      </c>
      <c r="P12" s="3">
        <v>326851</v>
      </c>
      <c r="Q12" s="3"/>
      <c r="R12" s="4"/>
      <c r="S12" s="4">
        <v>16997</v>
      </c>
      <c r="T12" s="4">
        <v>24312</v>
      </c>
      <c r="U12" s="4">
        <v>10</v>
      </c>
      <c r="V12" s="4">
        <v>10</v>
      </c>
      <c r="W12" s="3">
        <v>12653</v>
      </c>
      <c r="X12" s="3">
        <v>18388</v>
      </c>
      <c r="Y12" s="4">
        <v>195000</v>
      </c>
    </row>
    <row r="13" spans="1:25">
      <c r="A13" s="7">
        <v>45422</v>
      </c>
      <c r="B13" s="2" t="s">
        <v>205</v>
      </c>
      <c r="C13" s="3"/>
      <c r="D13" s="4"/>
      <c r="E13" s="6"/>
      <c r="F13" s="4"/>
      <c r="G13" s="4"/>
      <c r="H13" s="6"/>
      <c r="I13" s="4"/>
      <c r="J13" s="4"/>
      <c r="K13" s="6"/>
      <c r="L13" s="4"/>
      <c r="M13" s="4">
        <v>323481</v>
      </c>
      <c r="N13" s="4">
        <v>13</v>
      </c>
      <c r="O13" s="4">
        <v>21</v>
      </c>
      <c r="P13" s="3">
        <v>326834</v>
      </c>
      <c r="Q13" s="3"/>
      <c r="R13" s="4"/>
      <c r="S13" s="4">
        <v>21229</v>
      </c>
      <c r="T13" s="4">
        <v>24315</v>
      </c>
      <c r="U13" s="4">
        <v>14</v>
      </c>
      <c r="V13" s="4">
        <v>9</v>
      </c>
      <c r="W13" s="3">
        <v>16564</v>
      </c>
      <c r="X13" s="3">
        <v>23184</v>
      </c>
      <c r="Y13" s="4">
        <v>194966</v>
      </c>
    </row>
    <row r="14" spans="1:25">
      <c r="A14" s="7">
        <v>45423</v>
      </c>
      <c r="B14" s="2" t="s">
        <v>206</v>
      </c>
      <c r="C14" s="3"/>
      <c r="D14" s="4"/>
      <c r="E14" s="6"/>
      <c r="F14" s="4"/>
      <c r="G14" s="4"/>
      <c r="H14" s="6"/>
      <c r="I14" s="4"/>
      <c r="J14" s="4"/>
      <c r="K14" s="6"/>
      <c r="L14" s="4"/>
      <c r="M14" s="4">
        <v>323481</v>
      </c>
      <c r="N14" s="4">
        <v>22</v>
      </c>
      <c r="O14" s="4">
        <v>15</v>
      </c>
      <c r="P14" s="3">
        <v>326834</v>
      </c>
      <c r="Q14" s="3"/>
      <c r="R14" s="4"/>
      <c r="S14" s="4">
        <v>25574</v>
      </c>
      <c r="T14" s="4">
        <v>24320</v>
      </c>
      <c r="U14" s="4">
        <v>6</v>
      </c>
      <c r="V14" s="4">
        <v>6</v>
      </c>
      <c r="W14" s="3">
        <v>17572</v>
      </c>
      <c r="X14" s="3">
        <v>22714</v>
      </c>
      <c r="Y14" s="4">
        <v>194913</v>
      </c>
    </row>
    <row r="15" spans="1:25">
      <c r="A15" s="7">
        <v>45424</v>
      </c>
      <c r="B15" s="2" t="s">
        <v>207</v>
      </c>
      <c r="C15" s="3"/>
      <c r="D15" s="4"/>
      <c r="E15" s="6"/>
      <c r="F15" s="4"/>
      <c r="G15" s="4"/>
      <c r="H15" s="6"/>
      <c r="I15" s="4"/>
      <c r="J15" s="4"/>
      <c r="K15" s="6"/>
      <c r="L15" s="4"/>
      <c r="M15" s="4">
        <v>323481</v>
      </c>
      <c r="N15" s="4">
        <v>14</v>
      </c>
      <c r="O15" s="4">
        <v>12</v>
      </c>
      <c r="P15" s="3">
        <v>326834</v>
      </c>
      <c r="Q15" s="3"/>
      <c r="R15" s="4"/>
      <c r="S15" s="4">
        <v>22799</v>
      </c>
      <c r="T15" s="4">
        <v>24303</v>
      </c>
      <c r="U15" s="4">
        <v>7</v>
      </c>
      <c r="V15" s="4">
        <v>18</v>
      </c>
      <c r="W15" s="3">
        <v>14420</v>
      </c>
      <c r="X15" s="3">
        <v>19510</v>
      </c>
      <c r="Y15" s="4">
        <v>194883</v>
      </c>
    </row>
    <row r="16" spans="1:25">
      <c r="A16" s="7">
        <v>45425</v>
      </c>
      <c r="B16" s="2" t="s">
        <v>208</v>
      </c>
      <c r="C16" s="3"/>
      <c r="D16" s="4"/>
      <c r="E16" s="6"/>
      <c r="F16" s="4"/>
      <c r="G16" s="4"/>
      <c r="H16" s="6"/>
      <c r="I16" s="4"/>
      <c r="J16" s="4"/>
      <c r="K16" s="6"/>
      <c r="L16" s="4"/>
      <c r="M16" s="4">
        <v>323464</v>
      </c>
      <c r="N16" s="4">
        <v>16</v>
      </c>
      <c r="O16" s="4">
        <v>19</v>
      </c>
      <c r="P16" s="3">
        <v>326816</v>
      </c>
      <c r="Q16" s="3"/>
      <c r="R16" s="4"/>
      <c r="S16" s="4">
        <v>26134</v>
      </c>
      <c r="T16" s="4">
        <v>24307</v>
      </c>
      <c r="U16" s="4">
        <v>13</v>
      </c>
      <c r="V16" s="4">
        <v>14</v>
      </c>
      <c r="W16" s="3">
        <v>14146</v>
      </c>
      <c r="X16" s="3">
        <v>18523</v>
      </c>
      <c r="Y16" s="4">
        <v>194840</v>
      </c>
    </row>
    <row r="17" spans="1:25">
      <c r="A17" s="7">
        <v>45426</v>
      </c>
      <c r="B17" s="2" t="s">
        <v>209</v>
      </c>
      <c r="C17" s="3"/>
      <c r="D17" s="4"/>
      <c r="E17" s="6"/>
      <c r="F17" s="4"/>
      <c r="G17" s="4"/>
      <c r="H17" s="6"/>
      <c r="I17" s="4"/>
      <c r="J17" s="4"/>
      <c r="K17" s="6"/>
      <c r="L17" s="4"/>
      <c r="M17" s="8">
        <v>323457</v>
      </c>
      <c r="N17" s="8">
        <v>15</v>
      </c>
      <c r="O17" s="8">
        <v>11</v>
      </c>
      <c r="P17" s="3">
        <v>326810</v>
      </c>
      <c r="Q17" s="3"/>
      <c r="R17" s="4"/>
      <c r="S17" s="4">
        <v>19694</v>
      </c>
      <c r="T17" s="4">
        <v>24319</v>
      </c>
      <c r="U17" s="4">
        <v>12</v>
      </c>
      <c r="V17" s="4">
        <v>8</v>
      </c>
      <c r="W17" s="3">
        <v>10257</v>
      </c>
      <c r="X17" s="3">
        <v>13046</v>
      </c>
      <c r="Y17" s="4">
        <v>194743</v>
      </c>
    </row>
    <row r="18" spans="1:25">
      <c r="A18" s="1">
        <v>45427</v>
      </c>
      <c r="B18" s="2" t="s">
        <v>210</v>
      </c>
      <c r="C18" s="3"/>
      <c r="D18" s="4"/>
      <c r="E18" s="6"/>
      <c r="F18" s="4"/>
      <c r="G18" s="4"/>
      <c r="H18" s="6"/>
      <c r="I18" s="4"/>
      <c r="J18" s="4"/>
      <c r="K18" s="6"/>
      <c r="L18" s="4"/>
      <c r="M18" s="8">
        <v>323457</v>
      </c>
      <c r="N18" s="8">
        <v>16</v>
      </c>
      <c r="O18" s="8">
        <v>13</v>
      </c>
      <c r="P18" s="3">
        <v>326810</v>
      </c>
      <c r="Q18" s="3"/>
      <c r="R18" s="4"/>
      <c r="S18" s="4">
        <v>17491</v>
      </c>
      <c r="T18" s="4">
        <v>24319</v>
      </c>
      <c r="U18" s="4">
        <v>23</v>
      </c>
      <c r="V18" s="4">
        <v>8</v>
      </c>
      <c r="W18" s="3">
        <v>6354</v>
      </c>
      <c r="X18" s="3">
        <v>7994</v>
      </c>
      <c r="Y18" s="4">
        <v>194743</v>
      </c>
    </row>
    <row r="19" spans="1:25">
      <c r="A19" s="1">
        <v>45428</v>
      </c>
      <c r="B19" s="2" t="s">
        <v>204</v>
      </c>
      <c r="C19" s="3"/>
      <c r="D19" s="4"/>
      <c r="E19" s="6"/>
      <c r="F19" s="4"/>
      <c r="G19" s="4"/>
      <c r="H19" s="6"/>
      <c r="I19" s="4"/>
      <c r="J19" s="4"/>
      <c r="K19" s="6"/>
      <c r="L19" s="4"/>
      <c r="M19" s="8">
        <v>323429</v>
      </c>
      <c r="N19" s="8">
        <v>9</v>
      </c>
      <c r="O19" s="8">
        <v>24</v>
      </c>
      <c r="P19" s="3">
        <v>326789</v>
      </c>
      <c r="Q19" s="3"/>
      <c r="R19" s="4"/>
      <c r="S19" s="4">
        <v>14950</v>
      </c>
      <c r="T19" s="4">
        <v>24301</v>
      </c>
      <c r="U19" s="4">
        <v>4</v>
      </c>
      <c r="V19" s="4">
        <v>24</v>
      </c>
      <c r="W19" s="3">
        <v>4551</v>
      </c>
      <c r="X19" s="3">
        <v>5914</v>
      </c>
      <c r="Y19" s="4">
        <v>194721</v>
      </c>
    </row>
    <row r="20" spans="1:25">
      <c r="A20" s="9">
        <v>45429</v>
      </c>
      <c r="B20" s="2" t="s">
        <v>205</v>
      </c>
      <c r="C20" s="10"/>
      <c r="D20" s="11"/>
      <c r="E20" s="12"/>
      <c r="F20" s="11"/>
      <c r="G20" s="11"/>
      <c r="H20" s="12"/>
      <c r="I20" s="11"/>
      <c r="J20" s="11"/>
      <c r="K20" s="12"/>
      <c r="L20" s="11"/>
      <c r="M20" s="13">
        <v>323399</v>
      </c>
      <c r="N20" s="13">
        <v>5</v>
      </c>
      <c r="O20" s="13">
        <v>10</v>
      </c>
      <c r="P20" s="10">
        <v>326761</v>
      </c>
      <c r="Q20" s="10"/>
      <c r="R20" s="11"/>
      <c r="S20" s="11">
        <v>9889</v>
      </c>
      <c r="T20" s="11">
        <v>24297</v>
      </c>
      <c r="U20" s="11">
        <v>10</v>
      </c>
      <c r="V20" s="11">
        <v>12</v>
      </c>
      <c r="W20" s="10">
        <v>2616</v>
      </c>
      <c r="X20" s="10">
        <v>3265</v>
      </c>
      <c r="Y20" s="11">
        <v>194676</v>
      </c>
    </row>
    <row r="21" spans="1:25">
      <c r="A21" s="7">
        <v>45430</v>
      </c>
      <c r="B21" s="2" t="s">
        <v>206</v>
      </c>
      <c r="C21" s="3"/>
      <c r="D21" s="4"/>
      <c r="E21" s="6"/>
      <c r="F21" s="4"/>
      <c r="G21" s="4"/>
      <c r="H21" s="6"/>
      <c r="I21" s="4"/>
      <c r="J21" s="4"/>
      <c r="K21" s="6"/>
      <c r="L21" s="4"/>
      <c r="M21" s="8">
        <v>323399</v>
      </c>
      <c r="N21" s="8">
        <v>15</v>
      </c>
      <c r="O21" s="8">
        <v>12</v>
      </c>
      <c r="P21" s="3">
        <v>326761</v>
      </c>
      <c r="Q21" s="3"/>
      <c r="R21" s="4"/>
      <c r="S21" s="4">
        <v>6256</v>
      </c>
      <c r="T21" s="4">
        <v>24293</v>
      </c>
      <c r="U21" s="4">
        <v>3</v>
      </c>
      <c r="V21" s="4">
        <v>11</v>
      </c>
      <c r="W21" s="3">
        <v>860</v>
      </c>
      <c r="X21" s="3">
        <v>1004</v>
      </c>
      <c r="Y21" s="4">
        <v>194619</v>
      </c>
    </row>
    <row r="22" spans="1:25">
      <c r="A22" s="9">
        <v>45431</v>
      </c>
      <c r="B22" s="14" t="s">
        <v>207</v>
      </c>
      <c r="C22" s="10"/>
      <c r="D22" s="11"/>
      <c r="E22" s="12"/>
      <c r="F22" s="11"/>
      <c r="G22" s="11"/>
      <c r="H22" s="12"/>
      <c r="I22" s="11"/>
      <c r="J22" s="11"/>
      <c r="K22" s="12"/>
      <c r="L22" s="11"/>
      <c r="M22" s="13">
        <v>323399</v>
      </c>
      <c r="N22" s="13">
        <v>0</v>
      </c>
      <c r="O22" s="13">
        <v>12</v>
      </c>
      <c r="P22" s="10">
        <v>326761</v>
      </c>
      <c r="Q22" s="10"/>
      <c r="R22" s="11"/>
      <c r="S22" s="11">
        <v>1659</v>
      </c>
      <c r="T22" s="11">
        <v>24288</v>
      </c>
      <c r="U22" s="11">
        <v>4</v>
      </c>
      <c r="V22" s="11">
        <v>20</v>
      </c>
      <c r="W22" s="10">
        <v>649</v>
      </c>
      <c r="X22" s="10">
        <v>758</v>
      </c>
      <c r="Y22" s="11">
        <v>194581</v>
      </c>
    </row>
    <row r="23" spans="1:25">
      <c r="A23" s="9">
        <v>45432</v>
      </c>
      <c r="B23" s="14" t="s">
        <v>208</v>
      </c>
      <c r="C23" s="10"/>
      <c r="D23" s="11"/>
      <c r="E23" s="12"/>
      <c r="F23" s="11"/>
      <c r="G23" s="11"/>
      <c r="H23" s="12"/>
      <c r="I23" s="11"/>
      <c r="J23" s="11"/>
      <c r="K23" s="12"/>
      <c r="L23" s="11"/>
      <c r="M23" s="13">
        <v>323374</v>
      </c>
      <c r="N23" s="13">
        <v>8</v>
      </c>
      <c r="O23" s="13">
        <v>12</v>
      </c>
      <c r="P23" s="10">
        <v>326745</v>
      </c>
      <c r="Q23" s="10"/>
      <c r="R23" s="11"/>
      <c r="S23" s="11">
        <v>7715</v>
      </c>
      <c r="T23" s="11">
        <v>24273</v>
      </c>
      <c r="U23" s="11">
        <v>8</v>
      </c>
      <c r="V23" s="11">
        <v>17</v>
      </c>
      <c r="W23" s="10">
        <v>1535</v>
      </c>
      <c r="X23" s="10">
        <v>1897</v>
      </c>
      <c r="Y23" s="11">
        <v>194530</v>
      </c>
    </row>
    <row r="24" spans="1:25">
      <c r="A24" s="9">
        <v>45433</v>
      </c>
      <c r="B24" s="14" t="s">
        <v>209</v>
      </c>
      <c r="C24" s="10"/>
      <c r="D24" s="11"/>
      <c r="E24" s="12"/>
      <c r="F24" s="11"/>
      <c r="G24" s="11"/>
      <c r="H24" s="12"/>
      <c r="I24" s="11"/>
      <c r="J24" s="11"/>
      <c r="K24" s="12"/>
      <c r="L24" s="11"/>
      <c r="M24" s="11">
        <v>323363</v>
      </c>
      <c r="N24" s="11">
        <v>13</v>
      </c>
      <c r="O24" s="11">
        <v>18</v>
      </c>
      <c r="P24" s="12">
        <v>326736</v>
      </c>
      <c r="Q24" s="11"/>
      <c r="R24" s="11"/>
      <c r="S24" s="12">
        <v>8542</v>
      </c>
      <c r="T24" s="11">
        <v>24262</v>
      </c>
      <c r="U24" s="13">
        <v>5</v>
      </c>
      <c r="V24" s="13">
        <v>8</v>
      </c>
      <c r="W24" s="13">
        <v>3309</v>
      </c>
      <c r="X24" s="10">
        <v>5137</v>
      </c>
      <c r="Y24" s="10">
        <v>194501</v>
      </c>
    </row>
    <row r="25" spans="1:25">
      <c r="A25" s="15">
        <v>45434</v>
      </c>
      <c r="B25" s="14" t="s">
        <v>210</v>
      </c>
      <c r="C25" s="10"/>
      <c r="D25" s="11"/>
      <c r="E25" s="12"/>
      <c r="F25" s="11"/>
      <c r="G25" s="11"/>
      <c r="H25" s="12"/>
      <c r="I25" s="11"/>
      <c r="J25" s="11"/>
      <c r="K25" s="12"/>
      <c r="L25" s="11"/>
      <c r="M25" s="11">
        <v>323360</v>
      </c>
      <c r="N25" s="11">
        <v>5</v>
      </c>
      <c r="O25" s="11">
        <v>6</v>
      </c>
      <c r="P25" s="12">
        <v>326734</v>
      </c>
      <c r="Q25" s="11"/>
      <c r="R25" s="11"/>
      <c r="S25" s="12">
        <v>17903</v>
      </c>
      <c r="T25" s="11">
        <v>24282</v>
      </c>
      <c r="U25" s="13">
        <v>56</v>
      </c>
      <c r="V25" s="13">
        <v>11</v>
      </c>
      <c r="W25" s="13">
        <v>9401</v>
      </c>
      <c r="X25" s="10">
        <v>14449</v>
      </c>
      <c r="Y25" s="10">
        <v>194465</v>
      </c>
    </row>
    <row r="26" spans="1:25">
      <c r="A26" s="15">
        <v>45435</v>
      </c>
      <c r="B26" s="14" t="s">
        <v>204</v>
      </c>
      <c r="C26" s="10"/>
      <c r="D26" s="11"/>
      <c r="E26" s="12"/>
      <c r="F26" s="11"/>
      <c r="G26" s="11"/>
      <c r="H26" s="12"/>
      <c r="I26" s="11"/>
      <c r="J26" s="11"/>
      <c r="K26" s="12"/>
      <c r="L26" s="11"/>
      <c r="M26" s="11">
        <v>323350</v>
      </c>
      <c r="N26" s="11">
        <v>8</v>
      </c>
      <c r="O26" s="11">
        <v>14</v>
      </c>
      <c r="P26" s="12">
        <v>326725</v>
      </c>
      <c r="Q26" s="11"/>
      <c r="R26" s="11"/>
      <c r="S26" s="12">
        <v>25888</v>
      </c>
      <c r="T26" s="11">
        <v>24308</v>
      </c>
      <c r="U26" s="13">
        <v>27</v>
      </c>
      <c r="V26" s="13">
        <v>16</v>
      </c>
      <c r="W26" s="13">
        <v>12182</v>
      </c>
      <c r="X26" s="10">
        <v>19565</v>
      </c>
      <c r="Y26" s="10">
        <v>194422</v>
      </c>
    </row>
    <row r="27" spans="1:25">
      <c r="A27" s="9">
        <v>45436</v>
      </c>
      <c r="B27" s="14" t="s">
        <v>205</v>
      </c>
      <c r="C27" s="10"/>
      <c r="D27" s="11"/>
      <c r="E27" s="12"/>
      <c r="F27" s="11"/>
      <c r="G27" s="11"/>
      <c r="H27" s="12"/>
      <c r="I27" s="11"/>
      <c r="J27" s="11"/>
      <c r="K27" s="12"/>
      <c r="L27" s="11"/>
      <c r="M27" s="11">
        <v>323356</v>
      </c>
      <c r="N27" s="11">
        <v>30</v>
      </c>
      <c r="O27" s="11">
        <v>14</v>
      </c>
      <c r="P27" s="12">
        <v>326724</v>
      </c>
      <c r="Q27" s="11"/>
      <c r="R27" s="11"/>
      <c r="S27" s="12">
        <v>42987</v>
      </c>
      <c r="T27" s="11">
        <v>24338</v>
      </c>
      <c r="U27" s="13">
        <v>52</v>
      </c>
      <c r="V27" s="13">
        <v>5</v>
      </c>
      <c r="W27" s="13">
        <v>14800</v>
      </c>
      <c r="X27" s="10">
        <v>22824</v>
      </c>
      <c r="Y27" s="10">
        <v>194377</v>
      </c>
    </row>
    <row r="28" spans="1:25">
      <c r="A28" s="9">
        <v>45437</v>
      </c>
      <c r="B28" s="14" t="s">
        <v>206</v>
      </c>
      <c r="C28" s="10"/>
      <c r="D28" s="11"/>
      <c r="E28" s="12"/>
      <c r="F28" s="11"/>
      <c r="G28" s="11"/>
      <c r="H28" s="12"/>
      <c r="I28" s="11"/>
      <c r="J28" s="11"/>
      <c r="K28" s="12"/>
      <c r="L28" s="11"/>
      <c r="M28" s="11">
        <v>323356</v>
      </c>
      <c r="N28" s="11">
        <v>23</v>
      </c>
      <c r="O28" s="11">
        <v>15</v>
      </c>
      <c r="P28" s="12">
        <v>326724</v>
      </c>
      <c r="Q28" s="11"/>
      <c r="R28" s="11"/>
      <c r="S28" s="12">
        <v>40034</v>
      </c>
      <c r="T28" s="11">
        <v>24393</v>
      </c>
      <c r="U28" s="13">
        <v>52</v>
      </c>
      <c r="V28" s="13">
        <v>5</v>
      </c>
      <c r="W28" s="13">
        <v>17812</v>
      </c>
      <c r="X28" s="10">
        <v>28510</v>
      </c>
      <c r="Y28" s="10">
        <v>194320</v>
      </c>
    </row>
    <row r="29" spans="1:25">
      <c r="A29" s="9">
        <v>45438</v>
      </c>
      <c r="B29" s="14" t="s">
        <v>207</v>
      </c>
      <c r="C29" s="10"/>
      <c r="D29" s="11"/>
      <c r="E29" s="12"/>
      <c r="F29" s="11"/>
      <c r="G29" s="11"/>
      <c r="H29" s="12"/>
      <c r="I29" s="11"/>
      <c r="J29" s="11"/>
      <c r="K29" s="12"/>
      <c r="L29" s="11"/>
      <c r="M29" s="11">
        <v>323356</v>
      </c>
      <c r="N29" s="11">
        <v>10</v>
      </c>
      <c r="O29" s="11">
        <v>15</v>
      </c>
      <c r="P29" s="12">
        <v>326724</v>
      </c>
      <c r="Q29" s="11"/>
      <c r="R29" s="11"/>
      <c r="S29" s="12">
        <v>31231</v>
      </c>
      <c r="T29" s="11">
        <v>24423</v>
      </c>
      <c r="U29" s="13">
        <v>31</v>
      </c>
      <c r="V29" s="13">
        <v>10</v>
      </c>
      <c r="W29" s="13">
        <v>14085</v>
      </c>
      <c r="X29" s="10">
        <v>21924</v>
      </c>
      <c r="Y29" s="10">
        <v>194284</v>
      </c>
    </row>
    <row r="30" spans="1:25">
      <c r="A30" s="9">
        <v>45439</v>
      </c>
      <c r="B30" s="14" t="s">
        <v>208</v>
      </c>
      <c r="C30" s="10"/>
      <c r="D30" s="11"/>
      <c r="E30" s="12"/>
      <c r="F30" s="11"/>
      <c r="G30" s="11"/>
      <c r="H30" s="12"/>
      <c r="I30" s="11"/>
      <c r="J30" s="11"/>
      <c r="K30" s="12"/>
      <c r="L30" s="11"/>
      <c r="M30" s="11">
        <v>323363</v>
      </c>
      <c r="N30" s="11">
        <v>24</v>
      </c>
      <c r="O30" s="11">
        <v>11</v>
      </c>
      <c r="P30" s="12">
        <v>326732</v>
      </c>
      <c r="Q30" s="11"/>
      <c r="R30" s="11"/>
      <c r="S30" s="12">
        <v>27231</v>
      </c>
      <c r="T30" s="11">
        <v>24432</v>
      </c>
      <c r="U30" s="13">
        <v>14</v>
      </c>
      <c r="V30" s="13">
        <v>14</v>
      </c>
      <c r="W30" s="13">
        <v>9128</v>
      </c>
      <c r="X30" s="10">
        <v>15124</v>
      </c>
      <c r="Y30" s="10">
        <v>194242</v>
      </c>
    </row>
    <row r="31" spans="1:25">
      <c r="A31" s="16">
        <v>45440</v>
      </c>
      <c r="B31" s="17" t="s">
        <v>209</v>
      </c>
      <c r="C31" s="18"/>
      <c r="D31" s="18"/>
      <c r="E31" s="19"/>
      <c r="F31" s="20"/>
      <c r="G31" s="19"/>
      <c r="H31" s="20"/>
      <c r="I31" s="19"/>
      <c r="J31" s="19"/>
      <c r="K31" s="20"/>
      <c r="L31" s="19"/>
      <c r="M31" s="19">
        <v>323349</v>
      </c>
      <c r="N31" s="24">
        <v>8</v>
      </c>
      <c r="O31" s="24">
        <v>19</v>
      </c>
      <c r="P31" s="21">
        <v>326723</v>
      </c>
      <c r="Q31" s="22"/>
      <c r="R31" s="22"/>
      <c r="S31" s="23">
        <v>11221</v>
      </c>
      <c r="T31" s="22">
        <v>24431</v>
      </c>
      <c r="U31" s="24">
        <v>14</v>
      </c>
      <c r="V31" s="24">
        <v>14</v>
      </c>
      <c r="W31" s="24">
        <v>9036</v>
      </c>
      <c r="X31" s="25">
        <v>13790</v>
      </c>
      <c r="Y31" s="25">
        <v>194207</v>
      </c>
    </row>
    <row r="32" spans="1:25">
      <c r="A32" s="26">
        <v>45441</v>
      </c>
      <c r="B32" s="17" t="s">
        <v>210</v>
      </c>
      <c r="C32" s="18"/>
      <c r="D32" s="19"/>
      <c r="E32" s="20"/>
      <c r="F32" s="19"/>
      <c r="G32" s="19"/>
      <c r="H32" s="20"/>
      <c r="I32" s="19"/>
      <c r="J32" s="19"/>
      <c r="K32" s="20"/>
      <c r="L32" s="19"/>
      <c r="M32" s="19">
        <v>323337</v>
      </c>
      <c r="N32" s="24">
        <v>16</v>
      </c>
      <c r="O32" s="24">
        <v>18</v>
      </c>
      <c r="P32" s="21">
        <v>326710</v>
      </c>
      <c r="Q32" s="22"/>
      <c r="R32" s="22"/>
      <c r="S32" s="27">
        <v>13331</v>
      </c>
      <c r="T32" s="22">
        <v>24429</v>
      </c>
      <c r="U32" s="24">
        <v>6</v>
      </c>
      <c r="V32" s="24">
        <v>13</v>
      </c>
      <c r="W32" s="24">
        <v>6231</v>
      </c>
      <c r="X32" s="25">
        <v>8880</v>
      </c>
      <c r="Y32" s="25">
        <v>194174</v>
      </c>
    </row>
    <row r="33" spans="1:25">
      <c r="A33" s="26">
        <v>45442</v>
      </c>
      <c r="B33" s="17" t="s">
        <v>204</v>
      </c>
      <c r="C33" s="18"/>
      <c r="D33" s="19"/>
      <c r="E33" s="20"/>
      <c r="F33" s="19"/>
      <c r="G33" s="19"/>
      <c r="H33" s="20"/>
      <c r="I33" s="19"/>
      <c r="J33" s="19"/>
      <c r="K33" s="20"/>
      <c r="L33" s="19"/>
      <c r="M33" s="19">
        <v>323332</v>
      </c>
      <c r="N33" s="24">
        <v>8</v>
      </c>
      <c r="O33" s="24">
        <v>11</v>
      </c>
      <c r="P33" s="21">
        <v>326702</v>
      </c>
      <c r="Q33" s="22"/>
      <c r="R33" s="19"/>
      <c r="S33" s="27">
        <v>19447</v>
      </c>
      <c r="T33" s="19">
        <v>24430</v>
      </c>
      <c r="U33" s="19">
        <v>11</v>
      </c>
      <c r="V33" s="19">
        <v>11</v>
      </c>
      <c r="W33" s="19">
        <v>8930</v>
      </c>
      <c r="X33" s="18">
        <v>13802</v>
      </c>
      <c r="Y33" s="18">
        <v>194141</v>
      </c>
    </row>
    <row r="34" spans="1:25">
      <c r="A34" s="30">
        <v>45443</v>
      </c>
      <c r="B34" s="31" t="s">
        <v>205</v>
      </c>
      <c r="C34" s="32"/>
      <c r="D34" s="33"/>
      <c r="E34" s="34"/>
      <c r="F34" s="33"/>
      <c r="G34" s="33"/>
      <c r="H34" s="34"/>
      <c r="I34" s="33"/>
      <c r="J34" s="33"/>
      <c r="K34" s="34"/>
      <c r="L34" s="33"/>
      <c r="M34" s="108">
        <v>323315</v>
      </c>
      <c r="N34" s="110">
        <v>11</v>
      </c>
      <c r="O34" s="110">
        <v>16</v>
      </c>
      <c r="P34" s="35">
        <v>326693</v>
      </c>
      <c r="Q34" s="36"/>
      <c r="R34" s="33"/>
      <c r="S34" s="37">
        <v>30891</v>
      </c>
      <c r="T34" s="108">
        <v>24433</v>
      </c>
      <c r="U34" s="108">
        <v>22</v>
      </c>
      <c r="V34" s="108">
        <v>14</v>
      </c>
      <c r="W34" s="33">
        <v>23731</v>
      </c>
      <c r="X34" s="32">
        <v>33718</v>
      </c>
      <c r="Y34" s="109">
        <v>194084</v>
      </c>
    </row>
    <row r="36" spans="1:25">
      <c r="M36" s="45"/>
      <c r="N36" s="45"/>
      <c r="O36" s="45"/>
      <c r="P36" s="45"/>
      <c r="Q36" s="45"/>
    </row>
  </sheetData>
  <mergeCells count="10">
    <mergeCell ref="A1:B1"/>
    <mergeCell ref="C1:L1"/>
    <mergeCell ref="M1:S1"/>
    <mergeCell ref="T1:X1"/>
    <mergeCell ref="A2:B2"/>
    <mergeCell ref="D2:F2"/>
    <mergeCell ref="G2:I2"/>
    <mergeCell ref="J2:L2"/>
    <mergeCell ref="M2:S2"/>
    <mergeCell ref="T2:X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workbookViewId="0">
      <selection activeCell="A23" sqref="A23:D23"/>
    </sheetView>
  </sheetViews>
  <sheetFormatPr defaultColWidth="8.75" defaultRowHeight="16.899999999999999"/>
  <cols>
    <col min="1" max="1" width="10.875" style="63" bestFit="1" customWidth="1"/>
    <col min="2" max="6" width="8.75" style="63"/>
    <col min="7" max="7" width="9.625" style="63" bestFit="1" customWidth="1"/>
    <col min="8" max="8" width="8.75" style="63" customWidth="1"/>
    <col min="9" max="11" width="8.75" style="63"/>
    <col min="12" max="12" width="54.75" style="63" customWidth="1"/>
    <col min="13" max="15" width="8.75" style="63"/>
    <col min="16" max="16" width="13.25" style="63" customWidth="1"/>
    <col min="17" max="16384" width="8.75" style="63"/>
  </cols>
  <sheetData>
    <row r="1" spans="1:21">
      <c r="A1" s="75" t="s">
        <v>11</v>
      </c>
      <c r="B1" s="75" t="s">
        <v>12</v>
      </c>
      <c r="C1" s="75" t="s">
        <v>13</v>
      </c>
      <c r="D1" s="75" t="s">
        <v>14</v>
      </c>
    </row>
    <row r="2" spans="1:21">
      <c r="A2" s="76">
        <v>44774</v>
      </c>
      <c r="B2" s="64">
        <v>302081</v>
      </c>
      <c r="C2" s="64">
        <v>200</v>
      </c>
      <c r="D2" s="64">
        <v>112109</v>
      </c>
      <c r="U2" s="118" t="s">
        <v>126</v>
      </c>
    </row>
    <row r="3" spans="1:21">
      <c r="A3" s="76">
        <v>44805</v>
      </c>
      <c r="B3" s="64">
        <v>302399</v>
      </c>
      <c r="C3" s="64">
        <v>277</v>
      </c>
      <c r="D3" s="64">
        <v>113029</v>
      </c>
      <c r="P3" s="209" t="s">
        <v>68</v>
      </c>
      <c r="Q3" s="210"/>
      <c r="R3" s="210"/>
      <c r="S3" s="210"/>
      <c r="U3" s="111"/>
    </row>
    <row r="4" spans="1:21">
      <c r="A4" s="76">
        <v>44835</v>
      </c>
      <c r="B4" s="64">
        <v>302055</v>
      </c>
      <c r="C4" s="64">
        <v>350</v>
      </c>
      <c r="D4" s="64">
        <v>111757</v>
      </c>
      <c r="G4" s="80" t="s">
        <v>11</v>
      </c>
      <c r="H4" s="80" t="s">
        <v>12</v>
      </c>
      <c r="I4" s="80" t="s">
        <v>13</v>
      </c>
      <c r="J4" s="80" t="s">
        <v>14</v>
      </c>
      <c r="L4" s="80" t="s">
        <v>15</v>
      </c>
      <c r="P4" s="75" t="s">
        <v>11</v>
      </c>
      <c r="Q4" s="75" t="s">
        <v>12</v>
      </c>
      <c r="R4" s="75" t="s">
        <v>13</v>
      </c>
      <c r="S4" s="75" t="s">
        <v>14</v>
      </c>
      <c r="U4" s="111"/>
    </row>
    <row r="5" spans="1:21">
      <c r="A5" s="76">
        <v>44866</v>
      </c>
      <c r="B5" s="64">
        <v>302185</v>
      </c>
      <c r="C5" s="64">
        <v>389</v>
      </c>
      <c r="D5" s="64">
        <v>110552</v>
      </c>
      <c r="G5" s="81">
        <f>일일data!$A$4</f>
        <v>45413</v>
      </c>
      <c r="H5" s="82">
        <f>VLOOKUP(EOMONTH(일일data!$A$4,0),일일data!$A:$Y,13,FALSE)</f>
        <v>323315</v>
      </c>
      <c r="I5" s="82">
        <f>VLOOKUP(EOMONTH(일일data!$A$4,0),일일data!$A:$Y,20,FALSE)</f>
        <v>24433</v>
      </c>
      <c r="J5" s="82">
        <f>VLOOKUP(EOMONTH(일일data!$A$4,0),일일data!$A:$Y,25,FALSE)</f>
        <v>194084</v>
      </c>
      <c r="L5" s="83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63">
        <v>11</v>
      </c>
      <c r="P5" s="77">
        <f t="shared" ref="P5:P16" si="0">INDEX(A:A,COUNTA(A:A)-$O5)</f>
        <v>45078</v>
      </c>
      <c r="Q5" s="78">
        <f t="shared" ref="Q5:Q16" si="1">INDEX(B:B,COUNTA(B:B)-$O5)</f>
        <v>330054</v>
      </c>
      <c r="R5" s="78">
        <f t="shared" ref="R5:R16" si="2">INDEX(C:C,COUNTA(C:C)-$O5)</f>
        <v>25330</v>
      </c>
      <c r="S5" s="78">
        <f t="shared" ref="S5:S16" si="3">INDEX(D:D,COUNTA(D:D)-$O5)</f>
        <v>104546</v>
      </c>
      <c r="U5" s="111"/>
    </row>
    <row r="6" spans="1:21">
      <c r="A6" s="76">
        <v>44896</v>
      </c>
      <c r="B6" s="64">
        <v>302872</v>
      </c>
      <c r="C6" s="64">
        <v>9097</v>
      </c>
      <c r="D6" s="64">
        <v>109424</v>
      </c>
      <c r="O6" s="63">
        <v>10</v>
      </c>
      <c r="P6" s="77">
        <f t="shared" si="0"/>
        <v>45108</v>
      </c>
      <c r="Q6" s="78">
        <f t="shared" si="1"/>
        <v>329242</v>
      </c>
      <c r="R6" s="78">
        <f t="shared" si="2"/>
        <v>24784</v>
      </c>
      <c r="S6" s="78">
        <f t="shared" si="3"/>
        <v>127484</v>
      </c>
      <c r="U6" s="111"/>
    </row>
    <row r="7" spans="1:21">
      <c r="A7" s="76">
        <v>44927</v>
      </c>
      <c r="B7" s="64">
        <v>303610</v>
      </c>
      <c r="C7" s="64">
        <v>17086</v>
      </c>
      <c r="D7" s="64">
        <v>108358</v>
      </c>
      <c r="O7" s="63">
        <v>9</v>
      </c>
      <c r="P7" s="77">
        <f t="shared" si="0"/>
        <v>45139</v>
      </c>
      <c r="Q7" s="78">
        <f t="shared" si="1"/>
        <v>328540</v>
      </c>
      <c r="R7" s="78">
        <f t="shared" si="2"/>
        <v>24120</v>
      </c>
      <c r="S7" s="78">
        <f t="shared" si="3"/>
        <v>170862</v>
      </c>
      <c r="U7" s="111"/>
    </row>
    <row r="8" spans="1:21">
      <c r="A8" s="76">
        <v>44958</v>
      </c>
      <c r="B8" s="64">
        <v>303181</v>
      </c>
      <c r="C8" s="64">
        <v>24153</v>
      </c>
      <c r="D8" s="64">
        <v>107456</v>
      </c>
      <c r="O8" s="63">
        <v>8</v>
      </c>
      <c r="P8" s="77" t="str">
        <f t="shared" si="0"/>
        <v>23년 09월</v>
      </c>
      <c r="Q8" s="78">
        <f t="shared" si="1"/>
        <v>327807</v>
      </c>
      <c r="R8" s="78">
        <f t="shared" si="2"/>
        <v>24351</v>
      </c>
      <c r="S8" s="78">
        <f t="shared" si="3"/>
        <v>209685</v>
      </c>
      <c r="U8" s="111"/>
    </row>
    <row r="9" spans="1:21">
      <c r="A9" s="76">
        <v>44986</v>
      </c>
      <c r="B9" s="64">
        <v>302974</v>
      </c>
      <c r="C9" s="64">
        <v>22251</v>
      </c>
      <c r="D9" s="64">
        <v>106551</v>
      </c>
      <c r="O9" s="63">
        <v>7</v>
      </c>
      <c r="P9" s="77" t="str">
        <f t="shared" si="0"/>
        <v>23년 10월</v>
      </c>
      <c r="Q9" s="78">
        <f t="shared" si="1"/>
        <v>327316</v>
      </c>
      <c r="R9" s="78">
        <f t="shared" si="2"/>
        <v>24169</v>
      </c>
      <c r="S9" s="78">
        <f t="shared" si="3"/>
        <v>206054</v>
      </c>
      <c r="U9" s="111"/>
    </row>
    <row r="10" spans="1:21">
      <c r="A10" s="76">
        <v>45017</v>
      </c>
      <c r="B10" s="64">
        <v>303115</v>
      </c>
      <c r="C10" s="64">
        <v>20996</v>
      </c>
      <c r="D10" s="64">
        <v>105782</v>
      </c>
      <c r="O10" s="63">
        <v>6</v>
      </c>
      <c r="P10" s="77">
        <f t="shared" si="0"/>
        <v>45231</v>
      </c>
      <c r="Q10" s="78">
        <f t="shared" si="1"/>
        <v>326663</v>
      </c>
      <c r="R10" s="78">
        <f t="shared" si="2"/>
        <v>24349</v>
      </c>
      <c r="S10" s="78">
        <f t="shared" si="3"/>
        <v>204222</v>
      </c>
      <c r="U10" s="111"/>
    </row>
    <row r="11" spans="1:21">
      <c r="A11" s="76">
        <v>45047</v>
      </c>
      <c r="B11" s="64">
        <v>306251</v>
      </c>
      <c r="C11" s="64">
        <v>26881</v>
      </c>
      <c r="D11" s="64">
        <v>105135</v>
      </c>
      <c r="O11" s="63">
        <v>5</v>
      </c>
      <c r="P11" s="77">
        <f t="shared" si="0"/>
        <v>45261</v>
      </c>
      <c r="Q11" s="78">
        <f t="shared" si="1"/>
        <v>325870</v>
      </c>
      <c r="R11" s="78">
        <f t="shared" si="2"/>
        <v>24077</v>
      </c>
      <c r="S11" s="78">
        <f t="shared" si="3"/>
        <v>203190</v>
      </c>
      <c r="U11" s="111"/>
    </row>
    <row r="12" spans="1:21">
      <c r="A12" s="76">
        <v>45078</v>
      </c>
      <c r="B12" s="64">
        <v>330054</v>
      </c>
      <c r="C12" s="64">
        <v>25330</v>
      </c>
      <c r="D12" s="64">
        <v>104546</v>
      </c>
      <c r="O12" s="63">
        <v>4</v>
      </c>
      <c r="P12" s="77">
        <f t="shared" si="0"/>
        <v>45292</v>
      </c>
      <c r="Q12" s="78">
        <f t="shared" si="1"/>
        <v>325213</v>
      </c>
      <c r="R12" s="78">
        <f t="shared" si="2"/>
        <v>23803</v>
      </c>
      <c r="S12" s="78">
        <f t="shared" si="3"/>
        <v>200818</v>
      </c>
      <c r="U12" s="111"/>
    </row>
    <row r="13" spans="1:21">
      <c r="A13" s="76">
        <v>45108</v>
      </c>
      <c r="B13" s="64">
        <v>329242</v>
      </c>
      <c r="C13" s="64">
        <v>24784</v>
      </c>
      <c r="D13" s="64">
        <v>127484</v>
      </c>
      <c r="O13" s="63">
        <v>3</v>
      </c>
      <c r="P13" s="77">
        <f t="shared" si="0"/>
        <v>45323</v>
      </c>
      <c r="Q13" s="78">
        <f t="shared" si="1"/>
        <v>324457</v>
      </c>
      <c r="R13" s="78">
        <f t="shared" si="2"/>
        <v>23534</v>
      </c>
      <c r="S13" s="78">
        <f t="shared" si="3"/>
        <v>198550</v>
      </c>
      <c r="U13" s="111"/>
    </row>
    <row r="14" spans="1:21">
      <c r="A14" s="76">
        <v>45139</v>
      </c>
      <c r="B14" s="64">
        <v>328540</v>
      </c>
      <c r="C14" s="64">
        <v>24120</v>
      </c>
      <c r="D14" s="64">
        <v>170862</v>
      </c>
      <c r="O14" s="63">
        <v>2</v>
      </c>
      <c r="P14" s="77">
        <f t="shared" si="0"/>
        <v>45352</v>
      </c>
      <c r="Q14" s="78">
        <f t="shared" si="1"/>
        <v>323919</v>
      </c>
      <c r="R14" s="78">
        <f t="shared" si="2"/>
        <v>24159</v>
      </c>
      <c r="S14" s="78">
        <f t="shared" si="3"/>
        <v>196824</v>
      </c>
      <c r="U14" s="111"/>
    </row>
    <row r="15" spans="1:21">
      <c r="A15" s="76" t="s">
        <v>113</v>
      </c>
      <c r="B15" s="64">
        <v>327807</v>
      </c>
      <c r="C15" s="64">
        <v>24351</v>
      </c>
      <c r="D15" s="64">
        <v>209685</v>
      </c>
      <c r="O15" s="63">
        <v>1</v>
      </c>
      <c r="P15" s="77">
        <f t="shared" si="0"/>
        <v>45383</v>
      </c>
      <c r="Q15" s="78">
        <f t="shared" si="1"/>
        <v>323559</v>
      </c>
      <c r="R15" s="78">
        <f t="shared" si="2"/>
        <v>24029</v>
      </c>
      <c r="S15" s="78">
        <f t="shared" si="3"/>
        <v>195398</v>
      </c>
      <c r="U15" s="111"/>
    </row>
    <row r="16" spans="1:21">
      <c r="A16" s="76" t="s">
        <v>114</v>
      </c>
      <c r="B16" s="64">
        <v>327316</v>
      </c>
      <c r="C16" s="64">
        <v>24169</v>
      </c>
      <c r="D16" s="64">
        <v>206054</v>
      </c>
      <c r="P16" s="77">
        <f t="shared" si="0"/>
        <v>45413</v>
      </c>
      <c r="Q16" s="78">
        <f t="shared" si="1"/>
        <v>323315</v>
      </c>
      <c r="R16" s="78">
        <f t="shared" si="2"/>
        <v>24433</v>
      </c>
      <c r="S16" s="78">
        <f t="shared" si="3"/>
        <v>194084</v>
      </c>
      <c r="U16" s="111"/>
    </row>
    <row r="17" spans="1:21">
      <c r="A17" s="76">
        <v>45231</v>
      </c>
      <c r="B17" s="64">
        <v>326663</v>
      </c>
      <c r="C17" s="64">
        <v>24349</v>
      </c>
      <c r="D17" s="64">
        <v>204222</v>
      </c>
      <c r="U17" s="111"/>
    </row>
    <row r="18" spans="1:21">
      <c r="A18" s="76">
        <v>45261</v>
      </c>
      <c r="B18" s="64">
        <v>325870</v>
      </c>
      <c r="C18" s="64">
        <v>24077</v>
      </c>
      <c r="D18" s="64">
        <v>203190</v>
      </c>
      <c r="U18" s="111"/>
    </row>
    <row r="19" spans="1:21">
      <c r="A19" s="76">
        <v>45292</v>
      </c>
      <c r="B19" s="64">
        <v>325213</v>
      </c>
      <c r="C19" s="64">
        <v>23803</v>
      </c>
      <c r="D19" s="64">
        <v>200818</v>
      </c>
      <c r="U19" s="111"/>
    </row>
    <row r="20" spans="1:21">
      <c r="A20" s="76">
        <v>45323</v>
      </c>
      <c r="B20" s="64">
        <v>324457</v>
      </c>
      <c r="C20" s="64">
        <v>23534</v>
      </c>
      <c r="D20" s="64">
        <v>198550</v>
      </c>
      <c r="U20" s="111"/>
    </row>
    <row r="21" spans="1:21">
      <c r="A21" s="76">
        <v>45352</v>
      </c>
      <c r="B21" s="64">
        <v>323919</v>
      </c>
      <c r="C21" s="64">
        <v>24159</v>
      </c>
      <c r="D21" s="64">
        <v>196824</v>
      </c>
      <c r="E21" s="148"/>
      <c r="U21" s="111"/>
    </row>
    <row r="22" spans="1:21">
      <c r="A22" s="76">
        <v>45383</v>
      </c>
      <c r="B22" s="64">
        <v>323559</v>
      </c>
      <c r="C22" s="64">
        <v>24029</v>
      </c>
      <c r="D22" s="64">
        <v>195398</v>
      </c>
      <c r="E22" s="148"/>
      <c r="U22" s="111"/>
    </row>
    <row r="23" spans="1:21">
      <c r="A23" s="76">
        <v>45413</v>
      </c>
      <c r="B23" s="64">
        <v>323315</v>
      </c>
      <c r="C23" s="64">
        <v>24433</v>
      </c>
      <c r="D23" s="64">
        <v>194084</v>
      </c>
      <c r="U23" s="111"/>
    </row>
    <row r="24" spans="1:21">
      <c r="A24" s="76"/>
      <c r="B24" s="64"/>
      <c r="C24" s="64"/>
      <c r="D24" s="64"/>
      <c r="U24" s="111"/>
    </row>
    <row r="25" spans="1:21">
      <c r="A25" s="76"/>
      <c r="B25" s="64"/>
      <c r="C25" s="64"/>
      <c r="D25" s="64"/>
      <c r="P25" s="148"/>
      <c r="U25" s="111"/>
    </row>
    <row r="26" spans="1:21">
      <c r="A26" s="76"/>
      <c r="B26" s="64"/>
      <c r="C26" s="64"/>
      <c r="D26" s="64"/>
      <c r="U26" s="111"/>
    </row>
    <row r="27" spans="1:21">
      <c r="A27" s="76"/>
      <c r="B27" s="64"/>
      <c r="C27" s="64"/>
      <c r="D27" s="64"/>
      <c r="U27" s="111"/>
    </row>
    <row r="28" spans="1:21">
      <c r="A28" s="76"/>
      <c r="B28" s="64"/>
      <c r="C28" s="64"/>
      <c r="D28" s="64"/>
      <c r="U28" s="111"/>
    </row>
    <row r="29" spans="1:21">
      <c r="A29" s="76"/>
      <c r="B29" s="64"/>
      <c r="C29" s="64"/>
      <c r="D29" s="64"/>
      <c r="U29" s="111"/>
    </row>
    <row r="30" spans="1:21">
      <c r="A30" s="76"/>
      <c r="B30" s="64"/>
      <c r="C30" s="64"/>
      <c r="D30" s="64"/>
      <c r="U30" s="111"/>
    </row>
    <row r="31" spans="1:21">
      <c r="A31" s="76"/>
      <c r="B31" s="64"/>
      <c r="C31" s="64"/>
      <c r="D31" s="64"/>
      <c r="U31" s="111"/>
    </row>
    <row r="32" spans="1:21">
      <c r="A32" s="76"/>
      <c r="B32" s="64"/>
      <c r="C32" s="64"/>
      <c r="D32" s="64"/>
      <c r="U32" s="111"/>
    </row>
    <row r="33" spans="1:21">
      <c r="A33" s="76"/>
      <c r="B33" s="64"/>
      <c r="C33" s="64"/>
      <c r="D33" s="64"/>
      <c r="U33" s="111"/>
    </row>
    <row r="34" spans="1:21">
      <c r="A34" s="76"/>
      <c r="B34" s="64"/>
      <c r="C34" s="64"/>
      <c r="D34" s="64"/>
      <c r="U34" s="111"/>
    </row>
    <row r="35" spans="1:21">
      <c r="A35" s="76"/>
      <c r="B35" s="64"/>
      <c r="C35" s="64"/>
      <c r="D35" s="64"/>
      <c r="U35" s="111"/>
    </row>
    <row r="36" spans="1:21">
      <c r="A36" s="76"/>
      <c r="B36" s="64"/>
      <c r="C36" s="64"/>
      <c r="D36" s="64"/>
      <c r="U36" s="111"/>
    </row>
    <row r="37" spans="1:21">
      <c r="A37" s="76"/>
      <c r="B37" s="64"/>
      <c r="C37" s="64"/>
      <c r="D37" s="64"/>
      <c r="U37" s="111"/>
    </row>
    <row r="38" spans="1:21">
      <c r="A38" s="76"/>
      <c r="B38" s="64"/>
      <c r="C38" s="64"/>
      <c r="D38" s="64"/>
      <c r="U38" s="111"/>
    </row>
    <row r="39" spans="1:21">
      <c r="A39" s="76"/>
      <c r="B39" s="64"/>
      <c r="C39" s="64"/>
      <c r="D39" s="64"/>
      <c r="U39" s="111"/>
    </row>
    <row r="40" spans="1:21">
      <c r="A40" s="76"/>
      <c r="B40" s="64"/>
      <c r="C40" s="64"/>
      <c r="D40" s="64"/>
      <c r="U40" s="111"/>
    </row>
    <row r="41" spans="1:21">
      <c r="A41" s="76"/>
      <c r="B41" s="64"/>
      <c r="C41" s="64"/>
      <c r="D41" s="64"/>
      <c r="U41" s="111"/>
    </row>
    <row r="42" spans="1:21">
      <c r="A42" s="76"/>
      <c r="B42" s="64"/>
      <c r="C42" s="64"/>
      <c r="D42" s="64"/>
      <c r="U42" s="111"/>
    </row>
    <row r="43" spans="1:21">
      <c r="A43" s="76"/>
      <c r="B43" s="64"/>
      <c r="C43" s="64"/>
      <c r="D43" s="64"/>
      <c r="U43" s="111"/>
    </row>
    <row r="44" spans="1:21">
      <c r="A44" s="76"/>
      <c r="B44" s="64"/>
      <c r="C44" s="64"/>
      <c r="D44" s="64"/>
      <c r="U44" s="111"/>
    </row>
    <row r="45" spans="1:21">
      <c r="A45" s="76"/>
      <c r="B45" s="64"/>
      <c r="C45" s="64"/>
      <c r="D45" s="64"/>
      <c r="U45" s="111"/>
    </row>
    <row r="46" spans="1:21">
      <c r="A46" s="76"/>
      <c r="B46" s="64"/>
      <c r="C46" s="64"/>
      <c r="D46" s="64"/>
      <c r="U46" s="111"/>
    </row>
    <row r="47" spans="1:21">
      <c r="A47" s="76"/>
      <c r="B47" s="64"/>
      <c r="C47" s="64"/>
      <c r="D47" s="64"/>
      <c r="U47" s="111"/>
    </row>
    <row r="48" spans="1:21">
      <c r="A48" s="76"/>
      <c r="B48" s="64"/>
      <c r="C48" s="64"/>
      <c r="D48" s="64"/>
      <c r="U48" s="111"/>
    </row>
    <row r="49" spans="1:21">
      <c r="A49" s="76"/>
      <c r="B49" s="64"/>
      <c r="C49" s="64"/>
      <c r="D49" s="64"/>
      <c r="U49" s="111"/>
    </row>
    <row r="50" spans="1:21">
      <c r="A50" s="76"/>
      <c r="B50" s="64"/>
      <c r="C50" s="64"/>
      <c r="D50" s="64"/>
      <c r="U50" s="111"/>
    </row>
    <row r="51" spans="1:21">
      <c r="A51" s="76"/>
      <c r="B51" s="64"/>
      <c r="C51" s="64"/>
      <c r="D51" s="64"/>
    </row>
    <row r="52" spans="1:21">
      <c r="A52" s="76"/>
      <c r="B52" s="64"/>
      <c r="C52" s="64"/>
      <c r="D52" s="64"/>
    </row>
    <row r="53" spans="1:21">
      <c r="A53" s="76"/>
      <c r="B53" s="64"/>
      <c r="C53" s="64"/>
      <c r="D53" s="64"/>
    </row>
    <row r="54" spans="1:21">
      <c r="A54" s="76"/>
      <c r="B54" s="64"/>
      <c r="C54" s="64"/>
      <c r="D54" s="64"/>
    </row>
    <row r="55" spans="1:21">
      <c r="A55" s="76"/>
      <c r="B55" s="64"/>
      <c r="C55" s="64"/>
      <c r="D55" s="64"/>
    </row>
    <row r="56" spans="1:21">
      <c r="A56" s="76"/>
      <c r="B56" s="64"/>
      <c r="C56" s="64"/>
      <c r="D56" s="64"/>
    </row>
    <row r="57" spans="1:21">
      <c r="A57" s="76"/>
      <c r="B57" s="64"/>
      <c r="C57" s="64"/>
      <c r="D57" s="64"/>
    </row>
    <row r="58" spans="1:21">
      <c r="A58" s="76"/>
      <c r="B58" s="64"/>
      <c r="C58" s="64"/>
      <c r="D58" s="64"/>
    </row>
    <row r="59" spans="1:21">
      <c r="A59" s="76"/>
      <c r="B59" s="64"/>
      <c r="C59" s="64"/>
      <c r="D59" s="64"/>
    </row>
    <row r="60" spans="1:21">
      <c r="A60" s="76"/>
      <c r="B60" s="64"/>
      <c r="C60" s="64"/>
      <c r="D60" s="64"/>
    </row>
    <row r="64" spans="1:21">
      <c r="A64" s="79"/>
    </row>
    <row r="65" spans="1:1">
      <c r="A65" s="79"/>
    </row>
    <row r="66" spans="1:1">
      <c r="A66" s="79"/>
    </row>
    <row r="67" spans="1:1">
      <c r="A67" s="79"/>
    </row>
    <row r="68" spans="1:1">
      <c r="A68" s="79"/>
    </row>
    <row r="69" spans="1:1">
      <c r="A69" s="79"/>
    </row>
    <row r="70" spans="1:1">
      <c r="A70" s="79"/>
    </row>
    <row r="71" spans="1:1">
      <c r="A71" s="79"/>
    </row>
  </sheetData>
  <mergeCells count="1">
    <mergeCell ref="P3:S3"/>
  </mergeCells>
  <phoneticPr fontId="1" type="noConversion"/>
  <conditionalFormatting sqref="L5">
    <cfRule type="containsText" dxfId="3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Z43"/>
  <sheetViews>
    <sheetView topLeftCell="AD1" workbookViewId="0">
      <selection activeCell="AP2" sqref="AP2"/>
    </sheetView>
  </sheetViews>
  <sheetFormatPr defaultColWidth="8.75" defaultRowHeight="16.899999999999999"/>
  <cols>
    <col min="1" max="1" width="49.25" style="43" customWidth="1"/>
    <col min="2" max="42" width="8.75" style="43"/>
    <col min="43" max="44" width="10.875" bestFit="1" customWidth="1"/>
  </cols>
  <sheetData>
    <row r="1" spans="1:52">
      <c r="A1" s="43" t="s">
        <v>35</v>
      </c>
      <c r="B1" s="43" t="s">
        <v>36</v>
      </c>
      <c r="C1" s="43" t="s">
        <v>37</v>
      </c>
      <c r="D1" s="43" t="s">
        <v>38</v>
      </c>
      <c r="E1" s="43" t="s">
        <v>39</v>
      </c>
      <c r="F1" s="43" t="s">
        <v>40</v>
      </c>
      <c r="G1" s="43" t="s">
        <v>41</v>
      </c>
      <c r="H1" s="43" t="s">
        <v>42</v>
      </c>
      <c r="I1" s="43" t="s">
        <v>43</v>
      </c>
      <c r="J1" s="43" t="s">
        <v>44</v>
      </c>
      <c r="K1" s="43" t="s">
        <v>45</v>
      </c>
      <c r="L1" s="43" t="s">
        <v>118</v>
      </c>
      <c r="M1" s="43" t="s">
        <v>46</v>
      </c>
      <c r="N1" s="43" t="s">
        <v>50</v>
      </c>
      <c r="O1" s="43" t="s">
        <v>184</v>
      </c>
      <c r="P1" s="43" t="s">
        <v>185</v>
      </c>
      <c r="Q1" s="43" t="s">
        <v>49</v>
      </c>
      <c r="R1" s="43" t="s">
        <v>48</v>
      </c>
      <c r="S1" s="43" t="s">
        <v>47</v>
      </c>
      <c r="T1" s="43" t="s">
        <v>19</v>
      </c>
      <c r="U1" s="43" t="s">
        <v>20</v>
      </c>
      <c r="V1" s="43" t="s">
        <v>52</v>
      </c>
      <c r="W1" s="43" t="s">
        <v>51</v>
      </c>
      <c r="X1" s="43" t="s">
        <v>186</v>
      </c>
      <c r="Y1" s="43" t="s">
        <v>187</v>
      </c>
      <c r="Z1" s="43" t="s">
        <v>53</v>
      </c>
      <c r="AA1" s="43" t="s">
        <v>188</v>
      </c>
      <c r="AB1" s="43" t="s">
        <v>189</v>
      </c>
      <c r="AC1" s="43" t="s">
        <v>190</v>
      </c>
      <c r="AD1" s="43" t="s">
        <v>191</v>
      </c>
      <c r="AE1" s="43" t="s">
        <v>120</v>
      </c>
      <c r="AF1" s="43" t="s">
        <v>192</v>
      </c>
      <c r="AG1" s="43" t="s">
        <v>122</v>
      </c>
      <c r="AH1" s="43" t="s">
        <v>54</v>
      </c>
      <c r="AI1" s="43" t="s">
        <v>193</v>
      </c>
      <c r="AJ1" s="43" t="s">
        <v>135</v>
      </c>
      <c r="AK1" s="43" t="s">
        <v>121</v>
      </c>
      <c r="AL1" s="43" t="s">
        <v>121</v>
      </c>
      <c r="AM1" s="43" t="s">
        <v>122</v>
      </c>
      <c r="AN1" s="43" t="s">
        <v>54</v>
      </c>
      <c r="AO1" s="43" t="s">
        <v>54</v>
      </c>
      <c r="AZ1">
        <f ca="1">SUM(INDIRECT("r"&amp;1&amp;"c"&amp;MATCH("도달한 사람",'FB 콘텐츠 data'!$A$1:$AP$1,0),FALSE):INDIRECT("r"&amp;100&amp;"c"&amp;MATCH("도달한 사람",'FB 콘텐츠 data'!$A$1:$AP$1,0),FALSE))</f>
        <v>357336</v>
      </c>
    </row>
    <row r="2" spans="1:52" ht="17.45" customHeight="1">
      <c r="A2" s="43" t="s">
        <v>211</v>
      </c>
      <c r="B2" s="43">
        <v>0</v>
      </c>
      <c r="C2" s="43" t="s">
        <v>212</v>
      </c>
      <c r="D2" s="43" t="s">
        <v>136</v>
      </c>
      <c r="E2" s="43" t="s">
        <v>213</v>
      </c>
      <c r="F2" s="43">
        <v>0</v>
      </c>
      <c r="G2" s="43">
        <v>0</v>
      </c>
      <c r="H2" s="43" t="s">
        <v>140</v>
      </c>
      <c r="M2" s="43" t="s">
        <v>138</v>
      </c>
      <c r="N2" s="43">
        <v>35505</v>
      </c>
      <c r="O2" s="43">
        <v>25185</v>
      </c>
      <c r="P2" s="43">
        <v>2301</v>
      </c>
      <c r="Q2" s="43">
        <v>0</v>
      </c>
      <c r="R2" s="43">
        <v>214</v>
      </c>
      <c r="S2" s="43">
        <v>6</v>
      </c>
      <c r="T2" s="43">
        <v>196</v>
      </c>
      <c r="U2" s="43">
        <v>12</v>
      </c>
      <c r="V2" s="43">
        <v>226</v>
      </c>
      <c r="W2" s="43">
        <v>266</v>
      </c>
      <c r="Z2" s="43">
        <v>492</v>
      </c>
      <c r="AA2" s="43">
        <v>0</v>
      </c>
      <c r="AE2" s="43">
        <v>0</v>
      </c>
      <c r="AQ2" s="38">
        <f>IF(C2="","",IFERROR(DATE(MID(C2,7,4),LEFT(C2,2),MID(C2,4,2)),C2))</f>
        <v>45414</v>
      </c>
      <c r="AR2">
        <f>IFERROR(RANK(AQ2,AQ:AQ,1)+COUNTIF($AQ$1:AQ1,AQ2),"")</f>
        <v>1</v>
      </c>
      <c r="AT2" s="117"/>
    </row>
    <row r="3" spans="1:52" ht="17.45" customHeight="1">
      <c r="A3" s="43" t="s">
        <v>214</v>
      </c>
      <c r="B3" s="43">
        <v>0</v>
      </c>
      <c r="C3" s="43" t="s">
        <v>215</v>
      </c>
      <c r="D3" s="43" t="s">
        <v>136</v>
      </c>
      <c r="E3" s="43" t="s">
        <v>216</v>
      </c>
      <c r="F3" s="43">
        <v>0</v>
      </c>
      <c r="G3" s="43">
        <v>0</v>
      </c>
      <c r="H3" s="43" t="s">
        <v>137</v>
      </c>
      <c r="M3" s="43" t="s">
        <v>138</v>
      </c>
      <c r="N3" s="43">
        <v>5895</v>
      </c>
      <c r="O3" s="43">
        <v>5508</v>
      </c>
      <c r="P3" s="43">
        <v>5413</v>
      </c>
      <c r="Q3" s="43">
        <v>0</v>
      </c>
      <c r="R3" s="43">
        <v>206</v>
      </c>
      <c r="S3" s="43">
        <v>12</v>
      </c>
      <c r="T3" s="43">
        <v>183</v>
      </c>
      <c r="U3" s="43">
        <v>11</v>
      </c>
      <c r="V3" s="43">
        <v>1</v>
      </c>
      <c r="W3" s="43">
        <v>23</v>
      </c>
      <c r="X3" s="43">
        <v>34</v>
      </c>
      <c r="Z3" s="43">
        <v>58</v>
      </c>
      <c r="AA3" s="43">
        <v>0</v>
      </c>
      <c r="AE3" s="43">
        <v>0</v>
      </c>
      <c r="AQ3" s="38">
        <f t="shared" ref="AQ3:AQ43" si="0">IF(C3="","",IFERROR(DATE(MID(C3,7,4),LEFT(C3,2),MID(C3,4,2)),C3))</f>
        <v>45417</v>
      </c>
      <c r="AR3">
        <f>IFERROR(RANK(AQ3,AQ:AQ,1)+COUNTIF($AQ$1:AQ2,AQ3),"")</f>
        <v>2</v>
      </c>
      <c r="AT3" s="117"/>
    </row>
    <row r="4" spans="1:52" ht="17.45" customHeight="1">
      <c r="A4" s="43" t="s">
        <v>217</v>
      </c>
      <c r="B4" s="43">
        <v>220</v>
      </c>
      <c r="C4" s="43" t="s">
        <v>218</v>
      </c>
      <c r="D4" s="43" t="s">
        <v>136</v>
      </c>
      <c r="E4" s="43" t="s">
        <v>219</v>
      </c>
      <c r="F4" s="43">
        <v>0</v>
      </c>
      <c r="G4" s="43">
        <v>0</v>
      </c>
      <c r="H4" s="43" t="s">
        <v>139</v>
      </c>
      <c r="M4" s="43" t="s">
        <v>138</v>
      </c>
      <c r="N4" s="43">
        <v>17404</v>
      </c>
      <c r="O4" s="43">
        <v>9798</v>
      </c>
      <c r="P4" s="43">
        <v>2184</v>
      </c>
      <c r="Q4" s="43">
        <v>4283</v>
      </c>
      <c r="R4" s="43">
        <v>1377</v>
      </c>
      <c r="S4" s="43">
        <v>113</v>
      </c>
      <c r="T4" s="43">
        <v>606</v>
      </c>
      <c r="U4" s="43">
        <v>658</v>
      </c>
      <c r="V4" s="43">
        <v>4</v>
      </c>
      <c r="W4" s="43">
        <v>225</v>
      </c>
      <c r="Z4" s="43">
        <v>269</v>
      </c>
      <c r="AA4" s="43">
        <v>1547</v>
      </c>
      <c r="AE4" s="43">
        <v>3240</v>
      </c>
      <c r="AG4" s="43">
        <v>0</v>
      </c>
      <c r="AH4" s="43">
        <v>0</v>
      </c>
      <c r="AI4" s="43">
        <v>465655.84</v>
      </c>
      <c r="AJ4" s="43">
        <v>27.885000000000002</v>
      </c>
      <c r="AK4" s="43">
        <v>0</v>
      </c>
      <c r="AQ4" s="38">
        <f t="shared" si="0"/>
        <v>45419</v>
      </c>
      <c r="AR4">
        <f>IFERROR(RANK(AQ4,AQ:AQ,1)+COUNTIF($AQ$1:AQ3,AQ4),"")</f>
        <v>3</v>
      </c>
      <c r="AT4" s="117"/>
    </row>
    <row r="5" spans="1:52" ht="17.45" customHeight="1">
      <c r="A5" s="43" t="s">
        <v>220</v>
      </c>
      <c r="B5" s="43">
        <v>153</v>
      </c>
      <c r="C5" s="43" t="s">
        <v>221</v>
      </c>
      <c r="D5" s="43" t="s">
        <v>136</v>
      </c>
      <c r="E5" s="43" t="s">
        <v>222</v>
      </c>
      <c r="F5" s="43">
        <v>0</v>
      </c>
      <c r="G5" s="43">
        <v>0</v>
      </c>
      <c r="H5" s="43" t="s">
        <v>139</v>
      </c>
      <c r="M5" s="43" t="s">
        <v>138</v>
      </c>
      <c r="N5" s="43">
        <v>38149</v>
      </c>
      <c r="O5" s="43">
        <v>21347</v>
      </c>
      <c r="P5" s="43">
        <v>2395</v>
      </c>
      <c r="Q5" s="43">
        <v>9859</v>
      </c>
      <c r="R5" s="43">
        <v>193</v>
      </c>
      <c r="S5" s="43">
        <v>3</v>
      </c>
      <c r="T5" s="43">
        <v>180</v>
      </c>
      <c r="U5" s="43">
        <v>10</v>
      </c>
      <c r="V5" s="43">
        <v>8</v>
      </c>
      <c r="W5" s="43">
        <v>51</v>
      </c>
      <c r="Z5" s="43">
        <v>105</v>
      </c>
      <c r="AA5" s="43">
        <v>661</v>
      </c>
      <c r="AE5" s="43">
        <v>7221</v>
      </c>
      <c r="AG5" s="43">
        <v>0</v>
      </c>
      <c r="AH5" s="43">
        <v>0</v>
      </c>
      <c r="AI5" s="43">
        <v>218172.65599999999</v>
      </c>
      <c r="AJ5" s="43">
        <v>6.0220000000000002</v>
      </c>
      <c r="AK5" s="43">
        <v>0</v>
      </c>
      <c r="AQ5" s="38">
        <f t="shared" si="0"/>
        <v>45420</v>
      </c>
      <c r="AR5">
        <f>IFERROR(RANK(AQ5,AQ:AQ,1)+COUNTIF($AQ$1:AQ4,AQ5),"")</f>
        <v>4</v>
      </c>
      <c r="AT5" s="117"/>
    </row>
    <row r="6" spans="1:52" ht="17.45" customHeight="1">
      <c r="A6" s="43" t="s">
        <v>223</v>
      </c>
      <c r="B6" s="43">
        <v>0</v>
      </c>
      <c r="C6" s="43" t="s">
        <v>224</v>
      </c>
      <c r="D6" s="43" t="s">
        <v>136</v>
      </c>
      <c r="E6" s="43" t="s">
        <v>225</v>
      </c>
      <c r="F6" s="43">
        <v>0</v>
      </c>
      <c r="G6" s="43">
        <v>0</v>
      </c>
      <c r="H6" s="43" t="s">
        <v>140</v>
      </c>
      <c r="M6" s="43" t="s">
        <v>138</v>
      </c>
      <c r="N6" s="43">
        <v>38202</v>
      </c>
      <c r="O6" s="43">
        <v>24811</v>
      </c>
      <c r="P6" s="43">
        <v>1404</v>
      </c>
      <c r="Q6" s="43">
        <v>0</v>
      </c>
      <c r="R6" s="43">
        <v>138</v>
      </c>
      <c r="S6" s="43">
        <v>13</v>
      </c>
      <c r="T6" s="43">
        <v>114</v>
      </c>
      <c r="U6" s="43">
        <v>11</v>
      </c>
      <c r="V6" s="43">
        <v>621</v>
      </c>
      <c r="W6" s="43">
        <v>1129</v>
      </c>
      <c r="Z6" s="43">
        <v>1750</v>
      </c>
      <c r="AA6" s="43">
        <v>0</v>
      </c>
      <c r="AE6" s="43">
        <v>0</v>
      </c>
      <c r="AQ6" s="38">
        <f t="shared" si="0"/>
        <v>45422</v>
      </c>
      <c r="AR6">
        <f>IFERROR(RANK(AQ6,AQ:AQ,1)+COUNTIF($AQ$1:AQ5,AQ6),"")</f>
        <v>5</v>
      </c>
      <c r="AT6" s="117"/>
    </row>
    <row r="7" spans="1:52" ht="17.45" customHeight="1">
      <c r="A7" s="43" t="s">
        <v>226</v>
      </c>
      <c r="B7" s="43">
        <v>0</v>
      </c>
      <c r="C7" s="43" t="s">
        <v>227</v>
      </c>
      <c r="D7" s="43" t="s">
        <v>136</v>
      </c>
      <c r="E7" s="43" t="s">
        <v>228</v>
      </c>
      <c r="F7" s="43">
        <v>0</v>
      </c>
      <c r="G7" s="43">
        <v>0</v>
      </c>
      <c r="H7" s="43" t="s">
        <v>137</v>
      </c>
      <c r="M7" s="43" t="s">
        <v>138</v>
      </c>
      <c r="N7" s="43">
        <v>6122</v>
      </c>
      <c r="O7" s="43">
        <v>5653</v>
      </c>
      <c r="P7" s="43">
        <v>5467</v>
      </c>
      <c r="Q7" s="43">
        <v>0</v>
      </c>
      <c r="R7" s="43">
        <v>144</v>
      </c>
      <c r="S7" s="43">
        <v>8</v>
      </c>
      <c r="T7" s="43">
        <v>122</v>
      </c>
      <c r="U7" s="43">
        <v>14</v>
      </c>
      <c r="V7" s="43">
        <v>2</v>
      </c>
      <c r="W7" s="43">
        <v>21</v>
      </c>
      <c r="X7" s="43">
        <v>44</v>
      </c>
      <c r="Z7" s="43">
        <v>67</v>
      </c>
      <c r="AA7" s="43">
        <v>0</v>
      </c>
      <c r="AE7" s="43">
        <v>0</v>
      </c>
      <c r="AF7" s="43">
        <v>1</v>
      </c>
      <c r="AQ7" s="38">
        <f t="shared" si="0"/>
        <v>45424</v>
      </c>
      <c r="AR7">
        <f>IFERROR(RANK(AQ7,AQ:AQ,1)+COUNTIF($AQ$1:AQ6,AQ7),"")</f>
        <v>6</v>
      </c>
      <c r="AT7" s="117"/>
    </row>
    <row r="8" spans="1:52" ht="17.45" customHeight="1">
      <c r="A8" s="43" t="s">
        <v>229</v>
      </c>
      <c r="B8" s="43">
        <v>0</v>
      </c>
      <c r="C8" s="43" t="s">
        <v>230</v>
      </c>
      <c r="D8" s="43" t="s">
        <v>136</v>
      </c>
      <c r="E8" s="43" t="s">
        <v>231</v>
      </c>
      <c r="F8" s="43">
        <v>0</v>
      </c>
      <c r="G8" s="43">
        <v>0</v>
      </c>
      <c r="H8" s="43" t="s">
        <v>140</v>
      </c>
      <c r="M8" s="43" t="s">
        <v>138</v>
      </c>
      <c r="N8" s="43">
        <v>31476</v>
      </c>
      <c r="O8" s="43">
        <v>21609</v>
      </c>
      <c r="P8" s="43">
        <v>875</v>
      </c>
      <c r="Q8" s="43">
        <v>0</v>
      </c>
      <c r="R8" s="43">
        <v>178</v>
      </c>
      <c r="S8" s="43">
        <v>5</v>
      </c>
      <c r="T8" s="43">
        <v>164</v>
      </c>
      <c r="U8" s="43">
        <v>9</v>
      </c>
      <c r="V8" s="43">
        <v>230</v>
      </c>
      <c r="W8" s="43">
        <v>293</v>
      </c>
      <c r="Z8" s="43">
        <v>523</v>
      </c>
      <c r="AA8" s="43">
        <v>0</v>
      </c>
      <c r="AE8" s="43">
        <v>0</v>
      </c>
      <c r="AQ8" s="38">
        <f t="shared" si="0"/>
        <v>45425</v>
      </c>
      <c r="AR8">
        <f>IFERROR(RANK(AQ8,AQ:AQ,1)+COUNTIF($AQ$1:AQ7,AQ8),"")</f>
        <v>7</v>
      </c>
      <c r="AT8" s="117"/>
    </row>
    <row r="9" spans="1:52" ht="17.45" customHeight="1">
      <c r="A9" s="43" t="s">
        <v>232</v>
      </c>
      <c r="B9" s="43">
        <v>0</v>
      </c>
      <c r="C9" s="43" t="s">
        <v>233</v>
      </c>
      <c r="D9" s="43" t="s">
        <v>136</v>
      </c>
      <c r="E9" s="43" t="s">
        <v>234</v>
      </c>
      <c r="F9" s="43">
        <v>0</v>
      </c>
      <c r="G9" s="43">
        <v>0</v>
      </c>
      <c r="H9" s="43" t="s">
        <v>137</v>
      </c>
      <c r="M9" s="43" t="s">
        <v>138</v>
      </c>
      <c r="N9" s="43">
        <v>10047</v>
      </c>
      <c r="O9" s="43">
        <v>8769</v>
      </c>
      <c r="P9" s="43">
        <v>5134</v>
      </c>
      <c r="Q9" s="43">
        <v>0</v>
      </c>
      <c r="R9" s="43">
        <v>493</v>
      </c>
      <c r="S9" s="43">
        <v>28</v>
      </c>
      <c r="T9" s="43">
        <v>443</v>
      </c>
      <c r="U9" s="43">
        <v>22</v>
      </c>
      <c r="W9" s="43">
        <v>72</v>
      </c>
      <c r="X9" s="43">
        <v>255</v>
      </c>
      <c r="Z9" s="43">
        <v>327</v>
      </c>
      <c r="AA9" s="43">
        <v>0</v>
      </c>
      <c r="AE9" s="43">
        <v>0</v>
      </c>
      <c r="AQ9" s="38">
        <f t="shared" si="0"/>
        <v>45426</v>
      </c>
      <c r="AR9">
        <f>IFERROR(RANK(AQ9,AQ:AQ,1)+COUNTIF($AQ$1:AQ8,AQ9),"")</f>
        <v>8</v>
      </c>
      <c r="AT9" s="117"/>
    </row>
    <row r="10" spans="1:52" ht="17.45" customHeight="1">
      <c r="A10" s="43" t="s">
        <v>235</v>
      </c>
      <c r="B10" s="43">
        <v>0</v>
      </c>
      <c r="C10" s="43" t="s">
        <v>236</v>
      </c>
      <c r="D10" s="43" t="s">
        <v>136</v>
      </c>
      <c r="E10" s="43" t="s">
        <v>237</v>
      </c>
      <c r="F10" s="43">
        <v>0</v>
      </c>
      <c r="G10" s="43">
        <v>0</v>
      </c>
      <c r="H10" s="43" t="s">
        <v>137</v>
      </c>
      <c r="M10" s="43" t="s">
        <v>138</v>
      </c>
      <c r="N10" s="43">
        <v>5341</v>
      </c>
      <c r="O10" s="43">
        <v>4754</v>
      </c>
      <c r="P10" s="43">
        <v>4451</v>
      </c>
      <c r="Q10" s="43">
        <v>0</v>
      </c>
      <c r="R10" s="43">
        <v>173</v>
      </c>
      <c r="S10" s="43">
        <v>6</v>
      </c>
      <c r="T10" s="43">
        <v>154</v>
      </c>
      <c r="U10" s="43">
        <v>13</v>
      </c>
      <c r="V10" s="43">
        <v>1</v>
      </c>
      <c r="W10" s="43">
        <v>25</v>
      </c>
      <c r="X10" s="43">
        <v>49</v>
      </c>
      <c r="Z10" s="43">
        <v>75</v>
      </c>
      <c r="AA10" s="43">
        <v>0</v>
      </c>
      <c r="AE10" s="43">
        <v>0</v>
      </c>
      <c r="AF10" s="43">
        <v>1</v>
      </c>
      <c r="AQ10" s="38">
        <f t="shared" si="0"/>
        <v>45431</v>
      </c>
      <c r="AR10">
        <f>IFERROR(RANK(AQ10,AQ:AQ,1)+COUNTIF($AQ$1:AQ9,AQ10),"")</f>
        <v>9</v>
      </c>
      <c r="AT10" s="117"/>
    </row>
    <row r="11" spans="1:52" ht="17.45" customHeight="1">
      <c r="A11" s="43" t="s">
        <v>238</v>
      </c>
      <c r="B11" s="43">
        <v>0</v>
      </c>
      <c r="C11" s="43" t="s">
        <v>239</v>
      </c>
      <c r="D11" s="43" t="s">
        <v>136</v>
      </c>
      <c r="E11" s="43" t="s">
        <v>240</v>
      </c>
      <c r="F11" s="43">
        <v>0</v>
      </c>
      <c r="G11" s="43">
        <v>0</v>
      </c>
      <c r="H11" s="43" t="s">
        <v>137</v>
      </c>
      <c r="M11" s="43" t="s">
        <v>138</v>
      </c>
      <c r="N11" s="43">
        <v>60494</v>
      </c>
      <c r="O11" s="43">
        <v>38807</v>
      </c>
      <c r="P11" s="43">
        <v>2395</v>
      </c>
      <c r="Q11" s="43">
        <v>0</v>
      </c>
      <c r="R11" s="43">
        <v>401</v>
      </c>
      <c r="S11" s="43">
        <v>33</v>
      </c>
      <c r="T11" s="43">
        <v>355</v>
      </c>
      <c r="U11" s="43">
        <v>13</v>
      </c>
      <c r="V11" s="43">
        <v>10</v>
      </c>
      <c r="W11" s="43">
        <v>393</v>
      </c>
      <c r="Z11" s="43">
        <v>2785</v>
      </c>
      <c r="AA11" s="43">
        <v>0</v>
      </c>
      <c r="AE11" s="43">
        <v>0</v>
      </c>
      <c r="AQ11" s="38">
        <f t="shared" si="0"/>
        <v>45433</v>
      </c>
      <c r="AR11">
        <f>IFERROR(RANK(AQ11,AQ:AQ,1)+COUNTIF($AQ$1:AQ10,AQ11),"")</f>
        <v>10</v>
      </c>
      <c r="AT11" s="117"/>
    </row>
    <row r="12" spans="1:52" ht="17.45" customHeight="1">
      <c r="A12" s="43" t="s">
        <v>241</v>
      </c>
      <c r="B12" s="43">
        <v>0</v>
      </c>
      <c r="C12" s="43" t="s">
        <v>242</v>
      </c>
      <c r="D12" s="43" t="s">
        <v>136</v>
      </c>
      <c r="E12" s="43" t="s">
        <v>243</v>
      </c>
      <c r="F12" s="43">
        <v>0</v>
      </c>
      <c r="G12" s="43">
        <v>0</v>
      </c>
      <c r="H12" s="43" t="s">
        <v>137</v>
      </c>
      <c r="M12" s="43" t="s">
        <v>138</v>
      </c>
      <c r="N12" s="43">
        <v>119819</v>
      </c>
      <c r="O12" s="43">
        <v>84105</v>
      </c>
      <c r="P12" s="43">
        <v>19366</v>
      </c>
      <c r="Q12" s="43">
        <v>0</v>
      </c>
      <c r="R12" s="43">
        <v>2631</v>
      </c>
      <c r="S12" s="43">
        <v>190</v>
      </c>
      <c r="T12" s="43">
        <v>2255</v>
      </c>
      <c r="U12" s="43">
        <v>186</v>
      </c>
      <c r="V12" s="43">
        <v>182</v>
      </c>
      <c r="W12" s="43">
        <v>8112</v>
      </c>
      <c r="Z12" s="43">
        <v>18145</v>
      </c>
      <c r="AA12" s="43">
        <v>0</v>
      </c>
      <c r="AE12" s="43">
        <v>0</v>
      </c>
      <c r="AQ12" s="38">
        <f t="shared" si="0"/>
        <v>45435</v>
      </c>
      <c r="AR12">
        <f>IFERROR(RANK(AQ12,AQ:AQ,1)+COUNTIF($AQ$1:AQ11,AQ12),"")</f>
        <v>11</v>
      </c>
      <c r="AT12" s="117"/>
    </row>
    <row r="13" spans="1:52" ht="17.45" customHeight="1">
      <c r="A13" s="43" t="s">
        <v>244</v>
      </c>
      <c r="B13" s="43">
        <v>0</v>
      </c>
      <c r="C13" s="43" t="s">
        <v>245</v>
      </c>
      <c r="D13" s="43" t="s">
        <v>136</v>
      </c>
      <c r="E13" s="43" t="s">
        <v>246</v>
      </c>
      <c r="F13" s="43">
        <v>0</v>
      </c>
      <c r="G13" s="43">
        <v>0</v>
      </c>
      <c r="H13" s="43" t="s">
        <v>137</v>
      </c>
      <c r="M13" s="43" t="s">
        <v>138</v>
      </c>
      <c r="N13" s="43">
        <v>2932</v>
      </c>
      <c r="O13" s="43">
        <v>2696</v>
      </c>
      <c r="P13" s="43">
        <v>2648</v>
      </c>
      <c r="Q13" s="43">
        <v>0</v>
      </c>
      <c r="R13" s="43">
        <v>141</v>
      </c>
      <c r="S13" s="43">
        <v>11</v>
      </c>
      <c r="T13" s="43">
        <v>121</v>
      </c>
      <c r="U13" s="43">
        <v>9</v>
      </c>
      <c r="W13" s="43">
        <v>15</v>
      </c>
      <c r="X13" s="43">
        <v>49</v>
      </c>
      <c r="Z13" s="43">
        <v>64</v>
      </c>
      <c r="AA13" s="43">
        <v>0</v>
      </c>
      <c r="AE13" s="43">
        <v>0</v>
      </c>
      <c r="AQ13" s="38">
        <f t="shared" si="0"/>
        <v>45438</v>
      </c>
      <c r="AR13">
        <f>IFERROR(RANK(AQ13,AQ:AQ,1)+COUNTIF($AQ$1:AQ12,AQ13),"")</f>
        <v>12</v>
      </c>
      <c r="AT13" s="117"/>
    </row>
    <row r="14" spans="1:52" ht="17.45" customHeight="1">
      <c r="A14" s="114" t="s">
        <v>247</v>
      </c>
      <c r="B14" s="43">
        <v>0</v>
      </c>
      <c r="C14" s="43" t="s">
        <v>248</v>
      </c>
      <c r="D14" s="43" t="s">
        <v>136</v>
      </c>
      <c r="E14" s="43" t="s">
        <v>249</v>
      </c>
      <c r="F14" s="43">
        <v>0</v>
      </c>
      <c r="G14" s="43">
        <v>0</v>
      </c>
      <c r="H14" s="43" t="s">
        <v>140</v>
      </c>
      <c r="M14" s="43" t="s">
        <v>138</v>
      </c>
      <c r="N14" s="43">
        <v>35289</v>
      </c>
      <c r="O14" s="43">
        <v>24242</v>
      </c>
      <c r="P14" s="43">
        <v>2431</v>
      </c>
      <c r="Q14" s="43">
        <v>0</v>
      </c>
      <c r="R14" s="43">
        <v>158</v>
      </c>
      <c r="S14" s="43">
        <v>4</v>
      </c>
      <c r="T14" s="43">
        <v>142</v>
      </c>
      <c r="U14" s="43">
        <v>12</v>
      </c>
      <c r="V14" s="43">
        <v>150</v>
      </c>
      <c r="W14" s="43">
        <v>247</v>
      </c>
      <c r="Z14" s="43">
        <v>397</v>
      </c>
      <c r="AA14" s="43">
        <v>0</v>
      </c>
      <c r="AE14" s="43">
        <v>0</v>
      </c>
      <c r="AF14" s="43">
        <v>2</v>
      </c>
      <c r="AQ14" s="38">
        <f t="shared" si="0"/>
        <v>45438</v>
      </c>
      <c r="AR14">
        <f>IFERROR(RANK(AQ14,AQ:AQ,1)+COUNTIF($AQ$1:AQ13,AQ14),"")</f>
        <v>13</v>
      </c>
      <c r="AT14" s="117"/>
    </row>
    <row r="15" spans="1:52" ht="17.45" customHeight="1">
      <c r="A15" s="43" t="s">
        <v>250</v>
      </c>
      <c r="B15" s="43">
        <v>0</v>
      </c>
      <c r="C15" s="43" t="s">
        <v>251</v>
      </c>
      <c r="D15" s="43" t="s">
        <v>136</v>
      </c>
      <c r="E15" s="43" t="s">
        <v>252</v>
      </c>
      <c r="F15" s="43">
        <v>0</v>
      </c>
      <c r="G15" s="43">
        <v>0</v>
      </c>
      <c r="H15" s="43" t="s">
        <v>137</v>
      </c>
      <c r="M15" s="43" t="s">
        <v>138</v>
      </c>
      <c r="N15" s="43">
        <v>40246</v>
      </c>
      <c r="O15" s="43">
        <v>25183</v>
      </c>
      <c r="P15" s="43">
        <v>4053</v>
      </c>
      <c r="Q15" s="43">
        <v>0</v>
      </c>
      <c r="R15" s="43">
        <v>514</v>
      </c>
      <c r="S15" s="43">
        <v>5</v>
      </c>
      <c r="T15" s="43">
        <v>482</v>
      </c>
      <c r="U15" s="43">
        <v>27</v>
      </c>
      <c r="V15" s="43">
        <v>15</v>
      </c>
      <c r="W15" s="43">
        <v>696</v>
      </c>
      <c r="Z15" s="43">
        <v>2074</v>
      </c>
      <c r="AA15" s="43">
        <v>0</v>
      </c>
      <c r="AE15" s="43">
        <v>0</v>
      </c>
      <c r="AF15" s="43">
        <v>1</v>
      </c>
      <c r="AQ15" s="38">
        <f t="shared" si="0"/>
        <v>45441</v>
      </c>
      <c r="AR15">
        <f>IFERROR(RANK(AQ15,AQ:AQ,1)+COUNTIF($AQ$1:AQ14,AQ15),"")</f>
        <v>14</v>
      </c>
      <c r="AT15" s="117"/>
    </row>
    <row r="16" spans="1:52" ht="17.45" customHeight="1">
      <c r="A16" s="43" t="s">
        <v>253</v>
      </c>
      <c r="B16" s="43">
        <v>207</v>
      </c>
      <c r="C16" s="43" t="s">
        <v>254</v>
      </c>
      <c r="D16" s="43" t="s">
        <v>136</v>
      </c>
      <c r="E16" s="43" t="s">
        <v>255</v>
      </c>
      <c r="F16" s="43">
        <v>0</v>
      </c>
      <c r="G16" s="43">
        <v>0</v>
      </c>
      <c r="H16" s="43" t="s">
        <v>139</v>
      </c>
      <c r="M16" s="43" t="s">
        <v>138</v>
      </c>
      <c r="N16" s="43">
        <v>68731</v>
      </c>
      <c r="O16" s="43">
        <v>54869</v>
      </c>
      <c r="P16" s="43">
        <v>1309</v>
      </c>
      <c r="Q16" s="43">
        <v>23114</v>
      </c>
      <c r="R16" s="43">
        <v>121</v>
      </c>
      <c r="S16" s="43">
        <v>4</v>
      </c>
      <c r="T16" s="43">
        <v>113</v>
      </c>
      <c r="U16" s="43">
        <v>4</v>
      </c>
      <c r="V16" s="43">
        <v>61</v>
      </c>
      <c r="W16" s="43">
        <v>40</v>
      </c>
      <c r="Z16" s="43">
        <v>101</v>
      </c>
      <c r="AA16" s="43">
        <v>4775</v>
      </c>
      <c r="AE16" s="43">
        <v>21679</v>
      </c>
      <c r="AG16" s="43">
        <v>0</v>
      </c>
      <c r="AH16" s="43">
        <v>0</v>
      </c>
      <c r="AI16" s="43">
        <v>1088936.1640000001</v>
      </c>
      <c r="AJ16" s="43">
        <v>15.887</v>
      </c>
      <c r="AK16" s="43">
        <v>0</v>
      </c>
      <c r="AQ16" s="38">
        <f t="shared" si="0"/>
        <v>45443</v>
      </c>
      <c r="AR16">
        <f>IFERROR(RANK(AQ16,AQ:AQ,1)+COUNTIF($AQ$1:AQ15,AQ16),"")</f>
        <v>15</v>
      </c>
      <c r="AT16" s="117"/>
    </row>
    <row r="17" spans="43:46" ht="17.45" customHeight="1">
      <c r="AQ17" s="38" t="str">
        <f t="shared" si="0"/>
        <v/>
      </c>
      <c r="AR17" t="str">
        <f>IFERROR(RANK(AQ17,AQ:AQ,1)+COUNTIF($AQ$1:AQ16,AQ17),"")</f>
        <v/>
      </c>
      <c r="AT17" s="117"/>
    </row>
    <row r="18" spans="43:46" ht="17.45" customHeight="1">
      <c r="AQ18" s="38" t="str">
        <f t="shared" si="0"/>
        <v/>
      </c>
      <c r="AR18" t="str">
        <f>IFERROR(RANK(AQ18,AQ:AQ,1)+COUNTIF($AQ$1:AQ17,AQ18),"")</f>
        <v/>
      </c>
      <c r="AT18" s="117"/>
    </row>
    <row r="19" spans="43:46" ht="17.45" customHeight="1">
      <c r="AQ19" s="38" t="str">
        <f t="shared" si="0"/>
        <v/>
      </c>
      <c r="AR19" t="str">
        <f>IFERROR(RANK(AQ19,AQ:AQ,1)+COUNTIF($AQ$1:AQ18,AQ19),"")</f>
        <v/>
      </c>
      <c r="AT19" s="117"/>
    </row>
    <row r="20" spans="43:46" ht="17.45" customHeight="1">
      <c r="AQ20" s="38" t="str">
        <f t="shared" si="0"/>
        <v/>
      </c>
      <c r="AR20" t="str">
        <f>IFERROR(RANK(AQ20,AQ:AQ,1)+COUNTIF($AQ$1:AQ19,AQ20),"")</f>
        <v/>
      </c>
      <c r="AT20" s="117"/>
    </row>
    <row r="21" spans="43:46" ht="17.45" customHeight="1">
      <c r="AQ21" s="38" t="str">
        <f t="shared" si="0"/>
        <v/>
      </c>
      <c r="AR21" t="str">
        <f>IFERROR(RANK(AQ21,AQ:AQ,1)+COUNTIF($AQ$1:AQ20,AQ21),"")</f>
        <v/>
      </c>
      <c r="AT21" s="117"/>
    </row>
    <row r="22" spans="43:46" ht="17.45" customHeight="1">
      <c r="AQ22" s="38" t="str">
        <f t="shared" si="0"/>
        <v/>
      </c>
      <c r="AR22" t="str">
        <f>IFERROR(RANK(AQ22,AQ:AQ,1)+COUNTIF($AQ$1:AQ21,AQ22),"")</f>
        <v/>
      </c>
      <c r="AT22" s="117"/>
    </row>
    <row r="23" spans="43:46" ht="17.45" customHeight="1">
      <c r="AQ23" s="38" t="str">
        <f t="shared" si="0"/>
        <v/>
      </c>
      <c r="AR23" t="str">
        <f>IFERROR(RANK(AQ23,AQ:AQ,1)+COUNTIF($AQ$1:AQ22,AQ23),"")</f>
        <v/>
      </c>
      <c r="AT23" s="117"/>
    </row>
    <row r="24" spans="43:46" ht="17.45" customHeight="1">
      <c r="AQ24" s="38" t="str">
        <f t="shared" si="0"/>
        <v/>
      </c>
      <c r="AR24" t="str">
        <f>IFERROR(RANK(AQ24,AQ:AQ,1)+COUNTIF($AQ$1:AQ23,AQ24),"")</f>
        <v/>
      </c>
      <c r="AT24" s="117"/>
    </row>
    <row r="25" spans="43:46" ht="17.45" customHeight="1">
      <c r="AQ25" s="38" t="str">
        <f t="shared" si="0"/>
        <v/>
      </c>
      <c r="AR25" t="str">
        <f>IFERROR(RANK(AQ25,AQ:AQ,1)+COUNTIF($AQ$1:AQ24,AQ25),"")</f>
        <v/>
      </c>
      <c r="AT25" s="117"/>
    </row>
    <row r="26" spans="43:46" ht="17.45" customHeight="1">
      <c r="AQ26" s="38" t="str">
        <f t="shared" si="0"/>
        <v/>
      </c>
      <c r="AR26" t="str">
        <f>IFERROR(RANK(AQ26,AQ:AQ,1)+COUNTIF($AQ$1:AQ25,AQ26),"")</f>
        <v/>
      </c>
      <c r="AT26" s="117"/>
    </row>
    <row r="27" spans="43:46" ht="17.45" customHeight="1">
      <c r="AQ27" s="38" t="str">
        <f t="shared" si="0"/>
        <v/>
      </c>
      <c r="AR27" t="str">
        <f>IFERROR(RANK(AQ27,AQ:AQ,1)+COUNTIF($AQ$1:AQ26,AQ27),"")</f>
        <v/>
      </c>
      <c r="AT27" s="117"/>
    </row>
    <row r="28" spans="43:46" ht="17.45" customHeight="1">
      <c r="AQ28" s="38" t="str">
        <f t="shared" si="0"/>
        <v/>
      </c>
      <c r="AR28" t="str">
        <f>IFERROR(RANK(AQ28,AQ:AQ,1)+COUNTIF($AQ$1:AQ27,AQ28),"")</f>
        <v/>
      </c>
      <c r="AT28" s="117"/>
    </row>
    <row r="29" spans="43:46" ht="17.45" customHeight="1">
      <c r="AQ29" s="38" t="str">
        <f t="shared" si="0"/>
        <v/>
      </c>
      <c r="AR29" t="str">
        <f>IFERROR(RANK(AQ29,AQ:AQ,1)+COUNTIF($AQ$1:AQ28,AQ29),"")</f>
        <v/>
      </c>
      <c r="AT29" s="117"/>
    </row>
    <row r="30" spans="43:46" ht="17.45" customHeight="1">
      <c r="AQ30" s="38" t="str">
        <f t="shared" si="0"/>
        <v/>
      </c>
      <c r="AR30" t="str">
        <f>IFERROR(RANK(AQ30,AQ:AQ,1)+COUNTIF($AQ$1:AQ29,AQ30),"")</f>
        <v/>
      </c>
      <c r="AT30" s="117"/>
    </row>
    <row r="31" spans="43:46" ht="17.45" customHeight="1">
      <c r="AQ31" s="38" t="str">
        <f t="shared" si="0"/>
        <v/>
      </c>
      <c r="AR31" t="str">
        <f>IFERROR(RANK(AQ31,AQ:AQ,1)+COUNTIF($AQ$1:AQ30,AQ31),"")</f>
        <v/>
      </c>
      <c r="AT31" s="117"/>
    </row>
    <row r="32" spans="43:46" ht="17.45" customHeight="1">
      <c r="AQ32" s="38" t="str">
        <f t="shared" si="0"/>
        <v/>
      </c>
      <c r="AR32" t="str">
        <f>IFERROR(RANK(AQ32,AQ:AQ,1)+COUNTIF($AQ$1:AQ31,AQ32),"")</f>
        <v/>
      </c>
      <c r="AT32" s="117"/>
    </row>
    <row r="33" spans="43:46" ht="17.45" customHeight="1">
      <c r="AQ33" s="38" t="str">
        <f t="shared" si="0"/>
        <v/>
      </c>
      <c r="AR33" t="str">
        <f>IFERROR(RANK(AQ33,AQ:AQ,1)+COUNTIF($AQ$1:AQ32,AQ33),"")</f>
        <v/>
      </c>
      <c r="AT33" s="117"/>
    </row>
    <row r="34" spans="43:46" ht="17.45" customHeight="1">
      <c r="AQ34" s="38" t="str">
        <f t="shared" si="0"/>
        <v/>
      </c>
      <c r="AR34" t="str">
        <f>IFERROR(RANK(AQ34,AQ:AQ,1)+COUNTIF($AQ$1:AQ33,AQ34),"")</f>
        <v/>
      </c>
      <c r="AT34" s="117"/>
    </row>
    <row r="35" spans="43:46" ht="17.45" customHeight="1">
      <c r="AQ35" s="38" t="str">
        <f t="shared" si="0"/>
        <v/>
      </c>
      <c r="AR35" t="str">
        <f>IFERROR(RANK(AQ35,AQ:AQ,1)+COUNTIF($AQ$1:AQ34,AQ35),"")</f>
        <v/>
      </c>
      <c r="AT35" s="117"/>
    </row>
    <row r="36" spans="43:46" ht="17.45" customHeight="1">
      <c r="AQ36" s="38" t="str">
        <f t="shared" si="0"/>
        <v/>
      </c>
      <c r="AR36" t="str">
        <f>IFERROR(RANK(AQ36,AQ:AQ,1)+COUNTIF($AQ$1:AQ35,AQ36),"")</f>
        <v/>
      </c>
      <c r="AT36" s="117"/>
    </row>
    <row r="37" spans="43:46" ht="17.45" customHeight="1">
      <c r="AQ37" s="38" t="str">
        <f t="shared" si="0"/>
        <v/>
      </c>
      <c r="AR37" t="str">
        <f>IFERROR(RANK(AQ37,AQ:AQ,1)+COUNTIF($AQ$1:AQ36,AQ37),"")</f>
        <v/>
      </c>
      <c r="AT37" s="117"/>
    </row>
    <row r="38" spans="43:46" ht="17.45" customHeight="1">
      <c r="AQ38" s="38" t="str">
        <f t="shared" si="0"/>
        <v/>
      </c>
      <c r="AR38" t="str">
        <f>IFERROR(RANK(AQ38,AQ:AQ,1)+COUNTIF($AQ$1:AQ37,AQ38),"")</f>
        <v/>
      </c>
      <c r="AT38" s="117"/>
    </row>
    <row r="39" spans="43:46" ht="17.45" customHeight="1">
      <c r="AQ39" s="38" t="str">
        <f t="shared" si="0"/>
        <v/>
      </c>
      <c r="AR39" t="str">
        <f>IFERROR(RANK(AQ39,AQ:AQ,1)+COUNTIF($AQ$1:AQ38,AQ39),"")</f>
        <v/>
      </c>
      <c r="AT39" s="117"/>
    </row>
    <row r="40" spans="43:46" ht="17.45" customHeight="1">
      <c r="AQ40" s="38" t="str">
        <f t="shared" si="0"/>
        <v/>
      </c>
      <c r="AR40" t="str">
        <f>IFERROR(RANK(AQ40,AQ:AQ,1)+COUNTIF($AQ$1:AQ39,AQ40),"")</f>
        <v/>
      </c>
      <c r="AT40" s="117"/>
    </row>
    <row r="41" spans="43:46" ht="17.45" customHeight="1">
      <c r="AQ41" s="38" t="str">
        <f t="shared" si="0"/>
        <v/>
      </c>
      <c r="AR41" t="str">
        <f>IFERROR(RANK(AQ41,AQ:AQ,1)+COUNTIF($AQ$1:AQ40,AQ41),"")</f>
        <v/>
      </c>
      <c r="AT41" s="117"/>
    </row>
    <row r="42" spans="43:46" ht="17.45" customHeight="1">
      <c r="AQ42" s="38" t="str">
        <f t="shared" si="0"/>
        <v/>
      </c>
      <c r="AR42" t="str">
        <f>IFERROR(RANK(AQ42,AQ:AQ,1)+COUNTIF($AQ$1:AQ41,AQ42),"")</f>
        <v/>
      </c>
      <c r="AT42" s="117"/>
    </row>
    <row r="43" spans="43:46" ht="17.45" customHeight="1">
      <c r="AQ43" s="38" t="str">
        <f t="shared" si="0"/>
        <v/>
      </c>
      <c r="AR43" t="str">
        <f>IFERROR(RANK(AQ43,AQ:AQ,1)+COUNTIF($AQ$1:AQ42,AQ43),"")</f>
        <v/>
      </c>
      <c r="AT43" s="117"/>
    </row>
  </sheetData>
  <sheetProtection selectLockedCells="1"/>
  <phoneticPr fontId="1" type="noConversion"/>
  <conditionalFormatting sqref="A1:A1048576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 codeName="Sheet4">
    <tabColor theme="7" tint="0.79998168889431442"/>
  </sheetPr>
  <dimension ref="A1:Z38"/>
  <sheetViews>
    <sheetView workbookViewId="0">
      <selection activeCell="H19" sqref="H19"/>
    </sheetView>
  </sheetViews>
  <sheetFormatPr defaultRowHeight="16.899999999999999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6" ht="17.100000000000001" customHeight="1">
      <c r="A1" s="153" t="s">
        <v>172</v>
      </c>
      <c r="B1" s="154" t="s">
        <v>155</v>
      </c>
      <c r="C1" s="155" t="s">
        <v>156</v>
      </c>
      <c r="D1" s="154" t="s">
        <v>157</v>
      </c>
      <c r="E1" s="156" t="s">
        <v>160</v>
      </c>
      <c r="F1" s="157"/>
      <c r="G1" s="158" t="s">
        <v>158</v>
      </c>
      <c r="H1" s="155" t="s">
        <v>159</v>
      </c>
      <c r="I1" s="149"/>
      <c r="J1" s="159" t="s">
        <v>144</v>
      </c>
      <c r="K1" s="160" t="s">
        <v>54</v>
      </c>
      <c r="L1" s="160" t="s">
        <v>145</v>
      </c>
      <c r="M1" s="161" t="s">
        <v>146</v>
      </c>
      <c r="N1" s="154" t="s">
        <v>161</v>
      </c>
      <c r="O1" s="162" t="s">
        <v>162</v>
      </c>
      <c r="P1" s="163" t="s">
        <v>147</v>
      </c>
      <c r="Q1" s="154" t="s">
        <v>163</v>
      </c>
      <c r="R1" s="155" t="s">
        <v>162</v>
      </c>
      <c r="S1" s="154" t="s">
        <v>164</v>
      </c>
      <c r="T1" s="155" t="s">
        <v>165</v>
      </c>
      <c r="U1" s="164" t="s">
        <v>168</v>
      </c>
      <c r="V1" s="163" t="s">
        <v>169</v>
      </c>
      <c r="W1" s="163" t="s">
        <v>170</v>
      </c>
      <c r="X1" s="165" t="s">
        <v>171</v>
      </c>
    </row>
    <row r="2" spans="1:26">
      <c r="A2" s="153" t="s">
        <v>100</v>
      </c>
      <c r="B2" s="166" t="s">
        <v>148</v>
      </c>
      <c r="C2" s="166" t="s">
        <v>149</v>
      </c>
      <c r="D2" s="166" t="s">
        <v>148</v>
      </c>
      <c r="E2" s="166" t="s">
        <v>149</v>
      </c>
      <c r="F2" s="166" t="s">
        <v>148</v>
      </c>
      <c r="G2" s="166" t="s">
        <v>150</v>
      </c>
      <c r="H2" s="166" t="s">
        <v>149</v>
      </c>
      <c r="I2" s="167" t="s">
        <v>151</v>
      </c>
      <c r="J2" s="168"/>
      <c r="K2" s="169" t="s">
        <v>166</v>
      </c>
      <c r="L2" s="170" t="s">
        <v>167</v>
      </c>
      <c r="M2" s="150"/>
      <c r="N2" s="153" t="s">
        <v>148</v>
      </c>
      <c r="O2" s="166" t="s">
        <v>149</v>
      </c>
      <c r="P2" s="171" t="s">
        <v>148</v>
      </c>
      <c r="Q2" s="166" t="s">
        <v>148</v>
      </c>
      <c r="R2" s="166" t="s">
        <v>149</v>
      </c>
      <c r="S2" s="166" t="s">
        <v>148</v>
      </c>
      <c r="T2" s="167" t="s">
        <v>149</v>
      </c>
      <c r="U2" s="172" t="s">
        <v>152</v>
      </c>
      <c r="V2" s="166" t="s">
        <v>52</v>
      </c>
      <c r="W2" s="166" t="s">
        <v>153</v>
      </c>
      <c r="X2" s="173" t="s">
        <v>154</v>
      </c>
    </row>
    <row r="3" spans="1:26">
      <c r="A3" s="174">
        <v>44927</v>
      </c>
      <c r="B3" s="151"/>
      <c r="C3" s="151"/>
      <c r="D3" s="175">
        <v>15</v>
      </c>
      <c r="E3" s="175">
        <v>13</v>
      </c>
      <c r="F3" s="176">
        <v>152110</v>
      </c>
      <c r="G3" s="176">
        <v>16380</v>
      </c>
      <c r="H3" s="176">
        <v>230550</v>
      </c>
      <c r="I3" s="176">
        <v>11026</v>
      </c>
      <c r="J3" s="177">
        <v>348483</v>
      </c>
      <c r="K3" s="177">
        <v>925274</v>
      </c>
      <c r="L3" s="178">
        <v>4736499</v>
      </c>
      <c r="M3" s="178">
        <v>511.9</v>
      </c>
      <c r="N3" s="176">
        <v>1732</v>
      </c>
      <c r="O3" s="151" t="s">
        <v>183</v>
      </c>
      <c r="P3" s="176">
        <v>1688</v>
      </c>
      <c r="Q3" s="175">
        <v>449</v>
      </c>
      <c r="R3" s="151"/>
      <c r="S3" s="176">
        <v>1421</v>
      </c>
      <c r="T3" s="179">
        <v>14238</v>
      </c>
      <c r="U3" s="180">
        <v>5991</v>
      </c>
      <c r="V3" s="176">
        <v>1232</v>
      </c>
      <c r="W3" s="151"/>
      <c r="X3" s="181">
        <v>3892007</v>
      </c>
    </row>
    <row r="4" spans="1:26">
      <c r="A4" s="174">
        <v>44958</v>
      </c>
      <c r="B4" s="151"/>
      <c r="C4" s="151"/>
      <c r="D4" s="175">
        <v>7</v>
      </c>
      <c r="E4" s="175">
        <v>5</v>
      </c>
      <c r="F4" s="176">
        <v>127121</v>
      </c>
      <c r="G4" s="176">
        <v>18091</v>
      </c>
      <c r="H4" s="176">
        <v>75271</v>
      </c>
      <c r="I4" s="176">
        <v>8690</v>
      </c>
      <c r="J4" s="176">
        <v>171435</v>
      </c>
      <c r="K4" s="176">
        <v>362665</v>
      </c>
      <c r="L4" s="182">
        <v>2626714</v>
      </c>
      <c r="M4" s="182">
        <v>724.28</v>
      </c>
      <c r="N4" s="175">
        <v>446</v>
      </c>
      <c r="O4" s="151" t="s">
        <v>183</v>
      </c>
      <c r="P4" s="175">
        <v>420</v>
      </c>
      <c r="Q4" s="175">
        <v>448</v>
      </c>
      <c r="R4" s="151"/>
      <c r="S4" s="176">
        <v>1800</v>
      </c>
      <c r="T4" s="179">
        <v>8154</v>
      </c>
      <c r="U4" s="180">
        <v>4021</v>
      </c>
      <c r="V4" s="175">
        <v>821</v>
      </c>
      <c r="W4" s="151"/>
      <c r="X4" s="181">
        <v>2518197</v>
      </c>
    </row>
    <row r="5" spans="1:26">
      <c r="A5" s="174">
        <v>44986</v>
      </c>
      <c r="B5" s="151"/>
      <c r="C5" s="151"/>
      <c r="D5" s="175">
        <v>20</v>
      </c>
      <c r="E5" s="175">
        <v>12</v>
      </c>
      <c r="F5" s="176">
        <v>175131</v>
      </c>
      <c r="G5" s="176">
        <v>20054</v>
      </c>
      <c r="H5" s="176">
        <v>168379</v>
      </c>
      <c r="I5" s="176">
        <v>7292</v>
      </c>
      <c r="J5" s="176">
        <v>309696</v>
      </c>
      <c r="K5" s="176">
        <v>689249</v>
      </c>
      <c r="L5" s="182">
        <v>4477005</v>
      </c>
      <c r="M5" s="182">
        <v>649.54999999999995</v>
      </c>
      <c r="N5" s="175">
        <v>639</v>
      </c>
      <c r="O5" s="175">
        <v>71</v>
      </c>
      <c r="P5" s="175">
        <v>560</v>
      </c>
      <c r="Q5" s="175">
        <v>419</v>
      </c>
      <c r="R5" s="175">
        <v>638</v>
      </c>
      <c r="S5" s="176">
        <v>3744</v>
      </c>
      <c r="T5" s="179">
        <v>3300</v>
      </c>
      <c r="U5" s="180">
        <v>11971</v>
      </c>
      <c r="V5" s="176">
        <v>2525</v>
      </c>
      <c r="W5" s="151"/>
      <c r="X5" s="181">
        <v>3530907</v>
      </c>
    </row>
    <row r="6" spans="1:26">
      <c r="A6" s="174">
        <v>45017</v>
      </c>
      <c r="B6" s="151"/>
      <c r="C6" s="151"/>
      <c r="D6" s="175">
        <v>11</v>
      </c>
      <c r="E6" s="175">
        <v>8</v>
      </c>
      <c r="F6" s="176">
        <v>165549</v>
      </c>
      <c r="G6" s="176">
        <v>18081</v>
      </c>
      <c r="H6" s="176">
        <v>397401</v>
      </c>
      <c r="I6" s="176">
        <v>4315</v>
      </c>
      <c r="J6" s="176">
        <v>526985</v>
      </c>
      <c r="K6" s="176">
        <v>1464126</v>
      </c>
      <c r="L6" s="182">
        <v>4722657</v>
      </c>
      <c r="M6" s="182">
        <v>322.56</v>
      </c>
      <c r="N6" s="175">
        <v>876</v>
      </c>
      <c r="O6" s="175">
        <v>131</v>
      </c>
      <c r="P6" s="175">
        <v>779</v>
      </c>
      <c r="Q6" s="175">
        <v>363</v>
      </c>
      <c r="R6" s="176">
        <v>1214</v>
      </c>
      <c r="S6" s="176">
        <v>2409</v>
      </c>
      <c r="T6" s="179">
        <v>2809</v>
      </c>
      <c r="U6" s="180">
        <v>7263</v>
      </c>
      <c r="V6" s="176">
        <v>3178</v>
      </c>
      <c r="W6" s="151"/>
      <c r="X6" s="181">
        <v>3801239</v>
      </c>
      <c r="Z6" t="s">
        <v>178</v>
      </c>
    </row>
    <row r="7" spans="1:26">
      <c r="A7" s="174">
        <v>45047</v>
      </c>
      <c r="B7" s="151"/>
      <c r="C7" s="151"/>
      <c r="D7" s="175">
        <v>9</v>
      </c>
      <c r="E7" s="175">
        <v>5</v>
      </c>
      <c r="F7" s="176">
        <v>113184</v>
      </c>
      <c r="G7" s="176">
        <v>25371</v>
      </c>
      <c r="H7" s="176">
        <v>218433</v>
      </c>
      <c r="I7" s="176">
        <v>9331</v>
      </c>
      <c r="J7" s="176">
        <v>307073</v>
      </c>
      <c r="K7" s="176">
        <v>691669</v>
      </c>
      <c r="L7" s="182">
        <v>1764617</v>
      </c>
      <c r="M7" s="182">
        <v>255.12</v>
      </c>
      <c r="N7" s="176">
        <v>3187</v>
      </c>
      <c r="O7" s="176">
        <v>9238</v>
      </c>
      <c r="P7" s="176">
        <v>3126</v>
      </c>
      <c r="Q7" s="175">
        <v>797</v>
      </c>
      <c r="R7" s="176">
        <v>3287</v>
      </c>
      <c r="S7" s="176">
        <v>8237</v>
      </c>
      <c r="T7" s="179">
        <v>20199</v>
      </c>
      <c r="U7" s="180">
        <v>5633</v>
      </c>
      <c r="V7" s="176">
        <v>2384</v>
      </c>
      <c r="W7" s="151"/>
      <c r="X7" s="181">
        <v>1364618</v>
      </c>
    </row>
    <row r="8" spans="1:26">
      <c r="A8" s="174">
        <v>45078</v>
      </c>
      <c r="B8" s="151"/>
      <c r="C8" s="151"/>
      <c r="D8" s="175">
        <v>9</v>
      </c>
      <c r="E8" s="175">
        <v>5</v>
      </c>
      <c r="F8" s="176">
        <v>150402</v>
      </c>
      <c r="G8" s="176">
        <v>55561</v>
      </c>
      <c r="H8" s="176">
        <v>124184</v>
      </c>
      <c r="I8" s="176">
        <v>4694</v>
      </c>
      <c r="J8" s="176">
        <v>209471</v>
      </c>
      <c r="K8" s="176">
        <v>300596</v>
      </c>
      <c r="L8" s="182">
        <v>1264256</v>
      </c>
      <c r="M8" s="182">
        <v>420.58</v>
      </c>
      <c r="N8" s="176">
        <v>30876</v>
      </c>
      <c r="O8" s="175">
        <v>469</v>
      </c>
      <c r="P8" s="176">
        <v>27407</v>
      </c>
      <c r="Q8" s="176">
        <v>7131</v>
      </c>
      <c r="R8" s="176">
        <v>1976</v>
      </c>
      <c r="S8" s="176">
        <v>217271</v>
      </c>
      <c r="T8" s="179">
        <v>2564</v>
      </c>
      <c r="U8" s="180">
        <v>9967</v>
      </c>
      <c r="V8" s="176">
        <v>1079</v>
      </c>
      <c r="W8" s="151"/>
      <c r="X8" s="181">
        <v>653261</v>
      </c>
    </row>
    <row r="9" spans="1:26">
      <c r="A9" s="174">
        <v>45108</v>
      </c>
      <c r="B9" s="151"/>
      <c r="C9" s="151"/>
      <c r="D9" s="175">
        <v>15</v>
      </c>
      <c r="E9" s="175">
        <v>14</v>
      </c>
      <c r="F9" s="176">
        <v>393143</v>
      </c>
      <c r="G9" s="176">
        <v>27247</v>
      </c>
      <c r="H9" s="176">
        <v>337085</v>
      </c>
      <c r="I9" s="176">
        <v>6344</v>
      </c>
      <c r="J9" s="176">
        <v>702604</v>
      </c>
      <c r="K9" s="176">
        <v>1663354</v>
      </c>
      <c r="L9" s="182">
        <v>6317775</v>
      </c>
      <c r="M9" s="182">
        <v>379.82</v>
      </c>
      <c r="N9" s="175">
        <v>355</v>
      </c>
      <c r="O9" s="175">
        <v>648</v>
      </c>
      <c r="P9" s="175">
        <v>276</v>
      </c>
      <c r="Q9" s="175">
        <v>408</v>
      </c>
      <c r="R9" s="176">
        <v>1232</v>
      </c>
      <c r="S9" s="176">
        <v>11561</v>
      </c>
      <c r="T9" s="179">
        <v>3902</v>
      </c>
      <c r="U9" s="180">
        <v>6344</v>
      </c>
      <c r="V9" s="176">
        <v>3524</v>
      </c>
      <c r="W9" s="151"/>
      <c r="X9" s="181">
        <v>3231364</v>
      </c>
    </row>
    <row r="10" spans="1:26">
      <c r="A10" s="174">
        <v>45139</v>
      </c>
      <c r="B10" s="151"/>
      <c r="C10" s="151"/>
      <c r="D10" s="175">
        <v>15</v>
      </c>
      <c r="E10" s="175">
        <v>17</v>
      </c>
      <c r="F10" s="176">
        <v>496814</v>
      </c>
      <c r="G10" s="176">
        <v>30404</v>
      </c>
      <c r="H10" s="176">
        <v>225393</v>
      </c>
      <c r="I10" s="176">
        <v>5858</v>
      </c>
      <c r="J10" s="176">
        <v>684694</v>
      </c>
      <c r="K10" s="176">
        <v>1386900</v>
      </c>
      <c r="L10" s="182">
        <v>6580678</v>
      </c>
      <c r="M10" s="182">
        <v>474.49</v>
      </c>
      <c r="N10" s="175">
        <v>227</v>
      </c>
      <c r="O10" s="175">
        <v>340</v>
      </c>
      <c r="P10" s="175">
        <v>152</v>
      </c>
      <c r="Q10" s="175">
        <v>247</v>
      </c>
      <c r="R10" s="176">
        <v>1012</v>
      </c>
      <c r="S10" s="176">
        <v>8354</v>
      </c>
      <c r="T10" s="179">
        <v>4267</v>
      </c>
      <c r="U10" s="180">
        <v>6112</v>
      </c>
      <c r="V10" s="176">
        <v>5948</v>
      </c>
      <c r="W10" s="151"/>
      <c r="X10" s="152"/>
    </row>
    <row r="11" spans="1:26">
      <c r="A11" s="174">
        <v>45170</v>
      </c>
      <c r="B11" s="151"/>
      <c r="C11" s="151"/>
      <c r="D11" s="175">
        <v>19</v>
      </c>
      <c r="E11" s="175">
        <v>14</v>
      </c>
      <c r="F11" s="176">
        <v>552584</v>
      </c>
      <c r="G11" s="176">
        <v>29159</v>
      </c>
      <c r="H11" s="176">
        <v>1575986</v>
      </c>
      <c r="I11" s="176">
        <v>6384</v>
      </c>
      <c r="J11" s="176">
        <v>422064</v>
      </c>
      <c r="K11" s="176">
        <v>894675</v>
      </c>
      <c r="L11" s="182">
        <v>5549772</v>
      </c>
      <c r="M11" s="182">
        <v>620.30999999999995</v>
      </c>
      <c r="N11" s="175">
        <v>122</v>
      </c>
      <c r="O11" s="175">
        <v>823</v>
      </c>
      <c r="P11" s="175">
        <v>67</v>
      </c>
      <c r="Q11" s="175">
        <v>122</v>
      </c>
      <c r="R11" s="175">
        <v>728</v>
      </c>
      <c r="S11" s="176">
        <v>17455</v>
      </c>
      <c r="T11" s="179">
        <v>7824</v>
      </c>
      <c r="U11" s="180">
        <v>8677</v>
      </c>
      <c r="V11" s="176">
        <v>4125</v>
      </c>
      <c r="W11" s="151"/>
      <c r="X11" s="181">
        <v>2616541</v>
      </c>
    </row>
    <row r="12" spans="1:26">
      <c r="A12" s="174">
        <v>45200</v>
      </c>
      <c r="B12" s="151"/>
      <c r="C12" s="151"/>
      <c r="D12" s="175">
        <v>15</v>
      </c>
      <c r="E12" s="175">
        <v>15</v>
      </c>
      <c r="F12" s="176">
        <v>595990</v>
      </c>
      <c r="G12" s="176">
        <v>24418</v>
      </c>
      <c r="H12" s="176">
        <v>2154607</v>
      </c>
      <c r="I12" s="176">
        <v>5981</v>
      </c>
      <c r="J12" s="176">
        <v>1384096</v>
      </c>
      <c r="K12" s="176">
        <v>2816215</v>
      </c>
      <c r="L12" s="182">
        <v>12093254</v>
      </c>
      <c r="M12" s="182">
        <v>429.42</v>
      </c>
      <c r="N12" s="175">
        <v>152</v>
      </c>
      <c r="O12" s="175">
        <v>525</v>
      </c>
      <c r="P12" s="175">
        <v>92</v>
      </c>
      <c r="Q12" s="175">
        <v>224</v>
      </c>
      <c r="R12" s="175">
        <v>684</v>
      </c>
      <c r="S12" s="176">
        <v>28573</v>
      </c>
      <c r="T12" s="179">
        <v>10581</v>
      </c>
      <c r="U12" s="180">
        <v>13547</v>
      </c>
      <c r="V12" s="176">
        <v>6164</v>
      </c>
      <c r="W12" s="151"/>
      <c r="X12" s="152"/>
    </row>
    <row r="13" spans="1:26">
      <c r="A13" s="174">
        <v>45231</v>
      </c>
      <c r="B13" s="151"/>
      <c r="C13" s="151"/>
      <c r="D13" s="175">
        <v>17</v>
      </c>
      <c r="E13" s="175">
        <v>13</v>
      </c>
      <c r="F13" s="176">
        <v>411639</v>
      </c>
      <c r="G13" s="176">
        <v>30876</v>
      </c>
      <c r="H13" s="176">
        <v>707256</v>
      </c>
      <c r="I13" s="176">
        <v>27424</v>
      </c>
      <c r="J13" s="176">
        <v>1083571</v>
      </c>
      <c r="K13" s="176">
        <v>2189040</v>
      </c>
      <c r="L13" s="182">
        <v>10895902</v>
      </c>
      <c r="M13" s="182">
        <v>497.75</v>
      </c>
      <c r="N13" s="175">
        <v>215</v>
      </c>
      <c r="O13" s="175">
        <v>720</v>
      </c>
      <c r="P13" s="175">
        <v>83</v>
      </c>
      <c r="Q13" s="175">
        <v>526</v>
      </c>
      <c r="R13" s="175">
        <v>537</v>
      </c>
      <c r="S13" s="176">
        <v>21317</v>
      </c>
      <c r="T13" s="179">
        <v>7018</v>
      </c>
      <c r="U13" s="180">
        <v>13458</v>
      </c>
      <c r="V13" s="176">
        <v>5954</v>
      </c>
      <c r="W13" s="151"/>
      <c r="X13" s="152"/>
    </row>
    <row r="14" spans="1:26">
      <c r="A14" s="174">
        <v>45261</v>
      </c>
      <c r="B14" s="151"/>
      <c r="C14" s="151"/>
      <c r="D14" s="175">
        <v>19</v>
      </c>
      <c r="E14" s="175">
        <v>15</v>
      </c>
      <c r="F14" s="176">
        <v>326081</v>
      </c>
      <c r="G14" s="176">
        <v>30752</v>
      </c>
      <c r="H14" s="176">
        <v>389586</v>
      </c>
      <c r="I14" s="176">
        <v>4775</v>
      </c>
      <c r="J14" s="176">
        <v>638448</v>
      </c>
      <c r="K14" s="176">
        <v>1246594</v>
      </c>
      <c r="L14" s="182">
        <v>4828981</v>
      </c>
      <c r="M14" s="182">
        <v>387.37</v>
      </c>
      <c r="N14" s="175">
        <v>77</v>
      </c>
      <c r="O14" s="175">
        <v>205</v>
      </c>
      <c r="P14" s="175">
        <v>43</v>
      </c>
      <c r="Q14" s="175">
        <v>525</v>
      </c>
      <c r="R14" s="175">
        <v>485</v>
      </c>
      <c r="S14" s="176">
        <v>13090</v>
      </c>
      <c r="T14" s="179">
        <v>4002</v>
      </c>
      <c r="U14" s="180">
        <v>10333</v>
      </c>
      <c r="V14" s="176">
        <v>4297</v>
      </c>
      <c r="W14" s="151"/>
      <c r="X14" s="152"/>
    </row>
    <row r="15" spans="1:26">
      <c r="A15" s="174">
        <v>45292</v>
      </c>
      <c r="B15" s="151"/>
      <c r="C15" s="151"/>
      <c r="D15" s="175">
        <v>21</v>
      </c>
      <c r="E15" s="175">
        <v>16</v>
      </c>
      <c r="F15" s="176">
        <v>399275</v>
      </c>
      <c r="G15" s="176">
        <v>39650</v>
      </c>
      <c r="H15" s="176">
        <v>339172</v>
      </c>
      <c r="I15" s="176">
        <v>4578</v>
      </c>
      <c r="J15" s="176">
        <v>760799</v>
      </c>
      <c r="K15" s="176">
        <v>1866632</v>
      </c>
      <c r="L15" s="182">
        <v>7214062</v>
      </c>
      <c r="M15" s="182">
        <v>386.47</v>
      </c>
      <c r="N15" s="175">
        <v>133</v>
      </c>
      <c r="O15" s="175">
        <v>184</v>
      </c>
      <c r="P15" s="175">
        <v>76</v>
      </c>
      <c r="Q15" s="175">
        <v>480</v>
      </c>
      <c r="R15" s="175">
        <v>458</v>
      </c>
      <c r="S15" s="176">
        <v>24530</v>
      </c>
      <c r="T15" s="179">
        <v>2952</v>
      </c>
      <c r="U15" s="180">
        <v>15303</v>
      </c>
      <c r="V15" s="176">
        <v>8588</v>
      </c>
      <c r="W15" s="176">
        <v>51476</v>
      </c>
      <c r="X15" s="152"/>
    </row>
    <row r="16" spans="1:26">
      <c r="A16" s="174">
        <v>45323</v>
      </c>
      <c r="B16" s="151"/>
      <c r="C16" s="151"/>
      <c r="D16" s="175">
        <v>12</v>
      </c>
      <c r="E16" s="175">
        <v>10</v>
      </c>
      <c r="F16" s="176">
        <v>173174</v>
      </c>
      <c r="G16" s="176">
        <v>24813</v>
      </c>
      <c r="H16" s="176">
        <v>157953</v>
      </c>
      <c r="I16" s="176">
        <v>3560</v>
      </c>
      <c r="J16" s="176">
        <v>346719</v>
      </c>
      <c r="K16" s="176">
        <v>659362</v>
      </c>
      <c r="L16" s="182">
        <v>2746107</v>
      </c>
      <c r="M16" s="182">
        <v>416.48</v>
      </c>
      <c r="N16" s="175">
        <v>74</v>
      </c>
      <c r="O16" s="175">
        <v>156</v>
      </c>
      <c r="P16" s="175">
        <v>0</v>
      </c>
      <c r="Q16" s="175">
        <v>480</v>
      </c>
      <c r="R16" s="175">
        <v>429</v>
      </c>
      <c r="S16" s="176">
        <v>12226</v>
      </c>
      <c r="T16" s="179">
        <v>2601</v>
      </c>
      <c r="U16" s="180">
        <v>6807</v>
      </c>
      <c r="V16" s="176">
        <v>3033</v>
      </c>
      <c r="W16" s="176">
        <v>18322</v>
      </c>
      <c r="X16" s="152"/>
    </row>
    <row r="17" spans="1:24">
      <c r="A17" s="174" t="s">
        <v>181</v>
      </c>
      <c r="B17" s="151"/>
      <c r="C17" s="151"/>
      <c r="D17" s="175">
        <v>13</v>
      </c>
      <c r="E17" s="175">
        <v>11</v>
      </c>
      <c r="F17" s="176">
        <v>199557</v>
      </c>
      <c r="G17" s="176">
        <v>23786</v>
      </c>
      <c r="H17" s="176">
        <v>151612</v>
      </c>
      <c r="I17" s="176">
        <v>6192</v>
      </c>
      <c r="J17" s="176">
        <v>297746</v>
      </c>
      <c r="K17" s="176">
        <v>551444</v>
      </c>
      <c r="L17" s="182">
        <v>2288078</v>
      </c>
      <c r="M17" s="182">
        <v>414.92</v>
      </c>
      <c r="N17" s="175">
        <v>100</v>
      </c>
      <c r="O17" s="175">
        <v>1071</v>
      </c>
      <c r="P17" s="175">
        <v>0</v>
      </c>
      <c r="Q17" s="175">
        <v>454</v>
      </c>
      <c r="R17" s="175">
        <v>439</v>
      </c>
      <c r="S17" s="176">
        <v>10145</v>
      </c>
      <c r="T17" s="179">
        <v>4353</v>
      </c>
      <c r="U17" s="180">
        <v>9707</v>
      </c>
      <c r="V17" s="176">
        <v>2306</v>
      </c>
      <c r="W17" s="176">
        <v>11463</v>
      </c>
      <c r="X17" s="183"/>
    </row>
    <row r="18" spans="1:24">
      <c r="A18" s="174" t="s">
        <v>194</v>
      </c>
      <c r="B18" s="151"/>
      <c r="C18" s="151"/>
      <c r="D18" s="175">
        <v>17</v>
      </c>
      <c r="E18" s="175">
        <v>11</v>
      </c>
      <c r="F18" s="176">
        <v>294501</v>
      </c>
      <c r="G18" s="176">
        <v>22573</v>
      </c>
      <c r="H18" s="176">
        <v>126532</v>
      </c>
      <c r="I18" s="176">
        <v>6235</v>
      </c>
      <c r="J18" s="176">
        <v>361659</v>
      </c>
      <c r="K18" s="176">
        <v>729804</v>
      </c>
      <c r="L18" s="182">
        <v>2466425</v>
      </c>
      <c r="M18" s="182">
        <v>337.96</v>
      </c>
      <c r="N18" s="175">
        <v>340</v>
      </c>
      <c r="O18" s="175">
        <v>353</v>
      </c>
      <c r="P18" s="175">
        <v>0</v>
      </c>
      <c r="Q18" s="175">
        <v>436</v>
      </c>
      <c r="R18" s="175">
        <v>468</v>
      </c>
      <c r="S18" s="176">
        <v>15870</v>
      </c>
      <c r="T18" s="179">
        <v>3501</v>
      </c>
      <c r="U18" s="180">
        <v>8585</v>
      </c>
      <c r="V18" s="176">
        <v>5606</v>
      </c>
      <c r="W18" s="176">
        <v>19459</v>
      </c>
      <c r="X18" s="183"/>
    </row>
    <row r="19" spans="1:24">
      <c r="A19" s="174" t="s">
        <v>256</v>
      </c>
      <c r="B19" s="151"/>
      <c r="C19" s="151"/>
      <c r="D19" s="175">
        <v>15</v>
      </c>
      <c r="E19" s="175">
        <v>11</v>
      </c>
      <c r="F19" s="176">
        <v>303924</v>
      </c>
      <c r="G19" s="176">
        <v>38896</v>
      </c>
      <c r="H19" s="176">
        <v>95424</v>
      </c>
      <c r="I19" s="176">
        <v>6613</v>
      </c>
      <c r="J19" s="176">
        <v>276069</v>
      </c>
      <c r="K19" s="176">
        <v>561953</v>
      </c>
      <c r="L19" s="182">
        <v>2516381</v>
      </c>
      <c r="M19" s="182">
        <v>447.79</v>
      </c>
      <c r="N19" s="175">
        <v>419</v>
      </c>
      <c r="O19" s="175">
        <v>753</v>
      </c>
      <c r="P19" s="175">
        <v>0</v>
      </c>
      <c r="Q19" s="175">
        <v>465</v>
      </c>
      <c r="R19" s="175">
        <v>367</v>
      </c>
      <c r="S19" s="176">
        <v>14845</v>
      </c>
      <c r="T19" s="179">
        <v>4021</v>
      </c>
      <c r="U19" s="180">
        <v>12390</v>
      </c>
      <c r="V19" s="176">
        <v>3775</v>
      </c>
      <c r="W19" s="176">
        <v>20686</v>
      </c>
      <c r="X19" s="135"/>
    </row>
    <row r="20" spans="1:24">
      <c r="A20" s="134"/>
      <c r="B20" s="132"/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3"/>
      <c r="U20" s="134"/>
      <c r="V20" s="132"/>
      <c r="W20" s="132"/>
      <c r="X20" s="135"/>
    </row>
    <row r="21" spans="1:24">
      <c r="A21" s="134"/>
      <c r="B21" s="132"/>
      <c r="C21" s="132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3"/>
      <c r="U21" s="134"/>
      <c r="V21" s="132"/>
      <c r="W21" s="132"/>
      <c r="X21" s="135"/>
    </row>
    <row r="22" spans="1:24">
      <c r="A22" s="134"/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3"/>
      <c r="U22" s="134"/>
      <c r="V22" s="132"/>
      <c r="W22" s="132"/>
      <c r="X22" s="135"/>
    </row>
    <row r="23" spans="1:24">
      <c r="A23" s="134"/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3"/>
      <c r="U23" s="134"/>
      <c r="V23" s="132"/>
      <c r="W23" s="132"/>
      <c r="X23" s="135"/>
    </row>
    <row r="24" spans="1:24">
      <c r="A24" s="134"/>
      <c r="B24" s="132"/>
      <c r="C24" s="132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3"/>
      <c r="U24" s="134"/>
      <c r="V24" s="132"/>
      <c r="W24" s="132"/>
      <c r="X24" s="135"/>
    </row>
    <row r="25" spans="1:24">
      <c r="A25" s="134"/>
      <c r="B25" s="132"/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3"/>
      <c r="U25" s="134"/>
      <c r="V25" s="132"/>
      <c r="W25" s="132"/>
      <c r="X25" s="135"/>
    </row>
    <row r="26" spans="1:24">
      <c r="A26" s="134"/>
      <c r="B26" s="132"/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3"/>
      <c r="U26" s="134"/>
      <c r="V26" s="132"/>
      <c r="W26" s="132"/>
      <c r="X26" s="135"/>
    </row>
    <row r="27" spans="1:24">
      <c r="A27" s="134"/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3"/>
      <c r="U27" s="134"/>
      <c r="V27" s="132"/>
      <c r="W27" s="132"/>
      <c r="X27" s="135"/>
    </row>
    <row r="28" spans="1:24">
      <c r="A28" s="134"/>
      <c r="B28" s="132"/>
      <c r="C28" s="132"/>
      <c r="D28" s="132"/>
      <c r="E28" s="13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3"/>
      <c r="U28" s="134"/>
      <c r="V28" s="132"/>
      <c r="W28" s="132"/>
      <c r="X28" s="135"/>
    </row>
    <row r="29" spans="1:24">
      <c r="A29" s="134"/>
      <c r="B29" s="132"/>
      <c r="C29" s="132"/>
      <c r="D29" s="132"/>
      <c r="E29" s="13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3"/>
      <c r="U29" s="134"/>
      <c r="V29" s="132"/>
      <c r="W29" s="132"/>
      <c r="X29" s="135"/>
    </row>
    <row r="30" spans="1:24">
      <c r="A30" s="134"/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3"/>
      <c r="U30" s="134"/>
      <c r="V30" s="132"/>
      <c r="W30" s="132"/>
      <c r="X30" s="135"/>
    </row>
    <row r="31" spans="1:24">
      <c r="A31" s="134"/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3"/>
      <c r="U31" s="134"/>
      <c r="V31" s="132"/>
      <c r="W31" s="132"/>
      <c r="X31" s="135"/>
    </row>
    <row r="32" spans="1:24">
      <c r="A32" s="134"/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3"/>
      <c r="U32" s="134"/>
      <c r="V32" s="132"/>
      <c r="W32" s="132"/>
      <c r="X32" s="135"/>
    </row>
    <row r="33" spans="1:24">
      <c r="A33" s="134"/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3"/>
      <c r="U33" s="134"/>
      <c r="V33" s="132"/>
      <c r="W33" s="132"/>
      <c r="X33" s="135"/>
    </row>
    <row r="34" spans="1:24">
      <c r="A34" s="134"/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3"/>
      <c r="U34" s="134"/>
      <c r="V34" s="132"/>
      <c r="W34" s="132"/>
      <c r="X34" s="135"/>
    </row>
    <row r="35" spans="1:24">
      <c r="A35" s="134"/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3"/>
      <c r="U35" s="134"/>
      <c r="V35" s="132"/>
      <c r="W35" s="132"/>
      <c r="X35" s="135"/>
    </row>
    <row r="36" spans="1:24">
      <c r="A36" s="134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3"/>
      <c r="U36" s="134"/>
      <c r="V36" s="132"/>
      <c r="W36" s="132"/>
      <c r="X36" s="135"/>
    </row>
    <row r="37" spans="1:24">
      <c r="A37" s="134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3"/>
      <c r="U37" s="134"/>
      <c r="V37" s="132"/>
      <c r="W37" s="132"/>
      <c r="X37" s="135"/>
    </row>
    <row r="38" spans="1:24" ht="17.25" thickBot="1">
      <c r="A38" s="136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9"/>
      <c r="U38" s="136"/>
      <c r="V38" s="137"/>
      <c r="W38" s="137"/>
      <c r="X38" s="138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topLeftCell="F10" zoomScale="70" zoomScaleNormal="70" workbookViewId="0">
      <selection activeCell="U11" sqref="U11:U16"/>
    </sheetView>
  </sheetViews>
  <sheetFormatPr defaultColWidth="8.75" defaultRowHeight="16.899999999999999"/>
  <cols>
    <col min="1" max="1" width="18.5" style="101" customWidth="1"/>
    <col min="2" max="5" width="18.5" style="63" customWidth="1"/>
    <col min="6" max="7" width="8.75" style="63"/>
    <col min="8" max="8" width="19.5" style="63" bestFit="1" customWidth="1"/>
    <col min="9" max="9" width="19.5" style="63" customWidth="1"/>
    <col min="10" max="11" width="8.75" style="63"/>
    <col min="12" max="15" width="12.75" style="63" customWidth="1"/>
    <col min="16" max="18" width="8.75" style="63"/>
    <col min="19" max="19" width="15.875" style="63" bestFit="1" customWidth="1"/>
    <col min="20" max="22" width="8.75" style="63"/>
    <col min="23" max="24" width="8.875" style="63" bestFit="1" customWidth="1"/>
    <col min="25" max="25" width="10.875" style="63" customWidth="1"/>
    <col min="26" max="16384" width="8.75" style="63"/>
  </cols>
  <sheetData>
    <row r="1" spans="1:25" ht="17.25" thickBot="1">
      <c r="A1" s="99" t="s">
        <v>62</v>
      </c>
      <c r="B1" s="62" t="s">
        <v>63</v>
      </c>
      <c r="C1" s="62" t="s">
        <v>89</v>
      </c>
      <c r="D1" s="62" t="s">
        <v>64</v>
      </c>
      <c r="E1" s="62" t="s">
        <v>65</v>
      </c>
      <c r="F1" s="62" t="s">
        <v>56</v>
      </c>
      <c r="G1" s="62" t="s">
        <v>66</v>
      </c>
      <c r="H1" s="62" t="s">
        <v>173</v>
      </c>
      <c r="I1" s="62" t="s">
        <v>176</v>
      </c>
    </row>
    <row r="2" spans="1:25" ht="17.25" thickBot="1">
      <c r="A2" s="100">
        <v>45078</v>
      </c>
      <c r="B2" s="64">
        <v>330054</v>
      </c>
      <c r="C2" s="64">
        <v>30876</v>
      </c>
      <c r="D2" s="64">
        <v>9</v>
      </c>
      <c r="E2" s="64">
        <v>161213</v>
      </c>
      <c r="F2" s="64">
        <v>16020</v>
      </c>
      <c r="G2" s="65">
        <v>9.9371638763623288E-2</v>
      </c>
      <c r="H2" s="64" t="s">
        <v>174</v>
      </c>
      <c r="I2" s="145" t="s">
        <v>174</v>
      </c>
      <c r="K2" s="213" t="s">
        <v>99</v>
      </c>
      <c r="L2" s="214"/>
      <c r="M2" s="214"/>
      <c r="N2" s="214"/>
      <c r="O2" s="214"/>
      <c r="P2" s="214"/>
      <c r="Q2" s="214"/>
      <c r="R2" s="214"/>
      <c r="S2" s="215"/>
      <c r="T2" s="118" t="s">
        <v>126</v>
      </c>
    </row>
    <row r="3" spans="1:25">
      <c r="A3" s="100">
        <v>45108</v>
      </c>
      <c r="B3" s="64">
        <v>329242</v>
      </c>
      <c r="C3" s="64">
        <v>355</v>
      </c>
      <c r="D3" s="64">
        <v>15</v>
      </c>
      <c r="E3" s="64">
        <v>551335</v>
      </c>
      <c r="F3" s="64">
        <v>12862</v>
      </c>
      <c r="G3" s="65">
        <v>2.3328829114785021E-2</v>
      </c>
      <c r="H3" s="64" t="s">
        <v>174</v>
      </c>
      <c r="I3" s="145" t="s">
        <v>174</v>
      </c>
      <c r="K3" s="141" t="s">
        <v>96</v>
      </c>
      <c r="L3" s="142" t="s">
        <v>97</v>
      </c>
      <c r="M3" s="142" t="s">
        <v>98</v>
      </c>
      <c r="N3" s="142" t="s">
        <v>64</v>
      </c>
      <c r="O3" s="142" t="s">
        <v>65</v>
      </c>
      <c r="P3" s="142" t="s">
        <v>56</v>
      </c>
      <c r="Q3" s="142" t="s">
        <v>61</v>
      </c>
      <c r="R3" s="142" t="s">
        <v>141</v>
      </c>
      <c r="S3" s="143" t="s">
        <v>175</v>
      </c>
      <c r="T3" s="111"/>
    </row>
    <row r="4" spans="1:25" ht="17.25" thickBot="1">
      <c r="A4" s="100" t="s">
        <v>115</v>
      </c>
      <c r="B4" s="64">
        <v>328540</v>
      </c>
      <c r="C4" s="64">
        <v>152</v>
      </c>
      <c r="D4" s="64">
        <v>19</v>
      </c>
      <c r="E4" s="64">
        <v>496814</v>
      </c>
      <c r="F4" s="64">
        <v>8289</v>
      </c>
      <c r="G4" s="65">
        <v>1.668431243886042E-2</v>
      </c>
      <c r="H4" s="64" t="s">
        <v>174</v>
      </c>
      <c r="I4" s="145" t="s">
        <v>174</v>
      </c>
      <c r="K4" s="98">
        <f>일일data!$A$4</f>
        <v>45413</v>
      </c>
      <c r="L4" s="68">
        <f>VLOOKUP(EOMONTH(일일data!$A$4,0),일일data!$A:$Y,13,FALSE)</f>
        <v>323315</v>
      </c>
      <c r="M4" s="68" cm="1">
        <f t="array" ref="M4">INDEX('구글시트 data'!P:P,COUNTA('구글시트 data'!P:P))</f>
        <v>0</v>
      </c>
      <c r="N4" s="68">
        <f>COUNTA('FB 콘텐츠 data'!A:A)-1</f>
        <v>15</v>
      </c>
      <c r="O4" s="68" cm="1">
        <f t="array" ref="O4">INDEX('구글시트 data'!F:F,COUNTA('구글시트 data'!F:F)+1)</f>
        <v>303924</v>
      </c>
      <c r="P4" s="68" cm="1">
        <f t="array" ref="P4">INDEX('구글시트 data'!U:U,COUNTA('구글시트 data'!U:U))</f>
        <v>12390</v>
      </c>
      <c r="Q4" s="144">
        <f>P4/O4</f>
        <v>4.0766770640028427E-2</v>
      </c>
      <c r="R4" s="68">
        <f ca="1">SUM(
  INDIRECT("'FB 콘텐츠 data'!R"&amp;1&amp;"C"&amp;MATCH($R$3,'FB 콘텐츠 data'!$A$1:$AP$1,0),FALSE):
  INDIRECT("'FB 콘텐츠 data'!R"&amp;100&amp;"C"&amp;MATCH($R$3,'FB 콘텐츠 data'!$A$1:$AP$1,0),FALSE)
)</f>
        <v>357336</v>
      </c>
      <c r="S4" s="146">
        <f ca="1">R4/N4</f>
        <v>23822.400000000001</v>
      </c>
      <c r="T4" s="111"/>
    </row>
    <row r="5" spans="1:25">
      <c r="A5" s="100" t="s">
        <v>116</v>
      </c>
      <c r="B5" s="64">
        <v>327807</v>
      </c>
      <c r="C5" s="64">
        <v>67</v>
      </c>
      <c r="D5" s="64">
        <v>16</v>
      </c>
      <c r="E5" s="64">
        <v>552584</v>
      </c>
      <c r="F5" s="64">
        <v>8677</v>
      </c>
      <c r="G5" s="65">
        <v>1.5702590013464017E-2</v>
      </c>
      <c r="H5" s="64" t="s">
        <v>174</v>
      </c>
      <c r="I5" s="145" t="s">
        <v>174</v>
      </c>
      <c r="T5" s="111"/>
    </row>
    <row r="6" spans="1:25">
      <c r="A6" s="100" t="s">
        <v>114</v>
      </c>
      <c r="B6" s="64">
        <v>327316</v>
      </c>
      <c r="C6" s="64">
        <v>92</v>
      </c>
      <c r="D6" s="64">
        <v>17</v>
      </c>
      <c r="E6" s="64">
        <v>595990</v>
      </c>
      <c r="F6" s="64">
        <v>13547</v>
      </c>
      <c r="G6" s="65">
        <v>2.2730247151797851E-2</v>
      </c>
      <c r="H6" s="64" t="s">
        <v>174</v>
      </c>
      <c r="I6" s="145" t="s">
        <v>174</v>
      </c>
      <c r="L6" s="211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211"/>
      <c r="N6" s="211"/>
      <c r="O6" s="211"/>
      <c r="T6" s="111"/>
      <c r="W6" s="111"/>
    </row>
    <row r="7" spans="1:25">
      <c r="A7" s="100">
        <v>45231</v>
      </c>
      <c r="B7" s="64">
        <v>326663</v>
      </c>
      <c r="C7" s="64">
        <v>83</v>
      </c>
      <c r="D7" s="64">
        <v>14</v>
      </c>
      <c r="E7" s="64">
        <v>411639</v>
      </c>
      <c r="F7" s="64">
        <v>13458</v>
      </c>
      <c r="G7" s="65">
        <v>3.2693695203807223E-2</v>
      </c>
      <c r="H7" s="64" t="s">
        <v>174</v>
      </c>
      <c r="I7" s="145" t="s">
        <v>174</v>
      </c>
      <c r="T7" s="111"/>
    </row>
    <row r="8" spans="1:25">
      <c r="A8" s="100">
        <v>45261</v>
      </c>
      <c r="B8" s="64">
        <v>325870</v>
      </c>
      <c r="C8" s="64">
        <v>43</v>
      </c>
      <c r="D8" s="64">
        <v>19</v>
      </c>
      <c r="E8" s="64">
        <v>326081</v>
      </c>
      <c r="F8" s="64">
        <v>10333</v>
      </c>
      <c r="G8" s="65">
        <v>3.1688445508937964E-2</v>
      </c>
      <c r="H8" s="64" t="s">
        <v>174</v>
      </c>
      <c r="I8" s="145" t="s">
        <v>174</v>
      </c>
      <c r="T8" s="111"/>
      <c r="U8" s="112" t="str" cm="1">
        <f t="array" ref="U8">"• "&amp;MONTH(INDEX(A:A,COUNTA(A:A)))+1&amp;"월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6월 1일 기준 팬 수 323,315명으로 전월 대비 0.08% 감소</v>
      </c>
    </row>
    <row r="9" spans="1:25">
      <c r="A9" s="100">
        <v>45292</v>
      </c>
      <c r="B9" s="64">
        <v>325213</v>
      </c>
      <c r="C9" s="64">
        <v>76</v>
      </c>
      <c r="D9" s="64">
        <v>22</v>
      </c>
      <c r="E9" s="64">
        <v>399275</v>
      </c>
      <c r="F9" s="64">
        <v>15303</v>
      </c>
      <c r="G9" s="65">
        <v>3.8326967628827251E-2</v>
      </c>
      <c r="H9" s="64">
        <v>623243</v>
      </c>
      <c r="I9" s="145">
        <v>28329.227272727272</v>
      </c>
      <c r="L9" s="212" t="s">
        <v>67</v>
      </c>
      <c r="M9" s="212"/>
      <c r="N9" s="212"/>
      <c r="O9" s="212"/>
      <c r="T9" s="111"/>
      <c r="U9" t="str" cm="1">
        <f t="array" ref="U9">"-   "&amp;MONTH(INDEX(A:A,COUNTA(A:A)))&amp;"월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5월 한 달간 페이지 방문 14,845 확보, 전월 대비 6.46% 감소</v>
      </c>
    </row>
    <row r="10" spans="1:25" ht="20.45" customHeight="1">
      <c r="A10" s="100">
        <v>45323</v>
      </c>
      <c r="B10" s="64">
        <v>324457</v>
      </c>
      <c r="C10" s="64">
        <v>0</v>
      </c>
      <c r="D10" s="64">
        <v>12</v>
      </c>
      <c r="E10" s="64">
        <v>173174</v>
      </c>
      <c r="F10" s="64">
        <v>6807</v>
      </c>
      <c r="G10" s="65">
        <v>3.9307286313187889E-2</v>
      </c>
      <c r="H10" s="64">
        <v>228524</v>
      </c>
      <c r="I10" s="145">
        <v>19043.666666666668</v>
      </c>
      <c r="L10" s="71" t="s">
        <v>127</v>
      </c>
      <c r="M10" s="107">
        <f>INDEX(A:A,COUNTA(B:B)-1)</f>
        <v>45383</v>
      </c>
      <c r="N10" s="107">
        <f>INDEX(A:A,COUNTA(B:B))</f>
        <v>45413</v>
      </c>
      <c r="O10" s="70" t="s">
        <v>72</v>
      </c>
      <c r="T10" s="111"/>
      <c r="U10" s="63" t="e" cm="1">
        <f t="array" ref="U10">"-   "&amp;MONTH(INDEX(A:A,COUNTA(A:A)))&amp;"월 한 달간 신규 좋아요 "&amp;TEXT(INDEX(C:C,COUNTA(C:C)),"#,##0")&amp;" 확보, 전월 대비 "&amp;IF(INDEX(C:C,COUNTA(C:C))&gt;INDEX(C:C,COUNTA(C:C)-1),TEXT(ABS((INDEX(C:C,COUNTA(C:C))-INDEX(C:C,COUNTA(C:C)-1))/INDEX(C:C,COUNTA(C:C)-1)),"0.00%")&amp;" 증가",TEXT(ABS((INDEX(C:C,COUNTA(C:C))-INDEX(C:C,COUNTA(C:C)-1))/INDEX(C:C,COUNTA(C:C)-1)),"0.00%")&amp;" 감소")</f>
        <v>#DIV/0!</v>
      </c>
    </row>
    <row r="11" spans="1:25">
      <c r="A11" s="100">
        <v>45352</v>
      </c>
      <c r="B11" s="64">
        <v>323919</v>
      </c>
      <c r="C11" s="64">
        <v>0</v>
      </c>
      <c r="D11" s="64">
        <v>13</v>
      </c>
      <c r="E11" s="64">
        <v>199557</v>
      </c>
      <c r="F11" s="64">
        <v>9707</v>
      </c>
      <c r="G11" s="65">
        <v>4.8642743677245096E-2</v>
      </c>
      <c r="H11" s="64">
        <v>235898</v>
      </c>
      <c r="I11" s="145">
        <v>18146</v>
      </c>
      <c r="L11" s="71" t="s">
        <v>16</v>
      </c>
      <c r="M11" s="72">
        <f>INDEX(B:B,COUNTA(B:B)-1)</f>
        <v>323559</v>
      </c>
      <c r="N11" s="72">
        <f>INDEX(B:B,COUNTA(B:B))</f>
        <v>323315</v>
      </c>
      <c r="O11" s="72" t="str">
        <f>IF(M11&gt;N11,"▼ "&amp;TEXT(ABS((N11-M11)/M11),"0.00%"),"▲ "&amp;TEXT(ABS((N11-M11)/M11),"0.00%"))</f>
        <v>▼ 0.08%</v>
      </c>
      <c r="S11" s="66"/>
      <c r="T11" s="111"/>
      <c r="U11" s="111" t="str" cm="1">
        <f t="array" ref="U11">"• "&amp;MONTH(INDEX(A:A,COUNTA(A:A)))&amp;"월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5월 콘텐츠 도달 303,924 확보, 전월 대비 3.20% 증가</v>
      </c>
    </row>
    <row r="12" spans="1:25">
      <c r="A12" s="100">
        <v>45383</v>
      </c>
      <c r="B12" s="64">
        <v>323559</v>
      </c>
      <c r="C12" s="64">
        <v>0</v>
      </c>
      <c r="D12" s="64">
        <v>17</v>
      </c>
      <c r="E12" s="64">
        <v>294501</v>
      </c>
      <c r="F12" s="64">
        <v>8585</v>
      </c>
      <c r="G12" s="65">
        <v>2.9151004580629608E-2</v>
      </c>
      <c r="H12" s="64">
        <v>359972</v>
      </c>
      <c r="I12" s="145">
        <v>21174.823529411766</v>
      </c>
      <c r="L12" s="71" t="s">
        <v>90</v>
      </c>
      <c r="M12" s="72">
        <f>INDEX(C:C,COUNTA(C:C)-1)</f>
        <v>0</v>
      </c>
      <c r="N12" s="72">
        <f>INDEX(C:C,COUNTA(C:C))</f>
        <v>0</v>
      </c>
      <c r="O12" s="72" t="str">
        <f>IF(M12=N12,"-",IF(M12&gt;N12,"▼ "&amp;TEXT(ABS((N12-M12)/M12),"0.00%"),"▲ "&amp;TEXT(ABS((N12-M12)/M12),"0.00%")))</f>
        <v>-</v>
      </c>
      <c r="S12" s="66"/>
      <c r="T12" s="111"/>
      <c r="U12" s="63" t="str" cm="1">
        <f t="array" ref="U12">"-   "&amp;MONTH(INDEX(A:A,COUNTA(A:A)))&amp;"월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5월 콘텐츠 오가닉 도달 38,896로 전월 대비 72.31% 증가</v>
      </c>
    </row>
    <row r="13" spans="1:25">
      <c r="A13" s="100">
        <v>45413</v>
      </c>
      <c r="B13" s="64">
        <v>323315</v>
      </c>
      <c r="C13" s="64">
        <v>0</v>
      </c>
      <c r="D13" s="64">
        <v>15</v>
      </c>
      <c r="E13" s="64">
        <v>303924</v>
      </c>
      <c r="F13" s="64">
        <v>12390</v>
      </c>
      <c r="G13" s="65">
        <v>4.0766770640028427E-2</v>
      </c>
      <c r="H13" s="64">
        <v>357336</v>
      </c>
      <c r="I13" s="145">
        <v>23822.400000000001</v>
      </c>
      <c r="L13" s="71" t="s">
        <v>17</v>
      </c>
      <c r="M13" s="73">
        <f>INDEX(D:D,COUNTA(D:D)-1)</f>
        <v>17</v>
      </c>
      <c r="N13" s="72">
        <f>INDEX(D:D,COUNTA(D:D))</f>
        <v>15</v>
      </c>
      <c r="O13" s="72" t="str">
        <f t="shared" ref="O13:O15" si="0">IF(M13&gt;N13,"▼ "&amp;TEXT(ABS((N13-M13)/M13),"0.00%"),"▲ "&amp;TEXT(ABS((N13-M13)/M13),"0.00%"))</f>
        <v>▼ 11.76%</v>
      </c>
      <c r="S13" s="66"/>
      <c r="T13" s="111"/>
      <c r="U13" s="63" t="str" cm="1">
        <f t="array" ref="U13">"-   "&amp;MONTH(INDEX(A:A,COUNTA(A:A)))&amp;"월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5월 발행 콘텐츠 도달 357,336로 전월 대비 0.73% 감소</v>
      </c>
    </row>
    <row r="14" spans="1:25">
      <c r="A14" s="100"/>
      <c r="B14" s="64"/>
      <c r="C14" s="64"/>
      <c r="D14" s="64"/>
      <c r="E14" s="64"/>
      <c r="F14" s="64"/>
      <c r="G14" s="65"/>
      <c r="H14" s="64"/>
      <c r="I14" s="145"/>
      <c r="L14" s="71" t="s">
        <v>18</v>
      </c>
      <c r="M14" s="72">
        <f>INDEX(E:E,COUNTA(D:D)-1)</f>
        <v>294501</v>
      </c>
      <c r="N14" s="72">
        <f>INDEX(E:E,COUNTA(D:D))</f>
        <v>303924</v>
      </c>
      <c r="O14" s="72" t="str">
        <f t="shared" si="0"/>
        <v>▲ 3.20%</v>
      </c>
      <c r="S14" s="66"/>
      <c r="T14" s="111"/>
      <c r="U14" s="63" t="str" cm="1">
        <f t="array" ref="U14">"-   "&amp;MONTH(INDEX(A:A,COUNTA(A:A)))&amp;"월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5월 발행 콘텐츠 평균 도달 23,822로 전월 대비 12.50% 증가</v>
      </c>
      <c r="X14" s="140"/>
      <c r="Y14" s="119"/>
    </row>
    <row r="15" spans="1:25">
      <c r="A15" s="100"/>
      <c r="B15" s="64"/>
      <c r="C15" s="64"/>
      <c r="D15" s="64"/>
      <c r="E15" s="64"/>
      <c r="F15" s="64"/>
      <c r="G15" s="65"/>
      <c r="H15" s="64"/>
      <c r="I15" s="145"/>
      <c r="L15" s="71" t="s">
        <v>60</v>
      </c>
      <c r="M15" s="72">
        <f>INDEX(F:F,COUNTA(D:D)-1)</f>
        <v>8585</v>
      </c>
      <c r="N15" s="72">
        <f>INDEX(F:F,COUNTA(D:D))</f>
        <v>12390</v>
      </c>
      <c r="O15" s="72" t="str">
        <f t="shared" si="0"/>
        <v>▲ 44.32%</v>
      </c>
      <c r="S15" s="66"/>
      <c r="T15" s="111"/>
      <c r="U15" s="111" t="str" cm="1">
        <f t="array" ref="U15">"• "&amp;MONTH(INDEX(A:A,COUNTA(A:A)))&amp;"월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5월 한 달간 콘텐츠 인터랙션 12,390 확보, 전월 대비 44.32% 증가</v>
      </c>
    </row>
    <row r="16" spans="1:25">
      <c r="A16" s="100"/>
      <c r="B16" s="64"/>
      <c r="C16" s="64"/>
      <c r="D16" s="64"/>
      <c r="E16" s="64"/>
      <c r="F16" s="64"/>
      <c r="G16" s="65"/>
      <c r="H16" s="64"/>
      <c r="I16" s="145"/>
      <c r="L16" s="71" t="s">
        <v>61</v>
      </c>
      <c r="M16" s="74">
        <f>INDEX(G:G,COUNTA(D:D)-1)</f>
        <v>2.9151004580629608E-2</v>
      </c>
      <c r="N16" s="74">
        <f>INDEX(G:G,COUNTA(D:D))</f>
        <v>4.0766770640028427E-2</v>
      </c>
      <c r="O16" s="72" t="str">
        <f>IF(M16&gt;N16,"▼ "&amp;TEXT(100*ABS(N16-M16),"0.00")&amp;"%p","▲ "&amp;TEXT(100*ABS(N16-M16),"0.00")&amp;"%p")</f>
        <v>▲ 1.16%p</v>
      </c>
      <c r="S16" s="66"/>
      <c r="T16" s="111"/>
      <c r="U16" s="63" t="str" cm="1">
        <f t="array" ref="U16">"-   링크 클릭 "&amp;TEXT(INDEX('구글시트 data'!V:V,COUNTA('구글시트 data'!V:V)),"#,###")&amp;"회 확보"</f>
        <v>-   링크 클릭 3,775회 확보</v>
      </c>
    </row>
    <row r="17" spans="1:23">
      <c r="A17" s="100"/>
      <c r="B17" s="64"/>
      <c r="C17" s="64"/>
      <c r="D17" s="64"/>
      <c r="E17" s="64"/>
      <c r="F17" s="64"/>
      <c r="G17" s="65"/>
      <c r="H17" s="64"/>
      <c r="I17" s="145"/>
      <c r="L17" s="67"/>
      <c r="T17" s="111"/>
    </row>
    <row r="18" spans="1:23">
      <c r="A18" s="100"/>
      <c r="B18" s="64"/>
      <c r="C18" s="64"/>
      <c r="D18" s="64"/>
      <c r="E18" s="64"/>
      <c r="F18" s="64"/>
      <c r="G18" s="65"/>
      <c r="H18" s="64"/>
      <c r="I18" s="145"/>
      <c r="T18" s="111"/>
    </row>
    <row r="19" spans="1:23">
      <c r="A19" s="100"/>
      <c r="B19" s="64"/>
      <c r="C19" s="64"/>
      <c r="D19" s="64"/>
      <c r="E19" s="64"/>
      <c r="F19" s="64"/>
      <c r="G19" s="65"/>
      <c r="H19" s="64"/>
      <c r="I19" s="145"/>
      <c r="T19" s="111"/>
    </row>
    <row r="20" spans="1:23">
      <c r="A20" s="100"/>
      <c r="B20" s="64"/>
      <c r="C20" s="64"/>
      <c r="D20" s="64"/>
      <c r="E20" s="64"/>
      <c r="F20" s="64"/>
      <c r="G20" s="65"/>
      <c r="H20" s="64"/>
      <c r="I20" s="145"/>
      <c r="T20" s="111"/>
    </row>
    <row r="21" spans="1:23">
      <c r="A21" s="100"/>
      <c r="B21" s="64"/>
      <c r="C21" s="64"/>
      <c r="D21" s="64"/>
      <c r="E21" s="64"/>
      <c r="F21" s="64"/>
      <c r="G21" s="65"/>
      <c r="H21" s="64"/>
      <c r="I21" s="145"/>
      <c r="T21" s="111"/>
    </row>
    <row r="22" spans="1:23">
      <c r="A22" s="100"/>
      <c r="B22" s="64"/>
      <c r="C22" s="64"/>
      <c r="D22" s="64"/>
      <c r="E22" s="64"/>
      <c r="F22" s="64"/>
      <c r="G22" s="65"/>
      <c r="H22" s="64"/>
      <c r="I22" s="145"/>
      <c r="T22" s="111"/>
    </row>
    <row r="23" spans="1:23">
      <c r="A23" s="100"/>
      <c r="B23" s="64"/>
      <c r="C23" s="64"/>
      <c r="D23" s="64"/>
      <c r="E23" s="64"/>
      <c r="F23" s="64"/>
      <c r="G23" s="65"/>
      <c r="H23" s="64"/>
      <c r="I23" s="145"/>
      <c r="T23" s="111"/>
    </row>
    <row r="24" spans="1:23">
      <c r="A24" s="100"/>
      <c r="B24" s="64"/>
      <c r="C24" s="64"/>
      <c r="D24" s="64"/>
      <c r="E24" s="64"/>
      <c r="F24" s="64"/>
      <c r="G24" s="65"/>
      <c r="H24" s="64"/>
      <c r="I24" s="145"/>
      <c r="T24" s="111"/>
      <c r="W24" s="147"/>
    </row>
    <row r="25" spans="1:23">
      <c r="A25" s="100"/>
      <c r="B25" s="64"/>
      <c r="C25" s="64"/>
      <c r="D25" s="64"/>
      <c r="E25" s="64"/>
      <c r="F25" s="64"/>
      <c r="G25" s="65"/>
      <c r="H25" s="64"/>
      <c r="I25" s="145"/>
      <c r="T25" s="111"/>
    </row>
    <row r="26" spans="1:23">
      <c r="A26" s="100"/>
      <c r="B26" s="64"/>
      <c r="C26" s="64"/>
      <c r="D26" s="64"/>
      <c r="E26" s="64"/>
      <c r="F26" s="64"/>
      <c r="G26" s="65"/>
      <c r="H26" s="64"/>
      <c r="I26" s="145"/>
      <c r="T26" s="111"/>
    </row>
    <row r="27" spans="1:23">
      <c r="A27" s="100"/>
      <c r="B27" s="64"/>
      <c r="C27" s="64"/>
      <c r="D27" s="64"/>
      <c r="E27" s="64"/>
      <c r="F27" s="64"/>
      <c r="G27" s="65"/>
      <c r="H27" s="64"/>
      <c r="I27" s="145"/>
      <c r="T27" s="111"/>
    </row>
    <row r="28" spans="1:23">
      <c r="A28" s="100"/>
      <c r="B28" s="64"/>
      <c r="C28" s="64"/>
      <c r="D28" s="64"/>
      <c r="E28" s="64"/>
      <c r="F28" s="64"/>
      <c r="G28" s="65"/>
      <c r="H28" s="64"/>
      <c r="I28" s="145"/>
      <c r="T28" s="111"/>
    </row>
    <row r="29" spans="1:23">
      <c r="A29" s="100"/>
      <c r="B29" s="64"/>
      <c r="C29" s="64"/>
      <c r="D29" s="64"/>
      <c r="E29" s="64"/>
      <c r="F29" s="64"/>
      <c r="G29" s="65"/>
      <c r="H29" s="64"/>
      <c r="I29" s="145"/>
      <c r="T29" s="111"/>
    </row>
    <row r="30" spans="1:23">
      <c r="A30" s="100"/>
      <c r="B30" s="64"/>
      <c r="C30" s="64"/>
      <c r="D30" s="64"/>
      <c r="E30" s="64"/>
      <c r="F30" s="64"/>
      <c r="G30" s="65"/>
      <c r="H30" s="64"/>
      <c r="I30" s="145"/>
      <c r="T30" s="111"/>
    </row>
    <row r="31" spans="1:23">
      <c r="A31" s="100"/>
      <c r="B31" s="64"/>
      <c r="C31" s="64"/>
      <c r="D31" s="64"/>
      <c r="E31" s="64"/>
      <c r="F31" s="64"/>
      <c r="G31" s="65"/>
      <c r="H31" s="64"/>
      <c r="I31" s="145"/>
      <c r="T31" s="111"/>
    </row>
    <row r="32" spans="1:23">
      <c r="A32" s="100"/>
      <c r="B32" s="64"/>
      <c r="C32" s="64"/>
      <c r="D32" s="64"/>
      <c r="E32" s="64"/>
      <c r="F32" s="64"/>
      <c r="G32" s="65"/>
      <c r="H32" s="64"/>
      <c r="I32" s="145"/>
      <c r="T32" s="111"/>
    </row>
    <row r="33" spans="1:20">
      <c r="A33" s="100"/>
      <c r="B33" s="64"/>
      <c r="C33" s="64"/>
      <c r="D33" s="64"/>
      <c r="E33" s="64"/>
      <c r="F33" s="64"/>
      <c r="G33" s="65"/>
      <c r="H33" s="64"/>
      <c r="I33" s="145"/>
      <c r="T33" s="111"/>
    </row>
    <row r="34" spans="1:20">
      <c r="A34" s="100"/>
      <c r="B34" s="64"/>
      <c r="C34" s="64"/>
      <c r="D34" s="64"/>
      <c r="E34" s="64"/>
      <c r="F34" s="64"/>
      <c r="G34" s="65"/>
      <c r="H34" s="64"/>
      <c r="I34" s="145"/>
      <c r="T34" s="111"/>
    </row>
    <row r="35" spans="1:20">
      <c r="A35" s="100"/>
      <c r="B35" s="64"/>
      <c r="C35" s="64"/>
      <c r="D35" s="64"/>
      <c r="E35" s="64"/>
      <c r="F35" s="64"/>
      <c r="G35" s="65"/>
      <c r="H35" s="64"/>
      <c r="I35" s="145"/>
      <c r="T35" s="111"/>
    </row>
    <row r="36" spans="1:20">
      <c r="A36" s="100"/>
      <c r="B36" s="64"/>
      <c r="C36" s="64"/>
      <c r="D36" s="64"/>
      <c r="E36" s="64"/>
      <c r="F36" s="64"/>
      <c r="G36" s="65"/>
      <c r="H36" s="64"/>
      <c r="I36" s="145"/>
      <c r="T36" s="111"/>
    </row>
    <row r="37" spans="1:20">
      <c r="A37" s="100"/>
      <c r="B37" s="64"/>
      <c r="C37" s="64"/>
      <c r="D37" s="64"/>
      <c r="E37" s="64"/>
      <c r="F37" s="64"/>
      <c r="G37" s="65"/>
      <c r="H37" s="64"/>
      <c r="I37" s="145"/>
      <c r="T37" s="111"/>
    </row>
    <row r="38" spans="1:20">
      <c r="A38" s="100"/>
      <c r="B38" s="64"/>
      <c r="C38" s="64"/>
      <c r="D38" s="64"/>
      <c r="E38" s="64"/>
      <c r="F38" s="64"/>
      <c r="G38" s="65"/>
      <c r="H38" s="64"/>
      <c r="I38" s="145"/>
      <c r="T38" s="111"/>
    </row>
    <row r="39" spans="1:20">
      <c r="A39" s="100"/>
      <c r="B39" s="64"/>
      <c r="C39" s="64"/>
      <c r="D39" s="64"/>
      <c r="E39" s="64"/>
      <c r="F39" s="64"/>
      <c r="G39" s="65"/>
      <c r="H39" s="64"/>
      <c r="I39" s="145"/>
      <c r="T39" s="111"/>
    </row>
    <row r="40" spans="1:20">
      <c r="A40" s="100"/>
      <c r="B40" s="64"/>
      <c r="C40" s="64"/>
      <c r="D40" s="64"/>
      <c r="E40" s="64"/>
      <c r="F40" s="64"/>
      <c r="G40" s="65"/>
      <c r="H40" s="64"/>
      <c r="I40" s="145"/>
      <c r="T40" s="111"/>
    </row>
    <row r="41" spans="1:20">
      <c r="A41" s="100"/>
      <c r="B41" s="64"/>
      <c r="C41" s="64"/>
      <c r="D41" s="64"/>
      <c r="E41" s="64"/>
      <c r="F41" s="64"/>
      <c r="G41" s="65"/>
      <c r="H41" s="64"/>
      <c r="I41" s="145"/>
      <c r="T41" s="111"/>
    </row>
    <row r="42" spans="1:20">
      <c r="A42" s="100"/>
      <c r="B42" s="64"/>
      <c r="C42" s="64"/>
      <c r="D42" s="64"/>
      <c r="E42" s="64"/>
      <c r="F42" s="64"/>
      <c r="G42" s="65"/>
      <c r="H42" s="64"/>
      <c r="I42" s="145"/>
      <c r="T42" s="111"/>
    </row>
    <row r="43" spans="1:20">
      <c r="A43" s="100"/>
      <c r="B43" s="64"/>
      <c r="C43" s="64"/>
      <c r="D43" s="64"/>
      <c r="E43" s="64"/>
      <c r="F43" s="64"/>
      <c r="G43" s="65"/>
      <c r="H43" s="64"/>
      <c r="I43" s="145"/>
      <c r="T43" s="111"/>
    </row>
    <row r="44" spans="1:20">
      <c r="A44" s="100"/>
      <c r="B44" s="64"/>
      <c r="C44" s="64"/>
      <c r="D44" s="64"/>
      <c r="E44" s="64"/>
      <c r="F44" s="64"/>
      <c r="G44" s="65"/>
      <c r="H44" s="64"/>
      <c r="I44" s="145"/>
      <c r="T44" s="111"/>
    </row>
    <row r="45" spans="1:20">
      <c r="A45" s="100"/>
      <c r="B45" s="64"/>
      <c r="C45" s="64"/>
      <c r="D45" s="64"/>
      <c r="E45" s="64"/>
      <c r="F45" s="64"/>
      <c r="G45" s="65"/>
      <c r="H45" s="64"/>
      <c r="I45" s="145"/>
      <c r="T45" s="111"/>
    </row>
    <row r="46" spans="1:20">
      <c r="A46" s="100"/>
      <c r="B46" s="64"/>
      <c r="C46" s="64"/>
      <c r="D46" s="64"/>
      <c r="E46" s="64"/>
      <c r="F46" s="64"/>
      <c r="G46" s="65"/>
      <c r="H46" s="64"/>
      <c r="I46" s="145"/>
      <c r="T46" s="111"/>
    </row>
    <row r="47" spans="1:20">
      <c r="A47" s="100"/>
      <c r="B47" s="64"/>
      <c r="C47" s="64"/>
      <c r="D47" s="64"/>
      <c r="E47" s="64"/>
      <c r="F47" s="64"/>
      <c r="G47" s="65"/>
      <c r="H47" s="64"/>
      <c r="I47" s="145"/>
      <c r="T47" s="111"/>
    </row>
    <row r="48" spans="1:20">
      <c r="A48" s="100"/>
      <c r="B48" s="64"/>
      <c r="C48" s="64"/>
      <c r="D48" s="64"/>
      <c r="E48" s="64"/>
      <c r="F48" s="64"/>
      <c r="G48" s="65"/>
      <c r="H48" s="64"/>
      <c r="I48" s="145"/>
      <c r="T48" s="111"/>
    </row>
    <row r="49" spans="1:20">
      <c r="A49" s="100"/>
      <c r="B49" s="64"/>
      <c r="C49" s="64"/>
      <c r="D49" s="64"/>
      <c r="E49" s="64"/>
      <c r="F49" s="64"/>
      <c r="G49" s="65"/>
      <c r="H49" s="64"/>
      <c r="I49" s="145"/>
      <c r="T49" s="111"/>
    </row>
    <row r="50" spans="1:20">
      <c r="A50" s="100"/>
      <c r="B50" s="64"/>
      <c r="C50" s="64"/>
      <c r="D50" s="64"/>
      <c r="E50" s="64"/>
      <c r="F50" s="64"/>
      <c r="G50" s="65"/>
      <c r="H50" s="64"/>
      <c r="I50" s="145"/>
    </row>
    <row r="51" spans="1:20">
      <c r="A51" s="100"/>
      <c r="B51" s="64"/>
      <c r="C51" s="64"/>
      <c r="D51" s="64"/>
      <c r="E51" s="64"/>
      <c r="F51" s="64"/>
      <c r="G51" s="65"/>
      <c r="H51" s="64"/>
      <c r="I51" s="145"/>
    </row>
    <row r="52" spans="1:20">
      <c r="A52" s="100"/>
      <c r="B52" s="64"/>
      <c r="C52" s="64"/>
      <c r="D52" s="64"/>
      <c r="E52" s="64"/>
      <c r="F52" s="64"/>
      <c r="G52" s="65"/>
      <c r="H52" s="64"/>
      <c r="I52" s="145"/>
    </row>
    <row r="53" spans="1:20">
      <c r="A53" s="100"/>
      <c r="B53" s="64"/>
      <c r="C53" s="64"/>
      <c r="D53" s="64"/>
      <c r="E53" s="64"/>
      <c r="F53" s="64"/>
      <c r="G53" s="65"/>
      <c r="H53" s="64"/>
      <c r="I53" s="145"/>
    </row>
    <row r="54" spans="1:20">
      <c r="A54" s="100"/>
      <c r="B54" s="64"/>
      <c r="C54" s="64"/>
      <c r="D54" s="64"/>
      <c r="E54" s="64"/>
      <c r="F54" s="64"/>
      <c r="G54" s="65"/>
      <c r="H54" s="64"/>
      <c r="I54" s="145"/>
    </row>
    <row r="55" spans="1:20">
      <c r="A55" s="100"/>
      <c r="B55" s="64"/>
      <c r="C55" s="64"/>
      <c r="D55" s="64"/>
      <c r="E55" s="64"/>
      <c r="F55" s="64"/>
      <c r="G55" s="65"/>
      <c r="H55" s="64"/>
      <c r="I55" s="145"/>
    </row>
    <row r="56" spans="1:20">
      <c r="A56" s="100"/>
      <c r="B56" s="64"/>
      <c r="C56" s="64"/>
      <c r="D56" s="64"/>
      <c r="E56" s="64"/>
      <c r="F56" s="64"/>
      <c r="G56" s="65"/>
      <c r="H56" s="64"/>
      <c r="I56" s="145"/>
    </row>
    <row r="57" spans="1:20">
      <c r="A57" s="100"/>
      <c r="B57" s="64"/>
      <c r="C57" s="64"/>
      <c r="D57" s="64"/>
      <c r="E57" s="64"/>
      <c r="F57" s="64"/>
      <c r="G57" s="65"/>
      <c r="H57" s="64"/>
      <c r="I57" s="145"/>
    </row>
    <row r="58" spans="1:20">
      <c r="A58" s="100"/>
      <c r="B58" s="64"/>
      <c r="C58" s="64"/>
      <c r="D58" s="64"/>
      <c r="E58" s="64"/>
      <c r="F58" s="64"/>
      <c r="G58" s="65"/>
      <c r="H58" s="64"/>
      <c r="I58" s="145"/>
    </row>
    <row r="59" spans="1:20">
      <c r="A59" s="100"/>
      <c r="B59" s="64"/>
      <c r="C59" s="64"/>
      <c r="D59" s="64"/>
      <c r="E59" s="64"/>
      <c r="F59" s="64"/>
      <c r="G59" s="65"/>
      <c r="H59" s="64"/>
      <c r="I59" s="145"/>
    </row>
    <row r="60" spans="1:20">
      <c r="A60" s="100"/>
      <c r="B60" s="64"/>
      <c r="C60" s="64"/>
      <c r="D60" s="64"/>
      <c r="E60" s="64"/>
      <c r="F60" s="64"/>
      <c r="G60" s="65"/>
      <c r="H60" s="64"/>
      <c r="I60" s="145"/>
    </row>
    <row r="61" spans="1:20">
      <c r="A61" s="100"/>
      <c r="B61" s="64"/>
      <c r="C61" s="64"/>
      <c r="D61" s="64"/>
      <c r="E61" s="64"/>
      <c r="F61" s="64"/>
      <c r="G61" s="65"/>
      <c r="H61" s="64"/>
      <c r="I61" s="145"/>
    </row>
    <row r="62" spans="1:20">
      <c r="A62" s="100"/>
      <c r="B62" s="64"/>
      <c r="C62" s="64"/>
      <c r="D62" s="64"/>
      <c r="E62" s="64"/>
      <c r="F62" s="64"/>
      <c r="G62" s="65"/>
      <c r="H62" s="64"/>
      <c r="I62" s="145"/>
    </row>
    <row r="63" spans="1:20">
      <c r="A63" s="100"/>
      <c r="B63" s="64"/>
      <c r="C63" s="64"/>
      <c r="D63" s="64"/>
      <c r="E63" s="64"/>
      <c r="F63" s="64"/>
      <c r="G63" s="65"/>
      <c r="H63" s="64"/>
      <c r="I63" s="145"/>
    </row>
    <row r="64" spans="1:20">
      <c r="A64" s="100"/>
      <c r="B64" s="64"/>
      <c r="C64" s="64"/>
      <c r="D64" s="64"/>
      <c r="E64" s="64"/>
      <c r="F64" s="64"/>
      <c r="G64" s="65"/>
      <c r="H64" s="64"/>
      <c r="I64" s="145"/>
    </row>
    <row r="65" spans="1:9">
      <c r="A65" s="100"/>
      <c r="B65" s="64"/>
      <c r="C65" s="64"/>
      <c r="D65" s="64"/>
      <c r="E65" s="64"/>
      <c r="F65" s="64"/>
      <c r="G65" s="65"/>
      <c r="H65" s="64"/>
      <c r="I65" s="145"/>
    </row>
    <row r="66" spans="1:9">
      <c r="A66" s="100"/>
      <c r="B66" s="64"/>
      <c r="C66" s="64"/>
      <c r="D66" s="64"/>
      <c r="E66" s="64"/>
      <c r="F66" s="64"/>
      <c r="G66" s="65"/>
      <c r="H66" s="64"/>
      <c r="I66" s="145"/>
    </row>
    <row r="67" spans="1:9">
      <c r="A67" s="100"/>
      <c r="B67" s="64"/>
      <c r="C67" s="64"/>
      <c r="D67" s="64"/>
      <c r="E67" s="64"/>
      <c r="F67" s="64"/>
      <c r="G67" s="65"/>
      <c r="H67" s="64"/>
      <c r="I67" s="145"/>
    </row>
    <row r="68" spans="1:9">
      <c r="A68" s="100"/>
      <c r="B68" s="64"/>
      <c r="C68" s="64"/>
      <c r="D68" s="64"/>
      <c r="E68" s="64"/>
      <c r="F68" s="64"/>
      <c r="G68" s="65"/>
      <c r="H68" s="64"/>
      <c r="I68" s="145"/>
    </row>
    <row r="69" spans="1:9">
      <c r="A69" s="100"/>
      <c r="B69" s="64"/>
      <c r="C69" s="64"/>
      <c r="D69" s="64"/>
      <c r="E69" s="64"/>
      <c r="F69" s="64"/>
      <c r="G69" s="65"/>
      <c r="H69" s="64"/>
      <c r="I69" s="145"/>
    </row>
    <row r="70" spans="1:9">
      <c r="A70" s="100"/>
      <c r="B70" s="64"/>
      <c r="C70" s="64"/>
      <c r="D70" s="64"/>
      <c r="E70" s="64"/>
      <c r="F70" s="64"/>
      <c r="G70" s="65"/>
      <c r="H70" s="64"/>
      <c r="I70" s="145"/>
    </row>
    <row r="71" spans="1:9">
      <c r="A71" s="100"/>
      <c r="B71" s="64"/>
      <c r="C71" s="64"/>
      <c r="D71" s="64"/>
      <c r="E71" s="64"/>
      <c r="F71" s="64"/>
      <c r="G71" s="65"/>
      <c r="H71" s="64"/>
      <c r="I71" s="145"/>
    </row>
    <row r="72" spans="1:9">
      <c r="A72" s="100"/>
      <c r="B72" s="64"/>
      <c r="C72" s="64"/>
      <c r="D72" s="64"/>
      <c r="E72" s="64"/>
      <c r="F72" s="64"/>
      <c r="G72" s="65"/>
      <c r="H72" s="64"/>
      <c r="I72" s="145"/>
    </row>
    <row r="73" spans="1:9">
      <c r="A73" s="100"/>
      <c r="B73" s="64"/>
      <c r="C73" s="64"/>
      <c r="D73" s="64"/>
      <c r="E73" s="64"/>
      <c r="F73" s="64"/>
      <c r="G73" s="65"/>
      <c r="H73" s="64"/>
      <c r="I73" s="145"/>
    </row>
    <row r="74" spans="1:9">
      <c r="A74" s="100"/>
      <c r="B74" s="64"/>
      <c r="C74" s="64"/>
      <c r="D74" s="64"/>
      <c r="E74" s="64"/>
      <c r="F74" s="64"/>
      <c r="G74" s="65"/>
      <c r="H74" s="64"/>
      <c r="I74" s="145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1" priority="1" operator="containsText" text="값붙">
      <formula>NOT(ISERROR(SEARCH("값붙",L6)))</formula>
    </cfRule>
  </conditionalFormatting>
  <pageMargins left="0.7" right="0.7" top="0.75" bottom="0.75" header="0.3" footer="0.3"/>
  <ignoredErrors>
    <ignoredError sqref="O12" formula="1"/>
  </ignoredError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topLeftCell="C2" zoomScale="85" zoomScaleNormal="85" workbookViewId="0">
      <selection activeCell="B3" sqref="B3:R17"/>
    </sheetView>
  </sheetViews>
  <sheetFormatPr defaultRowHeight="16.899999999999999"/>
  <cols>
    <col min="1" max="1" width="8.75"/>
    <col min="2" max="2" width="10" customWidth="1"/>
    <col min="3" max="3" width="9.25" customWidth="1"/>
    <col min="4" max="4" width="52.75" customWidth="1"/>
    <col min="18" max="18" width="15.25" customWidth="1"/>
    <col min="20" max="21" width="3.375" bestFit="1" customWidth="1"/>
  </cols>
  <sheetData>
    <row r="1" spans="1:25">
      <c r="R1" s="46"/>
      <c r="Y1" s="117" t="s">
        <v>124</v>
      </c>
    </row>
    <row r="2" spans="1:25" ht="20.25">
      <c r="A2" s="120"/>
      <c r="B2" s="121" t="s">
        <v>46</v>
      </c>
      <c r="C2" s="121" t="s">
        <v>55</v>
      </c>
      <c r="D2" s="122" t="s">
        <v>200</v>
      </c>
      <c r="E2" s="121" t="s">
        <v>57</v>
      </c>
      <c r="F2" s="121" t="s">
        <v>141</v>
      </c>
      <c r="G2" s="121" t="s">
        <v>182</v>
      </c>
      <c r="H2" s="121" t="s">
        <v>56</v>
      </c>
      <c r="I2" s="121" t="s">
        <v>81</v>
      </c>
      <c r="J2" s="121" t="s">
        <v>20</v>
      </c>
      <c r="K2" s="121" t="s">
        <v>135</v>
      </c>
      <c r="L2" s="121" t="s">
        <v>130</v>
      </c>
      <c r="M2" s="121" t="s">
        <v>142</v>
      </c>
      <c r="N2" s="121" t="s">
        <v>128</v>
      </c>
      <c r="O2" s="121" t="s">
        <v>47</v>
      </c>
      <c r="P2" s="121" t="s">
        <v>129</v>
      </c>
      <c r="Q2" s="121" t="s">
        <v>58</v>
      </c>
      <c r="R2" s="121" t="s">
        <v>61</v>
      </c>
      <c r="Y2" s="117" t="s">
        <v>143</v>
      </c>
    </row>
    <row r="3" spans="1:25" ht="17.45" customHeight="1">
      <c r="A3" s="127">
        <v>1</v>
      </c>
      <c r="B3" s="123">
        <f>IFERROR(INDEX('FB 콘텐츠 data'!AQ:AQ,MATCH('FB 신규발행'!A3,'FB 콘텐츠 data'!AR:AR,0)),"")</f>
        <v>45414</v>
      </c>
      <c r="C3" s="124" t="str">
        <f>IFERROR(INDEX('FB 콘텐츠 data'!$A$1:$AH$25,MATCH('FB 신규발행'!$A3,'FB 콘텐츠 data'!$AR:$AR,0),MATCH(C$2,'FB 콘텐츠 data'!$A$1:$AH$1,0)),"")</f>
        <v>링크</v>
      </c>
      <c r="D3" s="125" t="str">
        <f>IFERROR(INDEX('FB 콘텐츠 data'!$A$1:$AH$25,MATCH('FB 신규발행'!$A3,'FB 콘텐츠 data'!$AR:$AR,0),MATCH(D$2,'FB 콘텐츠 data'!$A$1:$AH$1,0)),"")</f>
        <v>국제 소방관의 날 *뉴스룸 미러링</v>
      </c>
      <c r="E3" s="125">
        <f>IFERROR(INDEX('FB 콘텐츠 data'!$A$1:$AH$25,MATCH('FB 신규발행'!$A3,'FB 콘텐츠 data'!$AR:$AR,0),MATCH(E$2,'FB 콘텐츠 data'!$A$1:$AH$1,0)),"")</f>
        <v>35505</v>
      </c>
      <c r="F3" s="125">
        <f>IFERROR(INDEX('FB 콘텐츠 data'!$A$1:$AH$25,MATCH('FB 신규발행'!$A3,'FB 콘텐츠 data'!$AR:$AR,0),MATCH(F$2,'FB 콘텐츠 data'!$A$1:$AH$1,0)),"")</f>
        <v>25185</v>
      </c>
      <c r="G3" s="125">
        <f>IFERROR(INDEX('FB 콘텐츠 data'!$A$1:$AH$25,MATCH('FB 신규발행'!$A3,'FB 콘텐츠 data'!$AR:$AR,0),MATCH(G$2,'FB 콘텐츠 data'!$A$1:$AH$1,0)),"")</f>
        <v>2301</v>
      </c>
      <c r="H3" s="125">
        <f t="shared" ref="H3:H34" si="0">IF(B3="","",I3+J3+O3+Q3)</f>
        <v>706</v>
      </c>
      <c r="I3" s="125">
        <f>IFERROR(INDEX('FB 콘텐츠 data'!$A$1:$AH$25,MATCH('FB 신규발행'!$A3,'FB 콘텐츠 data'!$AR:$AR,0),MATCH(I$2,'FB 콘텐츠 data'!$A$1:$AH$1,0)),"")</f>
        <v>196</v>
      </c>
      <c r="J3" s="125">
        <f>IFERROR(INDEX('FB 콘텐츠 data'!$A$1:$AH$25,MATCH('FB 신규발행'!$A3,'FB 콘텐츠 data'!$AR:$AR,0),MATCH(J$2,'FB 콘텐츠 data'!$A$1:$AH$1,0)),"")</f>
        <v>12</v>
      </c>
      <c r="K3" s="124">
        <f>IFERROR(INDEX('FB 콘텐츠 data'!$A$1:$AR$25,MATCH('FB 신규발행'!$A3,'FB 콘텐츠 data'!$AR:$AR,0),MATCH(K$2,'FB 콘텐츠 data'!$A$1:$AR$1,0)),"")</f>
        <v>0</v>
      </c>
      <c r="L3" s="125">
        <f>IFERROR(INDEX('FB 콘텐츠 data'!$A$1:$AH$25,MATCH('FB 신규발행'!$A3,'FB 콘텐츠 data'!$AR:$AR,0),MATCH(L$2,'FB 콘텐츠 data'!$A$1:$AH$1,0)),"")</f>
        <v>0</v>
      </c>
      <c r="M3" s="125">
        <f>IFERROR(INDEX('FB 콘텐츠 data'!$A$1:$AH$25,MATCH('FB 신규발행'!$A3,'FB 콘텐츠 data'!$AR:$AR,0),MATCH(M$2,'FB 콘텐츠 data'!$A$1:$AH$1,0)),"")</f>
        <v>0</v>
      </c>
      <c r="N3" s="125">
        <f>IFERROR(INDEX('FB 콘텐츠 data'!$A$1:$AH$25,MATCH('FB 신규발행'!$A3,'FB 콘텐츠 data'!$AR:$AR,0),MATCH(N$2,'FB 콘텐츠 data'!$A$1:$AH$1,0)),"")</f>
        <v>226</v>
      </c>
      <c r="O3" s="125">
        <f>IFERROR(INDEX('FB 콘텐츠 data'!$A$1:$AH$25,MATCH('FB 신규발행'!$A3,'FB 콘텐츠 data'!$AR:$AR,0),MATCH(O$2,'FB 콘텐츠 data'!$A$1:$AH$1,0)),"")</f>
        <v>6</v>
      </c>
      <c r="P3" s="125">
        <f>IFERROR(INDEX('FB 콘텐츠 data'!$A$1:$AH$25,MATCH('FB 신규발행'!$A3,'FB 콘텐츠 data'!$AR:$AR,0),MATCH(P$2,'FB 콘텐츠 data'!$A$1:$AH$1,0)),"")</f>
        <v>266</v>
      </c>
      <c r="Q3" s="125">
        <f>IFERROR(INDEX('FB 콘텐츠 data'!$A$1:$AH$25,MATCH('FB 신규발행'!$A3,'FB 콘텐츠 data'!$AR:$AR,0),MATCH(Q$2,'FB 콘텐츠 data'!$A$1:$AH$1,0)),"")</f>
        <v>492</v>
      </c>
      <c r="R3" s="126">
        <f t="shared" ref="R3:R34" si="1">IFERROR(H3/F3,"")</f>
        <v>2.8032559062934285E-2</v>
      </c>
      <c r="T3" s="48">
        <f t="shared" ref="T3:T34" si="2">IFERROR(RANK(R3,$R$3:$R$82,0),"")</f>
        <v>12</v>
      </c>
      <c r="U3" s="48">
        <f t="shared" ref="U3:U34" si="3">IFERROR(RANK(E3,$E$3:$E$82,0),"")</f>
        <v>7</v>
      </c>
      <c r="V3">
        <f>IFERROR(INDEX(A:A,MATCH(A3,T:T,0)),"")</f>
        <v>11</v>
      </c>
      <c r="Y3" s="112"/>
    </row>
    <row r="4" spans="1:25" ht="17.45" customHeight="1">
      <c r="A4" s="127">
        <v>2</v>
      </c>
      <c r="B4" s="123">
        <f>IFERROR(INDEX('FB 콘텐츠 data'!AQ:AQ,MATCH('FB 신규발행'!A4,'FB 콘텐츠 data'!AR:AR,0)),"")</f>
        <v>45417</v>
      </c>
      <c r="C4" s="124" t="str">
        <f>IFERROR(INDEX('FB 콘텐츠 data'!$A$1:$AH$25,MATCH('FB 신규발행'!$A4,'FB 콘텐츠 data'!$AR:$AR,0),MATCH(C$2,'FB 콘텐츠 data'!$A$1:$AH$1,0)),"")</f>
        <v>사진</v>
      </c>
      <c r="D4" s="125" t="str">
        <f>IFERROR(INDEX('FB 콘텐츠 data'!$A$1:$AH$25,MATCH('FB 신규발행'!$A4,'FB 콘텐츠 data'!$AR:$AR,0),MATCH(D$2,'FB 콘텐츠 data'!$A$1:$AH$1,0)),"")</f>
        <v>이노드림(버트런드 러셀)</v>
      </c>
      <c r="E4" s="125">
        <f>IFERROR(INDEX('FB 콘텐츠 data'!$A$1:$AH$25,MATCH('FB 신규발행'!$A4,'FB 콘텐츠 data'!$AR:$AR,0),MATCH(E$2,'FB 콘텐츠 data'!$A$1:$AH$1,0)),"")</f>
        <v>5895</v>
      </c>
      <c r="F4" s="125">
        <f>IFERROR(INDEX('FB 콘텐츠 data'!$A$1:$AH$25,MATCH('FB 신규발행'!$A4,'FB 콘텐츠 data'!$AR:$AR,0),MATCH(F$2,'FB 콘텐츠 data'!$A$1:$AH$1,0)),"")</f>
        <v>5508</v>
      </c>
      <c r="G4" s="125">
        <f>IFERROR(INDEX('FB 콘텐츠 data'!$A$1:$AH$25,MATCH('FB 신규발행'!$A4,'FB 콘텐츠 data'!$AR:$AR,0),MATCH(G$2,'FB 콘텐츠 data'!$A$1:$AH$1,0)),"")</f>
        <v>5413</v>
      </c>
      <c r="H4" s="125">
        <f t="shared" si="0"/>
        <v>264</v>
      </c>
      <c r="I4" s="125">
        <f>IFERROR(INDEX('FB 콘텐츠 data'!$A$1:$AH$25,MATCH('FB 신규발행'!$A4,'FB 콘텐츠 data'!$AR:$AR,0),MATCH(I$2,'FB 콘텐츠 data'!$A$1:$AH$1,0)),"")</f>
        <v>183</v>
      </c>
      <c r="J4" s="125">
        <f>IFERROR(INDEX('FB 콘텐츠 data'!$A$1:$AH$25,MATCH('FB 신규발행'!$A4,'FB 콘텐츠 data'!$AR:$AR,0),MATCH(J$2,'FB 콘텐츠 data'!$A$1:$AH$1,0)),"")</f>
        <v>11</v>
      </c>
      <c r="K4" s="124">
        <f>IFERROR(INDEX('FB 콘텐츠 data'!$A$1:$AR$25,MATCH('FB 신규발행'!$A4,'FB 콘텐츠 data'!$AR:$AR,0),MATCH(K$2,'FB 콘텐츠 data'!$A$1:$AR$1,0)),"")</f>
        <v>0</v>
      </c>
      <c r="L4" s="125">
        <f>IFERROR(INDEX('FB 콘텐츠 data'!$A$1:$AH$25,MATCH('FB 신규발행'!$A4,'FB 콘텐츠 data'!$AR:$AR,0),MATCH(L$2,'FB 콘텐츠 data'!$A$1:$AH$1,0)),"")</f>
        <v>0</v>
      </c>
      <c r="M4" s="125">
        <f>IFERROR(INDEX('FB 콘텐츠 data'!$A$1:$AH$25,MATCH('FB 신규발행'!$A4,'FB 콘텐츠 data'!$AR:$AR,0),MATCH(M$2,'FB 콘텐츠 data'!$A$1:$AH$1,0)),"")</f>
        <v>34</v>
      </c>
      <c r="N4" s="125">
        <f>IFERROR(INDEX('FB 콘텐츠 data'!$A$1:$AH$25,MATCH('FB 신규발행'!$A4,'FB 콘텐츠 data'!$AR:$AR,0),MATCH(N$2,'FB 콘텐츠 data'!$A$1:$AH$1,0)),"")</f>
        <v>1</v>
      </c>
      <c r="O4" s="125">
        <f>IFERROR(INDEX('FB 콘텐츠 data'!$A$1:$AH$25,MATCH('FB 신규발행'!$A4,'FB 콘텐츠 data'!$AR:$AR,0),MATCH(O$2,'FB 콘텐츠 data'!$A$1:$AH$1,0)),"")</f>
        <v>12</v>
      </c>
      <c r="P4" s="125">
        <f>IFERROR(INDEX('FB 콘텐츠 data'!$A$1:$AH$25,MATCH('FB 신규발행'!$A4,'FB 콘텐츠 data'!$AR:$AR,0),MATCH(P$2,'FB 콘텐츠 data'!$A$1:$AH$1,0)),"")</f>
        <v>23</v>
      </c>
      <c r="Q4" s="125">
        <f>IFERROR(INDEX('FB 콘텐츠 data'!$A$1:$AH$25,MATCH('FB 신규발행'!$A4,'FB 콘텐츠 data'!$AR:$AR,0),MATCH(Q$2,'FB 콘텐츠 data'!$A$1:$AH$1,0)),"")</f>
        <v>58</v>
      </c>
      <c r="R4" s="126">
        <f t="shared" si="1"/>
        <v>4.793028322440087E-2</v>
      </c>
      <c r="T4" s="48">
        <f t="shared" si="2"/>
        <v>9</v>
      </c>
      <c r="U4" s="48">
        <f t="shared" si="3"/>
        <v>13</v>
      </c>
      <c r="V4">
        <f t="shared" ref="V4:V33" si="4">IFERROR(INDEX(A:A,MATCH(A4,T:T,0)),"")</f>
        <v>3</v>
      </c>
      <c r="Y4" s="112"/>
    </row>
    <row r="5" spans="1:25" ht="17.45" customHeight="1">
      <c r="A5" s="127">
        <v>3</v>
      </c>
      <c r="B5" s="123">
        <f>IFERROR(INDEX('FB 콘텐츠 data'!AQ:AQ,MATCH('FB 신규발행'!A5,'FB 콘텐츠 data'!AR:AR,0)),"")</f>
        <v>45419</v>
      </c>
      <c r="C5" s="124" t="str">
        <f>IFERROR(INDEX('FB 콘텐츠 data'!$A$1:$AH$25,MATCH('FB 신규발행'!$A5,'FB 콘텐츠 data'!$AR:$AR,0),MATCH(C$2,'FB 콘텐츠 data'!$A$1:$AH$1,0)),"")</f>
        <v>동영상</v>
      </c>
      <c r="D5" s="125" t="str">
        <f>IFERROR(INDEX('FB 콘텐츠 data'!$A$1:$AH$25,MATCH('FB 신규발행'!$A5,'FB 콘텐츠 data'!$AR:$AR,0),MATCH(D$2,'FB 콘텐츠 data'!$A$1:$AH$1,0)),"")</f>
        <v>EVENT 울산대공원 장미축제</v>
      </c>
      <c r="E5" s="125">
        <f>IFERROR(INDEX('FB 콘텐츠 data'!$A$1:$AH$25,MATCH('FB 신규발행'!$A5,'FB 콘텐츠 data'!$AR:$AR,0),MATCH(E$2,'FB 콘텐츠 data'!$A$1:$AH$1,0)),"")</f>
        <v>17404</v>
      </c>
      <c r="F5" s="125">
        <f>IFERROR(INDEX('FB 콘텐츠 data'!$A$1:$AH$25,MATCH('FB 신규발행'!$A5,'FB 콘텐츠 data'!$AR:$AR,0),MATCH(F$2,'FB 콘텐츠 data'!$A$1:$AH$1,0)),"")</f>
        <v>9798</v>
      </c>
      <c r="G5" s="125">
        <f>IFERROR(INDEX('FB 콘텐츠 data'!$A$1:$AH$25,MATCH('FB 신규발행'!$A5,'FB 콘텐츠 data'!$AR:$AR,0),MATCH(G$2,'FB 콘텐츠 data'!$A$1:$AH$1,0)),"")</f>
        <v>2184</v>
      </c>
      <c r="H5" s="125">
        <f t="shared" si="0"/>
        <v>1646</v>
      </c>
      <c r="I5" s="125">
        <f>IFERROR(INDEX('FB 콘텐츠 data'!$A$1:$AH$25,MATCH('FB 신규발행'!$A5,'FB 콘텐츠 data'!$AR:$AR,0),MATCH(I$2,'FB 콘텐츠 data'!$A$1:$AH$1,0)),"")</f>
        <v>606</v>
      </c>
      <c r="J5" s="125">
        <f>IFERROR(INDEX('FB 콘텐츠 data'!$A$1:$AH$25,MATCH('FB 신규발행'!$A5,'FB 콘텐츠 data'!$AR:$AR,0),MATCH(J$2,'FB 콘텐츠 data'!$A$1:$AH$1,0)),"")</f>
        <v>658</v>
      </c>
      <c r="K5" s="124">
        <f>IFERROR(INDEX('FB 콘텐츠 data'!$A$1:$AR$25,MATCH('FB 신규발행'!$A5,'FB 콘텐츠 data'!$AR:$AR,0),MATCH(K$2,'FB 콘텐츠 data'!$A$1:$AR$1,0)),"")</f>
        <v>27.885000000000002</v>
      </c>
      <c r="L5" s="125">
        <f>IFERROR(INDEX('FB 콘텐츠 data'!$A$1:$AH$25,MATCH('FB 신규발행'!$A5,'FB 콘텐츠 data'!$AR:$AR,0),MATCH(L$2,'FB 콘텐츠 data'!$A$1:$AH$1,0)),"")</f>
        <v>4283</v>
      </c>
      <c r="M5" s="125">
        <f>IFERROR(INDEX('FB 콘텐츠 data'!$A$1:$AH$25,MATCH('FB 신규발행'!$A5,'FB 콘텐츠 data'!$AR:$AR,0),MATCH(M$2,'FB 콘텐츠 data'!$A$1:$AH$1,0)),"")</f>
        <v>0</v>
      </c>
      <c r="N5" s="125">
        <f>IFERROR(INDEX('FB 콘텐츠 data'!$A$1:$AH$25,MATCH('FB 신규발행'!$A5,'FB 콘텐츠 data'!$AR:$AR,0),MATCH(N$2,'FB 콘텐츠 data'!$A$1:$AH$1,0)),"")</f>
        <v>4</v>
      </c>
      <c r="O5" s="125">
        <f>IFERROR(INDEX('FB 콘텐츠 data'!$A$1:$AH$25,MATCH('FB 신규발행'!$A5,'FB 콘텐츠 data'!$AR:$AR,0),MATCH(O$2,'FB 콘텐츠 data'!$A$1:$AH$1,0)),"")</f>
        <v>113</v>
      </c>
      <c r="P5" s="125">
        <f>IFERROR(INDEX('FB 콘텐츠 data'!$A$1:$AH$25,MATCH('FB 신규발행'!$A5,'FB 콘텐츠 data'!$AR:$AR,0),MATCH(P$2,'FB 콘텐츠 data'!$A$1:$AH$1,0)),"")</f>
        <v>225</v>
      </c>
      <c r="Q5" s="125">
        <f>IFERROR(INDEX('FB 콘텐츠 data'!$A$1:$AH$25,MATCH('FB 신규발행'!$A5,'FB 콘텐츠 data'!$AR:$AR,0),MATCH(Q$2,'FB 콘텐츠 data'!$A$1:$AH$1,0)),"")</f>
        <v>269</v>
      </c>
      <c r="R5" s="126">
        <f t="shared" si="1"/>
        <v>0.16799346805470505</v>
      </c>
      <c r="T5" s="48">
        <f t="shared" si="2"/>
        <v>2</v>
      </c>
      <c r="U5" s="48">
        <f t="shared" si="3"/>
        <v>10</v>
      </c>
      <c r="V5">
        <f t="shared" si="4"/>
        <v>14</v>
      </c>
      <c r="Y5" s="112"/>
    </row>
    <row r="6" spans="1:25" ht="17.45" customHeight="1">
      <c r="A6" s="127">
        <v>4</v>
      </c>
      <c r="B6" s="123">
        <f>IFERROR(INDEX('FB 콘텐츠 data'!AQ:AQ,MATCH('FB 신규발행'!A6,'FB 콘텐츠 data'!AR:AR,0)),"")</f>
        <v>45420</v>
      </c>
      <c r="C6" s="124" t="str">
        <f>IFERROR(INDEX('FB 콘텐츠 data'!$A$1:$AH$25,MATCH('FB 신규발행'!$A6,'FB 콘텐츠 data'!$AR:$AR,0),MATCH(C$2,'FB 콘텐츠 data'!$A$1:$AH$1,0)),"")</f>
        <v>동영상</v>
      </c>
      <c r="D6" s="125" t="str">
        <f>IFERROR(INDEX('FB 콘텐츠 data'!$A$1:$AH$25,MATCH('FB 신규발행'!$A6,'FB 콘텐츠 data'!$AR:$AR,0),MATCH(D$2,'FB 콘텐츠 data'!$A$1:$AH$1,0)),"")</f>
        <v>이야기를 걷다 Ep. 나무</v>
      </c>
      <c r="E6" s="125">
        <f>IFERROR(INDEX('FB 콘텐츠 data'!$A$1:$AH$25,MATCH('FB 신규발행'!$A6,'FB 콘텐츠 data'!$AR:$AR,0),MATCH(E$2,'FB 콘텐츠 data'!$A$1:$AH$1,0)),"")</f>
        <v>38149</v>
      </c>
      <c r="F6" s="125">
        <f>IFERROR(INDEX('FB 콘텐츠 data'!$A$1:$AH$25,MATCH('FB 신규발행'!$A6,'FB 콘텐츠 data'!$AR:$AR,0),MATCH(F$2,'FB 콘텐츠 data'!$A$1:$AH$1,0)),"")</f>
        <v>21347</v>
      </c>
      <c r="G6" s="125">
        <f>IFERROR(INDEX('FB 콘텐츠 data'!$A$1:$AH$25,MATCH('FB 신규발행'!$A6,'FB 콘텐츠 data'!$AR:$AR,0),MATCH(G$2,'FB 콘텐츠 data'!$A$1:$AH$1,0)),"")</f>
        <v>2395</v>
      </c>
      <c r="H6" s="125">
        <f t="shared" si="0"/>
        <v>298</v>
      </c>
      <c r="I6" s="125">
        <f>IFERROR(INDEX('FB 콘텐츠 data'!$A$1:$AH$25,MATCH('FB 신규발행'!$A6,'FB 콘텐츠 data'!$AR:$AR,0),MATCH(I$2,'FB 콘텐츠 data'!$A$1:$AH$1,0)),"")</f>
        <v>180</v>
      </c>
      <c r="J6" s="125">
        <f>IFERROR(INDEX('FB 콘텐츠 data'!$A$1:$AH$25,MATCH('FB 신규발행'!$A6,'FB 콘텐츠 data'!$AR:$AR,0),MATCH(J$2,'FB 콘텐츠 data'!$A$1:$AH$1,0)),"")</f>
        <v>10</v>
      </c>
      <c r="K6" s="124">
        <f>IFERROR(INDEX('FB 콘텐츠 data'!$A$1:$AR$25,MATCH('FB 신규발행'!$A6,'FB 콘텐츠 data'!$AR:$AR,0),MATCH(K$2,'FB 콘텐츠 data'!$A$1:$AR$1,0)),"")</f>
        <v>6.0220000000000002</v>
      </c>
      <c r="L6" s="125">
        <f>IFERROR(INDEX('FB 콘텐츠 data'!$A$1:$AH$25,MATCH('FB 신규발행'!$A6,'FB 콘텐츠 data'!$AR:$AR,0),MATCH(L$2,'FB 콘텐츠 data'!$A$1:$AH$1,0)),"")</f>
        <v>9859</v>
      </c>
      <c r="M6" s="125">
        <f>IFERROR(INDEX('FB 콘텐츠 data'!$A$1:$AH$25,MATCH('FB 신규발행'!$A6,'FB 콘텐츠 data'!$AR:$AR,0),MATCH(M$2,'FB 콘텐츠 data'!$A$1:$AH$1,0)),"")</f>
        <v>0</v>
      </c>
      <c r="N6" s="125">
        <f>IFERROR(INDEX('FB 콘텐츠 data'!$A$1:$AH$25,MATCH('FB 신규발행'!$A6,'FB 콘텐츠 data'!$AR:$AR,0),MATCH(N$2,'FB 콘텐츠 data'!$A$1:$AH$1,0)),"")</f>
        <v>8</v>
      </c>
      <c r="O6" s="125">
        <f>IFERROR(INDEX('FB 콘텐츠 data'!$A$1:$AH$25,MATCH('FB 신규발행'!$A6,'FB 콘텐츠 data'!$AR:$AR,0),MATCH(O$2,'FB 콘텐츠 data'!$A$1:$AH$1,0)),"")</f>
        <v>3</v>
      </c>
      <c r="P6" s="125">
        <f>IFERROR(INDEX('FB 콘텐츠 data'!$A$1:$AH$25,MATCH('FB 신규발행'!$A6,'FB 콘텐츠 data'!$AR:$AR,0),MATCH(P$2,'FB 콘텐츠 data'!$A$1:$AH$1,0)),"")</f>
        <v>51</v>
      </c>
      <c r="Q6" s="125">
        <f>IFERROR(INDEX('FB 콘텐츠 data'!$A$1:$AH$25,MATCH('FB 신규발행'!$A6,'FB 콘텐츠 data'!$AR:$AR,0),MATCH(Q$2,'FB 콘텐츠 data'!$A$1:$AH$1,0)),"")</f>
        <v>105</v>
      </c>
      <c r="R6" s="126">
        <f t="shared" si="1"/>
        <v>1.3959806998641496E-2</v>
      </c>
      <c r="T6" s="48">
        <f t="shared" si="2"/>
        <v>14</v>
      </c>
      <c r="U6" s="48">
        <f t="shared" si="3"/>
        <v>6</v>
      </c>
      <c r="V6">
        <f t="shared" si="4"/>
        <v>8</v>
      </c>
      <c r="Y6" s="112"/>
    </row>
    <row r="7" spans="1:25" ht="17.45" customHeight="1">
      <c r="A7" s="127">
        <v>5</v>
      </c>
      <c r="B7" s="123">
        <f>IFERROR(INDEX('FB 콘텐츠 data'!AQ:AQ,MATCH('FB 신규발행'!A7,'FB 콘텐츠 data'!AR:AR,0)),"")</f>
        <v>45422</v>
      </c>
      <c r="C7" s="124" t="str">
        <f>IFERROR(INDEX('FB 콘텐츠 data'!$A$1:$AH$25,MATCH('FB 신규발행'!$A7,'FB 콘텐츠 data'!$AR:$AR,0),MATCH(C$2,'FB 콘텐츠 data'!$A$1:$AH$1,0)),"")</f>
        <v>링크</v>
      </c>
      <c r="D7" s="125" t="str">
        <f>IFERROR(INDEX('FB 콘텐츠 data'!$A$1:$AH$25,MATCH('FB 신규발행'!$A7,'FB 콘텐츠 data'!$AR:$AR,0),MATCH(D$2,'FB 콘텐츠 data'!$A$1:$AH$1,0)),"")</f>
        <v>팩트체크해~油 Ep. 4 *뉴스룸 미러링</v>
      </c>
      <c r="E7" s="125">
        <f>IFERROR(INDEX('FB 콘텐츠 data'!$A$1:$AH$25,MATCH('FB 신규발행'!$A7,'FB 콘텐츠 data'!$AR:$AR,0),MATCH(E$2,'FB 콘텐츠 data'!$A$1:$AH$1,0)),"")</f>
        <v>38202</v>
      </c>
      <c r="F7" s="125">
        <f>IFERROR(INDEX('FB 콘텐츠 data'!$A$1:$AH$25,MATCH('FB 신규발행'!$A7,'FB 콘텐츠 data'!$AR:$AR,0),MATCH(F$2,'FB 콘텐츠 data'!$A$1:$AH$1,0)),"")</f>
        <v>24811</v>
      </c>
      <c r="G7" s="125">
        <f>IFERROR(INDEX('FB 콘텐츠 data'!$A$1:$AH$25,MATCH('FB 신규발행'!$A7,'FB 콘텐츠 data'!$AR:$AR,0),MATCH(G$2,'FB 콘텐츠 data'!$A$1:$AH$1,0)),"")</f>
        <v>1404</v>
      </c>
      <c r="H7" s="125">
        <f t="shared" si="0"/>
        <v>1888</v>
      </c>
      <c r="I7" s="125">
        <f>IFERROR(INDEX('FB 콘텐츠 data'!$A$1:$AH$25,MATCH('FB 신규발행'!$A7,'FB 콘텐츠 data'!$AR:$AR,0),MATCH(I$2,'FB 콘텐츠 data'!$A$1:$AH$1,0)),"")</f>
        <v>114</v>
      </c>
      <c r="J7" s="125">
        <f>IFERROR(INDEX('FB 콘텐츠 data'!$A$1:$AH$25,MATCH('FB 신규발행'!$A7,'FB 콘텐츠 data'!$AR:$AR,0),MATCH(J$2,'FB 콘텐츠 data'!$A$1:$AH$1,0)),"")</f>
        <v>11</v>
      </c>
      <c r="K7" s="124">
        <f>IFERROR(INDEX('FB 콘텐츠 data'!$A$1:$AR$25,MATCH('FB 신규발행'!$A7,'FB 콘텐츠 data'!$AR:$AR,0),MATCH(K$2,'FB 콘텐츠 data'!$A$1:$AR$1,0)),"")</f>
        <v>0</v>
      </c>
      <c r="L7" s="125">
        <f>IFERROR(INDEX('FB 콘텐츠 data'!$A$1:$AH$25,MATCH('FB 신규발행'!$A7,'FB 콘텐츠 data'!$AR:$AR,0),MATCH(L$2,'FB 콘텐츠 data'!$A$1:$AH$1,0)),"")</f>
        <v>0</v>
      </c>
      <c r="M7" s="125">
        <f>IFERROR(INDEX('FB 콘텐츠 data'!$A$1:$AH$25,MATCH('FB 신규발행'!$A7,'FB 콘텐츠 data'!$AR:$AR,0),MATCH(M$2,'FB 콘텐츠 data'!$A$1:$AH$1,0)),"")</f>
        <v>0</v>
      </c>
      <c r="N7" s="125">
        <f>IFERROR(INDEX('FB 콘텐츠 data'!$A$1:$AH$25,MATCH('FB 신규발행'!$A7,'FB 콘텐츠 data'!$AR:$AR,0),MATCH(N$2,'FB 콘텐츠 data'!$A$1:$AH$1,0)),"")</f>
        <v>621</v>
      </c>
      <c r="O7" s="125">
        <f>IFERROR(INDEX('FB 콘텐츠 data'!$A$1:$AH$25,MATCH('FB 신규발행'!$A7,'FB 콘텐츠 data'!$AR:$AR,0),MATCH(O$2,'FB 콘텐츠 data'!$A$1:$AH$1,0)),"")</f>
        <v>13</v>
      </c>
      <c r="P7" s="125">
        <f>IFERROR(INDEX('FB 콘텐츠 data'!$A$1:$AH$25,MATCH('FB 신규발행'!$A7,'FB 콘텐츠 data'!$AR:$AR,0),MATCH(P$2,'FB 콘텐츠 data'!$A$1:$AH$1,0)),"")</f>
        <v>1129</v>
      </c>
      <c r="Q7" s="125">
        <f>IFERROR(INDEX('FB 콘텐츠 data'!$A$1:$AH$25,MATCH('FB 신규발행'!$A7,'FB 콘텐츠 data'!$AR:$AR,0),MATCH(Q$2,'FB 콘텐츠 data'!$A$1:$AH$1,0)),"")</f>
        <v>1750</v>
      </c>
      <c r="R7" s="126">
        <f t="shared" si="1"/>
        <v>7.6095280319213254E-2</v>
      </c>
      <c r="T7" s="48">
        <f t="shared" si="2"/>
        <v>6</v>
      </c>
      <c r="U7" s="48">
        <f t="shared" si="3"/>
        <v>5</v>
      </c>
      <c r="V7">
        <f t="shared" si="4"/>
        <v>10</v>
      </c>
      <c r="Y7" s="112"/>
    </row>
    <row r="8" spans="1:25" ht="17.45" customHeight="1">
      <c r="A8" s="127">
        <v>6</v>
      </c>
      <c r="B8" s="123">
        <f>IFERROR(INDEX('FB 콘텐츠 data'!AQ:AQ,MATCH('FB 신규발행'!A8,'FB 콘텐츠 data'!AR:AR,0)),"")</f>
        <v>45424</v>
      </c>
      <c r="C8" s="124" t="str">
        <f>IFERROR(INDEX('FB 콘텐츠 data'!$A$1:$AH$25,MATCH('FB 신규발행'!$A8,'FB 콘텐츠 data'!$AR:$AR,0),MATCH(C$2,'FB 콘텐츠 data'!$A$1:$AH$1,0)),"")</f>
        <v>사진</v>
      </c>
      <c r="D8" s="125" t="str">
        <f>IFERROR(INDEX('FB 콘텐츠 data'!$A$1:$AH$25,MATCH('FB 신규발행'!$A8,'FB 콘텐츠 data'!$AR:$AR,0),MATCH(D$2,'FB 콘텐츠 data'!$A$1:$AH$1,0)),"")</f>
        <v>이노드림(데이비드 흄)</v>
      </c>
      <c r="E8" s="125">
        <f>IFERROR(INDEX('FB 콘텐츠 data'!$A$1:$AH$25,MATCH('FB 신규발행'!$A8,'FB 콘텐츠 data'!$AR:$AR,0),MATCH(E$2,'FB 콘텐츠 data'!$A$1:$AH$1,0)),"")</f>
        <v>6122</v>
      </c>
      <c r="F8" s="125">
        <f>IFERROR(INDEX('FB 콘텐츠 data'!$A$1:$AH$25,MATCH('FB 신규발행'!$A8,'FB 콘텐츠 data'!$AR:$AR,0),MATCH(F$2,'FB 콘텐츠 data'!$A$1:$AH$1,0)),"")</f>
        <v>5653</v>
      </c>
      <c r="G8" s="125">
        <f>IFERROR(INDEX('FB 콘텐츠 data'!$A$1:$AH$25,MATCH('FB 신규발행'!$A8,'FB 콘텐츠 data'!$AR:$AR,0),MATCH(G$2,'FB 콘텐츠 data'!$A$1:$AH$1,0)),"")</f>
        <v>5467</v>
      </c>
      <c r="H8" s="125">
        <f t="shared" si="0"/>
        <v>211</v>
      </c>
      <c r="I8" s="125">
        <f>IFERROR(INDEX('FB 콘텐츠 data'!$A$1:$AH$25,MATCH('FB 신규발행'!$A8,'FB 콘텐츠 data'!$AR:$AR,0),MATCH(I$2,'FB 콘텐츠 data'!$A$1:$AH$1,0)),"")</f>
        <v>122</v>
      </c>
      <c r="J8" s="125">
        <f>IFERROR(INDEX('FB 콘텐츠 data'!$A$1:$AH$25,MATCH('FB 신규발행'!$A8,'FB 콘텐츠 data'!$AR:$AR,0),MATCH(J$2,'FB 콘텐츠 data'!$A$1:$AH$1,0)),"")</f>
        <v>14</v>
      </c>
      <c r="K8" s="124">
        <f>IFERROR(INDEX('FB 콘텐츠 data'!$A$1:$AR$25,MATCH('FB 신규발행'!$A8,'FB 콘텐츠 data'!$AR:$AR,0),MATCH(K$2,'FB 콘텐츠 data'!$A$1:$AR$1,0)),"")</f>
        <v>0</v>
      </c>
      <c r="L8" s="125">
        <f>IFERROR(INDEX('FB 콘텐츠 data'!$A$1:$AH$25,MATCH('FB 신규발행'!$A8,'FB 콘텐츠 data'!$AR:$AR,0),MATCH(L$2,'FB 콘텐츠 data'!$A$1:$AH$1,0)),"")</f>
        <v>0</v>
      </c>
      <c r="M8" s="125">
        <f>IFERROR(INDEX('FB 콘텐츠 data'!$A$1:$AH$25,MATCH('FB 신규발행'!$A8,'FB 콘텐츠 data'!$AR:$AR,0),MATCH(M$2,'FB 콘텐츠 data'!$A$1:$AH$1,0)),"")</f>
        <v>44</v>
      </c>
      <c r="N8" s="125">
        <f>IFERROR(INDEX('FB 콘텐츠 data'!$A$1:$AH$25,MATCH('FB 신규발행'!$A8,'FB 콘텐츠 data'!$AR:$AR,0),MATCH(N$2,'FB 콘텐츠 data'!$A$1:$AH$1,0)),"")</f>
        <v>2</v>
      </c>
      <c r="O8" s="125">
        <f>IFERROR(INDEX('FB 콘텐츠 data'!$A$1:$AH$25,MATCH('FB 신규발행'!$A8,'FB 콘텐츠 data'!$AR:$AR,0),MATCH(O$2,'FB 콘텐츠 data'!$A$1:$AH$1,0)),"")</f>
        <v>8</v>
      </c>
      <c r="P8" s="125">
        <f>IFERROR(INDEX('FB 콘텐츠 data'!$A$1:$AH$25,MATCH('FB 신규발행'!$A8,'FB 콘텐츠 data'!$AR:$AR,0),MATCH(P$2,'FB 콘텐츠 data'!$A$1:$AH$1,0)),"")</f>
        <v>21</v>
      </c>
      <c r="Q8" s="125">
        <f>IFERROR(INDEX('FB 콘텐츠 data'!$A$1:$AH$25,MATCH('FB 신규발행'!$A8,'FB 콘텐츠 data'!$AR:$AR,0),MATCH(Q$2,'FB 콘텐츠 data'!$A$1:$AH$1,0)),"")</f>
        <v>67</v>
      </c>
      <c r="R8" s="126">
        <f t="shared" si="1"/>
        <v>3.7325313992570316E-2</v>
      </c>
      <c r="T8" s="48">
        <f t="shared" si="2"/>
        <v>10</v>
      </c>
      <c r="U8" s="48">
        <f t="shared" si="3"/>
        <v>12</v>
      </c>
      <c r="V8">
        <f t="shared" si="4"/>
        <v>5</v>
      </c>
      <c r="Y8" s="112"/>
    </row>
    <row r="9" spans="1:25" ht="17.45" customHeight="1">
      <c r="A9" s="127">
        <v>7</v>
      </c>
      <c r="B9" s="123">
        <f>IFERROR(INDEX('FB 콘텐츠 data'!AQ:AQ,MATCH('FB 신규발행'!A9,'FB 콘텐츠 data'!AR:AR,0)),"")</f>
        <v>45425</v>
      </c>
      <c r="C9" s="124" t="str">
        <f>IFERROR(INDEX('FB 콘텐츠 data'!$A$1:$AH$25,MATCH('FB 신규발행'!$A9,'FB 콘텐츠 data'!$AR:$AR,0),MATCH(C$2,'FB 콘텐츠 data'!$A$1:$AH$1,0)),"")</f>
        <v>링크</v>
      </c>
      <c r="D9" s="125" t="str">
        <f>IFERROR(INDEX('FB 콘텐츠 data'!$A$1:$AH$25,MATCH('FB 신규발행'!$A9,'FB 콘텐츠 data'!$AR:$AR,0),MATCH(D$2,'FB 콘텐츠 data'!$A$1:$AH$1,0)),"")</f>
        <v>5월 CSR 콘텐츠 *뉴스룸 미러링</v>
      </c>
      <c r="E9" s="125">
        <f>IFERROR(INDEX('FB 콘텐츠 data'!$A$1:$AH$25,MATCH('FB 신규발행'!$A9,'FB 콘텐츠 data'!$AR:$AR,0),MATCH(E$2,'FB 콘텐츠 data'!$A$1:$AH$1,0)),"")</f>
        <v>31476</v>
      </c>
      <c r="F9" s="125">
        <f>IFERROR(INDEX('FB 콘텐츠 data'!$A$1:$AH$25,MATCH('FB 신규발행'!$A9,'FB 콘텐츠 data'!$AR:$AR,0),MATCH(F$2,'FB 콘텐츠 data'!$A$1:$AH$1,0)),"")</f>
        <v>21609</v>
      </c>
      <c r="G9" s="125">
        <f>IFERROR(INDEX('FB 콘텐츠 data'!$A$1:$AH$25,MATCH('FB 신규발행'!$A9,'FB 콘텐츠 data'!$AR:$AR,0),MATCH(G$2,'FB 콘텐츠 data'!$A$1:$AH$1,0)),"")</f>
        <v>875</v>
      </c>
      <c r="H9" s="125">
        <f t="shared" si="0"/>
        <v>701</v>
      </c>
      <c r="I9" s="125">
        <f>IFERROR(INDEX('FB 콘텐츠 data'!$A$1:$AH$25,MATCH('FB 신규발행'!$A9,'FB 콘텐츠 data'!$AR:$AR,0),MATCH(I$2,'FB 콘텐츠 data'!$A$1:$AH$1,0)),"")</f>
        <v>164</v>
      </c>
      <c r="J9" s="125">
        <f>IFERROR(INDEX('FB 콘텐츠 data'!$A$1:$AH$25,MATCH('FB 신규발행'!$A9,'FB 콘텐츠 data'!$AR:$AR,0),MATCH(J$2,'FB 콘텐츠 data'!$A$1:$AH$1,0)),"")</f>
        <v>9</v>
      </c>
      <c r="K9" s="124">
        <f>IFERROR(INDEX('FB 콘텐츠 data'!$A$1:$AR$25,MATCH('FB 신규발행'!$A9,'FB 콘텐츠 data'!$AR:$AR,0),MATCH(K$2,'FB 콘텐츠 data'!$A$1:$AR$1,0)),"")</f>
        <v>0</v>
      </c>
      <c r="L9" s="125">
        <f>IFERROR(INDEX('FB 콘텐츠 data'!$A$1:$AH$25,MATCH('FB 신규발행'!$A9,'FB 콘텐츠 data'!$AR:$AR,0),MATCH(L$2,'FB 콘텐츠 data'!$A$1:$AH$1,0)),"")</f>
        <v>0</v>
      </c>
      <c r="M9" s="125">
        <f>IFERROR(INDEX('FB 콘텐츠 data'!$A$1:$AH$25,MATCH('FB 신규발행'!$A9,'FB 콘텐츠 data'!$AR:$AR,0),MATCH(M$2,'FB 콘텐츠 data'!$A$1:$AH$1,0)),"")</f>
        <v>0</v>
      </c>
      <c r="N9" s="125">
        <f>IFERROR(INDEX('FB 콘텐츠 data'!$A$1:$AH$25,MATCH('FB 신규발행'!$A9,'FB 콘텐츠 data'!$AR:$AR,0),MATCH(N$2,'FB 콘텐츠 data'!$A$1:$AH$1,0)),"")</f>
        <v>230</v>
      </c>
      <c r="O9" s="125">
        <f>IFERROR(INDEX('FB 콘텐츠 data'!$A$1:$AH$25,MATCH('FB 신규발행'!$A9,'FB 콘텐츠 data'!$AR:$AR,0),MATCH(O$2,'FB 콘텐츠 data'!$A$1:$AH$1,0)),"")</f>
        <v>5</v>
      </c>
      <c r="P9" s="125">
        <f>IFERROR(INDEX('FB 콘텐츠 data'!$A$1:$AH$25,MATCH('FB 신규발행'!$A9,'FB 콘텐츠 data'!$AR:$AR,0),MATCH(P$2,'FB 콘텐츠 data'!$A$1:$AH$1,0)),"")</f>
        <v>293</v>
      </c>
      <c r="Q9" s="125">
        <f>IFERROR(INDEX('FB 콘텐츠 data'!$A$1:$AH$25,MATCH('FB 신규발행'!$A9,'FB 콘텐츠 data'!$AR:$AR,0),MATCH(Q$2,'FB 콘텐츠 data'!$A$1:$AH$1,0)),"")</f>
        <v>523</v>
      </c>
      <c r="R9" s="126">
        <f t="shared" si="1"/>
        <v>3.2440186959137397E-2</v>
      </c>
      <c r="T9" s="48">
        <f t="shared" si="2"/>
        <v>11</v>
      </c>
      <c r="U9" s="48">
        <f t="shared" si="3"/>
        <v>9</v>
      </c>
      <c r="V9">
        <f t="shared" si="4"/>
        <v>12</v>
      </c>
      <c r="Y9" s="112"/>
    </row>
    <row r="10" spans="1:25" ht="17.45" customHeight="1">
      <c r="A10" s="127">
        <v>8</v>
      </c>
      <c r="B10" s="123">
        <f>IFERROR(INDEX('FB 콘텐츠 data'!AQ:AQ,MATCH('FB 신규발행'!A10,'FB 콘텐츠 data'!AR:AR,0)),"")</f>
        <v>45426</v>
      </c>
      <c r="C10" s="124" t="str">
        <f>IFERROR(INDEX('FB 콘텐츠 data'!$A$1:$AH$25,MATCH('FB 신규발행'!$A10,'FB 콘텐츠 data'!$AR:$AR,0),MATCH(C$2,'FB 콘텐츠 data'!$A$1:$AH$1,0)),"")</f>
        <v>사진</v>
      </c>
      <c r="D10" s="125" t="str">
        <f>IFERROR(INDEX('FB 콘텐츠 data'!$A$1:$AH$25,MATCH('FB 신규발행'!$A10,'FB 콘텐츠 data'!$AR:$AR,0),MATCH(D$2,'FB 콘텐츠 data'!$A$1:$AH$1,0)),"")</f>
        <v>세계 가정의 날</v>
      </c>
      <c r="E10" s="125">
        <f>IFERROR(INDEX('FB 콘텐츠 data'!$A$1:$AH$25,MATCH('FB 신규발행'!$A10,'FB 콘텐츠 data'!$AR:$AR,0),MATCH(E$2,'FB 콘텐츠 data'!$A$1:$AH$1,0)),"")</f>
        <v>10047</v>
      </c>
      <c r="F10" s="125">
        <f>IFERROR(INDEX('FB 콘텐츠 data'!$A$1:$AH$25,MATCH('FB 신규발행'!$A10,'FB 콘텐츠 data'!$AR:$AR,0),MATCH(F$2,'FB 콘텐츠 data'!$A$1:$AH$1,0)),"")</f>
        <v>8769</v>
      </c>
      <c r="G10" s="125">
        <f>IFERROR(INDEX('FB 콘텐츠 data'!$A$1:$AH$25,MATCH('FB 신규발행'!$A10,'FB 콘텐츠 data'!$AR:$AR,0),MATCH(G$2,'FB 콘텐츠 data'!$A$1:$AH$1,0)),"")</f>
        <v>5134</v>
      </c>
      <c r="H10" s="125">
        <f t="shared" si="0"/>
        <v>820</v>
      </c>
      <c r="I10" s="125">
        <f>IFERROR(INDEX('FB 콘텐츠 data'!$A$1:$AH$25,MATCH('FB 신규발행'!$A10,'FB 콘텐츠 data'!$AR:$AR,0),MATCH(I$2,'FB 콘텐츠 data'!$A$1:$AH$1,0)),"")</f>
        <v>443</v>
      </c>
      <c r="J10" s="125">
        <f>IFERROR(INDEX('FB 콘텐츠 data'!$A$1:$AH$25,MATCH('FB 신규발행'!$A10,'FB 콘텐츠 data'!$AR:$AR,0),MATCH(J$2,'FB 콘텐츠 data'!$A$1:$AH$1,0)),"")</f>
        <v>22</v>
      </c>
      <c r="K10" s="124">
        <f>IFERROR(INDEX('FB 콘텐츠 data'!$A$1:$AR$25,MATCH('FB 신규발행'!$A10,'FB 콘텐츠 data'!$AR:$AR,0),MATCH(K$2,'FB 콘텐츠 data'!$A$1:$AR$1,0)),"")</f>
        <v>0</v>
      </c>
      <c r="L10" s="125">
        <f>IFERROR(INDEX('FB 콘텐츠 data'!$A$1:$AH$25,MATCH('FB 신규발행'!$A10,'FB 콘텐츠 data'!$AR:$AR,0),MATCH(L$2,'FB 콘텐츠 data'!$A$1:$AH$1,0)),"")</f>
        <v>0</v>
      </c>
      <c r="M10" s="125">
        <f>IFERROR(INDEX('FB 콘텐츠 data'!$A$1:$AH$25,MATCH('FB 신규발행'!$A10,'FB 콘텐츠 data'!$AR:$AR,0),MATCH(M$2,'FB 콘텐츠 data'!$A$1:$AH$1,0)),"")</f>
        <v>255</v>
      </c>
      <c r="N10" s="125">
        <f>IFERROR(INDEX('FB 콘텐츠 data'!$A$1:$AH$25,MATCH('FB 신규발행'!$A10,'FB 콘텐츠 data'!$AR:$AR,0),MATCH(N$2,'FB 콘텐츠 data'!$A$1:$AH$1,0)),"")</f>
        <v>0</v>
      </c>
      <c r="O10" s="125">
        <f>IFERROR(INDEX('FB 콘텐츠 data'!$A$1:$AH$25,MATCH('FB 신규발행'!$A10,'FB 콘텐츠 data'!$AR:$AR,0),MATCH(O$2,'FB 콘텐츠 data'!$A$1:$AH$1,0)),"")</f>
        <v>28</v>
      </c>
      <c r="P10" s="125">
        <f>IFERROR(INDEX('FB 콘텐츠 data'!$A$1:$AH$25,MATCH('FB 신규발행'!$A10,'FB 콘텐츠 data'!$AR:$AR,0),MATCH(P$2,'FB 콘텐츠 data'!$A$1:$AH$1,0)),"")</f>
        <v>72</v>
      </c>
      <c r="Q10" s="125">
        <f>IFERROR(INDEX('FB 콘텐츠 data'!$A$1:$AH$25,MATCH('FB 신규발행'!$A10,'FB 콘텐츠 data'!$AR:$AR,0),MATCH(Q$2,'FB 콘텐츠 data'!$A$1:$AH$1,0)),"")</f>
        <v>327</v>
      </c>
      <c r="R10" s="126">
        <f t="shared" si="1"/>
        <v>9.3511232751739087E-2</v>
      </c>
      <c r="T10" s="48">
        <f t="shared" si="2"/>
        <v>4</v>
      </c>
      <c r="U10" s="48">
        <f t="shared" si="3"/>
        <v>11</v>
      </c>
      <c r="V10">
        <f t="shared" si="4"/>
        <v>9</v>
      </c>
      <c r="Y10" s="112"/>
    </row>
    <row r="11" spans="1:25" ht="17.45" customHeight="1">
      <c r="A11" s="127">
        <v>9</v>
      </c>
      <c r="B11" s="123">
        <f>IFERROR(INDEX('FB 콘텐츠 data'!AQ:AQ,MATCH('FB 신규발행'!A11,'FB 콘텐츠 data'!AR:AR,0)),"")</f>
        <v>45431</v>
      </c>
      <c r="C11" s="124" t="str">
        <f>IFERROR(INDEX('FB 콘텐츠 data'!$A$1:$AH$25,MATCH('FB 신규발행'!$A11,'FB 콘텐츠 data'!$AR:$AR,0),MATCH(C$2,'FB 콘텐츠 data'!$A$1:$AH$1,0)),"")</f>
        <v>사진</v>
      </c>
      <c r="D11" s="125" t="str">
        <f>IFERROR(INDEX('FB 콘텐츠 data'!$A$1:$AH$25,MATCH('FB 신규발행'!$A11,'FB 콘텐츠 data'!$AR:$AR,0),MATCH(D$2,'FB 콘텐츠 data'!$A$1:$AH$1,0)),"")</f>
        <v>이노드림(지두 크리슈나무르티)</v>
      </c>
      <c r="E11" s="125">
        <f>IFERROR(INDEX('FB 콘텐츠 data'!$A$1:$AH$25,MATCH('FB 신규발행'!$A11,'FB 콘텐츠 data'!$AR:$AR,0),MATCH(E$2,'FB 콘텐츠 data'!$A$1:$AH$1,0)),"")</f>
        <v>5341</v>
      </c>
      <c r="F11" s="125">
        <f>IFERROR(INDEX('FB 콘텐츠 data'!$A$1:$AH$25,MATCH('FB 신규발행'!$A11,'FB 콘텐츠 data'!$AR:$AR,0),MATCH(F$2,'FB 콘텐츠 data'!$A$1:$AH$1,0)),"")</f>
        <v>4754</v>
      </c>
      <c r="G11" s="125">
        <f>IFERROR(INDEX('FB 콘텐츠 data'!$A$1:$AH$25,MATCH('FB 신규발행'!$A11,'FB 콘텐츠 data'!$AR:$AR,0),MATCH(G$2,'FB 콘텐츠 data'!$A$1:$AH$1,0)),"")</f>
        <v>4451</v>
      </c>
      <c r="H11" s="125">
        <f t="shared" si="0"/>
        <v>248</v>
      </c>
      <c r="I11" s="125">
        <f>IFERROR(INDEX('FB 콘텐츠 data'!$A$1:$AH$25,MATCH('FB 신규발행'!$A11,'FB 콘텐츠 data'!$AR:$AR,0),MATCH(I$2,'FB 콘텐츠 data'!$A$1:$AH$1,0)),"")</f>
        <v>154</v>
      </c>
      <c r="J11" s="125">
        <f>IFERROR(INDEX('FB 콘텐츠 data'!$A$1:$AH$25,MATCH('FB 신규발행'!$A11,'FB 콘텐츠 data'!$AR:$AR,0),MATCH(J$2,'FB 콘텐츠 data'!$A$1:$AH$1,0)),"")</f>
        <v>13</v>
      </c>
      <c r="K11" s="124">
        <f>IFERROR(INDEX('FB 콘텐츠 data'!$A$1:$AR$25,MATCH('FB 신규발행'!$A11,'FB 콘텐츠 data'!$AR:$AR,0),MATCH(K$2,'FB 콘텐츠 data'!$A$1:$AR$1,0)),"")</f>
        <v>0</v>
      </c>
      <c r="L11" s="125">
        <f>IFERROR(INDEX('FB 콘텐츠 data'!$A$1:$AH$25,MATCH('FB 신규발행'!$A11,'FB 콘텐츠 data'!$AR:$AR,0),MATCH(L$2,'FB 콘텐츠 data'!$A$1:$AH$1,0)),"")</f>
        <v>0</v>
      </c>
      <c r="M11" s="125">
        <f>IFERROR(INDEX('FB 콘텐츠 data'!$A$1:$AH$25,MATCH('FB 신규발행'!$A11,'FB 콘텐츠 data'!$AR:$AR,0),MATCH(M$2,'FB 콘텐츠 data'!$A$1:$AH$1,0)),"")</f>
        <v>49</v>
      </c>
      <c r="N11" s="125">
        <f>IFERROR(INDEX('FB 콘텐츠 data'!$A$1:$AH$25,MATCH('FB 신규발행'!$A11,'FB 콘텐츠 data'!$AR:$AR,0),MATCH(N$2,'FB 콘텐츠 data'!$A$1:$AH$1,0)),"")</f>
        <v>1</v>
      </c>
      <c r="O11" s="125">
        <f>IFERROR(INDEX('FB 콘텐츠 data'!$A$1:$AH$25,MATCH('FB 신규발행'!$A11,'FB 콘텐츠 data'!$AR:$AR,0),MATCH(O$2,'FB 콘텐츠 data'!$A$1:$AH$1,0)),"")</f>
        <v>6</v>
      </c>
      <c r="P11" s="125">
        <f>IFERROR(INDEX('FB 콘텐츠 data'!$A$1:$AH$25,MATCH('FB 신규발행'!$A11,'FB 콘텐츠 data'!$AR:$AR,0),MATCH(P$2,'FB 콘텐츠 data'!$A$1:$AH$1,0)),"")</f>
        <v>25</v>
      </c>
      <c r="Q11" s="125">
        <f>IFERROR(INDEX('FB 콘텐츠 data'!$A$1:$AH$25,MATCH('FB 신규발행'!$A11,'FB 콘텐츠 data'!$AR:$AR,0),MATCH(Q$2,'FB 콘텐츠 data'!$A$1:$AH$1,0)),"")</f>
        <v>75</v>
      </c>
      <c r="R11" s="126">
        <f t="shared" si="1"/>
        <v>5.2166596550273454E-2</v>
      </c>
      <c r="T11" s="48">
        <f t="shared" si="2"/>
        <v>8</v>
      </c>
      <c r="U11" s="48">
        <f t="shared" si="3"/>
        <v>14</v>
      </c>
      <c r="V11">
        <f t="shared" si="4"/>
        <v>2</v>
      </c>
      <c r="Y11" s="112"/>
    </row>
    <row r="12" spans="1:25" ht="17.45" customHeight="1">
      <c r="A12" s="127">
        <v>10</v>
      </c>
      <c r="B12" s="123">
        <f>IFERROR(INDEX('FB 콘텐츠 data'!AQ:AQ,MATCH('FB 신규발행'!A12,'FB 콘텐츠 data'!AR:AR,0)),"")</f>
        <v>45433</v>
      </c>
      <c r="C12" s="124" t="str">
        <f>IFERROR(INDEX('FB 콘텐츠 data'!$A$1:$AH$25,MATCH('FB 신규발행'!$A12,'FB 콘텐츠 data'!$AR:$AR,0),MATCH(C$2,'FB 콘텐츠 data'!$A$1:$AH$1,0)),"")</f>
        <v>사진</v>
      </c>
      <c r="D12" s="125" t="str">
        <f>IFERROR(INDEX('FB 콘텐츠 data'!$A$1:$AH$25,MATCH('FB 신규발행'!$A12,'FB 콘텐츠 data'!$AR:$AR,0),MATCH(D$2,'FB 콘텐츠 data'!$A$1:$AH$1,0)),"")</f>
        <v>[SKinno Tech] 항공유</v>
      </c>
      <c r="E12" s="125">
        <f>IFERROR(INDEX('FB 콘텐츠 data'!$A$1:$AH$25,MATCH('FB 신규발행'!$A12,'FB 콘텐츠 data'!$AR:$AR,0),MATCH(E$2,'FB 콘텐츠 data'!$A$1:$AH$1,0)),"")</f>
        <v>60494</v>
      </c>
      <c r="F12" s="125">
        <f>IFERROR(INDEX('FB 콘텐츠 data'!$A$1:$AH$25,MATCH('FB 신규발행'!$A12,'FB 콘텐츠 data'!$AR:$AR,0),MATCH(F$2,'FB 콘텐츠 data'!$A$1:$AH$1,0)),"")</f>
        <v>38807</v>
      </c>
      <c r="G12" s="125">
        <f>IFERROR(INDEX('FB 콘텐츠 data'!$A$1:$AH$25,MATCH('FB 신규발행'!$A12,'FB 콘텐츠 data'!$AR:$AR,0),MATCH(G$2,'FB 콘텐츠 data'!$A$1:$AH$1,0)),"")</f>
        <v>2395</v>
      </c>
      <c r="H12" s="125">
        <f t="shared" si="0"/>
        <v>3186</v>
      </c>
      <c r="I12" s="125">
        <f>IFERROR(INDEX('FB 콘텐츠 data'!$A$1:$AH$25,MATCH('FB 신규발행'!$A12,'FB 콘텐츠 data'!$AR:$AR,0),MATCH(I$2,'FB 콘텐츠 data'!$A$1:$AH$1,0)),"")</f>
        <v>355</v>
      </c>
      <c r="J12" s="125">
        <f>IFERROR(INDEX('FB 콘텐츠 data'!$A$1:$AH$25,MATCH('FB 신규발행'!$A12,'FB 콘텐츠 data'!$AR:$AR,0),MATCH(J$2,'FB 콘텐츠 data'!$A$1:$AH$1,0)),"")</f>
        <v>13</v>
      </c>
      <c r="K12" s="124">
        <f>IFERROR(INDEX('FB 콘텐츠 data'!$A$1:$AR$25,MATCH('FB 신규발행'!$A12,'FB 콘텐츠 data'!$AR:$AR,0),MATCH(K$2,'FB 콘텐츠 data'!$A$1:$AR$1,0)),"")</f>
        <v>0</v>
      </c>
      <c r="L12" s="125">
        <f>IFERROR(INDEX('FB 콘텐츠 data'!$A$1:$AH$25,MATCH('FB 신규발행'!$A12,'FB 콘텐츠 data'!$AR:$AR,0),MATCH(L$2,'FB 콘텐츠 data'!$A$1:$AH$1,0)),"")</f>
        <v>0</v>
      </c>
      <c r="M12" s="125">
        <f>IFERROR(INDEX('FB 콘텐츠 data'!$A$1:$AH$25,MATCH('FB 신규발행'!$A12,'FB 콘텐츠 data'!$AR:$AR,0),MATCH(M$2,'FB 콘텐츠 data'!$A$1:$AH$1,0)),"")</f>
        <v>0</v>
      </c>
      <c r="N12" s="125">
        <f>IFERROR(INDEX('FB 콘텐츠 data'!$A$1:$AH$25,MATCH('FB 신규발행'!$A12,'FB 콘텐츠 data'!$AR:$AR,0),MATCH(N$2,'FB 콘텐츠 data'!$A$1:$AH$1,0)),"")</f>
        <v>10</v>
      </c>
      <c r="O12" s="125">
        <f>IFERROR(INDEX('FB 콘텐츠 data'!$A$1:$AH$25,MATCH('FB 신규발행'!$A12,'FB 콘텐츠 data'!$AR:$AR,0),MATCH(O$2,'FB 콘텐츠 data'!$A$1:$AH$1,0)),"")</f>
        <v>33</v>
      </c>
      <c r="P12" s="125">
        <f>IFERROR(INDEX('FB 콘텐츠 data'!$A$1:$AH$25,MATCH('FB 신규발행'!$A12,'FB 콘텐츠 data'!$AR:$AR,0),MATCH(P$2,'FB 콘텐츠 data'!$A$1:$AH$1,0)),"")</f>
        <v>393</v>
      </c>
      <c r="Q12" s="125">
        <f>IFERROR(INDEX('FB 콘텐츠 data'!$A$1:$AH$25,MATCH('FB 신규발행'!$A12,'FB 콘텐츠 data'!$AR:$AR,0),MATCH(Q$2,'FB 콘텐츠 data'!$A$1:$AH$1,0)),"")</f>
        <v>2785</v>
      </c>
      <c r="R12" s="126">
        <f t="shared" si="1"/>
        <v>8.2098590460483928E-2</v>
      </c>
      <c r="T12" s="48">
        <f t="shared" si="2"/>
        <v>5</v>
      </c>
      <c r="U12" s="48">
        <f t="shared" si="3"/>
        <v>3</v>
      </c>
      <c r="V12">
        <f t="shared" si="4"/>
        <v>6</v>
      </c>
      <c r="Y12" s="112"/>
    </row>
    <row r="13" spans="1:25" ht="17.45" customHeight="1">
      <c r="A13" s="127">
        <v>11</v>
      </c>
      <c r="B13" s="123">
        <f>IFERROR(INDEX('FB 콘텐츠 data'!AQ:AQ,MATCH('FB 신규발행'!A13,'FB 콘텐츠 data'!AR:AR,0)),"")</f>
        <v>45435</v>
      </c>
      <c r="C13" s="124" t="str">
        <f>IFERROR(INDEX('FB 콘텐츠 data'!$A$1:$AH$25,MATCH('FB 신규발행'!$A13,'FB 콘텐츠 data'!$AR:$AR,0),MATCH(C$2,'FB 콘텐츠 data'!$A$1:$AH$1,0)),"")</f>
        <v>사진</v>
      </c>
      <c r="D13" s="125" t="str">
        <f>IFERROR(INDEX('FB 콘텐츠 data'!$A$1:$AH$25,MATCH('FB 신규발행'!$A13,'FB 콘텐츠 data'!$AR:$AR,0),MATCH(D$2,'FB 콘텐츠 data'!$A$1:$AH$1,0)),"")</f>
        <v>울산대공원 장미축제 현장 사진</v>
      </c>
      <c r="E13" s="125">
        <f>IFERROR(INDEX('FB 콘텐츠 data'!$A$1:$AH$25,MATCH('FB 신규발행'!$A13,'FB 콘텐츠 data'!$AR:$AR,0),MATCH(E$2,'FB 콘텐츠 data'!$A$1:$AH$1,0)),"")</f>
        <v>119819</v>
      </c>
      <c r="F13" s="125">
        <f>IFERROR(INDEX('FB 콘텐츠 data'!$A$1:$AH$25,MATCH('FB 신규발행'!$A13,'FB 콘텐츠 data'!$AR:$AR,0),MATCH(F$2,'FB 콘텐츠 data'!$A$1:$AH$1,0)),"")</f>
        <v>84105</v>
      </c>
      <c r="G13" s="125">
        <f>IFERROR(INDEX('FB 콘텐츠 data'!$A$1:$AH$25,MATCH('FB 신규발행'!$A13,'FB 콘텐츠 data'!$AR:$AR,0),MATCH(G$2,'FB 콘텐츠 data'!$A$1:$AH$1,0)),"")</f>
        <v>19366</v>
      </c>
      <c r="H13" s="125">
        <f t="shared" si="0"/>
        <v>20776</v>
      </c>
      <c r="I13" s="125">
        <f>IFERROR(INDEX('FB 콘텐츠 data'!$A$1:$AH$25,MATCH('FB 신규발행'!$A13,'FB 콘텐츠 data'!$AR:$AR,0),MATCH(I$2,'FB 콘텐츠 data'!$A$1:$AH$1,0)),"")</f>
        <v>2255</v>
      </c>
      <c r="J13" s="125">
        <f>IFERROR(INDEX('FB 콘텐츠 data'!$A$1:$AH$25,MATCH('FB 신규발행'!$A13,'FB 콘텐츠 data'!$AR:$AR,0),MATCH(J$2,'FB 콘텐츠 data'!$A$1:$AH$1,0)),"")</f>
        <v>186</v>
      </c>
      <c r="K13" s="124">
        <f>IFERROR(INDEX('FB 콘텐츠 data'!$A$1:$AR$25,MATCH('FB 신규발행'!$A13,'FB 콘텐츠 data'!$AR:$AR,0),MATCH(K$2,'FB 콘텐츠 data'!$A$1:$AR$1,0)),"")</f>
        <v>0</v>
      </c>
      <c r="L13" s="125">
        <f>IFERROR(INDEX('FB 콘텐츠 data'!$A$1:$AH$25,MATCH('FB 신규발행'!$A13,'FB 콘텐츠 data'!$AR:$AR,0),MATCH(L$2,'FB 콘텐츠 data'!$A$1:$AH$1,0)),"")</f>
        <v>0</v>
      </c>
      <c r="M13" s="125">
        <f>IFERROR(INDEX('FB 콘텐츠 data'!$A$1:$AH$25,MATCH('FB 신규발행'!$A13,'FB 콘텐츠 data'!$AR:$AR,0),MATCH(M$2,'FB 콘텐츠 data'!$A$1:$AH$1,0)),"")</f>
        <v>0</v>
      </c>
      <c r="N13" s="125">
        <f>IFERROR(INDEX('FB 콘텐츠 data'!$A$1:$AH$25,MATCH('FB 신규발행'!$A13,'FB 콘텐츠 data'!$AR:$AR,0),MATCH(N$2,'FB 콘텐츠 data'!$A$1:$AH$1,0)),"")</f>
        <v>182</v>
      </c>
      <c r="O13" s="125">
        <f>IFERROR(INDEX('FB 콘텐츠 data'!$A$1:$AH$25,MATCH('FB 신규발행'!$A13,'FB 콘텐츠 data'!$AR:$AR,0),MATCH(O$2,'FB 콘텐츠 data'!$A$1:$AH$1,0)),"")</f>
        <v>190</v>
      </c>
      <c r="P13" s="125">
        <f>IFERROR(INDEX('FB 콘텐츠 data'!$A$1:$AH$25,MATCH('FB 신규발행'!$A13,'FB 콘텐츠 data'!$AR:$AR,0),MATCH(P$2,'FB 콘텐츠 data'!$A$1:$AH$1,0)),"")</f>
        <v>8112</v>
      </c>
      <c r="Q13" s="125">
        <f>IFERROR(INDEX('FB 콘텐츠 data'!$A$1:$AH$25,MATCH('FB 신규발행'!$A13,'FB 콘텐츠 data'!$AR:$AR,0),MATCH(Q$2,'FB 콘텐츠 data'!$A$1:$AH$1,0)),"")</f>
        <v>18145</v>
      </c>
      <c r="R13" s="126">
        <f t="shared" si="1"/>
        <v>0.24702455264253018</v>
      </c>
      <c r="T13" s="48">
        <f t="shared" si="2"/>
        <v>1</v>
      </c>
      <c r="U13" s="48">
        <f t="shared" si="3"/>
        <v>1</v>
      </c>
      <c r="V13">
        <f t="shared" si="4"/>
        <v>7</v>
      </c>
      <c r="Y13" s="112"/>
    </row>
    <row r="14" spans="1:25" ht="17.45" customHeight="1">
      <c r="A14" s="127">
        <v>12</v>
      </c>
      <c r="B14" s="123">
        <f>IFERROR(INDEX('FB 콘텐츠 data'!AQ:AQ,MATCH('FB 신규발행'!A14,'FB 콘텐츠 data'!AR:AR,0)),"")</f>
        <v>45438</v>
      </c>
      <c r="C14" s="124" t="str">
        <f>IFERROR(INDEX('FB 콘텐츠 data'!$A$1:$AH$25,MATCH('FB 신규발행'!$A14,'FB 콘텐츠 data'!$AR:$AR,0),MATCH(C$2,'FB 콘텐츠 data'!$A$1:$AH$1,0)),"")</f>
        <v>사진</v>
      </c>
      <c r="D14" s="125" t="str">
        <f>IFERROR(INDEX('FB 콘텐츠 data'!$A$1:$AH$25,MATCH('FB 신규발행'!$A14,'FB 콘텐츠 data'!$AR:$AR,0),MATCH(D$2,'FB 콘텐츠 data'!$A$1:$AH$1,0)),"")</f>
        <v>이노드림(존 스튜어트 밀)</v>
      </c>
      <c r="E14" s="125">
        <f>IFERROR(INDEX('FB 콘텐츠 data'!$A$1:$AH$25,MATCH('FB 신규발행'!$A14,'FB 콘텐츠 data'!$AR:$AR,0),MATCH(E$2,'FB 콘텐츠 data'!$A$1:$AH$1,0)),"")</f>
        <v>2932</v>
      </c>
      <c r="F14" s="125">
        <f>IFERROR(INDEX('FB 콘텐츠 data'!$A$1:$AH$25,MATCH('FB 신규발행'!$A14,'FB 콘텐츠 data'!$AR:$AR,0),MATCH(F$2,'FB 콘텐츠 data'!$A$1:$AH$1,0)),"")</f>
        <v>2696</v>
      </c>
      <c r="G14" s="125">
        <f>IFERROR(INDEX('FB 콘텐츠 data'!$A$1:$AH$25,MATCH('FB 신규발행'!$A14,'FB 콘텐츠 data'!$AR:$AR,0),MATCH(G$2,'FB 콘텐츠 data'!$A$1:$AH$1,0)),"")</f>
        <v>2648</v>
      </c>
      <c r="H14" s="125">
        <f t="shared" si="0"/>
        <v>205</v>
      </c>
      <c r="I14" s="125">
        <f>IFERROR(INDEX('FB 콘텐츠 data'!$A$1:$AH$25,MATCH('FB 신규발행'!$A14,'FB 콘텐츠 data'!$AR:$AR,0),MATCH(I$2,'FB 콘텐츠 data'!$A$1:$AH$1,0)),"")</f>
        <v>121</v>
      </c>
      <c r="J14" s="125">
        <f>IFERROR(INDEX('FB 콘텐츠 data'!$A$1:$AH$25,MATCH('FB 신규발행'!$A14,'FB 콘텐츠 data'!$AR:$AR,0),MATCH(J$2,'FB 콘텐츠 data'!$A$1:$AH$1,0)),"")</f>
        <v>9</v>
      </c>
      <c r="K14" s="124">
        <f>IFERROR(INDEX('FB 콘텐츠 data'!$A$1:$AR$25,MATCH('FB 신규발행'!$A14,'FB 콘텐츠 data'!$AR:$AR,0),MATCH(K$2,'FB 콘텐츠 data'!$A$1:$AR$1,0)),"")</f>
        <v>0</v>
      </c>
      <c r="L14" s="125">
        <f>IFERROR(INDEX('FB 콘텐츠 data'!$A$1:$AH$25,MATCH('FB 신규발행'!$A14,'FB 콘텐츠 data'!$AR:$AR,0),MATCH(L$2,'FB 콘텐츠 data'!$A$1:$AH$1,0)),"")</f>
        <v>0</v>
      </c>
      <c r="M14" s="125">
        <f>IFERROR(INDEX('FB 콘텐츠 data'!$A$1:$AH$25,MATCH('FB 신규발행'!$A14,'FB 콘텐츠 data'!$AR:$AR,0),MATCH(M$2,'FB 콘텐츠 data'!$A$1:$AH$1,0)),"")</f>
        <v>49</v>
      </c>
      <c r="N14" s="125">
        <f>IFERROR(INDEX('FB 콘텐츠 data'!$A$1:$AH$25,MATCH('FB 신규발행'!$A14,'FB 콘텐츠 data'!$AR:$AR,0),MATCH(N$2,'FB 콘텐츠 data'!$A$1:$AH$1,0)),"")</f>
        <v>0</v>
      </c>
      <c r="O14" s="125">
        <f>IFERROR(INDEX('FB 콘텐츠 data'!$A$1:$AH$25,MATCH('FB 신규발행'!$A14,'FB 콘텐츠 data'!$AR:$AR,0),MATCH(O$2,'FB 콘텐츠 data'!$A$1:$AH$1,0)),"")</f>
        <v>11</v>
      </c>
      <c r="P14" s="125">
        <f>IFERROR(INDEX('FB 콘텐츠 data'!$A$1:$AH$25,MATCH('FB 신규발행'!$A14,'FB 콘텐츠 data'!$AR:$AR,0),MATCH(P$2,'FB 콘텐츠 data'!$A$1:$AH$1,0)),"")</f>
        <v>15</v>
      </c>
      <c r="Q14" s="125">
        <f>IFERROR(INDEX('FB 콘텐츠 data'!$A$1:$AH$25,MATCH('FB 신규발행'!$A14,'FB 콘텐츠 data'!$AR:$AR,0),MATCH(Q$2,'FB 콘텐츠 data'!$A$1:$AH$1,0)),"")</f>
        <v>64</v>
      </c>
      <c r="R14" s="126">
        <f t="shared" si="1"/>
        <v>7.6038575667655789E-2</v>
      </c>
      <c r="T14" s="48">
        <f t="shared" si="2"/>
        <v>7</v>
      </c>
      <c r="U14" s="48">
        <f t="shared" si="3"/>
        <v>15</v>
      </c>
      <c r="V14">
        <f t="shared" si="4"/>
        <v>1</v>
      </c>
      <c r="Y14" s="112"/>
    </row>
    <row r="15" spans="1:25" ht="17.45" customHeight="1">
      <c r="A15" s="127">
        <v>13</v>
      </c>
      <c r="B15" s="123">
        <f>IFERROR(INDEX('FB 콘텐츠 data'!AQ:AQ,MATCH('FB 신규발행'!A15,'FB 콘텐츠 data'!AR:AR,0)),"")</f>
        <v>45438</v>
      </c>
      <c r="C15" s="124" t="str">
        <f>IFERROR(INDEX('FB 콘텐츠 data'!$A$1:$AH$25,MATCH('FB 신규발행'!$A15,'FB 콘텐츠 data'!$AR:$AR,0),MATCH(C$2,'FB 콘텐츠 data'!$A$1:$AH$1,0)),"")</f>
        <v>링크</v>
      </c>
      <c r="D15" s="125" t="str">
        <f>IFERROR(INDEX('FB 콘텐츠 data'!$A$1:$AH$25,MATCH('FB 신규발행'!$A15,'FB 콘텐츠 data'!$AR:$AR,0),MATCH(D$2,'FB 콘텐츠 data'!$A$1:$AH$1,0)),"")</f>
        <v>에너지食 Ep.1 *뉴스룸 미러링</v>
      </c>
      <c r="E15" s="125">
        <f>IFERROR(INDEX('FB 콘텐츠 data'!$A$1:$AH$25,MATCH('FB 신규발행'!$A15,'FB 콘텐츠 data'!$AR:$AR,0),MATCH(E$2,'FB 콘텐츠 data'!$A$1:$AH$1,0)),"")</f>
        <v>35289</v>
      </c>
      <c r="F15" s="125">
        <f>IFERROR(INDEX('FB 콘텐츠 data'!$A$1:$AH$25,MATCH('FB 신규발행'!$A15,'FB 콘텐츠 data'!$AR:$AR,0),MATCH(F$2,'FB 콘텐츠 data'!$A$1:$AH$1,0)),"")</f>
        <v>24242</v>
      </c>
      <c r="G15" s="125">
        <f>IFERROR(INDEX('FB 콘텐츠 data'!$A$1:$AH$25,MATCH('FB 신규발행'!$A15,'FB 콘텐츠 data'!$AR:$AR,0),MATCH(G$2,'FB 콘텐츠 data'!$A$1:$AH$1,0)),"")</f>
        <v>2431</v>
      </c>
      <c r="H15" s="125">
        <f t="shared" si="0"/>
        <v>555</v>
      </c>
      <c r="I15" s="125">
        <f>IFERROR(INDEX('FB 콘텐츠 data'!$A$1:$AH$25,MATCH('FB 신규발행'!$A15,'FB 콘텐츠 data'!$AR:$AR,0),MATCH(I$2,'FB 콘텐츠 data'!$A$1:$AH$1,0)),"")</f>
        <v>142</v>
      </c>
      <c r="J15" s="125">
        <f>IFERROR(INDEX('FB 콘텐츠 data'!$A$1:$AH$25,MATCH('FB 신규발행'!$A15,'FB 콘텐츠 data'!$AR:$AR,0),MATCH(J$2,'FB 콘텐츠 data'!$A$1:$AH$1,0)),"")</f>
        <v>12</v>
      </c>
      <c r="K15" s="124">
        <f>IFERROR(INDEX('FB 콘텐츠 data'!$A$1:$AR$25,MATCH('FB 신규발행'!$A15,'FB 콘텐츠 data'!$AR:$AR,0),MATCH(K$2,'FB 콘텐츠 data'!$A$1:$AR$1,0)),"")</f>
        <v>0</v>
      </c>
      <c r="L15" s="125">
        <f>IFERROR(INDEX('FB 콘텐츠 data'!$A$1:$AH$25,MATCH('FB 신규발행'!$A15,'FB 콘텐츠 data'!$AR:$AR,0),MATCH(L$2,'FB 콘텐츠 data'!$A$1:$AH$1,0)),"")</f>
        <v>0</v>
      </c>
      <c r="M15" s="125">
        <f>IFERROR(INDEX('FB 콘텐츠 data'!$A$1:$AH$25,MATCH('FB 신규발행'!$A15,'FB 콘텐츠 data'!$AR:$AR,0),MATCH(M$2,'FB 콘텐츠 data'!$A$1:$AH$1,0)),"")</f>
        <v>0</v>
      </c>
      <c r="N15" s="125">
        <f>IFERROR(INDEX('FB 콘텐츠 data'!$A$1:$AH$25,MATCH('FB 신규발행'!$A15,'FB 콘텐츠 data'!$AR:$AR,0),MATCH(N$2,'FB 콘텐츠 data'!$A$1:$AH$1,0)),"")</f>
        <v>150</v>
      </c>
      <c r="O15" s="125">
        <f>IFERROR(INDEX('FB 콘텐츠 data'!$A$1:$AH$25,MATCH('FB 신규발행'!$A15,'FB 콘텐츠 data'!$AR:$AR,0),MATCH(O$2,'FB 콘텐츠 data'!$A$1:$AH$1,0)),"")</f>
        <v>4</v>
      </c>
      <c r="P15" s="125">
        <f>IFERROR(INDEX('FB 콘텐츠 data'!$A$1:$AH$25,MATCH('FB 신규발행'!$A15,'FB 콘텐츠 data'!$AR:$AR,0),MATCH(P$2,'FB 콘텐츠 data'!$A$1:$AH$1,0)),"")</f>
        <v>247</v>
      </c>
      <c r="Q15" s="125">
        <f>IFERROR(INDEX('FB 콘텐츠 data'!$A$1:$AH$25,MATCH('FB 신규발행'!$A15,'FB 콘텐츠 data'!$AR:$AR,0),MATCH(Q$2,'FB 콘텐츠 data'!$A$1:$AH$1,0)),"")</f>
        <v>397</v>
      </c>
      <c r="R15" s="126">
        <f t="shared" si="1"/>
        <v>2.2894150647636332E-2</v>
      </c>
      <c r="T15" s="48">
        <f t="shared" si="2"/>
        <v>13</v>
      </c>
      <c r="U15" s="48">
        <f t="shared" si="3"/>
        <v>8</v>
      </c>
      <c r="V15">
        <f t="shared" si="4"/>
        <v>13</v>
      </c>
      <c r="Y15" s="112"/>
    </row>
    <row r="16" spans="1:25" ht="17.45" customHeight="1">
      <c r="A16" s="127">
        <v>14</v>
      </c>
      <c r="B16" s="123">
        <f>IFERROR(INDEX('FB 콘텐츠 data'!AQ:AQ,MATCH('FB 신규발행'!A16,'FB 콘텐츠 data'!AR:AR,0)),"")</f>
        <v>45441</v>
      </c>
      <c r="C16" s="124" t="str">
        <f>IFERROR(INDEX('FB 콘텐츠 data'!$A$1:$AH$25,MATCH('FB 신규발행'!$A16,'FB 콘텐츠 data'!$AR:$AR,0),MATCH(C$2,'FB 콘텐츠 data'!$A$1:$AH$1,0)),"")</f>
        <v>사진</v>
      </c>
      <c r="D16" s="125" t="str">
        <f>IFERROR(INDEX('FB 콘텐츠 data'!$A$1:$AH$25,MATCH('FB 신규발행'!$A16,'FB 콘텐츠 data'!$AR:$AR,0),MATCH(D$2,'FB 콘텐츠 data'!$A$1:$AH$1,0)),"")</f>
        <v>[과거의 오늘] 서산 배터리 제1공장 착공</v>
      </c>
      <c r="E16" s="125">
        <f>IFERROR(INDEX('FB 콘텐츠 data'!$A$1:$AH$25,MATCH('FB 신규발행'!$A16,'FB 콘텐츠 data'!$AR:$AR,0),MATCH(E$2,'FB 콘텐츠 data'!$A$1:$AH$1,0)),"")</f>
        <v>40246</v>
      </c>
      <c r="F16" s="125">
        <f>IFERROR(INDEX('FB 콘텐츠 data'!$A$1:$AH$25,MATCH('FB 신규발행'!$A16,'FB 콘텐츠 data'!$AR:$AR,0),MATCH(F$2,'FB 콘텐츠 data'!$A$1:$AH$1,0)),"")</f>
        <v>25183</v>
      </c>
      <c r="G16" s="125">
        <f>IFERROR(INDEX('FB 콘텐츠 data'!$A$1:$AH$25,MATCH('FB 신규발행'!$A16,'FB 콘텐츠 data'!$AR:$AR,0),MATCH(G$2,'FB 콘텐츠 data'!$A$1:$AH$1,0)),"")</f>
        <v>4053</v>
      </c>
      <c r="H16" s="125">
        <f t="shared" si="0"/>
        <v>2588</v>
      </c>
      <c r="I16" s="125">
        <f>IFERROR(INDEX('FB 콘텐츠 data'!$A$1:$AH$25,MATCH('FB 신규발행'!$A16,'FB 콘텐츠 data'!$AR:$AR,0),MATCH(I$2,'FB 콘텐츠 data'!$A$1:$AH$1,0)),"")</f>
        <v>482</v>
      </c>
      <c r="J16" s="125">
        <f>IFERROR(INDEX('FB 콘텐츠 data'!$A$1:$AH$25,MATCH('FB 신규발행'!$A16,'FB 콘텐츠 data'!$AR:$AR,0),MATCH(J$2,'FB 콘텐츠 data'!$A$1:$AH$1,0)),"")</f>
        <v>27</v>
      </c>
      <c r="K16" s="124">
        <f>IFERROR(INDEX('FB 콘텐츠 data'!$A$1:$AR$25,MATCH('FB 신규발행'!$A16,'FB 콘텐츠 data'!$AR:$AR,0),MATCH(K$2,'FB 콘텐츠 data'!$A$1:$AR$1,0)),"")</f>
        <v>0</v>
      </c>
      <c r="L16" s="125">
        <f>IFERROR(INDEX('FB 콘텐츠 data'!$A$1:$AH$25,MATCH('FB 신규발행'!$A16,'FB 콘텐츠 data'!$AR:$AR,0),MATCH(L$2,'FB 콘텐츠 data'!$A$1:$AH$1,0)),"")</f>
        <v>0</v>
      </c>
      <c r="M16" s="125">
        <f>IFERROR(INDEX('FB 콘텐츠 data'!$A$1:$AH$25,MATCH('FB 신규발행'!$A16,'FB 콘텐츠 data'!$AR:$AR,0),MATCH(M$2,'FB 콘텐츠 data'!$A$1:$AH$1,0)),"")</f>
        <v>0</v>
      </c>
      <c r="N16" s="125">
        <f>IFERROR(INDEX('FB 콘텐츠 data'!$A$1:$AH$25,MATCH('FB 신규발행'!$A16,'FB 콘텐츠 data'!$AR:$AR,0),MATCH(N$2,'FB 콘텐츠 data'!$A$1:$AH$1,0)),"")</f>
        <v>15</v>
      </c>
      <c r="O16" s="125">
        <f>IFERROR(INDEX('FB 콘텐츠 data'!$A$1:$AH$25,MATCH('FB 신규발행'!$A16,'FB 콘텐츠 data'!$AR:$AR,0),MATCH(O$2,'FB 콘텐츠 data'!$A$1:$AH$1,0)),"")</f>
        <v>5</v>
      </c>
      <c r="P16" s="125">
        <f>IFERROR(INDEX('FB 콘텐츠 data'!$A$1:$AH$25,MATCH('FB 신규발행'!$A16,'FB 콘텐츠 data'!$AR:$AR,0),MATCH(P$2,'FB 콘텐츠 data'!$A$1:$AH$1,0)),"")</f>
        <v>696</v>
      </c>
      <c r="Q16" s="125">
        <f>IFERROR(INDEX('FB 콘텐츠 data'!$A$1:$AH$25,MATCH('FB 신규발행'!$A16,'FB 콘텐츠 data'!$AR:$AR,0),MATCH(Q$2,'FB 콘텐츠 data'!$A$1:$AH$1,0)),"")</f>
        <v>2074</v>
      </c>
      <c r="R16" s="126">
        <f t="shared" si="1"/>
        <v>0.10276774014215939</v>
      </c>
      <c r="T16" s="48">
        <f t="shared" si="2"/>
        <v>3</v>
      </c>
      <c r="U16" s="48">
        <f t="shared" si="3"/>
        <v>4</v>
      </c>
      <c r="V16">
        <f t="shared" si="4"/>
        <v>4</v>
      </c>
      <c r="Y16" s="112"/>
    </row>
    <row r="17" spans="1:25" ht="17.45" customHeight="1">
      <c r="A17" s="127">
        <v>15</v>
      </c>
      <c r="B17" s="123">
        <f>IFERROR(INDEX('FB 콘텐츠 data'!AQ:AQ,MATCH('FB 신규발행'!A17,'FB 콘텐츠 data'!AR:AR,0)),"")</f>
        <v>45443</v>
      </c>
      <c r="C17" s="124" t="str">
        <f>IFERROR(INDEX('FB 콘텐츠 data'!$A$1:$AH$25,MATCH('FB 신규발행'!$A17,'FB 콘텐츠 data'!$AR:$AR,0),MATCH(C$2,'FB 콘텐츠 data'!$A$1:$AH$1,0)),"")</f>
        <v>동영상</v>
      </c>
      <c r="D17" s="125" t="str">
        <f>IFERROR(INDEX('FB 콘텐츠 data'!$A$1:$AH$25,MATCH('FB 신규발행'!$A17,'FB 콘텐츠 data'!$AR:$AR,0),MATCH(D$2,'FB 콘텐츠 data'!$A$1:$AH$1,0)),"")</f>
        <v>팩트체크해~油 Ep. 4</v>
      </c>
      <c r="E17" s="125">
        <f>IFERROR(INDEX('FB 콘텐츠 data'!$A$1:$AH$25,MATCH('FB 신규발행'!$A17,'FB 콘텐츠 data'!$AR:$AR,0),MATCH(E$2,'FB 콘텐츠 data'!$A$1:$AH$1,0)),"")</f>
        <v>68731</v>
      </c>
      <c r="F17" s="125">
        <f>IFERROR(INDEX('FB 콘텐츠 data'!$A$1:$AH$25,MATCH('FB 신규발행'!$A17,'FB 콘텐츠 data'!$AR:$AR,0),MATCH(F$2,'FB 콘텐츠 data'!$A$1:$AH$1,0)),"")</f>
        <v>54869</v>
      </c>
      <c r="G17" s="125">
        <f>IFERROR(INDEX('FB 콘텐츠 data'!$A$1:$AH$25,MATCH('FB 신규발행'!$A17,'FB 콘텐츠 data'!$AR:$AR,0),MATCH(G$2,'FB 콘텐츠 data'!$A$1:$AH$1,0)),"")</f>
        <v>1309</v>
      </c>
      <c r="H17" s="125">
        <f t="shared" si="0"/>
        <v>222</v>
      </c>
      <c r="I17" s="125">
        <f>IFERROR(INDEX('FB 콘텐츠 data'!$A$1:$AH$25,MATCH('FB 신규발행'!$A17,'FB 콘텐츠 data'!$AR:$AR,0),MATCH(I$2,'FB 콘텐츠 data'!$A$1:$AH$1,0)),"")</f>
        <v>113</v>
      </c>
      <c r="J17" s="125">
        <f>IFERROR(INDEX('FB 콘텐츠 data'!$A$1:$AH$25,MATCH('FB 신규발행'!$A17,'FB 콘텐츠 data'!$AR:$AR,0),MATCH(J$2,'FB 콘텐츠 data'!$A$1:$AH$1,0)),"")</f>
        <v>4</v>
      </c>
      <c r="K17" s="124">
        <f>IFERROR(INDEX('FB 콘텐츠 data'!$A$1:$AR$25,MATCH('FB 신규발행'!$A17,'FB 콘텐츠 data'!$AR:$AR,0),MATCH(K$2,'FB 콘텐츠 data'!$A$1:$AR$1,0)),"")</f>
        <v>15.887</v>
      </c>
      <c r="L17" s="125">
        <f>IFERROR(INDEX('FB 콘텐츠 data'!$A$1:$AH$25,MATCH('FB 신규발행'!$A17,'FB 콘텐츠 data'!$AR:$AR,0),MATCH(L$2,'FB 콘텐츠 data'!$A$1:$AH$1,0)),"")</f>
        <v>23114</v>
      </c>
      <c r="M17" s="125">
        <f>IFERROR(INDEX('FB 콘텐츠 data'!$A$1:$AH$25,MATCH('FB 신규발행'!$A17,'FB 콘텐츠 data'!$AR:$AR,0),MATCH(M$2,'FB 콘텐츠 data'!$A$1:$AH$1,0)),"")</f>
        <v>0</v>
      </c>
      <c r="N17" s="125">
        <f>IFERROR(INDEX('FB 콘텐츠 data'!$A$1:$AH$25,MATCH('FB 신규발행'!$A17,'FB 콘텐츠 data'!$AR:$AR,0),MATCH(N$2,'FB 콘텐츠 data'!$A$1:$AH$1,0)),"")</f>
        <v>61</v>
      </c>
      <c r="O17" s="125">
        <f>IFERROR(INDEX('FB 콘텐츠 data'!$A$1:$AH$25,MATCH('FB 신규발행'!$A17,'FB 콘텐츠 data'!$AR:$AR,0),MATCH(O$2,'FB 콘텐츠 data'!$A$1:$AH$1,0)),"")</f>
        <v>4</v>
      </c>
      <c r="P17" s="125">
        <f>IFERROR(INDEX('FB 콘텐츠 data'!$A$1:$AH$25,MATCH('FB 신규발행'!$A17,'FB 콘텐츠 data'!$AR:$AR,0),MATCH(P$2,'FB 콘텐츠 data'!$A$1:$AH$1,0)),"")</f>
        <v>40</v>
      </c>
      <c r="Q17" s="125">
        <f>IFERROR(INDEX('FB 콘텐츠 data'!$A$1:$AH$25,MATCH('FB 신규발행'!$A17,'FB 콘텐츠 data'!$AR:$AR,0),MATCH(Q$2,'FB 콘텐츠 data'!$A$1:$AH$1,0)),"")</f>
        <v>101</v>
      </c>
      <c r="R17" s="126">
        <f t="shared" si="1"/>
        <v>4.0460004738559112E-3</v>
      </c>
      <c r="T17" s="48">
        <f t="shared" si="2"/>
        <v>15</v>
      </c>
      <c r="U17" s="48">
        <f t="shared" si="3"/>
        <v>2</v>
      </c>
      <c r="V17">
        <f t="shared" si="4"/>
        <v>15</v>
      </c>
      <c r="Y17" s="112"/>
    </row>
    <row r="18" spans="1:25" ht="17.45" customHeight="1">
      <c r="A18" s="127">
        <v>16</v>
      </c>
      <c r="B18" s="123" t="str">
        <f>IFERROR(INDEX('FB 콘텐츠 data'!AQ:AQ,MATCH('FB 신규발행'!A18,'FB 콘텐츠 data'!AR:AR,0)),"")</f>
        <v/>
      </c>
      <c r="C18" s="124" t="str">
        <f>IFERROR(INDEX('FB 콘텐츠 data'!$A$1:$AH$25,MATCH('FB 신규발행'!$A18,'FB 콘텐츠 data'!$AR:$AR,0),MATCH(C$2,'FB 콘텐츠 data'!$A$1:$AH$1,0)),"")</f>
        <v/>
      </c>
      <c r="D18" s="125" t="str">
        <f>IFERROR(INDEX('FB 콘텐츠 data'!$A$1:$AH$25,MATCH('FB 신규발행'!$A18,'FB 콘텐츠 data'!$AR:$AR,0),MATCH(D$2,'FB 콘텐츠 data'!$A$1:$AH$1,0)),"")</f>
        <v/>
      </c>
      <c r="E18" s="125" t="str">
        <f>IFERROR(INDEX('FB 콘텐츠 data'!$A$1:$AH$25,MATCH('FB 신규발행'!$A18,'FB 콘텐츠 data'!$AR:$AR,0),MATCH(E$2,'FB 콘텐츠 data'!$A$1:$AH$1,0)),"")</f>
        <v/>
      </c>
      <c r="F18" s="125" t="str">
        <f>IFERROR(INDEX('FB 콘텐츠 data'!$A$1:$AH$25,MATCH('FB 신규발행'!$A18,'FB 콘텐츠 data'!$AR:$AR,0),MATCH(F$2,'FB 콘텐츠 data'!$A$1:$AH$1,0)),"")</f>
        <v/>
      </c>
      <c r="G18" s="125" t="str">
        <f>IFERROR(INDEX('FB 콘텐츠 data'!$A$1:$AH$25,MATCH('FB 신규발행'!$A18,'FB 콘텐츠 data'!$AR:$AR,0),MATCH(G$2,'FB 콘텐츠 data'!$A$1:$AH$1,0)),"")</f>
        <v/>
      </c>
      <c r="H18" s="125" t="str">
        <f t="shared" si="0"/>
        <v/>
      </c>
      <c r="I18" s="125" t="str">
        <f>IFERROR(INDEX('FB 콘텐츠 data'!$A$1:$AH$25,MATCH('FB 신규발행'!$A18,'FB 콘텐츠 data'!$AR:$AR,0),MATCH(I$2,'FB 콘텐츠 data'!$A$1:$AH$1,0)),"")</f>
        <v/>
      </c>
      <c r="J18" s="125" t="str">
        <f>IFERROR(INDEX('FB 콘텐츠 data'!$A$1:$AH$25,MATCH('FB 신규발행'!$A18,'FB 콘텐츠 data'!$AR:$AR,0),MATCH(J$2,'FB 콘텐츠 data'!$A$1:$AH$1,0)),"")</f>
        <v/>
      </c>
      <c r="K18" s="124" t="str">
        <f>IFERROR(INDEX('FB 콘텐츠 data'!$A$1:$AR$25,MATCH('FB 신규발행'!$A18,'FB 콘텐츠 data'!$AR:$AR,0),MATCH(K$2,'FB 콘텐츠 data'!$A$1:$AR$1,0)),"")</f>
        <v/>
      </c>
      <c r="L18" s="125" t="str">
        <f>IFERROR(INDEX('FB 콘텐츠 data'!$A$1:$AH$25,MATCH('FB 신규발행'!$A18,'FB 콘텐츠 data'!$AR:$AR,0),MATCH(L$2,'FB 콘텐츠 data'!$A$1:$AH$1,0)),"")</f>
        <v/>
      </c>
      <c r="M18" s="125" t="str">
        <f>IFERROR(INDEX('FB 콘텐츠 data'!$A$1:$AH$25,MATCH('FB 신규발행'!$A18,'FB 콘텐츠 data'!$AR:$AR,0),MATCH(M$2,'FB 콘텐츠 data'!$A$1:$AH$1,0)),"")</f>
        <v/>
      </c>
      <c r="N18" s="125" t="str">
        <f>IFERROR(INDEX('FB 콘텐츠 data'!$A$1:$AH$25,MATCH('FB 신규발행'!$A18,'FB 콘텐츠 data'!$AR:$AR,0),MATCH(N$2,'FB 콘텐츠 data'!$A$1:$AH$1,0)),"")</f>
        <v/>
      </c>
      <c r="O18" s="125" t="str">
        <f>IFERROR(INDEX('FB 콘텐츠 data'!$A$1:$AH$25,MATCH('FB 신규발행'!$A18,'FB 콘텐츠 data'!$AR:$AR,0),MATCH(O$2,'FB 콘텐츠 data'!$A$1:$AH$1,0)),"")</f>
        <v/>
      </c>
      <c r="P18" s="125" t="str">
        <f>IFERROR(INDEX('FB 콘텐츠 data'!$A$1:$AH$25,MATCH('FB 신규발행'!$A18,'FB 콘텐츠 data'!$AR:$AR,0),MATCH(P$2,'FB 콘텐츠 data'!$A$1:$AH$1,0)),"")</f>
        <v/>
      </c>
      <c r="Q18" s="125" t="str">
        <f>IFERROR(INDEX('FB 콘텐츠 data'!$A$1:$AH$25,MATCH('FB 신규발행'!$A18,'FB 콘텐츠 data'!$AR:$AR,0),MATCH(Q$2,'FB 콘텐츠 data'!$A$1:$AH$1,0)),"")</f>
        <v/>
      </c>
      <c r="R18" s="126" t="str">
        <f t="shared" si="1"/>
        <v/>
      </c>
      <c r="T18" s="48" t="str">
        <f t="shared" si="2"/>
        <v/>
      </c>
      <c r="U18" s="48" t="str">
        <f t="shared" si="3"/>
        <v/>
      </c>
      <c r="V18" t="str">
        <f t="shared" si="4"/>
        <v/>
      </c>
      <c r="Y18" s="112"/>
    </row>
    <row r="19" spans="1:25" ht="17.45" customHeight="1">
      <c r="A19" s="127">
        <v>17</v>
      </c>
      <c r="B19" s="123" t="str">
        <f>IFERROR(INDEX('FB 콘텐츠 data'!AQ:AQ,MATCH('FB 신규발행'!A19,'FB 콘텐츠 data'!AR:AR,0)),"")</f>
        <v/>
      </c>
      <c r="C19" s="124" t="str">
        <f>IFERROR(INDEX('FB 콘텐츠 data'!$A$1:$AH$25,MATCH('FB 신규발행'!$A19,'FB 콘텐츠 data'!$AR:$AR,0),MATCH(C$2,'FB 콘텐츠 data'!$A$1:$AH$1,0)),"")</f>
        <v/>
      </c>
      <c r="D19" s="125" t="str">
        <f>IFERROR(INDEX('FB 콘텐츠 data'!$A$1:$AH$25,MATCH('FB 신규발행'!$A19,'FB 콘텐츠 data'!$AR:$AR,0),MATCH(D$2,'FB 콘텐츠 data'!$A$1:$AH$1,0)),"")</f>
        <v/>
      </c>
      <c r="E19" s="125" t="str">
        <f>IFERROR(INDEX('FB 콘텐츠 data'!$A$1:$AH$25,MATCH('FB 신규발행'!$A19,'FB 콘텐츠 data'!$AR:$AR,0),MATCH(E$2,'FB 콘텐츠 data'!$A$1:$AH$1,0)),"")</f>
        <v/>
      </c>
      <c r="F19" s="125" t="str">
        <f>IFERROR(INDEX('FB 콘텐츠 data'!$A$1:$AH$25,MATCH('FB 신규발행'!$A19,'FB 콘텐츠 data'!$AR:$AR,0),MATCH(F$2,'FB 콘텐츠 data'!$A$1:$AH$1,0)),"")</f>
        <v/>
      </c>
      <c r="G19" s="125" t="str">
        <f>IFERROR(INDEX('FB 콘텐츠 data'!$A$1:$AH$25,MATCH('FB 신규발행'!$A19,'FB 콘텐츠 data'!$AR:$AR,0),MATCH(G$2,'FB 콘텐츠 data'!$A$1:$AH$1,0)),"")</f>
        <v/>
      </c>
      <c r="H19" s="125" t="str">
        <f t="shared" si="0"/>
        <v/>
      </c>
      <c r="I19" s="125" t="str">
        <f>IFERROR(INDEX('FB 콘텐츠 data'!$A$1:$AH$25,MATCH('FB 신규발행'!$A19,'FB 콘텐츠 data'!$AR:$AR,0),MATCH(I$2,'FB 콘텐츠 data'!$A$1:$AH$1,0)),"")</f>
        <v/>
      </c>
      <c r="J19" s="125" t="str">
        <f>IFERROR(INDEX('FB 콘텐츠 data'!$A$1:$AH$25,MATCH('FB 신규발행'!$A19,'FB 콘텐츠 data'!$AR:$AR,0),MATCH(J$2,'FB 콘텐츠 data'!$A$1:$AH$1,0)),"")</f>
        <v/>
      </c>
      <c r="K19" s="124" t="str">
        <f>IFERROR(INDEX('FB 콘텐츠 data'!$A$1:$AR$25,MATCH('FB 신규발행'!$A19,'FB 콘텐츠 data'!$AR:$AR,0),MATCH(K$2,'FB 콘텐츠 data'!$A$1:$AR$1,0)),"")</f>
        <v/>
      </c>
      <c r="L19" s="125" t="str">
        <f>IFERROR(INDEX('FB 콘텐츠 data'!$A$1:$AH$25,MATCH('FB 신규발행'!$A19,'FB 콘텐츠 data'!$AR:$AR,0),MATCH(L$2,'FB 콘텐츠 data'!$A$1:$AH$1,0)),"")</f>
        <v/>
      </c>
      <c r="M19" s="125" t="str">
        <f>IFERROR(INDEX('FB 콘텐츠 data'!$A$1:$AH$25,MATCH('FB 신규발행'!$A19,'FB 콘텐츠 data'!$AR:$AR,0),MATCH(M$2,'FB 콘텐츠 data'!$A$1:$AH$1,0)),"")</f>
        <v/>
      </c>
      <c r="N19" s="125" t="str">
        <f>IFERROR(INDEX('FB 콘텐츠 data'!$A$1:$AH$25,MATCH('FB 신규발행'!$A19,'FB 콘텐츠 data'!$AR:$AR,0),MATCH(N$2,'FB 콘텐츠 data'!$A$1:$AH$1,0)),"")</f>
        <v/>
      </c>
      <c r="O19" s="125" t="str">
        <f>IFERROR(INDEX('FB 콘텐츠 data'!$A$1:$AH$25,MATCH('FB 신규발행'!$A19,'FB 콘텐츠 data'!$AR:$AR,0),MATCH(O$2,'FB 콘텐츠 data'!$A$1:$AH$1,0)),"")</f>
        <v/>
      </c>
      <c r="P19" s="125" t="str">
        <f>IFERROR(INDEX('FB 콘텐츠 data'!$A$1:$AH$25,MATCH('FB 신규발행'!$A19,'FB 콘텐츠 data'!$AR:$AR,0),MATCH(P$2,'FB 콘텐츠 data'!$A$1:$AH$1,0)),"")</f>
        <v/>
      </c>
      <c r="Q19" s="125" t="str">
        <f>IFERROR(INDEX('FB 콘텐츠 data'!$A$1:$AH$25,MATCH('FB 신규발행'!$A19,'FB 콘텐츠 data'!$AR:$AR,0),MATCH(Q$2,'FB 콘텐츠 data'!$A$1:$AH$1,0)),"")</f>
        <v/>
      </c>
      <c r="R19" s="126" t="str">
        <f t="shared" si="1"/>
        <v/>
      </c>
      <c r="T19" s="48" t="str">
        <f t="shared" si="2"/>
        <v/>
      </c>
      <c r="U19" s="48" t="str">
        <f t="shared" si="3"/>
        <v/>
      </c>
      <c r="V19" t="str">
        <f t="shared" si="4"/>
        <v/>
      </c>
      <c r="Y19" s="112"/>
    </row>
    <row r="20" spans="1:25" ht="17.45" customHeight="1">
      <c r="A20" s="127">
        <v>18</v>
      </c>
      <c r="B20" s="123" t="str">
        <f>IFERROR(INDEX('FB 콘텐츠 data'!AQ:AQ,MATCH('FB 신규발행'!A20,'FB 콘텐츠 data'!AR:AR,0)),"")</f>
        <v/>
      </c>
      <c r="C20" s="124" t="str">
        <f>IFERROR(INDEX('FB 콘텐츠 data'!$A$1:$AH$25,MATCH('FB 신규발행'!$A20,'FB 콘텐츠 data'!$AR:$AR,0),MATCH(C$2,'FB 콘텐츠 data'!$A$1:$AH$1,0)),"")</f>
        <v/>
      </c>
      <c r="D20" s="125" t="str">
        <f>IFERROR(INDEX('FB 콘텐츠 data'!$A$1:$AH$25,MATCH('FB 신규발행'!$A20,'FB 콘텐츠 data'!$AR:$AR,0),MATCH(D$2,'FB 콘텐츠 data'!$A$1:$AH$1,0)),"")</f>
        <v/>
      </c>
      <c r="E20" s="125" t="str">
        <f>IFERROR(INDEX('FB 콘텐츠 data'!$A$1:$AH$25,MATCH('FB 신규발행'!$A20,'FB 콘텐츠 data'!$AR:$AR,0),MATCH(E$2,'FB 콘텐츠 data'!$A$1:$AH$1,0)),"")</f>
        <v/>
      </c>
      <c r="F20" s="125" t="str">
        <f>IFERROR(INDEX('FB 콘텐츠 data'!$A$1:$AH$25,MATCH('FB 신규발행'!$A20,'FB 콘텐츠 data'!$AR:$AR,0),MATCH(F$2,'FB 콘텐츠 data'!$A$1:$AH$1,0)),"")</f>
        <v/>
      </c>
      <c r="G20" s="125" t="str">
        <f>IFERROR(INDEX('FB 콘텐츠 data'!$A$1:$AH$25,MATCH('FB 신규발행'!$A20,'FB 콘텐츠 data'!$AR:$AR,0),MATCH(G$2,'FB 콘텐츠 data'!$A$1:$AH$1,0)),"")</f>
        <v/>
      </c>
      <c r="H20" s="125" t="str">
        <f t="shared" si="0"/>
        <v/>
      </c>
      <c r="I20" s="125" t="str">
        <f>IFERROR(INDEX('FB 콘텐츠 data'!$A$1:$AH$25,MATCH('FB 신규발행'!$A20,'FB 콘텐츠 data'!$AR:$AR,0),MATCH(I$2,'FB 콘텐츠 data'!$A$1:$AH$1,0)),"")</f>
        <v/>
      </c>
      <c r="J20" s="125" t="str">
        <f>IFERROR(INDEX('FB 콘텐츠 data'!$A$1:$AH$25,MATCH('FB 신규발행'!$A20,'FB 콘텐츠 data'!$AR:$AR,0),MATCH(J$2,'FB 콘텐츠 data'!$A$1:$AH$1,0)),"")</f>
        <v/>
      </c>
      <c r="K20" s="124" t="str">
        <f>IFERROR(INDEX('FB 콘텐츠 data'!$A$1:$AR$25,MATCH('FB 신규발행'!$A20,'FB 콘텐츠 data'!$AR:$AR,0),MATCH(K$2,'FB 콘텐츠 data'!$A$1:$AR$1,0)),"")</f>
        <v/>
      </c>
      <c r="L20" s="125" t="str">
        <f>IFERROR(INDEX('FB 콘텐츠 data'!$A$1:$AH$25,MATCH('FB 신규발행'!$A20,'FB 콘텐츠 data'!$AR:$AR,0),MATCH(L$2,'FB 콘텐츠 data'!$A$1:$AH$1,0)),"")</f>
        <v/>
      </c>
      <c r="M20" s="125" t="str">
        <f>IFERROR(INDEX('FB 콘텐츠 data'!$A$1:$AH$25,MATCH('FB 신규발행'!$A20,'FB 콘텐츠 data'!$AR:$AR,0),MATCH(M$2,'FB 콘텐츠 data'!$A$1:$AH$1,0)),"")</f>
        <v/>
      </c>
      <c r="N20" s="125" t="str">
        <f>IFERROR(INDEX('FB 콘텐츠 data'!$A$1:$AH$25,MATCH('FB 신규발행'!$A20,'FB 콘텐츠 data'!$AR:$AR,0),MATCH(N$2,'FB 콘텐츠 data'!$A$1:$AH$1,0)),"")</f>
        <v/>
      </c>
      <c r="O20" s="125" t="str">
        <f>IFERROR(INDEX('FB 콘텐츠 data'!$A$1:$AH$25,MATCH('FB 신규발행'!$A20,'FB 콘텐츠 data'!$AR:$AR,0),MATCH(O$2,'FB 콘텐츠 data'!$A$1:$AH$1,0)),"")</f>
        <v/>
      </c>
      <c r="P20" s="125" t="str">
        <f>IFERROR(INDEX('FB 콘텐츠 data'!$A$1:$AH$25,MATCH('FB 신규발행'!$A20,'FB 콘텐츠 data'!$AR:$AR,0),MATCH(P$2,'FB 콘텐츠 data'!$A$1:$AH$1,0)),"")</f>
        <v/>
      </c>
      <c r="Q20" s="125" t="str">
        <f>IFERROR(INDEX('FB 콘텐츠 data'!$A$1:$AH$25,MATCH('FB 신규발행'!$A20,'FB 콘텐츠 data'!$AR:$AR,0),MATCH(Q$2,'FB 콘텐츠 data'!$A$1:$AH$1,0)),"")</f>
        <v/>
      </c>
      <c r="R20" s="126" t="str">
        <f t="shared" si="1"/>
        <v/>
      </c>
      <c r="T20" s="48" t="str">
        <f t="shared" si="2"/>
        <v/>
      </c>
      <c r="U20" s="48" t="str">
        <f t="shared" si="3"/>
        <v/>
      </c>
      <c r="V20" t="str">
        <f t="shared" si="4"/>
        <v/>
      </c>
      <c r="Y20" s="112"/>
    </row>
    <row r="21" spans="1:25" ht="17.45" customHeight="1">
      <c r="A21" s="127">
        <v>19</v>
      </c>
      <c r="B21" s="123" t="str">
        <f>IFERROR(INDEX('FB 콘텐츠 data'!AQ:AQ,MATCH('FB 신규발행'!A21,'FB 콘텐츠 data'!AR:AR,0)),"")</f>
        <v/>
      </c>
      <c r="C21" s="124" t="str">
        <f>IFERROR(INDEX('FB 콘텐츠 data'!$A$1:$AH$25,MATCH('FB 신규발행'!$A21,'FB 콘텐츠 data'!$AR:$AR,0),MATCH(C$2,'FB 콘텐츠 data'!$A$1:$AH$1,0)),"")</f>
        <v/>
      </c>
      <c r="D21" s="125" t="str">
        <f>IFERROR(INDEX('FB 콘텐츠 data'!$A$1:$AH$25,MATCH('FB 신규발행'!$A21,'FB 콘텐츠 data'!$AR:$AR,0),MATCH(D$2,'FB 콘텐츠 data'!$A$1:$AH$1,0)),"")</f>
        <v/>
      </c>
      <c r="E21" s="125" t="str">
        <f>IFERROR(INDEX('FB 콘텐츠 data'!$A$1:$AH$25,MATCH('FB 신규발행'!$A21,'FB 콘텐츠 data'!$AR:$AR,0),MATCH(E$2,'FB 콘텐츠 data'!$A$1:$AH$1,0)),"")</f>
        <v/>
      </c>
      <c r="F21" s="125" t="str">
        <f>IFERROR(INDEX('FB 콘텐츠 data'!$A$1:$AH$25,MATCH('FB 신규발행'!$A21,'FB 콘텐츠 data'!$AR:$AR,0),MATCH(F$2,'FB 콘텐츠 data'!$A$1:$AH$1,0)),"")</f>
        <v/>
      </c>
      <c r="G21" s="125" t="str">
        <f>IFERROR(INDEX('FB 콘텐츠 data'!$A$1:$AH$25,MATCH('FB 신규발행'!$A21,'FB 콘텐츠 data'!$AR:$AR,0),MATCH(G$2,'FB 콘텐츠 data'!$A$1:$AH$1,0)),"")</f>
        <v/>
      </c>
      <c r="H21" s="125" t="str">
        <f t="shared" si="0"/>
        <v/>
      </c>
      <c r="I21" s="125" t="str">
        <f>IFERROR(INDEX('FB 콘텐츠 data'!$A$1:$AH$25,MATCH('FB 신규발행'!$A21,'FB 콘텐츠 data'!$AR:$AR,0),MATCH(I$2,'FB 콘텐츠 data'!$A$1:$AH$1,0)),"")</f>
        <v/>
      </c>
      <c r="J21" s="125" t="str">
        <f>IFERROR(INDEX('FB 콘텐츠 data'!$A$1:$AH$25,MATCH('FB 신규발행'!$A21,'FB 콘텐츠 data'!$AR:$AR,0),MATCH(J$2,'FB 콘텐츠 data'!$A$1:$AH$1,0)),"")</f>
        <v/>
      </c>
      <c r="K21" s="124" t="str">
        <f>IFERROR(INDEX('FB 콘텐츠 data'!$A$1:$AR$25,MATCH('FB 신규발행'!$A21,'FB 콘텐츠 data'!$AR:$AR,0),MATCH(K$2,'FB 콘텐츠 data'!$A$1:$AR$1,0)),"")</f>
        <v/>
      </c>
      <c r="L21" s="125" t="str">
        <f>IFERROR(INDEX('FB 콘텐츠 data'!$A$1:$AH$25,MATCH('FB 신규발행'!$A21,'FB 콘텐츠 data'!$AR:$AR,0),MATCH(L$2,'FB 콘텐츠 data'!$A$1:$AH$1,0)),"")</f>
        <v/>
      </c>
      <c r="M21" s="125" t="str">
        <f>IFERROR(INDEX('FB 콘텐츠 data'!$A$1:$AH$25,MATCH('FB 신규발행'!$A21,'FB 콘텐츠 data'!$AR:$AR,0),MATCH(M$2,'FB 콘텐츠 data'!$A$1:$AH$1,0)),"")</f>
        <v/>
      </c>
      <c r="N21" s="125" t="str">
        <f>IFERROR(INDEX('FB 콘텐츠 data'!$A$1:$AH$25,MATCH('FB 신규발행'!$A21,'FB 콘텐츠 data'!$AR:$AR,0),MATCH(N$2,'FB 콘텐츠 data'!$A$1:$AH$1,0)),"")</f>
        <v/>
      </c>
      <c r="O21" s="125" t="str">
        <f>IFERROR(INDEX('FB 콘텐츠 data'!$A$1:$AH$25,MATCH('FB 신규발행'!$A21,'FB 콘텐츠 data'!$AR:$AR,0),MATCH(O$2,'FB 콘텐츠 data'!$A$1:$AH$1,0)),"")</f>
        <v/>
      </c>
      <c r="P21" s="125" t="str">
        <f>IFERROR(INDEX('FB 콘텐츠 data'!$A$1:$AH$25,MATCH('FB 신규발행'!$A21,'FB 콘텐츠 data'!$AR:$AR,0),MATCH(P$2,'FB 콘텐츠 data'!$A$1:$AH$1,0)),"")</f>
        <v/>
      </c>
      <c r="Q21" s="125" t="str">
        <f>IFERROR(INDEX('FB 콘텐츠 data'!$A$1:$AH$25,MATCH('FB 신규발행'!$A21,'FB 콘텐츠 data'!$AR:$AR,0),MATCH(Q$2,'FB 콘텐츠 data'!$A$1:$AH$1,0)),"")</f>
        <v/>
      </c>
      <c r="R21" s="126" t="str">
        <f t="shared" si="1"/>
        <v/>
      </c>
      <c r="T21" s="48" t="str">
        <f t="shared" si="2"/>
        <v/>
      </c>
      <c r="U21" s="48" t="str">
        <f t="shared" si="3"/>
        <v/>
      </c>
      <c r="V21" t="str">
        <f t="shared" si="4"/>
        <v/>
      </c>
      <c r="Y21" s="112"/>
    </row>
    <row r="22" spans="1:25" ht="17.45" customHeight="1">
      <c r="A22" s="127">
        <v>20</v>
      </c>
      <c r="B22" s="123" t="str">
        <f>IFERROR(INDEX('FB 콘텐츠 data'!AQ:AQ,MATCH('FB 신규발행'!A22,'FB 콘텐츠 data'!AR:AR,0)),"")</f>
        <v/>
      </c>
      <c r="C22" s="124" t="str">
        <f>IFERROR(INDEX('FB 콘텐츠 data'!$A$1:$AH$25,MATCH('FB 신규발행'!$A22,'FB 콘텐츠 data'!$AR:$AR,0),MATCH(C$2,'FB 콘텐츠 data'!$A$1:$AH$1,0)),"")</f>
        <v/>
      </c>
      <c r="D22" s="125" t="str">
        <f>IFERROR(INDEX('FB 콘텐츠 data'!$A$1:$AH$25,MATCH('FB 신규발행'!$A22,'FB 콘텐츠 data'!$AR:$AR,0),MATCH(D$2,'FB 콘텐츠 data'!$A$1:$AH$1,0)),"")</f>
        <v/>
      </c>
      <c r="E22" s="125" t="str">
        <f>IFERROR(INDEX('FB 콘텐츠 data'!$A$1:$AH$25,MATCH('FB 신규발행'!$A22,'FB 콘텐츠 data'!$AR:$AR,0),MATCH(E$2,'FB 콘텐츠 data'!$A$1:$AH$1,0)),"")</f>
        <v/>
      </c>
      <c r="F22" s="125" t="str">
        <f>IFERROR(INDEX('FB 콘텐츠 data'!$A$1:$AH$25,MATCH('FB 신규발행'!$A22,'FB 콘텐츠 data'!$AR:$AR,0),MATCH(F$2,'FB 콘텐츠 data'!$A$1:$AH$1,0)),"")</f>
        <v/>
      </c>
      <c r="G22" s="125" t="str">
        <f>IFERROR(INDEX('FB 콘텐츠 data'!$A$1:$AH$25,MATCH('FB 신규발행'!$A22,'FB 콘텐츠 data'!$AR:$AR,0),MATCH(G$2,'FB 콘텐츠 data'!$A$1:$AH$1,0)),"")</f>
        <v/>
      </c>
      <c r="H22" s="125" t="str">
        <f t="shared" si="0"/>
        <v/>
      </c>
      <c r="I22" s="125" t="str">
        <f>IFERROR(INDEX('FB 콘텐츠 data'!$A$1:$AH$25,MATCH('FB 신규발행'!$A22,'FB 콘텐츠 data'!$AR:$AR,0),MATCH(I$2,'FB 콘텐츠 data'!$A$1:$AH$1,0)),"")</f>
        <v/>
      </c>
      <c r="J22" s="125" t="str">
        <f>IFERROR(INDEX('FB 콘텐츠 data'!$A$1:$AH$25,MATCH('FB 신규발행'!$A22,'FB 콘텐츠 data'!$AR:$AR,0),MATCH(J$2,'FB 콘텐츠 data'!$A$1:$AH$1,0)),"")</f>
        <v/>
      </c>
      <c r="K22" s="124" t="str">
        <f>IFERROR(INDEX('FB 콘텐츠 data'!$A$1:$AR$25,MATCH('FB 신규발행'!$A22,'FB 콘텐츠 data'!$AR:$AR,0),MATCH(K$2,'FB 콘텐츠 data'!$A$1:$AR$1,0)),"")</f>
        <v/>
      </c>
      <c r="L22" s="125" t="str">
        <f>IFERROR(INDEX('FB 콘텐츠 data'!$A$1:$AH$25,MATCH('FB 신규발행'!$A22,'FB 콘텐츠 data'!$AR:$AR,0),MATCH(L$2,'FB 콘텐츠 data'!$A$1:$AH$1,0)),"")</f>
        <v/>
      </c>
      <c r="M22" s="125" t="str">
        <f>IFERROR(INDEX('FB 콘텐츠 data'!$A$1:$AH$25,MATCH('FB 신규발행'!$A22,'FB 콘텐츠 data'!$AR:$AR,0),MATCH(M$2,'FB 콘텐츠 data'!$A$1:$AH$1,0)),"")</f>
        <v/>
      </c>
      <c r="N22" s="125" t="str">
        <f>IFERROR(INDEX('FB 콘텐츠 data'!$A$1:$AH$25,MATCH('FB 신규발행'!$A22,'FB 콘텐츠 data'!$AR:$AR,0),MATCH(N$2,'FB 콘텐츠 data'!$A$1:$AH$1,0)),"")</f>
        <v/>
      </c>
      <c r="O22" s="125" t="str">
        <f>IFERROR(INDEX('FB 콘텐츠 data'!$A$1:$AH$25,MATCH('FB 신규발행'!$A22,'FB 콘텐츠 data'!$AR:$AR,0),MATCH(O$2,'FB 콘텐츠 data'!$A$1:$AH$1,0)),"")</f>
        <v/>
      </c>
      <c r="P22" s="125" t="str">
        <f>IFERROR(INDEX('FB 콘텐츠 data'!$A$1:$AH$25,MATCH('FB 신규발행'!$A22,'FB 콘텐츠 data'!$AR:$AR,0),MATCH(P$2,'FB 콘텐츠 data'!$A$1:$AH$1,0)),"")</f>
        <v/>
      </c>
      <c r="Q22" s="125" t="str">
        <f>IFERROR(INDEX('FB 콘텐츠 data'!$A$1:$AH$25,MATCH('FB 신규발행'!$A22,'FB 콘텐츠 data'!$AR:$AR,0),MATCH(Q$2,'FB 콘텐츠 data'!$A$1:$AH$1,0)),"")</f>
        <v/>
      </c>
      <c r="R22" s="126" t="str">
        <f t="shared" si="1"/>
        <v/>
      </c>
      <c r="T22" s="48" t="str">
        <f t="shared" si="2"/>
        <v/>
      </c>
      <c r="U22" s="48" t="str">
        <f t="shared" si="3"/>
        <v/>
      </c>
      <c r="V22" t="str">
        <f t="shared" si="4"/>
        <v/>
      </c>
      <c r="Y22" s="112"/>
    </row>
    <row r="23" spans="1:25" ht="17.45" customHeight="1">
      <c r="A23" s="127">
        <v>21</v>
      </c>
      <c r="B23" s="123" t="str">
        <f>IFERROR(INDEX('FB 콘텐츠 data'!AQ:AQ,MATCH('FB 신규발행'!A23,'FB 콘텐츠 data'!AR:AR,0)),"")</f>
        <v/>
      </c>
      <c r="C23" s="124" t="str">
        <f>IFERROR(INDEX('FB 콘텐츠 data'!$A$1:$AH$25,MATCH('FB 신규발행'!$A23,'FB 콘텐츠 data'!$AR:$AR,0),MATCH(C$2,'FB 콘텐츠 data'!$A$1:$AH$1,0)),"")</f>
        <v/>
      </c>
      <c r="D23" s="125" t="str">
        <f>IFERROR(INDEX('FB 콘텐츠 data'!$A$1:$AH$25,MATCH('FB 신규발행'!$A23,'FB 콘텐츠 data'!$AR:$AR,0),MATCH(D$2,'FB 콘텐츠 data'!$A$1:$AH$1,0)),"")</f>
        <v/>
      </c>
      <c r="E23" s="125" t="str">
        <f>IFERROR(INDEX('FB 콘텐츠 data'!$A$1:$AH$25,MATCH('FB 신규발행'!$A23,'FB 콘텐츠 data'!$AR:$AR,0),MATCH(E$2,'FB 콘텐츠 data'!$A$1:$AH$1,0)),"")</f>
        <v/>
      </c>
      <c r="F23" s="125" t="str">
        <f>IFERROR(INDEX('FB 콘텐츠 data'!$A$1:$AH$25,MATCH('FB 신규발행'!$A23,'FB 콘텐츠 data'!$AR:$AR,0),MATCH(F$2,'FB 콘텐츠 data'!$A$1:$AH$1,0)),"")</f>
        <v/>
      </c>
      <c r="G23" s="125" t="str">
        <f>IFERROR(INDEX('FB 콘텐츠 data'!$A$1:$AH$25,MATCH('FB 신규발행'!$A23,'FB 콘텐츠 data'!$AR:$AR,0),MATCH(G$2,'FB 콘텐츠 data'!$A$1:$AH$1,0)),"")</f>
        <v/>
      </c>
      <c r="H23" s="125" t="str">
        <f t="shared" si="0"/>
        <v/>
      </c>
      <c r="I23" s="125" t="str">
        <f>IFERROR(INDEX('FB 콘텐츠 data'!$A$1:$AH$25,MATCH('FB 신규발행'!$A23,'FB 콘텐츠 data'!$AR:$AR,0),MATCH(I$2,'FB 콘텐츠 data'!$A$1:$AH$1,0)),"")</f>
        <v/>
      </c>
      <c r="J23" s="125" t="str">
        <f>IFERROR(INDEX('FB 콘텐츠 data'!$A$1:$AH$25,MATCH('FB 신규발행'!$A23,'FB 콘텐츠 data'!$AR:$AR,0),MATCH(J$2,'FB 콘텐츠 data'!$A$1:$AH$1,0)),"")</f>
        <v/>
      </c>
      <c r="K23" s="124" t="str">
        <f>IFERROR(INDEX('FB 콘텐츠 data'!$A$1:$AR$25,MATCH('FB 신규발행'!$A23,'FB 콘텐츠 data'!$AR:$AR,0),MATCH(K$2,'FB 콘텐츠 data'!$A$1:$AR$1,0)),"")</f>
        <v/>
      </c>
      <c r="L23" s="125" t="str">
        <f>IFERROR(INDEX('FB 콘텐츠 data'!$A$1:$AH$25,MATCH('FB 신규발행'!$A23,'FB 콘텐츠 data'!$AR:$AR,0),MATCH(L$2,'FB 콘텐츠 data'!$A$1:$AH$1,0)),"")</f>
        <v/>
      </c>
      <c r="M23" s="125" t="str">
        <f>IFERROR(INDEX('FB 콘텐츠 data'!$A$1:$AH$25,MATCH('FB 신규발행'!$A23,'FB 콘텐츠 data'!$AR:$AR,0),MATCH(M$2,'FB 콘텐츠 data'!$A$1:$AH$1,0)),"")</f>
        <v/>
      </c>
      <c r="N23" s="125" t="str">
        <f>IFERROR(INDEX('FB 콘텐츠 data'!$A$1:$AH$25,MATCH('FB 신규발행'!$A23,'FB 콘텐츠 data'!$AR:$AR,0),MATCH(N$2,'FB 콘텐츠 data'!$A$1:$AH$1,0)),"")</f>
        <v/>
      </c>
      <c r="O23" s="125" t="str">
        <f>IFERROR(INDEX('FB 콘텐츠 data'!$A$1:$AH$25,MATCH('FB 신규발행'!$A23,'FB 콘텐츠 data'!$AR:$AR,0),MATCH(O$2,'FB 콘텐츠 data'!$A$1:$AH$1,0)),"")</f>
        <v/>
      </c>
      <c r="P23" s="125" t="str">
        <f>IFERROR(INDEX('FB 콘텐츠 data'!$A$1:$AH$25,MATCH('FB 신규발행'!$A23,'FB 콘텐츠 data'!$AR:$AR,0),MATCH(P$2,'FB 콘텐츠 data'!$A$1:$AH$1,0)),"")</f>
        <v/>
      </c>
      <c r="Q23" s="125" t="str">
        <f>IFERROR(INDEX('FB 콘텐츠 data'!$A$1:$AH$25,MATCH('FB 신규발행'!$A23,'FB 콘텐츠 data'!$AR:$AR,0),MATCH(Q$2,'FB 콘텐츠 data'!$A$1:$AH$1,0)),"")</f>
        <v/>
      </c>
      <c r="R23" s="126" t="str">
        <f t="shared" si="1"/>
        <v/>
      </c>
      <c r="T23" s="48" t="str">
        <f t="shared" si="2"/>
        <v/>
      </c>
      <c r="U23" s="48" t="str">
        <f t="shared" si="3"/>
        <v/>
      </c>
      <c r="V23" t="str">
        <f t="shared" si="4"/>
        <v/>
      </c>
      <c r="Y23" s="112"/>
    </row>
    <row r="24" spans="1:25" ht="17.45" customHeight="1">
      <c r="A24" s="127">
        <v>22</v>
      </c>
      <c r="B24" s="123" t="str">
        <f>IFERROR(INDEX('FB 콘텐츠 data'!AQ:AQ,MATCH('FB 신규발행'!A24,'FB 콘텐츠 data'!AR:AR,0)),"")</f>
        <v/>
      </c>
      <c r="C24" s="124" t="str">
        <f>IFERROR(INDEX('FB 콘텐츠 data'!$A$1:$AH$25,MATCH('FB 신규발행'!$A24,'FB 콘텐츠 data'!$AR:$AR,0),MATCH(C$2,'FB 콘텐츠 data'!$A$1:$AH$1,0)),"")</f>
        <v/>
      </c>
      <c r="D24" s="125" t="str">
        <f>IFERROR(INDEX('FB 콘텐츠 data'!$A$1:$AH$25,MATCH('FB 신규발행'!$A24,'FB 콘텐츠 data'!$AR:$AR,0),MATCH(D$2,'FB 콘텐츠 data'!$A$1:$AH$1,0)),"")</f>
        <v/>
      </c>
      <c r="E24" s="125" t="str">
        <f>IFERROR(INDEX('FB 콘텐츠 data'!$A$1:$AH$25,MATCH('FB 신규발행'!$A24,'FB 콘텐츠 data'!$AR:$AR,0),MATCH(E$2,'FB 콘텐츠 data'!$A$1:$AH$1,0)),"")</f>
        <v/>
      </c>
      <c r="F24" s="125" t="str">
        <f>IFERROR(INDEX('FB 콘텐츠 data'!$A$1:$AH$25,MATCH('FB 신규발행'!$A24,'FB 콘텐츠 data'!$AR:$AR,0),MATCH(F$2,'FB 콘텐츠 data'!$A$1:$AH$1,0)),"")</f>
        <v/>
      </c>
      <c r="G24" s="125" t="str">
        <f>IFERROR(INDEX('FB 콘텐츠 data'!$A$1:$AH$25,MATCH('FB 신규발행'!$A24,'FB 콘텐츠 data'!$AR:$AR,0),MATCH(G$2,'FB 콘텐츠 data'!$A$1:$AH$1,0)),"")</f>
        <v/>
      </c>
      <c r="H24" s="125" t="str">
        <f t="shared" si="0"/>
        <v/>
      </c>
      <c r="I24" s="125" t="str">
        <f>IFERROR(INDEX('FB 콘텐츠 data'!$A$1:$AH$25,MATCH('FB 신규발행'!$A24,'FB 콘텐츠 data'!$AR:$AR,0),MATCH(I$2,'FB 콘텐츠 data'!$A$1:$AH$1,0)),"")</f>
        <v/>
      </c>
      <c r="J24" s="125" t="str">
        <f>IFERROR(INDEX('FB 콘텐츠 data'!$A$1:$AH$25,MATCH('FB 신규발행'!$A24,'FB 콘텐츠 data'!$AR:$AR,0),MATCH(J$2,'FB 콘텐츠 data'!$A$1:$AH$1,0)),"")</f>
        <v/>
      </c>
      <c r="K24" s="124" t="str">
        <f>IFERROR(INDEX('FB 콘텐츠 data'!$A$1:$AR$25,MATCH('FB 신규발행'!$A24,'FB 콘텐츠 data'!$AR:$AR,0),MATCH(K$2,'FB 콘텐츠 data'!$A$1:$AR$1,0)),"")</f>
        <v/>
      </c>
      <c r="L24" s="125" t="str">
        <f>IFERROR(INDEX('FB 콘텐츠 data'!$A$1:$AH$25,MATCH('FB 신규발행'!$A24,'FB 콘텐츠 data'!$AR:$AR,0),MATCH(L$2,'FB 콘텐츠 data'!$A$1:$AH$1,0)),"")</f>
        <v/>
      </c>
      <c r="M24" s="125" t="str">
        <f>IFERROR(INDEX('FB 콘텐츠 data'!$A$1:$AH$25,MATCH('FB 신규발행'!$A24,'FB 콘텐츠 data'!$AR:$AR,0),MATCH(M$2,'FB 콘텐츠 data'!$A$1:$AH$1,0)),"")</f>
        <v/>
      </c>
      <c r="N24" s="125" t="str">
        <f>IFERROR(INDEX('FB 콘텐츠 data'!$A$1:$AH$25,MATCH('FB 신규발행'!$A24,'FB 콘텐츠 data'!$AR:$AR,0),MATCH(N$2,'FB 콘텐츠 data'!$A$1:$AH$1,0)),"")</f>
        <v/>
      </c>
      <c r="O24" s="125" t="str">
        <f>IFERROR(INDEX('FB 콘텐츠 data'!$A$1:$AH$25,MATCH('FB 신규발행'!$A24,'FB 콘텐츠 data'!$AR:$AR,0),MATCH(O$2,'FB 콘텐츠 data'!$A$1:$AH$1,0)),"")</f>
        <v/>
      </c>
      <c r="P24" s="125" t="str">
        <f>IFERROR(INDEX('FB 콘텐츠 data'!$A$1:$AH$25,MATCH('FB 신규발행'!$A24,'FB 콘텐츠 data'!$AR:$AR,0),MATCH(P$2,'FB 콘텐츠 data'!$A$1:$AH$1,0)),"")</f>
        <v/>
      </c>
      <c r="Q24" s="125" t="str">
        <f>IFERROR(INDEX('FB 콘텐츠 data'!$A$1:$AH$25,MATCH('FB 신규발행'!$A24,'FB 콘텐츠 data'!$AR:$AR,0),MATCH(Q$2,'FB 콘텐츠 data'!$A$1:$AH$1,0)),"")</f>
        <v/>
      </c>
      <c r="R24" s="126" t="str">
        <f t="shared" si="1"/>
        <v/>
      </c>
      <c r="T24" s="48" t="str">
        <f t="shared" si="2"/>
        <v/>
      </c>
      <c r="U24" s="48" t="str">
        <f t="shared" si="3"/>
        <v/>
      </c>
      <c r="V24" t="str">
        <f t="shared" si="4"/>
        <v/>
      </c>
      <c r="Y24" s="112"/>
    </row>
    <row r="25" spans="1:25" ht="17.45" customHeight="1">
      <c r="A25" s="127">
        <v>23</v>
      </c>
      <c r="B25" s="123" t="str">
        <f>IFERROR(INDEX('FB 콘텐츠 data'!AQ:AQ,MATCH('FB 신규발행'!A25,'FB 콘텐츠 data'!AR:AR,0)),"")</f>
        <v/>
      </c>
      <c r="C25" s="124" t="str">
        <f>IFERROR(INDEX('FB 콘텐츠 data'!$A$1:$AH$25,MATCH('FB 신규발행'!$A25,'FB 콘텐츠 data'!$AR:$AR,0),MATCH(C$2,'FB 콘텐츠 data'!$A$1:$AH$1,0)),"")</f>
        <v/>
      </c>
      <c r="D25" s="125" t="str">
        <f>IFERROR(INDEX('FB 콘텐츠 data'!$A$1:$AH$25,MATCH('FB 신규발행'!$A25,'FB 콘텐츠 data'!$AR:$AR,0),MATCH(D$2,'FB 콘텐츠 data'!$A$1:$AH$1,0)),"")</f>
        <v/>
      </c>
      <c r="E25" s="125" t="str">
        <f>IFERROR(INDEX('FB 콘텐츠 data'!$A$1:$AH$25,MATCH('FB 신규발행'!$A25,'FB 콘텐츠 data'!$AR:$AR,0),MATCH(E$2,'FB 콘텐츠 data'!$A$1:$AH$1,0)),"")</f>
        <v/>
      </c>
      <c r="F25" s="125" t="str">
        <f>IFERROR(INDEX('FB 콘텐츠 data'!$A$1:$AH$25,MATCH('FB 신규발행'!$A25,'FB 콘텐츠 data'!$AR:$AR,0),MATCH(F$2,'FB 콘텐츠 data'!$A$1:$AH$1,0)),"")</f>
        <v/>
      </c>
      <c r="G25" s="125" t="str">
        <f>IFERROR(INDEX('FB 콘텐츠 data'!$A$1:$AH$25,MATCH('FB 신규발행'!$A25,'FB 콘텐츠 data'!$AR:$AR,0),MATCH(G$2,'FB 콘텐츠 data'!$A$1:$AH$1,0)),"")</f>
        <v/>
      </c>
      <c r="H25" s="125" t="str">
        <f t="shared" si="0"/>
        <v/>
      </c>
      <c r="I25" s="125" t="str">
        <f>IFERROR(INDEX('FB 콘텐츠 data'!$A$1:$AH$25,MATCH('FB 신규발행'!$A25,'FB 콘텐츠 data'!$AR:$AR,0),MATCH(I$2,'FB 콘텐츠 data'!$A$1:$AH$1,0)),"")</f>
        <v/>
      </c>
      <c r="J25" s="125" t="str">
        <f>IFERROR(INDEX('FB 콘텐츠 data'!$A$1:$AH$25,MATCH('FB 신규발행'!$A25,'FB 콘텐츠 data'!$AR:$AR,0),MATCH(J$2,'FB 콘텐츠 data'!$A$1:$AH$1,0)),"")</f>
        <v/>
      </c>
      <c r="K25" s="124" t="str">
        <f>IFERROR(INDEX('FB 콘텐츠 data'!$A$1:$AR$25,MATCH('FB 신규발행'!$A25,'FB 콘텐츠 data'!$AR:$AR,0),MATCH(K$2,'FB 콘텐츠 data'!$A$1:$AR$1,0)),"")</f>
        <v/>
      </c>
      <c r="L25" s="125" t="str">
        <f>IFERROR(INDEX('FB 콘텐츠 data'!$A$1:$AH$25,MATCH('FB 신규발행'!$A25,'FB 콘텐츠 data'!$AR:$AR,0),MATCH(L$2,'FB 콘텐츠 data'!$A$1:$AH$1,0)),"")</f>
        <v/>
      </c>
      <c r="M25" s="125" t="str">
        <f>IFERROR(INDEX('FB 콘텐츠 data'!$A$1:$AH$25,MATCH('FB 신규발행'!$A25,'FB 콘텐츠 data'!$AR:$AR,0),MATCH(M$2,'FB 콘텐츠 data'!$A$1:$AH$1,0)),"")</f>
        <v/>
      </c>
      <c r="N25" s="125" t="str">
        <f>IFERROR(INDEX('FB 콘텐츠 data'!$A$1:$AH$25,MATCH('FB 신규발행'!$A25,'FB 콘텐츠 data'!$AR:$AR,0),MATCH(N$2,'FB 콘텐츠 data'!$A$1:$AH$1,0)),"")</f>
        <v/>
      </c>
      <c r="O25" s="125" t="str">
        <f>IFERROR(INDEX('FB 콘텐츠 data'!$A$1:$AH$25,MATCH('FB 신규발행'!$A25,'FB 콘텐츠 data'!$AR:$AR,0),MATCH(O$2,'FB 콘텐츠 data'!$A$1:$AH$1,0)),"")</f>
        <v/>
      </c>
      <c r="P25" s="125" t="str">
        <f>IFERROR(INDEX('FB 콘텐츠 data'!$A$1:$AH$25,MATCH('FB 신규발행'!$A25,'FB 콘텐츠 data'!$AR:$AR,0),MATCH(P$2,'FB 콘텐츠 data'!$A$1:$AH$1,0)),"")</f>
        <v/>
      </c>
      <c r="Q25" s="125" t="str">
        <f>IFERROR(INDEX('FB 콘텐츠 data'!$A$1:$AH$25,MATCH('FB 신규발행'!$A25,'FB 콘텐츠 data'!$AR:$AR,0),MATCH(Q$2,'FB 콘텐츠 data'!$A$1:$AH$1,0)),"")</f>
        <v/>
      </c>
      <c r="R25" s="126" t="str">
        <f t="shared" si="1"/>
        <v/>
      </c>
      <c r="T25" s="48" t="str">
        <f t="shared" si="2"/>
        <v/>
      </c>
      <c r="U25" s="48" t="str">
        <f t="shared" si="3"/>
        <v/>
      </c>
      <c r="V25" t="str">
        <f t="shared" si="4"/>
        <v/>
      </c>
      <c r="Y25" s="112"/>
    </row>
    <row r="26" spans="1:25" ht="17.45" customHeight="1">
      <c r="A26" s="127">
        <v>24</v>
      </c>
      <c r="B26" s="123" t="str">
        <f>IFERROR(INDEX('FB 콘텐츠 data'!AQ:AQ,MATCH('FB 신규발행'!A26,'FB 콘텐츠 data'!AR:AR,0)),"")</f>
        <v/>
      </c>
      <c r="C26" s="124" t="str">
        <f>IFERROR(INDEX('FB 콘텐츠 data'!$A$1:$AH$25,MATCH('FB 신규발행'!$A26,'FB 콘텐츠 data'!$AR:$AR,0),MATCH(C$2,'FB 콘텐츠 data'!$A$1:$AH$1,0)),"")</f>
        <v/>
      </c>
      <c r="D26" s="125" t="str">
        <f>IFERROR(INDEX('FB 콘텐츠 data'!$A$1:$AH$25,MATCH('FB 신규발행'!$A26,'FB 콘텐츠 data'!$AR:$AR,0),MATCH(D$2,'FB 콘텐츠 data'!$A$1:$AH$1,0)),"")</f>
        <v/>
      </c>
      <c r="E26" s="125" t="str">
        <f>IFERROR(INDEX('FB 콘텐츠 data'!$A$1:$AH$25,MATCH('FB 신규발행'!$A26,'FB 콘텐츠 data'!$AR:$AR,0),MATCH(E$2,'FB 콘텐츠 data'!$A$1:$AH$1,0)),"")</f>
        <v/>
      </c>
      <c r="F26" s="125" t="str">
        <f>IFERROR(INDEX('FB 콘텐츠 data'!$A$1:$AH$25,MATCH('FB 신규발행'!$A26,'FB 콘텐츠 data'!$AR:$AR,0),MATCH(F$2,'FB 콘텐츠 data'!$A$1:$AH$1,0)),"")</f>
        <v/>
      </c>
      <c r="G26" s="125" t="str">
        <f>IFERROR(INDEX('FB 콘텐츠 data'!$A$1:$AH$25,MATCH('FB 신규발행'!$A26,'FB 콘텐츠 data'!$AR:$AR,0),MATCH(G$2,'FB 콘텐츠 data'!$A$1:$AH$1,0)),"")</f>
        <v/>
      </c>
      <c r="H26" s="125" t="str">
        <f t="shared" si="0"/>
        <v/>
      </c>
      <c r="I26" s="125" t="str">
        <f>IFERROR(INDEX('FB 콘텐츠 data'!$A$1:$AH$25,MATCH('FB 신규발행'!$A26,'FB 콘텐츠 data'!$AR:$AR,0),MATCH(I$2,'FB 콘텐츠 data'!$A$1:$AH$1,0)),"")</f>
        <v/>
      </c>
      <c r="J26" s="125" t="str">
        <f>IFERROR(INDEX('FB 콘텐츠 data'!$A$1:$AH$25,MATCH('FB 신규발행'!$A26,'FB 콘텐츠 data'!$AR:$AR,0),MATCH(J$2,'FB 콘텐츠 data'!$A$1:$AH$1,0)),"")</f>
        <v/>
      </c>
      <c r="K26" s="124" t="str">
        <f>IFERROR(INDEX('FB 콘텐츠 data'!$A$1:$AR$25,MATCH('FB 신규발행'!$A26,'FB 콘텐츠 data'!$AR:$AR,0),MATCH(K$2,'FB 콘텐츠 data'!$A$1:$AR$1,0)),"")</f>
        <v/>
      </c>
      <c r="L26" s="125" t="str">
        <f>IFERROR(INDEX('FB 콘텐츠 data'!$A$1:$AH$25,MATCH('FB 신규발행'!$A26,'FB 콘텐츠 data'!$AR:$AR,0),MATCH(L$2,'FB 콘텐츠 data'!$A$1:$AH$1,0)),"")</f>
        <v/>
      </c>
      <c r="M26" s="125" t="str">
        <f>IFERROR(INDEX('FB 콘텐츠 data'!$A$1:$AH$25,MATCH('FB 신규발행'!$A26,'FB 콘텐츠 data'!$AR:$AR,0),MATCH(M$2,'FB 콘텐츠 data'!$A$1:$AH$1,0)),"")</f>
        <v/>
      </c>
      <c r="N26" s="125" t="str">
        <f>IFERROR(INDEX('FB 콘텐츠 data'!$A$1:$AH$25,MATCH('FB 신규발행'!$A26,'FB 콘텐츠 data'!$AR:$AR,0),MATCH(N$2,'FB 콘텐츠 data'!$A$1:$AH$1,0)),"")</f>
        <v/>
      </c>
      <c r="O26" s="125" t="str">
        <f>IFERROR(INDEX('FB 콘텐츠 data'!$A$1:$AH$25,MATCH('FB 신규발행'!$A26,'FB 콘텐츠 data'!$AR:$AR,0),MATCH(O$2,'FB 콘텐츠 data'!$A$1:$AH$1,0)),"")</f>
        <v/>
      </c>
      <c r="P26" s="125" t="str">
        <f>IFERROR(INDEX('FB 콘텐츠 data'!$A$1:$AH$25,MATCH('FB 신규발행'!$A26,'FB 콘텐츠 data'!$AR:$AR,0),MATCH(P$2,'FB 콘텐츠 data'!$A$1:$AH$1,0)),"")</f>
        <v/>
      </c>
      <c r="Q26" s="125" t="str">
        <f>IFERROR(INDEX('FB 콘텐츠 data'!$A$1:$AH$25,MATCH('FB 신규발행'!$A26,'FB 콘텐츠 data'!$AR:$AR,0),MATCH(Q$2,'FB 콘텐츠 data'!$A$1:$AH$1,0)),"")</f>
        <v/>
      </c>
      <c r="R26" s="126" t="str">
        <f t="shared" si="1"/>
        <v/>
      </c>
      <c r="T26" s="48" t="str">
        <f t="shared" si="2"/>
        <v/>
      </c>
      <c r="U26" s="48" t="str">
        <f t="shared" si="3"/>
        <v/>
      </c>
      <c r="V26" t="str">
        <f t="shared" si="4"/>
        <v/>
      </c>
      <c r="Y26" s="112"/>
    </row>
    <row r="27" spans="1:25" ht="17.45" customHeight="1">
      <c r="A27" s="127">
        <v>25</v>
      </c>
      <c r="B27" s="123" t="str">
        <f>IFERROR(INDEX('FB 콘텐츠 data'!AQ:AQ,MATCH('FB 신규발행'!A27,'FB 콘텐츠 data'!AR:AR,0)),"")</f>
        <v/>
      </c>
      <c r="C27" s="124" t="str">
        <f>IFERROR(INDEX('FB 콘텐츠 data'!$A$1:$AH$25,MATCH('FB 신규발행'!$A27,'FB 콘텐츠 data'!$AR:$AR,0),MATCH(C$2,'FB 콘텐츠 data'!$A$1:$AH$1,0)),"")</f>
        <v/>
      </c>
      <c r="D27" s="125" t="str">
        <f>IFERROR(INDEX('FB 콘텐츠 data'!$A$1:$AH$25,MATCH('FB 신규발행'!$A27,'FB 콘텐츠 data'!$AR:$AR,0),MATCH(D$2,'FB 콘텐츠 data'!$A$1:$AH$1,0)),"")</f>
        <v/>
      </c>
      <c r="E27" s="125" t="str">
        <f>IFERROR(INDEX('FB 콘텐츠 data'!$A$1:$AH$25,MATCH('FB 신규발행'!$A27,'FB 콘텐츠 data'!$AR:$AR,0),MATCH(E$2,'FB 콘텐츠 data'!$A$1:$AH$1,0)),"")</f>
        <v/>
      </c>
      <c r="F27" s="125" t="str">
        <f>IFERROR(INDEX('FB 콘텐츠 data'!$A$1:$AH$25,MATCH('FB 신규발행'!$A27,'FB 콘텐츠 data'!$AR:$AR,0),MATCH(F$2,'FB 콘텐츠 data'!$A$1:$AH$1,0)),"")</f>
        <v/>
      </c>
      <c r="G27" s="125" t="str">
        <f>IFERROR(INDEX('FB 콘텐츠 data'!$A$1:$AH$25,MATCH('FB 신규발행'!$A27,'FB 콘텐츠 data'!$AR:$AR,0),MATCH(G$2,'FB 콘텐츠 data'!$A$1:$AH$1,0)),"")</f>
        <v/>
      </c>
      <c r="H27" s="125" t="str">
        <f t="shared" si="0"/>
        <v/>
      </c>
      <c r="I27" s="125" t="str">
        <f>IFERROR(INDEX('FB 콘텐츠 data'!$A$1:$AH$25,MATCH('FB 신규발행'!$A27,'FB 콘텐츠 data'!$AR:$AR,0),MATCH(I$2,'FB 콘텐츠 data'!$A$1:$AH$1,0)),"")</f>
        <v/>
      </c>
      <c r="J27" s="125" t="str">
        <f>IFERROR(INDEX('FB 콘텐츠 data'!$A$1:$AH$25,MATCH('FB 신규발행'!$A27,'FB 콘텐츠 data'!$AR:$AR,0),MATCH(J$2,'FB 콘텐츠 data'!$A$1:$AH$1,0)),"")</f>
        <v/>
      </c>
      <c r="K27" s="124" t="str">
        <f>IFERROR(INDEX('FB 콘텐츠 data'!$A$1:$AR$25,MATCH('FB 신규발행'!$A27,'FB 콘텐츠 data'!$AR:$AR,0),MATCH(K$2,'FB 콘텐츠 data'!$A$1:$AR$1,0)),"")</f>
        <v/>
      </c>
      <c r="L27" s="125" t="str">
        <f>IFERROR(INDEX('FB 콘텐츠 data'!$A$1:$AH$25,MATCH('FB 신규발행'!$A27,'FB 콘텐츠 data'!$AR:$AR,0),MATCH(L$2,'FB 콘텐츠 data'!$A$1:$AH$1,0)),"")</f>
        <v/>
      </c>
      <c r="M27" s="125" t="str">
        <f>IFERROR(INDEX('FB 콘텐츠 data'!$A$1:$AH$25,MATCH('FB 신규발행'!$A27,'FB 콘텐츠 data'!$AR:$AR,0),MATCH(M$2,'FB 콘텐츠 data'!$A$1:$AH$1,0)),"")</f>
        <v/>
      </c>
      <c r="N27" s="125" t="str">
        <f>IFERROR(INDEX('FB 콘텐츠 data'!$A$1:$AH$25,MATCH('FB 신규발행'!$A27,'FB 콘텐츠 data'!$AR:$AR,0),MATCH(N$2,'FB 콘텐츠 data'!$A$1:$AH$1,0)),"")</f>
        <v/>
      </c>
      <c r="O27" s="125" t="str">
        <f>IFERROR(INDEX('FB 콘텐츠 data'!$A$1:$AH$25,MATCH('FB 신규발행'!$A27,'FB 콘텐츠 data'!$AR:$AR,0),MATCH(O$2,'FB 콘텐츠 data'!$A$1:$AH$1,0)),"")</f>
        <v/>
      </c>
      <c r="P27" s="125" t="str">
        <f>IFERROR(INDEX('FB 콘텐츠 data'!$A$1:$AH$25,MATCH('FB 신규발행'!$A27,'FB 콘텐츠 data'!$AR:$AR,0),MATCH(P$2,'FB 콘텐츠 data'!$A$1:$AH$1,0)),"")</f>
        <v/>
      </c>
      <c r="Q27" s="125" t="str">
        <f>IFERROR(INDEX('FB 콘텐츠 data'!$A$1:$AH$25,MATCH('FB 신규발행'!$A27,'FB 콘텐츠 data'!$AR:$AR,0),MATCH(Q$2,'FB 콘텐츠 data'!$A$1:$AH$1,0)),"")</f>
        <v/>
      </c>
      <c r="R27" s="126" t="str">
        <f t="shared" si="1"/>
        <v/>
      </c>
      <c r="T27" s="48" t="str">
        <f t="shared" si="2"/>
        <v/>
      </c>
      <c r="U27" s="48" t="str">
        <f t="shared" si="3"/>
        <v/>
      </c>
      <c r="V27" t="str">
        <f t="shared" si="4"/>
        <v/>
      </c>
      <c r="Y27" s="112"/>
    </row>
    <row r="28" spans="1:25" ht="17.45" customHeight="1">
      <c r="A28" s="127">
        <v>26</v>
      </c>
      <c r="B28" s="123" t="str">
        <f>IFERROR(INDEX('FB 콘텐츠 data'!AQ:AQ,MATCH('FB 신규발행'!A28,'FB 콘텐츠 data'!AR:AR,0)),"")</f>
        <v/>
      </c>
      <c r="C28" s="124" t="str">
        <f>IFERROR(INDEX('FB 콘텐츠 data'!$A$1:$AH$25,MATCH('FB 신규발행'!$A28,'FB 콘텐츠 data'!$AR:$AR,0),MATCH(C$2,'FB 콘텐츠 data'!$A$1:$AH$1,0)),"")</f>
        <v/>
      </c>
      <c r="D28" s="125" t="str">
        <f>IFERROR(INDEX('FB 콘텐츠 data'!$A$1:$AH$25,MATCH('FB 신규발행'!$A28,'FB 콘텐츠 data'!$AR:$AR,0),MATCH(D$2,'FB 콘텐츠 data'!$A$1:$AH$1,0)),"")</f>
        <v/>
      </c>
      <c r="E28" s="125" t="str">
        <f>IFERROR(INDEX('FB 콘텐츠 data'!$A$1:$AH$25,MATCH('FB 신규발행'!$A28,'FB 콘텐츠 data'!$AR:$AR,0),MATCH(E$2,'FB 콘텐츠 data'!$A$1:$AH$1,0)),"")</f>
        <v/>
      </c>
      <c r="F28" s="125" t="str">
        <f>IFERROR(INDEX('FB 콘텐츠 data'!$A$1:$AH$25,MATCH('FB 신규발행'!$A28,'FB 콘텐츠 data'!$AR:$AR,0),MATCH(F$2,'FB 콘텐츠 data'!$A$1:$AH$1,0)),"")</f>
        <v/>
      </c>
      <c r="G28" s="125" t="str">
        <f>IFERROR(INDEX('FB 콘텐츠 data'!$A$1:$AH$25,MATCH('FB 신규발행'!$A28,'FB 콘텐츠 data'!$AR:$AR,0),MATCH(G$2,'FB 콘텐츠 data'!$A$1:$AH$1,0)),"")</f>
        <v/>
      </c>
      <c r="H28" s="125" t="str">
        <f t="shared" si="0"/>
        <v/>
      </c>
      <c r="I28" s="125" t="str">
        <f>IFERROR(INDEX('FB 콘텐츠 data'!$A$1:$AH$25,MATCH('FB 신규발행'!$A28,'FB 콘텐츠 data'!$AR:$AR,0),MATCH(I$2,'FB 콘텐츠 data'!$A$1:$AH$1,0)),"")</f>
        <v/>
      </c>
      <c r="J28" s="125" t="str">
        <f>IFERROR(INDEX('FB 콘텐츠 data'!$A$1:$AH$25,MATCH('FB 신규발행'!$A28,'FB 콘텐츠 data'!$AR:$AR,0),MATCH(J$2,'FB 콘텐츠 data'!$A$1:$AH$1,0)),"")</f>
        <v/>
      </c>
      <c r="K28" s="124" t="str">
        <f>IFERROR(INDEX('FB 콘텐츠 data'!$A$1:$AR$25,MATCH('FB 신규발행'!$A28,'FB 콘텐츠 data'!$AR:$AR,0),MATCH(K$2,'FB 콘텐츠 data'!$A$1:$AR$1,0)),"")</f>
        <v/>
      </c>
      <c r="L28" s="125" t="str">
        <f>IFERROR(INDEX('FB 콘텐츠 data'!$A$1:$AH$25,MATCH('FB 신규발행'!$A28,'FB 콘텐츠 data'!$AR:$AR,0),MATCH(L$2,'FB 콘텐츠 data'!$A$1:$AH$1,0)),"")</f>
        <v/>
      </c>
      <c r="M28" s="125" t="str">
        <f>IFERROR(INDEX('FB 콘텐츠 data'!$A$1:$AH$25,MATCH('FB 신규발행'!$A28,'FB 콘텐츠 data'!$AR:$AR,0),MATCH(M$2,'FB 콘텐츠 data'!$A$1:$AH$1,0)),"")</f>
        <v/>
      </c>
      <c r="N28" s="125" t="str">
        <f>IFERROR(INDEX('FB 콘텐츠 data'!$A$1:$AH$25,MATCH('FB 신규발행'!$A28,'FB 콘텐츠 data'!$AR:$AR,0),MATCH(N$2,'FB 콘텐츠 data'!$A$1:$AH$1,0)),"")</f>
        <v/>
      </c>
      <c r="O28" s="125" t="str">
        <f>IFERROR(INDEX('FB 콘텐츠 data'!$A$1:$AH$25,MATCH('FB 신규발행'!$A28,'FB 콘텐츠 data'!$AR:$AR,0),MATCH(O$2,'FB 콘텐츠 data'!$A$1:$AH$1,0)),"")</f>
        <v/>
      </c>
      <c r="P28" s="125" t="str">
        <f>IFERROR(INDEX('FB 콘텐츠 data'!$A$1:$AH$25,MATCH('FB 신규발행'!$A28,'FB 콘텐츠 data'!$AR:$AR,0),MATCH(P$2,'FB 콘텐츠 data'!$A$1:$AH$1,0)),"")</f>
        <v/>
      </c>
      <c r="Q28" s="125" t="str">
        <f>IFERROR(INDEX('FB 콘텐츠 data'!$A$1:$AH$25,MATCH('FB 신규발행'!$A28,'FB 콘텐츠 data'!$AR:$AR,0),MATCH(Q$2,'FB 콘텐츠 data'!$A$1:$AH$1,0)),"")</f>
        <v/>
      </c>
      <c r="R28" s="126" t="str">
        <f t="shared" si="1"/>
        <v/>
      </c>
      <c r="T28" s="48" t="str">
        <f t="shared" si="2"/>
        <v/>
      </c>
      <c r="U28" s="48" t="str">
        <f t="shared" si="3"/>
        <v/>
      </c>
      <c r="V28" t="str">
        <f t="shared" si="4"/>
        <v/>
      </c>
      <c r="Y28" s="112"/>
    </row>
    <row r="29" spans="1:25" ht="17.45" customHeight="1">
      <c r="A29" s="127">
        <v>27</v>
      </c>
      <c r="B29" s="123" t="str">
        <f>IFERROR(INDEX('FB 콘텐츠 data'!AQ:AQ,MATCH('FB 신규발행'!A29,'FB 콘텐츠 data'!AR:AR,0)),"")</f>
        <v/>
      </c>
      <c r="C29" s="124" t="str">
        <f>IFERROR(INDEX('FB 콘텐츠 data'!$A$1:$AH$25,MATCH('FB 신규발행'!$A29,'FB 콘텐츠 data'!$AR:$AR,0),MATCH(C$2,'FB 콘텐츠 data'!$A$1:$AH$1,0)),"")</f>
        <v/>
      </c>
      <c r="D29" s="125" t="str">
        <f>IFERROR(INDEX('FB 콘텐츠 data'!$A$1:$AH$25,MATCH('FB 신규발행'!$A29,'FB 콘텐츠 data'!$AR:$AR,0),MATCH(D$2,'FB 콘텐츠 data'!$A$1:$AH$1,0)),"")</f>
        <v/>
      </c>
      <c r="E29" s="125" t="str">
        <f>IFERROR(INDEX('FB 콘텐츠 data'!$A$1:$AH$25,MATCH('FB 신규발행'!$A29,'FB 콘텐츠 data'!$AR:$AR,0),MATCH(E$2,'FB 콘텐츠 data'!$A$1:$AH$1,0)),"")</f>
        <v/>
      </c>
      <c r="F29" s="125" t="str">
        <f>IFERROR(INDEX('FB 콘텐츠 data'!$A$1:$AH$25,MATCH('FB 신규발행'!$A29,'FB 콘텐츠 data'!$AR:$AR,0),MATCH(F$2,'FB 콘텐츠 data'!$A$1:$AH$1,0)),"")</f>
        <v/>
      </c>
      <c r="G29" s="125" t="str">
        <f>IFERROR(INDEX('FB 콘텐츠 data'!$A$1:$AH$25,MATCH('FB 신규발행'!$A29,'FB 콘텐츠 data'!$AR:$AR,0),MATCH(G$2,'FB 콘텐츠 data'!$A$1:$AH$1,0)),"")</f>
        <v/>
      </c>
      <c r="H29" s="125" t="str">
        <f t="shared" si="0"/>
        <v/>
      </c>
      <c r="I29" s="125" t="str">
        <f>IFERROR(INDEX('FB 콘텐츠 data'!$A$1:$AH$25,MATCH('FB 신규발행'!$A29,'FB 콘텐츠 data'!$AR:$AR,0),MATCH(I$2,'FB 콘텐츠 data'!$A$1:$AH$1,0)),"")</f>
        <v/>
      </c>
      <c r="J29" s="125" t="str">
        <f>IFERROR(INDEX('FB 콘텐츠 data'!$A$1:$AH$25,MATCH('FB 신규발행'!$A29,'FB 콘텐츠 data'!$AR:$AR,0),MATCH(J$2,'FB 콘텐츠 data'!$A$1:$AH$1,0)),"")</f>
        <v/>
      </c>
      <c r="K29" s="124" t="str">
        <f>IFERROR(INDEX('FB 콘텐츠 data'!$A$1:$AR$25,MATCH('FB 신규발행'!$A29,'FB 콘텐츠 data'!$AR:$AR,0),MATCH(K$2,'FB 콘텐츠 data'!$A$1:$AR$1,0)),"")</f>
        <v/>
      </c>
      <c r="L29" s="125" t="str">
        <f>IFERROR(INDEX('FB 콘텐츠 data'!$A$1:$AH$25,MATCH('FB 신규발행'!$A29,'FB 콘텐츠 data'!$AR:$AR,0),MATCH(L$2,'FB 콘텐츠 data'!$A$1:$AH$1,0)),"")</f>
        <v/>
      </c>
      <c r="M29" s="125" t="str">
        <f>IFERROR(INDEX('FB 콘텐츠 data'!$A$1:$AH$25,MATCH('FB 신규발행'!$A29,'FB 콘텐츠 data'!$AR:$AR,0),MATCH(M$2,'FB 콘텐츠 data'!$A$1:$AH$1,0)),"")</f>
        <v/>
      </c>
      <c r="N29" s="125" t="str">
        <f>IFERROR(INDEX('FB 콘텐츠 data'!$A$1:$AH$25,MATCH('FB 신규발행'!$A29,'FB 콘텐츠 data'!$AR:$AR,0),MATCH(N$2,'FB 콘텐츠 data'!$A$1:$AH$1,0)),"")</f>
        <v/>
      </c>
      <c r="O29" s="125" t="str">
        <f>IFERROR(INDEX('FB 콘텐츠 data'!$A$1:$AH$25,MATCH('FB 신규발행'!$A29,'FB 콘텐츠 data'!$AR:$AR,0),MATCH(O$2,'FB 콘텐츠 data'!$A$1:$AH$1,0)),"")</f>
        <v/>
      </c>
      <c r="P29" s="125" t="str">
        <f>IFERROR(INDEX('FB 콘텐츠 data'!$A$1:$AH$25,MATCH('FB 신규발행'!$A29,'FB 콘텐츠 data'!$AR:$AR,0),MATCH(P$2,'FB 콘텐츠 data'!$A$1:$AH$1,0)),"")</f>
        <v/>
      </c>
      <c r="Q29" s="125" t="str">
        <f>IFERROR(INDEX('FB 콘텐츠 data'!$A$1:$AH$25,MATCH('FB 신규발행'!$A29,'FB 콘텐츠 data'!$AR:$AR,0),MATCH(Q$2,'FB 콘텐츠 data'!$A$1:$AH$1,0)),"")</f>
        <v/>
      </c>
      <c r="R29" s="126" t="str">
        <f t="shared" si="1"/>
        <v/>
      </c>
      <c r="T29" s="48" t="str">
        <f t="shared" si="2"/>
        <v/>
      </c>
      <c r="U29" s="48" t="str">
        <f t="shared" si="3"/>
        <v/>
      </c>
      <c r="V29" t="str">
        <f t="shared" si="4"/>
        <v/>
      </c>
      <c r="Y29" s="112"/>
    </row>
    <row r="30" spans="1:25" ht="17.45" customHeight="1">
      <c r="A30" s="127">
        <v>28</v>
      </c>
      <c r="B30" s="123" t="str">
        <f>IFERROR(INDEX('FB 콘텐츠 data'!AQ:AQ,MATCH('FB 신규발행'!A30,'FB 콘텐츠 data'!AR:AR,0)),"")</f>
        <v/>
      </c>
      <c r="C30" s="124" t="str">
        <f>IFERROR(INDEX('FB 콘텐츠 data'!$A$1:$AH$25,MATCH('FB 신규발행'!$A30,'FB 콘텐츠 data'!$AR:$AR,0),MATCH(C$2,'FB 콘텐츠 data'!$A$1:$AH$1,0)),"")</f>
        <v/>
      </c>
      <c r="D30" s="125" t="str">
        <f>IFERROR(INDEX('FB 콘텐츠 data'!$A$1:$AH$25,MATCH('FB 신규발행'!$A30,'FB 콘텐츠 data'!$AR:$AR,0),MATCH(D$2,'FB 콘텐츠 data'!$A$1:$AH$1,0)),"")</f>
        <v/>
      </c>
      <c r="E30" s="125" t="str">
        <f>IFERROR(INDEX('FB 콘텐츠 data'!$A$1:$AH$25,MATCH('FB 신규발행'!$A30,'FB 콘텐츠 data'!$AR:$AR,0),MATCH(E$2,'FB 콘텐츠 data'!$A$1:$AH$1,0)),"")</f>
        <v/>
      </c>
      <c r="F30" s="125" t="str">
        <f>IFERROR(INDEX('FB 콘텐츠 data'!$A$1:$AH$25,MATCH('FB 신규발행'!$A30,'FB 콘텐츠 data'!$AR:$AR,0),MATCH(F$2,'FB 콘텐츠 data'!$A$1:$AH$1,0)),"")</f>
        <v/>
      </c>
      <c r="G30" s="125" t="str">
        <f>IFERROR(INDEX('FB 콘텐츠 data'!$A$1:$AH$25,MATCH('FB 신규발행'!$A30,'FB 콘텐츠 data'!$AR:$AR,0),MATCH(G$2,'FB 콘텐츠 data'!$A$1:$AH$1,0)),"")</f>
        <v/>
      </c>
      <c r="H30" s="125" t="str">
        <f t="shared" si="0"/>
        <v/>
      </c>
      <c r="I30" s="125" t="str">
        <f>IFERROR(INDEX('FB 콘텐츠 data'!$A$1:$AH$25,MATCH('FB 신규발행'!$A30,'FB 콘텐츠 data'!$AR:$AR,0),MATCH(I$2,'FB 콘텐츠 data'!$A$1:$AH$1,0)),"")</f>
        <v/>
      </c>
      <c r="J30" s="125" t="str">
        <f>IFERROR(INDEX('FB 콘텐츠 data'!$A$1:$AH$25,MATCH('FB 신규발행'!$A30,'FB 콘텐츠 data'!$AR:$AR,0),MATCH(J$2,'FB 콘텐츠 data'!$A$1:$AH$1,0)),"")</f>
        <v/>
      </c>
      <c r="K30" s="124" t="str">
        <f>IFERROR(INDEX('FB 콘텐츠 data'!$A$1:$AR$25,MATCH('FB 신규발행'!$A30,'FB 콘텐츠 data'!$AR:$AR,0),MATCH(K$2,'FB 콘텐츠 data'!$A$1:$AR$1,0)),"")</f>
        <v/>
      </c>
      <c r="L30" s="125" t="str">
        <f>IFERROR(INDEX('FB 콘텐츠 data'!$A$1:$AH$25,MATCH('FB 신규발행'!$A30,'FB 콘텐츠 data'!$AR:$AR,0),MATCH(L$2,'FB 콘텐츠 data'!$A$1:$AH$1,0)),"")</f>
        <v/>
      </c>
      <c r="M30" s="125" t="str">
        <f>IFERROR(INDEX('FB 콘텐츠 data'!$A$1:$AH$25,MATCH('FB 신규발행'!$A30,'FB 콘텐츠 data'!$AR:$AR,0),MATCH(M$2,'FB 콘텐츠 data'!$A$1:$AH$1,0)),"")</f>
        <v/>
      </c>
      <c r="N30" s="125" t="str">
        <f>IFERROR(INDEX('FB 콘텐츠 data'!$A$1:$AH$25,MATCH('FB 신규발행'!$A30,'FB 콘텐츠 data'!$AR:$AR,0),MATCH(N$2,'FB 콘텐츠 data'!$A$1:$AH$1,0)),"")</f>
        <v/>
      </c>
      <c r="O30" s="125" t="str">
        <f>IFERROR(INDEX('FB 콘텐츠 data'!$A$1:$AH$25,MATCH('FB 신규발행'!$A30,'FB 콘텐츠 data'!$AR:$AR,0),MATCH(O$2,'FB 콘텐츠 data'!$A$1:$AH$1,0)),"")</f>
        <v/>
      </c>
      <c r="P30" s="125" t="str">
        <f>IFERROR(INDEX('FB 콘텐츠 data'!$A$1:$AH$25,MATCH('FB 신규발행'!$A30,'FB 콘텐츠 data'!$AR:$AR,0),MATCH(P$2,'FB 콘텐츠 data'!$A$1:$AH$1,0)),"")</f>
        <v/>
      </c>
      <c r="Q30" s="125" t="str">
        <f>IFERROR(INDEX('FB 콘텐츠 data'!$A$1:$AH$25,MATCH('FB 신규발행'!$A30,'FB 콘텐츠 data'!$AR:$AR,0),MATCH(Q$2,'FB 콘텐츠 data'!$A$1:$AH$1,0)),"")</f>
        <v/>
      </c>
      <c r="R30" s="126" t="str">
        <f t="shared" si="1"/>
        <v/>
      </c>
      <c r="T30" s="48" t="str">
        <f t="shared" si="2"/>
        <v/>
      </c>
      <c r="U30" s="48" t="str">
        <f t="shared" si="3"/>
        <v/>
      </c>
      <c r="V30" t="str">
        <f t="shared" si="4"/>
        <v/>
      </c>
      <c r="Y30" s="112"/>
    </row>
    <row r="31" spans="1:25" ht="17.45" customHeight="1">
      <c r="A31" s="127">
        <v>29</v>
      </c>
      <c r="B31" s="123" t="str">
        <f>IFERROR(INDEX('FB 콘텐츠 data'!AQ:AQ,MATCH('FB 신규발행'!A31,'FB 콘텐츠 data'!AR:AR,0)),"")</f>
        <v/>
      </c>
      <c r="C31" s="124" t="str">
        <f>IFERROR(INDEX('FB 콘텐츠 data'!$A$1:$AH$25,MATCH('FB 신규발행'!$A31,'FB 콘텐츠 data'!$AR:$AR,0),MATCH(C$2,'FB 콘텐츠 data'!$A$1:$AH$1,0)),"")</f>
        <v/>
      </c>
      <c r="D31" s="125" t="str">
        <f>IFERROR(INDEX('FB 콘텐츠 data'!$A$1:$AH$25,MATCH('FB 신규발행'!$A31,'FB 콘텐츠 data'!$AR:$AR,0),MATCH(D$2,'FB 콘텐츠 data'!$A$1:$AH$1,0)),"")</f>
        <v/>
      </c>
      <c r="E31" s="125" t="str">
        <f>IFERROR(INDEX('FB 콘텐츠 data'!$A$1:$AH$25,MATCH('FB 신규발행'!$A31,'FB 콘텐츠 data'!$AR:$AR,0),MATCH(E$2,'FB 콘텐츠 data'!$A$1:$AH$1,0)),"")</f>
        <v/>
      </c>
      <c r="F31" s="125" t="str">
        <f>IFERROR(INDEX('FB 콘텐츠 data'!$A$1:$AH$25,MATCH('FB 신규발행'!$A31,'FB 콘텐츠 data'!$AR:$AR,0),MATCH(F$2,'FB 콘텐츠 data'!$A$1:$AH$1,0)),"")</f>
        <v/>
      </c>
      <c r="G31" s="125" t="str">
        <f>IFERROR(INDEX('FB 콘텐츠 data'!$A$1:$AH$25,MATCH('FB 신규발행'!$A31,'FB 콘텐츠 data'!$AR:$AR,0),MATCH(G$2,'FB 콘텐츠 data'!$A$1:$AH$1,0)),"")</f>
        <v/>
      </c>
      <c r="H31" s="125" t="str">
        <f t="shared" si="0"/>
        <v/>
      </c>
      <c r="I31" s="125" t="str">
        <f>IFERROR(INDEX('FB 콘텐츠 data'!$A$1:$AH$25,MATCH('FB 신규발행'!$A31,'FB 콘텐츠 data'!$AR:$AR,0),MATCH(I$2,'FB 콘텐츠 data'!$A$1:$AH$1,0)),"")</f>
        <v/>
      </c>
      <c r="J31" s="125" t="str">
        <f>IFERROR(INDEX('FB 콘텐츠 data'!$A$1:$AH$25,MATCH('FB 신규발행'!$A31,'FB 콘텐츠 data'!$AR:$AR,0),MATCH(J$2,'FB 콘텐츠 data'!$A$1:$AH$1,0)),"")</f>
        <v/>
      </c>
      <c r="K31" s="124" t="str">
        <f>IFERROR(INDEX('FB 콘텐츠 data'!$A$1:$AR$25,MATCH('FB 신규발행'!$A31,'FB 콘텐츠 data'!$AR:$AR,0),MATCH(K$2,'FB 콘텐츠 data'!$A$1:$AR$1,0)),"")</f>
        <v/>
      </c>
      <c r="L31" s="125" t="str">
        <f>IFERROR(INDEX('FB 콘텐츠 data'!$A$1:$AH$25,MATCH('FB 신규발행'!$A31,'FB 콘텐츠 data'!$AR:$AR,0),MATCH(L$2,'FB 콘텐츠 data'!$A$1:$AH$1,0)),"")</f>
        <v/>
      </c>
      <c r="M31" s="125" t="str">
        <f>IFERROR(INDEX('FB 콘텐츠 data'!$A$1:$AH$25,MATCH('FB 신규발행'!$A31,'FB 콘텐츠 data'!$AR:$AR,0),MATCH(M$2,'FB 콘텐츠 data'!$A$1:$AH$1,0)),"")</f>
        <v/>
      </c>
      <c r="N31" s="125" t="str">
        <f>IFERROR(INDEX('FB 콘텐츠 data'!$A$1:$AH$25,MATCH('FB 신규발행'!$A31,'FB 콘텐츠 data'!$AR:$AR,0),MATCH(N$2,'FB 콘텐츠 data'!$A$1:$AH$1,0)),"")</f>
        <v/>
      </c>
      <c r="O31" s="125" t="str">
        <f>IFERROR(INDEX('FB 콘텐츠 data'!$A$1:$AH$25,MATCH('FB 신규발행'!$A31,'FB 콘텐츠 data'!$AR:$AR,0),MATCH(O$2,'FB 콘텐츠 data'!$A$1:$AH$1,0)),"")</f>
        <v/>
      </c>
      <c r="P31" s="125" t="str">
        <f>IFERROR(INDEX('FB 콘텐츠 data'!$A$1:$AH$25,MATCH('FB 신규발행'!$A31,'FB 콘텐츠 data'!$AR:$AR,0),MATCH(P$2,'FB 콘텐츠 data'!$A$1:$AH$1,0)),"")</f>
        <v/>
      </c>
      <c r="Q31" s="125" t="str">
        <f>IFERROR(INDEX('FB 콘텐츠 data'!$A$1:$AH$25,MATCH('FB 신규발행'!$A31,'FB 콘텐츠 data'!$AR:$AR,0),MATCH(Q$2,'FB 콘텐츠 data'!$A$1:$AH$1,0)),"")</f>
        <v/>
      </c>
      <c r="R31" s="126" t="str">
        <f t="shared" si="1"/>
        <v/>
      </c>
      <c r="T31" s="48" t="str">
        <f t="shared" si="2"/>
        <v/>
      </c>
      <c r="U31" s="48" t="str">
        <f t="shared" si="3"/>
        <v/>
      </c>
      <c r="V31" t="str">
        <f t="shared" si="4"/>
        <v/>
      </c>
      <c r="Y31" s="112"/>
    </row>
    <row r="32" spans="1:25" ht="17.45" customHeight="1">
      <c r="A32" s="127">
        <v>30</v>
      </c>
      <c r="B32" s="123" t="str">
        <f>IFERROR(INDEX('FB 콘텐츠 data'!AQ:AQ,MATCH('FB 신규발행'!A32,'FB 콘텐츠 data'!AR:AR,0)),"")</f>
        <v/>
      </c>
      <c r="C32" s="124" t="str">
        <f>IFERROR(INDEX('FB 콘텐츠 data'!$A$1:$AH$25,MATCH('FB 신규발행'!$A32,'FB 콘텐츠 data'!$AR:$AR,0),MATCH(C$2,'FB 콘텐츠 data'!$A$1:$AH$1,0)),"")</f>
        <v/>
      </c>
      <c r="D32" s="125" t="str">
        <f>IFERROR(INDEX('FB 콘텐츠 data'!$A$1:$AH$25,MATCH('FB 신규발행'!$A32,'FB 콘텐츠 data'!$AR:$AR,0),MATCH(D$2,'FB 콘텐츠 data'!$A$1:$AH$1,0)),"")</f>
        <v/>
      </c>
      <c r="E32" s="125" t="str">
        <f>IFERROR(INDEX('FB 콘텐츠 data'!$A$1:$AH$25,MATCH('FB 신규발행'!$A32,'FB 콘텐츠 data'!$AR:$AR,0),MATCH(E$2,'FB 콘텐츠 data'!$A$1:$AH$1,0)),"")</f>
        <v/>
      </c>
      <c r="F32" s="125" t="str">
        <f>IFERROR(INDEX('FB 콘텐츠 data'!$A$1:$AH$25,MATCH('FB 신규발행'!$A32,'FB 콘텐츠 data'!$AR:$AR,0),MATCH(F$2,'FB 콘텐츠 data'!$A$1:$AH$1,0)),"")</f>
        <v/>
      </c>
      <c r="G32" s="125" t="str">
        <f>IFERROR(INDEX('FB 콘텐츠 data'!$A$1:$AH$25,MATCH('FB 신규발행'!$A32,'FB 콘텐츠 data'!$AR:$AR,0),MATCH(G$2,'FB 콘텐츠 data'!$A$1:$AH$1,0)),"")</f>
        <v/>
      </c>
      <c r="H32" s="125" t="str">
        <f t="shared" si="0"/>
        <v/>
      </c>
      <c r="I32" s="125" t="str">
        <f>IFERROR(INDEX('FB 콘텐츠 data'!$A$1:$AH$25,MATCH('FB 신규발행'!$A32,'FB 콘텐츠 data'!$AR:$AR,0),MATCH(I$2,'FB 콘텐츠 data'!$A$1:$AH$1,0)),"")</f>
        <v/>
      </c>
      <c r="J32" s="125" t="str">
        <f>IFERROR(INDEX('FB 콘텐츠 data'!$A$1:$AH$25,MATCH('FB 신규발행'!$A32,'FB 콘텐츠 data'!$AR:$AR,0),MATCH(J$2,'FB 콘텐츠 data'!$A$1:$AH$1,0)),"")</f>
        <v/>
      </c>
      <c r="K32" s="124" t="str">
        <f>IFERROR(INDEX('FB 콘텐츠 data'!$A$1:$AR$25,MATCH('FB 신규발행'!$A32,'FB 콘텐츠 data'!$AR:$AR,0),MATCH(K$2,'FB 콘텐츠 data'!$A$1:$AR$1,0)),"")</f>
        <v/>
      </c>
      <c r="L32" s="125" t="str">
        <f>IFERROR(INDEX('FB 콘텐츠 data'!$A$1:$AH$25,MATCH('FB 신규발행'!$A32,'FB 콘텐츠 data'!$AR:$AR,0),MATCH(L$2,'FB 콘텐츠 data'!$A$1:$AH$1,0)),"")</f>
        <v/>
      </c>
      <c r="M32" s="125" t="str">
        <f>IFERROR(INDEX('FB 콘텐츠 data'!$A$1:$AH$25,MATCH('FB 신규발행'!$A32,'FB 콘텐츠 data'!$AR:$AR,0),MATCH(M$2,'FB 콘텐츠 data'!$A$1:$AH$1,0)),"")</f>
        <v/>
      </c>
      <c r="N32" s="125" t="str">
        <f>IFERROR(INDEX('FB 콘텐츠 data'!$A$1:$AH$25,MATCH('FB 신규발행'!$A32,'FB 콘텐츠 data'!$AR:$AR,0),MATCH(N$2,'FB 콘텐츠 data'!$A$1:$AH$1,0)),"")</f>
        <v/>
      </c>
      <c r="O32" s="125" t="str">
        <f>IFERROR(INDEX('FB 콘텐츠 data'!$A$1:$AH$25,MATCH('FB 신규발행'!$A32,'FB 콘텐츠 data'!$AR:$AR,0),MATCH(O$2,'FB 콘텐츠 data'!$A$1:$AH$1,0)),"")</f>
        <v/>
      </c>
      <c r="P32" s="125" t="str">
        <f>IFERROR(INDEX('FB 콘텐츠 data'!$A$1:$AH$25,MATCH('FB 신규발행'!$A32,'FB 콘텐츠 data'!$AR:$AR,0),MATCH(P$2,'FB 콘텐츠 data'!$A$1:$AH$1,0)),"")</f>
        <v/>
      </c>
      <c r="Q32" s="125" t="str">
        <f>IFERROR(INDEX('FB 콘텐츠 data'!$A$1:$AH$25,MATCH('FB 신규발행'!$A32,'FB 콘텐츠 data'!$AR:$AR,0),MATCH(Q$2,'FB 콘텐츠 data'!$A$1:$AH$1,0)),"")</f>
        <v/>
      </c>
      <c r="R32" s="126" t="str">
        <f t="shared" si="1"/>
        <v/>
      </c>
      <c r="T32" s="48" t="str">
        <f t="shared" si="2"/>
        <v/>
      </c>
      <c r="U32" s="48" t="str">
        <f t="shared" si="3"/>
        <v/>
      </c>
      <c r="V32" t="str">
        <f t="shared" si="4"/>
        <v/>
      </c>
      <c r="Y32" s="112"/>
    </row>
    <row r="33" spans="1:25" ht="17.45" customHeight="1">
      <c r="A33" s="127">
        <v>31</v>
      </c>
      <c r="B33" s="123" t="str">
        <f>IFERROR(INDEX('FB 콘텐츠 data'!AQ:AQ,MATCH('FB 신규발행'!A33,'FB 콘텐츠 data'!AR:AR,0)),"")</f>
        <v/>
      </c>
      <c r="C33" s="124" t="str">
        <f>IFERROR(INDEX('FB 콘텐츠 data'!$A$1:$AH$25,MATCH('FB 신규발행'!$A33,'FB 콘텐츠 data'!$AR:$AR,0),MATCH(C$2,'FB 콘텐츠 data'!$A$1:$AH$1,0)),"")</f>
        <v/>
      </c>
      <c r="D33" s="125" t="str">
        <f>IFERROR(INDEX('FB 콘텐츠 data'!$A$1:$AH$25,MATCH('FB 신규발행'!$A33,'FB 콘텐츠 data'!$AR:$AR,0),MATCH(D$2,'FB 콘텐츠 data'!$A$1:$AH$1,0)),"")</f>
        <v/>
      </c>
      <c r="E33" s="125" t="str">
        <f>IFERROR(INDEX('FB 콘텐츠 data'!$A$1:$AH$25,MATCH('FB 신규발행'!$A33,'FB 콘텐츠 data'!$AR:$AR,0),MATCH(E$2,'FB 콘텐츠 data'!$A$1:$AH$1,0)),"")</f>
        <v/>
      </c>
      <c r="F33" s="125" t="str">
        <f>IFERROR(INDEX('FB 콘텐츠 data'!$A$1:$AH$25,MATCH('FB 신규발행'!$A33,'FB 콘텐츠 data'!$AR:$AR,0),MATCH(F$2,'FB 콘텐츠 data'!$A$1:$AH$1,0)),"")</f>
        <v/>
      </c>
      <c r="G33" s="125" t="str">
        <f>IFERROR(INDEX('FB 콘텐츠 data'!$A$1:$AH$25,MATCH('FB 신규발행'!$A33,'FB 콘텐츠 data'!$AR:$AR,0),MATCH(G$2,'FB 콘텐츠 data'!$A$1:$AH$1,0)),"")</f>
        <v/>
      </c>
      <c r="H33" s="125" t="str">
        <f t="shared" si="0"/>
        <v/>
      </c>
      <c r="I33" s="125" t="str">
        <f>IFERROR(INDEX('FB 콘텐츠 data'!$A$1:$AH$25,MATCH('FB 신규발행'!$A33,'FB 콘텐츠 data'!$AR:$AR,0),MATCH(I$2,'FB 콘텐츠 data'!$A$1:$AH$1,0)),"")</f>
        <v/>
      </c>
      <c r="J33" s="125" t="str">
        <f>IFERROR(INDEX('FB 콘텐츠 data'!$A$1:$AH$25,MATCH('FB 신규발행'!$A33,'FB 콘텐츠 data'!$AR:$AR,0),MATCH(J$2,'FB 콘텐츠 data'!$A$1:$AH$1,0)),"")</f>
        <v/>
      </c>
      <c r="K33" s="124" t="str">
        <f>IFERROR(INDEX('FB 콘텐츠 data'!$A$1:$AR$25,MATCH('FB 신규발행'!$A33,'FB 콘텐츠 data'!$AR:$AR,0),MATCH(K$2,'FB 콘텐츠 data'!$A$1:$AR$1,0)),"")</f>
        <v/>
      </c>
      <c r="L33" s="125" t="str">
        <f>IFERROR(INDEX('FB 콘텐츠 data'!$A$1:$AH$25,MATCH('FB 신규발행'!$A33,'FB 콘텐츠 data'!$AR:$AR,0),MATCH(L$2,'FB 콘텐츠 data'!$A$1:$AH$1,0)),"")</f>
        <v/>
      </c>
      <c r="M33" s="125" t="str">
        <f>IFERROR(INDEX('FB 콘텐츠 data'!$A$1:$AH$25,MATCH('FB 신규발행'!$A33,'FB 콘텐츠 data'!$AR:$AR,0),MATCH(M$2,'FB 콘텐츠 data'!$A$1:$AH$1,0)),"")</f>
        <v/>
      </c>
      <c r="N33" s="125" t="str">
        <f>IFERROR(INDEX('FB 콘텐츠 data'!$A$1:$AH$25,MATCH('FB 신규발행'!$A33,'FB 콘텐츠 data'!$AR:$AR,0),MATCH(N$2,'FB 콘텐츠 data'!$A$1:$AH$1,0)),"")</f>
        <v/>
      </c>
      <c r="O33" s="125" t="str">
        <f>IFERROR(INDEX('FB 콘텐츠 data'!$A$1:$AH$25,MATCH('FB 신규발행'!$A33,'FB 콘텐츠 data'!$AR:$AR,0),MATCH(O$2,'FB 콘텐츠 data'!$A$1:$AH$1,0)),"")</f>
        <v/>
      </c>
      <c r="P33" s="125" t="str">
        <f>IFERROR(INDEX('FB 콘텐츠 data'!$A$1:$AH$25,MATCH('FB 신규발행'!$A33,'FB 콘텐츠 data'!$AR:$AR,0),MATCH(P$2,'FB 콘텐츠 data'!$A$1:$AH$1,0)),"")</f>
        <v/>
      </c>
      <c r="Q33" s="125" t="str">
        <f>IFERROR(INDEX('FB 콘텐츠 data'!$A$1:$AH$25,MATCH('FB 신규발행'!$A33,'FB 콘텐츠 data'!$AR:$AR,0),MATCH(Q$2,'FB 콘텐츠 data'!$A$1:$AH$1,0)),"")</f>
        <v/>
      </c>
      <c r="R33" s="126" t="str">
        <f t="shared" si="1"/>
        <v/>
      </c>
      <c r="T33" s="48" t="str">
        <f t="shared" si="2"/>
        <v/>
      </c>
      <c r="U33" s="48" t="str">
        <f t="shared" si="3"/>
        <v/>
      </c>
      <c r="V33" t="str">
        <f t="shared" si="4"/>
        <v/>
      </c>
      <c r="Y33" s="112"/>
    </row>
    <row r="34" spans="1:25" ht="17.45" customHeight="1">
      <c r="A34" s="127">
        <v>32</v>
      </c>
      <c r="B34" s="123" t="str">
        <f>IFERROR(INDEX('FB 콘텐츠 data'!AQ:AQ,MATCH('FB 신규발행'!A34,'FB 콘텐츠 data'!AR:AR,0)),"")</f>
        <v/>
      </c>
      <c r="C34" s="124" t="str">
        <f>IFERROR(INDEX('FB 콘텐츠 data'!$A$1:$AH$25,MATCH('FB 신규발행'!$A34,'FB 콘텐츠 data'!$AR:$AR,0),MATCH(C$2,'FB 콘텐츠 data'!$A$1:$AH$1,0)),"")</f>
        <v/>
      </c>
      <c r="D34" s="125" t="str">
        <f>IFERROR(INDEX('FB 콘텐츠 data'!$A$1:$AH$25,MATCH('FB 신규발행'!$A34,'FB 콘텐츠 data'!$AR:$AR,0),MATCH(D$2,'FB 콘텐츠 data'!$A$1:$AH$1,0)),"")</f>
        <v/>
      </c>
      <c r="E34" s="125" t="str">
        <f>IFERROR(INDEX('FB 콘텐츠 data'!$A$1:$AH$25,MATCH('FB 신규발행'!$A34,'FB 콘텐츠 data'!$AR:$AR,0),MATCH(E$2,'FB 콘텐츠 data'!$A$1:$AH$1,0)),"")</f>
        <v/>
      </c>
      <c r="F34" s="125" t="str">
        <f>IFERROR(INDEX('FB 콘텐츠 data'!$A$1:$AH$25,MATCH('FB 신규발행'!$A34,'FB 콘텐츠 data'!$AR:$AR,0),MATCH(F$2,'FB 콘텐츠 data'!$A$1:$AH$1,0)),"")</f>
        <v/>
      </c>
      <c r="G34" s="125" t="str">
        <f>IFERROR(INDEX('FB 콘텐츠 data'!$A$1:$AH$25,MATCH('FB 신규발행'!$A34,'FB 콘텐츠 data'!$AR:$AR,0),MATCH(G$2,'FB 콘텐츠 data'!$A$1:$AH$1,0)),"")</f>
        <v/>
      </c>
      <c r="H34" s="125" t="str">
        <f t="shared" si="0"/>
        <v/>
      </c>
      <c r="I34" s="125" t="str">
        <f>IFERROR(INDEX('FB 콘텐츠 data'!$A$1:$AH$25,MATCH('FB 신규발행'!$A34,'FB 콘텐츠 data'!$AR:$AR,0),MATCH(I$2,'FB 콘텐츠 data'!$A$1:$AH$1,0)),"")</f>
        <v/>
      </c>
      <c r="J34" s="125" t="str">
        <f>IFERROR(INDEX('FB 콘텐츠 data'!$A$1:$AH$25,MATCH('FB 신규발행'!$A34,'FB 콘텐츠 data'!$AR:$AR,0),MATCH(J$2,'FB 콘텐츠 data'!$A$1:$AH$1,0)),"")</f>
        <v/>
      </c>
      <c r="K34" s="124" t="str">
        <f>IFERROR(INDEX('FB 콘텐츠 data'!$A$1:$AR$25,MATCH('FB 신규발행'!$A34,'FB 콘텐츠 data'!$AR:$AR,0),MATCH(K$2,'FB 콘텐츠 data'!$A$1:$AR$1,0)),"")</f>
        <v/>
      </c>
      <c r="L34" s="125" t="str">
        <f>IFERROR(INDEX('FB 콘텐츠 data'!$A$1:$AH$25,MATCH('FB 신규발행'!$A34,'FB 콘텐츠 data'!$AR:$AR,0),MATCH(L$2,'FB 콘텐츠 data'!$A$1:$AH$1,0)),"")</f>
        <v/>
      </c>
      <c r="M34" s="125" t="str">
        <f>IFERROR(INDEX('FB 콘텐츠 data'!$A$1:$AH$25,MATCH('FB 신규발행'!$A34,'FB 콘텐츠 data'!$AR:$AR,0),MATCH(M$2,'FB 콘텐츠 data'!$A$1:$AH$1,0)),"")</f>
        <v/>
      </c>
      <c r="N34" s="125" t="str">
        <f>IFERROR(INDEX('FB 콘텐츠 data'!$A$1:$AH$25,MATCH('FB 신규발행'!$A34,'FB 콘텐츠 data'!$AR:$AR,0),MATCH(N$2,'FB 콘텐츠 data'!$A$1:$AH$1,0)),"")</f>
        <v/>
      </c>
      <c r="O34" s="125" t="str">
        <f>IFERROR(INDEX('FB 콘텐츠 data'!$A$1:$AH$25,MATCH('FB 신규발행'!$A34,'FB 콘텐츠 data'!$AR:$AR,0),MATCH(O$2,'FB 콘텐츠 data'!$A$1:$AH$1,0)),"")</f>
        <v/>
      </c>
      <c r="P34" s="125" t="str">
        <f>IFERROR(INDEX('FB 콘텐츠 data'!$A$1:$AH$25,MATCH('FB 신규발행'!$A34,'FB 콘텐츠 data'!$AR:$AR,0),MATCH(P$2,'FB 콘텐츠 data'!$A$1:$AH$1,0)),"")</f>
        <v/>
      </c>
      <c r="Q34" s="125" t="str">
        <f>IFERROR(INDEX('FB 콘텐츠 data'!$A$1:$AH$25,MATCH('FB 신규발행'!$A34,'FB 콘텐츠 data'!$AR:$AR,0),MATCH(Q$2,'FB 콘텐츠 data'!$A$1:$AH$1,0)),"")</f>
        <v/>
      </c>
      <c r="R34" s="126" t="str">
        <f t="shared" si="1"/>
        <v/>
      </c>
      <c r="T34" s="48" t="str">
        <f t="shared" si="2"/>
        <v/>
      </c>
      <c r="U34" s="48" t="str">
        <f t="shared" si="3"/>
        <v/>
      </c>
      <c r="Y34" s="112"/>
    </row>
    <row r="35" spans="1:25" ht="17.45" customHeight="1">
      <c r="A35" s="127">
        <v>33</v>
      </c>
      <c r="B35" s="123" t="str">
        <f>IFERROR(INDEX('FB 콘텐츠 data'!AQ:AQ,MATCH('FB 신규발행'!A35,'FB 콘텐츠 data'!AR:AR,0)),"")</f>
        <v/>
      </c>
      <c r="C35" s="124" t="str">
        <f>IFERROR(INDEX('FB 콘텐츠 data'!$A$1:$AH$25,MATCH('FB 신규발행'!$A35,'FB 콘텐츠 data'!$AR:$AR,0),MATCH(C$2,'FB 콘텐츠 data'!$A$1:$AH$1,0)),"")</f>
        <v/>
      </c>
      <c r="D35" s="125" t="str">
        <f>IFERROR(INDEX('FB 콘텐츠 data'!$A$1:$AH$25,MATCH('FB 신규발행'!$A35,'FB 콘텐츠 data'!$AR:$AR,0),MATCH(D$2,'FB 콘텐츠 data'!$A$1:$AH$1,0)),"")</f>
        <v/>
      </c>
      <c r="E35" s="125" t="str">
        <f>IFERROR(INDEX('FB 콘텐츠 data'!$A$1:$AH$25,MATCH('FB 신규발행'!$A35,'FB 콘텐츠 data'!$AR:$AR,0),MATCH(E$2,'FB 콘텐츠 data'!$A$1:$AH$1,0)),"")</f>
        <v/>
      </c>
      <c r="F35" s="125" t="str">
        <f>IFERROR(INDEX('FB 콘텐츠 data'!$A$1:$AH$25,MATCH('FB 신규발행'!$A35,'FB 콘텐츠 data'!$AR:$AR,0),MATCH(F$2,'FB 콘텐츠 data'!$A$1:$AH$1,0)),"")</f>
        <v/>
      </c>
      <c r="G35" s="125" t="str">
        <f>IFERROR(INDEX('FB 콘텐츠 data'!$A$1:$AH$25,MATCH('FB 신규발행'!$A35,'FB 콘텐츠 data'!$AR:$AR,0),MATCH(G$2,'FB 콘텐츠 data'!$A$1:$AH$1,0)),"")</f>
        <v/>
      </c>
      <c r="H35" s="125" t="str">
        <f t="shared" ref="H35:H66" si="5">IF(B35="","",I35+J35+O35+Q35)</f>
        <v/>
      </c>
      <c r="I35" s="125" t="str">
        <f>IFERROR(INDEX('FB 콘텐츠 data'!$A$1:$AH$25,MATCH('FB 신규발행'!$A35,'FB 콘텐츠 data'!$AR:$AR,0),MATCH(I$2,'FB 콘텐츠 data'!$A$1:$AH$1,0)),"")</f>
        <v/>
      </c>
      <c r="J35" s="125" t="str">
        <f>IFERROR(INDEX('FB 콘텐츠 data'!$A$1:$AH$25,MATCH('FB 신규발행'!$A35,'FB 콘텐츠 data'!$AR:$AR,0),MATCH(J$2,'FB 콘텐츠 data'!$A$1:$AH$1,0)),"")</f>
        <v/>
      </c>
      <c r="K35" s="124" t="str">
        <f>IFERROR(INDEX('FB 콘텐츠 data'!$A$1:$AR$25,MATCH('FB 신규발행'!$A35,'FB 콘텐츠 data'!$AR:$AR,0),MATCH(K$2,'FB 콘텐츠 data'!$A$1:$AR$1,0)),"")</f>
        <v/>
      </c>
      <c r="L35" s="125" t="str">
        <f>IFERROR(INDEX('FB 콘텐츠 data'!$A$1:$AH$25,MATCH('FB 신규발행'!$A35,'FB 콘텐츠 data'!$AR:$AR,0),MATCH(L$2,'FB 콘텐츠 data'!$A$1:$AH$1,0)),"")</f>
        <v/>
      </c>
      <c r="M35" s="125" t="str">
        <f>IFERROR(INDEX('FB 콘텐츠 data'!$A$1:$AH$25,MATCH('FB 신규발행'!$A35,'FB 콘텐츠 data'!$AR:$AR,0),MATCH(M$2,'FB 콘텐츠 data'!$A$1:$AH$1,0)),"")</f>
        <v/>
      </c>
      <c r="N35" s="125" t="str">
        <f>IFERROR(INDEX('FB 콘텐츠 data'!$A$1:$AH$25,MATCH('FB 신규발행'!$A35,'FB 콘텐츠 data'!$AR:$AR,0),MATCH(N$2,'FB 콘텐츠 data'!$A$1:$AH$1,0)),"")</f>
        <v/>
      </c>
      <c r="O35" s="125" t="str">
        <f>IFERROR(INDEX('FB 콘텐츠 data'!$A$1:$AH$25,MATCH('FB 신규발행'!$A35,'FB 콘텐츠 data'!$AR:$AR,0),MATCH(O$2,'FB 콘텐츠 data'!$A$1:$AH$1,0)),"")</f>
        <v/>
      </c>
      <c r="P35" s="125" t="str">
        <f>IFERROR(INDEX('FB 콘텐츠 data'!$A$1:$AH$25,MATCH('FB 신규발행'!$A35,'FB 콘텐츠 data'!$AR:$AR,0),MATCH(P$2,'FB 콘텐츠 data'!$A$1:$AH$1,0)),"")</f>
        <v/>
      </c>
      <c r="Q35" s="125" t="str">
        <f>IFERROR(INDEX('FB 콘텐츠 data'!$A$1:$AH$25,MATCH('FB 신규발행'!$A35,'FB 콘텐츠 data'!$AR:$AR,0),MATCH(Q$2,'FB 콘텐츠 data'!$A$1:$AH$1,0)),"")</f>
        <v/>
      </c>
      <c r="R35" s="126" t="str">
        <f t="shared" ref="R35:R66" si="6">IFERROR(H35/F35,"")</f>
        <v/>
      </c>
      <c r="T35" s="48" t="str">
        <f t="shared" ref="T35:T66" si="7">IFERROR(RANK(R35,$R$3:$R$82,0),"")</f>
        <v/>
      </c>
      <c r="U35" s="48" t="str">
        <f t="shared" ref="U35:U66" si="8">IFERROR(RANK(E35,$E$3:$E$82,0),"")</f>
        <v/>
      </c>
      <c r="Y35" s="112"/>
    </row>
    <row r="36" spans="1:25" ht="17.45" customHeight="1">
      <c r="A36" s="127">
        <v>34</v>
      </c>
      <c r="B36" s="123" t="str">
        <f>IFERROR(INDEX('FB 콘텐츠 data'!AQ:AQ,MATCH('FB 신규발행'!A36,'FB 콘텐츠 data'!AR:AR,0)),"")</f>
        <v/>
      </c>
      <c r="C36" s="124" t="str">
        <f>IFERROR(INDEX('FB 콘텐츠 data'!$A$1:$AH$25,MATCH('FB 신규발행'!$A36,'FB 콘텐츠 data'!$AR:$AR,0),MATCH(C$2,'FB 콘텐츠 data'!$A$1:$AH$1,0)),"")</f>
        <v/>
      </c>
      <c r="D36" s="125" t="str">
        <f>IFERROR(INDEX('FB 콘텐츠 data'!$A$1:$AH$25,MATCH('FB 신규발행'!$A36,'FB 콘텐츠 data'!$AR:$AR,0),MATCH(D$2,'FB 콘텐츠 data'!$A$1:$AH$1,0)),"")</f>
        <v/>
      </c>
      <c r="E36" s="125" t="str">
        <f>IFERROR(INDEX('FB 콘텐츠 data'!$A$1:$AH$25,MATCH('FB 신규발행'!$A36,'FB 콘텐츠 data'!$AR:$AR,0),MATCH(E$2,'FB 콘텐츠 data'!$A$1:$AH$1,0)),"")</f>
        <v/>
      </c>
      <c r="F36" s="125" t="str">
        <f>IFERROR(INDEX('FB 콘텐츠 data'!$A$1:$AH$25,MATCH('FB 신규발행'!$A36,'FB 콘텐츠 data'!$AR:$AR,0),MATCH(F$2,'FB 콘텐츠 data'!$A$1:$AH$1,0)),"")</f>
        <v/>
      </c>
      <c r="G36" s="125" t="str">
        <f>IFERROR(INDEX('FB 콘텐츠 data'!$A$1:$AH$25,MATCH('FB 신규발행'!$A36,'FB 콘텐츠 data'!$AR:$AR,0),MATCH(G$2,'FB 콘텐츠 data'!$A$1:$AH$1,0)),"")</f>
        <v/>
      </c>
      <c r="H36" s="125" t="str">
        <f t="shared" si="5"/>
        <v/>
      </c>
      <c r="I36" s="125" t="str">
        <f>IFERROR(INDEX('FB 콘텐츠 data'!$A$1:$AH$25,MATCH('FB 신규발행'!$A36,'FB 콘텐츠 data'!$AR:$AR,0),MATCH(I$2,'FB 콘텐츠 data'!$A$1:$AH$1,0)),"")</f>
        <v/>
      </c>
      <c r="J36" s="125" t="str">
        <f>IFERROR(INDEX('FB 콘텐츠 data'!$A$1:$AH$25,MATCH('FB 신규발행'!$A36,'FB 콘텐츠 data'!$AR:$AR,0),MATCH(J$2,'FB 콘텐츠 data'!$A$1:$AH$1,0)),"")</f>
        <v/>
      </c>
      <c r="K36" s="124" t="str">
        <f>IFERROR(INDEX('FB 콘텐츠 data'!$A$1:$AR$25,MATCH('FB 신규발행'!$A36,'FB 콘텐츠 data'!$AR:$AR,0),MATCH(K$2,'FB 콘텐츠 data'!$A$1:$AR$1,0)),"")</f>
        <v/>
      </c>
      <c r="L36" s="125" t="str">
        <f>IFERROR(INDEX('FB 콘텐츠 data'!$A$1:$AH$25,MATCH('FB 신규발행'!$A36,'FB 콘텐츠 data'!$AR:$AR,0),MATCH(L$2,'FB 콘텐츠 data'!$A$1:$AH$1,0)),"")</f>
        <v/>
      </c>
      <c r="M36" s="125" t="str">
        <f>IFERROR(INDEX('FB 콘텐츠 data'!$A$1:$AH$25,MATCH('FB 신규발행'!$A36,'FB 콘텐츠 data'!$AR:$AR,0),MATCH(M$2,'FB 콘텐츠 data'!$A$1:$AH$1,0)),"")</f>
        <v/>
      </c>
      <c r="N36" s="125" t="str">
        <f>IFERROR(INDEX('FB 콘텐츠 data'!$A$1:$AH$25,MATCH('FB 신규발행'!$A36,'FB 콘텐츠 data'!$AR:$AR,0),MATCH(N$2,'FB 콘텐츠 data'!$A$1:$AH$1,0)),"")</f>
        <v/>
      </c>
      <c r="O36" s="125" t="str">
        <f>IFERROR(INDEX('FB 콘텐츠 data'!$A$1:$AH$25,MATCH('FB 신규발행'!$A36,'FB 콘텐츠 data'!$AR:$AR,0),MATCH(O$2,'FB 콘텐츠 data'!$A$1:$AH$1,0)),"")</f>
        <v/>
      </c>
      <c r="P36" s="125" t="str">
        <f>IFERROR(INDEX('FB 콘텐츠 data'!$A$1:$AH$25,MATCH('FB 신규발행'!$A36,'FB 콘텐츠 data'!$AR:$AR,0),MATCH(P$2,'FB 콘텐츠 data'!$A$1:$AH$1,0)),"")</f>
        <v/>
      </c>
      <c r="Q36" s="125" t="str">
        <f>IFERROR(INDEX('FB 콘텐츠 data'!$A$1:$AH$25,MATCH('FB 신규발행'!$A36,'FB 콘텐츠 data'!$AR:$AR,0),MATCH(Q$2,'FB 콘텐츠 data'!$A$1:$AH$1,0)),"")</f>
        <v/>
      </c>
      <c r="R36" s="126" t="str">
        <f t="shared" si="6"/>
        <v/>
      </c>
      <c r="T36" s="48" t="str">
        <f t="shared" si="7"/>
        <v/>
      </c>
      <c r="U36" s="48" t="str">
        <f t="shared" si="8"/>
        <v/>
      </c>
      <c r="Y36" s="112"/>
    </row>
    <row r="37" spans="1:25" ht="17.45" customHeight="1">
      <c r="A37" s="127">
        <v>35</v>
      </c>
      <c r="B37" s="123" t="str">
        <f>IFERROR(INDEX('FB 콘텐츠 data'!AQ:AQ,MATCH('FB 신규발행'!A37,'FB 콘텐츠 data'!AR:AR,0)),"")</f>
        <v/>
      </c>
      <c r="C37" s="124" t="str">
        <f>IFERROR(INDEX('FB 콘텐츠 data'!$A$1:$AH$25,MATCH('FB 신규발행'!$A37,'FB 콘텐츠 data'!$AR:$AR,0),MATCH(C$2,'FB 콘텐츠 data'!$A$1:$AH$1,0)),"")</f>
        <v/>
      </c>
      <c r="D37" s="125" t="str">
        <f>IFERROR(INDEX('FB 콘텐츠 data'!$A$1:$AH$25,MATCH('FB 신규발행'!$A37,'FB 콘텐츠 data'!$AR:$AR,0),MATCH(D$2,'FB 콘텐츠 data'!$A$1:$AH$1,0)),"")</f>
        <v/>
      </c>
      <c r="E37" s="125" t="str">
        <f>IFERROR(INDEX('FB 콘텐츠 data'!$A$1:$AH$25,MATCH('FB 신규발행'!$A37,'FB 콘텐츠 data'!$AR:$AR,0),MATCH(E$2,'FB 콘텐츠 data'!$A$1:$AH$1,0)),"")</f>
        <v/>
      </c>
      <c r="F37" s="125" t="str">
        <f>IFERROR(INDEX('FB 콘텐츠 data'!$A$1:$AH$25,MATCH('FB 신규발행'!$A37,'FB 콘텐츠 data'!$AR:$AR,0),MATCH(F$2,'FB 콘텐츠 data'!$A$1:$AH$1,0)),"")</f>
        <v/>
      </c>
      <c r="G37" s="125" t="str">
        <f>IFERROR(INDEX('FB 콘텐츠 data'!$A$1:$AH$25,MATCH('FB 신규발행'!$A37,'FB 콘텐츠 data'!$AR:$AR,0),MATCH(G$2,'FB 콘텐츠 data'!$A$1:$AH$1,0)),"")</f>
        <v/>
      </c>
      <c r="H37" s="125" t="str">
        <f t="shared" si="5"/>
        <v/>
      </c>
      <c r="I37" s="125" t="str">
        <f>IFERROR(INDEX('FB 콘텐츠 data'!$A$1:$AH$25,MATCH('FB 신규발행'!$A37,'FB 콘텐츠 data'!$AR:$AR,0),MATCH(I$2,'FB 콘텐츠 data'!$A$1:$AH$1,0)),"")</f>
        <v/>
      </c>
      <c r="J37" s="125" t="str">
        <f>IFERROR(INDEX('FB 콘텐츠 data'!$A$1:$AH$25,MATCH('FB 신규발행'!$A37,'FB 콘텐츠 data'!$AR:$AR,0),MATCH(J$2,'FB 콘텐츠 data'!$A$1:$AH$1,0)),"")</f>
        <v/>
      </c>
      <c r="K37" s="124" t="str">
        <f>IFERROR(INDEX('FB 콘텐츠 data'!$A$1:$AR$25,MATCH('FB 신규발행'!$A37,'FB 콘텐츠 data'!$AR:$AR,0),MATCH(K$2,'FB 콘텐츠 data'!$A$1:$AR$1,0)),"")</f>
        <v/>
      </c>
      <c r="L37" s="125" t="str">
        <f>IFERROR(INDEX('FB 콘텐츠 data'!$A$1:$AH$25,MATCH('FB 신규발행'!$A37,'FB 콘텐츠 data'!$AR:$AR,0),MATCH(L$2,'FB 콘텐츠 data'!$A$1:$AH$1,0)),"")</f>
        <v/>
      </c>
      <c r="M37" s="125" t="str">
        <f>IFERROR(INDEX('FB 콘텐츠 data'!$A$1:$AH$25,MATCH('FB 신규발행'!$A37,'FB 콘텐츠 data'!$AR:$AR,0),MATCH(M$2,'FB 콘텐츠 data'!$A$1:$AH$1,0)),"")</f>
        <v/>
      </c>
      <c r="N37" s="125" t="str">
        <f>IFERROR(INDEX('FB 콘텐츠 data'!$A$1:$AH$25,MATCH('FB 신규발행'!$A37,'FB 콘텐츠 data'!$AR:$AR,0),MATCH(N$2,'FB 콘텐츠 data'!$A$1:$AH$1,0)),"")</f>
        <v/>
      </c>
      <c r="O37" s="125" t="str">
        <f>IFERROR(INDEX('FB 콘텐츠 data'!$A$1:$AH$25,MATCH('FB 신규발행'!$A37,'FB 콘텐츠 data'!$AR:$AR,0),MATCH(O$2,'FB 콘텐츠 data'!$A$1:$AH$1,0)),"")</f>
        <v/>
      </c>
      <c r="P37" s="125" t="str">
        <f>IFERROR(INDEX('FB 콘텐츠 data'!$A$1:$AH$25,MATCH('FB 신규발행'!$A37,'FB 콘텐츠 data'!$AR:$AR,0),MATCH(P$2,'FB 콘텐츠 data'!$A$1:$AH$1,0)),"")</f>
        <v/>
      </c>
      <c r="Q37" s="125" t="str">
        <f>IFERROR(INDEX('FB 콘텐츠 data'!$A$1:$AH$25,MATCH('FB 신규발행'!$A37,'FB 콘텐츠 data'!$AR:$AR,0),MATCH(Q$2,'FB 콘텐츠 data'!$A$1:$AH$1,0)),"")</f>
        <v/>
      </c>
      <c r="R37" s="126" t="str">
        <f t="shared" si="6"/>
        <v/>
      </c>
      <c r="T37" s="48" t="str">
        <f t="shared" si="7"/>
        <v/>
      </c>
      <c r="U37" s="48" t="str">
        <f t="shared" si="8"/>
        <v/>
      </c>
      <c r="Y37" s="112"/>
    </row>
    <row r="38" spans="1:25" ht="17.45" customHeight="1">
      <c r="A38" s="127">
        <v>36</v>
      </c>
      <c r="B38" s="123" t="str">
        <f>IFERROR(INDEX('FB 콘텐츠 data'!AQ:AQ,MATCH('FB 신규발행'!A38,'FB 콘텐츠 data'!AR:AR,0)),"")</f>
        <v/>
      </c>
      <c r="C38" s="124" t="str">
        <f>IFERROR(INDEX('FB 콘텐츠 data'!$A$1:$AH$25,MATCH('FB 신규발행'!$A38,'FB 콘텐츠 data'!$AR:$AR,0),MATCH(C$2,'FB 콘텐츠 data'!$A$1:$AH$1,0)),"")</f>
        <v/>
      </c>
      <c r="D38" s="125" t="str">
        <f>IFERROR(INDEX('FB 콘텐츠 data'!$A$1:$AH$25,MATCH('FB 신규발행'!$A38,'FB 콘텐츠 data'!$AR:$AR,0),MATCH(D$2,'FB 콘텐츠 data'!$A$1:$AH$1,0)),"")</f>
        <v/>
      </c>
      <c r="E38" s="125" t="str">
        <f>IFERROR(INDEX('FB 콘텐츠 data'!$A$1:$AH$25,MATCH('FB 신규발행'!$A38,'FB 콘텐츠 data'!$AR:$AR,0),MATCH(E$2,'FB 콘텐츠 data'!$A$1:$AH$1,0)),"")</f>
        <v/>
      </c>
      <c r="F38" s="125" t="str">
        <f>IFERROR(INDEX('FB 콘텐츠 data'!$A$1:$AH$25,MATCH('FB 신규발행'!$A38,'FB 콘텐츠 data'!$AR:$AR,0),MATCH(F$2,'FB 콘텐츠 data'!$A$1:$AH$1,0)),"")</f>
        <v/>
      </c>
      <c r="G38" s="125" t="str">
        <f>IFERROR(INDEX('FB 콘텐츠 data'!$A$1:$AH$25,MATCH('FB 신규발행'!$A38,'FB 콘텐츠 data'!$AR:$AR,0),MATCH(G$2,'FB 콘텐츠 data'!$A$1:$AH$1,0)),"")</f>
        <v/>
      </c>
      <c r="H38" s="125" t="str">
        <f t="shared" si="5"/>
        <v/>
      </c>
      <c r="I38" s="125" t="str">
        <f>IFERROR(INDEX('FB 콘텐츠 data'!$A$1:$AH$25,MATCH('FB 신규발행'!$A38,'FB 콘텐츠 data'!$AR:$AR,0),MATCH(I$2,'FB 콘텐츠 data'!$A$1:$AH$1,0)),"")</f>
        <v/>
      </c>
      <c r="J38" s="125" t="str">
        <f>IFERROR(INDEX('FB 콘텐츠 data'!$A$1:$AH$25,MATCH('FB 신규발행'!$A38,'FB 콘텐츠 data'!$AR:$AR,0),MATCH(J$2,'FB 콘텐츠 data'!$A$1:$AH$1,0)),"")</f>
        <v/>
      </c>
      <c r="K38" s="124" t="str">
        <f>IFERROR(INDEX('FB 콘텐츠 data'!$A$1:$AR$25,MATCH('FB 신규발행'!$A38,'FB 콘텐츠 data'!$AR:$AR,0),MATCH(K$2,'FB 콘텐츠 data'!$A$1:$AR$1,0)),"")</f>
        <v/>
      </c>
      <c r="L38" s="125" t="str">
        <f>IFERROR(INDEX('FB 콘텐츠 data'!$A$1:$AH$25,MATCH('FB 신규발행'!$A38,'FB 콘텐츠 data'!$AR:$AR,0),MATCH(L$2,'FB 콘텐츠 data'!$A$1:$AH$1,0)),"")</f>
        <v/>
      </c>
      <c r="M38" s="125" t="str">
        <f>IFERROR(INDEX('FB 콘텐츠 data'!$A$1:$AH$25,MATCH('FB 신규발행'!$A38,'FB 콘텐츠 data'!$AR:$AR,0),MATCH(M$2,'FB 콘텐츠 data'!$A$1:$AH$1,0)),"")</f>
        <v/>
      </c>
      <c r="N38" s="125" t="str">
        <f>IFERROR(INDEX('FB 콘텐츠 data'!$A$1:$AH$25,MATCH('FB 신규발행'!$A38,'FB 콘텐츠 data'!$AR:$AR,0),MATCH(N$2,'FB 콘텐츠 data'!$A$1:$AH$1,0)),"")</f>
        <v/>
      </c>
      <c r="O38" s="125" t="str">
        <f>IFERROR(INDEX('FB 콘텐츠 data'!$A$1:$AH$25,MATCH('FB 신규발행'!$A38,'FB 콘텐츠 data'!$AR:$AR,0),MATCH(O$2,'FB 콘텐츠 data'!$A$1:$AH$1,0)),"")</f>
        <v/>
      </c>
      <c r="P38" s="125" t="str">
        <f>IFERROR(INDEX('FB 콘텐츠 data'!$A$1:$AH$25,MATCH('FB 신규발행'!$A38,'FB 콘텐츠 data'!$AR:$AR,0),MATCH(P$2,'FB 콘텐츠 data'!$A$1:$AH$1,0)),"")</f>
        <v/>
      </c>
      <c r="Q38" s="125" t="str">
        <f>IFERROR(INDEX('FB 콘텐츠 data'!$A$1:$AH$25,MATCH('FB 신규발행'!$A38,'FB 콘텐츠 data'!$AR:$AR,0),MATCH(Q$2,'FB 콘텐츠 data'!$A$1:$AH$1,0)),"")</f>
        <v/>
      </c>
      <c r="R38" s="126" t="str">
        <f t="shared" si="6"/>
        <v/>
      </c>
      <c r="T38" s="48" t="str">
        <f t="shared" si="7"/>
        <v/>
      </c>
      <c r="U38" s="48" t="str">
        <f t="shared" si="8"/>
        <v/>
      </c>
      <c r="Y38" s="112"/>
    </row>
    <row r="39" spans="1:25" ht="17.45" customHeight="1">
      <c r="A39" s="127">
        <v>37</v>
      </c>
      <c r="B39" s="123" t="str">
        <f>IFERROR(INDEX('FB 콘텐츠 data'!AQ:AQ,MATCH('FB 신규발행'!A39,'FB 콘텐츠 data'!AR:AR,0)),"")</f>
        <v/>
      </c>
      <c r="C39" s="124" t="str">
        <f>IFERROR(INDEX('FB 콘텐츠 data'!$A$1:$AH$25,MATCH('FB 신규발행'!$A39,'FB 콘텐츠 data'!$AR:$AR,0),MATCH(C$2,'FB 콘텐츠 data'!$A$1:$AH$1,0)),"")</f>
        <v/>
      </c>
      <c r="D39" s="125" t="str">
        <f>IFERROR(INDEX('FB 콘텐츠 data'!$A$1:$AH$25,MATCH('FB 신규발행'!$A39,'FB 콘텐츠 data'!$AR:$AR,0),MATCH(D$2,'FB 콘텐츠 data'!$A$1:$AH$1,0)),"")</f>
        <v/>
      </c>
      <c r="E39" s="125" t="str">
        <f>IFERROR(INDEX('FB 콘텐츠 data'!$A$1:$AH$25,MATCH('FB 신규발행'!$A39,'FB 콘텐츠 data'!$AR:$AR,0),MATCH(E$2,'FB 콘텐츠 data'!$A$1:$AH$1,0)),"")</f>
        <v/>
      </c>
      <c r="F39" s="125" t="str">
        <f>IFERROR(INDEX('FB 콘텐츠 data'!$A$1:$AH$25,MATCH('FB 신규발행'!$A39,'FB 콘텐츠 data'!$AR:$AR,0),MATCH(F$2,'FB 콘텐츠 data'!$A$1:$AH$1,0)),"")</f>
        <v/>
      </c>
      <c r="G39" s="125" t="str">
        <f>IFERROR(INDEX('FB 콘텐츠 data'!$A$1:$AH$25,MATCH('FB 신규발행'!$A39,'FB 콘텐츠 data'!$AR:$AR,0),MATCH(G$2,'FB 콘텐츠 data'!$A$1:$AH$1,0)),"")</f>
        <v/>
      </c>
      <c r="H39" s="125" t="str">
        <f t="shared" si="5"/>
        <v/>
      </c>
      <c r="I39" s="125" t="str">
        <f>IFERROR(INDEX('FB 콘텐츠 data'!$A$1:$AH$25,MATCH('FB 신규발행'!$A39,'FB 콘텐츠 data'!$AR:$AR,0),MATCH(I$2,'FB 콘텐츠 data'!$A$1:$AH$1,0)),"")</f>
        <v/>
      </c>
      <c r="J39" s="125" t="str">
        <f>IFERROR(INDEX('FB 콘텐츠 data'!$A$1:$AH$25,MATCH('FB 신규발행'!$A39,'FB 콘텐츠 data'!$AR:$AR,0),MATCH(J$2,'FB 콘텐츠 data'!$A$1:$AH$1,0)),"")</f>
        <v/>
      </c>
      <c r="K39" s="124" t="str">
        <f>IFERROR(INDEX('FB 콘텐츠 data'!$A$1:$AR$25,MATCH('FB 신규발행'!$A39,'FB 콘텐츠 data'!$AR:$AR,0),MATCH(K$2,'FB 콘텐츠 data'!$A$1:$AR$1,0)),"")</f>
        <v/>
      </c>
      <c r="L39" s="125" t="str">
        <f>IFERROR(INDEX('FB 콘텐츠 data'!$A$1:$AH$25,MATCH('FB 신규발행'!$A39,'FB 콘텐츠 data'!$AR:$AR,0),MATCH(L$2,'FB 콘텐츠 data'!$A$1:$AH$1,0)),"")</f>
        <v/>
      </c>
      <c r="M39" s="125" t="str">
        <f>IFERROR(INDEX('FB 콘텐츠 data'!$A$1:$AH$25,MATCH('FB 신규발행'!$A39,'FB 콘텐츠 data'!$AR:$AR,0),MATCH(M$2,'FB 콘텐츠 data'!$A$1:$AH$1,0)),"")</f>
        <v/>
      </c>
      <c r="N39" s="125" t="str">
        <f>IFERROR(INDEX('FB 콘텐츠 data'!$A$1:$AH$25,MATCH('FB 신규발행'!$A39,'FB 콘텐츠 data'!$AR:$AR,0),MATCH(N$2,'FB 콘텐츠 data'!$A$1:$AH$1,0)),"")</f>
        <v/>
      </c>
      <c r="O39" s="125" t="str">
        <f>IFERROR(INDEX('FB 콘텐츠 data'!$A$1:$AH$25,MATCH('FB 신규발행'!$A39,'FB 콘텐츠 data'!$AR:$AR,0),MATCH(O$2,'FB 콘텐츠 data'!$A$1:$AH$1,0)),"")</f>
        <v/>
      </c>
      <c r="P39" s="125" t="str">
        <f>IFERROR(INDEX('FB 콘텐츠 data'!$A$1:$AH$25,MATCH('FB 신규발행'!$A39,'FB 콘텐츠 data'!$AR:$AR,0),MATCH(P$2,'FB 콘텐츠 data'!$A$1:$AH$1,0)),"")</f>
        <v/>
      </c>
      <c r="Q39" s="125" t="str">
        <f>IFERROR(INDEX('FB 콘텐츠 data'!$A$1:$AH$25,MATCH('FB 신규발행'!$A39,'FB 콘텐츠 data'!$AR:$AR,0),MATCH(Q$2,'FB 콘텐츠 data'!$A$1:$AH$1,0)),"")</f>
        <v/>
      </c>
      <c r="R39" s="126" t="str">
        <f t="shared" si="6"/>
        <v/>
      </c>
      <c r="T39" s="48" t="str">
        <f t="shared" si="7"/>
        <v/>
      </c>
      <c r="U39" s="48" t="str">
        <f t="shared" si="8"/>
        <v/>
      </c>
      <c r="Y39" s="112"/>
    </row>
    <row r="40" spans="1:25" ht="17.45" customHeight="1">
      <c r="A40" s="127">
        <v>38</v>
      </c>
      <c r="B40" s="123" t="str">
        <f>IFERROR(INDEX('FB 콘텐츠 data'!AQ:AQ,MATCH('FB 신규발행'!A40,'FB 콘텐츠 data'!AR:AR,0)),"")</f>
        <v/>
      </c>
      <c r="C40" s="124" t="str">
        <f>IFERROR(INDEX('FB 콘텐츠 data'!$A$1:$AH$25,MATCH('FB 신규발행'!$A40,'FB 콘텐츠 data'!$AR:$AR,0),MATCH(C$2,'FB 콘텐츠 data'!$A$1:$AH$1,0)),"")</f>
        <v/>
      </c>
      <c r="D40" s="125" t="str">
        <f>IFERROR(INDEX('FB 콘텐츠 data'!$A$1:$AH$25,MATCH('FB 신규발행'!$A40,'FB 콘텐츠 data'!$AR:$AR,0),MATCH(D$2,'FB 콘텐츠 data'!$A$1:$AH$1,0)),"")</f>
        <v/>
      </c>
      <c r="E40" s="125" t="str">
        <f>IFERROR(INDEX('FB 콘텐츠 data'!$A$1:$AH$25,MATCH('FB 신규발행'!$A40,'FB 콘텐츠 data'!$AR:$AR,0),MATCH(E$2,'FB 콘텐츠 data'!$A$1:$AH$1,0)),"")</f>
        <v/>
      </c>
      <c r="F40" s="125" t="str">
        <f>IFERROR(INDEX('FB 콘텐츠 data'!$A$1:$AH$25,MATCH('FB 신규발행'!$A40,'FB 콘텐츠 data'!$AR:$AR,0),MATCH(F$2,'FB 콘텐츠 data'!$A$1:$AH$1,0)),"")</f>
        <v/>
      </c>
      <c r="G40" s="125" t="str">
        <f>IFERROR(INDEX('FB 콘텐츠 data'!$A$1:$AH$25,MATCH('FB 신규발행'!$A40,'FB 콘텐츠 data'!$AR:$AR,0),MATCH(G$2,'FB 콘텐츠 data'!$A$1:$AH$1,0)),"")</f>
        <v/>
      </c>
      <c r="H40" s="125" t="str">
        <f t="shared" si="5"/>
        <v/>
      </c>
      <c r="I40" s="125" t="str">
        <f>IFERROR(INDEX('FB 콘텐츠 data'!$A$1:$AH$25,MATCH('FB 신규발행'!$A40,'FB 콘텐츠 data'!$AR:$AR,0),MATCH(I$2,'FB 콘텐츠 data'!$A$1:$AH$1,0)),"")</f>
        <v/>
      </c>
      <c r="J40" s="125" t="str">
        <f>IFERROR(INDEX('FB 콘텐츠 data'!$A$1:$AH$25,MATCH('FB 신규발행'!$A40,'FB 콘텐츠 data'!$AR:$AR,0),MATCH(J$2,'FB 콘텐츠 data'!$A$1:$AH$1,0)),"")</f>
        <v/>
      </c>
      <c r="K40" s="124" t="str">
        <f>IFERROR(INDEX('FB 콘텐츠 data'!$A$1:$AR$25,MATCH('FB 신규발행'!$A40,'FB 콘텐츠 data'!$AR:$AR,0),MATCH(K$2,'FB 콘텐츠 data'!$A$1:$AR$1,0)),"")</f>
        <v/>
      </c>
      <c r="L40" s="125" t="str">
        <f>IFERROR(INDEX('FB 콘텐츠 data'!$A$1:$AH$25,MATCH('FB 신규발행'!$A40,'FB 콘텐츠 data'!$AR:$AR,0),MATCH(L$2,'FB 콘텐츠 data'!$A$1:$AH$1,0)),"")</f>
        <v/>
      </c>
      <c r="M40" s="125" t="str">
        <f>IFERROR(INDEX('FB 콘텐츠 data'!$A$1:$AH$25,MATCH('FB 신규발행'!$A40,'FB 콘텐츠 data'!$AR:$AR,0),MATCH(M$2,'FB 콘텐츠 data'!$A$1:$AH$1,0)),"")</f>
        <v/>
      </c>
      <c r="N40" s="125" t="str">
        <f>IFERROR(INDEX('FB 콘텐츠 data'!$A$1:$AH$25,MATCH('FB 신규발행'!$A40,'FB 콘텐츠 data'!$AR:$AR,0),MATCH(N$2,'FB 콘텐츠 data'!$A$1:$AH$1,0)),"")</f>
        <v/>
      </c>
      <c r="O40" s="125" t="str">
        <f>IFERROR(INDEX('FB 콘텐츠 data'!$A$1:$AH$25,MATCH('FB 신규발행'!$A40,'FB 콘텐츠 data'!$AR:$AR,0),MATCH(O$2,'FB 콘텐츠 data'!$A$1:$AH$1,0)),"")</f>
        <v/>
      </c>
      <c r="P40" s="125" t="str">
        <f>IFERROR(INDEX('FB 콘텐츠 data'!$A$1:$AH$25,MATCH('FB 신규발행'!$A40,'FB 콘텐츠 data'!$AR:$AR,0),MATCH(P$2,'FB 콘텐츠 data'!$A$1:$AH$1,0)),"")</f>
        <v/>
      </c>
      <c r="Q40" s="125" t="str">
        <f>IFERROR(INDEX('FB 콘텐츠 data'!$A$1:$AH$25,MATCH('FB 신규발행'!$A40,'FB 콘텐츠 data'!$AR:$AR,0),MATCH(Q$2,'FB 콘텐츠 data'!$A$1:$AH$1,0)),"")</f>
        <v/>
      </c>
      <c r="R40" s="126" t="str">
        <f t="shared" si="6"/>
        <v/>
      </c>
      <c r="T40" s="48" t="str">
        <f t="shared" si="7"/>
        <v/>
      </c>
      <c r="U40" s="48" t="str">
        <f t="shared" si="8"/>
        <v/>
      </c>
      <c r="Y40" s="112"/>
    </row>
    <row r="41" spans="1:25" ht="17.45" customHeight="1">
      <c r="A41" s="127">
        <v>39</v>
      </c>
      <c r="B41" s="123" t="str">
        <f>IFERROR(INDEX('FB 콘텐츠 data'!AQ:AQ,MATCH('FB 신규발행'!A41,'FB 콘텐츠 data'!AR:AR,0)),"")</f>
        <v/>
      </c>
      <c r="C41" s="124" t="str">
        <f>IFERROR(INDEX('FB 콘텐츠 data'!$A$1:$AH$25,MATCH('FB 신규발행'!$A41,'FB 콘텐츠 data'!$AR:$AR,0),MATCH(C$2,'FB 콘텐츠 data'!$A$1:$AH$1,0)),"")</f>
        <v/>
      </c>
      <c r="D41" s="125" t="str">
        <f>IFERROR(INDEX('FB 콘텐츠 data'!$A$1:$AH$25,MATCH('FB 신규발행'!$A41,'FB 콘텐츠 data'!$AR:$AR,0),MATCH(D$2,'FB 콘텐츠 data'!$A$1:$AH$1,0)),"")</f>
        <v/>
      </c>
      <c r="E41" s="125" t="str">
        <f>IFERROR(INDEX('FB 콘텐츠 data'!$A$1:$AH$25,MATCH('FB 신규발행'!$A41,'FB 콘텐츠 data'!$AR:$AR,0),MATCH(E$2,'FB 콘텐츠 data'!$A$1:$AH$1,0)),"")</f>
        <v/>
      </c>
      <c r="F41" s="125" t="str">
        <f>IFERROR(INDEX('FB 콘텐츠 data'!$A$1:$AH$25,MATCH('FB 신규발행'!$A41,'FB 콘텐츠 data'!$AR:$AR,0),MATCH(F$2,'FB 콘텐츠 data'!$A$1:$AH$1,0)),"")</f>
        <v/>
      </c>
      <c r="G41" s="125" t="str">
        <f>IFERROR(INDEX('FB 콘텐츠 data'!$A$1:$AH$25,MATCH('FB 신규발행'!$A41,'FB 콘텐츠 data'!$AR:$AR,0),MATCH(G$2,'FB 콘텐츠 data'!$A$1:$AH$1,0)),"")</f>
        <v/>
      </c>
      <c r="H41" s="125" t="str">
        <f t="shared" si="5"/>
        <v/>
      </c>
      <c r="I41" s="125" t="str">
        <f>IFERROR(INDEX('FB 콘텐츠 data'!$A$1:$AH$25,MATCH('FB 신규발행'!$A41,'FB 콘텐츠 data'!$AR:$AR,0),MATCH(I$2,'FB 콘텐츠 data'!$A$1:$AH$1,0)),"")</f>
        <v/>
      </c>
      <c r="J41" s="125" t="str">
        <f>IFERROR(INDEX('FB 콘텐츠 data'!$A$1:$AH$25,MATCH('FB 신규발행'!$A41,'FB 콘텐츠 data'!$AR:$AR,0),MATCH(J$2,'FB 콘텐츠 data'!$A$1:$AH$1,0)),"")</f>
        <v/>
      </c>
      <c r="K41" s="124" t="str">
        <f>IFERROR(INDEX('FB 콘텐츠 data'!$A$1:$AR$25,MATCH('FB 신규발행'!$A41,'FB 콘텐츠 data'!$AR:$AR,0),MATCH(K$2,'FB 콘텐츠 data'!$A$1:$AR$1,0)),"")</f>
        <v/>
      </c>
      <c r="L41" s="125" t="str">
        <f>IFERROR(INDEX('FB 콘텐츠 data'!$A$1:$AH$25,MATCH('FB 신규발행'!$A41,'FB 콘텐츠 data'!$AR:$AR,0),MATCH(L$2,'FB 콘텐츠 data'!$A$1:$AH$1,0)),"")</f>
        <v/>
      </c>
      <c r="M41" s="125" t="str">
        <f>IFERROR(INDEX('FB 콘텐츠 data'!$A$1:$AH$25,MATCH('FB 신규발행'!$A41,'FB 콘텐츠 data'!$AR:$AR,0),MATCH(M$2,'FB 콘텐츠 data'!$A$1:$AH$1,0)),"")</f>
        <v/>
      </c>
      <c r="N41" s="125" t="str">
        <f>IFERROR(INDEX('FB 콘텐츠 data'!$A$1:$AH$25,MATCH('FB 신규발행'!$A41,'FB 콘텐츠 data'!$AR:$AR,0),MATCH(N$2,'FB 콘텐츠 data'!$A$1:$AH$1,0)),"")</f>
        <v/>
      </c>
      <c r="O41" s="125" t="str">
        <f>IFERROR(INDEX('FB 콘텐츠 data'!$A$1:$AH$25,MATCH('FB 신규발행'!$A41,'FB 콘텐츠 data'!$AR:$AR,0),MATCH(O$2,'FB 콘텐츠 data'!$A$1:$AH$1,0)),"")</f>
        <v/>
      </c>
      <c r="P41" s="125" t="str">
        <f>IFERROR(INDEX('FB 콘텐츠 data'!$A$1:$AH$25,MATCH('FB 신규발행'!$A41,'FB 콘텐츠 data'!$AR:$AR,0),MATCH(P$2,'FB 콘텐츠 data'!$A$1:$AH$1,0)),"")</f>
        <v/>
      </c>
      <c r="Q41" s="125" t="str">
        <f>IFERROR(INDEX('FB 콘텐츠 data'!$A$1:$AH$25,MATCH('FB 신규발행'!$A41,'FB 콘텐츠 data'!$AR:$AR,0),MATCH(Q$2,'FB 콘텐츠 data'!$A$1:$AH$1,0)),"")</f>
        <v/>
      </c>
      <c r="R41" s="126" t="str">
        <f t="shared" si="6"/>
        <v/>
      </c>
      <c r="T41" s="48" t="str">
        <f t="shared" si="7"/>
        <v/>
      </c>
      <c r="U41" s="48" t="str">
        <f t="shared" si="8"/>
        <v/>
      </c>
      <c r="Y41" s="112"/>
    </row>
    <row r="42" spans="1:25" ht="17.45" customHeight="1">
      <c r="A42" s="127">
        <v>40</v>
      </c>
      <c r="B42" s="123" t="str">
        <f>IFERROR(INDEX('FB 콘텐츠 data'!AQ:AQ,MATCH('FB 신규발행'!A42,'FB 콘텐츠 data'!AR:AR,0)),"")</f>
        <v/>
      </c>
      <c r="C42" s="124" t="str">
        <f>IFERROR(INDEX('FB 콘텐츠 data'!$A$1:$AH$25,MATCH('FB 신규발행'!$A42,'FB 콘텐츠 data'!$AR:$AR,0),MATCH(C$2,'FB 콘텐츠 data'!$A$1:$AH$1,0)),"")</f>
        <v/>
      </c>
      <c r="D42" s="125" t="str">
        <f>IFERROR(INDEX('FB 콘텐츠 data'!$A$1:$AH$25,MATCH('FB 신규발행'!$A42,'FB 콘텐츠 data'!$AR:$AR,0),MATCH(D$2,'FB 콘텐츠 data'!$A$1:$AH$1,0)),"")</f>
        <v/>
      </c>
      <c r="E42" s="125" t="str">
        <f>IFERROR(INDEX('FB 콘텐츠 data'!$A$1:$AH$25,MATCH('FB 신규발행'!$A42,'FB 콘텐츠 data'!$AR:$AR,0),MATCH(E$2,'FB 콘텐츠 data'!$A$1:$AH$1,0)),"")</f>
        <v/>
      </c>
      <c r="F42" s="125" t="str">
        <f>IFERROR(INDEX('FB 콘텐츠 data'!$A$1:$AH$25,MATCH('FB 신규발행'!$A42,'FB 콘텐츠 data'!$AR:$AR,0),MATCH(F$2,'FB 콘텐츠 data'!$A$1:$AH$1,0)),"")</f>
        <v/>
      </c>
      <c r="G42" s="125" t="str">
        <f>IFERROR(INDEX('FB 콘텐츠 data'!$A$1:$AH$25,MATCH('FB 신규발행'!$A42,'FB 콘텐츠 data'!$AR:$AR,0),MATCH(G$2,'FB 콘텐츠 data'!$A$1:$AH$1,0)),"")</f>
        <v/>
      </c>
      <c r="H42" s="125" t="str">
        <f t="shared" si="5"/>
        <v/>
      </c>
      <c r="I42" s="125" t="str">
        <f>IFERROR(INDEX('FB 콘텐츠 data'!$A$1:$AH$25,MATCH('FB 신규발행'!$A42,'FB 콘텐츠 data'!$AR:$AR,0),MATCH(I$2,'FB 콘텐츠 data'!$A$1:$AH$1,0)),"")</f>
        <v/>
      </c>
      <c r="J42" s="125" t="str">
        <f>IFERROR(INDEX('FB 콘텐츠 data'!$A$1:$AH$25,MATCH('FB 신규발행'!$A42,'FB 콘텐츠 data'!$AR:$AR,0),MATCH(J$2,'FB 콘텐츠 data'!$A$1:$AH$1,0)),"")</f>
        <v/>
      </c>
      <c r="K42" s="124" t="str">
        <f>IFERROR(INDEX('FB 콘텐츠 data'!$A$1:$AR$25,MATCH('FB 신규발행'!$A42,'FB 콘텐츠 data'!$AR:$AR,0),MATCH(K$2,'FB 콘텐츠 data'!$A$1:$AR$1,0)),"")</f>
        <v/>
      </c>
      <c r="L42" s="125" t="str">
        <f>IFERROR(INDEX('FB 콘텐츠 data'!$A$1:$AH$25,MATCH('FB 신규발행'!$A42,'FB 콘텐츠 data'!$AR:$AR,0),MATCH(L$2,'FB 콘텐츠 data'!$A$1:$AH$1,0)),"")</f>
        <v/>
      </c>
      <c r="M42" s="125" t="str">
        <f>IFERROR(INDEX('FB 콘텐츠 data'!$A$1:$AH$25,MATCH('FB 신규발행'!$A42,'FB 콘텐츠 data'!$AR:$AR,0),MATCH(M$2,'FB 콘텐츠 data'!$A$1:$AH$1,0)),"")</f>
        <v/>
      </c>
      <c r="N42" s="125" t="str">
        <f>IFERROR(INDEX('FB 콘텐츠 data'!$A$1:$AH$25,MATCH('FB 신규발행'!$A42,'FB 콘텐츠 data'!$AR:$AR,0),MATCH(N$2,'FB 콘텐츠 data'!$A$1:$AH$1,0)),"")</f>
        <v/>
      </c>
      <c r="O42" s="125" t="str">
        <f>IFERROR(INDEX('FB 콘텐츠 data'!$A$1:$AH$25,MATCH('FB 신규발행'!$A42,'FB 콘텐츠 data'!$AR:$AR,0),MATCH(O$2,'FB 콘텐츠 data'!$A$1:$AH$1,0)),"")</f>
        <v/>
      </c>
      <c r="P42" s="125" t="str">
        <f>IFERROR(INDEX('FB 콘텐츠 data'!$A$1:$AH$25,MATCH('FB 신규발행'!$A42,'FB 콘텐츠 data'!$AR:$AR,0),MATCH(P$2,'FB 콘텐츠 data'!$A$1:$AH$1,0)),"")</f>
        <v/>
      </c>
      <c r="Q42" s="125" t="str">
        <f>IFERROR(INDEX('FB 콘텐츠 data'!$A$1:$AH$25,MATCH('FB 신규발행'!$A42,'FB 콘텐츠 data'!$AR:$AR,0),MATCH(Q$2,'FB 콘텐츠 data'!$A$1:$AH$1,0)),"")</f>
        <v/>
      </c>
      <c r="R42" s="126" t="str">
        <f t="shared" si="6"/>
        <v/>
      </c>
      <c r="T42" s="48" t="str">
        <f t="shared" si="7"/>
        <v/>
      </c>
      <c r="U42" s="48" t="str">
        <f t="shared" si="8"/>
        <v/>
      </c>
      <c r="Y42" s="112"/>
    </row>
    <row r="43" spans="1:25" ht="17.45" customHeight="1">
      <c r="A43" s="127">
        <v>41</v>
      </c>
      <c r="B43" s="123" t="str">
        <f>IFERROR(INDEX('FB 콘텐츠 data'!AQ:AQ,MATCH('FB 신규발행'!A43,'FB 콘텐츠 data'!AR:AR,0)),"")</f>
        <v/>
      </c>
      <c r="C43" s="124" t="str">
        <f>IFERROR(INDEX('FB 콘텐츠 data'!$A$1:$AH$25,MATCH('FB 신규발행'!$A43,'FB 콘텐츠 data'!$AR:$AR,0),MATCH(C$2,'FB 콘텐츠 data'!$A$1:$AH$1,0)),"")</f>
        <v/>
      </c>
      <c r="D43" s="125" t="str">
        <f>IFERROR(INDEX('FB 콘텐츠 data'!$A$1:$AH$25,MATCH('FB 신규발행'!$A43,'FB 콘텐츠 data'!$AR:$AR,0),MATCH(D$2,'FB 콘텐츠 data'!$A$1:$AH$1,0)),"")</f>
        <v/>
      </c>
      <c r="E43" s="125" t="str">
        <f>IFERROR(INDEX('FB 콘텐츠 data'!$A$1:$AH$25,MATCH('FB 신규발행'!$A43,'FB 콘텐츠 data'!$AR:$AR,0),MATCH(E$2,'FB 콘텐츠 data'!$A$1:$AH$1,0)),"")</f>
        <v/>
      </c>
      <c r="F43" s="125" t="str">
        <f>IFERROR(INDEX('FB 콘텐츠 data'!$A$1:$AH$25,MATCH('FB 신규발행'!$A43,'FB 콘텐츠 data'!$AR:$AR,0),MATCH(F$2,'FB 콘텐츠 data'!$A$1:$AH$1,0)),"")</f>
        <v/>
      </c>
      <c r="G43" s="125" t="str">
        <f>IFERROR(INDEX('FB 콘텐츠 data'!$A$1:$AH$25,MATCH('FB 신규발행'!$A43,'FB 콘텐츠 data'!$AR:$AR,0),MATCH(G$2,'FB 콘텐츠 data'!$A$1:$AH$1,0)),"")</f>
        <v/>
      </c>
      <c r="H43" s="125" t="str">
        <f t="shared" si="5"/>
        <v/>
      </c>
      <c r="I43" s="125" t="str">
        <f>IFERROR(INDEX('FB 콘텐츠 data'!$A$1:$AH$25,MATCH('FB 신규발행'!$A43,'FB 콘텐츠 data'!$AR:$AR,0),MATCH(I$2,'FB 콘텐츠 data'!$A$1:$AH$1,0)),"")</f>
        <v/>
      </c>
      <c r="J43" s="125" t="str">
        <f>IFERROR(INDEX('FB 콘텐츠 data'!$A$1:$AH$25,MATCH('FB 신규발행'!$A43,'FB 콘텐츠 data'!$AR:$AR,0),MATCH(J$2,'FB 콘텐츠 data'!$A$1:$AH$1,0)),"")</f>
        <v/>
      </c>
      <c r="K43" s="124" t="str">
        <f>IFERROR(INDEX('FB 콘텐츠 data'!$A$1:$AR$25,MATCH('FB 신규발행'!$A43,'FB 콘텐츠 data'!$AR:$AR,0),MATCH(K$2,'FB 콘텐츠 data'!$A$1:$AR$1,0)),"")</f>
        <v/>
      </c>
      <c r="L43" s="125" t="str">
        <f>IFERROR(INDEX('FB 콘텐츠 data'!$A$1:$AH$25,MATCH('FB 신규발행'!$A43,'FB 콘텐츠 data'!$AR:$AR,0),MATCH(L$2,'FB 콘텐츠 data'!$A$1:$AH$1,0)),"")</f>
        <v/>
      </c>
      <c r="M43" s="125" t="str">
        <f>IFERROR(INDEX('FB 콘텐츠 data'!$A$1:$AH$25,MATCH('FB 신규발행'!$A43,'FB 콘텐츠 data'!$AR:$AR,0),MATCH(M$2,'FB 콘텐츠 data'!$A$1:$AH$1,0)),"")</f>
        <v/>
      </c>
      <c r="N43" s="125" t="str">
        <f>IFERROR(INDEX('FB 콘텐츠 data'!$A$1:$AH$25,MATCH('FB 신규발행'!$A43,'FB 콘텐츠 data'!$AR:$AR,0),MATCH(N$2,'FB 콘텐츠 data'!$A$1:$AH$1,0)),"")</f>
        <v/>
      </c>
      <c r="O43" s="125" t="str">
        <f>IFERROR(INDEX('FB 콘텐츠 data'!$A$1:$AH$25,MATCH('FB 신규발행'!$A43,'FB 콘텐츠 data'!$AR:$AR,0),MATCH(O$2,'FB 콘텐츠 data'!$A$1:$AH$1,0)),"")</f>
        <v/>
      </c>
      <c r="P43" s="125" t="str">
        <f>IFERROR(INDEX('FB 콘텐츠 data'!$A$1:$AH$25,MATCH('FB 신규발행'!$A43,'FB 콘텐츠 data'!$AR:$AR,0),MATCH(P$2,'FB 콘텐츠 data'!$A$1:$AH$1,0)),"")</f>
        <v/>
      </c>
      <c r="Q43" s="125" t="str">
        <f>IFERROR(INDEX('FB 콘텐츠 data'!$A$1:$AH$25,MATCH('FB 신규발행'!$A43,'FB 콘텐츠 data'!$AR:$AR,0),MATCH(Q$2,'FB 콘텐츠 data'!$A$1:$AH$1,0)),"")</f>
        <v/>
      </c>
      <c r="R43" s="126" t="str">
        <f t="shared" si="6"/>
        <v/>
      </c>
      <c r="T43" s="48" t="str">
        <f t="shared" si="7"/>
        <v/>
      </c>
      <c r="U43" s="48" t="str">
        <f t="shared" si="8"/>
        <v/>
      </c>
      <c r="Y43" s="112"/>
    </row>
    <row r="44" spans="1:25" ht="17.45" customHeight="1">
      <c r="A44" s="127">
        <v>42</v>
      </c>
      <c r="B44" s="123" t="str">
        <f>IFERROR(INDEX('FB 콘텐츠 data'!AQ:AQ,MATCH('FB 신규발행'!A44,'FB 콘텐츠 data'!AR:AR,0)),"")</f>
        <v/>
      </c>
      <c r="C44" s="124" t="str">
        <f>IFERROR(INDEX('FB 콘텐츠 data'!$A$1:$AH$25,MATCH('FB 신규발행'!$A44,'FB 콘텐츠 data'!$AR:$AR,0),MATCH(C$2,'FB 콘텐츠 data'!$A$1:$AH$1,0)),"")</f>
        <v/>
      </c>
      <c r="D44" s="125" t="str">
        <f>IFERROR(INDEX('FB 콘텐츠 data'!$A$1:$AH$25,MATCH('FB 신규발행'!$A44,'FB 콘텐츠 data'!$AR:$AR,0),MATCH(D$2,'FB 콘텐츠 data'!$A$1:$AH$1,0)),"")</f>
        <v/>
      </c>
      <c r="E44" s="125" t="str">
        <f>IFERROR(INDEX('FB 콘텐츠 data'!$A$1:$AH$25,MATCH('FB 신규발행'!$A44,'FB 콘텐츠 data'!$AR:$AR,0),MATCH(E$2,'FB 콘텐츠 data'!$A$1:$AH$1,0)),"")</f>
        <v/>
      </c>
      <c r="F44" s="125" t="str">
        <f>IFERROR(INDEX('FB 콘텐츠 data'!$A$1:$AH$25,MATCH('FB 신규발행'!$A44,'FB 콘텐츠 data'!$AR:$AR,0),MATCH(F$2,'FB 콘텐츠 data'!$A$1:$AH$1,0)),"")</f>
        <v/>
      </c>
      <c r="G44" s="125" t="str">
        <f>IFERROR(INDEX('FB 콘텐츠 data'!$A$1:$AH$25,MATCH('FB 신규발행'!$A44,'FB 콘텐츠 data'!$AR:$AR,0),MATCH(G$2,'FB 콘텐츠 data'!$A$1:$AH$1,0)),"")</f>
        <v/>
      </c>
      <c r="H44" s="125" t="str">
        <f t="shared" si="5"/>
        <v/>
      </c>
      <c r="I44" s="125" t="str">
        <f>IFERROR(INDEX('FB 콘텐츠 data'!$A$1:$AH$25,MATCH('FB 신규발행'!$A44,'FB 콘텐츠 data'!$AR:$AR,0),MATCH(I$2,'FB 콘텐츠 data'!$A$1:$AH$1,0)),"")</f>
        <v/>
      </c>
      <c r="J44" s="125" t="str">
        <f>IFERROR(INDEX('FB 콘텐츠 data'!$A$1:$AH$25,MATCH('FB 신규발행'!$A44,'FB 콘텐츠 data'!$AR:$AR,0),MATCH(J$2,'FB 콘텐츠 data'!$A$1:$AH$1,0)),"")</f>
        <v/>
      </c>
      <c r="K44" s="124" t="str">
        <f>IFERROR(INDEX('FB 콘텐츠 data'!$A$1:$AR$25,MATCH('FB 신규발행'!$A44,'FB 콘텐츠 data'!$AR:$AR,0),MATCH(K$2,'FB 콘텐츠 data'!$A$1:$AR$1,0)),"")</f>
        <v/>
      </c>
      <c r="L44" s="125" t="str">
        <f>IFERROR(INDEX('FB 콘텐츠 data'!$A$1:$AH$25,MATCH('FB 신규발행'!$A44,'FB 콘텐츠 data'!$AR:$AR,0),MATCH(L$2,'FB 콘텐츠 data'!$A$1:$AH$1,0)),"")</f>
        <v/>
      </c>
      <c r="M44" s="125" t="str">
        <f>IFERROR(INDEX('FB 콘텐츠 data'!$A$1:$AH$25,MATCH('FB 신규발행'!$A44,'FB 콘텐츠 data'!$AR:$AR,0),MATCH(M$2,'FB 콘텐츠 data'!$A$1:$AH$1,0)),"")</f>
        <v/>
      </c>
      <c r="N44" s="125" t="str">
        <f>IFERROR(INDEX('FB 콘텐츠 data'!$A$1:$AH$25,MATCH('FB 신규발행'!$A44,'FB 콘텐츠 data'!$AR:$AR,0),MATCH(N$2,'FB 콘텐츠 data'!$A$1:$AH$1,0)),"")</f>
        <v/>
      </c>
      <c r="O44" s="125" t="str">
        <f>IFERROR(INDEX('FB 콘텐츠 data'!$A$1:$AH$25,MATCH('FB 신규발행'!$A44,'FB 콘텐츠 data'!$AR:$AR,0),MATCH(O$2,'FB 콘텐츠 data'!$A$1:$AH$1,0)),"")</f>
        <v/>
      </c>
      <c r="P44" s="125" t="str">
        <f>IFERROR(INDEX('FB 콘텐츠 data'!$A$1:$AH$25,MATCH('FB 신규발행'!$A44,'FB 콘텐츠 data'!$AR:$AR,0),MATCH(P$2,'FB 콘텐츠 data'!$A$1:$AH$1,0)),"")</f>
        <v/>
      </c>
      <c r="Q44" s="125" t="str">
        <f>IFERROR(INDEX('FB 콘텐츠 data'!$A$1:$AH$25,MATCH('FB 신규발행'!$A44,'FB 콘텐츠 data'!$AR:$AR,0),MATCH(Q$2,'FB 콘텐츠 data'!$A$1:$AH$1,0)),"")</f>
        <v/>
      </c>
      <c r="R44" s="126" t="str">
        <f t="shared" si="6"/>
        <v/>
      </c>
      <c r="T44" s="48" t="str">
        <f t="shared" si="7"/>
        <v/>
      </c>
      <c r="U44" s="48" t="str">
        <f t="shared" si="8"/>
        <v/>
      </c>
      <c r="Y44" s="112"/>
    </row>
    <row r="45" spans="1:25" ht="17.45" customHeight="1">
      <c r="A45" s="127">
        <v>43</v>
      </c>
      <c r="B45" s="123" t="str">
        <f>IFERROR(INDEX('FB 콘텐츠 data'!AQ:AQ,MATCH('FB 신규발행'!A45,'FB 콘텐츠 data'!AR:AR,0)),"")</f>
        <v/>
      </c>
      <c r="C45" s="124" t="str">
        <f>IFERROR(INDEX('FB 콘텐츠 data'!$A$1:$AH$25,MATCH('FB 신규발행'!$A45,'FB 콘텐츠 data'!$AR:$AR,0),MATCH(C$2,'FB 콘텐츠 data'!$A$1:$AH$1,0)),"")</f>
        <v/>
      </c>
      <c r="D45" s="125" t="str">
        <f>IFERROR(INDEX('FB 콘텐츠 data'!$A$1:$AH$25,MATCH('FB 신규발행'!$A45,'FB 콘텐츠 data'!$AR:$AR,0),MATCH(D$2,'FB 콘텐츠 data'!$A$1:$AH$1,0)),"")</f>
        <v/>
      </c>
      <c r="E45" s="125" t="str">
        <f>IFERROR(INDEX('FB 콘텐츠 data'!$A$1:$AH$25,MATCH('FB 신규발행'!$A45,'FB 콘텐츠 data'!$AR:$AR,0),MATCH(E$2,'FB 콘텐츠 data'!$A$1:$AH$1,0)),"")</f>
        <v/>
      </c>
      <c r="F45" s="125" t="str">
        <f>IFERROR(INDEX('FB 콘텐츠 data'!$A$1:$AH$25,MATCH('FB 신규발행'!$A45,'FB 콘텐츠 data'!$AR:$AR,0),MATCH(F$2,'FB 콘텐츠 data'!$A$1:$AH$1,0)),"")</f>
        <v/>
      </c>
      <c r="G45" s="125" t="str">
        <f>IFERROR(INDEX('FB 콘텐츠 data'!$A$1:$AH$25,MATCH('FB 신규발행'!$A45,'FB 콘텐츠 data'!$AR:$AR,0),MATCH(G$2,'FB 콘텐츠 data'!$A$1:$AH$1,0)),"")</f>
        <v/>
      </c>
      <c r="H45" s="125" t="str">
        <f t="shared" si="5"/>
        <v/>
      </c>
      <c r="I45" s="125" t="str">
        <f>IFERROR(INDEX('FB 콘텐츠 data'!$A$1:$AH$25,MATCH('FB 신규발행'!$A45,'FB 콘텐츠 data'!$AR:$AR,0),MATCH(I$2,'FB 콘텐츠 data'!$A$1:$AH$1,0)),"")</f>
        <v/>
      </c>
      <c r="J45" s="125" t="str">
        <f>IFERROR(INDEX('FB 콘텐츠 data'!$A$1:$AH$25,MATCH('FB 신규발행'!$A45,'FB 콘텐츠 data'!$AR:$AR,0),MATCH(J$2,'FB 콘텐츠 data'!$A$1:$AH$1,0)),"")</f>
        <v/>
      </c>
      <c r="K45" s="124" t="str">
        <f>IFERROR(INDEX('FB 콘텐츠 data'!$A$1:$AR$25,MATCH('FB 신규발행'!$A45,'FB 콘텐츠 data'!$AR:$AR,0),MATCH(K$2,'FB 콘텐츠 data'!$A$1:$AR$1,0)),"")</f>
        <v/>
      </c>
      <c r="L45" s="125" t="str">
        <f>IFERROR(INDEX('FB 콘텐츠 data'!$A$1:$AH$25,MATCH('FB 신규발행'!$A45,'FB 콘텐츠 data'!$AR:$AR,0),MATCH(L$2,'FB 콘텐츠 data'!$A$1:$AH$1,0)),"")</f>
        <v/>
      </c>
      <c r="M45" s="125" t="str">
        <f>IFERROR(INDEX('FB 콘텐츠 data'!$A$1:$AH$25,MATCH('FB 신규발행'!$A45,'FB 콘텐츠 data'!$AR:$AR,0),MATCH(M$2,'FB 콘텐츠 data'!$A$1:$AH$1,0)),"")</f>
        <v/>
      </c>
      <c r="N45" s="125" t="str">
        <f>IFERROR(INDEX('FB 콘텐츠 data'!$A$1:$AH$25,MATCH('FB 신규발행'!$A45,'FB 콘텐츠 data'!$AR:$AR,0),MATCH(N$2,'FB 콘텐츠 data'!$A$1:$AH$1,0)),"")</f>
        <v/>
      </c>
      <c r="O45" s="125" t="str">
        <f>IFERROR(INDEX('FB 콘텐츠 data'!$A$1:$AH$25,MATCH('FB 신규발행'!$A45,'FB 콘텐츠 data'!$AR:$AR,0),MATCH(O$2,'FB 콘텐츠 data'!$A$1:$AH$1,0)),"")</f>
        <v/>
      </c>
      <c r="P45" s="125" t="str">
        <f>IFERROR(INDEX('FB 콘텐츠 data'!$A$1:$AH$25,MATCH('FB 신규발행'!$A45,'FB 콘텐츠 data'!$AR:$AR,0),MATCH(P$2,'FB 콘텐츠 data'!$A$1:$AH$1,0)),"")</f>
        <v/>
      </c>
      <c r="Q45" s="125" t="str">
        <f>IFERROR(INDEX('FB 콘텐츠 data'!$A$1:$AH$25,MATCH('FB 신규발행'!$A45,'FB 콘텐츠 data'!$AR:$AR,0),MATCH(Q$2,'FB 콘텐츠 data'!$A$1:$AH$1,0)),"")</f>
        <v/>
      </c>
      <c r="R45" s="126" t="str">
        <f t="shared" si="6"/>
        <v/>
      </c>
      <c r="T45" s="48" t="str">
        <f t="shared" si="7"/>
        <v/>
      </c>
      <c r="U45" s="48" t="str">
        <f t="shared" si="8"/>
        <v/>
      </c>
      <c r="Y45" s="112"/>
    </row>
    <row r="46" spans="1:25" ht="17.45" customHeight="1">
      <c r="A46" s="127">
        <v>44</v>
      </c>
      <c r="B46" s="123" t="str">
        <f>IFERROR(INDEX('FB 콘텐츠 data'!AQ:AQ,MATCH('FB 신규발행'!A46,'FB 콘텐츠 data'!AR:AR,0)),"")</f>
        <v/>
      </c>
      <c r="C46" s="124" t="str">
        <f>IFERROR(INDEX('FB 콘텐츠 data'!$A$1:$AH$25,MATCH('FB 신규발행'!$A46,'FB 콘텐츠 data'!$AR:$AR,0),MATCH(C$2,'FB 콘텐츠 data'!$A$1:$AH$1,0)),"")</f>
        <v/>
      </c>
      <c r="D46" s="125" t="str">
        <f>IFERROR(INDEX('FB 콘텐츠 data'!$A$1:$AH$25,MATCH('FB 신규발행'!$A46,'FB 콘텐츠 data'!$AR:$AR,0),MATCH(D$2,'FB 콘텐츠 data'!$A$1:$AH$1,0)),"")</f>
        <v/>
      </c>
      <c r="E46" s="125" t="str">
        <f>IFERROR(INDEX('FB 콘텐츠 data'!$A$1:$AH$25,MATCH('FB 신규발행'!$A46,'FB 콘텐츠 data'!$AR:$AR,0),MATCH(E$2,'FB 콘텐츠 data'!$A$1:$AH$1,0)),"")</f>
        <v/>
      </c>
      <c r="F46" s="125" t="str">
        <f>IFERROR(INDEX('FB 콘텐츠 data'!$A$1:$AH$25,MATCH('FB 신규발행'!$A46,'FB 콘텐츠 data'!$AR:$AR,0),MATCH(F$2,'FB 콘텐츠 data'!$A$1:$AH$1,0)),"")</f>
        <v/>
      </c>
      <c r="G46" s="125" t="str">
        <f>IFERROR(INDEX('FB 콘텐츠 data'!$A$1:$AH$25,MATCH('FB 신규발행'!$A46,'FB 콘텐츠 data'!$AR:$AR,0),MATCH(G$2,'FB 콘텐츠 data'!$A$1:$AH$1,0)),"")</f>
        <v/>
      </c>
      <c r="H46" s="125" t="str">
        <f t="shared" si="5"/>
        <v/>
      </c>
      <c r="I46" s="125" t="str">
        <f>IFERROR(INDEX('FB 콘텐츠 data'!$A$1:$AH$25,MATCH('FB 신규발행'!$A46,'FB 콘텐츠 data'!$AR:$AR,0),MATCH(I$2,'FB 콘텐츠 data'!$A$1:$AH$1,0)),"")</f>
        <v/>
      </c>
      <c r="J46" s="125" t="str">
        <f>IFERROR(INDEX('FB 콘텐츠 data'!$A$1:$AH$25,MATCH('FB 신규발행'!$A46,'FB 콘텐츠 data'!$AR:$AR,0),MATCH(J$2,'FB 콘텐츠 data'!$A$1:$AH$1,0)),"")</f>
        <v/>
      </c>
      <c r="K46" s="124" t="str">
        <f>IFERROR(INDEX('FB 콘텐츠 data'!$A$1:$AR$25,MATCH('FB 신규발행'!$A46,'FB 콘텐츠 data'!$AR:$AR,0),MATCH(K$2,'FB 콘텐츠 data'!$A$1:$AR$1,0)),"")</f>
        <v/>
      </c>
      <c r="L46" s="125" t="str">
        <f>IFERROR(INDEX('FB 콘텐츠 data'!$A$1:$AH$25,MATCH('FB 신규발행'!$A46,'FB 콘텐츠 data'!$AR:$AR,0),MATCH(L$2,'FB 콘텐츠 data'!$A$1:$AH$1,0)),"")</f>
        <v/>
      </c>
      <c r="M46" s="125" t="str">
        <f>IFERROR(INDEX('FB 콘텐츠 data'!$A$1:$AH$25,MATCH('FB 신규발행'!$A46,'FB 콘텐츠 data'!$AR:$AR,0),MATCH(M$2,'FB 콘텐츠 data'!$A$1:$AH$1,0)),"")</f>
        <v/>
      </c>
      <c r="N46" s="125" t="str">
        <f>IFERROR(INDEX('FB 콘텐츠 data'!$A$1:$AH$25,MATCH('FB 신규발행'!$A46,'FB 콘텐츠 data'!$AR:$AR,0),MATCH(N$2,'FB 콘텐츠 data'!$A$1:$AH$1,0)),"")</f>
        <v/>
      </c>
      <c r="O46" s="125" t="str">
        <f>IFERROR(INDEX('FB 콘텐츠 data'!$A$1:$AH$25,MATCH('FB 신규발행'!$A46,'FB 콘텐츠 data'!$AR:$AR,0),MATCH(O$2,'FB 콘텐츠 data'!$A$1:$AH$1,0)),"")</f>
        <v/>
      </c>
      <c r="P46" s="125" t="str">
        <f>IFERROR(INDEX('FB 콘텐츠 data'!$A$1:$AH$25,MATCH('FB 신규발행'!$A46,'FB 콘텐츠 data'!$AR:$AR,0),MATCH(P$2,'FB 콘텐츠 data'!$A$1:$AH$1,0)),"")</f>
        <v/>
      </c>
      <c r="Q46" s="125" t="str">
        <f>IFERROR(INDEX('FB 콘텐츠 data'!$A$1:$AH$25,MATCH('FB 신규발행'!$A46,'FB 콘텐츠 data'!$AR:$AR,0),MATCH(Q$2,'FB 콘텐츠 data'!$A$1:$AH$1,0)),"")</f>
        <v/>
      </c>
      <c r="R46" s="126" t="str">
        <f t="shared" si="6"/>
        <v/>
      </c>
      <c r="T46" s="48" t="str">
        <f t="shared" si="7"/>
        <v/>
      </c>
      <c r="U46" s="48" t="str">
        <f t="shared" si="8"/>
        <v/>
      </c>
      <c r="Y46" s="112"/>
    </row>
    <row r="47" spans="1:25" ht="17.45" customHeight="1">
      <c r="A47" s="127">
        <v>45</v>
      </c>
      <c r="B47" s="123" t="str">
        <f>IFERROR(INDEX('FB 콘텐츠 data'!AQ:AQ,MATCH('FB 신규발행'!A47,'FB 콘텐츠 data'!AR:AR,0)),"")</f>
        <v/>
      </c>
      <c r="C47" s="124" t="str">
        <f>IFERROR(INDEX('FB 콘텐츠 data'!$A$1:$AH$25,MATCH('FB 신규발행'!$A47,'FB 콘텐츠 data'!$AR:$AR,0),MATCH(C$2,'FB 콘텐츠 data'!$A$1:$AH$1,0)),"")</f>
        <v/>
      </c>
      <c r="D47" s="125" t="str">
        <f>IFERROR(INDEX('FB 콘텐츠 data'!$A$1:$AH$25,MATCH('FB 신규발행'!$A47,'FB 콘텐츠 data'!$AR:$AR,0),MATCH(D$2,'FB 콘텐츠 data'!$A$1:$AH$1,0)),"")</f>
        <v/>
      </c>
      <c r="E47" s="125" t="str">
        <f>IFERROR(INDEX('FB 콘텐츠 data'!$A$1:$AH$25,MATCH('FB 신규발행'!$A47,'FB 콘텐츠 data'!$AR:$AR,0),MATCH(E$2,'FB 콘텐츠 data'!$A$1:$AH$1,0)),"")</f>
        <v/>
      </c>
      <c r="F47" s="125" t="str">
        <f>IFERROR(INDEX('FB 콘텐츠 data'!$A$1:$AH$25,MATCH('FB 신규발행'!$A47,'FB 콘텐츠 data'!$AR:$AR,0),MATCH(F$2,'FB 콘텐츠 data'!$A$1:$AH$1,0)),"")</f>
        <v/>
      </c>
      <c r="G47" s="125" t="str">
        <f>IFERROR(INDEX('FB 콘텐츠 data'!$A$1:$AH$25,MATCH('FB 신규발행'!$A47,'FB 콘텐츠 data'!$AR:$AR,0),MATCH(G$2,'FB 콘텐츠 data'!$A$1:$AH$1,0)),"")</f>
        <v/>
      </c>
      <c r="H47" s="125" t="str">
        <f t="shared" si="5"/>
        <v/>
      </c>
      <c r="I47" s="125" t="str">
        <f>IFERROR(INDEX('FB 콘텐츠 data'!$A$1:$AH$25,MATCH('FB 신규발행'!$A47,'FB 콘텐츠 data'!$AR:$AR,0),MATCH(I$2,'FB 콘텐츠 data'!$A$1:$AH$1,0)),"")</f>
        <v/>
      </c>
      <c r="J47" s="125" t="str">
        <f>IFERROR(INDEX('FB 콘텐츠 data'!$A$1:$AH$25,MATCH('FB 신규발행'!$A47,'FB 콘텐츠 data'!$AR:$AR,0),MATCH(J$2,'FB 콘텐츠 data'!$A$1:$AH$1,0)),"")</f>
        <v/>
      </c>
      <c r="K47" s="124" t="str">
        <f>IFERROR(INDEX('FB 콘텐츠 data'!$A$1:$AR$25,MATCH('FB 신규발행'!$A47,'FB 콘텐츠 data'!$AR:$AR,0),MATCH(K$2,'FB 콘텐츠 data'!$A$1:$AR$1,0)),"")</f>
        <v/>
      </c>
      <c r="L47" s="125" t="str">
        <f>IFERROR(INDEX('FB 콘텐츠 data'!$A$1:$AH$25,MATCH('FB 신규발행'!$A47,'FB 콘텐츠 data'!$AR:$AR,0),MATCH(L$2,'FB 콘텐츠 data'!$A$1:$AH$1,0)),"")</f>
        <v/>
      </c>
      <c r="M47" s="125" t="str">
        <f>IFERROR(INDEX('FB 콘텐츠 data'!$A$1:$AH$25,MATCH('FB 신규발행'!$A47,'FB 콘텐츠 data'!$AR:$AR,0),MATCH(M$2,'FB 콘텐츠 data'!$A$1:$AH$1,0)),"")</f>
        <v/>
      </c>
      <c r="N47" s="125" t="str">
        <f>IFERROR(INDEX('FB 콘텐츠 data'!$A$1:$AH$25,MATCH('FB 신규발행'!$A47,'FB 콘텐츠 data'!$AR:$AR,0),MATCH(N$2,'FB 콘텐츠 data'!$A$1:$AH$1,0)),"")</f>
        <v/>
      </c>
      <c r="O47" s="125" t="str">
        <f>IFERROR(INDEX('FB 콘텐츠 data'!$A$1:$AH$25,MATCH('FB 신규발행'!$A47,'FB 콘텐츠 data'!$AR:$AR,0),MATCH(O$2,'FB 콘텐츠 data'!$A$1:$AH$1,0)),"")</f>
        <v/>
      </c>
      <c r="P47" s="125" t="str">
        <f>IFERROR(INDEX('FB 콘텐츠 data'!$A$1:$AH$25,MATCH('FB 신규발행'!$A47,'FB 콘텐츠 data'!$AR:$AR,0),MATCH(P$2,'FB 콘텐츠 data'!$A$1:$AH$1,0)),"")</f>
        <v/>
      </c>
      <c r="Q47" s="125" t="str">
        <f>IFERROR(INDEX('FB 콘텐츠 data'!$A$1:$AH$25,MATCH('FB 신규발행'!$A47,'FB 콘텐츠 data'!$AR:$AR,0),MATCH(Q$2,'FB 콘텐츠 data'!$A$1:$AH$1,0)),"")</f>
        <v/>
      </c>
      <c r="R47" s="126" t="str">
        <f t="shared" si="6"/>
        <v/>
      </c>
      <c r="T47" s="48" t="str">
        <f t="shared" si="7"/>
        <v/>
      </c>
      <c r="U47" s="48" t="str">
        <f t="shared" si="8"/>
        <v/>
      </c>
      <c r="Y47" s="112"/>
    </row>
    <row r="48" spans="1:25" ht="17.45" customHeight="1">
      <c r="A48" s="127">
        <v>46</v>
      </c>
      <c r="B48" s="123" t="str">
        <f>IFERROR(INDEX('FB 콘텐츠 data'!AQ:AQ,MATCH('FB 신규발행'!A48,'FB 콘텐츠 data'!AR:AR,0)),"")</f>
        <v/>
      </c>
      <c r="C48" s="124" t="str">
        <f>IFERROR(INDEX('FB 콘텐츠 data'!$A$1:$AH$25,MATCH('FB 신규발행'!$A48,'FB 콘텐츠 data'!$AR:$AR,0),MATCH(C$2,'FB 콘텐츠 data'!$A$1:$AH$1,0)),"")</f>
        <v/>
      </c>
      <c r="D48" s="125" t="str">
        <f>IFERROR(INDEX('FB 콘텐츠 data'!$A$1:$AH$25,MATCH('FB 신규발행'!$A48,'FB 콘텐츠 data'!$AR:$AR,0),MATCH(D$2,'FB 콘텐츠 data'!$A$1:$AH$1,0)),"")</f>
        <v/>
      </c>
      <c r="E48" s="125" t="str">
        <f>IFERROR(INDEX('FB 콘텐츠 data'!$A$1:$AH$25,MATCH('FB 신규발행'!$A48,'FB 콘텐츠 data'!$AR:$AR,0),MATCH(E$2,'FB 콘텐츠 data'!$A$1:$AH$1,0)),"")</f>
        <v/>
      </c>
      <c r="F48" s="125" t="str">
        <f>IFERROR(INDEX('FB 콘텐츠 data'!$A$1:$AH$25,MATCH('FB 신규발행'!$A48,'FB 콘텐츠 data'!$AR:$AR,0),MATCH(F$2,'FB 콘텐츠 data'!$A$1:$AH$1,0)),"")</f>
        <v/>
      </c>
      <c r="G48" s="125" t="str">
        <f>IFERROR(INDEX('FB 콘텐츠 data'!$A$1:$AH$25,MATCH('FB 신규발행'!$A48,'FB 콘텐츠 data'!$AR:$AR,0),MATCH(G$2,'FB 콘텐츠 data'!$A$1:$AH$1,0)),"")</f>
        <v/>
      </c>
      <c r="H48" s="125" t="str">
        <f t="shared" si="5"/>
        <v/>
      </c>
      <c r="I48" s="125" t="str">
        <f>IFERROR(INDEX('FB 콘텐츠 data'!$A$1:$AH$25,MATCH('FB 신규발행'!$A48,'FB 콘텐츠 data'!$AR:$AR,0),MATCH(I$2,'FB 콘텐츠 data'!$A$1:$AH$1,0)),"")</f>
        <v/>
      </c>
      <c r="J48" s="125" t="str">
        <f>IFERROR(INDEX('FB 콘텐츠 data'!$A$1:$AH$25,MATCH('FB 신규발행'!$A48,'FB 콘텐츠 data'!$AR:$AR,0),MATCH(J$2,'FB 콘텐츠 data'!$A$1:$AH$1,0)),"")</f>
        <v/>
      </c>
      <c r="K48" s="124" t="str">
        <f>IFERROR(INDEX('FB 콘텐츠 data'!$A$1:$AR$25,MATCH('FB 신규발행'!$A48,'FB 콘텐츠 data'!$AR:$AR,0),MATCH(K$2,'FB 콘텐츠 data'!$A$1:$AR$1,0)),"")</f>
        <v/>
      </c>
      <c r="L48" s="125" t="str">
        <f>IFERROR(INDEX('FB 콘텐츠 data'!$A$1:$AH$25,MATCH('FB 신규발행'!$A48,'FB 콘텐츠 data'!$AR:$AR,0),MATCH(L$2,'FB 콘텐츠 data'!$A$1:$AH$1,0)),"")</f>
        <v/>
      </c>
      <c r="M48" s="125" t="str">
        <f>IFERROR(INDEX('FB 콘텐츠 data'!$A$1:$AH$25,MATCH('FB 신규발행'!$A48,'FB 콘텐츠 data'!$AR:$AR,0),MATCH(M$2,'FB 콘텐츠 data'!$A$1:$AH$1,0)),"")</f>
        <v/>
      </c>
      <c r="N48" s="125" t="str">
        <f>IFERROR(INDEX('FB 콘텐츠 data'!$A$1:$AH$25,MATCH('FB 신규발행'!$A48,'FB 콘텐츠 data'!$AR:$AR,0),MATCH(N$2,'FB 콘텐츠 data'!$A$1:$AH$1,0)),"")</f>
        <v/>
      </c>
      <c r="O48" s="125" t="str">
        <f>IFERROR(INDEX('FB 콘텐츠 data'!$A$1:$AH$25,MATCH('FB 신규발행'!$A48,'FB 콘텐츠 data'!$AR:$AR,0),MATCH(O$2,'FB 콘텐츠 data'!$A$1:$AH$1,0)),"")</f>
        <v/>
      </c>
      <c r="P48" s="125" t="str">
        <f>IFERROR(INDEX('FB 콘텐츠 data'!$A$1:$AH$25,MATCH('FB 신규발행'!$A48,'FB 콘텐츠 data'!$AR:$AR,0),MATCH(P$2,'FB 콘텐츠 data'!$A$1:$AH$1,0)),"")</f>
        <v/>
      </c>
      <c r="Q48" s="125" t="str">
        <f>IFERROR(INDEX('FB 콘텐츠 data'!$A$1:$AH$25,MATCH('FB 신규발행'!$A48,'FB 콘텐츠 data'!$AR:$AR,0),MATCH(Q$2,'FB 콘텐츠 data'!$A$1:$AH$1,0)),"")</f>
        <v/>
      </c>
      <c r="R48" s="126" t="str">
        <f t="shared" si="6"/>
        <v/>
      </c>
      <c r="T48" s="48" t="str">
        <f t="shared" si="7"/>
        <v/>
      </c>
      <c r="U48" s="48" t="str">
        <f t="shared" si="8"/>
        <v/>
      </c>
      <c r="Y48" s="112"/>
    </row>
    <row r="49" spans="1:25" ht="17.45" customHeight="1">
      <c r="A49" s="127">
        <v>47</v>
      </c>
      <c r="B49" s="123" t="str">
        <f>IFERROR(INDEX('FB 콘텐츠 data'!AQ:AQ,MATCH('FB 신규발행'!A49,'FB 콘텐츠 data'!AR:AR,0)),"")</f>
        <v/>
      </c>
      <c r="C49" s="124" t="str">
        <f>IFERROR(INDEX('FB 콘텐츠 data'!$A$1:$AH$25,MATCH('FB 신규발행'!$A49,'FB 콘텐츠 data'!$AR:$AR,0),MATCH(C$2,'FB 콘텐츠 data'!$A$1:$AH$1,0)),"")</f>
        <v/>
      </c>
      <c r="D49" s="125" t="str">
        <f>IFERROR(INDEX('FB 콘텐츠 data'!$A$1:$AH$25,MATCH('FB 신규발행'!$A49,'FB 콘텐츠 data'!$AR:$AR,0),MATCH(D$2,'FB 콘텐츠 data'!$A$1:$AH$1,0)),"")</f>
        <v/>
      </c>
      <c r="E49" s="125" t="str">
        <f>IFERROR(INDEX('FB 콘텐츠 data'!$A$1:$AH$25,MATCH('FB 신규발행'!$A49,'FB 콘텐츠 data'!$AR:$AR,0),MATCH(E$2,'FB 콘텐츠 data'!$A$1:$AH$1,0)),"")</f>
        <v/>
      </c>
      <c r="F49" s="125" t="str">
        <f>IFERROR(INDEX('FB 콘텐츠 data'!$A$1:$AH$25,MATCH('FB 신규발행'!$A49,'FB 콘텐츠 data'!$AR:$AR,0),MATCH(F$2,'FB 콘텐츠 data'!$A$1:$AH$1,0)),"")</f>
        <v/>
      </c>
      <c r="G49" s="125" t="str">
        <f>IFERROR(INDEX('FB 콘텐츠 data'!$A$1:$AH$25,MATCH('FB 신규발행'!$A49,'FB 콘텐츠 data'!$AR:$AR,0),MATCH(G$2,'FB 콘텐츠 data'!$A$1:$AH$1,0)),"")</f>
        <v/>
      </c>
      <c r="H49" s="125" t="str">
        <f t="shared" si="5"/>
        <v/>
      </c>
      <c r="I49" s="125" t="str">
        <f>IFERROR(INDEX('FB 콘텐츠 data'!$A$1:$AH$25,MATCH('FB 신규발행'!$A49,'FB 콘텐츠 data'!$AR:$AR,0),MATCH(I$2,'FB 콘텐츠 data'!$A$1:$AH$1,0)),"")</f>
        <v/>
      </c>
      <c r="J49" s="125" t="str">
        <f>IFERROR(INDEX('FB 콘텐츠 data'!$A$1:$AH$25,MATCH('FB 신규발행'!$A49,'FB 콘텐츠 data'!$AR:$AR,0),MATCH(J$2,'FB 콘텐츠 data'!$A$1:$AH$1,0)),"")</f>
        <v/>
      </c>
      <c r="K49" s="124" t="str">
        <f>IFERROR(INDEX('FB 콘텐츠 data'!$A$1:$AR$25,MATCH('FB 신규발행'!$A49,'FB 콘텐츠 data'!$AR:$AR,0),MATCH(K$2,'FB 콘텐츠 data'!$A$1:$AR$1,0)),"")</f>
        <v/>
      </c>
      <c r="L49" s="125" t="str">
        <f>IFERROR(INDEX('FB 콘텐츠 data'!$A$1:$AH$25,MATCH('FB 신규발행'!$A49,'FB 콘텐츠 data'!$AR:$AR,0),MATCH(L$2,'FB 콘텐츠 data'!$A$1:$AH$1,0)),"")</f>
        <v/>
      </c>
      <c r="M49" s="125" t="str">
        <f>IFERROR(INDEX('FB 콘텐츠 data'!$A$1:$AH$25,MATCH('FB 신규발행'!$A49,'FB 콘텐츠 data'!$AR:$AR,0),MATCH(M$2,'FB 콘텐츠 data'!$A$1:$AH$1,0)),"")</f>
        <v/>
      </c>
      <c r="N49" s="125" t="str">
        <f>IFERROR(INDEX('FB 콘텐츠 data'!$A$1:$AH$25,MATCH('FB 신규발행'!$A49,'FB 콘텐츠 data'!$AR:$AR,0),MATCH(N$2,'FB 콘텐츠 data'!$A$1:$AH$1,0)),"")</f>
        <v/>
      </c>
      <c r="O49" s="125" t="str">
        <f>IFERROR(INDEX('FB 콘텐츠 data'!$A$1:$AH$25,MATCH('FB 신규발행'!$A49,'FB 콘텐츠 data'!$AR:$AR,0),MATCH(O$2,'FB 콘텐츠 data'!$A$1:$AH$1,0)),"")</f>
        <v/>
      </c>
      <c r="P49" s="125" t="str">
        <f>IFERROR(INDEX('FB 콘텐츠 data'!$A$1:$AH$25,MATCH('FB 신규발행'!$A49,'FB 콘텐츠 data'!$AR:$AR,0),MATCH(P$2,'FB 콘텐츠 data'!$A$1:$AH$1,0)),"")</f>
        <v/>
      </c>
      <c r="Q49" s="125" t="str">
        <f>IFERROR(INDEX('FB 콘텐츠 data'!$A$1:$AH$25,MATCH('FB 신규발행'!$A49,'FB 콘텐츠 data'!$AR:$AR,0),MATCH(Q$2,'FB 콘텐츠 data'!$A$1:$AH$1,0)),"")</f>
        <v/>
      </c>
      <c r="R49" s="126" t="str">
        <f t="shared" si="6"/>
        <v/>
      </c>
      <c r="T49" s="48" t="str">
        <f t="shared" si="7"/>
        <v/>
      </c>
      <c r="U49" s="48" t="str">
        <f t="shared" si="8"/>
        <v/>
      </c>
      <c r="Y49" s="112"/>
    </row>
    <row r="50" spans="1:25" ht="17.45" customHeight="1">
      <c r="A50" s="127">
        <v>48</v>
      </c>
      <c r="B50" s="123" t="str">
        <f>IFERROR(INDEX('FB 콘텐츠 data'!AQ:AQ,MATCH('FB 신규발행'!A50,'FB 콘텐츠 data'!AR:AR,0)),"")</f>
        <v/>
      </c>
      <c r="C50" s="124" t="str">
        <f>IFERROR(INDEX('FB 콘텐츠 data'!$A$1:$AH$25,MATCH('FB 신규발행'!$A50,'FB 콘텐츠 data'!$AR:$AR,0),MATCH(C$2,'FB 콘텐츠 data'!$A$1:$AH$1,0)),"")</f>
        <v/>
      </c>
      <c r="D50" s="125" t="str">
        <f>IFERROR(INDEX('FB 콘텐츠 data'!$A$1:$AH$25,MATCH('FB 신규발행'!$A50,'FB 콘텐츠 data'!$AR:$AR,0),MATCH(D$2,'FB 콘텐츠 data'!$A$1:$AH$1,0)),"")</f>
        <v/>
      </c>
      <c r="E50" s="125" t="str">
        <f>IFERROR(INDEX('FB 콘텐츠 data'!$A$1:$AH$25,MATCH('FB 신규발행'!$A50,'FB 콘텐츠 data'!$AR:$AR,0),MATCH(E$2,'FB 콘텐츠 data'!$A$1:$AH$1,0)),"")</f>
        <v/>
      </c>
      <c r="F50" s="125" t="str">
        <f>IFERROR(INDEX('FB 콘텐츠 data'!$A$1:$AH$25,MATCH('FB 신규발행'!$A50,'FB 콘텐츠 data'!$AR:$AR,0),MATCH(F$2,'FB 콘텐츠 data'!$A$1:$AH$1,0)),"")</f>
        <v/>
      </c>
      <c r="G50" s="125" t="str">
        <f>IFERROR(INDEX('FB 콘텐츠 data'!$A$1:$AH$25,MATCH('FB 신규발행'!$A50,'FB 콘텐츠 data'!$AR:$AR,0),MATCH(G$2,'FB 콘텐츠 data'!$A$1:$AH$1,0)),"")</f>
        <v/>
      </c>
      <c r="H50" s="125" t="str">
        <f t="shared" si="5"/>
        <v/>
      </c>
      <c r="I50" s="125" t="str">
        <f>IFERROR(INDEX('FB 콘텐츠 data'!$A$1:$AH$25,MATCH('FB 신규발행'!$A50,'FB 콘텐츠 data'!$AR:$AR,0),MATCH(I$2,'FB 콘텐츠 data'!$A$1:$AH$1,0)),"")</f>
        <v/>
      </c>
      <c r="J50" s="125" t="str">
        <f>IFERROR(INDEX('FB 콘텐츠 data'!$A$1:$AH$25,MATCH('FB 신규발행'!$A50,'FB 콘텐츠 data'!$AR:$AR,0),MATCH(J$2,'FB 콘텐츠 data'!$A$1:$AH$1,0)),"")</f>
        <v/>
      </c>
      <c r="K50" s="124" t="str">
        <f>IFERROR(INDEX('FB 콘텐츠 data'!$A$1:$AR$25,MATCH('FB 신규발행'!$A50,'FB 콘텐츠 data'!$AR:$AR,0),MATCH(K$2,'FB 콘텐츠 data'!$A$1:$AR$1,0)),"")</f>
        <v/>
      </c>
      <c r="L50" s="125" t="str">
        <f>IFERROR(INDEX('FB 콘텐츠 data'!$A$1:$AH$25,MATCH('FB 신규발행'!$A50,'FB 콘텐츠 data'!$AR:$AR,0),MATCH(L$2,'FB 콘텐츠 data'!$A$1:$AH$1,0)),"")</f>
        <v/>
      </c>
      <c r="M50" s="125" t="str">
        <f>IFERROR(INDEX('FB 콘텐츠 data'!$A$1:$AH$25,MATCH('FB 신규발행'!$A50,'FB 콘텐츠 data'!$AR:$AR,0),MATCH(M$2,'FB 콘텐츠 data'!$A$1:$AH$1,0)),"")</f>
        <v/>
      </c>
      <c r="N50" s="125" t="str">
        <f>IFERROR(INDEX('FB 콘텐츠 data'!$A$1:$AH$25,MATCH('FB 신규발행'!$A50,'FB 콘텐츠 data'!$AR:$AR,0),MATCH(N$2,'FB 콘텐츠 data'!$A$1:$AH$1,0)),"")</f>
        <v/>
      </c>
      <c r="O50" s="125" t="str">
        <f>IFERROR(INDEX('FB 콘텐츠 data'!$A$1:$AH$25,MATCH('FB 신규발행'!$A50,'FB 콘텐츠 data'!$AR:$AR,0),MATCH(O$2,'FB 콘텐츠 data'!$A$1:$AH$1,0)),"")</f>
        <v/>
      </c>
      <c r="P50" s="125" t="str">
        <f>IFERROR(INDEX('FB 콘텐츠 data'!$A$1:$AH$25,MATCH('FB 신규발행'!$A50,'FB 콘텐츠 data'!$AR:$AR,0),MATCH(P$2,'FB 콘텐츠 data'!$A$1:$AH$1,0)),"")</f>
        <v/>
      </c>
      <c r="Q50" s="125" t="str">
        <f>IFERROR(INDEX('FB 콘텐츠 data'!$A$1:$AH$25,MATCH('FB 신규발행'!$A50,'FB 콘텐츠 data'!$AR:$AR,0),MATCH(Q$2,'FB 콘텐츠 data'!$A$1:$AH$1,0)),"")</f>
        <v/>
      </c>
      <c r="R50" s="126" t="str">
        <f t="shared" si="6"/>
        <v/>
      </c>
      <c r="T50" s="48" t="str">
        <f t="shared" si="7"/>
        <v/>
      </c>
      <c r="U50" s="48" t="str">
        <f t="shared" si="8"/>
        <v/>
      </c>
      <c r="Y50" s="112"/>
    </row>
    <row r="51" spans="1:25" ht="17.45" customHeight="1">
      <c r="A51" s="127">
        <v>49</v>
      </c>
      <c r="B51" s="123" t="str">
        <f>IFERROR(INDEX('FB 콘텐츠 data'!AQ:AQ,MATCH('FB 신규발행'!A51,'FB 콘텐츠 data'!AR:AR,0)),"")</f>
        <v/>
      </c>
      <c r="C51" s="124" t="str">
        <f>IFERROR(INDEX('FB 콘텐츠 data'!$A$1:$AH$25,MATCH('FB 신규발행'!$A51,'FB 콘텐츠 data'!$AR:$AR,0),MATCH(C$2,'FB 콘텐츠 data'!$A$1:$AH$1,0)),"")</f>
        <v/>
      </c>
      <c r="D51" s="125" t="str">
        <f>IFERROR(INDEX('FB 콘텐츠 data'!$A$1:$AH$25,MATCH('FB 신규발행'!$A51,'FB 콘텐츠 data'!$AR:$AR,0),MATCH(D$2,'FB 콘텐츠 data'!$A$1:$AH$1,0)),"")</f>
        <v/>
      </c>
      <c r="E51" s="125" t="str">
        <f>IFERROR(INDEX('FB 콘텐츠 data'!$A$1:$AH$25,MATCH('FB 신규발행'!$A51,'FB 콘텐츠 data'!$AR:$AR,0),MATCH(E$2,'FB 콘텐츠 data'!$A$1:$AH$1,0)),"")</f>
        <v/>
      </c>
      <c r="F51" s="125" t="str">
        <f>IFERROR(INDEX('FB 콘텐츠 data'!$A$1:$AH$25,MATCH('FB 신규발행'!$A51,'FB 콘텐츠 data'!$AR:$AR,0),MATCH(F$2,'FB 콘텐츠 data'!$A$1:$AH$1,0)),"")</f>
        <v/>
      </c>
      <c r="G51" s="125" t="str">
        <f>IFERROR(INDEX('FB 콘텐츠 data'!$A$1:$AH$25,MATCH('FB 신규발행'!$A51,'FB 콘텐츠 data'!$AR:$AR,0),MATCH(G$2,'FB 콘텐츠 data'!$A$1:$AH$1,0)),"")</f>
        <v/>
      </c>
      <c r="H51" s="125" t="str">
        <f t="shared" si="5"/>
        <v/>
      </c>
      <c r="I51" s="125" t="str">
        <f>IFERROR(INDEX('FB 콘텐츠 data'!$A$1:$AH$25,MATCH('FB 신규발행'!$A51,'FB 콘텐츠 data'!$AR:$AR,0),MATCH(I$2,'FB 콘텐츠 data'!$A$1:$AH$1,0)),"")</f>
        <v/>
      </c>
      <c r="J51" s="125" t="str">
        <f>IFERROR(INDEX('FB 콘텐츠 data'!$A$1:$AH$25,MATCH('FB 신규발행'!$A51,'FB 콘텐츠 data'!$AR:$AR,0),MATCH(J$2,'FB 콘텐츠 data'!$A$1:$AH$1,0)),"")</f>
        <v/>
      </c>
      <c r="K51" s="124" t="str">
        <f>IFERROR(INDEX('FB 콘텐츠 data'!$A$1:$AR$25,MATCH('FB 신규발행'!$A51,'FB 콘텐츠 data'!$AR:$AR,0),MATCH(K$2,'FB 콘텐츠 data'!$A$1:$AR$1,0)),"")</f>
        <v/>
      </c>
      <c r="L51" s="125" t="str">
        <f>IFERROR(INDEX('FB 콘텐츠 data'!$A$1:$AH$25,MATCH('FB 신규발행'!$A51,'FB 콘텐츠 data'!$AR:$AR,0),MATCH(L$2,'FB 콘텐츠 data'!$A$1:$AH$1,0)),"")</f>
        <v/>
      </c>
      <c r="M51" s="125" t="str">
        <f>IFERROR(INDEX('FB 콘텐츠 data'!$A$1:$AH$25,MATCH('FB 신규발행'!$A51,'FB 콘텐츠 data'!$AR:$AR,0),MATCH(M$2,'FB 콘텐츠 data'!$A$1:$AH$1,0)),"")</f>
        <v/>
      </c>
      <c r="N51" s="125" t="str">
        <f>IFERROR(INDEX('FB 콘텐츠 data'!$A$1:$AH$25,MATCH('FB 신규발행'!$A51,'FB 콘텐츠 data'!$AR:$AR,0),MATCH(N$2,'FB 콘텐츠 data'!$A$1:$AH$1,0)),"")</f>
        <v/>
      </c>
      <c r="O51" s="125" t="str">
        <f>IFERROR(INDEX('FB 콘텐츠 data'!$A$1:$AH$25,MATCH('FB 신규발행'!$A51,'FB 콘텐츠 data'!$AR:$AR,0),MATCH(O$2,'FB 콘텐츠 data'!$A$1:$AH$1,0)),"")</f>
        <v/>
      </c>
      <c r="P51" s="125" t="str">
        <f>IFERROR(INDEX('FB 콘텐츠 data'!$A$1:$AH$25,MATCH('FB 신규발행'!$A51,'FB 콘텐츠 data'!$AR:$AR,0),MATCH(P$2,'FB 콘텐츠 data'!$A$1:$AH$1,0)),"")</f>
        <v/>
      </c>
      <c r="Q51" s="125" t="str">
        <f>IFERROR(INDEX('FB 콘텐츠 data'!$A$1:$AH$25,MATCH('FB 신규발행'!$A51,'FB 콘텐츠 data'!$AR:$AR,0),MATCH(Q$2,'FB 콘텐츠 data'!$A$1:$AH$1,0)),"")</f>
        <v/>
      </c>
      <c r="R51" s="126" t="str">
        <f t="shared" si="6"/>
        <v/>
      </c>
      <c r="T51" s="48" t="str">
        <f t="shared" si="7"/>
        <v/>
      </c>
      <c r="U51" s="48" t="str">
        <f t="shared" si="8"/>
        <v/>
      </c>
      <c r="Y51" s="112"/>
    </row>
    <row r="52" spans="1:25" ht="17.45" customHeight="1">
      <c r="A52" s="127">
        <v>50</v>
      </c>
      <c r="B52" s="123" t="str">
        <f>IFERROR(INDEX('FB 콘텐츠 data'!AQ:AQ,MATCH('FB 신규발행'!A52,'FB 콘텐츠 data'!AR:AR,0)),"")</f>
        <v/>
      </c>
      <c r="C52" s="124" t="str">
        <f>IFERROR(INDEX('FB 콘텐츠 data'!$A$1:$AH$25,MATCH('FB 신규발행'!$A52,'FB 콘텐츠 data'!$AR:$AR,0),MATCH(C$2,'FB 콘텐츠 data'!$A$1:$AH$1,0)),"")</f>
        <v/>
      </c>
      <c r="D52" s="125" t="str">
        <f>IFERROR(INDEX('FB 콘텐츠 data'!$A$1:$AH$25,MATCH('FB 신규발행'!$A52,'FB 콘텐츠 data'!$AR:$AR,0),MATCH(D$2,'FB 콘텐츠 data'!$A$1:$AH$1,0)),"")</f>
        <v/>
      </c>
      <c r="E52" s="125" t="str">
        <f>IFERROR(INDEX('FB 콘텐츠 data'!$A$1:$AH$25,MATCH('FB 신규발행'!$A52,'FB 콘텐츠 data'!$AR:$AR,0),MATCH(E$2,'FB 콘텐츠 data'!$A$1:$AH$1,0)),"")</f>
        <v/>
      </c>
      <c r="F52" s="125" t="str">
        <f>IFERROR(INDEX('FB 콘텐츠 data'!$A$1:$AH$25,MATCH('FB 신규발행'!$A52,'FB 콘텐츠 data'!$AR:$AR,0),MATCH(F$2,'FB 콘텐츠 data'!$A$1:$AH$1,0)),"")</f>
        <v/>
      </c>
      <c r="G52" s="125" t="str">
        <f>IFERROR(INDEX('FB 콘텐츠 data'!$A$1:$AH$25,MATCH('FB 신규발행'!$A52,'FB 콘텐츠 data'!$AR:$AR,0),MATCH(G$2,'FB 콘텐츠 data'!$A$1:$AH$1,0)),"")</f>
        <v/>
      </c>
      <c r="H52" s="125" t="str">
        <f t="shared" si="5"/>
        <v/>
      </c>
      <c r="I52" s="125" t="str">
        <f>IFERROR(INDEX('FB 콘텐츠 data'!$A$1:$AH$25,MATCH('FB 신규발행'!$A52,'FB 콘텐츠 data'!$AR:$AR,0),MATCH(I$2,'FB 콘텐츠 data'!$A$1:$AH$1,0)),"")</f>
        <v/>
      </c>
      <c r="J52" s="125" t="str">
        <f>IFERROR(INDEX('FB 콘텐츠 data'!$A$1:$AH$25,MATCH('FB 신규발행'!$A52,'FB 콘텐츠 data'!$AR:$AR,0),MATCH(J$2,'FB 콘텐츠 data'!$A$1:$AH$1,0)),"")</f>
        <v/>
      </c>
      <c r="K52" s="124" t="str">
        <f>IFERROR(INDEX('FB 콘텐츠 data'!$A$1:$AR$25,MATCH('FB 신규발행'!$A52,'FB 콘텐츠 data'!$AR:$AR,0),MATCH(K$2,'FB 콘텐츠 data'!$A$1:$AR$1,0)),"")</f>
        <v/>
      </c>
      <c r="L52" s="125" t="str">
        <f>IFERROR(INDEX('FB 콘텐츠 data'!$A$1:$AH$25,MATCH('FB 신규발행'!$A52,'FB 콘텐츠 data'!$AR:$AR,0),MATCH(L$2,'FB 콘텐츠 data'!$A$1:$AH$1,0)),"")</f>
        <v/>
      </c>
      <c r="M52" s="125" t="str">
        <f>IFERROR(INDEX('FB 콘텐츠 data'!$A$1:$AH$25,MATCH('FB 신규발행'!$A52,'FB 콘텐츠 data'!$AR:$AR,0),MATCH(M$2,'FB 콘텐츠 data'!$A$1:$AH$1,0)),"")</f>
        <v/>
      </c>
      <c r="N52" s="125" t="str">
        <f>IFERROR(INDEX('FB 콘텐츠 data'!$A$1:$AH$25,MATCH('FB 신규발행'!$A52,'FB 콘텐츠 data'!$AR:$AR,0),MATCH(N$2,'FB 콘텐츠 data'!$A$1:$AH$1,0)),"")</f>
        <v/>
      </c>
      <c r="O52" s="125" t="str">
        <f>IFERROR(INDEX('FB 콘텐츠 data'!$A$1:$AH$25,MATCH('FB 신규발행'!$A52,'FB 콘텐츠 data'!$AR:$AR,0),MATCH(O$2,'FB 콘텐츠 data'!$A$1:$AH$1,0)),"")</f>
        <v/>
      </c>
      <c r="P52" s="125" t="str">
        <f>IFERROR(INDEX('FB 콘텐츠 data'!$A$1:$AH$25,MATCH('FB 신규발행'!$A52,'FB 콘텐츠 data'!$AR:$AR,0),MATCH(P$2,'FB 콘텐츠 data'!$A$1:$AH$1,0)),"")</f>
        <v/>
      </c>
      <c r="Q52" s="125" t="str">
        <f>IFERROR(INDEX('FB 콘텐츠 data'!$A$1:$AH$25,MATCH('FB 신규발행'!$A52,'FB 콘텐츠 data'!$AR:$AR,0),MATCH(Q$2,'FB 콘텐츠 data'!$A$1:$AH$1,0)),"")</f>
        <v/>
      </c>
      <c r="R52" s="126" t="str">
        <f t="shared" si="6"/>
        <v/>
      </c>
      <c r="T52" s="48" t="str">
        <f t="shared" si="7"/>
        <v/>
      </c>
      <c r="U52" s="48" t="str">
        <f t="shared" si="8"/>
        <v/>
      </c>
      <c r="Y52" s="112"/>
    </row>
    <row r="53" spans="1:25" ht="17.45" customHeight="1">
      <c r="A53" s="127">
        <v>51</v>
      </c>
      <c r="B53" s="123" t="str">
        <f>IFERROR(INDEX('FB 콘텐츠 data'!AQ:AQ,MATCH('FB 신규발행'!A53,'FB 콘텐츠 data'!AR:AR,0)),"")</f>
        <v/>
      </c>
      <c r="C53" s="124" t="str">
        <f>IFERROR(INDEX('FB 콘텐츠 data'!$A$1:$AH$25,MATCH('FB 신규발행'!$A53,'FB 콘텐츠 data'!$AR:$AR,0),MATCH(C$2,'FB 콘텐츠 data'!$A$1:$AH$1,0)),"")</f>
        <v/>
      </c>
      <c r="D53" s="125" t="str">
        <f>IFERROR(INDEX('FB 콘텐츠 data'!$A$1:$AH$25,MATCH('FB 신규발행'!$A53,'FB 콘텐츠 data'!$AR:$AR,0),MATCH(D$2,'FB 콘텐츠 data'!$A$1:$AH$1,0)),"")</f>
        <v/>
      </c>
      <c r="E53" s="125" t="str">
        <f>IFERROR(INDEX('FB 콘텐츠 data'!$A$1:$AH$25,MATCH('FB 신규발행'!$A53,'FB 콘텐츠 data'!$AR:$AR,0),MATCH(E$2,'FB 콘텐츠 data'!$A$1:$AH$1,0)),"")</f>
        <v/>
      </c>
      <c r="F53" s="125" t="str">
        <f>IFERROR(INDEX('FB 콘텐츠 data'!$A$1:$AH$25,MATCH('FB 신규발행'!$A53,'FB 콘텐츠 data'!$AR:$AR,0),MATCH(F$2,'FB 콘텐츠 data'!$A$1:$AH$1,0)),"")</f>
        <v/>
      </c>
      <c r="G53" s="125" t="str">
        <f>IFERROR(INDEX('FB 콘텐츠 data'!$A$1:$AH$25,MATCH('FB 신규발행'!$A53,'FB 콘텐츠 data'!$AR:$AR,0),MATCH(G$2,'FB 콘텐츠 data'!$A$1:$AH$1,0)),"")</f>
        <v/>
      </c>
      <c r="H53" s="125" t="str">
        <f t="shared" si="5"/>
        <v/>
      </c>
      <c r="I53" s="125" t="str">
        <f>IFERROR(INDEX('FB 콘텐츠 data'!$A$1:$AH$25,MATCH('FB 신규발행'!$A53,'FB 콘텐츠 data'!$AR:$AR,0),MATCH(I$2,'FB 콘텐츠 data'!$A$1:$AH$1,0)),"")</f>
        <v/>
      </c>
      <c r="J53" s="125" t="str">
        <f>IFERROR(INDEX('FB 콘텐츠 data'!$A$1:$AH$25,MATCH('FB 신규발행'!$A53,'FB 콘텐츠 data'!$AR:$AR,0),MATCH(J$2,'FB 콘텐츠 data'!$A$1:$AH$1,0)),"")</f>
        <v/>
      </c>
      <c r="K53" s="124" t="str">
        <f>IFERROR(INDEX('FB 콘텐츠 data'!$A$1:$AR$25,MATCH('FB 신규발행'!$A53,'FB 콘텐츠 data'!$AR:$AR,0),MATCH(K$2,'FB 콘텐츠 data'!$A$1:$AR$1,0)),"")</f>
        <v/>
      </c>
      <c r="L53" s="125" t="str">
        <f>IFERROR(INDEX('FB 콘텐츠 data'!$A$1:$AH$25,MATCH('FB 신규발행'!$A53,'FB 콘텐츠 data'!$AR:$AR,0),MATCH(L$2,'FB 콘텐츠 data'!$A$1:$AH$1,0)),"")</f>
        <v/>
      </c>
      <c r="M53" s="125" t="str">
        <f>IFERROR(INDEX('FB 콘텐츠 data'!$A$1:$AH$25,MATCH('FB 신규발행'!$A53,'FB 콘텐츠 data'!$AR:$AR,0),MATCH(M$2,'FB 콘텐츠 data'!$A$1:$AH$1,0)),"")</f>
        <v/>
      </c>
      <c r="N53" s="125" t="str">
        <f>IFERROR(INDEX('FB 콘텐츠 data'!$A$1:$AH$25,MATCH('FB 신규발행'!$A53,'FB 콘텐츠 data'!$AR:$AR,0),MATCH(N$2,'FB 콘텐츠 data'!$A$1:$AH$1,0)),"")</f>
        <v/>
      </c>
      <c r="O53" s="125" t="str">
        <f>IFERROR(INDEX('FB 콘텐츠 data'!$A$1:$AH$25,MATCH('FB 신규발행'!$A53,'FB 콘텐츠 data'!$AR:$AR,0),MATCH(O$2,'FB 콘텐츠 data'!$A$1:$AH$1,0)),"")</f>
        <v/>
      </c>
      <c r="P53" s="125" t="str">
        <f>IFERROR(INDEX('FB 콘텐츠 data'!$A$1:$AH$25,MATCH('FB 신규발행'!$A53,'FB 콘텐츠 data'!$AR:$AR,0),MATCH(P$2,'FB 콘텐츠 data'!$A$1:$AH$1,0)),"")</f>
        <v/>
      </c>
      <c r="Q53" s="125" t="str">
        <f>IFERROR(INDEX('FB 콘텐츠 data'!$A$1:$AH$25,MATCH('FB 신규발행'!$A53,'FB 콘텐츠 data'!$AR:$AR,0),MATCH(Q$2,'FB 콘텐츠 data'!$A$1:$AH$1,0)),"")</f>
        <v/>
      </c>
      <c r="R53" s="126" t="str">
        <f t="shared" si="6"/>
        <v/>
      </c>
      <c r="T53" s="48" t="str">
        <f t="shared" si="7"/>
        <v/>
      </c>
      <c r="U53" s="48" t="str">
        <f t="shared" si="8"/>
        <v/>
      </c>
      <c r="Y53" s="112"/>
    </row>
    <row r="54" spans="1:25" ht="17.45" customHeight="1">
      <c r="A54" s="127">
        <v>52</v>
      </c>
      <c r="B54" s="123" t="str">
        <f>IFERROR(INDEX('FB 콘텐츠 data'!AQ:AQ,MATCH('FB 신규발행'!A54,'FB 콘텐츠 data'!AR:AR,0)),"")</f>
        <v/>
      </c>
      <c r="C54" s="124" t="str">
        <f>IFERROR(INDEX('FB 콘텐츠 data'!$A$1:$AH$25,MATCH('FB 신규발행'!$A54,'FB 콘텐츠 data'!$AR:$AR,0),MATCH(C$2,'FB 콘텐츠 data'!$A$1:$AH$1,0)),"")</f>
        <v/>
      </c>
      <c r="D54" s="125" t="str">
        <f>IFERROR(INDEX('FB 콘텐츠 data'!$A$1:$AH$25,MATCH('FB 신규발행'!$A54,'FB 콘텐츠 data'!$AR:$AR,0),MATCH(D$2,'FB 콘텐츠 data'!$A$1:$AH$1,0)),"")</f>
        <v/>
      </c>
      <c r="E54" s="125" t="str">
        <f>IFERROR(INDEX('FB 콘텐츠 data'!$A$1:$AH$25,MATCH('FB 신규발행'!$A54,'FB 콘텐츠 data'!$AR:$AR,0),MATCH(E$2,'FB 콘텐츠 data'!$A$1:$AH$1,0)),"")</f>
        <v/>
      </c>
      <c r="F54" s="125" t="str">
        <f>IFERROR(INDEX('FB 콘텐츠 data'!$A$1:$AH$25,MATCH('FB 신규발행'!$A54,'FB 콘텐츠 data'!$AR:$AR,0),MATCH(F$2,'FB 콘텐츠 data'!$A$1:$AH$1,0)),"")</f>
        <v/>
      </c>
      <c r="G54" s="125" t="str">
        <f>IFERROR(INDEX('FB 콘텐츠 data'!$A$1:$AH$25,MATCH('FB 신규발행'!$A54,'FB 콘텐츠 data'!$AR:$AR,0),MATCH(G$2,'FB 콘텐츠 data'!$A$1:$AH$1,0)),"")</f>
        <v/>
      </c>
      <c r="H54" s="125" t="str">
        <f t="shared" si="5"/>
        <v/>
      </c>
      <c r="I54" s="125" t="str">
        <f>IFERROR(INDEX('FB 콘텐츠 data'!$A$1:$AH$25,MATCH('FB 신규발행'!$A54,'FB 콘텐츠 data'!$AR:$AR,0),MATCH(I$2,'FB 콘텐츠 data'!$A$1:$AH$1,0)),"")</f>
        <v/>
      </c>
      <c r="J54" s="125" t="str">
        <f>IFERROR(INDEX('FB 콘텐츠 data'!$A$1:$AH$25,MATCH('FB 신규발행'!$A54,'FB 콘텐츠 data'!$AR:$AR,0),MATCH(J$2,'FB 콘텐츠 data'!$A$1:$AH$1,0)),"")</f>
        <v/>
      </c>
      <c r="K54" s="124" t="str">
        <f>IFERROR(INDEX('FB 콘텐츠 data'!$A$1:$AR$25,MATCH('FB 신규발행'!$A54,'FB 콘텐츠 data'!$AR:$AR,0),MATCH(K$2,'FB 콘텐츠 data'!$A$1:$AR$1,0)),"")</f>
        <v/>
      </c>
      <c r="L54" s="125" t="str">
        <f>IFERROR(INDEX('FB 콘텐츠 data'!$A$1:$AH$25,MATCH('FB 신규발행'!$A54,'FB 콘텐츠 data'!$AR:$AR,0),MATCH(L$2,'FB 콘텐츠 data'!$A$1:$AH$1,0)),"")</f>
        <v/>
      </c>
      <c r="M54" s="125" t="str">
        <f>IFERROR(INDEX('FB 콘텐츠 data'!$A$1:$AH$25,MATCH('FB 신규발행'!$A54,'FB 콘텐츠 data'!$AR:$AR,0),MATCH(M$2,'FB 콘텐츠 data'!$A$1:$AH$1,0)),"")</f>
        <v/>
      </c>
      <c r="N54" s="125" t="str">
        <f>IFERROR(INDEX('FB 콘텐츠 data'!$A$1:$AH$25,MATCH('FB 신규발행'!$A54,'FB 콘텐츠 data'!$AR:$AR,0),MATCH(N$2,'FB 콘텐츠 data'!$A$1:$AH$1,0)),"")</f>
        <v/>
      </c>
      <c r="O54" s="125" t="str">
        <f>IFERROR(INDEX('FB 콘텐츠 data'!$A$1:$AH$25,MATCH('FB 신규발행'!$A54,'FB 콘텐츠 data'!$AR:$AR,0),MATCH(O$2,'FB 콘텐츠 data'!$A$1:$AH$1,0)),"")</f>
        <v/>
      </c>
      <c r="P54" s="125" t="str">
        <f>IFERROR(INDEX('FB 콘텐츠 data'!$A$1:$AH$25,MATCH('FB 신규발행'!$A54,'FB 콘텐츠 data'!$AR:$AR,0),MATCH(P$2,'FB 콘텐츠 data'!$A$1:$AH$1,0)),"")</f>
        <v/>
      </c>
      <c r="Q54" s="125" t="str">
        <f>IFERROR(INDEX('FB 콘텐츠 data'!$A$1:$AH$25,MATCH('FB 신규발행'!$A54,'FB 콘텐츠 data'!$AR:$AR,0),MATCH(Q$2,'FB 콘텐츠 data'!$A$1:$AH$1,0)),"")</f>
        <v/>
      </c>
      <c r="R54" s="126" t="str">
        <f t="shared" si="6"/>
        <v/>
      </c>
      <c r="T54" s="48" t="str">
        <f t="shared" si="7"/>
        <v/>
      </c>
      <c r="U54" s="48" t="str">
        <f t="shared" si="8"/>
        <v/>
      </c>
      <c r="Y54" s="112"/>
    </row>
    <row r="55" spans="1:25" ht="17.45" customHeight="1">
      <c r="A55" s="127">
        <v>53</v>
      </c>
      <c r="B55" s="123" t="str">
        <f>IFERROR(INDEX('FB 콘텐츠 data'!AQ:AQ,MATCH('FB 신규발행'!A55,'FB 콘텐츠 data'!AR:AR,0)),"")</f>
        <v/>
      </c>
      <c r="C55" s="124" t="str">
        <f>IFERROR(INDEX('FB 콘텐츠 data'!$A$1:$AH$25,MATCH('FB 신규발행'!$A55,'FB 콘텐츠 data'!$AR:$AR,0),MATCH(C$2,'FB 콘텐츠 data'!$A$1:$AH$1,0)),"")</f>
        <v/>
      </c>
      <c r="D55" s="125" t="str">
        <f>IFERROR(INDEX('FB 콘텐츠 data'!$A$1:$AH$25,MATCH('FB 신규발행'!$A55,'FB 콘텐츠 data'!$AR:$AR,0),MATCH(D$2,'FB 콘텐츠 data'!$A$1:$AH$1,0)),"")</f>
        <v/>
      </c>
      <c r="E55" s="125" t="str">
        <f>IFERROR(INDEX('FB 콘텐츠 data'!$A$1:$AH$25,MATCH('FB 신규발행'!$A55,'FB 콘텐츠 data'!$AR:$AR,0),MATCH(E$2,'FB 콘텐츠 data'!$A$1:$AH$1,0)),"")</f>
        <v/>
      </c>
      <c r="F55" s="125" t="str">
        <f>IFERROR(INDEX('FB 콘텐츠 data'!$A$1:$AH$25,MATCH('FB 신규발행'!$A55,'FB 콘텐츠 data'!$AR:$AR,0),MATCH(F$2,'FB 콘텐츠 data'!$A$1:$AH$1,0)),"")</f>
        <v/>
      </c>
      <c r="G55" s="125" t="str">
        <f>IFERROR(INDEX('FB 콘텐츠 data'!$A$1:$AH$25,MATCH('FB 신규발행'!$A55,'FB 콘텐츠 data'!$AR:$AR,0),MATCH(G$2,'FB 콘텐츠 data'!$A$1:$AH$1,0)),"")</f>
        <v/>
      </c>
      <c r="H55" s="125" t="str">
        <f t="shared" si="5"/>
        <v/>
      </c>
      <c r="I55" s="125" t="str">
        <f>IFERROR(INDEX('FB 콘텐츠 data'!$A$1:$AH$25,MATCH('FB 신규발행'!$A55,'FB 콘텐츠 data'!$AR:$AR,0),MATCH(I$2,'FB 콘텐츠 data'!$A$1:$AH$1,0)),"")</f>
        <v/>
      </c>
      <c r="J55" s="125" t="str">
        <f>IFERROR(INDEX('FB 콘텐츠 data'!$A$1:$AH$25,MATCH('FB 신규발행'!$A55,'FB 콘텐츠 data'!$AR:$AR,0),MATCH(J$2,'FB 콘텐츠 data'!$A$1:$AH$1,0)),"")</f>
        <v/>
      </c>
      <c r="K55" s="124" t="str">
        <f>IFERROR(INDEX('FB 콘텐츠 data'!$A$1:$AR$25,MATCH('FB 신규발행'!$A55,'FB 콘텐츠 data'!$AR:$AR,0),MATCH(K$2,'FB 콘텐츠 data'!$A$1:$AR$1,0)),"")</f>
        <v/>
      </c>
      <c r="L55" s="125" t="str">
        <f>IFERROR(INDEX('FB 콘텐츠 data'!$A$1:$AH$25,MATCH('FB 신규발행'!$A55,'FB 콘텐츠 data'!$AR:$AR,0),MATCH(L$2,'FB 콘텐츠 data'!$A$1:$AH$1,0)),"")</f>
        <v/>
      </c>
      <c r="M55" s="125" t="str">
        <f>IFERROR(INDEX('FB 콘텐츠 data'!$A$1:$AH$25,MATCH('FB 신규발행'!$A55,'FB 콘텐츠 data'!$AR:$AR,0),MATCH(M$2,'FB 콘텐츠 data'!$A$1:$AH$1,0)),"")</f>
        <v/>
      </c>
      <c r="N55" s="125" t="str">
        <f>IFERROR(INDEX('FB 콘텐츠 data'!$A$1:$AH$25,MATCH('FB 신규발행'!$A55,'FB 콘텐츠 data'!$AR:$AR,0),MATCH(N$2,'FB 콘텐츠 data'!$A$1:$AH$1,0)),"")</f>
        <v/>
      </c>
      <c r="O55" s="125" t="str">
        <f>IFERROR(INDEX('FB 콘텐츠 data'!$A$1:$AH$25,MATCH('FB 신규발행'!$A55,'FB 콘텐츠 data'!$AR:$AR,0),MATCH(O$2,'FB 콘텐츠 data'!$A$1:$AH$1,0)),"")</f>
        <v/>
      </c>
      <c r="P55" s="125" t="str">
        <f>IFERROR(INDEX('FB 콘텐츠 data'!$A$1:$AH$25,MATCH('FB 신규발행'!$A55,'FB 콘텐츠 data'!$AR:$AR,0),MATCH(P$2,'FB 콘텐츠 data'!$A$1:$AH$1,0)),"")</f>
        <v/>
      </c>
      <c r="Q55" s="125" t="str">
        <f>IFERROR(INDEX('FB 콘텐츠 data'!$A$1:$AH$25,MATCH('FB 신규발행'!$A55,'FB 콘텐츠 data'!$AR:$AR,0),MATCH(Q$2,'FB 콘텐츠 data'!$A$1:$AH$1,0)),"")</f>
        <v/>
      </c>
      <c r="R55" s="126" t="str">
        <f t="shared" si="6"/>
        <v/>
      </c>
      <c r="T55" s="48" t="str">
        <f t="shared" si="7"/>
        <v/>
      </c>
      <c r="U55" s="48" t="str">
        <f t="shared" si="8"/>
        <v/>
      </c>
      <c r="Y55" s="112"/>
    </row>
    <row r="56" spans="1:25" ht="17.45" customHeight="1">
      <c r="A56" s="127">
        <v>54</v>
      </c>
      <c r="B56" s="123" t="str">
        <f>IFERROR(INDEX('FB 콘텐츠 data'!AQ:AQ,MATCH('FB 신규발행'!A56,'FB 콘텐츠 data'!AR:AR,0)),"")</f>
        <v/>
      </c>
      <c r="C56" s="124" t="str">
        <f>IFERROR(INDEX('FB 콘텐츠 data'!$A$1:$AH$25,MATCH('FB 신규발행'!$A56,'FB 콘텐츠 data'!$AR:$AR,0),MATCH(C$2,'FB 콘텐츠 data'!$A$1:$AH$1,0)),"")</f>
        <v/>
      </c>
      <c r="D56" s="125" t="str">
        <f>IFERROR(INDEX('FB 콘텐츠 data'!$A$1:$AH$25,MATCH('FB 신규발행'!$A56,'FB 콘텐츠 data'!$AR:$AR,0),MATCH(D$2,'FB 콘텐츠 data'!$A$1:$AH$1,0)),"")</f>
        <v/>
      </c>
      <c r="E56" s="125" t="str">
        <f>IFERROR(INDEX('FB 콘텐츠 data'!$A$1:$AH$25,MATCH('FB 신규발행'!$A56,'FB 콘텐츠 data'!$AR:$AR,0),MATCH(E$2,'FB 콘텐츠 data'!$A$1:$AH$1,0)),"")</f>
        <v/>
      </c>
      <c r="F56" s="125" t="str">
        <f>IFERROR(INDEX('FB 콘텐츠 data'!$A$1:$AH$25,MATCH('FB 신규발행'!$A56,'FB 콘텐츠 data'!$AR:$AR,0),MATCH(F$2,'FB 콘텐츠 data'!$A$1:$AH$1,0)),"")</f>
        <v/>
      </c>
      <c r="G56" s="125" t="str">
        <f>IFERROR(INDEX('FB 콘텐츠 data'!$A$1:$AH$25,MATCH('FB 신규발행'!$A56,'FB 콘텐츠 data'!$AR:$AR,0),MATCH(G$2,'FB 콘텐츠 data'!$A$1:$AH$1,0)),"")</f>
        <v/>
      </c>
      <c r="H56" s="125" t="str">
        <f t="shared" si="5"/>
        <v/>
      </c>
      <c r="I56" s="125" t="str">
        <f>IFERROR(INDEX('FB 콘텐츠 data'!$A$1:$AH$25,MATCH('FB 신규발행'!$A56,'FB 콘텐츠 data'!$AR:$AR,0),MATCH(I$2,'FB 콘텐츠 data'!$A$1:$AH$1,0)),"")</f>
        <v/>
      </c>
      <c r="J56" s="125" t="str">
        <f>IFERROR(INDEX('FB 콘텐츠 data'!$A$1:$AH$25,MATCH('FB 신규발행'!$A56,'FB 콘텐츠 data'!$AR:$AR,0),MATCH(J$2,'FB 콘텐츠 data'!$A$1:$AH$1,0)),"")</f>
        <v/>
      </c>
      <c r="K56" s="124" t="str">
        <f>IFERROR(INDEX('FB 콘텐츠 data'!$A$1:$AR$25,MATCH('FB 신규발행'!$A56,'FB 콘텐츠 data'!$AR:$AR,0),MATCH(K$2,'FB 콘텐츠 data'!$A$1:$AR$1,0)),"")</f>
        <v/>
      </c>
      <c r="L56" s="125" t="str">
        <f>IFERROR(INDEX('FB 콘텐츠 data'!$A$1:$AH$25,MATCH('FB 신규발행'!$A56,'FB 콘텐츠 data'!$AR:$AR,0),MATCH(L$2,'FB 콘텐츠 data'!$A$1:$AH$1,0)),"")</f>
        <v/>
      </c>
      <c r="M56" s="125" t="str">
        <f>IFERROR(INDEX('FB 콘텐츠 data'!$A$1:$AH$25,MATCH('FB 신규발행'!$A56,'FB 콘텐츠 data'!$AR:$AR,0),MATCH(M$2,'FB 콘텐츠 data'!$A$1:$AH$1,0)),"")</f>
        <v/>
      </c>
      <c r="N56" s="125" t="str">
        <f>IFERROR(INDEX('FB 콘텐츠 data'!$A$1:$AH$25,MATCH('FB 신규발행'!$A56,'FB 콘텐츠 data'!$AR:$AR,0),MATCH(N$2,'FB 콘텐츠 data'!$A$1:$AH$1,0)),"")</f>
        <v/>
      </c>
      <c r="O56" s="125" t="str">
        <f>IFERROR(INDEX('FB 콘텐츠 data'!$A$1:$AH$25,MATCH('FB 신규발행'!$A56,'FB 콘텐츠 data'!$AR:$AR,0),MATCH(O$2,'FB 콘텐츠 data'!$A$1:$AH$1,0)),"")</f>
        <v/>
      </c>
      <c r="P56" s="125" t="str">
        <f>IFERROR(INDEX('FB 콘텐츠 data'!$A$1:$AH$25,MATCH('FB 신규발행'!$A56,'FB 콘텐츠 data'!$AR:$AR,0),MATCH(P$2,'FB 콘텐츠 data'!$A$1:$AH$1,0)),"")</f>
        <v/>
      </c>
      <c r="Q56" s="125" t="str">
        <f>IFERROR(INDEX('FB 콘텐츠 data'!$A$1:$AH$25,MATCH('FB 신규발행'!$A56,'FB 콘텐츠 data'!$AR:$AR,0),MATCH(Q$2,'FB 콘텐츠 data'!$A$1:$AH$1,0)),"")</f>
        <v/>
      </c>
      <c r="R56" s="126" t="str">
        <f t="shared" si="6"/>
        <v/>
      </c>
      <c r="T56" s="48" t="str">
        <f t="shared" si="7"/>
        <v/>
      </c>
      <c r="U56" s="48" t="str">
        <f t="shared" si="8"/>
        <v/>
      </c>
      <c r="Y56" s="112"/>
    </row>
    <row r="57" spans="1:25" ht="17.45" customHeight="1">
      <c r="A57" s="127">
        <v>55</v>
      </c>
      <c r="B57" s="123" t="str">
        <f>IFERROR(INDEX('FB 콘텐츠 data'!AQ:AQ,MATCH('FB 신규발행'!A57,'FB 콘텐츠 data'!AR:AR,0)),"")</f>
        <v/>
      </c>
      <c r="C57" s="124" t="str">
        <f>IFERROR(INDEX('FB 콘텐츠 data'!$A$1:$AH$25,MATCH('FB 신규발행'!$A57,'FB 콘텐츠 data'!$AR:$AR,0),MATCH(C$2,'FB 콘텐츠 data'!$A$1:$AH$1,0)),"")</f>
        <v/>
      </c>
      <c r="D57" s="125" t="str">
        <f>IFERROR(INDEX('FB 콘텐츠 data'!$A$1:$AH$25,MATCH('FB 신규발행'!$A57,'FB 콘텐츠 data'!$AR:$AR,0),MATCH(D$2,'FB 콘텐츠 data'!$A$1:$AH$1,0)),"")</f>
        <v/>
      </c>
      <c r="E57" s="125" t="str">
        <f>IFERROR(INDEX('FB 콘텐츠 data'!$A$1:$AH$25,MATCH('FB 신규발행'!$A57,'FB 콘텐츠 data'!$AR:$AR,0),MATCH(E$2,'FB 콘텐츠 data'!$A$1:$AH$1,0)),"")</f>
        <v/>
      </c>
      <c r="F57" s="125" t="str">
        <f>IFERROR(INDEX('FB 콘텐츠 data'!$A$1:$AH$25,MATCH('FB 신규발행'!$A57,'FB 콘텐츠 data'!$AR:$AR,0),MATCH(F$2,'FB 콘텐츠 data'!$A$1:$AH$1,0)),"")</f>
        <v/>
      </c>
      <c r="G57" s="125" t="str">
        <f>IFERROR(INDEX('FB 콘텐츠 data'!$A$1:$AH$25,MATCH('FB 신규발행'!$A57,'FB 콘텐츠 data'!$AR:$AR,0),MATCH(G$2,'FB 콘텐츠 data'!$A$1:$AH$1,0)),"")</f>
        <v/>
      </c>
      <c r="H57" s="125" t="str">
        <f t="shared" si="5"/>
        <v/>
      </c>
      <c r="I57" s="125" t="str">
        <f>IFERROR(INDEX('FB 콘텐츠 data'!$A$1:$AH$25,MATCH('FB 신규발행'!$A57,'FB 콘텐츠 data'!$AR:$AR,0),MATCH(I$2,'FB 콘텐츠 data'!$A$1:$AH$1,0)),"")</f>
        <v/>
      </c>
      <c r="J57" s="125" t="str">
        <f>IFERROR(INDEX('FB 콘텐츠 data'!$A$1:$AH$25,MATCH('FB 신규발행'!$A57,'FB 콘텐츠 data'!$AR:$AR,0),MATCH(J$2,'FB 콘텐츠 data'!$A$1:$AH$1,0)),"")</f>
        <v/>
      </c>
      <c r="K57" s="124" t="str">
        <f>IFERROR(INDEX('FB 콘텐츠 data'!$A$1:$AR$25,MATCH('FB 신규발행'!$A57,'FB 콘텐츠 data'!$AR:$AR,0),MATCH(K$2,'FB 콘텐츠 data'!$A$1:$AR$1,0)),"")</f>
        <v/>
      </c>
      <c r="L57" s="125" t="str">
        <f>IFERROR(INDEX('FB 콘텐츠 data'!$A$1:$AH$25,MATCH('FB 신규발행'!$A57,'FB 콘텐츠 data'!$AR:$AR,0),MATCH(L$2,'FB 콘텐츠 data'!$A$1:$AH$1,0)),"")</f>
        <v/>
      </c>
      <c r="M57" s="125" t="str">
        <f>IFERROR(INDEX('FB 콘텐츠 data'!$A$1:$AH$25,MATCH('FB 신규발행'!$A57,'FB 콘텐츠 data'!$AR:$AR,0),MATCH(M$2,'FB 콘텐츠 data'!$A$1:$AH$1,0)),"")</f>
        <v/>
      </c>
      <c r="N57" s="125" t="str">
        <f>IFERROR(INDEX('FB 콘텐츠 data'!$A$1:$AH$25,MATCH('FB 신규발행'!$A57,'FB 콘텐츠 data'!$AR:$AR,0),MATCH(N$2,'FB 콘텐츠 data'!$A$1:$AH$1,0)),"")</f>
        <v/>
      </c>
      <c r="O57" s="125" t="str">
        <f>IFERROR(INDEX('FB 콘텐츠 data'!$A$1:$AH$25,MATCH('FB 신규발행'!$A57,'FB 콘텐츠 data'!$AR:$AR,0),MATCH(O$2,'FB 콘텐츠 data'!$A$1:$AH$1,0)),"")</f>
        <v/>
      </c>
      <c r="P57" s="125" t="str">
        <f>IFERROR(INDEX('FB 콘텐츠 data'!$A$1:$AH$25,MATCH('FB 신규발행'!$A57,'FB 콘텐츠 data'!$AR:$AR,0),MATCH(P$2,'FB 콘텐츠 data'!$A$1:$AH$1,0)),"")</f>
        <v/>
      </c>
      <c r="Q57" s="125" t="str">
        <f>IFERROR(INDEX('FB 콘텐츠 data'!$A$1:$AH$25,MATCH('FB 신규발행'!$A57,'FB 콘텐츠 data'!$AR:$AR,0),MATCH(Q$2,'FB 콘텐츠 data'!$A$1:$AH$1,0)),"")</f>
        <v/>
      </c>
      <c r="R57" s="126" t="str">
        <f t="shared" si="6"/>
        <v/>
      </c>
      <c r="T57" s="48" t="str">
        <f t="shared" si="7"/>
        <v/>
      </c>
      <c r="U57" s="48" t="str">
        <f t="shared" si="8"/>
        <v/>
      </c>
      <c r="Y57" s="112"/>
    </row>
    <row r="58" spans="1:25" ht="17.45" customHeight="1">
      <c r="A58" s="127">
        <v>56</v>
      </c>
      <c r="B58" s="123" t="str">
        <f>IFERROR(INDEX('FB 콘텐츠 data'!AQ:AQ,MATCH('FB 신규발행'!A58,'FB 콘텐츠 data'!AR:AR,0)),"")</f>
        <v/>
      </c>
      <c r="C58" s="124" t="str">
        <f>IFERROR(INDEX('FB 콘텐츠 data'!$A$1:$AH$25,MATCH('FB 신규발행'!$A58,'FB 콘텐츠 data'!$AR:$AR,0),MATCH(C$2,'FB 콘텐츠 data'!$A$1:$AH$1,0)),"")</f>
        <v/>
      </c>
      <c r="D58" s="125" t="str">
        <f>IFERROR(INDEX('FB 콘텐츠 data'!$A$1:$AH$25,MATCH('FB 신규발행'!$A58,'FB 콘텐츠 data'!$AR:$AR,0),MATCH(D$2,'FB 콘텐츠 data'!$A$1:$AH$1,0)),"")</f>
        <v/>
      </c>
      <c r="E58" s="125" t="str">
        <f>IFERROR(INDEX('FB 콘텐츠 data'!$A$1:$AH$25,MATCH('FB 신규발행'!$A58,'FB 콘텐츠 data'!$AR:$AR,0),MATCH(E$2,'FB 콘텐츠 data'!$A$1:$AH$1,0)),"")</f>
        <v/>
      </c>
      <c r="F58" s="125" t="str">
        <f>IFERROR(INDEX('FB 콘텐츠 data'!$A$1:$AH$25,MATCH('FB 신규발행'!$A58,'FB 콘텐츠 data'!$AR:$AR,0),MATCH(F$2,'FB 콘텐츠 data'!$A$1:$AH$1,0)),"")</f>
        <v/>
      </c>
      <c r="G58" s="125" t="str">
        <f>IFERROR(INDEX('FB 콘텐츠 data'!$A$1:$AH$25,MATCH('FB 신규발행'!$A58,'FB 콘텐츠 data'!$AR:$AR,0),MATCH(G$2,'FB 콘텐츠 data'!$A$1:$AH$1,0)),"")</f>
        <v/>
      </c>
      <c r="H58" s="125" t="str">
        <f t="shared" si="5"/>
        <v/>
      </c>
      <c r="I58" s="125" t="str">
        <f>IFERROR(INDEX('FB 콘텐츠 data'!$A$1:$AH$25,MATCH('FB 신규발행'!$A58,'FB 콘텐츠 data'!$AR:$AR,0),MATCH(I$2,'FB 콘텐츠 data'!$A$1:$AH$1,0)),"")</f>
        <v/>
      </c>
      <c r="J58" s="125" t="str">
        <f>IFERROR(INDEX('FB 콘텐츠 data'!$A$1:$AH$25,MATCH('FB 신규발행'!$A58,'FB 콘텐츠 data'!$AR:$AR,0),MATCH(J$2,'FB 콘텐츠 data'!$A$1:$AH$1,0)),"")</f>
        <v/>
      </c>
      <c r="K58" s="124" t="str">
        <f>IFERROR(INDEX('FB 콘텐츠 data'!$A$1:$AR$25,MATCH('FB 신규발행'!$A58,'FB 콘텐츠 data'!$AR:$AR,0),MATCH(K$2,'FB 콘텐츠 data'!$A$1:$AR$1,0)),"")</f>
        <v/>
      </c>
      <c r="L58" s="125" t="str">
        <f>IFERROR(INDEX('FB 콘텐츠 data'!$A$1:$AH$25,MATCH('FB 신규발행'!$A58,'FB 콘텐츠 data'!$AR:$AR,0),MATCH(L$2,'FB 콘텐츠 data'!$A$1:$AH$1,0)),"")</f>
        <v/>
      </c>
      <c r="M58" s="125" t="str">
        <f>IFERROR(INDEX('FB 콘텐츠 data'!$A$1:$AH$25,MATCH('FB 신규발행'!$A58,'FB 콘텐츠 data'!$AR:$AR,0),MATCH(M$2,'FB 콘텐츠 data'!$A$1:$AH$1,0)),"")</f>
        <v/>
      </c>
      <c r="N58" s="125" t="str">
        <f>IFERROR(INDEX('FB 콘텐츠 data'!$A$1:$AH$25,MATCH('FB 신규발행'!$A58,'FB 콘텐츠 data'!$AR:$AR,0),MATCH(N$2,'FB 콘텐츠 data'!$A$1:$AH$1,0)),"")</f>
        <v/>
      </c>
      <c r="O58" s="125" t="str">
        <f>IFERROR(INDEX('FB 콘텐츠 data'!$A$1:$AH$25,MATCH('FB 신규발행'!$A58,'FB 콘텐츠 data'!$AR:$AR,0),MATCH(O$2,'FB 콘텐츠 data'!$A$1:$AH$1,0)),"")</f>
        <v/>
      </c>
      <c r="P58" s="125" t="str">
        <f>IFERROR(INDEX('FB 콘텐츠 data'!$A$1:$AH$25,MATCH('FB 신규발행'!$A58,'FB 콘텐츠 data'!$AR:$AR,0),MATCH(P$2,'FB 콘텐츠 data'!$A$1:$AH$1,0)),"")</f>
        <v/>
      </c>
      <c r="Q58" s="125" t="str">
        <f>IFERROR(INDEX('FB 콘텐츠 data'!$A$1:$AH$25,MATCH('FB 신규발행'!$A58,'FB 콘텐츠 data'!$AR:$AR,0),MATCH(Q$2,'FB 콘텐츠 data'!$A$1:$AH$1,0)),"")</f>
        <v/>
      </c>
      <c r="R58" s="126" t="str">
        <f t="shared" si="6"/>
        <v/>
      </c>
      <c r="T58" s="48" t="str">
        <f t="shared" si="7"/>
        <v/>
      </c>
      <c r="U58" s="48" t="str">
        <f t="shared" si="8"/>
        <v/>
      </c>
      <c r="Y58" s="112"/>
    </row>
    <row r="59" spans="1:25" ht="17.45" customHeight="1">
      <c r="A59" s="127">
        <v>57</v>
      </c>
      <c r="B59" s="123" t="str">
        <f>IFERROR(INDEX('FB 콘텐츠 data'!AQ:AQ,MATCH('FB 신규발행'!A59,'FB 콘텐츠 data'!AR:AR,0)),"")</f>
        <v/>
      </c>
      <c r="C59" s="124" t="str">
        <f>IFERROR(INDEX('FB 콘텐츠 data'!$A$1:$AH$25,MATCH('FB 신규발행'!$A59,'FB 콘텐츠 data'!$AR:$AR,0),MATCH(C$2,'FB 콘텐츠 data'!$A$1:$AH$1,0)),"")</f>
        <v/>
      </c>
      <c r="D59" s="125" t="str">
        <f>IFERROR(INDEX('FB 콘텐츠 data'!$A$1:$AH$25,MATCH('FB 신규발행'!$A59,'FB 콘텐츠 data'!$AR:$AR,0),MATCH(D$2,'FB 콘텐츠 data'!$A$1:$AH$1,0)),"")</f>
        <v/>
      </c>
      <c r="E59" s="125" t="str">
        <f>IFERROR(INDEX('FB 콘텐츠 data'!$A$1:$AH$25,MATCH('FB 신규발행'!$A59,'FB 콘텐츠 data'!$AR:$AR,0),MATCH(E$2,'FB 콘텐츠 data'!$A$1:$AH$1,0)),"")</f>
        <v/>
      </c>
      <c r="F59" s="125" t="str">
        <f>IFERROR(INDEX('FB 콘텐츠 data'!$A$1:$AH$25,MATCH('FB 신규발행'!$A59,'FB 콘텐츠 data'!$AR:$AR,0),MATCH(F$2,'FB 콘텐츠 data'!$A$1:$AH$1,0)),"")</f>
        <v/>
      </c>
      <c r="G59" s="125" t="str">
        <f>IFERROR(INDEX('FB 콘텐츠 data'!$A$1:$AH$25,MATCH('FB 신규발행'!$A59,'FB 콘텐츠 data'!$AR:$AR,0),MATCH(G$2,'FB 콘텐츠 data'!$A$1:$AH$1,0)),"")</f>
        <v/>
      </c>
      <c r="H59" s="125" t="str">
        <f t="shared" si="5"/>
        <v/>
      </c>
      <c r="I59" s="125" t="str">
        <f>IFERROR(INDEX('FB 콘텐츠 data'!$A$1:$AH$25,MATCH('FB 신규발행'!$A59,'FB 콘텐츠 data'!$AR:$AR,0),MATCH(I$2,'FB 콘텐츠 data'!$A$1:$AH$1,0)),"")</f>
        <v/>
      </c>
      <c r="J59" s="125" t="str">
        <f>IFERROR(INDEX('FB 콘텐츠 data'!$A$1:$AH$25,MATCH('FB 신규발행'!$A59,'FB 콘텐츠 data'!$AR:$AR,0),MATCH(J$2,'FB 콘텐츠 data'!$A$1:$AH$1,0)),"")</f>
        <v/>
      </c>
      <c r="K59" s="124" t="str">
        <f>IFERROR(INDEX('FB 콘텐츠 data'!$A$1:$AR$25,MATCH('FB 신규발행'!$A59,'FB 콘텐츠 data'!$AR:$AR,0),MATCH(K$2,'FB 콘텐츠 data'!$A$1:$AR$1,0)),"")</f>
        <v/>
      </c>
      <c r="L59" s="125" t="str">
        <f>IFERROR(INDEX('FB 콘텐츠 data'!$A$1:$AH$25,MATCH('FB 신규발행'!$A59,'FB 콘텐츠 data'!$AR:$AR,0),MATCH(L$2,'FB 콘텐츠 data'!$A$1:$AH$1,0)),"")</f>
        <v/>
      </c>
      <c r="M59" s="125" t="str">
        <f>IFERROR(INDEX('FB 콘텐츠 data'!$A$1:$AH$25,MATCH('FB 신규발행'!$A59,'FB 콘텐츠 data'!$AR:$AR,0),MATCH(M$2,'FB 콘텐츠 data'!$A$1:$AH$1,0)),"")</f>
        <v/>
      </c>
      <c r="N59" s="125" t="str">
        <f>IFERROR(INDEX('FB 콘텐츠 data'!$A$1:$AH$25,MATCH('FB 신규발행'!$A59,'FB 콘텐츠 data'!$AR:$AR,0),MATCH(N$2,'FB 콘텐츠 data'!$A$1:$AH$1,0)),"")</f>
        <v/>
      </c>
      <c r="O59" s="125" t="str">
        <f>IFERROR(INDEX('FB 콘텐츠 data'!$A$1:$AH$25,MATCH('FB 신규발행'!$A59,'FB 콘텐츠 data'!$AR:$AR,0),MATCH(O$2,'FB 콘텐츠 data'!$A$1:$AH$1,0)),"")</f>
        <v/>
      </c>
      <c r="P59" s="125" t="str">
        <f>IFERROR(INDEX('FB 콘텐츠 data'!$A$1:$AH$25,MATCH('FB 신규발행'!$A59,'FB 콘텐츠 data'!$AR:$AR,0),MATCH(P$2,'FB 콘텐츠 data'!$A$1:$AH$1,0)),"")</f>
        <v/>
      </c>
      <c r="Q59" s="125" t="str">
        <f>IFERROR(INDEX('FB 콘텐츠 data'!$A$1:$AH$25,MATCH('FB 신규발행'!$A59,'FB 콘텐츠 data'!$AR:$AR,0),MATCH(Q$2,'FB 콘텐츠 data'!$A$1:$AH$1,0)),"")</f>
        <v/>
      </c>
      <c r="R59" s="126" t="str">
        <f t="shared" si="6"/>
        <v/>
      </c>
      <c r="T59" s="48" t="str">
        <f t="shared" si="7"/>
        <v/>
      </c>
      <c r="U59" s="48" t="str">
        <f t="shared" si="8"/>
        <v/>
      </c>
      <c r="Y59" s="112"/>
    </row>
    <row r="60" spans="1:25" ht="17.45" customHeight="1">
      <c r="A60" s="127">
        <v>58</v>
      </c>
      <c r="B60" s="123" t="str">
        <f>IFERROR(INDEX('FB 콘텐츠 data'!AQ:AQ,MATCH('FB 신규발행'!A60,'FB 콘텐츠 data'!AR:AR,0)),"")</f>
        <v/>
      </c>
      <c r="C60" s="124" t="str">
        <f>IFERROR(INDEX('FB 콘텐츠 data'!$A$1:$AH$25,MATCH('FB 신규발행'!$A60,'FB 콘텐츠 data'!$AR:$AR,0),MATCH(C$2,'FB 콘텐츠 data'!$A$1:$AH$1,0)),"")</f>
        <v/>
      </c>
      <c r="D60" s="125" t="str">
        <f>IFERROR(INDEX('FB 콘텐츠 data'!$A$1:$AH$25,MATCH('FB 신규발행'!$A60,'FB 콘텐츠 data'!$AR:$AR,0),MATCH(D$2,'FB 콘텐츠 data'!$A$1:$AH$1,0)),"")</f>
        <v/>
      </c>
      <c r="E60" s="125" t="str">
        <f>IFERROR(INDEX('FB 콘텐츠 data'!$A$1:$AH$25,MATCH('FB 신규발행'!$A60,'FB 콘텐츠 data'!$AR:$AR,0),MATCH(E$2,'FB 콘텐츠 data'!$A$1:$AH$1,0)),"")</f>
        <v/>
      </c>
      <c r="F60" s="125" t="str">
        <f>IFERROR(INDEX('FB 콘텐츠 data'!$A$1:$AH$25,MATCH('FB 신규발행'!$A60,'FB 콘텐츠 data'!$AR:$AR,0),MATCH(F$2,'FB 콘텐츠 data'!$A$1:$AH$1,0)),"")</f>
        <v/>
      </c>
      <c r="G60" s="125" t="str">
        <f>IFERROR(INDEX('FB 콘텐츠 data'!$A$1:$AH$25,MATCH('FB 신규발행'!$A60,'FB 콘텐츠 data'!$AR:$AR,0),MATCH(G$2,'FB 콘텐츠 data'!$A$1:$AH$1,0)),"")</f>
        <v/>
      </c>
      <c r="H60" s="125" t="str">
        <f t="shared" si="5"/>
        <v/>
      </c>
      <c r="I60" s="125" t="str">
        <f>IFERROR(INDEX('FB 콘텐츠 data'!$A$1:$AH$25,MATCH('FB 신규발행'!$A60,'FB 콘텐츠 data'!$AR:$AR,0),MATCH(I$2,'FB 콘텐츠 data'!$A$1:$AH$1,0)),"")</f>
        <v/>
      </c>
      <c r="J60" s="125" t="str">
        <f>IFERROR(INDEX('FB 콘텐츠 data'!$A$1:$AH$25,MATCH('FB 신규발행'!$A60,'FB 콘텐츠 data'!$AR:$AR,0),MATCH(J$2,'FB 콘텐츠 data'!$A$1:$AH$1,0)),"")</f>
        <v/>
      </c>
      <c r="K60" s="124" t="str">
        <f>IFERROR(INDEX('FB 콘텐츠 data'!$A$1:$AR$25,MATCH('FB 신규발행'!$A60,'FB 콘텐츠 data'!$AR:$AR,0),MATCH(K$2,'FB 콘텐츠 data'!$A$1:$AR$1,0)),"")</f>
        <v/>
      </c>
      <c r="L60" s="125" t="str">
        <f>IFERROR(INDEX('FB 콘텐츠 data'!$A$1:$AH$25,MATCH('FB 신규발행'!$A60,'FB 콘텐츠 data'!$AR:$AR,0),MATCH(L$2,'FB 콘텐츠 data'!$A$1:$AH$1,0)),"")</f>
        <v/>
      </c>
      <c r="M60" s="125" t="str">
        <f>IFERROR(INDEX('FB 콘텐츠 data'!$A$1:$AH$25,MATCH('FB 신규발행'!$A60,'FB 콘텐츠 data'!$AR:$AR,0),MATCH(M$2,'FB 콘텐츠 data'!$A$1:$AH$1,0)),"")</f>
        <v/>
      </c>
      <c r="N60" s="125" t="str">
        <f>IFERROR(INDEX('FB 콘텐츠 data'!$A$1:$AH$25,MATCH('FB 신규발행'!$A60,'FB 콘텐츠 data'!$AR:$AR,0),MATCH(N$2,'FB 콘텐츠 data'!$A$1:$AH$1,0)),"")</f>
        <v/>
      </c>
      <c r="O60" s="125" t="str">
        <f>IFERROR(INDEX('FB 콘텐츠 data'!$A$1:$AH$25,MATCH('FB 신규발행'!$A60,'FB 콘텐츠 data'!$AR:$AR,0),MATCH(O$2,'FB 콘텐츠 data'!$A$1:$AH$1,0)),"")</f>
        <v/>
      </c>
      <c r="P60" s="125" t="str">
        <f>IFERROR(INDEX('FB 콘텐츠 data'!$A$1:$AH$25,MATCH('FB 신규발행'!$A60,'FB 콘텐츠 data'!$AR:$AR,0),MATCH(P$2,'FB 콘텐츠 data'!$A$1:$AH$1,0)),"")</f>
        <v/>
      </c>
      <c r="Q60" s="125" t="str">
        <f>IFERROR(INDEX('FB 콘텐츠 data'!$A$1:$AH$25,MATCH('FB 신규발행'!$A60,'FB 콘텐츠 data'!$AR:$AR,0),MATCH(Q$2,'FB 콘텐츠 data'!$A$1:$AH$1,0)),"")</f>
        <v/>
      </c>
      <c r="R60" s="126" t="str">
        <f t="shared" si="6"/>
        <v/>
      </c>
      <c r="T60" s="48" t="str">
        <f t="shared" si="7"/>
        <v/>
      </c>
      <c r="U60" s="48" t="str">
        <f t="shared" si="8"/>
        <v/>
      </c>
      <c r="Y60" s="112"/>
    </row>
    <row r="61" spans="1:25" ht="17.45" customHeight="1">
      <c r="A61" s="127">
        <v>59</v>
      </c>
      <c r="B61" s="123" t="str">
        <f>IFERROR(INDEX('FB 콘텐츠 data'!AQ:AQ,MATCH('FB 신규발행'!A61,'FB 콘텐츠 data'!AR:AR,0)),"")</f>
        <v/>
      </c>
      <c r="C61" s="124" t="str">
        <f>IFERROR(INDEX('FB 콘텐츠 data'!$A$1:$AH$25,MATCH('FB 신규발행'!$A61,'FB 콘텐츠 data'!$AR:$AR,0),MATCH(C$2,'FB 콘텐츠 data'!$A$1:$AH$1,0)),"")</f>
        <v/>
      </c>
      <c r="D61" s="125" t="str">
        <f>IFERROR(INDEX('FB 콘텐츠 data'!$A$1:$AH$25,MATCH('FB 신규발행'!$A61,'FB 콘텐츠 data'!$AR:$AR,0),MATCH(D$2,'FB 콘텐츠 data'!$A$1:$AH$1,0)),"")</f>
        <v/>
      </c>
      <c r="E61" s="125" t="str">
        <f>IFERROR(INDEX('FB 콘텐츠 data'!$A$1:$AH$25,MATCH('FB 신규발행'!$A61,'FB 콘텐츠 data'!$AR:$AR,0),MATCH(E$2,'FB 콘텐츠 data'!$A$1:$AH$1,0)),"")</f>
        <v/>
      </c>
      <c r="F61" s="125" t="str">
        <f>IFERROR(INDEX('FB 콘텐츠 data'!$A$1:$AH$25,MATCH('FB 신규발행'!$A61,'FB 콘텐츠 data'!$AR:$AR,0),MATCH(F$2,'FB 콘텐츠 data'!$A$1:$AH$1,0)),"")</f>
        <v/>
      </c>
      <c r="G61" s="125" t="str">
        <f>IFERROR(INDEX('FB 콘텐츠 data'!$A$1:$AH$25,MATCH('FB 신규발행'!$A61,'FB 콘텐츠 data'!$AR:$AR,0),MATCH(G$2,'FB 콘텐츠 data'!$A$1:$AH$1,0)),"")</f>
        <v/>
      </c>
      <c r="H61" s="125" t="str">
        <f t="shared" si="5"/>
        <v/>
      </c>
      <c r="I61" s="125" t="str">
        <f>IFERROR(INDEX('FB 콘텐츠 data'!$A$1:$AH$25,MATCH('FB 신규발행'!$A61,'FB 콘텐츠 data'!$AR:$AR,0),MATCH(I$2,'FB 콘텐츠 data'!$A$1:$AH$1,0)),"")</f>
        <v/>
      </c>
      <c r="J61" s="125" t="str">
        <f>IFERROR(INDEX('FB 콘텐츠 data'!$A$1:$AH$25,MATCH('FB 신규발행'!$A61,'FB 콘텐츠 data'!$AR:$AR,0),MATCH(J$2,'FB 콘텐츠 data'!$A$1:$AH$1,0)),"")</f>
        <v/>
      </c>
      <c r="K61" s="124" t="str">
        <f>IFERROR(INDEX('FB 콘텐츠 data'!$A$1:$AR$25,MATCH('FB 신규발행'!$A61,'FB 콘텐츠 data'!$AR:$AR,0),MATCH(K$2,'FB 콘텐츠 data'!$A$1:$AR$1,0)),"")</f>
        <v/>
      </c>
      <c r="L61" s="125" t="str">
        <f>IFERROR(INDEX('FB 콘텐츠 data'!$A$1:$AH$25,MATCH('FB 신규발행'!$A61,'FB 콘텐츠 data'!$AR:$AR,0),MATCH(L$2,'FB 콘텐츠 data'!$A$1:$AH$1,0)),"")</f>
        <v/>
      </c>
      <c r="M61" s="125" t="str">
        <f>IFERROR(INDEX('FB 콘텐츠 data'!$A$1:$AH$25,MATCH('FB 신규발행'!$A61,'FB 콘텐츠 data'!$AR:$AR,0),MATCH(M$2,'FB 콘텐츠 data'!$A$1:$AH$1,0)),"")</f>
        <v/>
      </c>
      <c r="N61" s="125" t="str">
        <f>IFERROR(INDEX('FB 콘텐츠 data'!$A$1:$AH$25,MATCH('FB 신규발행'!$A61,'FB 콘텐츠 data'!$AR:$AR,0),MATCH(N$2,'FB 콘텐츠 data'!$A$1:$AH$1,0)),"")</f>
        <v/>
      </c>
      <c r="O61" s="125" t="str">
        <f>IFERROR(INDEX('FB 콘텐츠 data'!$A$1:$AH$25,MATCH('FB 신규발행'!$A61,'FB 콘텐츠 data'!$AR:$AR,0),MATCH(O$2,'FB 콘텐츠 data'!$A$1:$AH$1,0)),"")</f>
        <v/>
      </c>
      <c r="P61" s="125" t="str">
        <f>IFERROR(INDEX('FB 콘텐츠 data'!$A$1:$AH$25,MATCH('FB 신규발행'!$A61,'FB 콘텐츠 data'!$AR:$AR,0),MATCH(P$2,'FB 콘텐츠 data'!$A$1:$AH$1,0)),"")</f>
        <v/>
      </c>
      <c r="Q61" s="125" t="str">
        <f>IFERROR(INDEX('FB 콘텐츠 data'!$A$1:$AH$25,MATCH('FB 신규발행'!$A61,'FB 콘텐츠 data'!$AR:$AR,0),MATCH(Q$2,'FB 콘텐츠 data'!$A$1:$AH$1,0)),"")</f>
        <v/>
      </c>
      <c r="R61" s="126" t="str">
        <f t="shared" si="6"/>
        <v/>
      </c>
      <c r="T61" s="48" t="str">
        <f t="shared" si="7"/>
        <v/>
      </c>
      <c r="U61" s="48" t="str">
        <f t="shared" si="8"/>
        <v/>
      </c>
      <c r="Y61" s="112"/>
    </row>
    <row r="62" spans="1:25" ht="17.45" customHeight="1">
      <c r="A62" s="127">
        <v>60</v>
      </c>
      <c r="B62" s="123" t="str">
        <f>IFERROR(INDEX('FB 콘텐츠 data'!AQ:AQ,MATCH('FB 신규발행'!A62,'FB 콘텐츠 data'!AR:AR,0)),"")</f>
        <v/>
      </c>
      <c r="C62" s="124" t="str">
        <f>IFERROR(INDEX('FB 콘텐츠 data'!$A$1:$AH$25,MATCH('FB 신규발행'!$A62,'FB 콘텐츠 data'!$AR:$AR,0),MATCH(C$2,'FB 콘텐츠 data'!$A$1:$AH$1,0)),"")</f>
        <v/>
      </c>
      <c r="D62" s="125" t="str">
        <f>IFERROR(INDEX('FB 콘텐츠 data'!$A$1:$AH$25,MATCH('FB 신규발행'!$A62,'FB 콘텐츠 data'!$AR:$AR,0),MATCH(D$2,'FB 콘텐츠 data'!$A$1:$AH$1,0)),"")</f>
        <v/>
      </c>
      <c r="E62" s="125" t="str">
        <f>IFERROR(INDEX('FB 콘텐츠 data'!$A$1:$AH$25,MATCH('FB 신규발행'!$A62,'FB 콘텐츠 data'!$AR:$AR,0),MATCH(E$2,'FB 콘텐츠 data'!$A$1:$AH$1,0)),"")</f>
        <v/>
      </c>
      <c r="F62" s="125" t="str">
        <f>IFERROR(INDEX('FB 콘텐츠 data'!$A$1:$AH$25,MATCH('FB 신규발행'!$A62,'FB 콘텐츠 data'!$AR:$AR,0),MATCH(F$2,'FB 콘텐츠 data'!$A$1:$AH$1,0)),"")</f>
        <v/>
      </c>
      <c r="G62" s="125" t="str">
        <f>IFERROR(INDEX('FB 콘텐츠 data'!$A$1:$AH$25,MATCH('FB 신규발행'!$A62,'FB 콘텐츠 data'!$AR:$AR,0),MATCH(G$2,'FB 콘텐츠 data'!$A$1:$AH$1,0)),"")</f>
        <v/>
      </c>
      <c r="H62" s="125" t="str">
        <f t="shared" si="5"/>
        <v/>
      </c>
      <c r="I62" s="125" t="str">
        <f>IFERROR(INDEX('FB 콘텐츠 data'!$A$1:$AH$25,MATCH('FB 신규발행'!$A62,'FB 콘텐츠 data'!$AR:$AR,0),MATCH(I$2,'FB 콘텐츠 data'!$A$1:$AH$1,0)),"")</f>
        <v/>
      </c>
      <c r="J62" s="125" t="str">
        <f>IFERROR(INDEX('FB 콘텐츠 data'!$A$1:$AH$25,MATCH('FB 신규발행'!$A62,'FB 콘텐츠 data'!$AR:$AR,0),MATCH(J$2,'FB 콘텐츠 data'!$A$1:$AH$1,0)),"")</f>
        <v/>
      </c>
      <c r="K62" s="124" t="str">
        <f>IFERROR(INDEX('FB 콘텐츠 data'!$A$1:$AR$25,MATCH('FB 신규발행'!$A62,'FB 콘텐츠 data'!$AR:$AR,0),MATCH(K$2,'FB 콘텐츠 data'!$A$1:$AR$1,0)),"")</f>
        <v/>
      </c>
      <c r="L62" s="125" t="str">
        <f>IFERROR(INDEX('FB 콘텐츠 data'!$A$1:$AH$25,MATCH('FB 신규발행'!$A62,'FB 콘텐츠 data'!$AR:$AR,0),MATCH(L$2,'FB 콘텐츠 data'!$A$1:$AH$1,0)),"")</f>
        <v/>
      </c>
      <c r="M62" s="125" t="str">
        <f>IFERROR(INDEX('FB 콘텐츠 data'!$A$1:$AH$25,MATCH('FB 신규발행'!$A62,'FB 콘텐츠 data'!$AR:$AR,0),MATCH(M$2,'FB 콘텐츠 data'!$A$1:$AH$1,0)),"")</f>
        <v/>
      </c>
      <c r="N62" s="125" t="str">
        <f>IFERROR(INDEX('FB 콘텐츠 data'!$A$1:$AH$25,MATCH('FB 신규발행'!$A62,'FB 콘텐츠 data'!$AR:$AR,0),MATCH(N$2,'FB 콘텐츠 data'!$A$1:$AH$1,0)),"")</f>
        <v/>
      </c>
      <c r="O62" s="125" t="str">
        <f>IFERROR(INDEX('FB 콘텐츠 data'!$A$1:$AH$25,MATCH('FB 신규발행'!$A62,'FB 콘텐츠 data'!$AR:$AR,0),MATCH(O$2,'FB 콘텐츠 data'!$A$1:$AH$1,0)),"")</f>
        <v/>
      </c>
      <c r="P62" s="125" t="str">
        <f>IFERROR(INDEX('FB 콘텐츠 data'!$A$1:$AH$25,MATCH('FB 신규발행'!$A62,'FB 콘텐츠 data'!$AR:$AR,0),MATCH(P$2,'FB 콘텐츠 data'!$A$1:$AH$1,0)),"")</f>
        <v/>
      </c>
      <c r="Q62" s="125" t="str">
        <f>IFERROR(INDEX('FB 콘텐츠 data'!$A$1:$AH$25,MATCH('FB 신규발행'!$A62,'FB 콘텐츠 data'!$AR:$AR,0),MATCH(Q$2,'FB 콘텐츠 data'!$A$1:$AH$1,0)),"")</f>
        <v/>
      </c>
      <c r="R62" s="126" t="str">
        <f t="shared" si="6"/>
        <v/>
      </c>
      <c r="T62" s="48" t="str">
        <f t="shared" si="7"/>
        <v/>
      </c>
      <c r="U62" s="48" t="str">
        <f t="shared" si="8"/>
        <v/>
      </c>
      <c r="Y62" s="112"/>
    </row>
    <row r="63" spans="1:25" ht="17.45" customHeight="1">
      <c r="A63" s="127">
        <v>61</v>
      </c>
      <c r="B63" s="123" t="str">
        <f>IFERROR(INDEX('FB 콘텐츠 data'!AQ:AQ,MATCH('FB 신규발행'!A63,'FB 콘텐츠 data'!AR:AR,0)),"")</f>
        <v/>
      </c>
      <c r="C63" s="124" t="str">
        <f>IFERROR(INDEX('FB 콘텐츠 data'!$A$1:$AH$25,MATCH('FB 신규발행'!$A63,'FB 콘텐츠 data'!$AR:$AR,0),MATCH(C$2,'FB 콘텐츠 data'!$A$1:$AH$1,0)),"")</f>
        <v/>
      </c>
      <c r="D63" s="125" t="str">
        <f>IFERROR(INDEX('FB 콘텐츠 data'!$A$1:$AH$25,MATCH('FB 신규발행'!$A63,'FB 콘텐츠 data'!$AR:$AR,0),MATCH(D$2,'FB 콘텐츠 data'!$A$1:$AH$1,0)),"")</f>
        <v/>
      </c>
      <c r="E63" s="125" t="str">
        <f>IFERROR(INDEX('FB 콘텐츠 data'!$A$1:$AH$25,MATCH('FB 신규발행'!$A63,'FB 콘텐츠 data'!$AR:$AR,0),MATCH(E$2,'FB 콘텐츠 data'!$A$1:$AH$1,0)),"")</f>
        <v/>
      </c>
      <c r="F63" s="125" t="str">
        <f>IFERROR(INDEX('FB 콘텐츠 data'!$A$1:$AH$25,MATCH('FB 신규발행'!$A63,'FB 콘텐츠 data'!$AR:$AR,0),MATCH(F$2,'FB 콘텐츠 data'!$A$1:$AH$1,0)),"")</f>
        <v/>
      </c>
      <c r="G63" s="125" t="str">
        <f>IFERROR(INDEX('FB 콘텐츠 data'!$A$1:$AH$25,MATCH('FB 신규발행'!$A63,'FB 콘텐츠 data'!$AR:$AR,0),MATCH(G$2,'FB 콘텐츠 data'!$A$1:$AH$1,0)),"")</f>
        <v/>
      </c>
      <c r="H63" s="125" t="str">
        <f t="shared" si="5"/>
        <v/>
      </c>
      <c r="I63" s="125" t="str">
        <f>IFERROR(INDEX('FB 콘텐츠 data'!$A$1:$AH$25,MATCH('FB 신규발행'!$A63,'FB 콘텐츠 data'!$AR:$AR,0),MATCH(I$2,'FB 콘텐츠 data'!$A$1:$AH$1,0)),"")</f>
        <v/>
      </c>
      <c r="J63" s="125" t="str">
        <f>IFERROR(INDEX('FB 콘텐츠 data'!$A$1:$AH$25,MATCH('FB 신규발행'!$A63,'FB 콘텐츠 data'!$AR:$AR,0),MATCH(J$2,'FB 콘텐츠 data'!$A$1:$AH$1,0)),"")</f>
        <v/>
      </c>
      <c r="K63" s="124" t="str">
        <f>IFERROR(INDEX('FB 콘텐츠 data'!$A$1:$AR$25,MATCH('FB 신규발행'!$A63,'FB 콘텐츠 data'!$AR:$AR,0),MATCH(K$2,'FB 콘텐츠 data'!$A$1:$AR$1,0)),"")</f>
        <v/>
      </c>
      <c r="L63" s="125" t="str">
        <f>IFERROR(INDEX('FB 콘텐츠 data'!$A$1:$AH$25,MATCH('FB 신규발행'!$A63,'FB 콘텐츠 data'!$AR:$AR,0),MATCH(L$2,'FB 콘텐츠 data'!$A$1:$AH$1,0)),"")</f>
        <v/>
      </c>
      <c r="M63" s="125" t="str">
        <f>IFERROR(INDEX('FB 콘텐츠 data'!$A$1:$AH$25,MATCH('FB 신규발행'!$A63,'FB 콘텐츠 data'!$AR:$AR,0),MATCH(M$2,'FB 콘텐츠 data'!$A$1:$AH$1,0)),"")</f>
        <v/>
      </c>
      <c r="N63" s="125" t="str">
        <f>IFERROR(INDEX('FB 콘텐츠 data'!$A$1:$AH$25,MATCH('FB 신규발행'!$A63,'FB 콘텐츠 data'!$AR:$AR,0),MATCH(N$2,'FB 콘텐츠 data'!$A$1:$AH$1,0)),"")</f>
        <v/>
      </c>
      <c r="O63" s="125" t="str">
        <f>IFERROR(INDEX('FB 콘텐츠 data'!$A$1:$AH$25,MATCH('FB 신규발행'!$A63,'FB 콘텐츠 data'!$AR:$AR,0),MATCH(O$2,'FB 콘텐츠 data'!$A$1:$AH$1,0)),"")</f>
        <v/>
      </c>
      <c r="P63" s="125" t="str">
        <f>IFERROR(INDEX('FB 콘텐츠 data'!$A$1:$AH$25,MATCH('FB 신규발행'!$A63,'FB 콘텐츠 data'!$AR:$AR,0),MATCH(P$2,'FB 콘텐츠 data'!$A$1:$AH$1,0)),"")</f>
        <v/>
      </c>
      <c r="Q63" s="125" t="str">
        <f>IFERROR(INDEX('FB 콘텐츠 data'!$A$1:$AH$25,MATCH('FB 신규발행'!$A63,'FB 콘텐츠 data'!$AR:$AR,0),MATCH(Q$2,'FB 콘텐츠 data'!$A$1:$AH$1,0)),"")</f>
        <v/>
      </c>
      <c r="R63" s="126" t="str">
        <f t="shared" si="6"/>
        <v/>
      </c>
      <c r="T63" s="48" t="str">
        <f t="shared" si="7"/>
        <v/>
      </c>
      <c r="U63" s="48" t="str">
        <f t="shared" si="8"/>
        <v/>
      </c>
      <c r="Y63" s="112"/>
    </row>
    <row r="64" spans="1:25" ht="17.45" customHeight="1">
      <c r="A64" s="127">
        <v>62</v>
      </c>
      <c r="B64" s="123" t="str">
        <f>IFERROR(INDEX('FB 콘텐츠 data'!AQ:AQ,MATCH('FB 신규발행'!A64,'FB 콘텐츠 data'!AR:AR,0)),"")</f>
        <v/>
      </c>
      <c r="C64" s="124" t="str">
        <f>IFERROR(INDEX('FB 콘텐츠 data'!$A$1:$AH$25,MATCH('FB 신규발행'!$A64,'FB 콘텐츠 data'!$AR:$AR,0),MATCH(C$2,'FB 콘텐츠 data'!$A$1:$AH$1,0)),"")</f>
        <v/>
      </c>
      <c r="D64" s="125" t="str">
        <f>IFERROR(INDEX('FB 콘텐츠 data'!$A$1:$AH$25,MATCH('FB 신규발행'!$A64,'FB 콘텐츠 data'!$AR:$AR,0),MATCH(D$2,'FB 콘텐츠 data'!$A$1:$AH$1,0)),"")</f>
        <v/>
      </c>
      <c r="E64" s="125" t="str">
        <f>IFERROR(INDEX('FB 콘텐츠 data'!$A$1:$AH$25,MATCH('FB 신규발행'!$A64,'FB 콘텐츠 data'!$AR:$AR,0),MATCH(E$2,'FB 콘텐츠 data'!$A$1:$AH$1,0)),"")</f>
        <v/>
      </c>
      <c r="F64" s="125" t="str">
        <f>IFERROR(INDEX('FB 콘텐츠 data'!$A$1:$AH$25,MATCH('FB 신규발행'!$A64,'FB 콘텐츠 data'!$AR:$AR,0),MATCH(F$2,'FB 콘텐츠 data'!$A$1:$AH$1,0)),"")</f>
        <v/>
      </c>
      <c r="G64" s="125" t="str">
        <f>IFERROR(INDEX('FB 콘텐츠 data'!$A$1:$AH$25,MATCH('FB 신규발행'!$A64,'FB 콘텐츠 data'!$AR:$AR,0),MATCH(G$2,'FB 콘텐츠 data'!$A$1:$AH$1,0)),"")</f>
        <v/>
      </c>
      <c r="H64" s="125" t="str">
        <f t="shared" si="5"/>
        <v/>
      </c>
      <c r="I64" s="125" t="str">
        <f>IFERROR(INDEX('FB 콘텐츠 data'!$A$1:$AH$25,MATCH('FB 신규발행'!$A64,'FB 콘텐츠 data'!$AR:$AR,0),MATCH(I$2,'FB 콘텐츠 data'!$A$1:$AH$1,0)),"")</f>
        <v/>
      </c>
      <c r="J64" s="125" t="str">
        <f>IFERROR(INDEX('FB 콘텐츠 data'!$A$1:$AH$25,MATCH('FB 신규발행'!$A64,'FB 콘텐츠 data'!$AR:$AR,0),MATCH(J$2,'FB 콘텐츠 data'!$A$1:$AH$1,0)),"")</f>
        <v/>
      </c>
      <c r="K64" s="124" t="str">
        <f>IFERROR(INDEX('FB 콘텐츠 data'!$A$1:$AR$25,MATCH('FB 신규발행'!$A64,'FB 콘텐츠 data'!$AR:$AR,0),MATCH(K$2,'FB 콘텐츠 data'!$A$1:$AR$1,0)),"")</f>
        <v/>
      </c>
      <c r="L64" s="125" t="str">
        <f>IFERROR(INDEX('FB 콘텐츠 data'!$A$1:$AH$25,MATCH('FB 신규발행'!$A64,'FB 콘텐츠 data'!$AR:$AR,0),MATCH(L$2,'FB 콘텐츠 data'!$A$1:$AH$1,0)),"")</f>
        <v/>
      </c>
      <c r="M64" s="125" t="str">
        <f>IFERROR(INDEX('FB 콘텐츠 data'!$A$1:$AH$25,MATCH('FB 신규발행'!$A64,'FB 콘텐츠 data'!$AR:$AR,0),MATCH(M$2,'FB 콘텐츠 data'!$A$1:$AH$1,0)),"")</f>
        <v/>
      </c>
      <c r="N64" s="125" t="str">
        <f>IFERROR(INDEX('FB 콘텐츠 data'!$A$1:$AH$25,MATCH('FB 신규발행'!$A64,'FB 콘텐츠 data'!$AR:$AR,0),MATCH(N$2,'FB 콘텐츠 data'!$A$1:$AH$1,0)),"")</f>
        <v/>
      </c>
      <c r="O64" s="125" t="str">
        <f>IFERROR(INDEX('FB 콘텐츠 data'!$A$1:$AH$25,MATCH('FB 신규발행'!$A64,'FB 콘텐츠 data'!$AR:$AR,0),MATCH(O$2,'FB 콘텐츠 data'!$A$1:$AH$1,0)),"")</f>
        <v/>
      </c>
      <c r="P64" s="125" t="str">
        <f>IFERROR(INDEX('FB 콘텐츠 data'!$A$1:$AH$25,MATCH('FB 신규발행'!$A64,'FB 콘텐츠 data'!$AR:$AR,0),MATCH(P$2,'FB 콘텐츠 data'!$A$1:$AH$1,0)),"")</f>
        <v/>
      </c>
      <c r="Q64" s="125" t="str">
        <f>IFERROR(INDEX('FB 콘텐츠 data'!$A$1:$AH$25,MATCH('FB 신규발행'!$A64,'FB 콘텐츠 data'!$AR:$AR,0),MATCH(Q$2,'FB 콘텐츠 data'!$A$1:$AH$1,0)),"")</f>
        <v/>
      </c>
      <c r="R64" s="126" t="str">
        <f t="shared" si="6"/>
        <v/>
      </c>
      <c r="T64" s="48" t="str">
        <f t="shared" si="7"/>
        <v/>
      </c>
      <c r="U64" s="48" t="str">
        <f t="shared" si="8"/>
        <v/>
      </c>
      <c r="Y64" s="112"/>
    </row>
    <row r="65" spans="1:25" ht="17.45" customHeight="1">
      <c r="A65" s="127">
        <v>63</v>
      </c>
      <c r="B65" s="123" t="str">
        <f>IFERROR(INDEX('FB 콘텐츠 data'!AQ:AQ,MATCH('FB 신규발행'!A65,'FB 콘텐츠 data'!AR:AR,0)),"")</f>
        <v/>
      </c>
      <c r="C65" s="124" t="str">
        <f>IFERROR(INDEX('FB 콘텐츠 data'!$A$1:$AH$25,MATCH('FB 신규발행'!$A65,'FB 콘텐츠 data'!$AR:$AR,0),MATCH(C$2,'FB 콘텐츠 data'!$A$1:$AH$1,0)),"")</f>
        <v/>
      </c>
      <c r="D65" s="125" t="str">
        <f>IFERROR(INDEX('FB 콘텐츠 data'!$A$1:$AH$25,MATCH('FB 신규발행'!$A65,'FB 콘텐츠 data'!$AR:$AR,0),MATCH(D$2,'FB 콘텐츠 data'!$A$1:$AH$1,0)),"")</f>
        <v/>
      </c>
      <c r="E65" s="125" t="str">
        <f>IFERROR(INDEX('FB 콘텐츠 data'!$A$1:$AH$25,MATCH('FB 신규발행'!$A65,'FB 콘텐츠 data'!$AR:$AR,0),MATCH(E$2,'FB 콘텐츠 data'!$A$1:$AH$1,0)),"")</f>
        <v/>
      </c>
      <c r="F65" s="125" t="str">
        <f>IFERROR(INDEX('FB 콘텐츠 data'!$A$1:$AH$25,MATCH('FB 신규발행'!$A65,'FB 콘텐츠 data'!$AR:$AR,0),MATCH(F$2,'FB 콘텐츠 data'!$A$1:$AH$1,0)),"")</f>
        <v/>
      </c>
      <c r="G65" s="125" t="str">
        <f>IFERROR(INDEX('FB 콘텐츠 data'!$A$1:$AH$25,MATCH('FB 신규발행'!$A65,'FB 콘텐츠 data'!$AR:$AR,0),MATCH(G$2,'FB 콘텐츠 data'!$A$1:$AH$1,0)),"")</f>
        <v/>
      </c>
      <c r="H65" s="125" t="str">
        <f t="shared" si="5"/>
        <v/>
      </c>
      <c r="I65" s="125" t="str">
        <f>IFERROR(INDEX('FB 콘텐츠 data'!$A$1:$AH$25,MATCH('FB 신규발행'!$A65,'FB 콘텐츠 data'!$AR:$AR,0),MATCH(I$2,'FB 콘텐츠 data'!$A$1:$AH$1,0)),"")</f>
        <v/>
      </c>
      <c r="J65" s="125" t="str">
        <f>IFERROR(INDEX('FB 콘텐츠 data'!$A$1:$AH$25,MATCH('FB 신규발행'!$A65,'FB 콘텐츠 data'!$AR:$AR,0),MATCH(J$2,'FB 콘텐츠 data'!$A$1:$AH$1,0)),"")</f>
        <v/>
      </c>
      <c r="K65" s="124" t="str">
        <f>IFERROR(INDEX('FB 콘텐츠 data'!$A$1:$AR$25,MATCH('FB 신규발행'!$A65,'FB 콘텐츠 data'!$AR:$AR,0),MATCH(K$2,'FB 콘텐츠 data'!$A$1:$AR$1,0)),"")</f>
        <v/>
      </c>
      <c r="L65" s="125" t="str">
        <f>IFERROR(INDEX('FB 콘텐츠 data'!$A$1:$AH$25,MATCH('FB 신규발행'!$A65,'FB 콘텐츠 data'!$AR:$AR,0),MATCH(L$2,'FB 콘텐츠 data'!$A$1:$AH$1,0)),"")</f>
        <v/>
      </c>
      <c r="M65" s="125" t="str">
        <f>IFERROR(INDEX('FB 콘텐츠 data'!$A$1:$AH$25,MATCH('FB 신규발행'!$A65,'FB 콘텐츠 data'!$AR:$AR,0),MATCH(M$2,'FB 콘텐츠 data'!$A$1:$AH$1,0)),"")</f>
        <v/>
      </c>
      <c r="N65" s="125" t="str">
        <f>IFERROR(INDEX('FB 콘텐츠 data'!$A$1:$AH$25,MATCH('FB 신규발행'!$A65,'FB 콘텐츠 data'!$AR:$AR,0),MATCH(N$2,'FB 콘텐츠 data'!$A$1:$AH$1,0)),"")</f>
        <v/>
      </c>
      <c r="O65" s="125" t="str">
        <f>IFERROR(INDEX('FB 콘텐츠 data'!$A$1:$AH$25,MATCH('FB 신규발행'!$A65,'FB 콘텐츠 data'!$AR:$AR,0),MATCH(O$2,'FB 콘텐츠 data'!$A$1:$AH$1,0)),"")</f>
        <v/>
      </c>
      <c r="P65" s="125" t="str">
        <f>IFERROR(INDEX('FB 콘텐츠 data'!$A$1:$AH$25,MATCH('FB 신규발행'!$A65,'FB 콘텐츠 data'!$AR:$AR,0),MATCH(P$2,'FB 콘텐츠 data'!$A$1:$AH$1,0)),"")</f>
        <v/>
      </c>
      <c r="Q65" s="125" t="str">
        <f>IFERROR(INDEX('FB 콘텐츠 data'!$A$1:$AH$25,MATCH('FB 신규발행'!$A65,'FB 콘텐츠 data'!$AR:$AR,0),MATCH(Q$2,'FB 콘텐츠 data'!$A$1:$AH$1,0)),"")</f>
        <v/>
      </c>
      <c r="R65" s="126" t="str">
        <f t="shared" si="6"/>
        <v/>
      </c>
      <c r="T65" s="48" t="str">
        <f t="shared" si="7"/>
        <v/>
      </c>
      <c r="U65" s="48" t="str">
        <f t="shared" si="8"/>
        <v/>
      </c>
      <c r="Y65" s="112"/>
    </row>
    <row r="66" spans="1:25" ht="17.45" customHeight="1">
      <c r="A66" s="127">
        <v>64</v>
      </c>
      <c r="B66" s="123" t="str">
        <f>IFERROR(INDEX('FB 콘텐츠 data'!AQ:AQ,MATCH('FB 신규발행'!A66,'FB 콘텐츠 data'!AR:AR,0)),"")</f>
        <v/>
      </c>
      <c r="C66" s="124" t="str">
        <f>IFERROR(INDEX('FB 콘텐츠 data'!$A$1:$AH$25,MATCH('FB 신규발행'!$A66,'FB 콘텐츠 data'!$AR:$AR,0),MATCH(C$2,'FB 콘텐츠 data'!$A$1:$AH$1,0)),"")</f>
        <v/>
      </c>
      <c r="D66" s="125" t="str">
        <f>IFERROR(INDEX('FB 콘텐츠 data'!$A$1:$AH$25,MATCH('FB 신규발행'!$A66,'FB 콘텐츠 data'!$AR:$AR,0),MATCH(D$2,'FB 콘텐츠 data'!$A$1:$AH$1,0)),"")</f>
        <v/>
      </c>
      <c r="E66" s="125" t="str">
        <f>IFERROR(INDEX('FB 콘텐츠 data'!$A$1:$AH$25,MATCH('FB 신규발행'!$A66,'FB 콘텐츠 data'!$AR:$AR,0),MATCH(E$2,'FB 콘텐츠 data'!$A$1:$AH$1,0)),"")</f>
        <v/>
      </c>
      <c r="F66" s="125" t="str">
        <f>IFERROR(INDEX('FB 콘텐츠 data'!$A$1:$AH$25,MATCH('FB 신규발행'!$A66,'FB 콘텐츠 data'!$AR:$AR,0),MATCH(F$2,'FB 콘텐츠 data'!$A$1:$AH$1,0)),"")</f>
        <v/>
      </c>
      <c r="G66" s="125" t="str">
        <f>IFERROR(INDEX('FB 콘텐츠 data'!$A$1:$AH$25,MATCH('FB 신규발행'!$A66,'FB 콘텐츠 data'!$AR:$AR,0),MATCH(G$2,'FB 콘텐츠 data'!$A$1:$AH$1,0)),"")</f>
        <v/>
      </c>
      <c r="H66" s="125" t="str">
        <f t="shared" si="5"/>
        <v/>
      </c>
      <c r="I66" s="125" t="str">
        <f>IFERROR(INDEX('FB 콘텐츠 data'!$A$1:$AH$25,MATCH('FB 신규발행'!$A66,'FB 콘텐츠 data'!$AR:$AR,0),MATCH(I$2,'FB 콘텐츠 data'!$A$1:$AH$1,0)),"")</f>
        <v/>
      </c>
      <c r="J66" s="125" t="str">
        <f>IFERROR(INDEX('FB 콘텐츠 data'!$A$1:$AH$25,MATCH('FB 신규발행'!$A66,'FB 콘텐츠 data'!$AR:$AR,0),MATCH(J$2,'FB 콘텐츠 data'!$A$1:$AH$1,0)),"")</f>
        <v/>
      </c>
      <c r="K66" s="124" t="str">
        <f>IFERROR(INDEX('FB 콘텐츠 data'!$A$1:$AR$25,MATCH('FB 신규발행'!$A66,'FB 콘텐츠 data'!$AR:$AR,0),MATCH(K$2,'FB 콘텐츠 data'!$A$1:$AR$1,0)),"")</f>
        <v/>
      </c>
      <c r="L66" s="125" t="str">
        <f>IFERROR(INDEX('FB 콘텐츠 data'!$A$1:$AH$25,MATCH('FB 신규발행'!$A66,'FB 콘텐츠 data'!$AR:$AR,0),MATCH(L$2,'FB 콘텐츠 data'!$A$1:$AH$1,0)),"")</f>
        <v/>
      </c>
      <c r="M66" s="125" t="str">
        <f>IFERROR(INDEX('FB 콘텐츠 data'!$A$1:$AH$25,MATCH('FB 신규발행'!$A66,'FB 콘텐츠 data'!$AR:$AR,0),MATCH(M$2,'FB 콘텐츠 data'!$A$1:$AH$1,0)),"")</f>
        <v/>
      </c>
      <c r="N66" s="125" t="str">
        <f>IFERROR(INDEX('FB 콘텐츠 data'!$A$1:$AH$25,MATCH('FB 신규발행'!$A66,'FB 콘텐츠 data'!$AR:$AR,0),MATCH(N$2,'FB 콘텐츠 data'!$A$1:$AH$1,0)),"")</f>
        <v/>
      </c>
      <c r="O66" s="125" t="str">
        <f>IFERROR(INDEX('FB 콘텐츠 data'!$A$1:$AH$25,MATCH('FB 신규발행'!$A66,'FB 콘텐츠 data'!$AR:$AR,0),MATCH(O$2,'FB 콘텐츠 data'!$A$1:$AH$1,0)),"")</f>
        <v/>
      </c>
      <c r="P66" s="125" t="str">
        <f>IFERROR(INDEX('FB 콘텐츠 data'!$A$1:$AH$25,MATCH('FB 신규발행'!$A66,'FB 콘텐츠 data'!$AR:$AR,0),MATCH(P$2,'FB 콘텐츠 data'!$A$1:$AH$1,0)),"")</f>
        <v/>
      </c>
      <c r="Q66" s="125" t="str">
        <f>IFERROR(INDEX('FB 콘텐츠 data'!$A$1:$AH$25,MATCH('FB 신규발행'!$A66,'FB 콘텐츠 data'!$AR:$AR,0),MATCH(Q$2,'FB 콘텐츠 data'!$A$1:$AH$1,0)),"")</f>
        <v/>
      </c>
      <c r="R66" s="126" t="str">
        <f t="shared" si="6"/>
        <v/>
      </c>
      <c r="T66" s="48" t="str">
        <f t="shared" si="7"/>
        <v/>
      </c>
      <c r="U66" s="48" t="str">
        <f t="shared" si="8"/>
        <v/>
      </c>
      <c r="Y66" s="112"/>
    </row>
    <row r="67" spans="1:25" ht="17.45" customHeight="1">
      <c r="A67" s="127">
        <v>65</v>
      </c>
      <c r="B67" s="123" t="str">
        <f>IFERROR(INDEX('FB 콘텐츠 data'!AQ:AQ,MATCH('FB 신규발행'!A67,'FB 콘텐츠 data'!AR:AR,0)),"")</f>
        <v/>
      </c>
      <c r="C67" s="124" t="str">
        <f>IFERROR(INDEX('FB 콘텐츠 data'!$A$1:$AH$25,MATCH('FB 신규발행'!$A67,'FB 콘텐츠 data'!$AR:$AR,0),MATCH(C$2,'FB 콘텐츠 data'!$A$1:$AH$1,0)),"")</f>
        <v/>
      </c>
      <c r="D67" s="125" t="str">
        <f>IFERROR(INDEX('FB 콘텐츠 data'!$A$1:$AH$25,MATCH('FB 신규발행'!$A67,'FB 콘텐츠 data'!$AR:$AR,0),MATCH(D$2,'FB 콘텐츠 data'!$A$1:$AH$1,0)),"")</f>
        <v/>
      </c>
      <c r="E67" s="125" t="str">
        <f>IFERROR(INDEX('FB 콘텐츠 data'!$A$1:$AH$25,MATCH('FB 신규발행'!$A67,'FB 콘텐츠 data'!$AR:$AR,0),MATCH(E$2,'FB 콘텐츠 data'!$A$1:$AH$1,0)),"")</f>
        <v/>
      </c>
      <c r="F67" s="125" t="str">
        <f>IFERROR(INDEX('FB 콘텐츠 data'!$A$1:$AH$25,MATCH('FB 신규발행'!$A67,'FB 콘텐츠 data'!$AR:$AR,0),MATCH(F$2,'FB 콘텐츠 data'!$A$1:$AH$1,0)),"")</f>
        <v/>
      </c>
      <c r="G67" s="125" t="str">
        <f>IFERROR(INDEX('FB 콘텐츠 data'!$A$1:$AH$25,MATCH('FB 신규발행'!$A67,'FB 콘텐츠 data'!$AR:$AR,0),MATCH(G$2,'FB 콘텐츠 data'!$A$1:$AH$1,0)),"")</f>
        <v/>
      </c>
      <c r="H67" s="125" t="str">
        <f t="shared" ref="H67:H82" si="9">IF(B67="","",I67+J67+O67+Q67)</f>
        <v/>
      </c>
      <c r="I67" s="125" t="str">
        <f>IFERROR(INDEX('FB 콘텐츠 data'!$A$1:$AH$25,MATCH('FB 신규발행'!$A67,'FB 콘텐츠 data'!$AR:$AR,0),MATCH(I$2,'FB 콘텐츠 data'!$A$1:$AH$1,0)),"")</f>
        <v/>
      </c>
      <c r="J67" s="125" t="str">
        <f>IFERROR(INDEX('FB 콘텐츠 data'!$A$1:$AH$25,MATCH('FB 신규발행'!$A67,'FB 콘텐츠 data'!$AR:$AR,0),MATCH(J$2,'FB 콘텐츠 data'!$A$1:$AH$1,0)),"")</f>
        <v/>
      </c>
      <c r="K67" s="124" t="str">
        <f>IFERROR(INDEX('FB 콘텐츠 data'!$A$1:$AR$25,MATCH('FB 신규발행'!$A67,'FB 콘텐츠 data'!$AR:$AR,0),MATCH(K$2,'FB 콘텐츠 data'!$A$1:$AR$1,0)),"")</f>
        <v/>
      </c>
      <c r="L67" s="125" t="str">
        <f>IFERROR(INDEX('FB 콘텐츠 data'!$A$1:$AH$25,MATCH('FB 신규발행'!$A67,'FB 콘텐츠 data'!$AR:$AR,0),MATCH(L$2,'FB 콘텐츠 data'!$A$1:$AH$1,0)),"")</f>
        <v/>
      </c>
      <c r="M67" s="125" t="str">
        <f>IFERROR(INDEX('FB 콘텐츠 data'!$A$1:$AH$25,MATCH('FB 신규발행'!$A67,'FB 콘텐츠 data'!$AR:$AR,0),MATCH(M$2,'FB 콘텐츠 data'!$A$1:$AH$1,0)),"")</f>
        <v/>
      </c>
      <c r="N67" s="125" t="str">
        <f>IFERROR(INDEX('FB 콘텐츠 data'!$A$1:$AH$25,MATCH('FB 신규발행'!$A67,'FB 콘텐츠 data'!$AR:$AR,0),MATCH(N$2,'FB 콘텐츠 data'!$A$1:$AH$1,0)),"")</f>
        <v/>
      </c>
      <c r="O67" s="125" t="str">
        <f>IFERROR(INDEX('FB 콘텐츠 data'!$A$1:$AH$25,MATCH('FB 신규발행'!$A67,'FB 콘텐츠 data'!$AR:$AR,0),MATCH(O$2,'FB 콘텐츠 data'!$A$1:$AH$1,0)),"")</f>
        <v/>
      </c>
      <c r="P67" s="125" t="str">
        <f>IFERROR(INDEX('FB 콘텐츠 data'!$A$1:$AH$25,MATCH('FB 신규발행'!$A67,'FB 콘텐츠 data'!$AR:$AR,0),MATCH(P$2,'FB 콘텐츠 data'!$A$1:$AH$1,0)),"")</f>
        <v/>
      </c>
      <c r="Q67" s="125" t="str">
        <f>IFERROR(INDEX('FB 콘텐츠 data'!$A$1:$AH$25,MATCH('FB 신규발행'!$A67,'FB 콘텐츠 data'!$AR:$AR,0),MATCH(Q$2,'FB 콘텐츠 data'!$A$1:$AH$1,0)),"")</f>
        <v/>
      </c>
      <c r="R67" s="126" t="str">
        <f t="shared" ref="R67:R82" si="10">IFERROR(H67/F67,"")</f>
        <v/>
      </c>
      <c r="T67" s="48" t="str">
        <f t="shared" ref="T67:T82" si="11">IFERROR(RANK(R67,$R$3:$R$82,0),"")</f>
        <v/>
      </c>
      <c r="U67" s="48" t="str">
        <f t="shared" ref="U67:U82" si="12">IFERROR(RANK(E67,$E$3:$E$82,0),"")</f>
        <v/>
      </c>
      <c r="Y67" s="112"/>
    </row>
    <row r="68" spans="1:25" ht="17.45" customHeight="1">
      <c r="A68" s="127">
        <v>66</v>
      </c>
      <c r="B68" s="123" t="str">
        <f>IFERROR(INDEX('FB 콘텐츠 data'!AQ:AQ,MATCH('FB 신규발행'!A68,'FB 콘텐츠 data'!AR:AR,0)),"")</f>
        <v/>
      </c>
      <c r="C68" s="124" t="str">
        <f>IFERROR(INDEX('FB 콘텐츠 data'!$A$1:$AH$25,MATCH('FB 신규발행'!$A68,'FB 콘텐츠 data'!$AR:$AR,0),MATCH(C$2,'FB 콘텐츠 data'!$A$1:$AH$1,0)),"")</f>
        <v/>
      </c>
      <c r="D68" s="125" t="str">
        <f>IFERROR(INDEX('FB 콘텐츠 data'!$A$1:$AH$25,MATCH('FB 신규발행'!$A68,'FB 콘텐츠 data'!$AR:$AR,0),MATCH(D$2,'FB 콘텐츠 data'!$A$1:$AH$1,0)),"")</f>
        <v/>
      </c>
      <c r="E68" s="125" t="str">
        <f>IFERROR(INDEX('FB 콘텐츠 data'!$A$1:$AH$25,MATCH('FB 신규발행'!$A68,'FB 콘텐츠 data'!$AR:$AR,0),MATCH(E$2,'FB 콘텐츠 data'!$A$1:$AH$1,0)),"")</f>
        <v/>
      </c>
      <c r="F68" s="125" t="str">
        <f>IFERROR(INDEX('FB 콘텐츠 data'!$A$1:$AH$25,MATCH('FB 신규발행'!$A68,'FB 콘텐츠 data'!$AR:$AR,0),MATCH(F$2,'FB 콘텐츠 data'!$A$1:$AH$1,0)),"")</f>
        <v/>
      </c>
      <c r="G68" s="125" t="str">
        <f>IFERROR(INDEX('FB 콘텐츠 data'!$A$1:$AH$25,MATCH('FB 신규발행'!$A68,'FB 콘텐츠 data'!$AR:$AR,0),MATCH(G$2,'FB 콘텐츠 data'!$A$1:$AH$1,0)),"")</f>
        <v/>
      </c>
      <c r="H68" s="125" t="str">
        <f t="shared" si="9"/>
        <v/>
      </c>
      <c r="I68" s="125" t="str">
        <f>IFERROR(INDEX('FB 콘텐츠 data'!$A$1:$AH$25,MATCH('FB 신규발행'!$A68,'FB 콘텐츠 data'!$AR:$AR,0),MATCH(I$2,'FB 콘텐츠 data'!$A$1:$AH$1,0)),"")</f>
        <v/>
      </c>
      <c r="J68" s="125" t="str">
        <f>IFERROR(INDEX('FB 콘텐츠 data'!$A$1:$AH$25,MATCH('FB 신규발행'!$A68,'FB 콘텐츠 data'!$AR:$AR,0),MATCH(J$2,'FB 콘텐츠 data'!$A$1:$AH$1,0)),"")</f>
        <v/>
      </c>
      <c r="K68" s="124" t="str">
        <f>IFERROR(INDEX('FB 콘텐츠 data'!$A$1:$AR$25,MATCH('FB 신규발행'!$A68,'FB 콘텐츠 data'!$AR:$AR,0),MATCH(K$2,'FB 콘텐츠 data'!$A$1:$AR$1,0)),"")</f>
        <v/>
      </c>
      <c r="L68" s="125" t="str">
        <f>IFERROR(INDEX('FB 콘텐츠 data'!$A$1:$AH$25,MATCH('FB 신규발행'!$A68,'FB 콘텐츠 data'!$AR:$AR,0),MATCH(L$2,'FB 콘텐츠 data'!$A$1:$AH$1,0)),"")</f>
        <v/>
      </c>
      <c r="M68" s="125" t="str">
        <f>IFERROR(INDEX('FB 콘텐츠 data'!$A$1:$AH$25,MATCH('FB 신규발행'!$A68,'FB 콘텐츠 data'!$AR:$AR,0),MATCH(M$2,'FB 콘텐츠 data'!$A$1:$AH$1,0)),"")</f>
        <v/>
      </c>
      <c r="N68" s="125" t="str">
        <f>IFERROR(INDEX('FB 콘텐츠 data'!$A$1:$AH$25,MATCH('FB 신규발행'!$A68,'FB 콘텐츠 data'!$AR:$AR,0),MATCH(N$2,'FB 콘텐츠 data'!$A$1:$AH$1,0)),"")</f>
        <v/>
      </c>
      <c r="O68" s="125" t="str">
        <f>IFERROR(INDEX('FB 콘텐츠 data'!$A$1:$AH$25,MATCH('FB 신규발행'!$A68,'FB 콘텐츠 data'!$AR:$AR,0),MATCH(O$2,'FB 콘텐츠 data'!$A$1:$AH$1,0)),"")</f>
        <v/>
      </c>
      <c r="P68" s="125" t="str">
        <f>IFERROR(INDEX('FB 콘텐츠 data'!$A$1:$AH$25,MATCH('FB 신규발행'!$A68,'FB 콘텐츠 data'!$AR:$AR,0),MATCH(P$2,'FB 콘텐츠 data'!$A$1:$AH$1,0)),"")</f>
        <v/>
      </c>
      <c r="Q68" s="125" t="str">
        <f>IFERROR(INDEX('FB 콘텐츠 data'!$A$1:$AH$25,MATCH('FB 신규발행'!$A68,'FB 콘텐츠 data'!$AR:$AR,0),MATCH(Q$2,'FB 콘텐츠 data'!$A$1:$AH$1,0)),"")</f>
        <v/>
      </c>
      <c r="R68" s="126" t="str">
        <f t="shared" si="10"/>
        <v/>
      </c>
      <c r="T68" s="48" t="str">
        <f t="shared" si="11"/>
        <v/>
      </c>
      <c r="U68" s="48" t="str">
        <f t="shared" si="12"/>
        <v/>
      </c>
      <c r="Y68" s="112"/>
    </row>
    <row r="69" spans="1:25" ht="17.45" customHeight="1">
      <c r="A69" s="127">
        <v>67</v>
      </c>
      <c r="B69" s="123" t="str">
        <f>IFERROR(INDEX('FB 콘텐츠 data'!AQ:AQ,MATCH('FB 신규발행'!A69,'FB 콘텐츠 data'!AR:AR,0)),"")</f>
        <v/>
      </c>
      <c r="C69" s="124" t="str">
        <f>IFERROR(INDEX('FB 콘텐츠 data'!$A$1:$AH$25,MATCH('FB 신규발행'!$A69,'FB 콘텐츠 data'!$AR:$AR,0),MATCH(C$2,'FB 콘텐츠 data'!$A$1:$AH$1,0)),"")</f>
        <v/>
      </c>
      <c r="D69" s="125" t="str">
        <f>IFERROR(INDEX('FB 콘텐츠 data'!$A$1:$AH$25,MATCH('FB 신규발행'!$A69,'FB 콘텐츠 data'!$AR:$AR,0),MATCH(D$2,'FB 콘텐츠 data'!$A$1:$AH$1,0)),"")</f>
        <v/>
      </c>
      <c r="E69" s="125" t="str">
        <f>IFERROR(INDEX('FB 콘텐츠 data'!$A$1:$AH$25,MATCH('FB 신규발행'!$A69,'FB 콘텐츠 data'!$AR:$AR,0),MATCH(E$2,'FB 콘텐츠 data'!$A$1:$AH$1,0)),"")</f>
        <v/>
      </c>
      <c r="F69" s="125" t="str">
        <f>IFERROR(INDEX('FB 콘텐츠 data'!$A$1:$AH$25,MATCH('FB 신규발행'!$A69,'FB 콘텐츠 data'!$AR:$AR,0),MATCH(F$2,'FB 콘텐츠 data'!$A$1:$AH$1,0)),"")</f>
        <v/>
      </c>
      <c r="G69" s="125" t="str">
        <f>IFERROR(INDEX('FB 콘텐츠 data'!$A$1:$AH$25,MATCH('FB 신규발행'!$A69,'FB 콘텐츠 data'!$AR:$AR,0),MATCH(G$2,'FB 콘텐츠 data'!$A$1:$AH$1,0)),"")</f>
        <v/>
      </c>
      <c r="H69" s="125" t="str">
        <f t="shared" si="9"/>
        <v/>
      </c>
      <c r="I69" s="125" t="str">
        <f>IFERROR(INDEX('FB 콘텐츠 data'!$A$1:$AH$25,MATCH('FB 신규발행'!$A69,'FB 콘텐츠 data'!$AR:$AR,0),MATCH(I$2,'FB 콘텐츠 data'!$A$1:$AH$1,0)),"")</f>
        <v/>
      </c>
      <c r="J69" s="125" t="str">
        <f>IFERROR(INDEX('FB 콘텐츠 data'!$A$1:$AH$25,MATCH('FB 신규발행'!$A69,'FB 콘텐츠 data'!$AR:$AR,0),MATCH(J$2,'FB 콘텐츠 data'!$A$1:$AH$1,0)),"")</f>
        <v/>
      </c>
      <c r="K69" s="124" t="str">
        <f>IFERROR(INDEX('FB 콘텐츠 data'!$A$1:$AR$25,MATCH('FB 신규발행'!$A69,'FB 콘텐츠 data'!$AR:$AR,0),MATCH(K$2,'FB 콘텐츠 data'!$A$1:$AR$1,0)),"")</f>
        <v/>
      </c>
      <c r="L69" s="125" t="str">
        <f>IFERROR(INDEX('FB 콘텐츠 data'!$A$1:$AH$25,MATCH('FB 신규발행'!$A69,'FB 콘텐츠 data'!$AR:$AR,0),MATCH(L$2,'FB 콘텐츠 data'!$A$1:$AH$1,0)),"")</f>
        <v/>
      </c>
      <c r="M69" s="125" t="str">
        <f>IFERROR(INDEX('FB 콘텐츠 data'!$A$1:$AH$25,MATCH('FB 신규발행'!$A69,'FB 콘텐츠 data'!$AR:$AR,0),MATCH(M$2,'FB 콘텐츠 data'!$A$1:$AH$1,0)),"")</f>
        <v/>
      </c>
      <c r="N69" s="125" t="str">
        <f>IFERROR(INDEX('FB 콘텐츠 data'!$A$1:$AH$25,MATCH('FB 신규발행'!$A69,'FB 콘텐츠 data'!$AR:$AR,0),MATCH(N$2,'FB 콘텐츠 data'!$A$1:$AH$1,0)),"")</f>
        <v/>
      </c>
      <c r="O69" s="125" t="str">
        <f>IFERROR(INDEX('FB 콘텐츠 data'!$A$1:$AH$25,MATCH('FB 신규발행'!$A69,'FB 콘텐츠 data'!$AR:$AR,0),MATCH(O$2,'FB 콘텐츠 data'!$A$1:$AH$1,0)),"")</f>
        <v/>
      </c>
      <c r="P69" s="125" t="str">
        <f>IFERROR(INDEX('FB 콘텐츠 data'!$A$1:$AH$25,MATCH('FB 신규발행'!$A69,'FB 콘텐츠 data'!$AR:$AR,0),MATCH(P$2,'FB 콘텐츠 data'!$A$1:$AH$1,0)),"")</f>
        <v/>
      </c>
      <c r="Q69" s="125" t="str">
        <f>IFERROR(INDEX('FB 콘텐츠 data'!$A$1:$AH$25,MATCH('FB 신규발행'!$A69,'FB 콘텐츠 data'!$AR:$AR,0),MATCH(Q$2,'FB 콘텐츠 data'!$A$1:$AH$1,0)),"")</f>
        <v/>
      </c>
      <c r="R69" s="126" t="str">
        <f t="shared" si="10"/>
        <v/>
      </c>
      <c r="T69" s="48" t="str">
        <f t="shared" si="11"/>
        <v/>
      </c>
      <c r="U69" s="48" t="str">
        <f t="shared" si="12"/>
        <v/>
      </c>
      <c r="Y69" s="112"/>
    </row>
    <row r="70" spans="1:25" ht="17.45" customHeight="1">
      <c r="A70" s="127">
        <v>68</v>
      </c>
      <c r="B70" s="123" t="str">
        <f>IFERROR(INDEX('FB 콘텐츠 data'!AQ:AQ,MATCH('FB 신규발행'!A70,'FB 콘텐츠 data'!AR:AR,0)),"")</f>
        <v/>
      </c>
      <c r="C70" s="124" t="str">
        <f>IFERROR(INDEX('FB 콘텐츠 data'!$A$1:$AH$25,MATCH('FB 신규발행'!$A70,'FB 콘텐츠 data'!$AR:$AR,0),MATCH(C$2,'FB 콘텐츠 data'!$A$1:$AH$1,0)),"")</f>
        <v/>
      </c>
      <c r="D70" s="125" t="str">
        <f>IFERROR(INDEX('FB 콘텐츠 data'!$A$1:$AH$25,MATCH('FB 신규발행'!$A70,'FB 콘텐츠 data'!$AR:$AR,0),MATCH(D$2,'FB 콘텐츠 data'!$A$1:$AH$1,0)),"")</f>
        <v/>
      </c>
      <c r="E70" s="125" t="str">
        <f>IFERROR(INDEX('FB 콘텐츠 data'!$A$1:$AH$25,MATCH('FB 신규발행'!$A70,'FB 콘텐츠 data'!$AR:$AR,0),MATCH(E$2,'FB 콘텐츠 data'!$A$1:$AH$1,0)),"")</f>
        <v/>
      </c>
      <c r="F70" s="125" t="str">
        <f>IFERROR(INDEX('FB 콘텐츠 data'!$A$1:$AH$25,MATCH('FB 신규발행'!$A70,'FB 콘텐츠 data'!$AR:$AR,0),MATCH(F$2,'FB 콘텐츠 data'!$A$1:$AH$1,0)),"")</f>
        <v/>
      </c>
      <c r="G70" s="125" t="str">
        <f>IFERROR(INDEX('FB 콘텐츠 data'!$A$1:$AH$25,MATCH('FB 신규발행'!$A70,'FB 콘텐츠 data'!$AR:$AR,0),MATCH(G$2,'FB 콘텐츠 data'!$A$1:$AH$1,0)),"")</f>
        <v/>
      </c>
      <c r="H70" s="125" t="str">
        <f t="shared" si="9"/>
        <v/>
      </c>
      <c r="I70" s="125" t="str">
        <f>IFERROR(INDEX('FB 콘텐츠 data'!$A$1:$AH$25,MATCH('FB 신규발행'!$A70,'FB 콘텐츠 data'!$AR:$AR,0),MATCH(I$2,'FB 콘텐츠 data'!$A$1:$AH$1,0)),"")</f>
        <v/>
      </c>
      <c r="J70" s="125" t="str">
        <f>IFERROR(INDEX('FB 콘텐츠 data'!$A$1:$AH$25,MATCH('FB 신규발행'!$A70,'FB 콘텐츠 data'!$AR:$AR,0),MATCH(J$2,'FB 콘텐츠 data'!$A$1:$AH$1,0)),"")</f>
        <v/>
      </c>
      <c r="K70" s="124" t="str">
        <f>IFERROR(INDEX('FB 콘텐츠 data'!$A$1:$AR$25,MATCH('FB 신규발행'!$A70,'FB 콘텐츠 data'!$AR:$AR,0),MATCH(K$2,'FB 콘텐츠 data'!$A$1:$AR$1,0)),"")</f>
        <v/>
      </c>
      <c r="L70" s="125" t="str">
        <f>IFERROR(INDEX('FB 콘텐츠 data'!$A$1:$AH$25,MATCH('FB 신규발행'!$A70,'FB 콘텐츠 data'!$AR:$AR,0),MATCH(L$2,'FB 콘텐츠 data'!$A$1:$AH$1,0)),"")</f>
        <v/>
      </c>
      <c r="M70" s="125" t="str">
        <f>IFERROR(INDEX('FB 콘텐츠 data'!$A$1:$AH$25,MATCH('FB 신규발행'!$A70,'FB 콘텐츠 data'!$AR:$AR,0),MATCH(M$2,'FB 콘텐츠 data'!$A$1:$AH$1,0)),"")</f>
        <v/>
      </c>
      <c r="N70" s="125" t="str">
        <f>IFERROR(INDEX('FB 콘텐츠 data'!$A$1:$AH$25,MATCH('FB 신규발행'!$A70,'FB 콘텐츠 data'!$AR:$AR,0),MATCH(N$2,'FB 콘텐츠 data'!$A$1:$AH$1,0)),"")</f>
        <v/>
      </c>
      <c r="O70" s="125" t="str">
        <f>IFERROR(INDEX('FB 콘텐츠 data'!$A$1:$AH$25,MATCH('FB 신규발행'!$A70,'FB 콘텐츠 data'!$AR:$AR,0),MATCH(O$2,'FB 콘텐츠 data'!$A$1:$AH$1,0)),"")</f>
        <v/>
      </c>
      <c r="P70" s="125" t="str">
        <f>IFERROR(INDEX('FB 콘텐츠 data'!$A$1:$AH$25,MATCH('FB 신규발행'!$A70,'FB 콘텐츠 data'!$AR:$AR,0),MATCH(P$2,'FB 콘텐츠 data'!$A$1:$AH$1,0)),"")</f>
        <v/>
      </c>
      <c r="Q70" s="125" t="str">
        <f>IFERROR(INDEX('FB 콘텐츠 data'!$A$1:$AH$25,MATCH('FB 신규발행'!$A70,'FB 콘텐츠 data'!$AR:$AR,0),MATCH(Q$2,'FB 콘텐츠 data'!$A$1:$AH$1,0)),"")</f>
        <v/>
      </c>
      <c r="R70" s="126" t="str">
        <f t="shared" si="10"/>
        <v/>
      </c>
      <c r="T70" s="48" t="str">
        <f t="shared" si="11"/>
        <v/>
      </c>
      <c r="U70" s="48" t="str">
        <f t="shared" si="12"/>
        <v/>
      </c>
      <c r="Y70" s="112"/>
    </row>
    <row r="71" spans="1:25" ht="17.45" customHeight="1">
      <c r="A71" s="127">
        <v>69</v>
      </c>
      <c r="B71" s="123" t="str">
        <f>IFERROR(INDEX('FB 콘텐츠 data'!AQ:AQ,MATCH('FB 신규발행'!A71,'FB 콘텐츠 data'!AR:AR,0)),"")</f>
        <v/>
      </c>
      <c r="C71" s="124" t="str">
        <f>IFERROR(INDEX('FB 콘텐츠 data'!$A$1:$AH$25,MATCH('FB 신규발행'!$A71,'FB 콘텐츠 data'!$AR:$AR,0),MATCH(C$2,'FB 콘텐츠 data'!$A$1:$AH$1,0)),"")</f>
        <v/>
      </c>
      <c r="D71" s="125" t="str">
        <f>IFERROR(INDEX('FB 콘텐츠 data'!$A$1:$AH$25,MATCH('FB 신규발행'!$A71,'FB 콘텐츠 data'!$AR:$AR,0),MATCH(D$2,'FB 콘텐츠 data'!$A$1:$AH$1,0)),"")</f>
        <v/>
      </c>
      <c r="E71" s="125" t="str">
        <f>IFERROR(INDEX('FB 콘텐츠 data'!$A$1:$AH$25,MATCH('FB 신규발행'!$A71,'FB 콘텐츠 data'!$AR:$AR,0),MATCH(E$2,'FB 콘텐츠 data'!$A$1:$AH$1,0)),"")</f>
        <v/>
      </c>
      <c r="F71" s="125" t="str">
        <f>IFERROR(INDEX('FB 콘텐츠 data'!$A$1:$AH$25,MATCH('FB 신규발행'!$A71,'FB 콘텐츠 data'!$AR:$AR,0),MATCH(F$2,'FB 콘텐츠 data'!$A$1:$AH$1,0)),"")</f>
        <v/>
      </c>
      <c r="G71" s="125" t="str">
        <f>IFERROR(INDEX('FB 콘텐츠 data'!$A$1:$AH$25,MATCH('FB 신규발행'!$A71,'FB 콘텐츠 data'!$AR:$AR,0),MATCH(G$2,'FB 콘텐츠 data'!$A$1:$AH$1,0)),"")</f>
        <v/>
      </c>
      <c r="H71" s="125" t="str">
        <f t="shared" si="9"/>
        <v/>
      </c>
      <c r="I71" s="125" t="str">
        <f>IFERROR(INDEX('FB 콘텐츠 data'!$A$1:$AH$25,MATCH('FB 신규발행'!$A71,'FB 콘텐츠 data'!$AR:$AR,0),MATCH(I$2,'FB 콘텐츠 data'!$A$1:$AH$1,0)),"")</f>
        <v/>
      </c>
      <c r="J71" s="125" t="str">
        <f>IFERROR(INDEX('FB 콘텐츠 data'!$A$1:$AH$25,MATCH('FB 신규발행'!$A71,'FB 콘텐츠 data'!$AR:$AR,0),MATCH(J$2,'FB 콘텐츠 data'!$A$1:$AH$1,0)),"")</f>
        <v/>
      </c>
      <c r="K71" s="124" t="str">
        <f>IFERROR(INDEX('FB 콘텐츠 data'!$A$1:$AR$25,MATCH('FB 신규발행'!$A71,'FB 콘텐츠 data'!$AR:$AR,0),MATCH(K$2,'FB 콘텐츠 data'!$A$1:$AR$1,0)),"")</f>
        <v/>
      </c>
      <c r="L71" s="125" t="str">
        <f>IFERROR(INDEX('FB 콘텐츠 data'!$A$1:$AH$25,MATCH('FB 신규발행'!$A71,'FB 콘텐츠 data'!$AR:$AR,0),MATCH(L$2,'FB 콘텐츠 data'!$A$1:$AH$1,0)),"")</f>
        <v/>
      </c>
      <c r="M71" s="125" t="str">
        <f>IFERROR(INDEX('FB 콘텐츠 data'!$A$1:$AH$25,MATCH('FB 신규발행'!$A71,'FB 콘텐츠 data'!$AR:$AR,0),MATCH(M$2,'FB 콘텐츠 data'!$A$1:$AH$1,0)),"")</f>
        <v/>
      </c>
      <c r="N71" s="125" t="str">
        <f>IFERROR(INDEX('FB 콘텐츠 data'!$A$1:$AH$25,MATCH('FB 신규발행'!$A71,'FB 콘텐츠 data'!$AR:$AR,0),MATCH(N$2,'FB 콘텐츠 data'!$A$1:$AH$1,0)),"")</f>
        <v/>
      </c>
      <c r="O71" s="125" t="str">
        <f>IFERROR(INDEX('FB 콘텐츠 data'!$A$1:$AH$25,MATCH('FB 신규발행'!$A71,'FB 콘텐츠 data'!$AR:$AR,0),MATCH(O$2,'FB 콘텐츠 data'!$A$1:$AH$1,0)),"")</f>
        <v/>
      </c>
      <c r="P71" s="125" t="str">
        <f>IFERROR(INDEX('FB 콘텐츠 data'!$A$1:$AH$25,MATCH('FB 신규발행'!$A71,'FB 콘텐츠 data'!$AR:$AR,0),MATCH(P$2,'FB 콘텐츠 data'!$A$1:$AH$1,0)),"")</f>
        <v/>
      </c>
      <c r="Q71" s="125" t="str">
        <f>IFERROR(INDEX('FB 콘텐츠 data'!$A$1:$AH$25,MATCH('FB 신규발행'!$A71,'FB 콘텐츠 data'!$AR:$AR,0),MATCH(Q$2,'FB 콘텐츠 data'!$A$1:$AH$1,0)),"")</f>
        <v/>
      </c>
      <c r="R71" s="126" t="str">
        <f t="shared" si="10"/>
        <v/>
      </c>
      <c r="T71" s="48" t="str">
        <f t="shared" si="11"/>
        <v/>
      </c>
      <c r="U71" s="48" t="str">
        <f t="shared" si="12"/>
        <v/>
      </c>
      <c r="Y71" s="112"/>
    </row>
    <row r="72" spans="1:25" ht="17.45" customHeight="1">
      <c r="A72" s="127">
        <v>70</v>
      </c>
      <c r="B72" s="123" t="str">
        <f>IFERROR(INDEX('FB 콘텐츠 data'!AQ:AQ,MATCH('FB 신규발행'!A72,'FB 콘텐츠 data'!AR:AR,0)),"")</f>
        <v/>
      </c>
      <c r="C72" s="124" t="str">
        <f>IFERROR(INDEX('FB 콘텐츠 data'!$A$1:$AH$25,MATCH('FB 신규발행'!$A72,'FB 콘텐츠 data'!$AR:$AR,0),MATCH(C$2,'FB 콘텐츠 data'!$A$1:$AH$1,0)),"")</f>
        <v/>
      </c>
      <c r="D72" s="125" t="str">
        <f>IFERROR(INDEX('FB 콘텐츠 data'!$A$1:$AH$25,MATCH('FB 신규발행'!$A72,'FB 콘텐츠 data'!$AR:$AR,0),MATCH(D$2,'FB 콘텐츠 data'!$A$1:$AH$1,0)),"")</f>
        <v/>
      </c>
      <c r="E72" s="125" t="str">
        <f>IFERROR(INDEX('FB 콘텐츠 data'!$A$1:$AH$25,MATCH('FB 신규발행'!$A72,'FB 콘텐츠 data'!$AR:$AR,0),MATCH(E$2,'FB 콘텐츠 data'!$A$1:$AH$1,0)),"")</f>
        <v/>
      </c>
      <c r="F72" s="125" t="str">
        <f>IFERROR(INDEX('FB 콘텐츠 data'!$A$1:$AH$25,MATCH('FB 신규발행'!$A72,'FB 콘텐츠 data'!$AR:$AR,0),MATCH(F$2,'FB 콘텐츠 data'!$A$1:$AH$1,0)),"")</f>
        <v/>
      </c>
      <c r="G72" s="125" t="str">
        <f>IFERROR(INDEX('FB 콘텐츠 data'!$A$1:$AH$25,MATCH('FB 신규발행'!$A72,'FB 콘텐츠 data'!$AR:$AR,0),MATCH(G$2,'FB 콘텐츠 data'!$A$1:$AH$1,0)),"")</f>
        <v/>
      </c>
      <c r="H72" s="125" t="str">
        <f t="shared" si="9"/>
        <v/>
      </c>
      <c r="I72" s="125" t="str">
        <f>IFERROR(INDEX('FB 콘텐츠 data'!$A$1:$AH$25,MATCH('FB 신규발행'!$A72,'FB 콘텐츠 data'!$AR:$AR,0),MATCH(I$2,'FB 콘텐츠 data'!$A$1:$AH$1,0)),"")</f>
        <v/>
      </c>
      <c r="J72" s="125" t="str">
        <f>IFERROR(INDEX('FB 콘텐츠 data'!$A$1:$AH$25,MATCH('FB 신규발행'!$A72,'FB 콘텐츠 data'!$AR:$AR,0),MATCH(J$2,'FB 콘텐츠 data'!$A$1:$AH$1,0)),"")</f>
        <v/>
      </c>
      <c r="K72" s="124" t="str">
        <f>IFERROR(INDEX('FB 콘텐츠 data'!$A$1:$AR$25,MATCH('FB 신규발행'!$A72,'FB 콘텐츠 data'!$AR:$AR,0),MATCH(K$2,'FB 콘텐츠 data'!$A$1:$AR$1,0)),"")</f>
        <v/>
      </c>
      <c r="L72" s="125" t="str">
        <f>IFERROR(INDEX('FB 콘텐츠 data'!$A$1:$AH$25,MATCH('FB 신규발행'!$A72,'FB 콘텐츠 data'!$AR:$AR,0),MATCH(L$2,'FB 콘텐츠 data'!$A$1:$AH$1,0)),"")</f>
        <v/>
      </c>
      <c r="M72" s="125" t="str">
        <f>IFERROR(INDEX('FB 콘텐츠 data'!$A$1:$AH$25,MATCH('FB 신규발행'!$A72,'FB 콘텐츠 data'!$AR:$AR,0),MATCH(M$2,'FB 콘텐츠 data'!$A$1:$AH$1,0)),"")</f>
        <v/>
      </c>
      <c r="N72" s="125" t="str">
        <f>IFERROR(INDEX('FB 콘텐츠 data'!$A$1:$AH$25,MATCH('FB 신규발행'!$A72,'FB 콘텐츠 data'!$AR:$AR,0),MATCH(N$2,'FB 콘텐츠 data'!$A$1:$AH$1,0)),"")</f>
        <v/>
      </c>
      <c r="O72" s="125" t="str">
        <f>IFERROR(INDEX('FB 콘텐츠 data'!$A$1:$AH$25,MATCH('FB 신규발행'!$A72,'FB 콘텐츠 data'!$AR:$AR,0),MATCH(O$2,'FB 콘텐츠 data'!$A$1:$AH$1,0)),"")</f>
        <v/>
      </c>
      <c r="P72" s="125" t="str">
        <f>IFERROR(INDEX('FB 콘텐츠 data'!$A$1:$AH$25,MATCH('FB 신규발행'!$A72,'FB 콘텐츠 data'!$AR:$AR,0),MATCH(P$2,'FB 콘텐츠 data'!$A$1:$AH$1,0)),"")</f>
        <v/>
      </c>
      <c r="Q72" s="125" t="str">
        <f>IFERROR(INDEX('FB 콘텐츠 data'!$A$1:$AH$25,MATCH('FB 신규발행'!$A72,'FB 콘텐츠 data'!$AR:$AR,0),MATCH(Q$2,'FB 콘텐츠 data'!$A$1:$AH$1,0)),"")</f>
        <v/>
      </c>
      <c r="R72" s="126" t="str">
        <f t="shared" si="10"/>
        <v/>
      </c>
      <c r="T72" s="48" t="str">
        <f t="shared" si="11"/>
        <v/>
      </c>
      <c r="U72" s="48" t="str">
        <f t="shared" si="12"/>
        <v/>
      </c>
      <c r="Y72" s="112"/>
    </row>
    <row r="73" spans="1:25" ht="17.45" customHeight="1">
      <c r="A73" s="127">
        <v>71</v>
      </c>
      <c r="B73" s="123" t="str">
        <f>IFERROR(INDEX('FB 콘텐츠 data'!AQ:AQ,MATCH('FB 신규발행'!A73,'FB 콘텐츠 data'!AR:AR,0)),"")</f>
        <v/>
      </c>
      <c r="C73" s="124" t="str">
        <f>IFERROR(INDEX('FB 콘텐츠 data'!$A$1:$AH$25,MATCH('FB 신규발행'!$A73,'FB 콘텐츠 data'!$AR:$AR,0),MATCH(C$2,'FB 콘텐츠 data'!$A$1:$AH$1,0)),"")</f>
        <v/>
      </c>
      <c r="D73" s="125" t="str">
        <f>IFERROR(INDEX('FB 콘텐츠 data'!$A$1:$AH$25,MATCH('FB 신규발행'!$A73,'FB 콘텐츠 data'!$AR:$AR,0),MATCH(D$2,'FB 콘텐츠 data'!$A$1:$AH$1,0)),"")</f>
        <v/>
      </c>
      <c r="E73" s="125" t="str">
        <f>IFERROR(INDEX('FB 콘텐츠 data'!$A$1:$AH$25,MATCH('FB 신규발행'!$A73,'FB 콘텐츠 data'!$AR:$AR,0),MATCH(E$2,'FB 콘텐츠 data'!$A$1:$AH$1,0)),"")</f>
        <v/>
      </c>
      <c r="F73" s="125" t="str">
        <f>IFERROR(INDEX('FB 콘텐츠 data'!$A$1:$AH$25,MATCH('FB 신규발행'!$A73,'FB 콘텐츠 data'!$AR:$AR,0),MATCH(F$2,'FB 콘텐츠 data'!$A$1:$AH$1,0)),"")</f>
        <v/>
      </c>
      <c r="G73" s="125" t="str">
        <f>IFERROR(INDEX('FB 콘텐츠 data'!$A$1:$AH$25,MATCH('FB 신규발행'!$A73,'FB 콘텐츠 data'!$AR:$AR,0),MATCH(G$2,'FB 콘텐츠 data'!$A$1:$AH$1,0)),"")</f>
        <v/>
      </c>
      <c r="H73" s="125" t="str">
        <f t="shared" si="9"/>
        <v/>
      </c>
      <c r="I73" s="125" t="str">
        <f>IFERROR(INDEX('FB 콘텐츠 data'!$A$1:$AH$25,MATCH('FB 신규발행'!$A73,'FB 콘텐츠 data'!$AR:$AR,0),MATCH(I$2,'FB 콘텐츠 data'!$A$1:$AH$1,0)),"")</f>
        <v/>
      </c>
      <c r="J73" s="125" t="str">
        <f>IFERROR(INDEX('FB 콘텐츠 data'!$A$1:$AH$25,MATCH('FB 신규발행'!$A73,'FB 콘텐츠 data'!$AR:$AR,0),MATCH(J$2,'FB 콘텐츠 data'!$A$1:$AH$1,0)),"")</f>
        <v/>
      </c>
      <c r="K73" s="124" t="str">
        <f>IFERROR(INDEX('FB 콘텐츠 data'!$A$1:$AR$25,MATCH('FB 신규발행'!$A73,'FB 콘텐츠 data'!$AR:$AR,0),MATCH(K$2,'FB 콘텐츠 data'!$A$1:$AR$1,0)),"")</f>
        <v/>
      </c>
      <c r="L73" s="125" t="str">
        <f>IFERROR(INDEX('FB 콘텐츠 data'!$A$1:$AH$25,MATCH('FB 신규발행'!$A73,'FB 콘텐츠 data'!$AR:$AR,0),MATCH(L$2,'FB 콘텐츠 data'!$A$1:$AH$1,0)),"")</f>
        <v/>
      </c>
      <c r="M73" s="125" t="str">
        <f>IFERROR(INDEX('FB 콘텐츠 data'!$A$1:$AH$25,MATCH('FB 신규발행'!$A73,'FB 콘텐츠 data'!$AR:$AR,0),MATCH(M$2,'FB 콘텐츠 data'!$A$1:$AH$1,0)),"")</f>
        <v/>
      </c>
      <c r="N73" s="125" t="str">
        <f>IFERROR(INDEX('FB 콘텐츠 data'!$A$1:$AH$25,MATCH('FB 신규발행'!$A73,'FB 콘텐츠 data'!$AR:$AR,0),MATCH(N$2,'FB 콘텐츠 data'!$A$1:$AH$1,0)),"")</f>
        <v/>
      </c>
      <c r="O73" s="125" t="str">
        <f>IFERROR(INDEX('FB 콘텐츠 data'!$A$1:$AH$25,MATCH('FB 신규발행'!$A73,'FB 콘텐츠 data'!$AR:$AR,0),MATCH(O$2,'FB 콘텐츠 data'!$A$1:$AH$1,0)),"")</f>
        <v/>
      </c>
      <c r="P73" s="125" t="str">
        <f>IFERROR(INDEX('FB 콘텐츠 data'!$A$1:$AH$25,MATCH('FB 신규발행'!$A73,'FB 콘텐츠 data'!$AR:$AR,0),MATCH(P$2,'FB 콘텐츠 data'!$A$1:$AH$1,0)),"")</f>
        <v/>
      </c>
      <c r="Q73" s="125" t="str">
        <f>IFERROR(INDEX('FB 콘텐츠 data'!$A$1:$AH$25,MATCH('FB 신규발행'!$A73,'FB 콘텐츠 data'!$AR:$AR,0),MATCH(Q$2,'FB 콘텐츠 data'!$A$1:$AH$1,0)),"")</f>
        <v/>
      </c>
      <c r="R73" s="126" t="str">
        <f t="shared" si="10"/>
        <v/>
      </c>
      <c r="T73" s="48" t="str">
        <f t="shared" si="11"/>
        <v/>
      </c>
      <c r="U73" s="48" t="str">
        <f t="shared" si="12"/>
        <v/>
      </c>
      <c r="Y73" s="112"/>
    </row>
    <row r="74" spans="1:25" ht="17.45" customHeight="1">
      <c r="A74" s="127">
        <v>72</v>
      </c>
      <c r="B74" s="123" t="str">
        <f>IFERROR(INDEX('FB 콘텐츠 data'!AQ:AQ,MATCH('FB 신규발행'!A74,'FB 콘텐츠 data'!AR:AR,0)),"")</f>
        <v/>
      </c>
      <c r="C74" s="124" t="str">
        <f>IFERROR(INDEX('FB 콘텐츠 data'!$A$1:$AH$25,MATCH('FB 신규발행'!$A74,'FB 콘텐츠 data'!$AR:$AR,0),MATCH(C$2,'FB 콘텐츠 data'!$A$1:$AH$1,0)),"")</f>
        <v/>
      </c>
      <c r="D74" s="125" t="str">
        <f>IFERROR(INDEX('FB 콘텐츠 data'!$A$1:$AH$25,MATCH('FB 신규발행'!$A74,'FB 콘텐츠 data'!$AR:$AR,0),MATCH(D$2,'FB 콘텐츠 data'!$A$1:$AH$1,0)),"")</f>
        <v/>
      </c>
      <c r="E74" s="125" t="str">
        <f>IFERROR(INDEX('FB 콘텐츠 data'!$A$1:$AH$25,MATCH('FB 신규발행'!$A74,'FB 콘텐츠 data'!$AR:$AR,0),MATCH(E$2,'FB 콘텐츠 data'!$A$1:$AH$1,0)),"")</f>
        <v/>
      </c>
      <c r="F74" s="125" t="str">
        <f>IFERROR(INDEX('FB 콘텐츠 data'!$A$1:$AH$25,MATCH('FB 신규발행'!$A74,'FB 콘텐츠 data'!$AR:$AR,0),MATCH(F$2,'FB 콘텐츠 data'!$A$1:$AH$1,0)),"")</f>
        <v/>
      </c>
      <c r="G74" s="125" t="str">
        <f>IFERROR(INDEX('FB 콘텐츠 data'!$A$1:$AH$25,MATCH('FB 신규발행'!$A74,'FB 콘텐츠 data'!$AR:$AR,0),MATCH(G$2,'FB 콘텐츠 data'!$A$1:$AH$1,0)),"")</f>
        <v/>
      </c>
      <c r="H74" s="125" t="str">
        <f t="shared" si="9"/>
        <v/>
      </c>
      <c r="I74" s="125" t="str">
        <f>IFERROR(INDEX('FB 콘텐츠 data'!$A$1:$AH$25,MATCH('FB 신규발행'!$A74,'FB 콘텐츠 data'!$AR:$AR,0),MATCH(I$2,'FB 콘텐츠 data'!$A$1:$AH$1,0)),"")</f>
        <v/>
      </c>
      <c r="J74" s="125" t="str">
        <f>IFERROR(INDEX('FB 콘텐츠 data'!$A$1:$AH$25,MATCH('FB 신규발행'!$A74,'FB 콘텐츠 data'!$AR:$AR,0),MATCH(J$2,'FB 콘텐츠 data'!$A$1:$AH$1,0)),"")</f>
        <v/>
      </c>
      <c r="K74" s="124" t="str">
        <f>IFERROR(INDEX('FB 콘텐츠 data'!$A$1:$AR$25,MATCH('FB 신규발행'!$A74,'FB 콘텐츠 data'!$AR:$AR,0),MATCH(K$2,'FB 콘텐츠 data'!$A$1:$AR$1,0)),"")</f>
        <v/>
      </c>
      <c r="L74" s="125" t="str">
        <f>IFERROR(INDEX('FB 콘텐츠 data'!$A$1:$AH$25,MATCH('FB 신규발행'!$A74,'FB 콘텐츠 data'!$AR:$AR,0),MATCH(L$2,'FB 콘텐츠 data'!$A$1:$AH$1,0)),"")</f>
        <v/>
      </c>
      <c r="M74" s="125" t="str">
        <f>IFERROR(INDEX('FB 콘텐츠 data'!$A$1:$AH$25,MATCH('FB 신규발행'!$A74,'FB 콘텐츠 data'!$AR:$AR,0),MATCH(M$2,'FB 콘텐츠 data'!$A$1:$AH$1,0)),"")</f>
        <v/>
      </c>
      <c r="N74" s="125" t="str">
        <f>IFERROR(INDEX('FB 콘텐츠 data'!$A$1:$AH$25,MATCH('FB 신규발행'!$A74,'FB 콘텐츠 data'!$AR:$AR,0),MATCH(N$2,'FB 콘텐츠 data'!$A$1:$AH$1,0)),"")</f>
        <v/>
      </c>
      <c r="O74" s="125" t="str">
        <f>IFERROR(INDEX('FB 콘텐츠 data'!$A$1:$AH$25,MATCH('FB 신규발행'!$A74,'FB 콘텐츠 data'!$AR:$AR,0),MATCH(O$2,'FB 콘텐츠 data'!$A$1:$AH$1,0)),"")</f>
        <v/>
      </c>
      <c r="P74" s="125" t="str">
        <f>IFERROR(INDEX('FB 콘텐츠 data'!$A$1:$AH$25,MATCH('FB 신규발행'!$A74,'FB 콘텐츠 data'!$AR:$AR,0),MATCH(P$2,'FB 콘텐츠 data'!$A$1:$AH$1,0)),"")</f>
        <v/>
      </c>
      <c r="Q74" s="125" t="str">
        <f>IFERROR(INDEX('FB 콘텐츠 data'!$A$1:$AH$25,MATCH('FB 신규발행'!$A74,'FB 콘텐츠 data'!$AR:$AR,0),MATCH(Q$2,'FB 콘텐츠 data'!$A$1:$AH$1,0)),"")</f>
        <v/>
      </c>
      <c r="R74" s="126" t="str">
        <f t="shared" si="10"/>
        <v/>
      </c>
      <c r="T74" s="48" t="str">
        <f t="shared" si="11"/>
        <v/>
      </c>
      <c r="U74" s="48" t="str">
        <f t="shared" si="12"/>
        <v/>
      </c>
      <c r="Y74" s="112"/>
    </row>
    <row r="75" spans="1:25" ht="17.45" customHeight="1">
      <c r="A75" s="127">
        <v>73</v>
      </c>
      <c r="B75" s="123" t="str">
        <f>IFERROR(INDEX('FB 콘텐츠 data'!AQ:AQ,MATCH('FB 신규발행'!A75,'FB 콘텐츠 data'!AR:AR,0)),"")</f>
        <v/>
      </c>
      <c r="C75" s="124" t="str">
        <f>IFERROR(INDEX('FB 콘텐츠 data'!$A$1:$AH$25,MATCH('FB 신규발행'!$A75,'FB 콘텐츠 data'!$AR:$AR,0),MATCH(C$2,'FB 콘텐츠 data'!$A$1:$AH$1,0)),"")</f>
        <v/>
      </c>
      <c r="D75" s="125" t="str">
        <f>IFERROR(INDEX('FB 콘텐츠 data'!$A$1:$AH$25,MATCH('FB 신규발행'!$A75,'FB 콘텐츠 data'!$AR:$AR,0),MATCH(D$2,'FB 콘텐츠 data'!$A$1:$AH$1,0)),"")</f>
        <v/>
      </c>
      <c r="E75" s="125" t="str">
        <f>IFERROR(INDEX('FB 콘텐츠 data'!$A$1:$AH$25,MATCH('FB 신규발행'!$A75,'FB 콘텐츠 data'!$AR:$AR,0),MATCH(E$2,'FB 콘텐츠 data'!$A$1:$AH$1,0)),"")</f>
        <v/>
      </c>
      <c r="F75" s="125" t="str">
        <f>IFERROR(INDEX('FB 콘텐츠 data'!$A$1:$AH$25,MATCH('FB 신규발행'!$A75,'FB 콘텐츠 data'!$AR:$AR,0),MATCH(F$2,'FB 콘텐츠 data'!$A$1:$AH$1,0)),"")</f>
        <v/>
      </c>
      <c r="G75" s="125" t="str">
        <f>IFERROR(INDEX('FB 콘텐츠 data'!$A$1:$AH$25,MATCH('FB 신규발행'!$A75,'FB 콘텐츠 data'!$AR:$AR,0),MATCH(G$2,'FB 콘텐츠 data'!$A$1:$AH$1,0)),"")</f>
        <v/>
      </c>
      <c r="H75" s="125" t="str">
        <f t="shared" si="9"/>
        <v/>
      </c>
      <c r="I75" s="125" t="str">
        <f>IFERROR(INDEX('FB 콘텐츠 data'!$A$1:$AH$25,MATCH('FB 신규발행'!$A75,'FB 콘텐츠 data'!$AR:$AR,0),MATCH(I$2,'FB 콘텐츠 data'!$A$1:$AH$1,0)),"")</f>
        <v/>
      </c>
      <c r="J75" s="125" t="str">
        <f>IFERROR(INDEX('FB 콘텐츠 data'!$A$1:$AH$25,MATCH('FB 신규발행'!$A75,'FB 콘텐츠 data'!$AR:$AR,0),MATCH(J$2,'FB 콘텐츠 data'!$A$1:$AH$1,0)),"")</f>
        <v/>
      </c>
      <c r="K75" s="124" t="str">
        <f>IFERROR(INDEX('FB 콘텐츠 data'!$A$1:$AR$25,MATCH('FB 신규발행'!$A75,'FB 콘텐츠 data'!$AR:$AR,0),MATCH(K$2,'FB 콘텐츠 data'!$A$1:$AR$1,0)),"")</f>
        <v/>
      </c>
      <c r="L75" s="125" t="str">
        <f>IFERROR(INDEX('FB 콘텐츠 data'!$A$1:$AH$25,MATCH('FB 신규발행'!$A75,'FB 콘텐츠 data'!$AR:$AR,0),MATCH(L$2,'FB 콘텐츠 data'!$A$1:$AH$1,0)),"")</f>
        <v/>
      </c>
      <c r="M75" s="125" t="str">
        <f>IFERROR(INDEX('FB 콘텐츠 data'!$A$1:$AH$25,MATCH('FB 신규발행'!$A75,'FB 콘텐츠 data'!$AR:$AR,0),MATCH(M$2,'FB 콘텐츠 data'!$A$1:$AH$1,0)),"")</f>
        <v/>
      </c>
      <c r="N75" s="125" t="str">
        <f>IFERROR(INDEX('FB 콘텐츠 data'!$A$1:$AH$25,MATCH('FB 신규발행'!$A75,'FB 콘텐츠 data'!$AR:$AR,0),MATCH(N$2,'FB 콘텐츠 data'!$A$1:$AH$1,0)),"")</f>
        <v/>
      </c>
      <c r="O75" s="125" t="str">
        <f>IFERROR(INDEX('FB 콘텐츠 data'!$A$1:$AH$25,MATCH('FB 신규발행'!$A75,'FB 콘텐츠 data'!$AR:$AR,0),MATCH(O$2,'FB 콘텐츠 data'!$A$1:$AH$1,0)),"")</f>
        <v/>
      </c>
      <c r="P75" s="125" t="str">
        <f>IFERROR(INDEX('FB 콘텐츠 data'!$A$1:$AH$25,MATCH('FB 신규발행'!$A75,'FB 콘텐츠 data'!$AR:$AR,0),MATCH(P$2,'FB 콘텐츠 data'!$A$1:$AH$1,0)),"")</f>
        <v/>
      </c>
      <c r="Q75" s="125" t="str">
        <f>IFERROR(INDEX('FB 콘텐츠 data'!$A$1:$AH$25,MATCH('FB 신규발행'!$A75,'FB 콘텐츠 data'!$AR:$AR,0),MATCH(Q$2,'FB 콘텐츠 data'!$A$1:$AH$1,0)),"")</f>
        <v/>
      </c>
      <c r="R75" s="126" t="str">
        <f t="shared" si="10"/>
        <v/>
      </c>
      <c r="T75" s="48" t="str">
        <f t="shared" si="11"/>
        <v/>
      </c>
      <c r="U75" s="48" t="str">
        <f t="shared" si="12"/>
        <v/>
      </c>
      <c r="Y75" s="112"/>
    </row>
    <row r="76" spans="1:25" ht="17.45" customHeight="1">
      <c r="A76" s="127">
        <v>74</v>
      </c>
      <c r="B76" s="123" t="str">
        <f>IFERROR(INDEX('FB 콘텐츠 data'!AQ:AQ,MATCH('FB 신규발행'!A76,'FB 콘텐츠 data'!AR:AR,0)),"")</f>
        <v/>
      </c>
      <c r="C76" s="124" t="str">
        <f>IFERROR(INDEX('FB 콘텐츠 data'!$A$1:$AH$25,MATCH('FB 신규발행'!$A76,'FB 콘텐츠 data'!$AR:$AR,0),MATCH(C$2,'FB 콘텐츠 data'!$A$1:$AH$1,0)),"")</f>
        <v/>
      </c>
      <c r="D76" s="125" t="str">
        <f>IFERROR(INDEX('FB 콘텐츠 data'!$A$1:$AH$25,MATCH('FB 신규발행'!$A76,'FB 콘텐츠 data'!$AR:$AR,0),MATCH(D$2,'FB 콘텐츠 data'!$A$1:$AH$1,0)),"")</f>
        <v/>
      </c>
      <c r="E76" s="125" t="str">
        <f>IFERROR(INDEX('FB 콘텐츠 data'!$A$1:$AH$25,MATCH('FB 신규발행'!$A76,'FB 콘텐츠 data'!$AR:$AR,0),MATCH(E$2,'FB 콘텐츠 data'!$A$1:$AH$1,0)),"")</f>
        <v/>
      </c>
      <c r="F76" s="125" t="str">
        <f>IFERROR(INDEX('FB 콘텐츠 data'!$A$1:$AH$25,MATCH('FB 신규발행'!$A76,'FB 콘텐츠 data'!$AR:$AR,0),MATCH(F$2,'FB 콘텐츠 data'!$A$1:$AH$1,0)),"")</f>
        <v/>
      </c>
      <c r="G76" s="125" t="str">
        <f>IFERROR(INDEX('FB 콘텐츠 data'!$A$1:$AH$25,MATCH('FB 신규발행'!$A76,'FB 콘텐츠 data'!$AR:$AR,0),MATCH(G$2,'FB 콘텐츠 data'!$A$1:$AH$1,0)),"")</f>
        <v/>
      </c>
      <c r="H76" s="125" t="str">
        <f t="shared" si="9"/>
        <v/>
      </c>
      <c r="I76" s="125" t="str">
        <f>IFERROR(INDEX('FB 콘텐츠 data'!$A$1:$AH$25,MATCH('FB 신규발행'!$A76,'FB 콘텐츠 data'!$AR:$AR,0),MATCH(I$2,'FB 콘텐츠 data'!$A$1:$AH$1,0)),"")</f>
        <v/>
      </c>
      <c r="J76" s="125" t="str">
        <f>IFERROR(INDEX('FB 콘텐츠 data'!$A$1:$AH$25,MATCH('FB 신규발행'!$A76,'FB 콘텐츠 data'!$AR:$AR,0),MATCH(J$2,'FB 콘텐츠 data'!$A$1:$AH$1,0)),"")</f>
        <v/>
      </c>
      <c r="K76" s="124" t="str">
        <f>IFERROR(INDEX('FB 콘텐츠 data'!$A$1:$AR$25,MATCH('FB 신규발행'!$A76,'FB 콘텐츠 data'!$AR:$AR,0),MATCH(K$2,'FB 콘텐츠 data'!$A$1:$AR$1,0)),"")</f>
        <v/>
      </c>
      <c r="L76" s="125" t="str">
        <f>IFERROR(INDEX('FB 콘텐츠 data'!$A$1:$AH$25,MATCH('FB 신규발행'!$A76,'FB 콘텐츠 data'!$AR:$AR,0),MATCH(L$2,'FB 콘텐츠 data'!$A$1:$AH$1,0)),"")</f>
        <v/>
      </c>
      <c r="M76" s="125" t="str">
        <f>IFERROR(INDEX('FB 콘텐츠 data'!$A$1:$AH$25,MATCH('FB 신규발행'!$A76,'FB 콘텐츠 data'!$AR:$AR,0),MATCH(M$2,'FB 콘텐츠 data'!$A$1:$AH$1,0)),"")</f>
        <v/>
      </c>
      <c r="N76" s="125" t="str">
        <f>IFERROR(INDEX('FB 콘텐츠 data'!$A$1:$AH$25,MATCH('FB 신규발행'!$A76,'FB 콘텐츠 data'!$AR:$AR,0),MATCH(N$2,'FB 콘텐츠 data'!$A$1:$AH$1,0)),"")</f>
        <v/>
      </c>
      <c r="O76" s="125" t="str">
        <f>IFERROR(INDEX('FB 콘텐츠 data'!$A$1:$AH$25,MATCH('FB 신규발행'!$A76,'FB 콘텐츠 data'!$AR:$AR,0),MATCH(O$2,'FB 콘텐츠 data'!$A$1:$AH$1,0)),"")</f>
        <v/>
      </c>
      <c r="P76" s="125" t="str">
        <f>IFERROR(INDEX('FB 콘텐츠 data'!$A$1:$AH$25,MATCH('FB 신규발행'!$A76,'FB 콘텐츠 data'!$AR:$AR,0),MATCH(P$2,'FB 콘텐츠 data'!$A$1:$AH$1,0)),"")</f>
        <v/>
      </c>
      <c r="Q76" s="125" t="str">
        <f>IFERROR(INDEX('FB 콘텐츠 data'!$A$1:$AH$25,MATCH('FB 신규발행'!$A76,'FB 콘텐츠 data'!$AR:$AR,0),MATCH(Q$2,'FB 콘텐츠 data'!$A$1:$AH$1,0)),"")</f>
        <v/>
      </c>
      <c r="R76" s="126" t="str">
        <f t="shared" si="10"/>
        <v/>
      </c>
      <c r="T76" s="48" t="str">
        <f t="shared" si="11"/>
        <v/>
      </c>
      <c r="U76" s="48" t="str">
        <f t="shared" si="12"/>
        <v/>
      </c>
      <c r="Y76" s="112"/>
    </row>
    <row r="77" spans="1:25" ht="17.45" customHeight="1">
      <c r="A77" s="127">
        <v>75</v>
      </c>
      <c r="B77" s="123" t="str">
        <f>IFERROR(INDEX('FB 콘텐츠 data'!AQ:AQ,MATCH('FB 신규발행'!A77,'FB 콘텐츠 data'!AR:AR,0)),"")</f>
        <v/>
      </c>
      <c r="C77" s="124" t="str">
        <f>IFERROR(INDEX('FB 콘텐츠 data'!$A$1:$AH$25,MATCH('FB 신규발행'!$A77,'FB 콘텐츠 data'!$AR:$AR,0),MATCH(C$2,'FB 콘텐츠 data'!$A$1:$AH$1,0)),"")</f>
        <v/>
      </c>
      <c r="D77" s="125" t="str">
        <f>IFERROR(INDEX('FB 콘텐츠 data'!$A$1:$AH$25,MATCH('FB 신규발행'!$A77,'FB 콘텐츠 data'!$AR:$AR,0),MATCH(D$2,'FB 콘텐츠 data'!$A$1:$AH$1,0)),"")</f>
        <v/>
      </c>
      <c r="E77" s="125" t="str">
        <f>IFERROR(INDEX('FB 콘텐츠 data'!$A$1:$AH$25,MATCH('FB 신규발행'!$A77,'FB 콘텐츠 data'!$AR:$AR,0),MATCH(E$2,'FB 콘텐츠 data'!$A$1:$AH$1,0)),"")</f>
        <v/>
      </c>
      <c r="F77" s="125" t="str">
        <f>IFERROR(INDEX('FB 콘텐츠 data'!$A$1:$AH$25,MATCH('FB 신규발행'!$A77,'FB 콘텐츠 data'!$AR:$AR,0),MATCH(F$2,'FB 콘텐츠 data'!$A$1:$AH$1,0)),"")</f>
        <v/>
      </c>
      <c r="G77" s="125" t="str">
        <f>IFERROR(INDEX('FB 콘텐츠 data'!$A$1:$AH$25,MATCH('FB 신규발행'!$A77,'FB 콘텐츠 data'!$AR:$AR,0),MATCH(G$2,'FB 콘텐츠 data'!$A$1:$AH$1,0)),"")</f>
        <v/>
      </c>
      <c r="H77" s="125" t="str">
        <f t="shared" si="9"/>
        <v/>
      </c>
      <c r="I77" s="125" t="str">
        <f>IFERROR(INDEX('FB 콘텐츠 data'!$A$1:$AH$25,MATCH('FB 신규발행'!$A77,'FB 콘텐츠 data'!$AR:$AR,0),MATCH(I$2,'FB 콘텐츠 data'!$A$1:$AH$1,0)),"")</f>
        <v/>
      </c>
      <c r="J77" s="125" t="str">
        <f>IFERROR(INDEX('FB 콘텐츠 data'!$A$1:$AH$25,MATCH('FB 신규발행'!$A77,'FB 콘텐츠 data'!$AR:$AR,0),MATCH(J$2,'FB 콘텐츠 data'!$A$1:$AH$1,0)),"")</f>
        <v/>
      </c>
      <c r="K77" s="124" t="str">
        <f>IFERROR(INDEX('FB 콘텐츠 data'!$A$1:$AR$25,MATCH('FB 신규발행'!$A77,'FB 콘텐츠 data'!$AR:$AR,0),MATCH(K$2,'FB 콘텐츠 data'!$A$1:$AR$1,0)),"")</f>
        <v/>
      </c>
      <c r="L77" s="125" t="str">
        <f>IFERROR(INDEX('FB 콘텐츠 data'!$A$1:$AH$25,MATCH('FB 신규발행'!$A77,'FB 콘텐츠 data'!$AR:$AR,0),MATCH(L$2,'FB 콘텐츠 data'!$A$1:$AH$1,0)),"")</f>
        <v/>
      </c>
      <c r="M77" s="125" t="str">
        <f>IFERROR(INDEX('FB 콘텐츠 data'!$A$1:$AH$25,MATCH('FB 신규발행'!$A77,'FB 콘텐츠 data'!$AR:$AR,0),MATCH(M$2,'FB 콘텐츠 data'!$A$1:$AH$1,0)),"")</f>
        <v/>
      </c>
      <c r="N77" s="125" t="str">
        <f>IFERROR(INDEX('FB 콘텐츠 data'!$A$1:$AH$25,MATCH('FB 신규발행'!$A77,'FB 콘텐츠 data'!$AR:$AR,0),MATCH(N$2,'FB 콘텐츠 data'!$A$1:$AH$1,0)),"")</f>
        <v/>
      </c>
      <c r="O77" s="125" t="str">
        <f>IFERROR(INDEX('FB 콘텐츠 data'!$A$1:$AH$25,MATCH('FB 신규발행'!$A77,'FB 콘텐츠 data'!$AR:$AR,0),MATCH(O$2,'FB 콘텐츠 data'!$A$1:$AH$1,0)),"")</f>
        <v/>
      </c>
      <c r="P77" s="125" t="str">
        <f>IFERROR(INDEX('FB 콘텐츠 data'!$A$1:$AH$25,MATCH('FB 신규발행'!$A77,'FB 콘텐츠 data'!$AR:$AR,0),MATCH(P$2,'FB 콘텐츠 data'!$A$1:$AH$1,0)),"")</f>
        <v/>
      </c>
      <c r="Q77" s="125" t="str">
        <f>IFERROR(INDEX('FB 콘텐츠 data'!$A$1:$AH$25,MATCH('FB 신규발행'!$A77,'FB 콘텐츠 data'!$AR:$AR,0),MATCH(Q$2,'FB 콘텐츠 data'!$A$1:$AH$1,0)),"")</f>
        <v/>
      </c>
      <c r="R77" s="126" t="str">
        <f t="shared" si="10"/>
        <v/>
      </c>
      <c r="T77" s="48" t="str">
        <f t="shared" si="11"/>
        <v/>
      </c>
      <c r="U77" s="48" t="str">
        <f t="shared" si="12"/>
        <v/>
      </c>
      <c r="Y77" s="112"/>
    </row>
    <row r="78" spans="1:25" ht="17.45" customHeight="1">
      <c r="A78" s="127">
        <v>76</v>
      </c>
      <c r="B78" s="123" t="str">
        <f>IFERROR(INDEX('FB 콘텐츠 data'!AQ:AQ,MATCH('FB 신규발행'!A78,'FB 콘텐츠 data'!AR:AR,0)),"")</f>
        <v/>
      </c>
      <c r="C78" s="124" t="str">
        <f>IFERROR(INDEX('FB 콘텐츠 data'!$A$1:$AH$25,MATCH('FB 신규발행'!$A78,'FB 콘텐츠 data'!$AR:$AR,0),MATCH(C$2,'FB 콘텐츠 data'!$A$1:$AH$1,0)),"")</f>
        <v/>
      </c>
      <c r="D78" s="125" t="str">
        <f>IFERROR(INDEX('FB 콘텐츠 data'!$A$1:$AH$25,MATCH('FB 신규발행'!$A78,'FB 콘텐츠 data'!$AR:$AR,0),MATCH(D$2,'FB 콘텐츠 data'!$A$1:$AH$1,0)),"")</f>
        <v/>
      </c>
      <c r="E78" s="125" t="str">
        <f>IFERROR(INDEX('FB 콘텐츠 data'!$A$1:$AH$25,MATCH('FB 신규발행'!$A78,'FB 콘텐츠 data'!$AR:$AR,0),MATCH(E$2,'FB 콘텐츠 data'!$A$1:$AH$1,0)),"")</f>
        <v/>
      </c>
      <c r="F78" s="125" t="str">
        <f>IFERROR(INDEX('FB 콘텐츠 data'!$A$1:$AH$25,MATCH('FB 신규발행'!$A78,'FB 콘텐츠 data'!$AR:$AR,0),MATCH(F$2,'FB 콘텐츠 data'!$A$1:$AH$1,0)),"")</f>
        <v/>
      </c>
      <c r="G78" s="125" t="str">
        <f>IFERROR(INDEX('FB 콘텐츠 data'!$A$1:$AH$25,MATCH('FB 신규발행'!$A78,'FB 콘텐츠 data'!$AR:$AR,0),MATCH(G$2,'FB 콘텐츠 data'!$A$1:$AH$1,0)),"")</f>
        <v/>
      </c>
      <c r="H78" s="125" t="str">
        <f t="shared" si="9"/>
        <v/>
      </c>
      <c r="I78" s="125" t="str">
        <f>IFERROR(INDEX('FB 콘텐츠 data'!$A$1:$AH$25,MATCH('FB 신규발행'!$A78,'FB 콘텐츠 data'!$AR:$AR,0),MATCH(I$2,'FB 콘텐츠 data'!$A$1:$AH$1,0)),"")</f>
        <v/>
      </c>
      <c r="J78" s="125" t="str">
        <f>IFERROR(INDEX('FB 콘텐츠 data'!$A$1:$AH$25,MATCH('FB 신규발행'!$A78,'FB 콘텐츠 data'!$AR:$AR,0),MATCH(J$2,'FB 콘텐츠 data'!$A$1:$AH$1,0)),"")</f>
        <v/>
      </c>
      <c r="K78" s="124" t="str">
        <f>IFERROR(INDEX('FB 콘텐츠 data'!$A$1:$AR$25,MATCH('FB 신규발행'!$A78,'FB 콘텐츠 data'!$AR:$AR,0),MATCH(K$2,'FB 콘텐츠 data'!$A$1:$AR$1,0)),"")</f>
        <v/>
      </c>
      <c r="L78" s="125" t="str">
        <f>IFERROR(INDEX('FB 콘텐츠 data'!$A$1:$AH$25,MATCH('FB 신규발행'!$A78,'FB 콘텐츠 data'!$AR:$AR,0),MATCH(L$2,'FB 콘텐츠 data'!$A$1:$AH$1,0)),"")</f>
        <v/>
      </c>
      <c r="M78" s="125" t="str">
        <f>IFERROR(INDEX('FB 콘텐츠 data'!$A$1:$AH$25,MATCH('FB 신규발행'!$A78,'FB 콘텐츠 data'!$AR:$AR,0),MATCH(M$2,'FB 콘텐츠 data'!$A$1:$AH$1,0)),"")</f>
        <v/>
      </c>
      <c r="N78" s="125" t="str">
        <f>IFERROR(INDEX('FB 콘텐츠 data'!$A$1:$AH$25,MATCH('FB 신규발행'!$A78,'FB 콘텐츠 data'!$AR:$AR,0),MATCH(N$2,'FB 콘텐츠 data'!$A$1:$AH$1,0)),"")</f>
        <v/>
      </c>
      <c r="O78" s="125" t="str">
        <f>IFERROR(INDEX('FB 콘텐츠 data'!$A$1:$AH$25,MATCH('FB 신규발행'!$A78,'FB 콘텐츠 data'!$AR:$AR,0),MATCH(O$2,'FB 콘텐츠 data'!$A$1:$AH$1,0)),"")</f>
        <v/>
      </c>
      <c r="P78" s="125" t="str">
        <f>IFERROR(INDEX('FB 콘텐츠 data'!$A$1:$AH$25,MATCH('FB 신규발행'!$A78,'FB 콘텐츠 data'!$AR:$AR,0),MATCH(P$2,'FB 콘텐츠 data'!$A$1:$AH$1,0)),"")</f>
        <v/>
      </c>
      <c r="Q78" s="125" t="str">
        <f>IFERROR(INDEX('FB 콘텐츠 data'!$A$1:$AH$25,MATCH('FB 신규발행'!$A78,'FB 콘텐츠 data'!$AR:$AR,0),MATCH(Q$2,'FB 콘텐츠 data'!$A$1:$AH$1,0)),"")</f>
        <v/>
      </c>
      <c r="R78" s="126" t="str">
        <f t="shared" si="10"/>
        <v/>
      </c>
      <c r="T78" s="48" t="str">
        <f t="shared" si="11"/>
        <v/>
      </c>
      <c r="U78" s="48" t="str">
        <f t="shared" si="12"/>
        <v/>
      </c>
      <c r="Y78" s="112"/>
    </row>
    <row r="79" spans="1:25" ht="17.45" customHeight="1">
      <c r="A79" s="127">
        <v>77</v>
      </c>
      <c r="B79" s="123" t="str">
        <f>IFERROR(INDEX('FB 콘텐츠 data'!AQ:AQ,MATCH('FB 신규발행'!A79,'FB 콘텐츠 data'!AR:AR,0)),"")</f>
        <v/>
      </c>
      <c r="C79" s="124" t="str">
        <f>IFERROR(INDEX('FB 콘텐츠 data'!$A$1:$AH$25,MATCH('FB 신규발행'!$A79,'FB 콘텐츠 data'!$AR:$AR,0),MATCH(C$2,'FB 콘텐츠 data'!$A$1:$AH$1,0)),"")</f>
        <v/>
      </c>
      <c r="D79" s="125" t="str">
        <f>IFERROR(INDEX('FB 콘텐츠 data'!$A$1:$AH$25,MATCH('FB 신규발행'!$A79,'FB 콘텐츠 data'!$AR:$AR,0),MATCH(D$2,'FB 콘텐츠 data'!$A$1:$AH$1,0)),"")</f>
        <v/>
      </c>
      <c r="E79" s="125" t="str">
        <f>IFERROR(INDEX('FB 콘텐츠 data'!$A$1:$AH$25,MATCH('FB 신규발행'!$A79,'FB 콘텐츠 data'!$AR:$AR,0),MATCH(E$2,'FB 콘텐츠 data'!$A$1:$AH$1,0)),"")</f>
        <v/>
      </c>
      <c r="F79" s="125" t="str">
        <f>IFERROR(INDEX('FB 콘텐츠 data'!$A$1:$AH$25,MATCH('FB 신규발행'!$A79,'FB 콘텐츠 data'!$AR:$AR,0),MATCH(F$2,'FB 콘텐츠 data'!$A$1:$AH$1,0)),"")</f>
        <v/>
      </c>
      <c r="G79" s="125" t="str">
        <f>IFERROR(INDEX('FB 콘텐츠 data'!$A$1:$AH$25,MATCH('FB 신규발행'!$A79,'FB 콘텐츠 data'!$AR:$AR,0),MATCH(G$2,'FB 콘텐츠 data'!$A$1:$AH$1,0)),"")</f>
        <v/>
      </c>
      <c r="H79" s="125" t="str">
        <f t="shared" si="9"/>
        <v/>
      </c>
      <c r="I79" s="125" t="str">
        <f>IFERROR(INDEX('FB 콘텐츠 data'!$A$1:$AH$25,MATCH('FB 신규발행'!$A79,'FB 콘텐츠 data'!$AR:$AR,0),MATCH(I$2,'FB 콘텐츠 data'!$A$1:$AH$1,0)),"")</f>
        <v/>
      </c>
      <c r="J79" s="125" t="str">
        <f>IFERROR(INDEX('FB 콘텐츠 data'!$A$1:$AH$25,MATCH('FB 신규발행'!$A79,'FB 콘텐츠 data'!$AR:$AR,0),MATCH(J$2,'FB 콘텐츠 data'!$A$1:$AH$1,0)),"")</f>
        <v/>
      </c>
      <c r="K79" s="124" t="str">
        <f>IFERROR(INDEX('FB 콘텐츠 data'!$A$1:$AR$25,MATCH('FB 신규발행'!$A79,'FB 콘텐츠 data'!$AR:$AR,0),MATCH(K$2,'FB 콘텐츠 data'!$A$1:$AR$1,0)),"")</f>
        <v/>
      </c>
      <c r="L79" s="125" t="str">
        <f>IFERROR(INDEX('FB 콘텐츠 data'!$A$1:$AH$25,MATCH('FB 신규발행'!$A79,'FB 콘텐츠 data'!$AR:$AR,0),MATCH(L$2,'FB 콘텐츠 data'!$A$1:$AH$1,0)),"")</f>
        <v/>
      </c>
      <c r="M79" s="125" t="str">
        <f>IFERROR(INDEX('FB 콘텐츠 data'!$A$1:$AH$25,MATCH('FB 신규발행'!$A79,'FB 콘텐츠 data'!$AR:$AR,0),MATCH(M$2,'FB 콘텐츠 data'!$A$1:$AH$1,0)),"")</f>
        <v/>
      </c>
      <c r="N79" s="125" t="str">
        <f>IFERROR(INDEX('FB 콘텐츠 data'!$A$1:$AH$25,MATCH('FB 신규발행'!$A79,'FB 콘텐츠 data'!$AR:$AR,0),MATCH(N$2,'FB 콘텐츠 data'!$A$1:$AH$1,0)),"")</f>
        <v/>
      </c>
      <c r="O79" s="125" t="str">
        <f>IFERROR(INDEX('FB 콘텐츠 data'!$A$1:$AH$25,MATCH('FB 신규발행'!$A79,'FB 콘텐츠 data'!$AR:$AR,0),MATCH(O$2,'FB 콘텐츠 data'!$A$1:$AH$1,0)),"")</f>
        <v/>
      </c>
      <c r="P79" s="125" t="str">
        <f>IFERROR(INDEX('FB 콘텐츠 data'!$A$1:$AH$25,MATCH('FB 신규발행'!$A79,'FB 콘텐츠 data'!$AR:$AR,0),MATCH(P$2,'FB 콘텐츠 data'!$A$1:$AH$1,0)),"")</f>
        <v/>
      </c>
      <c r="Q79" s="125" t="str">
        <f>IFERROR(INDEX('FB 콘텐츠 data'!$A$1:$AH$25,MATCH('FB 신규발행'!$A79,'FB 콘텐츠 data'!$AR:$AR,0),MATCH(Q$2,'FB 콘텐츠 data'!$A$1:$AH$1,0)),"")</f>
        <v/>
      </c>
      <c r="R79" s="126" t="str">
        <f t="shared" si="10"/>
        <v/>
      </c>
      <c r="T79" s="48" t="str">
        <f t="shared" si="11"/>
        <v/>
      </c>
      <c r="U79" s="48" t="str">
        <f t="shared" si="12"/>
        <v/>
      </c>
      <c r="Y79" s="112"/>
    </row>
    <row r="80" spans="1:25" ht="17.45" customHeight="1">
      <c r="A80" s="127">
        <v>78</v>
      </c>
      <c r="B80" s="123" t="str">
        <f>IFERROR(INDEX('FB 콘텐츠 data'!AQ:AQ,MATCH('FB 신규발행'!A80,'FB 콘텐츠 data'!AR:AR,0)),"")</f>
        <v/>
      </c>
      <c r="C80" s="124" t="str">
        <f>IFERROR(INDEX('FB 콘텐츠 data'!$A$1:$AH$25,MATCH('FB 신규발행'!$A80,'FB 콘텐츠 data'!$AR:$AR,0),MATCH(C$2,'FB 콘텐츠 data'!$A$1:$AH$1,0)),"")</f>
        <v/>
      </c>
      <c r="D80" s="125" t="str">
        <f>IFERROR(INDEX('FB 콘텐츠 data'!$A$1:$AH$25,MATCH('FB 신규발행'!$A80,'FB 콘텐츠 data'!$AR:$AR,0),MATCH(D$2,'FB 콘텐츠 data'!$A$1:$AH$1,0)),"")</f>
        <v/>
      </c>
      <c r="E80" s="125" t="str">
        <f>IFERROR(INDEX('FB 콘텐츠 data'!$A$1:$AH$25,MATCH('FB 신규발행'!$A80,'FB 콘텐츠 data'!$AR:$AR,0),MATCH(E$2,'FB 콘텐츠 data'!$A$1:$AH$1,0)),"")</f>
        <v/>
      </c>
      <c r="F80" s="125" t="str">
        <f>IFERROR(INDEX('FB 콘텐츠 data'!$A$1:$AH$25,MATCH('FB 신규발행'!$A80,'FB 콘텐츠 data'!$AR:$AR,0),MATCH(F$2,'FB 콘텐츠 data'!$A$1:$AH$1,0)),"")</f>
        <v/>
      </c>
      <c r="G80" s="125" t="str">
        <f>IFERROR(INDEX('FB 콘텐츠 data'!$A$1:$AH$25,MATCH('FB 신규발행'!$A80,'FB 콘텐츠 data'!$AR:$AR,0),MATCH(G$2,'FB 콘텐츠 data'!$A$1:$AH$1,0)),"")</f>
        <v/>
      </c>
      <c r="H80" s="125" t="str">
        <f t="shared" si="9"/>
        <v/>
      </c>
      <c r="I80" s="125" t="str">
        <f>IFERROR(INDEX('FB 콘텐츠 data'!$A$1:$AH$25,MATCH('FB 신규발행'!$A80,'FB 콘텐츠 data'!$AR:$AR,0),MATCH(I$2,'FB 콘텐츠 data'!$A$1:$AH$1,0)),"")</f>
        <v/>
      </c>
      <c r="J80" s="125" t="str">
        <f>IFERROR(INDEX('FB 콘텐츠 data'!$A$1:$AH$25,MATCH('FB 신규발행'!$A80,'FB 콘텐츠 data'!$AR:$AR,0),MATCH(J$2,'FB 콘텐츠 data'!$A$1:$AH$1,0)),"")</f>
        <v/>
      </c>
      <c r="K80" s="124" t="str">
        <f>IFERROR(INDEX('FB 콘텐츠 data'!$A$1:$AR$25,MATCH('FB 신규발행'!$A80,'FB 콘텐츠 data'!$AR:$AR,0),MATCH(K$2,'FB 콘텐츠 data'!$A$1:$AR$1,0)),"")</f>
        <v/>
      </c>
      <c r="L80" s="125" t="str">
        <f>IFERROR(INDEX('FB 콘텐츠 data'!$A$1:$AH$25,MATCH('FB 신규발행'!$A80,'FB 콘텐츠 data'!$AR:$AR,0),MATCH(L$2,'FB 콘텐츠 data'!$A$1:$AH$1,0)),"")</f>
        <v/>
      </c>
      <c r="M80" s="125" t="str">
        <f>IFERROR(INDEX('FB 콘텐츠 data'!$A$1:$AH$25,MATCH('FB 신규발행'!$A80,'FB 콘텐츠 data'!$AR:$AR,0),MATCH(M$2,'FB 콘텐츠 data'!$A$1:$AH$1,0)),"")</f>
        <v/>
      </c>
      <c r="N80" s="125" t="str">
        <f>IFERROR(INDEX('FB 콘텐츠 data'!$A$1:$AH$25,MATCH('FB 신규발행'!$A80,'FB 콘텐츠 data'!$AR:$AR,0),MATCH(N$2,'FB 콘텐츠 data'!$A$1:$AH$1,0)),"")</f>
        <v/>
      </c>
      <c r="O80" s="125" t="str">
        <f>IFERROR(INDEX('FB 콘텐츠 data'!$A$1:$AH$25,MATCH('FB 신규발행'!$A80,'FB 콘텐츠 data'!$AR:$AR,0),MATCH(O$2,'FB 콘텐츠 data'!$A$1:$AH$1,0)),"")</f>
        <v/>
      </c>
      <c r="P80" s="125" t="str">
        <f>IFERROR(INDEX('FB 콘텐츠 data'!$A$1:$AH$25,MATCH('FB 신규발행'!$A80,'FB 콘텐츠 data'!$AR:$AR,0),MATCH(P$2,'FB 콘텐츠 data'!$A$1:$AH$1,0)),"")</f>
        <v/>
      </c>
      <c r="Q80" s="125" t="str">
        <f>IFERROR(INDEX('FB 콘텐츠 data'!$A$1:$AH$25,MATCH('FB 신규발행'!$A80,'FB 콘텐츠 data'!$AR:$AR,0),MATCH(Q$2,'FB 콘텐츠 data'!$A$1:$AH$1,0)),"")</f>
        <v/>
      </c>
      <c r="R80" s="126" t="str">
        <f t="shared" si="10"/>
        <v/>
      </c>
      <c r="T80" s="48" t="str">
        <f t="shared" si="11"/>
        <v/>
      </c>
      <c r="U80" s="48" t="str">
        <f t="shared" si="12"/>
        <v/>
      </c>
      <c r="Y80" s="112"/>
    </row>
    <row r="81" spans="1:25" ht="17.45" customHeight="1">
      <c r="A81" s="127">
        <v>79</v>
      </c>
      <c r="B81" s="123" t="str">
        <f>IFERROR(INDEX('FB 콘텐츠 data'!AQ:AQ,MATCH('FB 신규발행'!A81,'FB 콘텐츠 data'!AR:AR,0)),"")</f>
        <v/>
      </c>
      <c r="C81" s="124" t="str">
        <f>IFERROR(INDEX('FB 콘텐츠 data'!$A$1:$AH$25,MATCH('FB 신규발행'!$A81,'FB 콘텐츠 data'!$AR:$AR,0),MATCH(C$2,'FB 콘텐츠 data'!$A$1:$AH$1,0)),"")</f>
        <v/>
      </c>
      <c r="D81" s="125" t="str">
        <f>IFERROR(INDEX('FB 콘텐츠 data'!$A$1:$AH$25,MATCH('FB 신규발행'!$A81,'FB 콘텐츠 data'!$AR:$AR,0),MATCH(D$2,'FB 콘텐츠 data'!$A$1:$AH$1,0)),"")</f>
        <v/>
      </c>
      <c r="E81" s="125" t="str">
        <f>IFERROR(INDEX('FB 콘텐츠 data'!$A$1:$AH$25,MATCH('FB 신규발행'!$A81,'FB 콘텐츠 data'!$AR:$AR,0),MATCH(E$2,'FB 콘텐츠 data'!$A$1:$AH$1,0)),"")</f>
        <v/>
      </c>
      <c r="F81" s="125" t="str">
        <f>IFERROR(INDEX('FB 콘텐츠 data'!$A$1:$AH$25,MATCH('FB 신규발행'!$A81,'FB 콘텐츠 data'!$AR:$AR,0),MATCH(F$2,'FB 콘텐츠 data'!$A$1:$AH$1,0)),"")</f>
        <v/>
      </c>
      <c r="G81" s="125" t="str">
        <f>IFERROR(INDEX('FB 콘텐츠 data'!$A$1:$AH$25,MATCH('FB 신규발행'!$A81,'FB 콘텐츠 data'!$AR:$AR,0),MATCH(G$2,'FB 콘텐츠 data'!$A$1:$AH$1,0)),"")</f>
        <v/>
      </c>
      <c r="H81" s="125" t="str">
        <f t="shared" si="9"/>
        <v/>
      </c>
      <c r="I81" s="125" t="str">
        <f>IFERROR(INDEX('FB 콘텐츠 data'!$A$1:$AH$25,MATCH('FB 신규발행'!$A81,'FB 콘텐츠 data'!$AR:$AR,0),MATCH(I$2,'FB 콘텐츠 data'!$A$1:$AH$1,0)),"")</f>
        <v/>
      </c>
      <c r="J81" s="125" t="str">
        <f>IFERROR(INDEX('FB 콘텐츠 data'!$A$1:$AH$25,MATCH('FB 신규발행'!$A81,'FB 콘텐츠 data'!$AR:$AR,0),MATCH(J$2,'FB 콘텐츠 data'!$A$1:$AH$1,0)),"")</f>
        <v/>
      </c>
      <c r="K81" s="124" t="str">
        <f>IFERROR(INDEX('FB 콘텐츠 data'!$A$1:$AR$25,MATCH('FB 신규발행'!$A81,'FB 콘텐츠 data'!$AR:$AR,0),MATCH(K$2,'FB 콘텐츠 data'!$A$1:$AR$1,0)),"")</f>
        <v/>
      </c>
      <c r="L81" s="125" t="str">
        <f>IFERROR(INDEX('FB 콘텐츠 data'!$A$1:$AH$25,MATCH('FB 신규발행'!$A81,'FB 콘텐츠 data'!$AR:$AR,0),MATCH(L$2,'FB 콘텐츠 data'!$A$1:$AH$1,0)),"")</f>
        <v/>
      </c>
      <c r="M81" s="125" t="str">
        <f>IFERROR(INDEX('FB 콘텐츠 data'!$A$1:$AH$25,MATCH('FB 신규발행'!$A81,'FB 콘텐츠 data'!$AR:$AR,0),MATCH(M$2,'FB 콘텐츠 data'!$A$1:$AH$1,0)),"")</f>
        <v/>
      </c>
      <c r="N81" s="125" t="str">
        <f>IFERROR(INDEX('FB 콘텐츠 data'!$A$1:$AH$25,MATCH('FB 신규발행'!$A81,'FB 콘텐츠 data'!$AR:$AR,0),MATCH(N$2,'FB 콘텐츠 data'!$A$1:$AH$1,0)),"")</f>
        <v/>
      </c>
      <c r="O81" s="125" t="str">
        <f>IFERROR(INDEX('FB 콘텐츠 data'!$A$1:$AH$25,MATCH('FB 신규발행'!$A81,'FB 콘텐츠 data'!$AR:$AR,0),MATCH(O$2,'FB 콘텐츠 data'!$A$1:$AH$1,0)),"")</f>
        <v/>
      </c>
      <c r="P81" s="125" t="str">
        <f>IFERROR(INDEX('FB 콘텐츠 data'!$A$1:$AH$25,MATCH('FB 신규발행'!$A81,'FB 콘텐츠 data'!$AR:$AR,0),MATCH(P$2,'FB 콘텐츠 data'!$A$1:$AH$1,0)),"")</f>
        <v/>
      </c>
      <c r="Q81" s="125" t="str">
        <f>IFERROR(INDEX('FB 콘텐츠 data'!$A$1:$AH$25,MATCH('FB 신규발행'!$A81,'FB 콘텐츠 data'!$AR:$AR,0),MATCH(Q$2,'FB 콘텐츠 data'!$A$1:$AH$1,0)),"")</f>
        <v/>
      </c>
      <c r="R81" s="126" t="str">
        <f t="shared" si="10"/>
        <v/>
      </c>
      <c r="T81" s="48" t="str">
        <f t="shared" si="11"/>
        <v/>
      </c>
      <c r="U81" s="48" t="str">
        <f t="shared" si="12"/>
        <v/>
      </c>
      <c r="Y81" s="112"/>
    </row>
    <row r="82" spans="1:25" ht="17.45" customHeight="1">
      <c r="A82" s="127">
        <v>80</v>
      </c>
      <c r="B82" s="123" t="str">
        <f>IFERROR(INDEX('FB 콘텐츠 data'!AQ:AQ,MATCH('FB 신규발행'!A82,'FB 콘텐츠 data'!AR:AR,0)),"")</f>
        <v/>
      </c>
      <c r="C82" s="124" t="str">
        <f>IFERROR(INDEX('FB 콘텐츠 data'!$A$1:$AH$25,MATCH('FB 신규발행'!$A82,'FB 콘텐츠 data'!$AR:$AR,0),MATCH(C$2,'FB 콘텐츠 data'!$A$1:$AH$1,0)),"")</f>
        <v/>
      </c>
      <c r="D82" s="125" t="str">
        <f>IFERROR(INDEX('FB 콘텐츠 data'!$A$1:$AH$25,MATCH('FB 신규발행'!$A82,'FB 콘텐츠 data'!$AR:$AR,0),MATCH(D$2,'FB 콘텐츠 data'!$A$1:$AH$1,0)),"")</f>
        <v/>
      </c>
      <c r="E82" s="125" t="str">
        <f>IFERROR(INDEX('FB 콘텐츠 data'!$A$1:$AH$25,MATCH('FB 신규발행'!$A82,'FB 콘텐츠 data'!$AR:$AR,0),MATCH(E$2,'FB 콘텐츠 data'!$A$1:$AH$1,0)),"")</f>
        <v/>
      </c>
      <c r="F82" s="125" t="str">
        <f>IFERROR(INDEX('FB 콘텐츠 data'!$A$1:$AH$25,MATCH('FB 신규발행'!$A82,'FB 콘텐츠 data'!$AR:$AR,0),MATCH(F$2,'FB 콘텐츠 data'!$A$1:$AH$1,0)),"")</f>
        <v/>
      </c>
      <c r="G82" s="125" t="str">
        <f>IFERROR(INDEX('FB 콘텐츠 data'!$A$1:$AH$25,MATCH('FB 신규발행'!$A82,'FB 콘텐츠 data'!$AR:$AR,0),MATCH(G$2,'FB 콘텐츠 data'!$A$1:$AH$1,0)),"")</f>
        <v/>
      </c>
      <c r="H82" s="125" t="str">
        <f t="shared" si="9"/>
        <v/>
      </c>
      <c r="I82" s="125" t="str">
        <f>IFERROR(INDEX('FB 콘텐츠 data'!$A$1:$AH$25,MATCH('FB 신규발행'!$A82,'FB 콘텐츠 data'!$AR:$AR,0),MATCH(I$2,'FB 콘텐츠 data'!$A$1:$AH$1,0)),"")</f>
        <v/>
      </c>
      <c r="J82" s="125" t="str">
        <f>IFERROR(INDEX('FB 콘텐츠 data'!$A$1:$AH$25,MATCH('FB 신규발행'!$A82,'FB 콘텐츠 data'!$AR:$AR,0),MATCH(J$2,'FB 콘텐츠 data'!$A$1:$AH$1,0)),"")</f>
        <v/>
      </c>
      <c r="K82" s="124" t="str">
        <f>IFERROR(INDEX('FB 콘텐츠 data'!$A$1:$AR$25,MATCH('FB 신규발행'!$A82,'FB 콘텐츠 data'!$AR:$AR,0),MATCH(K$2,'FB 콘텐츠 data'!$A$1:$AR$1,0)),"")</f>
        <v/>
      </c>
      <c r="L82" s="125" t="str">
        <f>IFERROR(INDEX('FB 콘텐츠 data'!$A$1:$AH$25,MATCH('FB 신규발행'!$A82,'FB 콘텐츠 data'!$AR:$AR,0),MATCH(L$2,'FB 콘텐츠 data'!$A$1:$AH$1,0)),"")</f>
        <v/>
      </c>
      <c r="M82" s="125" t="str">
        <f>IFERROR(INDEX('FB 콘텐츠 data'!$A$1:$AH$25,MATCH('FB 신규발행'!$A82,'FB 콘텐츠 data'!$AR:$AR,0),MATCH(M$2,'FB 콘텐츠 data'!$A$1:$AH$1,0)),"")</f>
        <v/>
      </c>
      <c r="N82" s="125" t="str">
        <f>IFERROR(INDEX('FB 콘텐츠 data'!$A$1:$AH$25,MATCH('FB 신규발행'!$A82,'FB 콘텐츠 data'!$AR:$AR,0),MATCH(N$2,'FB 콘텐츠 data'!$A$1:$AH$1,0)),"")</f>
        <v/>
      </c>
      <c r="O82" s="125" t="str">
        <f>IFERROR(INDEX('FB 콘텐츠 data'!$A$1:$AH$25,MATCH('FB 신규발행'!$A82,'FB 콘텐츠 data'!$AR:$AR,0),MATCH(O$2,'FB 콘텐츠 data'!$A$1:$AH$1,0)),"")</f>
        <v/>
      </c>
      <c r="P82" s="125" t="str">
        <f>IFERROR(INDEX('FB 콘텐츠 data'!$A$1:$AH$25,MATCH('FB 신규발행'!$A82,'FB 콘텐츠 data'!$AR:$AR,0),MATCH(P$2,'FB 콘텐츠 data'!$A$1:$AH$1,0)),"")</f>
        <v/>
      </c>
      <c r="Q82" s="125" t="str">
        <f>IFERROR(INDEX('FB 콘텐츠 data'!$A$1:$AH$25,MATCH('FB 신규발행'!$A82,'FB 콘텐츠 data'!$AR:$AR,0),MATCH(Q$2,'FB 콘텐츠 data'!$A$1:$AH$1,0)),"")</f>
        <v/>
      </c>
      <c r="R82" s="126" t="str">
        <f t="shared" si="10"/>
        <v/>
      </c>
      <c r="T82" s="48" t="str">
        <f t="shared" si="11"/>
        <v/>
      </c>
      <c r="U82" s="48" t="str">
        <f t="shared" si="12"/>
        <v/>
      </c>
      <c r="Y82" s="112"/>
    </row>
  </sheetData>
  <phoneticPr fontId="1" type="noConversion"/>
  <pageMargins left="0.7" right="0.7" top="0.75" bottom="0.75" header="0.3" footer="0.3"/>
  <pageSetup paperSize="9" orientation="portrait" r:id="rId1"/>
  <ignoredErrors>
    <ignoredError sqref="H3 H4:H82 K3:K8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workbookViewId="0">
      <selection activeCell="K2" sqref="K2"/>
    </sheetView>
  </sheetViews>
  <sheetFormatPr defaultColWidth="8.75" defaultRowHeight="13.9"/>
  <cols>
    <col min="1" max="2" width="8.75" style="52"/>
    <col min="3" max="3" width="9.125" style="52" bestFit="1" customWidth="1"/>
    <col min="4" max="18" width="8.75" style="52"/>
    <col min="19" max="19" width="8.75" style="59"/>
    <col min="20" max="16384" width="8.75" style="52"/>
  </cols>
  <sheetData>
    <row r="1" spans="1:19" s="51" customFormat="1">
      <c r="S1" s="59"/>
    </row>
    <row r="2" spans="1:19" s="102" customFormat="1">
      <c r="A2" s="130" t="str">
        <f>HYPERLINK(INDEX('FB 콘텐츠 data'!E:E,MATCH(INDEX('FB 신규발행'!$A:$A,MATCH(1,'FB 신규발행'!$T:$T,0)),'FB 콘텐츠 data'!AR:AR,0)),"1. "&amp;INDEX('FB 신규발행'!$D:$D,MATCH(1,'FB 신규발행'!$T:$T,0)))</f>
        <v>1. 울산대공원 장미축제 현장 사진</v>
      </c>
      <c r="B2" s="128"/>
      <c r="D2" s="128"/>
      <c r="F2" s="130" t="str">
        <f>HYPERLINK(INDEX('FB 콘텐츠 data'!E:E,MATCH(INDEX('FB 신규발행'!$A:$A,MATCH(2,'FB 신규발행'!$T:$T,0)),'FB 콘텐츠 data'!AR:AR,0)),"2. "&amp;INDEX('FB 신규발행'!$D:$D,MATCH(2,'FB 신규발행'!$T:$T,0)))</f>
        <v>2. EVENT 울산대공원 장미축제</v>
      </c>
      <c r="G2" s="128"/>
      <c r="I2" s="128"/>
      <c r="K2" s="130" t="str">
        <f>HYPERLINK(INDEX('FB 콘텐츠 data'!E:E,MATCH(INDEX('FB 신규발행'!$A:$A,MATCH(3,'FB 신규발행'!$T:$T,0)),'FB 콘텐츠 data'!AR:AR,0)),"3. "&amp;INDEX('FB 신규발행'!$D:$D,MATCH(3,'FB 신규발행'!$T:$T,0)))</f>
        <v>3. [과거의 오늘] 서산 배터리 제1공장 착공</v>
      </c>
      <c r="L2" s="128"/>
      <c r="M2" s="128"/>
      <c r="N2" s="128"/>
      <c r="Q2" s="102" t="s">
        <v>106</v>
      </c>
      <c r="S2" s="129"/>
    </row>
    <row r="3" spans="1:19" ht="16.899999999999999">
      <c r="D3" s="60"/>
      <c r="I3" s="60"/>
      <c r="N3" s="60"/>
      <c r="Q3" s="102" t="s">
        <v>107</v>
      </c>
      <c r="R3" s="52">
        <f>MATCH(A6,'FB 신규발행'!$D2:$R2,FALSE)</f>
        <v>12</v>
      </c>
    </row>
    <row r="4" spans="1:19" ht="14.25" thickBot="1">
      <c r="A4" s="53" t="s">
        <v>141</v>
      </c>
      <c r="B4" s="61">
        <f>VLOOKUP(INDEX('FB 신규발행'!$D:$D,MATCH(1,'FB 신규발행'!$T:$T,0)),'FB 신규발행'!$D:$R,MATCH(A4,'FB 신규발행'!$D$2:$R$2,FALSE),FALSE)</f>
        <v>84105</v>
      </c>
      <c r="C4" s="54" t="s">
        <v>57</v>
      </c>
      <c r="D4" s="61">
        <f>VLOOKUP(INDEX('FB 신규발행'!$D:$D,MATCH(1,'FB 신규발행'!$T:$T,0)),'FB 신규발행'!$D:$R,MATCH(C4,'FB 신규발행'!$D$2:$R$2,FALSE),FALSE)</f>
        <v>119819</v>
      </c>
      <c r="F4" s="53" t="s">
        <v>141</v>
      </c>
      <c r="G4" s="61">
        <f>VLOOKUP(INDEX('FB 신규발행'!$D:$D,MATCH(2,'FB 신규발행'!$T:$T,0)),'FB 신규발행'!$D:$R,MATCH(F4,'FB 신규발행'!$D$2:$R$2,FALSE),FALSE)</f>
        <v>9798</v>
      </c>
      <c r="H4" s="54" t="s">
        <v>57</v>
      </c>
      <c r="I4" s="61">
        <f>VLOOKUP(INDEX('FB 신규발행'!$D:$D,MATCH(2,'FB 신규발행'!$T:$T,0)),'FB 신규발행'!$D:$R,MATCH(H4,'FB 신규발행'!$D$2:$R$2,FALSE),FALSE)</f>
        <v>17404</v>
      </c>
      <c r="K4" s="53" t="s">
        <v>141</v>
      </c>
      <c r="L4" s="61">
        <f>VLOOKUP(INDEX('FB 신규발행'!$D:$D,MATCH(3,'FB 신규발행'!$T:$T,0)),'FB 신규발행'!$D:$R,MATCH(K4,'FB 신규발행'!$D$2:$R$2,FALSE),FALSE)</f>
        <v>25183</v>
      </c>
      <c r="M4" s="54" t="s">
        <v>57</v>
      </c>
      <c r="N4" s="61">
        <f>VLOOKUP(INDEX('FB 신규발행'!$D:$D,MATCH(3,'FB 신규발행'!$T:$T,0)),'FB 신규발행'!$D:$R,MATCH(M4,'FB 신규발행'!$D$2:$R$2,FALSE),FALSE)</f>
        <v>40246</v>
      </c>
      <c r="Q4" s="102"/>
    </row>
    <row r="5" spans="1:19" ht="14.65" thickTop="1" thickBot="1">
      <c r="A5" s="55" t="s">
        <v>19</v>
      </c>
      <c r="B5" s="61">
        <f>VLOOKUP(INDEX('FB 신규발행'!$D:$D,MATCH(1,'FB 신규발행'!$T:$T,0)),'FB 신규발행'!$D:$R,MATCH(A5,'FB 신규발행'!$D$2:$R$2,FALSE),FALSE)</f>
        <v>2255</v>
      </c>
      <c r="C5" s="56" t="s">
        <v>20</v>
      </c>
      <c r="D5" s="61">
        <f>VLOOKUP(INDEX('FB 신규발행'!$D:$D,MATCH(1,'FB 신규발행'!$T:$T,0)),'FB 신규발행'!$D:$R,MATCH(C5,'FB 신규발행'!$D$2:$R$2,FALSE),FALSE)</f>
        <v>186</v>
      </c>
      <c r="F5" s="55" t="s">
        <v>19</v>
      </c>
      <c r="G5" s="61">
        <f>VLOOKUP(INDEX('FB 신규발행'!$D:$D,MATCH(2,'FB 신규발행'!$T:$T,0)),'FB 신규발행'!$D:$R,MATCH(F5,'FB 신규발행'!$D$2:$R$2,FALSE),FALSE)</f>
        <v>606</v>
      </c>
      <c r="H5" s="56" t="s">
        <v>20</v>
      </c>
      <c r="I5" s="61">
        <f>VLOOKUP(INDEX('FB 신규발행'!$D:$D,MATCH(2,'FB 신규발행'!$T:$T,0)),'FB 신규발행'!$D:$R,MATCH(H5,'FB 신규발행'!$D$2:$R$2,FALSE),FALSE)</f>
        <v>658</v>
      </c>
      <c r="K5" s="55" t="s">
        <v>19</v>
      </c>
      <c r="L5" s="61">
        <f>VLOOKUP(INDEX('FB 신규발행'!$D:$D,MATCH(3,'FB 신규발행'!$T:$T,0)),'FB 신규발행'!$D:$R,MATCH(K5,'FB 신규발행'!$D$2:$R$2,FALSE),FALSE)</f>
        <v>482</v>
      </c>
      <c r="M5" s="56" t="s">
        <v>20</v>
      </c>
      <c r="N5" s="61">
        <f>VLOOKUP(INDEX('FB 신규발행'!$D:$D,MATCH(3,'FB 신규발행'!$T:$T,0)),'FB 신규발행'!$D:$R,MATCH(M5,'FB 신규발행'!$D$2:$R$2,FALSE),FALSE)</f>
        <v>27</v>
      </c>
      <c r="Q5" s="102"/>
    </row>
    <row r="6" spans="1:19" ht="14.65" thickTop="1" thickBot="1">
      <c r="A6" s="57" t="s">
        <v>47</v>
      </c>
      <c r="B6" s="61">
        <f>VLOOKUP(INDEX('FB 신규발행'!$D:$D,MATCH(1,'FB 신규발행'!$T:$T,0)),'FB 신규발행'!$D:$R,MATCH(A6,'FB 신규발행'!$D$2:$R$2,FALSE),FALSE)</f>
        <v>190</v>
      </c>
      <c r="C6" s="56" t="s">
        <v>58</v>
      </c>
      <c r="D6" s="61">
        <f>VLOOKUP(INDEX('FB 신규발행'!$D:$D,MATCH(1,'FB 신규발행'!$T:$T,0)),'FB 신규발행'!$D:$R,MATCH(C6,'FB 신규발행'!$D$2:$R$2,FALSE),FALSE)</f>
        <v>18145</v>
      </c>
      <c r="F6" s="57" t="s">
        <v>47</v>
      </c>
      <c r="G6" s="61">
        <f>VLOOKUP(INDEX('FB 신규발행'!$D:$D,MATCH(2,'FB 신규발행'!$T:$T,0)),'FB 신규발행'!$D:$R,MATCH(F6,'FB 신규발행'!$D$2:$R$2,FALSE),FALSE)</f>
        <v>113</v>
      </c>
      <c r="H6" s="56" t="s">
        <v>58</v>
      </c>
      <c r="I6" s="61">
        <f>VLOOKUP(INDEX('FB 신규발행'!$D:$D,MATCH(2,'FB 신규발행'!$T:$T,0)),'FB 신규발행'!$D:$R,MATCH(H6,'FB 신규발행'!$D$2:$R$2,FALSE),FALSE)</f>
        <v>269</v>
      </c>
      <c r="K6" s="57" t="s">
        <v>47</v>
      </c>
      <c r="L6" s="61">
        <f>VLOOKUP(INDEX('FB 신규발행'!$D:$D,MATCH(3,'FB 신규발행'!$T:$T,0)),'FB 신규발행'!$D:$R,MATCH(K6,'FB 신규발행'!$D$2:$R$2,FALSE),FALSE)</f>
        <v>5</v>
      </c>
      <c r="M6" s="56" t="s">
        <v>58</v>
      </c>
      <c r="N6" s="61">
        <f>VLOOKUP(INDEX('FB 신규발행'!$D:$D,MATCH(3,'FB 신규발행'!$T:$T,0)),'FB 신규발행'!$D:$R,MATCH(M6,'FB 신규발행'!$D$2:$R$2,FALSE),FALSE)</f>
        <v>2074</v>
      </c>
      <c r="Q6" s="102"/>
    </row>
    <row r="7" spans="1:19" ht="14.65" thickTop="1" thickBot="1">
      <c r="A7" s="58" t="s">
        <v>85</v>
      </c>
      <c r="B7" s="61">
        <f>VLOOKUP(INDEX('FB 신규발행'!$D:$D,MATCH(1,'FB 신규발행'!$T:$T,0)),'FB 신규발행'!$D:$R,MATCH(A7,'FB 신규발행'!$D$2:$R$2,FALSE),FALSE)</f>
        <v>20776</v>
      </c>
      <c r="C7" s="56" t="s">
        <v>86</v>
      </c>
      <c r="D7" s="86">
        <f>B7/B4</f>
        <v>0.24702455264253018</v>
      </c>
      <c r="F7" s="58" t="s">
        <v>56</v>
      </c>
      <c r="G7" s="61">
        <f>VLOOKUP(INDEX('FB 신규발행'!$D:$D,MATCH(2,'FB 신규발행'!$T:$T,0)),'FB 신규발행'!$D:$R,MATCH(F7,'FB 신규발행'!$D$2:$R$2,FALSE),FALSE)</f>
        <v>1646</v>
      </c>
      <c r="H7" s="56" t="s">
        <v>61</v>
      </c>
      <c r="I7" s="86">
        <f>G7/G4</f>
        <v>0.16799346805470505</v>
      </c>
      <c r="K7" s="58" t="s">
        <v>56</v>
      </c>
      <c r="L7" s="61">
        <f>VLOOKUP(INDEX('FB 신규발행'!$D:$D,MATCH(3,'FB 신규발행'!$T:$T,0)),'FB 신규발행'!$D:$R,MATCH(K7,'FB 신규발행'!$D$2:$R$2,FALSE),FALSE)</f>
        <v>2588</v>
      </c>
      <c r="M7" s="56" t="s">
        <v>61</v>
      </c>
      <c r="N7" s="86">
        <f>L7/L4</f>
        <v>0.10276774014215939</v>
      </c>
    </row>
    <row r="8" spans="1:19" ht="14.25" thickTop="1"/>
    <row r="9" spans="1:19">
      <c r="B9" s="59"/>
    </row>
    <row r="10" spans="1:19">
      <c r="B10" s="52" t="s">
        <v>71</v>
      </c>
    </row>
    <row r="11" spans="1:19">
      <c r="B11" s="52" t="s">
        <v>111</v>
      </c>
    </row>
    <row r="24" spans="3:3" ht="16.899999999999999">
      <c r="C24" s="115"/>
    </row>
    <row r="25" spans="3:3" ht="16.899999999999999">
      <c r="C25" s="115"/>
    </row>
    <row r="33" spans="3:3" ht="16.899999999999999">
      <c r="C33" s="115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W99"/>
  <sheetViews>
    <sheetView topLeftCell="B1" workbookViewId="0">
      <selection activeCell="S2" sqref="S2"/>
    </sheetView>
  </sheetViews>
  <sheetFormatPr defaultRowHeight="16.899999999999999"/>
  <cols>
    <col min="1" max="1" width="60.25" style="50" customWidth="1"/>
    <col min="2" max="2" width="8.75" style="50"/>
    <col min="3" max="3" width="10.75" style="50" bestFit="1" customWidth="1"/>
    <col min="4" max="15" width="8.75" style="50"/>
    <col min="16" max="17" width="9" style="50"/>
    <col min="18" max="18" width="10.875" bestFit="1" customWidth="1"/>
  </cols>
  <sheetData>
    <row r="1" spans="1:23">
      <c r="A1" s="50" t="s">
        <v>35</v>
      </c>
      <c r="B1" s="50" t="s">
        <v>36</v>
      </c>
      <c r="C1" s="50" t="s">
        <v>37</v>
      </c>
      <c r="D1" s="50" t="s">
        <v>39</v>
      </c>
      <c r="E1" s="50" t="s">
        <v>42</v>
      </c>
      <c r="F1" s="50" t="s">
        <v>118</v>
      </c>
      <c r="G1" s="50" t="s">
        <v>46</v>
      </c>
      <c r="H1" s="50" t="s">
        <v>50</v>
      </c>
      <c r="I1" s="50" t="s">
        <v>70</v>
      </c>
      <c r="J1" s="50" t="s">
        <v>47</v>
      </c>
      <c r="K1" s="50" t="s">
        <v>91</v>
      </c>
      <c r="L1" s="50" t="s">
        <v>75</v>
      </c>
      <c r="M1" s="50" t="s">
        <v>123</v>
      </c>
      <c r="N1" s="50" t="s">
        <v>196</v>
      </c>
      <c r="O1" s="50" t="s">
        <v>19</v>
      </c>
      <c r="P1" s="50" t="s">
        <v>20</v>
      </c>
      <c r="Q1" s="50" t="s">
        <v>76</v>
      </c>
    </row>
    <row r="2" spans="1:23">
      <c r="A2" s="50" t="s">
        <v>214</v>
      </c>
      <c r="B2" s="50">
        <v>0</v>
      </c>
      <c r="C2" s="116" t="s">
        <v>215</v>
      </c>
      <c r="D2" s="50" t="s">
        <v>257</v>
      </c>
      <c r="E2" s="50" t="s">
        <v>197</v>
      </c>
      <c r="G2" s="50" t="s">
        <v>138</v>
      </c>
      <c r="H2" s="50">
        <v>9027</v>
      </c>
      <c r="I2" s="50">
        <v>6327</v>
      </c>
      <c r="J2" s="50">
        <v>5</v>
      </c>
      <c r="K2" s="50">
        <v>15</v>
      </c>
      <c r="L2" s="50">
        <v>2</v>
      </c>
      <c r="O2" s="50">
        <v>1249</v>
      </c>
      <c r="P2" s="50">
        <v>8</v>
      </c>
      <c r="Q2" s="50">
        <v>52</v>
      </c>
      <c r="R2" s="38">
        <f>IF(C2="","",IFERROR(DATE(MID(C2,7,4),LEFT(C2,2),MID(C2,4,2)),C2))</f>
        <v>45417</v>
      </c>
      <c r="S2">
        <f>IFERROR(RANK(R2,R:R,1)+COUNTIF($R$1:R1,R2),"")</f>
        <v>1</v>
      </c>
      <c r="U2">
        <f>LEN(A2)</f>
        <v>13</v>
      </c>
      <c r="W2" s="117" t="s">
        <v>125</v>
      </c>
    </row>
    <row r="3" spans="1:23">
      <c r="A3" s="50" t="s">
        <v>217</v>
      </c>
      <c r="B3" s="50">
        <v>220</v>
      </c>
      <c r="C3" s="116" t="s">
        <v>218</v>
      </c>
      <c r="D3" s="50" t="s">
        <v>258</v>
      </c>
      <c r="E3" s="50" t="s">
        <v>198</v>
      </c>
      <c r="G3" s="50" t="s">
        <v>138</v>
      </c>
      <c r="H3" s="50">
        <v>33928</v>
      </c>
      <c r="I3" s="50">
        <v>25412</v>
      </c>
      <c r="J3" s="50">
        <v>62</v>
      </c>
      <c r="K3" s="50" t="s">
        <v>195</v>
      </c>
      <c r="L3" s="50">
        <v>43</v>
      </c>
      <c r="M3" s="50">
        <v>36348</v>
      </c>
      <c r="N3" s="50">
        <v>1.2499999999999999E-2</v>
      </c>
      <c r="O3" s="50">
        <v>957</v>
      </c>
      <c r="P3" s="50">
        <v>628</v>
      </c>
      <c r="Q3" s="50">
        <v>39</v>
      </c>
      <c r="R3" s="38">
        <f t="shared" ref="R3:R66" si="0">IF(C3="","",IFERROR(DATE(MID(C3,7,4),LEFT(C3,2),MID(C3,4,2)),C3))</f>
        <v>45419</v>
      </c>
      <c r="S3">
        <f>IFERROR(RANK(R3,R:R,1)+COUNTIF($R$1:R2,R3),"")</f>
        <v>2</v>
      </c>
      <c r="U3">
        <f t="shared" ref="U3:U66" si="1">LEN(A3)</f>
        <v>16</v>
      </c>
      <c r="W3" s="117"/>
    </row>
    <row r="4" spans="1:23">
      <c r="A4" s="50" t="s">
        <v>220</v>
      </c>
      <c r="B4" s="50">
        <v>152</v>
      </c>
      <c r="C4" s="116" t="s">
        <v>221</v>
      </c>
      <c r="D4" s="50" t="s">
        <v>259</v>
      </c>
      <c r="E4" s="50" t="s">
        <v>198</v>
      </c>
      <c r="G4" s="50" t="s">
        <v>138</v>
      </c>
      <c r="H4" s="50">
        <v>14325</v>
      </c>
      <c r="I4" s="50">
        <v>10173</v>
      </c>
      <c r="J4" s="50">
        <v>1</v>
      </c>
      <c r="K4" s="50" t="s">
        <v>195</v>
      </c>
      <c r="L4" s="50">
        <v>1</v>
      </c>
      <c r="M4" s="50">
        <v>15156</v>
      </c>
      <c r="N4" s="50">
        <v>3.472222222222222E-3</v>
      </c>
      <c r="O4" s="50">
        <v>1117</v>
      </c>
      <c r="P4" s="50">
        <v>0</v>
      </c>
      <c r="Q4" s="50">
        <v>1</v>
      </c>
      <c r="R4" s="38">
        <f t="shared" si="0"/>
        <v>45420</v>
      </c>
      <c r="S4">
        <f>IFERROR(RANK(R4,R:R,1)+COUNTIF($R$1:R3,R4),"")</f>
        <v>3</v>
      </c>
      <c r="U4">
        <f t="shared" si="1"/>
        <v>14</v>
      </c>
      <c r="W4" s="117"/>
    </row>
    <row r="5" spans="1:23">
      <c r="A5" s="50" t="s">
        <v>226</v>
      </c>
      <c r="B5" s="50">
        <v>0</v>
      </c>
      <c r="C5" s="116" t="s">
        <v>227</v>
      </c>
      <c r="D5" s="50" t="s">
        <v>260</v>
      </c>
      <c r="E5" s="50" t="s">
        <v>197</v>
      </c>
      <c r="G5" s="50" t="s">
        <v>138</v>
      </c>
      <c r="H5" s="50">
        <v>7251</v>
      </c>
      <c r="I5" s="50">
        <v>5097</v>
      </c>
      <c r="J5" s="50">
        <v>3</v>
      </c>
      <c r="K5" s="50">
        <v>7</v>
      </c>
      <c r="L5" s="50">
        <v>0</v>
      </c>
      <c r="O5" s="50">
        <v>1305</v>
      </c>
      <c r="P5" s="50">
        <v>0</v>
      </c>
      <c r="Q5" s="50">
        <v>17</v>
      </c>
      <c r="R5" s="38">
        <f t="shared" si="0"/>
        <v>45424</v>
      </c>
      <c r="S5">
        <f>IFERROR(RANK(R5,R:R,1)+COUNTIF($R$1:R4,R5),"")</f>
        <v>4</v>
      </c>
      <c r="U5">
        <f t="shared" si="1"/>
        <v>12</v>
      </c>
      <c r="W5" s="117"/>
    </row>
    <row r="6" spans="1:23">
      <c r="A6" s="50" t="s">
        <v>232</v>
      </c>
      <c r="B6" s="50">
        <v>0</v>
      </c>
      <c r="C6" s="116" t="s">
        <v>233</v>
      </c>
      <c r="D6" s="50" t="s">
        <v>261</v>
      </c>
      <c r="E6" s="50" t="s">
        <v>197</v>
      </c>
      <c r="G6" s="50" t="s">
        <v>138</v>
      </c>
      <c r="H6" s="50">
        <v>3516</v>
      </c>
      <c r="I6" s="50">
        <v>3245</v>
      </c>
      <c r="J6" s="50">
        <v>2</v>
      </c>
      <c r="K6" s="50">
        <v>10</v>
      </c>
      <c r="L6" s="50">
        <v>1</v>
      </c>
      <c r="O6" s="50">
        <v>599</v>
      </c>
      <c r="P6" s="50">
        <v>1</v>
      </c>
      <c r="Q6" s="50">
        <v>11</v>
      </c>
      <c r="R6" s="38">
        <f t="shared" si="0"/>
        <v>45426</v>
      </c>
      <c r="S6">
        <f>IFERROR(RANK(R6,R:R,1)+COUNTIF($R$1:R5,R6),"")</f>
        <v>5</v>
      </c>
      <c r="U6">
        <f t="shared" si="1"/>
        <v>8</v>
      </c>
      <c r="W6" s="117"/>
    </row>
    <row r="7" spans="1:23">
      <c r="A7" s="50" t="s">
        <v>235</v>
      </c>
      <c r="B7" s="50">
        <v>0</v>
      </c>
      <c r="C7" s="116" t="s">
        <v>236</v>
      </c>
      <c r="D7" s="50" t="s">
        <v>262</v>
      </c>
      <c r="E7" s="50" t="s">
        <v>197</v>
      </c>
      <c r="G7" s="50" t="s">
        <v>138</v>
      </c>
      <c r="H7" s="50">
        <v>6407</v>
      </c>
      <c r="I7" s="50">
        <v>4408</v>
      </c>
      <c r="J7" s="50">
        <v>1</v>
      </c>
      <c r="K7" s="50">
        <v>12</v>
      </c>
      <c r="L7" s="50">
        <v>0</v>
      </c>
      <c r="O7" s="50">
        <v>1126</v>
      </c>
      <c r="P7" s="50">
        <v>8</v>
      </c>
      <c r="Q7" s="50">
        <v>25</v>
      </c>
      <c r="R7" s="38">
        <f t="shared" si="0"/>
        <v>45431</v>
      </c>
      <c r="S7">
        <f>IFERROR(RANK(R7,R:R,1)+COUNTIF($R$1:R6,R7),"")</f>
        <v>6</v>
      </c>
      <c r="U7">
        <f t="shared" si="1"/>
        <v>16</v>
      </c>
      <c r="W7" s="117"/>
    </row>
    <row r="8" spans="1:23">
      <c r="A8" s="50" t="s">
        <v>238</v>
      </c>
      <c r="B8" s="50">
        <v>0</v>
      </c>
      <c r="C8" s="116" t="s">
        <v>239</v>
      </c>
      <c r="D8" s="50" t="s">
        <v>263</v>
      </c>
      <c r="E8" s="50" t="s">
        <v>199</v>
      </c>
      <c r="G8" s="50" t="s">
        <v>138</v>
      </c>
      <c r="H8" s="50">
        <v>26353</v>
      </c>
      <c r="I8" s="50">
        <v>16664</v>
      </c>
      <c r="J8" s="50">
        <v>15</v>
      </c>
      <c r="K8" s="50">
        <v>434</v>
      </c>
      <c r="L8" s="50">
        <v>125</v>
      </c>
      <c r="O8" s="50">
        <v>348</v>
      </c>
      <c r="P8" s="50">
        <v>3</v>
      </c>
      <c r="Q8" s="50">
        <v>284</v>
      </c>
      <c r="R8" s="38">
        <f t="shared" si="0"/>
        <v>45433</v>
      </c>
      <c r="S8">
        <f>IFERROR(RANK(R8,R:R,1)+COUNTIF($R$1:R7,R8),"")</f>
        <v>7</v>
      </c>
      <c r="U8">
        <f t="shared" si="1"/>
        <v>17</v>
      </c>
      <c r="W8" s="117"/>
    </row>
    <row r="9" spans="1:23">
      <c r="A9" s="50" t="s">
        <v>241</v>
      </c>
      <c r="B9" s="50">
        <v>0</v>
      </c>
      <c r="C9" s="116" t="s">
        <v>242</v>
      </c>
      <c r="D9" s="50" t="s">
        <v>264</v>
      </c>
      <c r="E9" s="50" t="s">
        <v>199</v>
      </c>
      <c r="G9" s="50" t="s">
        <v>138</v>
      </c>
      <c r="H9" s="50">
        <v>25010</v>
      </c>
      <c r="I9" s="50">
        <v>14660</v>
      </c>
      <c r="J9" s="50">
        <v>16</v>
      </c>
      <c r="K9" s="50">
        <v>468</v>
      </c>
      <c r="L9" s="50">
        <v>74</v>
      </c>
      <c r="O9" s="50">
        <v>353</v>
      </c>
      <c r="P9" s="50">
        <v>2</v>
      </c>
      <c r="Q9" s="50">
        <v>72</v>
      </c>
      <c r="R9" s="38">
        <f t="shared" si="0"/>
        <v>45435</v>
      </c>
      <c r="S9">
        <f>IFERROR(RANK(R9,R:R,1)+COUNTIF($R$1:R8,R9),"")</f>
        <v>8</v>
      </c>
      <c r="U9">
        <f t="shared" si="1"/>
        <v>16</v>
      </c>
      <c r="W9" s="117"/>
    </row>
    <row r="10" spans="1:23">
      <c r="A10" s="50" t="s">
        <v>244</v>
      </c>
      <c r="B10" s="50">
        <v>0</v>
      </c>
      <c r="C10" s="116" t="s">
        <v>245</v>
      </c>
      <c r="D10" s="50" t="s">
        <v>265</v>
      </c>
      <c r="E10" s="50" t="s">
        <v>197</v>
      </c>
      <c r="G10" s="50" t="s">
        <v>138</v>
      </c>
      <c r="H10" s="50">
        <v>6421</v>
      </c>
      <c r="I10" s="50">
        <v>4655</v>
      </c>
      <c r="J10" s="50">
        <v>2</v>
      </c>
      <c r="K10" s="50">
        <v>8</v>
      </c>
      <c r="L10" s="50">
        <v>0</v>
      </c>
      <c r="O10" s="50">
        <v>1145</v>
      </c>
      <c r="P10" s="50">
        <v>3</v>
      </c>
      <c r="Q10" s="50">
        <v>25</v>
      </c>
      <c r="R10" s="38">
        <f t="shared" si="0"/>
        <v>45438</v>
      </c>
      <c r="S10">
        <f>IFERROR(RANK(R10,R:R,1)+COUNTIF($R$1:R9,R10),"")</f>
        <v>9</v>
      </c>
      <c r="U10">
        <f t="shared" si="1"/>
        <v>14</v>
      </c>
      <c r="W10" s="117"/>
    </row>
    <row r="11" spans="1:23">
      <c r="A11" s="50" t="s">
        <v>250</v>
      </c>
      <c r="B11" s="50">
        <v>0</v>
      </c>
      <c r="C11" s="116" t="s">
        <v>251</v>
      </c>
      <c r="D11" s="50" t="s">
        <v>266</v>
      </c>
      <c r="E11" s="50" t="s">
        <v>199</v>
      </c>
      <c r="G11" s="50" t="s">
        <v>138</v>
      </c>
      <c r="H11" s="50">
        <v>40349</v>
      </c>
      <c r="I11" s="50">
        <v>22929</v>
      </c>
      <c r="J11" s="50">
        <v>3</v>
      </c>
      <c r="K11" s="50">
        <v>418</v>
      </c>
      <c r="L11" s="50">
        <v>20</v>
      </c>
      <c r="O11" s="50">
        <v>129</v>
      </c>
      <c r="P11" s="50">
        <v>5</v>
      </c>
      <c r="Q11" s="50">
        <v>26</v>
      </c>
      <c r="R11" s="38">
        <f t="shared" si="0"/>
        <v>45441</v>
      </c>
      <c r="S11">
        <f>IFERROR(RANK(R11,R:R,1)+COUNTIF($R$1:R10,R11),"")</f>
        <v>10</v>
      </c>
      <c r="U11">
        <f t="shared" si="1"/>
        <v>23</v>
      </c>
      <c r="W11" s="117"/>
    </row>
    <row r="12" spans="1:23">
      <c r="A12" s="50" t="s">
        <v>253</v>
      </c>
      <c r="B12" s="50">
        <v>206</v>
      </c>
      <c r="C12" s="116" t="s">
        <v>254</v>
      </c>
      <c r="D12" s="50" t="s">
        <v>267</v>
      </c>
      <c r="E12" s="50" t="s">
        <v>198</v>
      </c>
      <c r="G12" s="50" t="s">
        <v>138</v>
      </c>
      <c r="H12" s="50">
        <v>86853</v>
      </c>
      <c r="I12" s="50">
        <v>74172</v>
      </c>
      <c r="J12" s="50">
        <v>95</v>
      </c>
      <c r="K12" s="50" t="s">
        <v>195</v>
      </c>
      <c r="L12" s="50">
        <v>16</v>
      </c>
      <c r="M12" s="50">
        <v>94085</v>
      </c>
      <c r="N12" s="50">
        <v>6.9444444444444441E-3</v>
      </c>
      <c r="O12" s="50">
        <v>133</v>
      </c>
      <c r="P12" s="50">
        <v>6</v>
      </c>
      <c r="Q12" s="50">
        <v>20</v>
      </c>
      <c r="R12" s="38">
        <f t="shared" si="0"/>
        <v>45443</v>
      </c>
      <c r="S12">
        <f>IFERROR(RANK(R12,R:R,1)+COUNTIF($R$1:R11,R12),"")</f>
        <v>11</v>
      </c>
      <c r="U12">
        <f t="shared" si="1"/>
        <v>13</v>
      </c>
      <c r="W12" s="117"/>
    </row>
    <row r="13" spans="1:23">
      <c r="C13" s="116"/>
      <c r="R13" s="38" t="str">
        <f t="shared" si="0"/>
        <v/>
      </c>
      <c r="S13" t="str">
        <f>IFERROR(RANK(R13,R:R,1)+COUNTIF($R$1:R12,R13),"")</f>
        <v/>
      </c>
      <c r="U13">
        <f t="shared" si="1"/>
        <v>0</v>
      </c>
      <c r="W13" s="117"/>
    </row>
    <row r="14" spans="1:23">
      <c r="C14" s="116"/>
      <c r="R14" s="38" t="str">
        <f t="shared" si="0"/>
        <v/>
      </c>
      <c r="S14" t="str">
        <f>IFERROR(RANK(R14,R:R,1)+COUNTIF($R$1:R13,R14),"")</f>
        <v/>
      </c>
      <c r="U14">
        <f t="shared" si="1"/>
        <v>0</v>
      </c>
      <c r="W14" s="117"/>
    </row>
    <row r="15" spans="1:23">
      <c r="C15" s="116"/>
      <c r="R15" s="38" t="str">
        <f t="shared" si="0"/>
        <v/>
      </c>
      <c r="S15" t="str">
        <f>IFERROR(RANK(R15,R:R,1)+COUNTIF($R$1:R14,R15),"")</f>
        <v/>
      </c>
      <c r="U15">
        <f t="shared" si="1"/>
        <v>0</v>
      </c>
      <c r="W15" s="117"/>
    </row>
    <row r="16" spans="1:23">
      <c r="C16" s="116"/>
      <c r="R16" s="38" t="str">
        <f t="shared" si="0"/>
        <v/>
      </c>
      <c r="S16" t="str">
        <f>IFERROR(RANK(R16,R:R,1)+COUNTIF($R$1:R15,R16),"")</f>
        <v/>
      </c>
      <c r="U16">
        <f t="shared" si="1"/>
        <v>0</v>
      </c>
      <c r="W16" s="117"/>
    </row>
    <row r="17" spans="3:23">
      <c r="C17" s="116"/>
      <c r="R17" s="38" t="str">
        <f t="shared" si="0"/>
        <v/>
      </c>
      <c r="S17" t="str">
        <f>IFERROR(RANK(R17,R:R,1)+COUNTIF($R$1:R16,R17),"")</f>
        <v/>
      </c>
      <c r="U17">
        <f t="shared" si="1"/>
        <v>0</v>
      </c>
      <c r="W17" s="117"/>
    </row>
    <row r="18" spans="3:23">
      <c r="R18" s="38" t="str">
        <f t="shared" si="0"/>
        <v/>
      </c>
      <c r="S18" t="str">
        <f>IFERROR(RANK(R18,R:R,1)+COUNTIF($R$1:R17,R18),"")</f>
        <v/>
      </c>
      <c r="U18">
        <f t="shared" si="1"/>
        <v>0</v>
      </c>
      <c r="W18" s="117"/>
    </row>
    <row r="19" spans="3:23">
      <c r="R19" s="38" t="str">
        <f t="shared" si="0"/>
        <v/>
      </c>
      <c r="S19" t="str">
        <f>IFERROR(RANK(R19,R:R,1)+COUNTIF($R$1:R18,R19),"")</f>
        <v/>
      </c>
      <c r="U19">
        <f t="shared" si="1"/>
        <v>0</v>
      </c>
      <c r="W19" s="117"/>
    </row>
    <row r="20" spans="3:23">
      <c r="R20" s="38" t="str">
        <f t="shared" si="0"/>
        <v/>
      </c>
      <c r="S20" t="str">
        <f>IFERROR(RANK(R20,R:R,1)+COUNTIF($R$1:R19,R20),"")</f>
        <v/>
      </c>
      <c r="U20">
        <f t="shared" si="1"/>
        <v>0</v>
      </c>
      <c r="W20" s="117"/>
    </row>
    <row r="21" spans="3:23">
      <c r="R21" s="38" t="str">
        <f t="shared" si="0"/>
        <v/>
      </c>
      <c r="S21" t="str">
        <f>IFERROR(RANK(R21,R:R,1)+COUNTIF($R$1:R20,R21),"")</f>
        <v/>
      </c>
      <c r="U21">
        <f t="shared" si="1"/>
        <v>0</v>
      </c>
      <c r="W21" s="117"/>
    </row>
    <row r="22" spans="3:23">
      <c r="R22" s="38" t="str">
        <f t="shared" si="0"/>
        <v/>
      </c>
      <c r="S22" t="str">
        <f>IFERROR(RANK(R22,R:R,1)+COUNTIF($R$1:R21,R22),"")</f>
        <v/>
      </c>
      <c r="U22">
        <f t="shared" si="1"/>
        <v>0</v>
      </c>
      <c r="W22" s="117"/>
    </row>
    <row r="23" spans="3:23">
      <c r="R23" s="38" t="str">
        <f t="shared" si="0"/>
        <v/>
      </c>
      <c r="S23" t="str">
        <f>IFERROR(RANK(R23,R:R,1)+COUNTIF($R$1:R22,R23),"")</f>
        <v/>
      </c>
      <c r="U23">
        <f t="shared" si="1"/>
        <v>0</v>
      </c>
      <c r="W23" s="117"/>
    </row>
    <row r="24" spans="3:23">
      <c r="R24" s="38" t="str">
        <f t="shared" si="0"/>
        <v/>
      </c>
      <c r="S24" t="str">
        <f>IFERROR(RANK(R24,R:R,1)+COUNTIF($R$1:R23,R24),"")</f>
        <v/>
      </c>
      <c r="U24">
        <f t="shared" si="1"/>
        <v>0</v>
      </c>
      <c r="W24" s="117"/>
    </row>
    <row r="25" spans="3:23">
      <c r="R25" s="38" t="str">
        <f t="shared" si="0"/>
        <v/>
      </c>
      <c r="S25" t="str">
        <f>IFERROR(RANK(R25,R:R,1)+COUNTIF($R$1:R24,R25),"")</f>
        <v/>
      </c>
      <c r="U25">
        <f t="shared" si="1"/>
        <v>0</v>
      </c>
      <c r="W25" s="117"/>
    </row>
    <row r="26" spans="3:23">
      <c r="R26" s="38" t="str">
        <f t="shared" si="0"/>
        <v/>
      </c>
      <c r="S26" t="str">
        <f>IFERROR(RANK(R26,R:R,1)+COUNTIF($R$1:R25,R26),"")</f>
        <v/>
      </c>
      <c r="U26">
        <f t="shared" si="1"/>
        <v>0</v>
      </c>
      <c r="W26" s="117"/>
    </row>
    <row r="27" spans="3:23">
      <c r="R27" s="38" t="str">
        <f t="shared" si="0"/>
        <v/>
      </c>
      <c r="S27" t="str">
        <f>IFERROR(RANK(R27,R:R,1)+COUNTIF($R$1:R26,R27),"")</f>
        <v/>
      </c>
      <c r="U27">
        <f t="shared" si="1"/>
        <v>0</v>
      </c>
      <c r="W27" s="117"/>
    </row>
    <row r="28" spans="3:23">
      <c r="R28" s="38" t="str">
        <f t="shared" si="0"/>
        <v/>
      </c>
      <c r="S28" t="str">
        <f>IFERROR(RANK(R28,R:R,1)+COUNTIF($R$1:R27,R28),"")</f>
        <v/>
      </c>
      <c r="U28">
        <f t="shared" si="1"/>
        <v>0</v>
      </c>
      <c r="W28" s="117"/>
    </row>
    <row r="29" spans="3:23">
      <c r="R29" s="38" t="str">
        <f t="shared" si="0"/>
        <v/>
      </c>
      <c r="S29" t="str">
        <f>IFERROR(RANK(R29,R:R,1)+COUNTIF($R$1:R28,R29),"")</f>
        <v/>
      </c>
      <c r="U29">
        <f t="shared" si="1"/>
        <v>0</v>
      </c>
      <c r="W29" s="117"/>
    </row>
    <row r="30" spans="3:23">
      <c r="R30" s="38" t="str">
        <f t="shared" si="0"/>
        <v/>
      </c>
      <c r="S30" t="str">
        <f>IFERROR(RANK(R30,R:R,1)+COUNTIF($R$1:R29,R30),"")</f>
        <v/>
      </c>
      <c r="U30">
        <f t="shared" si="1"/>
        <v>0</v>
      </c>
      <c r="W30" s="117"/>
    </row>
    <row r="31" spans="3:23">
      <c r="R31" s="38" t="str">
        <f t="shared" si="0"/>
        <v/>
      </c>
      <c r="S31" t="str">
        <f>IFERROR(RANK(R31,R:R,1)+COUNTIF($R$1:R30,R31),"")</f>
        <v/>
      </c>
      <c r="U31">
        <f t="shared" si="1"/>
        <v>0</v>
      </c>
      <c r="W31" s="117"/>
    </row>
    <row r="32" spans="3:23">
      <c r="R32" s="38" t="str">
        <f t="shared" si="0"/>
        <v/>
      </c>
      <c r="S32" t="str">
        <f>IFERROR(RANK(R32,R:R,1)+COUNTIF($R$1:R31,R32),"")</f>
        <v/>
      </c>
      <c r="U32">
        <f t="shared" si="1"/>
        <v>0</v>
      </c>
      <c r="W32" s="117"/>
    </row>
    <row r="33" spans="18:23">
      <c r="R33" s="38" t="str">
        <f t="shared" si="0"/>
        <v/>
      </c>
      <c r="S33" t="str">
        <f>IFERROR(RANK(R33,R:R,1)+COUNTIF($R$1:R32,R33),"")</f>
        <v/>
      </c>
      <c r="U33">
        <f t="shared" si="1"/>
        <v>0</v>
      </c>
      <c r="W33" s="117"/>
    </row>
    <row r="34" spans="18:23">
      <c r="R34" s="38" t="str">
        <f t="shared" si="0"/>
        <v/>
      </c>
      <c r="S34" t="str">
        <f>IFERROR(RANK(R34,R:R,1)+COUNTIF($R$1:R33,R34),"")</f>
        <v/>
      </c>
      <c r="U34">
        <f t="shared" si="1"/>
        <v>0</v>
      </c>
      <c r="W34" s="117"/>
    </row>
    <row r="35" spans="18:23">
      <c r="R35" s="38" t="str">
        <f t="shared" si="0"/>
        <v/>
      </c>
      <c r="S35" t="str">
        <f>IFERROR(RANK(R35,R:R,1)+COUNTIF($R$1:R34,R35),"")</f>
        <v/>
      </c>
      <c r="U35">
        <f t="shared" si="1"/>
        <v>0</v>
      </c>
      <c r="W35" s="117"/>
    </row>
    <row r="36" spans="18:23">
      <c r="R36" s="38" t="str">
        <f t="shared" si="0"/>
        <v/>
      </c>
      <c r="S36" t="str">
        <f>IFERROR(RANK(R36,R:R,1)+COUNTIF($R$1:R35,R36),"")</f>
        <v/>
      </c>
      <c r="U36">
        <f t="shared" si="1"/>
        <v>0</v>
      </c>
      <c r="W36" s="117"/>
    </row>
    <row r="37" spans="18:23">
      <c r="R37" s="38" t="str">
        <f t="shared" si="0"/>
        <v/>
      </c>
      <c r="S37" t="str">
        <f>IFERROR(RANK(R37,R:R,1)+COUNTIF($R$1:R36,R37),"")</f>
        <v/>
      </c>
      <c r="U37">
        <f t="shared" si="1"/>
        <v>0</v>
      </c>
      <c r="W37" s="117"/>
    </row>
    <row r="38" spans="18:23">
      <c r="R38" s="38" t="str">
        <f t="shared" si="0"/>
        <v/>
      </c>
      <c r="S38" t="str">
        <f>IFERROR(RANK(R38,R:R,1)+COUNTIF($R$1:R37,R38),"")</f>
        <v/>
      </c>
      <c r="U38">
        <f t="shared" si="1"/>
        <v>0</v>
      </c>
      <c r="W38" s="117"/>
    </row>
    <row r="39" spans="18:23">
      <c r="R39" s="38" t="str">
        <f t="shared" si="0"/>
        <v/>
      </c>
      <c r="S39" t="str">
        <f>IFERROR(RANK(R39,R:R,1)+COUNTIF($R$1:R38,R39),"")</f>
        <v/>
      </c>
      <c r="U39">
        <f t="shared" si="1"/>
        <v>0</v>
      </c>
      <c r="W39" s="117"/>
    </row>
    <row r="40" spans="18:23">
      <c r="R40" s="38" t="str">
        <f t="shared" si="0"/>
        <v/>
      </c>
      <c r="S40" t="str">
        <f>IFERROR(RANK(R40,R:R,1)+COUNTIF($R$1:R39,R40),"")</f>
        <v/>
      </c>
      <c r="U40">
        <f t="shared" si="1"/>
        <v>0</v>
      </c>
      <c r="W40" s="117"/>
    </row>
    <row r="41" spans="18:23">
      <c r="R41" s="38" t="str">
        <f t="shared" si="0"/>
        <v/>
      </c>
      <c r="S41" t="str">
        <f>IFERROR(RANK(R41,R:R,1)+COUNTIF($R$1:R40,R41),"")</f>
        <v/>
      </c>
      <c r="U41">
        <f t="shared" si="1"/>
        <v>0</v>
      </c>
      <c r="W41" s="117"/>
    </row>
    <row r="42" spans="18:23">
      <c r="R42" s="38" t="str">
        <f t="shared" si="0"/>
        <v/>
      </c>
      <c r="S42" t="str">
        <f>IFERROR(RANK(R42,R:R,1)+COUNTIF($R$1:R41,R42),"")</f>
        <v/>
      </c>
      <c r="U42">
        <f t="shared" si="1"/>
        <v>0</v>
      </c>
      <c r="W42" s="117"/>
    </row>
    <row r="43" spans="18:23">
      <c r="R43" s="38" t="str">
        <f t="shared" si="0"/>
        <v/>
      </c>
      <c r="S43" t="str">
        <f>IFERROR(RANK(R43,R:R,1)+COUNTIF($R$1:R42,R43),"")</f>
        <v/>
      </c>
      <c r="U43">
        <f t="shared" si="1"/>
        <v>0</v>
      </c>
      <c r="W43" s="117"/>
    </row>
    <row r="44" spans="18:23">
      <c r="R44" s="38" t="str">
        <f t="shared" si="0"/>
        <v/>
      </c>
      <c r="S44" t="str">
        <f>IFERROR(RANK(R44,R:R,1)+COUNTIF($R$1:R43,R44),"")</f>
        <v/>
      </c>
      <c r="U44">
        <f t="shared" si="1"/>
        <v>0</v>
      </c>
    </row>
    <row r="45" spans="18:23">
      <c r="R45" s="38" t="str">
        <f t="shared" si="0"/>
        <v/>
      </c>
      <c r="S45" t="str">
        <f>IFERROR(RANK(R45,R:R,1)+COUNTIF($R$1:R44,R45),"")</f>
        <v/>
      </c>
      <c r="U45">
        <f t="shared" si="1"/>
        <v>0</v>
      </c>
    </row>
    <row r="46" spans="18:23">
      <c r="R46" s="38" t="str">
        <f t="shared" si="0"/>
        <v/>
      </c>
      <c r="S46" t="str">
        <f>IFERROR(RANK(R46,R:R,1)+COUNTIF($R$1:R45,R46),"")</f>
        <v/>
      </c>
      <c r="U46">
        <f t="shared" si="1"/>
        <v>0</v>
      </c>
    </row>
    <row r="47" spans="18:23">
      <c r="R47" s="38" t="str">
        <f t="shared" si="0"/>
        <v/>
      </c>
      <c r="S47" t="str">
        <f>IFERROR(RANK(R47,R:R,1)+COUNTIF($R$1:R46,R47),"")</f>
        <v/>
      </c>
      <c r="U47">
        <f t="shared" si="1"/>
        <v>0</v>
      </c>
    </row>
    <row r="48" spans="18:23">
      <c r="R48" s="38" t="str">
        <f t="shared" si="0"/>
        <v/>
      </c>
      <c r="S48" t="str">
        <f>IFERROR(RANK(R48,R:R,1)+COUNTIF($R$1:R47,R48),"")</f>
        <v/>
      </c>
      <c r="U48">
        <f t="shared" si="1"/>
        <v>0</v>
      </c>
    </row>
    <row r="49" spans="18:21">
      <c r="R49" s="38" t="str">
        <f t="shared" si="0"/>
        <v/>
      </c>
      <c r="S49" t="str">
        <f>IFERROR(RANK(R49,R:R,1)+COUNTIF($R$1:R48,R49),"")</f>
        <v/>
      </c>
      <c r="U49">
        <f t="shared" si="1"/>
        <v>0</v>
      </c>
    </row>
    <row r="50" spans="18:21">
      <c r="R50" s="38" t="str">
        <f t="shared" si="0"/>
        <v/>
      </c>
      <c r="S50" t="str">
        <f>IFERROR(RANK(R50,R:R,1)+COUNTIF($R$1:R49,R50),"")</f>
        <v/>
      </c>
      <c r="U50">
        <f t="shared" si="1"/>
        <v>0</v>
      </c>
    </row>
    <row r="51" spans="18:21">
      <c r="R51" s="38" t="str">
        <f t="shared" si="0"/>
        <v/>
      </c>
      <c r="S51" t="str">
        <f>IFERROR(RANK(R51,R:R,1)+COUNTIF($R$1:R50,R51),"")</f>
        <v/>
      </c>
      <c r="U51">
        <f t="shared" si="1"/>
        <v>0</v>
      </c>
    </row>
    <row r="52" spans="18:21">
      <c r="R52" s="38" t="str">
        <f t="shared" si="0"/>
        <v/>
      </c>
      <c r="S52" t="str">
        <f>IFERROR(RANK(R52,R:R,1)+COUNTIF($R$1:R51,R52),"")</f>
        <v/>
      </c>
      <c r="U52">
        <f t="shared" si="1"/>
        <v>0</v>
      </c>
    </row>
    <row r="53" spans="18:21">
      <c r="R53" s="38" t="str">
        <f t="shared" si="0"/>
        <v/>
      </c>
      <c r="S53" t="str">
        <f>IFERROR(RANK(R53,R:R,1)+COUNTIF($R$1:R52,R53),"")</f>
        <v/>
      </c>
      <c r="U53">
        <f t="shared" si="1"/>
        <v>0</v>
      </c>
    </row>
    <row r="54" spans="18:21">
      <c r="R54" s="38" t="str">
        <f t="shared" si="0"/>
        <v/>
      </c>
      <c r="S54" t="str">
        <f>IFERROR(RANK(R54,R:R,1)+COUNTIF($R$1:R53,R54),"")</f>
        <v/>
      </c>
      <c r="U54">
        <f t="shared" si="1"/>
        <v>0</v>
      </c>
    </row>
    <row r="55" spans="18:21">
      <c r="R55" s="38" t="str">
        <f t="shared" si="0"/>
        <v/>
      </c>
      <c r="S55" t="str">
        <f>IFERROR(RANK(R55,R:R,1)+COUNTIF($R$1:R54,R55),"")</f>
        <v/>
      </c>
      <c r="U55">
        <f t="shared" si="1"/>
        <v>0</v>
      </c>
    </row>
    <row r="56" spans="18:21">
      <c r="R56" s="38" t="str">
        <f t="shared" si="0"/>
        <v/>
      </c>
      <c r="S56" t="str">
        <f>IFERROR(RANK(R56,R:R,1)+COUNTIF($R$1:R55,R56),"")</f>
        <v/>
      </c>
      <c r="U56">
        <f t="shared" si="1"/>
        <v>0</v>
      </c>
    </row>
    <row r="57" spans="18:21">
      <c r="R57" s="38" t="str">
        <f t="shared" si="0"/>
        <v/>
      </c>
      <c r="S57" t="str">
        <f>IFERROR(RANK(R57,R:R,1)+COUNTIF($R$1:R56,R57),"")</f>
        <v/>
      </c>
      <c r="U57">
        <f t="shared" si="1"/>
        <v>0</v>
      </c>
    </row>
    <row r="58" spans="18:21">
      <c r="R58" s="38" t="str">
        <f t="shared" si="0"/>
        <v/>
      </c>
      <c r="S58" t="str">
        <f>IFERROR(RANK(R58,R:R,1)+COUNTIF($R$1:R57,R58),"")</f>
        <v/>
      </c>
      <c r="U58">
        <f t="shared" si="1"/>
        <v>0</v>
      </c>
    </row>
    <row r="59" spans="18:21">
      <c r="R59" s="38" t="str">
        <f t="shared" si="0"/>
        <v/>
      </c>
      <c r="S59" t="str">
        <f>IFERROR(RANK(R59,R:R,1)+COUNTIF($R$1:R58,R59),"")</f>
        <v/>
      </c>
      <c r="U59">
        <f t="shared" si="1"/>
        <v>0</v>
      </c>
    </row>
    <row r="60" spans="18:21">
      <c r="R60" s="38" t="str">
        <f t="shared" si="0"/>
        <v/>
      </c>
      <c r="S60" t="str">
        <f>IFERROR(RANK(R60,R:R,1)+COUNTIF($R$1:R59,R60),"")</f>
        <v/>
      </c>
      <c r="U60">
        <f t="shared" si="1"/>
        <v>0</v>
      </c>
    </row>
    <row r="61" spans="18:21">
      <c r="R61" s="38" t="str">
        <f t="shared" si="0"/>
        <v/>
      </c>
      <c r="S61" t="str">
        <f>IFERROR(RANK(R61,R:R,1)+COUNTIF($R$1:R60,R61),"")</f>
        <v/>
      </c>
      <c r="U61">
        <f t="shared" si="1"/>
        <v>0</v>
      </c>
    </row>
    <row r="62" spans="18:21">
      <c r="R62" s="38" t="str">
        <f t="shared" si="0"/>
        <v/>
      </c>
      <c r="S62" t="str">
        <f>IFERROR(RANK(R62,R:R,1)+COUNTIF($R$1:R61,R62),"")</f>
        <v/>
      </c>
      <c r="U62">
        <f t="shared" si="1"/>
        <v>0</v>
      </c>
    </row>
    <row r="63" spans="18:21">
      <c r="R63" s="38" t="str">
        <f t="shared" si="0"/>
        <v/>
      </c>
      <c r="S63" t="str">
        <f>IFERROR(RANK(R63,R:R,1)+COUNTIF($R$1:R62,R63),"")</f>
        <v/>
      </c>
      <c r="U63">
        <f t="shared" si="1"/>
        <v>0</v>
      </c>
    </row>
    <row r="64" spans="18:21">
      <c r="R64" s="38" t="str">
        <f t="shared" si="0"/>
        <v/>
      </c>
      <c r="S64" t="str">
        <f>IFERROR(RANK(R64,R:R,1)+COUNTIF($R$1:R63,R64),"")</f>
        <v/>
      </c>
      <c r="U64">
        <f t="shared" si="1"/>
        <v>0</v>
      </c>
    </row>
    <row r="65" spans="18:21">
      <c r="R65" s="38" t="str">
        <f t="shared" si="0"/>
        <v/>
      </c>
      <c r="S65" t="str">
        <f>IFERROR(RANK(R65,R:R,1)+COUNTIF($R$1:R64,R65),"")</f>
        <v/>
      </c>
      <c r="U65">
        <f t="shared" si="1"/>
        <v>0</v>
      </c>
    </row>
    <row r="66" spans="18:21">
      <c r="R66" s="38" t="str">
        <f t="shared" si="0"/>
        <v/>
      </c>
      <c r="S66" t="str">
        <f>IFERROR(RANK(R66,R:R,1)+COUNTIF($R$1:R65,R66),"")</f>
        <v/>
      </c>
      <c r="U66">
        <f t="shared" si="1"/>
        <v>0</v>
      </c>
    </row>
    <row r="67" spans="18:21">
      <c r="R67" s="38" t="str">
        <f t="shared" ref="R67:R99" si="2">IF(C67="","",IFERROR(DATE(MID(C67,7,4),LEFT(C67,2),MID(C67,4,2)),C67))</f>
        <v/>
      </c>
      <c r="S67" t="str">
        <f>IFERROR(RANK(R67,R:R,1)+COUNTIF($R$1:R66,R67),"")</f>
        <v/>
      </c>
      <c r="U67">
        <f t="shared" ref="U67:U99" si="3">LEN(A67)</f>
        <v>0</v>
      </c>
    </row>
    <row r="68" spans="18:21">
      <c r="R68" s="38" t="str">
        <f t="shared" si="2"/>
        <v/>
      </c>
      <c r="S68" t="str">
        <f>IFERROR(RANK(R68,R:R,1)+COUNTIF($R$1:R67,R68),"")</f>
        <v/>
      </c>
      <c r="U68">
        <f t="shared" si="3"/>
        <v>0</v>
      </c>
    </row>
    <row r="69" spans="18:21">
      <c r="R69" s="38" t="str">
        <f t="shared" si="2"/>
        <v/>
      </c>
      <c r="S69" t="str">
        <f>IFERROR(RANK(R69,R:R,1)+COUNTIF($R$1:R68,R69),"")</f>
        <v/>
      </c>
      <c r="U69">
        <f t="shared" si="3"/>
        <v>0</v>
      </c>
    </row>
    <row r="70" spans="18:21">
      <c r="R70" s="38" t="str">
        <f t="shared" si="2"/>
        <v/>
      </c>
      <c r="S70" t="str">
        <f>IFERROR(RANK(R70,R:R,1)+COUNTIF($R$1:R69,R70),"")</f>
        <v/>
      </c>
      <c r="U70">
        <f t="shared" si="3"/>
        <v>0</v>
      </c>
    </row>
    <row r="71" spans="18:21">
      <c r="R71" s="38" t="str">
        <f t="shared" si="2"/>
        <v/>
      </c>
      <c r="S71" t="str">
        <f>IFERROR(RANK(R71,R:R,1)+COUNTIF($R$1:R70,R71),"")</f>
        <v/>
      </c>
      <c r="U71">
        <f t="shared" si="3"/>
        <v>0</v>
      </c>
    </row>
    <row r="72" spans="18:21">
      <c r="R72" s="38" t="str">
        <f t="shared" si="2"/>
        <v/>
      </c>
      <c r="S72" t="str">
        <f>IFERROR(RANK(R72,R:R,1)+COUNTIF($R$1:R71,R72),"")</f>
        <v/>
      </c>
      <c r="U72">
        <f t="shared" si="3"/>
        <v>0</v>
      </c>
    </row>
    <row r="73" spans="18:21">
      <c r="R73" s="38" t="str">
        <f t="shared" si="2"/>
        <v/>
      </c>
      <c r="S73" t="str">
        <f>IFERROR(RANK(R73,R:R,1)+COUNTIF($R$1:R72,R73),"")</f>
        <v/>
      </c>
      <c r="U73">
        <f t="shared" si="3"/>
        <v>0</v>
      </c>
    </row>
    <row r="74" spans="18:21">
      <c r="R74" s="38" t="str">
        <f t="shared" si="2"/>
        <v/>
      </c>
      <c r="S74" t="str">
        <f>IFERROR(RANK(R74,R:R,1)+COUNTIF($R$1:R73,R74),"")</f>
        <v/>
      </c>
      <c r="U74">
        <f t="shared" si="3"/>
        <v>0</v>
      </c>
    </row>
    <row r="75" spans="18:21">
      <c r="R75" s="38" t="str">
        <f t="shared" si="2"/>
        <v/>
      </c>
      <c r="S75" t="str">
        <f>IFERROR(RANK(R75,R:R,1)+COUNTIF($R$1:R74,R75),"")</f>
        <v/>
      </c>
      <c r="U75">
        <f t="shared" si="3"/>
        <v>0</v>
      </c>
    </row>
    <row r="76" spans="18:21">
      <c r="R76" s="38" t="str">
        <f t="shared" si="2"/>
        <v/>
      </c>
      <c r="S76" t="str">
        <f>IFERROR(RANK(R76,R:R,1)+COUNTIF($R$1:R75,R76),"")</f>
        <v/>
      </c>
      <c r="U76">
        <f t="shared" si="3"/>
        <v>0</v>
      </c>
    </row>
    <row r="77" spans="18:21">
      <c r="R77" s="38" t="str">
        <f t="shared" si="2"/>
        <v/>
      </c>
      <c r="S77" t="str">
        <f>IFERROR(RANK(R77,R:R,1)+COUNTIF($R$1:R76,R77),"")</f>
        <v/>
      </c>
      <c r="U77">
        <f t="shared" si="3"/>
        <v>0</v>
      </c>
    </row>
    <row r="78" spans="18:21">
      <c r="R78" s="38" t="str">
        <f t="shared" si="2"/>
        <v/>
      </c>
      <c r="S78" t="str">
        <f>IFERROR(RANK(R78,R:R,1)+COUNTIF($R$1:R77,R78),"")</f>
        <v/>
      </c>
      <c r="U78">
        <f t="shared" si="3"/>
        <v>0</v>
      </c>
    </row>
    <row r="79" spans="18:21">
      <c r="R79" s="38" t="str">
        <f t="shared" si="2"/>
        <v/>
      </c>
      <c r="S79" t="str">
        <f>IFERROR(RANK(R79,R:R,1)+COUNTIF($R$1:R78,R79),"")</f>
        <v/>
      </c>
      <c r="U79">
        <f t="shared" si="3"/>
        <v>0</v>
      </c>
    </row>
    <row r="80" spans="18:21">
      <c r="R80" s="38" t="str">
        <f t="shared" si="2"/>
        <v/>
      </c>
      <c r="S80" t="str">
        <f>IFERROR(RANK(R80,R:R,1)+COUNTIF($R$1:R79,R80),"")</f>
        <v/>
      </c>
      <c r="U80">
        <f t="shared" si="3"/>
        <v>0</v>
      </c>
    </row>
    <row r="81" spans="18:21">
      <c r="R81" s="38" t="str">
        <f t="shared" si="2"/>
        <v/>
      </c>
      <c r="S81" t="str">
        <f>IFERROR(RANK(R81,R:R,1)+COUNTIF($R$1:R80,R81),"")</f>
        <v/>
      </c>
      <c r="U81">
        <f t="shared" si="3"/>
        <v>0</v>
      </c>
    </row>
    <row r="82" spans="18:21">
      <c r="R82" s="38" t="str">
        <f t="shared" si="2"/>
        <v/>
      </c>
      <c r="S82" t="str">
        <f>IFERROR(RANK(R82,R:R,1)+COUNTIF($R$1:R81,R82),"")</f>
        <v/>
      </c>
      <c r="U82">
        <f t="shared" si="3"/>
        <v>0</v>
      </c>
    </row>
    <row r="83" spans="18:21">
      <c r="R83" s="38" t="str">
        <f t="shared" si="2"/>
        <v/>
      </c>
      <c r="S83" t="str">
        <f>IFERROR(RANK(R83,R:R,1)+COUNTIF($R$1:R82,R83),"")</f>
        <v/>
      </c>
      <c r="U83">
        <f t="shared" si="3"/>
        <v>0</v>
      </c>
    </row>
    <row r="84" spans="18:21">
      <c r="R84" s="38" t="str">
        <f t="shared" si="2"/>
        <v/>
      </c>
      <c r="S84" t="str">
        <f>IFERROR(RANK(R84,R:R,1)+COUNTIF($R$1:R83,R84),"")</f>
        <v/>
      </c>
      <c r="U84">
        <f t="shared" si="3"/>
        <v>0</v>
      </c>
    </row>
    <row r="85" spans="18:21">
      <c r="R85" s="38" t="str">
        <f t="shared" si="2"/>
        <v/>
      </c>
      <c r="S85" t="str">
        <f>IFERROR(RANK(R85,R:R,1)+COUNTIF($R$1:R84,R85),"")</f>
        <v/>
      </c>
      <c r="U85">
        <f t="shared" si="3"/>
        <v>0</v>
      </c>
    </row>
    <row r="86" spans="18:21">
      <c r="R86" s="38" t="str">
        <f t="shared" si="2"/>
        <v/>
      </c>
      <c r="S86" t="str">
        <f>IFERROR(RANK(R86,R:R,1)+COUNTIF($R$1:R85,R86),"")</f>
        <v/>
      </c>
      <c r="U86">
        <f t="shared" si="3"/>
        <v>0</v>
      </c>
    </row>
    <row r="87" spans="18:21">
      <c r="R87" s="38" t="str">
        <f t="shared" si="2"/>
        <v/>
      </c>
      <c r="S87" t="str">
        <f>IFERROR(RANK(R87,R:R,1)+COUNTIF($R$1:R86,R87),"")</f>
        <v/>
      </c>
      <c r="U87">
        <f t="shared" si="3"/>
        <v>0</v>
      </c>
    </row>
    <row r="88" spans="18:21">
      <c r="R88" s="38" t="str">
        <f t="shared" si="2"/>
        <v/>
      </c>
      <c r="S88" t="str">
        <f>IFERROR(RANK(R88,R:R,1)+COUNTIF($R$1:R87,R88),"")</f>
        <v/>
      </c>
      <c r="U88">
        <f t="shared" si="3"/>
        <v>0</v>
      </c>
    </row>
    <row r="89" spans="18:21">
      <c r="R89" s="38" t="str">
        <f t="shared" si="2"/>
        <v/>
      </c>
      <c r="S89" t="str">
        <f>IFERROR(RANK(R89,R:R,1)+COUNTIF($R$1:R88,R89),"")</f>
        <v/>
      </c>
      <c r="U89">
        <f t="shared" si="3"/>
        <v>0</v>
      </c>
    </row>
    <row r="90" spans="18:21">
      <c r="R90" s="38" t="str">
        <f t="shared" si="2"/>
        <v/>
      </c>
      <c r="S90" t="str">
        <f>IFERROR(RANK(R90,R:R,1)+COUNTIF($R$1:R89,R90),"")</f>
        <v/>
      </c>
      <c r="U90">
        <f t="shared" si="3"/>
        <v>0</v>
      </c>
    </row>
    <row r="91" spans="18:21">
      <c r="R91" s="38" t="str">
        <f t="shared" si="2"/>
        <v/>
      </c>
      <c r="S91" t="str">
        <f>IFERROR(RANK(R91,R:R,1)+COUNTIF($R$1:R90,R91),"")</f>
        <v/>
      </c>
      <c r="U91">
        <f t="shared" si="3"/>
        <v>0</v>
      </c>
    </row>
    <row r="92" spans="18:21">
      <c r="R92" s="38" t="str">
        <f t="shared" si="2"/>
        <v/>
      </c>
      <c r="S92" t="str">
        <f>IFERROR(RANK(R92,R:R,1)+COUNTIF($R$1:R91,R92),"")</f>
        <v/>
      </c>
      <c r="U92">
        <f t="shared" si="3"/>
        <v>0</v>
      </c>
    </row>
    <row r="93" spans="18:21">
      <c r="R93" s="38" t="str">
        <f t="shared" si="2"/>
        <v/>
      </c>
      <c r="S93" t="str">
        <f>IFERROR(RANK(R93,R:R,1)+COUNTIF($R$1:R92,R93),"")</f>
        <v/>
      </c>
      <c r="U93">
        <f t="shared" si="3"/>
        <v>0</v>
      </c>
    </row>
    <row r="94" spans="18:21">
      <c r="R94" s="38" t="str">
        <f t="shared" si="2"/>
        <v/>
      </c>
      <c r="S94" t="str">
        <f>IFERROR(RANK(R94,R:R,1)+COUNTIF($R$1:R93,R94),"")</f>
        <v/>
      </c>
      <c r="U94">
        <f t="shared" si="3"/>
        <v>0</v>
      </c>
    </row>
    <row r="95" spans="18:21">
      <c r="R95" s="38" t="str">
        <f t="shared" si="2"/>
        <v/>
      </c>
      <c r="S95" t="str">
        <f>IFERROR(RANK(R95,R:R,1)+COUNTIF($R$1:R94,R95),"")</f>
        <v/>
      </c>
      <c r="U95">
        <f t="shared" si="3"/>
        <v>0</v>
      </c>
    </row>
    <row r="96" spans="18:21">
      <c r="R96" s="38" t="str">
        <f t="shared" si="2"/>
        <v/>
      </c>
      <c r="S96" t="str">
        <f>IFERROR(RANK(R96,R:R,1)+COUNTIF($R$1:R95,R96),"")</f>
        <v/>
      </c>
      <c r="U96">
        <f t="shared" si="3"/>
        <v>0</v>
      </c>
    </row>
    <row r="97" spans="18:21">
      <c r="R97" s="38" t="str">
        <f t="shared" si="2"/>
        <v/>
      </c>
      <c r="S97" t="str">
        <f>IFERROR(RANK(R97,R:R,1)+COUNTIF($R$1:R96,R97),"")</f>
        <v/>
      </c>
      <c r="U97">
        <f t="shared" si="3"/>
        <v>0</v>
      </c>
    </row>
    <row r="98" spans="18:21">
      <c r="R98" s="38" t="str">
        <f t="shared" si="2"/>
        <v/>
      </c>
      <c r="S98" t="str">
        <f>IFERROR(RANK(R98,R:R,1)+COUNTIF($R$1:R97,R98),"")</f>
        <v/>
      </c>
      <c r="U98">
        <f t="shared" si="3"/>
        <v>0</v>
      </c>
    </row>
    <row r="99" spans="18:21">
      <c r="R99" s="38" t="str">
        <f t="shared" si="2"/>
        <v/>
      </c>
      <c r="S99" t="str">
        <f>IFERROR(RANK(R99,R:R,1)+COUNTIF($R$1:R98,R99),"")</f>
        <v/>
      </c>
      <c r="U99">
        <f t="shared" si="3"/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U43"/>
  <sheetViews>
    <sheetView workbookViewId="0">
      <selection activeCell="I2" sqref="I1:I1048576"/>
    </sheetView>
  </sheetViews>
  <sheetFormatPr defaultRowHeight="16.899999999999999"/>
  <cols>
    <col min="1" max="17" width="8.75" style="43"/>
  </cols>
  <sheetData>
    <row r="1" spans="1:21">
      <c r="A1" s="43" t="s">
        <v>201</v>
      </c>
      <c r="B1" s="43" t="s">
        <v>74</v>
      </c>
      <c r="C1" s="43" t="s">
        <v>37</v>
      </c>
      <c r="D1" s="43" t="s">
        <v>42</v>
      </c>
      <c r="E1" s="43" t="s">
        <v>46</v>
      </c>
      <c r="F1" s="43" t="s">
        <v>50</v>
      </c>
      <c r="G1" s="43" t="s">
        <v>70</v>
      </c>
      <c r="H1" s="43" t="s">
        <v>47</v>
      </c>
      <c r="I1" s="43" t="s">
        <v>91</v>
      </c>
      <c r="J1" s="43" t="s">
        <v>92</v>
      </c>
      <c r="K1" s="43" t="s">
        <v>94</v>
      </c>
      <c r="L1" s="43" t="s">
        <v>52</v>
      </c>
      <c r="M1" s="43" t="s">
        <v>75</v>
      </c>
      <c r="N1" s="43" t="s">
        <v>93</v>
      </c>
    </row>
    <row r="2" spans="1:21">
      <c r="A2" s="43" t="s">
        <v>268</v>
      </c>
      <c r="B2" s="43" t="s">
        <v>269</v>
      </c>
      <c r="C2" s="43" t="s">
        <v>212</v>
      </c>
      <c r="D2" s="43" t="s">
        <v>270</v>
      </c>
      <c r="E2" s="43" t="s">
        <v>138</v>
      </c>
      <c r="F2" s="43">
        <v>403</v>
      </c>
      <c r="G2" s="43">
        <v>403</v>
      </c>
      <c r="H2" s="43">
        <v>0</v>
      </c>
      <c r="I2" s="43">
        <v>8</v>
      </c>
      <c r="J2" s="43">
        <v>0</v>
      </c>
      <c r="K2" s="43">
        <v>478</v>
      </c>
      <c r="L2" s="43">
        <v>8</v>
      </c>
      <c r="R2">
        <f>IF(COUNTIF($C$2:C2, C2) = 1, 1, 0)</f>
        <v>1</v>
      </c>
      <c r="U2" s="117" t="s">
        <v>125</v>
      </c>
    </row>
    <row r="3" spans="1:21">
      <c r="A3" s="43" t="s">
        <v>217</v>
      </c>
      <c r="B3" s="43" t="s">
        <v>269</v>
      </c>
      <c r="C3" s="43" t="s">
        <v>218</v>
      </c>
      <c r="D3" s="43" t="s">
        <v>270</v>
      </c>
      <c r="E3" s="43" t="s">
        <v>138</v>
      </c>
      <c r="F3" s="43">
        <v>357</v>
      </c>
      <c r="G3" s="43">
        <v>355</v>
      </c>
      <c r="H3" s="43">
        <v>1</v>
      </c>
      <c r="I3" s="43">
        <v>12</v>
      </c>
      <c r="J3" s="43">
        <v>1</v>
      </c>
      <c r="K3" s="43">
        <v>441</v>
      </c>
      <c r="M3" s="43">
        <v>1</v>
      </c>
      <c r="N3" s="43">
        <v>2</v>
      </c>
      <c r="R3">
        <f>IF(COUNTIF($C$2:C3, C3) = 1, 1, 0)</f>
        <v>1</v>
      </c>
      <c r="U3" s="112"/>
    </row>
    <row r="4" spans="1:21">
      <c r="A4" s="43" t="s">
        <v>271</v>
      </c>
      <c r="B4" s="43" t="s">
        <v>269</v>
      </c>
      <c r="C4" s="43" t="s">
        <v>221</v>
      </c>
      <c r="D4" s="43" t="s">
        <v>270</v>
      </c>
      <c r="E4" s="43" t="s">
        <v>138</v>
      </c>
      <c r="F4" s="43">
        <v>315</v>
      </c>
      <c r="G4" s="43">
        <v>308</v>
      </c>
      <c r="H4" s="43">
        <v>0</v>
      </c>
      <c r="I4" s="43">
        <v>3</v>
      </c>
      <c r="J4" s="43">
        <v>0</v>
      </c>
      <c r="K4" s="43">
        <v>331</v>
      </c>
      <c r="M4" s="43">
        <v>1</v>
      </c>
      <c r="R4">
        <f>IF(COUNTIF($C$2:C4, C4) = 1, 1, 0)</f>
        <v>1</v>
      </c>
      <c r="U4" s="112"/>
    </row>
    <row r="5" spans="1:21">
      <c r="A5" s="43" t="s">
        <v>272</v>
      </c>
      <c r="B5" s="43" t="s">
        <v>269</v>
      </c>
      <c r="C5" s="43" t="s">
        <v>224</v>
      </c>
      <c r="D5" s="43" t="s">
        <v>270</v>
      </c>
      <c r="E5" s="43" t="s">
        <v>138</v>
      </c>
      <c r="F5" s="43">
        <v>545</v>
      </c>
      <c r="G5" s="43">
        <v>537</v>
      </c>
      <c r="H5" s="43">
        <v>0</v>
      </c>
      <c r="I5" s="43">
        <v>8</v>
      </c>
      <c r="J5" s="43">
        <v>0</v>
      </c>
      <c r="K5" s="43">
        <v>629</v>
      </c>
      <c r="L5" s="43">
        <v>22</v>
      </c>
      <c r="R5">
        <f>IF(COUNTIF($C$2:C5, C5) = 1, 1, 0)</f>
        <v>1</v>
      </c>
      <c r="U5" s="112"/>
    </row>
    <row r="6" spans="1:21">
      <c r="A6" s="43" t="s">
        <v>273</v>
      </c>
      <c r="B6" s="43" t="s">
        <v>269</v>
      </c>
      <c r="C6" s="43" t="s">
        <v>230</v>
      </c>
      <c r="D6" s="43" t="s">
        <v>270</v>
      </c>
      <c r="E6" s="43" t="s">
        <v>138</v>
      </c>
      <c r="F6" s="43">
        <v>443</v>
      </c>
      <c r="G6" s="43">
        <v>429</v>
      </c>
      <c r="H6" s="43">
        <v>0</v>
      </c>
      <c r="I6" s="43">
        <v>9</v>
      </c>
      <c r="J6" s="43">
        <v>0</v>
      </c>
      <c r="K6" s="43">
        <v>453</v>
      </c>
      <c r="L6" s="43">
        <v>4</v>
      </c>
      <c r="R6">
        <f>IF(COUNTIF($C$2:C6, C6) = 1, 1, 0)</f>
        <v>1</v>
      </c>
      <c r="U6" s="112"/>
    </row>
    <row r="7" spans="1:21">
      <c r="A7" s="43" t="s">
        <v>238</v>
      </c>
      <c r="B7" s="43" t="s">
        <v>269</v>
      </c>
      <c r="C7" s="43" t="s">
        <v>239</v>
      </c>
      <c r="D7" s="43" t="s">
        <v>270</v>
      </c>
      <c r="E7" s="43" t="s">
        <v>138</v>
      </c>
      <c r="F7" s="43">
        <v>334</v>
      </c>
      <c r="G7" s="43">
        <v>331</v>
      </c>
      <c r="H7" s="43">
        <v>0</v>
      </c>
      <c r="I7" s="43">
        <v>6</v>
      </c>
      <c r="J7" s="43">
        <v>1</v>
      </c>
      <c r="K7" s="43">
        <v>409</v>
      </c>
      <c r="R7">
        <f>IF(COUNTIF($C$2:C7, C7) = 1, 1, 0)</f>
        <v>1</v>
      </c>
      <c r="U7" s="112"/>
    </row>
    <row r="8" spans="1:21">
      <c r="A8" s="43" t="s">
        <v>241</v>
      </c>
      <c r="B8" s="43" t="s">
        <v>269</v>
      </c>
      <c r="C8" s="43" t="s">
        <v>242</v>
      </c>
      <c r="D8" s="43" t="s">
        <v>270</v>
      </c>
      <c r="E8" s="43" t="s">
        <v>138</v>
      </c>
      <c r="F8" s="43">
        <v>329</v>
      </c>
      <c r="G8" s="43">
        <v>319</v>
      </c>
      <c r="H8" s="43">
        <v>0</v>
      </c>
      <c r="I8" s="43">
        <v>11</v>
      </c>
      <c r="J8" s="43">
        <v>0</v>
      </c>
      <c r="K8" s="43">
        <v>383</v>
      </c>
      <c r="M8" s="43">
        <v>1</v>
      </c>
      <c r="R8">
        <f>IF(COUNTIF($C$2:C8, C8) = 1, 1, 0)</f>
        <v>1</v>
      </c>
      <c r="U8" s="112"/>
    </row>
    <row r="9" spans="1:21">
      <c r="A9" s="43" t="s">
        <v>274</v>
      </c>
      <c r="B9" s="43" t="s">
        <v>269</v>
      </c>
      <c r="C9" s="43" t="s">
        <v>248</v>
      </c>
      <c r="D9" s="43" t="s">
        <v>270</v>
      </c>
      <c r="E9" s="43" t="s">
        <v>138</v>
      </c>
      <c r="F9" s="43">
        <v>416</v>
      </c>
      <c r="G9" s="43">
        <v>415</v>
      </c>
      <c r="H9" s="43">
        <v>0</v>
      </c>
      <c r="I9" s="43">
        <v>6</v>
      </c>
      <c r="J9" s="43">
        <v>0</v>
      </c>
      <c r="K9" s="43">
        <v>512</v>
      </c>
      <c r="L9" s="43">
        <v>11</v>
      </c>
      <c r="M9" s="43">
        <v>1</v>
      </c>
      <c r="R9">
        <f>IF(COUNTIF($C$2:C9, C9) = 1, 1, 0)</f>
        <v>1</v>
      </c>
      <c r="U9" s="112"/>
    </row>
    <row r="10" spans="1:21">
      <c r="A10" s="43" t="s">
        <v>275</v>
      </c>
      <c r="B10" s="43" t="s">
        <v>269</v>
      </c>
      <c r="C10" s="43" t="s">
        <v>276</v>
      </c>
      <c r="D10" s="43" t="s">
        <v>270</v>
      </c>
      <c r="E10" s="43" t="s">
        <v>138</v>
      </c>
      <c r="F10" s="43">
        <v>313</v>
      </c>
      <c r="G10" s="43">
        <v>305</v>
      </c>
      <c r="H10" s="43">
        <v>0</v>
      </c>
      <c r="I10" s="43">
        <v>6</v>
      </c>
      <c r="J10" s="43">
        <v>0</v>
      </c>
      <c r="K10" s="43">
        <v>390</v>
      </c>
      <c r="L10" s="43">
        <v>3</v>
      </c>
      <c r="M10" s="43">
        <v>1</v>
      </c>
      <c r="R10">
        <f>IF(COUNTIF($C$2:C10, C10) = 1, 1, 0)</f>
        <v>1</v>
      </c>
      <c r="U10" s="112"/>
    </row>
    <row r="11" spans="1:21">
      <c r="A11" s="43" t="s">
        <v>253</v>
      </c>
      <c r="B11" s="43" t="s">
        <v>269</v>
      </c>
      <c r="C11" s="43" t="s">
        <v>277</v>
      </c>
      <c r="D11" s="43" t="s">
        <v>270</v>
      </c>
      <c r="E11" s="43" t="s">
        <v>138</v>
      </c>
      <c r="F11" s="43">
        <v>302</v>
      </c>
      <c r="G11" s="43">
        <v>302</v>
      </c>
      <c r="H11" s="43">
        <v>0</v>
      </c>
      <c r="I11" s="43">
        <v>4</v>
      </c>
      <c r="J11" s="43">
        <v>0</v>
      </c>
      <c r="K11" s="43">
        <v>357</v>
      </c>
      <c r="R11">
        <f>IF(COUNTIF($C$2:C11, C11) = 1, 1, 0)</f>
        <v>1</v>
      </c>
      <c r="U11" s="112"/>
    </row>
    <row r="12" spans="1:21">
      <c r="R12">
        <f>IF(COUNTIF($C$2:C12, C12) = 1, 1, 0)</f>
        <v>0</v>
      </c>
      <c r="U12" s="112"/>
    </row>
    <row r="13" spans="1:21">
      <c r="R13">
        <f>IF(COUNTIF($C$2:C13, C13) = 1, 1, 0)</f>
        <v>0</v>
      </c>
      <c r="U13" s="112"/>
    </row>
    <row r="14" spans="1:21">
      <c r="R14">
        <f>IF(COUNTIF($C$2:C14, C14) = 1, 1, 0)</f>
        <v>0</v>
      </c>
      <c r="U14" s="112"/>
    </row>
    <row r="15" spans="1:21">
      <c r="R15">
        <f>IF(COUNTIF($C$2:C15, C15) = 1, 1, 0)</f>
        <v>0</v>
      </c>
      <c r="U15" s="112"/>
    </row>
    <row r="16" spans="1:21">
      <c r="R16">
        <f>IF(COUNTIF($C$2:C16, C16) = 1, 1, 0)</f>
        <v>0</v>
      </c>
      <c r="U16" s="112"/>
    </row>
    <row r="17" spans="18:21">
      <c r="R17">
        <f>IF(COUNTIF($C$2:C17, C17) = 1, 1, 0)</f>
        <v>0</v>
      </c>
      <c r="U17" s="112"/>
    </row>
    <row r="18" spans="18:21">
      <c r="R18">
        <f>IF(COUNTIF($C$2:C18, C18) = 1, 1, 0)</f>
        <v>0</v>
      </c>
      <c r="U18" s="112"/>
    </row>
    <row r="19" spans="18:21">
      <c r="U19" s="112"/>
    </row>
    <row r="20" spans="18:21">
      <c r="U20" s="112"/>
    </row>
    <row r="21" spans="18:21">
      <c r="U21" s="112"/>
    </row>
    <row r="22" spans="18:21">
      <c r="U22" s="112"/>
    </row>
    <row r="23" spans="18:21">
      <c r="U23" s="112"/>
    </row>
    <row r="24" spans="18:21">
      <c r="U24" s="112"/>
    </row>
    <row r="25" spans="18:21">
      <c r="U25" s="112"/>
    </row>
    <row r="26" spans="18:21">
      <c r="U26" s="112"/>
    </row>
    <row r="27" spans="18:21">
      <c r="U27" s="112"/>
    </row>
    <row r="28" spans="18:21">
      <c r="U28" s="112"/>
    </row>
    <row r="29" spans="18:21">
      <c r="U29" s="112"/>
    </row>
    <row r="30" spans="18:21">
      <c r="U30" s="112"/>
    </row>
    <row r="31" spans="18:21">
      <c r="U31" s="112"/>
    </row>
    <row r="32" spans="18:21">
      <c r="U32" s="112"/>
    </row>
    <row r="33" spans="21:21">
      <c r="U33" s="112"/>
    </row>
    <row r="34" spans="21:21">
      <c r="U34" s="112"/>
    </row>
    <row r="35" spans="21:21">
      <c r="U35" s="112"/>
    </row>
    <row r="36" spans="21:21">
      <c r="U36" s="112"/>
    </row>
    <row r="37" spans="21:21">
      <c r="U37" s="112"/>
    </row>
    <row r="38" spans="21:21">
      <c r="U38" s="112"/>
    </row>
    <row r="39" spans="21:21">
      <c r="U39" s="112"/>
    </row>
    <row r="40" spans="21:21">
      <c r="U40" s="112"/>
    </row>
    <row r="41" spans="21:21">
      <c r="U41" s="112"/>
    </row>
    <row r="42" spans="21:21">
      <c r="U42" s="112"/>
    </row>
    <row r="43" spans="21:21">
      <c r="U43" s="112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zoomScaleNormal="100" workbookViewId="0"/>
  </sheetViews>
  <sheetFormatPr defaultColWidth="8.75" defaultRowHeight="16.899999999999999"/>
  <cols>
    <col min="1" max="5" width="18.5" style="63" customWidth="1"/>
    <col min="6" max="9" width="8.75" style="63"/>
    <col min="10" max="13" width="12.75" style="63" customWidth="1"/>
    <col min="14" max="16384" width="8.75" style="63"/>
  </cols>
  <sheetData>
    <row r="1" spans="1:26">
      <c r="A1" s="62" t="s">
        <v>62</v>
      </c>
      <c r="B1" s="62" t="s">
        <v>73</v>
      </c>
      <c r="C1" s="62" t="s">
        <v>177</v>
      </c>
      <c r="D1" s="62" t="s">
        <v>64</v>
      </c>
      <c r="E1" s="62" t="s">
        <v>65</v>
      </c>
      <c r="F1" s="62" t="s">
        <v>56</v>
      </c>
      <c r="G1" s="62" t="s">
        <v>66</v>
      </c>
    </row>
    <row r="2" spans="1:26" ht="17.25" thickBot="1">
      <c r="A2" s="105">
        <v>45078</v>
      </c>
      <c r="B2" s="84">
        <v>25330</v>
      </c>
      <c r="C2" s="84">
        <v>469</v>
      </c>
      <c r="D2" s="84">
        <v>5</v>
      </c>
      <c r="E2" s="84">
        <v>301819</v>
      </c>
      <c r="F2" s="84">
        <v>251</v>
      </c>
      <c r="G2" s="85">
        <v>3.1854287574416566E-4</v>
      </c>
    </row>
    <row r="3" spans="1:26">
      <c r="A3" s="100">
        <v>45108</v>
      </c>
      <c r="B3" s="64">
        <v>24784</v>
      </c>
      <c r="C3" s="64">
        <v>648</v>
      </c>
      <c r="D3" s="64">
        <v>14</v>
      </c>
      <c r="E3" s="64">
        <v>787963</v>
      </c>
      <c r="F3" s="64">
        <v>2050</v>
      </c>
      <c r="G3" s="65">
        <v>2.6016450010977674E-3</v>
      </c>
      <c r="I3" s="217" t="s">
        <v>59</v>
      </c>
      <c r="J3" s="218"/>
      <c r="K3" s="218"/>
      <c r="L3" s="218"/>
      <c r="M3" s="218"/>
      <c r="N3" s="218"/>
      <c r="O3" s="219"/>
      <c r="Q3" s="118" t="s">
        <v>126</v>
      </c>
    </row>
    <row r="4" spans="1:26">
      <c r="A4" s="100">
        <v>45139</v>
      </c>
      <c r="B4" s="64">
        <v>24120</v>
      </c>
      <c r="C4" s="64">
        <v>340</v>
      </c>
      <c r="D4" s="64">
        <v>17</v>
      </c>
      <c r="E4" s="64">
        <v>592629</v>
      </c>
      <c r="F4" s="64">
        <v>6971</v>
      </c>
      <c r="G4" s="65">
        <v>1.1762839820528526E-2</v>
      </c>
      <c r="I4" s="95" t="s">
        <v>11</v>
      </c>
      <c r="J4" s="94" t="s">
        <v>102</v>
      </c>
      <c r="K4" s="94" t="s">
        <v>177</v>
      </c>
      <c r="L4" s="94" t="s">
        <v>103</v>
      </c>
      <c r="M4" s="94" t="s">
        <v>70</v>
      </c>
      <c r="N4" s="94" t="s">
        <v>48</v>
      </c>
      <c r="O4" s="96" t="s">
        <v>104</v>
      </c>
      <c r="Q4" s="111"/>
    </row>
    <row r="5" spans="1:26" ht="17.25" thickBot="1">
      <c r="A5" s="100">
        <v>45170</v>
      </c>
      <c r="B5" s="64">
        <v>24351</v>
      </c>
      <c r="C5" s="64">
        <v>823</v>
      </c>
      <c r="D5" s="64">
        <v>14</v>
      </c>
      <c r="E5" s="64">
        <v>1575986</v>
      </c>
      <c r="F5" s="64">
        <v>15843</v>
      </c>
      <c r="G5" s="65">
        <v>1.0052754275735952E-2</v>
      </c>
      <c r="I5" s="98">
        <f>일일data!$A$4</f>
        <v>45413</v>
      </c>
      <c r="J5" s="68">
        <f>VLOOKUP(EOMONTH(일일data!$A$4,0),일일data!$A:$Y,20,FALSE)</f>
        <v>24433</v>
      </c>
      <c r="K5" s="68" cm="1">
        <f t="array" ref="K5">INDEX('구글시트 data'!O:O,COUNTA('구글시트 data'!O:O))</f>
        <v>753</v>
      </c>
      <c r="L5" s="68">
        <f>COUNTA('IG 콘텐츠 data'!A:A)-1</f>
        <v>11</v>
      </c>
      <c r="M5" s="68" cm="1">
        <f t="array" ref="M5">INDEX('구글시트 data'!H:H,COUNTA('구글시트 data'!H:H))</f>
        <v>95424</v>
      </c>
      <c r="N5" s="88">
        <v>13330</v>
      </c>
      <c r="O5" s="69">
        <f>N5/M5</f>
        <v>0.13969232059020792</v>
      </c>
      <c r="Q5" s="111"/>
    </row>
    <row r="6" spans="1:26">
      <c r="A6" s="100" t="s">
        <v>114</v>
      </c>
      <c r="B6" s="64">
        <v>24169</v>
      </c>
      <c r="C6" s="64">
        <v>525</v>
      </c>
      <c r="D6" s="64">
        <v>16</v>
      </c>
      <c r="E6" s="64">
        <v>2154607</v>
      </c>
      <c r="F6" s="64">
        <v>26366</v>
      </c>
      <c r="G6" s="65">
        <v>1.2237034410451651E-2</v>
      </c>
      <c r="Q6" s="111"/>
    </row>
    <row r="7" spans="1:26">
      <c r="A7" s="100" t="s">
        <v>117</v>
      </c>
      <c r="B7" s="64">
        <v>24349</v>
      </c>
      <c r="C7" s="64">
        <v>720</v>
      </c>
      <c r="D7" s="64">
        <v>13</v>
      </c>
      <c r="E7" s="64">
        <v>707256</v>
      </c>
      <c r="F7" s="64">
        <v>19575</v>
      </c>
      <c r="G7" s="65">
        <v>2.767738979945027E-2</v>
      </c>
      <c r="J7" s="216" t="str">
        <f>IF(I5=INDEX(A:A,COUNTA(A:A)),"현재 장표 작업 완료, ppt에 아래 표 붙여넣으시오","위의 초록셀을 왼쪽 표에 값붙하시오")</f>
        <v>현재 장표 작업 완료, ppt에 아래 표 붙여넣으시오</v>
      </c>
      <c r="K7" s="216"/>
      <c r="L7" s="216"/>
      <c r="M7" s="216"/>
      <c r="Q7" s="111"/>
    </row>
    <row r="8" spans="1:26">
      <c r="A8" s="100">
        <v>45261</v>
      </c>
      <c r="B8" s="64">
        <v>24077</v>
      </c>
      <c r="C8" s="64">
        <v>205</v>
      </c>
      <c r="D8" s="64">
        <v>15</v>
      </c>
      <c r="E8" s="64">
        <v>389586</v>
      </c>
      <c r="F8" s="64">
        <v>9936</v>
      </c>
      <c r="G8" s="65">
        <v>2.5503996550184042E-2</v>
      </c>
      <c r="Q8" s="111"/>
    </row>
    <row r="9" spans="1:26">
      <c r="A9" s="100">
        <v>45292</v>
      </c>
      <c r="B9" s="64">
        <v>23803</v>
      </c>
      <c r="C9" s="64">
        <v>184</v>
      </c>
      <c r="D9" s="64">
        <v>16</v>
      </c>
      <c r="E9" s="64">
        <v>339172</v>
      </c>
      <c r="F9" s="64">
        <v>14189</v>
      </c>
      <c r="G9" s="65">
        <v>4.1834231599306548E-2</v>
      </c>
      <c r="Q9" s="111"/>
      <c r="R9" s="63" t="str" cm="1">
        <f t="array" ref="R9">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6월 1일 기준 팬 수 24,433명으로 전월 대비 1.68% 증가</v>
      </c>
    </row>
    <row r="10" spans="1:26">
      <c r="A10" s="100">
        <v>45323</v>
      </c>
      <c r="B10" s="64">
        <v>23534</v>
      </c>
      <c r="C10" s="64">
        <v>156</v>
      </c>
      <c r="D10" s="64">
        <v>10</v>
      </c>
      <c r="E10" s="64">
        <v>157953</v>
      </c>
      <c r="F10" s="64">
        <v>7821</v>
      </c>
      <c r="G10" s="65">
        <v>4.9514729064975026E-2</v>
      </c>
      <c r="J10" s="212" t="s">
        <v>67</v>
      </c>
      <c r="K10" s="212"/>
      <c r="L10" s="212"/>
      <c r="M10" s="212"/>
      <c r="Q10" s="111"/>
      <c r="R10" s="63" t="str" cm="1">
        <f t="array" ref="R10">"신규 팔로워 "&amp;TEXT(L13,"#,###")&amp;"로 전월 대비 "&amp;IF(L13&gt;=K13,TEXT((L13-K13)/K13,"#.#0%")&amp;" 증가",TEXT(ABS((L13-K13)/K13),"#.#0%")&amp;"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>신규 팔로워 753로 전월 대비 113.31% 증가, 팔로워 이탈 465로 전월 대비 6.65% 증가</v>
      </c>
    </row>
    <row r="11" spans="1:26">
      <c r="A11" s="100">
        <v>45352</v>
      </c>
      <c r="B11" s="64">
        <v>24159</v>
      </c>
      <c r="C11" s="64">
        <v>1071</v>
      </c>
      <c r="D11" s="64">
        <v>11</v>
      </c>
      <c r="E11" s="64">
        <v>151612</v>
      </c>
      <c r="F11" s="64">
        <v>9364</v>
      </c>
      <c r="G11" s="65">
        <v>6.1762921140806795E-2</v>
      </c>
      <c r="J11" s="71" t="s">
        <v>127</v>
      </c>
      <c r="K11" s="107">
        <f>INDEX(A:A,COUNTA(B:B)-1)</f>
        <v>45383</v>
      </c>
      <c r="L11" s="107">
        <f>INDEX(A:A,COUNTA(B:B))</f>
        <v>45413</v>
      </c>
      <c r="M11" s="70" t="s">
        <v>72</v>
      </c>
      <c r="Q11" s="111"/>
      <c r="R11" s="63" t="str">
        <f>"포스팅 발행 수 "&amp;TEXT(L14,"#,###")&amp;"로 전월 대비 "&amp;IF(L14&gt;=K14,TEXT((L14-K14)/K14,"#.#0%")&amp;" 증가",TEXT(ABS((L14-K14)/K14),"#.#0%")&amp;" 감소")</f>
        <v>포스팅 발행 수 11로 전월 대비 .0% 증가</v>
      </c>
    </row>
    <row r="12" spans="1:26">
      <c r="A12" s="100">
        <v>45383</v>
      </c>
      <c r="B12" s="64">
        <v>24029</v>
      </c>
      <c r="C12" s="64">
        <v>353</v>
      </c>
      <c r="D12" s="64">
        <v>11</v>
      </c>
      <c r="E12" s="64">
        <v>126532</v>
      </c>
      <c r="F12" s="64">
        <v>7486</v>
      </c>
      <c r="G12" s="65">
        <v>5.9162899503682864E-2</v>
      </c>
      <c r="J12" s="71" t="s">
        <v>79</v>
      </c>
      <c r="K12" s="72">
        <f>INDEX(B:B,COUNTA(B:B)-1)</f>
        <v>24029</v>
      </c>
      <c r="L12" s="72">
        <f>INDEX(B:B,COUNTA(B:B))</f>
        <v>24433</v>
      </c>
      <c r="M12" s="72" t="str">
        <f>IF(K12&gt;L12,"▼ "&amp;TEXT(ABS((L12-K12)/K12),"0.00%"),"▲ "&amp;TEXT(ABS((L12-K12)/K12),"0.00%"))</f>
        <v>▲ 1.68%</v>
      </c>
      <c r="P12" s="66"/>
      <c r="Q12" s="111"/>
      <c r="R12" s="63" t="str">
        <f>"콘텐츠 도달 "&amp;TEXT(L15,"#,###")&amp;"로 전월 대비 "&amp;IF(L15&gt;=K15,TEXT((L15-K15)/K15,"#.#0%")&amp;" 증가",TEXT(ABS((L15-K15)/K15),"#.#0%")&amp;" 감소")</f>
        <v>콘텐츠 도달 95,424로 전월 대비 24.59% 감소</v>
      </c>
    </row>
    <row r="13" spans="1:26">
      <c r="A13" s="100">
        <v>45413</v>
      </c>
      <c r="B13" s="64">
        <v>24433</v>
      </c>
      <c r="C13" s="64">
        <v>753</v>
      </c>
      <c r="D13" s="64">
        <v>11</v>
      </c>
      <c r="E13" s="64">
        <v>95424</v>
      </c>
      <c r="F13" s="64">
        <v>13330</v>
      </c>
      <c r="G13" s="65">
        <v>0.13969232059020792</v>
      </c>
      <c r="J13" s="71" t="s">
        <v>177</v>
      </c>
      <c r="K13" s="72">
        <f>INDEX(C:C,COUNTA(C:C)-1)</f>
        <v>353</v>
      </c>
      <c r="L13" s="72">
        <f>INDEX(C:C,COUNTA(C:C))</f>
        <v>753</v>
      </c>
      <c r="M13" s="72" t="str">
        <f>IF(K13&gt;L13,"▼ "&amp;TEXT(ABS((L13-K13)/K13),"0.00%"),"▲ "&amp;TEXT(ABS((L13-K13)/K13),"0.00%"))</f>
        <v>▲ 113.31%</v>
      </c>
      <c r="P13" s="66"/>
      <c r="Q13" s="111"/>
      <c r="R13" s="63" t="str">
        <f>"콘텐츠 참여 "&amp;TEXT(L16,"#,###")&amp;"로 전월 대비 "&amp;IF(L16&gt;=K16,TEXT((L16-K16)/K16,"#.#0%")&amp;" 증가",TEXT(ABS((L16-K16)/K16),"#.#0%")&amp;" 감소")</f>
        <v>콘텐츠 참여 13,330로 전월 대비 78.07% 증가</v>
      </c>
    </row>
    <row r="14" spans="1:26">
      <c r="A14" s="100"/>
      <c r="B14" s="64"/>
      <c r="C14" s="64"/>
      <c r="D14" s="64"/>
      <c r="E14" s="64"/>
      <c r="F14" s="64"/>
      <c r="G14" s="65"/>
      <c r="J14" s="71" t="s">
        <v>17</v>
      </c>
      <c r="K14" s="73">
        <f>INDEX(D:D,COUNTA(D:D)-1)</f>
        <v>11</v>
      </c>
      <c r="L14" s="72">
        <f>INDEX(D:D,COUNTA(D:D))</f>
        <v>11</v>
      </c>
      <c r="M14" s="72" t="str">
        <f t="shared" ref="M14:M16" si="0">IF(K14&gt;L14,"▼ "&amp;TEXT(ABS((L14-K14)/K14),"0.00%"),"▲ "&amp;TEXT(ABS((L14-K14)/K14),"0.00%"))</f>
        <v>▲ 0.00%</v>
      </c>
      <c r="P14" s="66"/>
      <c r="Q14" s="111"/>
      <c r="R14" s="63" t="str">
        <f>"콘텐츠 평균 도달 "&amp;TEXT(L15/L14,"#,###")&amp;"으로 전월 대비 "&amp;IF(L15/L14&gt;K15/K14,TEXT(((L15/L14-K15/K14)/(K15/K14)),"#.##%")&amp;" 증가",TEXT(ABS((L15/L14-K15/K14)/(K15/K14)),"#.##%")&amp;" 감소")</f>
        <v>콘텐츠 평균 도달 8,675으로 전월 대비 24.59% 감소</v>
      </c>
    </row>
    <row r="15" spans="1:26">
      <c r="A15" s="100"/>
      <c r="B15" s="64"/>
      <c r="C15" s="64"/>
      <c r="D15" s="64"/>
      <c r="E15" s="64"/>
      <c r="F15" s="64"/>
      <c r="G15" s="65"/>
      <c r="J15" s="71" t="s">
        <v>18</v>
      </c>
      <c r="K15" s="72">
        <f>INDEX(E:E,COUNTA(D:D)-1)</f>
        <v>126532</v>
      </c>
      <c r="L15" s="72">
        <f>INDEX(E:E,COUNTA(D:D))</f>
        <v>95424</v>
      </c>
      <c r="M15" s="72" t="str">
        <f t="shared" si="0"/>
        <v>▼ 24.59%</v>
      </c>
      <c r="P15" s="66"/>
      <c r="Q15" s="111"/>
      <c r="Z15" s="119"/>
    </row>
    <row r="16" spans="1:26">
      <c r="A16" s="100"/>
      <c r="B16" s="64"/>
      <c r="C16" s="64"/>
      <c r="D16" s="64"/>
      <c r="E16" s="64"/>
      <c r="F16" s="64"/>
      <c r="G16" s="65"/>
      <c r="J16" s="71" t="s">
        <v>60</v>
      </c>
      <c r="K16" s="72">
        <f>INDEX(F:F,COUNTA(D:D)-1)</f>
        <v>7486</v>
      </c>
      <c r="L16" s="72">
        <f>INDEX(F:F,COUNTA(D:D))</f>
        <v>13330</v>
      </c>
      <c r="M16" s="72" t="str">
        <f t="shared" si="0"/>
        <v>▲ 78.07%</v>
      </c>
      <c r="P16" s="66"/>
      <c r="Q16" s="111"/>
    </row>
    <row r="17" spans="1:17">
      <c r="A17" s="100"/>
      <c r="B17" s="64"/>
      <c r="C17" s="64"/>
      <c r="D17" s="64"/>
      <c r="E17" s="64"/>
      <c r="F17" s="64"/>
      <c r="G17" s="65"/>
      <c r="J17" s="71" t="s">
        <v>61</v>
      </c>
      <c r="K17" s="74">
        <f>INDEX(G:G,COUNTA(D:D)-1)</f>
        <v>5.9162899503682864E-2</v>
      </c>
      <c r="L17" s="74">
        <f>INDEX(G:G,COUNTA(D:D))</f>
        <v>0.13969232059020792</v>
      </c>
      <c r="M17" s="72" t="str">
        <f>IF(K17&gt;L17,"▼ "&amp;TEXT(100*ABS(L17-K17),"0.00")&amp;"%p","▲ "&amp;TEXT(100*ABS(L17-K17),"0.00")&amp;"%p")</f>
        <v>▲ 8.05%p</v>
      </c>
      <c r="P17" s="66"/>
      <c r="Q17" s="111"/>
    </row>
    <row r="18" spans="1:17">
      <c r="A18" s="100"/>
      <c r="B18" s="64"/>
      <c r="C18" s="64"/>
      <c r="D18" s="64"/>
      <c r="E18" s="64"/>
      <c r="F18" s="64"/>
      <c r="G18" s="65"/>
      <c r="J18" s="67"/>
      <c r="Q18" s="111"/>
    </row>
    <row r="19" spans="1:17">
      <c r="A19" s="100"/>
      <c r="B19" s="64"/>
      <c r="C19" s="64"/>
      <c r="D19" s="64"/>
      <c r="E19" s="64"/>
      <c r="F19" s="64"/>
      <c r="G19" s="65"/>
      <c r="Q19" s="111"/>
    </row>
    <row r="20" spans="1:17">
      <c r="A20" s="100"/>
      <c r="B20" s="64"/>
      <c r="C20" s="64"/>
      <c r="D20" s="64"/>
      <c r="E20" s="64"/>
      <c r="F20" s="64"/>
      <c r="G20" s="65"/>
      <c r="Q20" s="111"/>
    </row>
    <row r="21" spans="1:17">
      <c r="A21" s="100"/>
      <c r="B21" s="64"/>
      <c r="C21" s="64"/>
      <c r="D21" s="64"/>
      <c r="E21" s="64"/>
      <c r="F21" s="64"/>
      <c r="G21" s="65"/>
      <c r="Q21" s="111"/>
    </row>
    <row r="22" spans="1:17">
      <c r="A22" s="100"/>
      <c r="B22" s="64"/>
      <c r="C22" s="64"/>
      <c r="D22" s="64"/>
      <c r="E22" s="64"/>
      <c r="F22" s="64"/>
      <c r="G22" s="65"/>
      <c r="Q22" s="111"/>
    </row>
    <row r="23" spans="1:17">
      <c r="A23" s="100"/>
      <c r="B23" s="64"/>
      <c r="C23" s="64"/>
      <c r="D23" s="64"/>
      <c r="E23" s="64"/>
      <c r="F23" s="64"/>
      <c r="G23" s="65"/>
      <c r="Q23" s="111"/>
    </row>
    <row r="24" spans="1:17">
      <c r="A24" s="100"/>
      <c r="B24" s="64"/>
      <c r="C24" s="64"/>
      <c r="D24" s="64"/>
      <c r="E24" s="64"/>
      <c r="F24" s="64"/>
      <c r="G24" s="65"/>
      <c r="Q24" s="111"/>
    </row>
    <row r="25" spans="1:17">
      <c r="A25" s="100"/>
      <c r="B25" s="64"/>
      <c r="C25" s="64"/>
      <c r="D25" s="64"/>
      <c r="E25" s="64"/>
      <c r="F25" s="64"/>
      <c r="G25" s="65"/>
      <c r="Q25" s="111"/>
    </row>
    <row r="26" spans="1:17">
      <c r="A26" s="100"/>
      <c r="B26" s="64"/>
      <c r="C26" s="64"/>
      <c r="D26" s="64"/>
      <c r="E26" s="64"/>
      <c r="F26" s="64"/>
      <c r="G26" s="65"/>
      <c r="Q26" s="111"/>
    </row>
    <row r="27" spans="1:17">
      <c r="A27" s="100"/>
      <c r="B27" s="64"/>
      <c r="C27" s="64"/>
      <c r="D27" s="64"/>
      <c r="E27" s="64"/>
      <c r="F27" s="64"/>
      <c r="G27" s="65"/>
      <c r="Q27" s="111"/>
    </row>
    <row r="28" spans="1:17">
      <c r="A28" s="100"/>
      <c r="B28" s="64"/>
      <c r="C28" s="64"/>
      <c r="D28" s="64"/>
      <c r="E28" s="64"/>
      <c r="F28" s="64"/>
      <c r="G28" s="65"/>
      <c r="Q28" s="111"/>
    </row>
    <row r="29" spans="1:17">
      <c r="A29" s="100"/>
      <c r="B29" s="64"/>
      <c r="C29" s="64"/>
      <c r="D29" s="64"/>
      <c r="E29" s="64"/>
      <c r="F29" s="64"/>
      <c r="G29" s="65"/>
      <c r="Q29" s="111"/>
    </row>
    <row r="30" spans="1:17">
      <c r="A30" s="100"/>
      <c r="B30" s="64"/>
      <c r="C30" s="64"/>
      <c r="D30" s="64"/>
      <c r="E30" s="64"/>
      <c r="F30" s="64"/>
      <c r="G30" s="65"/>
      <c r="Q30" s="111"/>
    </row>
    <row r="31" spans="1:17">
      <c r="A31" s="100"/>
      <c r="B31" s="64"/>
      <c r="C31" s="64"/>
      <c r="D31" s="64"/>
      <c r="E31" s="64"/>
      <c r="F31" s="64"/>
      <c r="G31" s="65"/>
      <c r="Q31" s="111"/>
    </row>
    <row r="32" spans="1:17">
      <c r="A32" s="100"/>
      <c r="B32" s="64"/>
      <c r="C32" s="64"/>
      <c r="D32" s="64"/>
      <c r="E32" s="64"/>
      <c r="F32" s="64"/>
      <c r="G32" s="65"/>
      <c r="Q32" s="111"/>
    </row>
    <row r="33" spans="1:17">
      <c r="A33" s="100"/>
      <c r="B33" s="64"/>
      <c r="C33" s="64"/>
      <c r="D33" s="64"/>
      <c r="E33" s="64"/>
      <c r="F33" s="64"/>
      <c r="G33" s="65"/>
      <c r="Q33" s="111"/>
    </row>
    <row r="34" spans="1:17">
      <c r="A34" s="100"/>
      <c r="B34" s="64"/>
      <c r="C34" s="64"/>
      <c r="D34" s="64"/>
      <c r="E34" s="64"/>
      <c r="F34" s="64"/>
      <c r="G34" s="65"/>
      <c r="Q34" s="111"/>
    </row>
    <row r="35" spans="1:17">
      <c r="A35" s="100"/>
      <c r="B35" s="64"/>
      <c r="C35" s="64"/>
      <c r="D35" s="64"/>
      <c r="E35" s="64"/>
      <c r="F35" s="64"/>
      <c r="G35" s="65"/>
      <c r="Q35" s="111"/>
    </row>
    <row r="36" spans="1:17">
      <c r="A36" s="100"/>
      <c r="B36" s="64"/>
      <c r="C36" s="64"/>
      <c r="D36" s="64"/>
      <c r="E36" s="64"/>
      <c r="F36" s="64"/>
      <c r="G36" s="65"/>
      <c r="Q36" s="111"/>
    </row>
    <row r="37" spans="1:17">
      <c r="A37" s="100"/>
      <c r="B37" s="64"/>
      <c r="C37" s="64"/>
      <c r="D37" s="64"/>
      <c r="E37" s="64"/>
      <c r="F37" s="64"/>
      <c r="G37" s="65"/>
      <c r="Q37" s="111"/>
    </row>
    <row r="38" spans="1:17">
      <c r="A38" s="100"/>
      <c r="B38" s="64"/>
      <c r="C38" s="64"/>
      <c r="D38" s="64"/>
      <c r="E38" s="64"/>
      <c r="F38" s="64"/>
      <c r="G38" s="65"/>
      <c r="Q38" s="111"/>
    </row>
    <row r="39" spans="1:17">
      <c r="A39" s="100"/>
      <c r="B39" s="64"/>
      <c r="C39" s="64"/>
      <c r="D39" s="64"/>
      <c r="E39" s="64"/>
      <c r="F39" s="64"/>
      <c r="G39" s="65"/>
      <c r="Q39" s="111"/>
    </row>
    <row r="40" spans="1:17">
      <c r="A40" s="100"/>
      <c r="B40" s="64"/>
      <c r="C40" s="64"/>
      <c r="D40" s="64"/>
      <c r="E40" s="64"/>
      <c r="F40" s="64"/>
      <c r="G40" s="65"/>
      <c r="Q40" s="111"/>
    </row>
    <row r="41" spans="1:17">
      <c r="A41" s="100"/>
      <c r="B41" s="64"/>
      <c r="C41" s="64"/>
      <c r="D41" s="64"/>
      <c r="E41" s="64"/>
      <c r="F41" s="64"/>
      <c r="G41" s="65"/>
      <c r="Q41" s="111"/>
    </row>
    <row r="42" spans="1:17">
      <c r="A42" s="100"/>
      <c r="B42" s="64"/>
      <c r="C42" s="64"/>
      <c r="D42" s="64"/>
      <c r="E42" s="64"/>
      <c r="F42" s="64"/>
      <c r="G42" s="65"/>
      <c r="Q42" s="111"/>
    </row>
    <row r="43" spans="1:17">
      <c r="A43" s="100"/>
      <c r="B43" s="64"/>
      <c r="C43" s="64"/>
      <c r="D43" s="64"/>
      <c r="E43" s="64"/>
      <c r="F43" s="64"/>
      <c r="G43" s="65"/>
      <c r="Q43" s="111"/>
    </row>
    <row r="44" spans="1:17">
      <c r="A44" s="100"/>
      <c r="B44" s="64"/>
      <c r="C44" s="64"/>
      <c r="D44" s="64"/>
      <c r="E44" s="64"/>
      <c r="F44" s="64"/>
      <c r="G44" s="65"/>
      <c r="Q44" s="111"/>
    </row>
    <row r="45" spans="1:17">
      <c r="A45" s="100"/>
      <c r="B45" s="64"/>
      <c r="C45" s="64"/>
      <c r="D45" s="64"/>
      <c r="E45" s="64"/>
      <c r="F45" s="64"/>
      <c r="G45" s="65"/>
      <c r="Q45" s="111"/>
    </row>
    <row r="46" spans="1:17">
      <c r="A46" s="100"/>
      <c r="B46" s="64"/>
      <c r="C46" s="64"/>
      <c r="D46" s="64"/>
      <c r="E46" s="64"/>
      <c r="F46" s="64"/>
      <c r="G46" s="65"/>
      <c r="Q46" s="111"/>
    </row>
    <row r="47" spans="1:17">
      <c r="A47" s="100"/>
      <c r="B47" s="64"/>
      <c r="C47" s="64"/>
      <c r="D47" s="64"/>
      <c r="E47" s="64"/>
      <c r="F47" s="64"/>
      <c r="G47" s="65"/>
      <c r="Q47" s="111"/>
    </row>
    <row r="48" spans="1:17">
      <c r="A48" s="100"/>
      <c r="B48" s="64"/>
      <c r="C48" s="64"/>
      <c r="D48" s="64"/>
      <c r="E48" s="64"/>
      <c r="F48" s="64"/>
      <c r="G48" s="65"/>
      <c r="Q48" s="111"/>
    </row>
    <row r="49" spans="1:17">
      <c r="A49" s="100"/>
      <c r="B49" s="64"/>
      <c r="C49" s="64"/>
      <c r="D49" s="64"/>
      <c r="E49" s="64"/>
      <c r="F49" s="64"/>
      <c r="G49" s="65"/>
      <c r="Q49" s="111"/>
    </row>
    <row r="50" spans="1:17">
      <c r="A50" s="100"/>
      <c r="B50" s="64"/>
      <c r="C50" s="64"/>
      <c r="D50" s="64"/>
      <c r="E50" s="64"/>
      <c r="F50" s="64"/>
      <c r="G50" s="65"/>
      <c r="Q50" s="111"/>
    </row>
    <row r="51" spans="1:17">
      <c r="A51" s="100"/>
      <c r="B51" s="64"/>
      <c r="C51" s="64"/>
      <c r="D51" s="64"/>
      <c r="E51" s="64"/>
      <c r="F51" s="64"/>
      <c r="G51" s="65"/>
      <c r="Q51" s="111"/>
    </row>
    <row r="52" spans="1:17">
      <c r="A52" s="100"/>
      <c r="B52" s="64"/>
      <c r="C52" s="64"/>
      <c r="D52" s="64"/>
      <c r="E52" s="64"/>
      <c r="F52" s="64"/>
      <c r="G52" s="65"/>
      <c r="Q52" s="111"/>
    </row>
    <row r="53" spans="1:17">
      <c r="A53" s="100"/>
      <c r="B53" s="64"/>
      <c r="C53" s="64"/>
      <c r="D53" s="64"/>
      <c r="E53" s="64"/>
      <c r="F53" s="64"/>
      <c r="G53" s="65"/>
      <c r="Q53" s="111"/>
    </row>
    <row r="54" spans="1:17">
      <c r="A54" s="100"/>
      <c r="B54" s="64"/>
      <c r="C54" s="64"/>
      <c r="D54" s="64"/>
      <c r="E54" s="64"/>
      <c r="F54" s="64"/>
      <c r="G54" s="65"/>
      <c r="Q54" s="111"/>
    </row>
    <row r="55" spans="1:17">
      <c r="A55" s="100"/>
      <c r="B55" s="64"/>
      <c r="C55" s="64"/>
      <c r="D55" s="64"/>
      <c r="E55" s="64"/>
      <c r="F55" s="64"/>
      <c r="G55" s="65"/>
      <c r="Q55" s="111"/>
    </row>
    <row r="56" spans="1:17">
      <c r="A56" s="100"/>
      <c r="B56" s="64"/>
      <c r="C56" s="64"/>
      <c r="D56" s="64"/>
      <c r="E56" s="64"/>
      <c r="F56" s="64"/>
      <c r="G56" s="65"/>
      <c r="Q56" s="111"/>
    </row>
    <row r="57" spans="1:17">
      <c r="A57" s="100"/>
      <c r="B57" s="64"/>
      <c r="C57" s="64"/>
      <c r="D57" s="64"/>
      <c r="E57" s="64"/>
      <c r="F57" s="64"/>
      <c r="G57" s="65"/>
      <c r="Q57" s="111"/>
    </row>
    <row r="58" spans="1:17">
      <c r="A58" s="100"/>
      <c r="B58" s="64"/>
      <c r="C58" s="64"/>
      <c r="D58" s="64"/>
      <c r="E58" s="64"/>
      <c r="F58" s="64"/>
      <c r="G58" s="65"/>
      <c r="Q58" s="111"/>
    </row>
    <row r="59" spans="1:17">
      <c r="A59" s="100"/>
      <c r="B59" s="64"/>
      <c r="C59" s="64"/>
      <c r="D59" s="64"/>
      <c r="E59" s="64"/>
      <c r="F59" s="64"/>
      <c r="G59" s="65"/>
      <c r="Q59" s="111"/>
    </row>
    <row r="60" spans="1:17">
      <c r="A60" s="100"/>
      <c r="B60" s="64"/>
      <c r="C60" s="64"/>
      <c r="D60" s="64"/>
      <c r="E60" s="64"/>
      <c r="F60" s="64"/>
      <c r="G60" s="65"/>
      <c r="Q60" s="111"/>
    </row>
    <row r="61" spans="1:17">
      <c r="A61" s="100"/>
      <c r="B61" s="64"/>
      <c r="C61" s="64"/>
      <c r="D61" s="64"/>
      <c r="E61" s="64"/>
      <c r="F61" s="64"/>
      <c r="G61" s="65"/>
      <c r="Q61" s="111"/>
    </row>
    <row r="62" spans="1:17">
      <c r="A62" s="100"/>
      <c r="B62" s="64"/>
      <c r="C62" s="64"/>
      <c r="D62" s="64"/>
      <c r="E62" s="64"/>
      <c r="F62" s="64"/>
      <c r="G62" s="65"/>
      <c r="Q62" s="111"/>
    </row>
    <row r="63" spans="1:17">
      <c r="A63" s="100"/>
      <c r="B63" s="64"/>
      <c r="C63" s="64"/>
      <c r="D63" s="64"/>
      <c r="E63" s="64"/>
      <c r="F63" s="64"/>
      <c r="G63" s="65"/>
      <c r="Q63" s="111"/>
    </row>
    <row r="64" spans="1:17">
      <c r="A64" s="100"/>
      <c r="B64" s="64"/>
      <c r="C64" s="64"/>
      <c r="D64" s="64"/>
      <c r="E64" s="64"/>
      <c r="F64" s="64"/>
      <c r="G64" s="65"/>
      <c r="Q64" s="111"/>
    </row>
    <row r="65" spans="1:17">
      <c r="A65" s="100"/>
      <c r="B65" s="64"/>
      <c r="C65" s="64"/>
      <c r="D65" s="64"/>
      <c r="E65" s="64"/>
      <c r="F65" s="64"/>
      <c r="G65" s="65"/>
      <c r="Q65" s="111"/>
    </row>
    <row r="66" spans="1:17">
      <c r="A66" s="100"/>
      <c r="B66" s="64"/>
      <c r="C66" s="64"/>
      <c r="D66" s="64"/>
      <c r="E66" s="64"/>
      <c r="F66" s="64"/>
      <c r="G66" s="65"/>
      <c r="Q66" s="111"/>
    </row>
    <row r="67" spans="1:17">
      <c r="A67" s="100"/>
      <c r="B67" s="64"/>
      <c r="C67" s="64"/>
      <c r="D67" s="64"/>
      <c r="E67" s="64"/>
      <c r="F67" s="64"/>
      <c r="G67" s="65"/>
      <c r="Q67" s="111"/>
    </row>
    <row r="68" spans="1:17">
      <c r="A68" s="100"/>
      <c r="B68" s="64"/>
      <c r="C68" s="64"/>
      <c r="D68" s="64"/>
      <c r="E68" s="64"/>
      <c r="F68" s="64"/>
      <c r="G68" s="65"/>
      <c r="Q68" s="111"/>
    </row>
    <row r="69" spans="1:17">
      <c r="A69" s="100"/>
      <c r="B69" s="64"/>
      <c r="C69" s="64"/>
      <c r="D69" s="64"/>
      <c r="E69" s="64"/>
      <c r="F69" s="64"/>
      <c r="G69" s="65"/>
      <c r="Q69" s="111"/>
    </row>
    <row r="70" spans="1:17">
      <c r="A70" s="100"/>
      <c r="B70" s="64"/>
      <c r="C70" s="64"/>
      <c r="D70" s="64"/>
      <c r="E70" s="64"/>
      <c r="F70" s="64"/>
      <c r="G70" s="65"/>
    </row>
    <row r="71" spans="1:17">
      <c r="A71" s="100"/>
      <c r="B71" s="64"/>
      <c r="C71" s="64"/>
      <c r="D71" s="64"/>
      <c r="E71" s="64"/>
      <c r="F71" s="64"/>
      <c r="G71" s="65"/>
    </row>
    <row r="72" spans="1:17">
      <c r="A72" s="100"/>
      <c r="B72" s="64"/>
      <c r="C72" s="64"/>
      <c r="D72" s="64"/>
      <c r="E72" s="64"/>
      <c r="F72" s="64"/>
      <c r="G72" s="65"/>
    </row>
    <row r="73" spans="1:17">
      <c r="A73" s="100"/>
      <c r="B73" s="64"/>
      <c r="C73" s="64"/>
      <c r="D73" s="64"/>
      <c r="E73" s="64"/>
      <c r="F73" s="64"/>
      <c r="G73" s="65"/>
    </row>
    <row r="74" spans="1:17">
      <c r="A74" s="100"/>
      <c r="B74" s="64"/>
      <c r="C74" s="64"/>
      <c r="D74" s="64"/>
      <c r="E74" s="64"/>
      <c r="F74" s="64"/>
      <c r="G74" s="65"/>
    </row>
    <row r="75" spans="1:17">
      <c r="A75" s="100"/>
      <c r="B75" s="64"/>
      <c r="C75" s="64"/>
      <c r="D75" s="64"/>
      <c r="E75" s="64"/>
      <c r="F75" s="64"/>
      <c r="G75" s="65"/>
    </row>
  </sheetData>
  <mergeCells count="3">
    <mergeCell ref="J7:M7"/>
    <mergeCell ref="J10:M10"/>
    <mergeCell ref="I3:O3"/>
  </mergeCells>
  <phoneticPr fontId="1" type="noConversion"/>
  <conditionalFormatting sqref="J7:M7">
    <cfRule type="containsText" dxfId="0" priority="1" operator="containsText" text="값붙">
      <formula>NOT(ISERROR(SEARCH("값붙",J7)))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V42"/>
  <sheetViews>
    <sheetView topLeftCell="B1" workbookViewId="0">
      <selection activeCell="D1" sqref="D1"/>
    </sheetView>
  </sheetViews>
  <sheetFormatPr defaultRowHeight="16.899999999999999"/>
  <cols>
    <col min="1" max="1" width="8.75"/>
    <col min="2" max="2" width="10" customWidth="1"/>
    <col min="3" max="3" width="9.25" customWidth="1"/>
    <col min="4" max="4" width="52.75" customWidth="1"/>
    <col min="10" max="13" width="9" customWidth="1"/>
    <col min="14" max="14" width="10.625" customWidth="1"/>
    <col min="15" max="15" width="9" customWidth="1"/>
    <col min="16" max="16" width="9.25" customWidth="1"/>
    <col min="17" max="18" width="9" customWidth="1"/>
    <col min="21" max="21" width="11" style="112" bestFit="1" customWidth="1"/>
  </cols>
  <sheetData>
    <row r="1" spans="1:22">
      <c r="B1" t="s">
        <v>95</v>
      </c>
      <c r="D1" s="48" t="str">
        <f ca="1">"인스타그램 스토리 총 "&amp;SUM('IG story data'!R:R)&amp;"건 게시, "&amp;U4&amp;" "&amp;V4&amp;"건, "&amp;U5&amp;" "&amp;V5&amp;"건, "&amp;U6&amp;" "&amp;V6&amp;"건, "&amp;U7&amp;" "&amp;V7&amp;"건"</f>
        <v>인스타그램 스토리 총 10건 게시, 노출 3757건, 도달 3704건, 프로필 방문 73건, 링크 클릭 48건</v>
      </c>
      <c r="U1" s="117" t="s">
        <v>124</v>
      </c>
    </row>
    <row r="2" spans="1:22">
      <c r="N2" s="46"/>
      <c r="U2" s="117"/>
    </row>
    <row r="3" spans="1:22" ht="17.25" thickBot="1">
      <c r="B3" s="44" t="s">
        <v>46</v>
      </c>
      <c r="C3" s="44" t="s">
        <v>55</v>
      </c>
      <c r="D3" s="49" t="s">
        <v>200</v>
      </c>
      <c r="E3" s="44" t="s">
        <v>57</v>
      </c>
      <c r="F3" s="44" t="s">
        <v>77</v>
      </c>
      <c r="G3" s="44" t="s">
        <v>47</v>
      </c>
      <c r="H3" s="44" t="s">
        <v>131</v>
      </c>
      <c r="I3" s="44" t="s">
        <v>132</v>
      </c>
      <c r="J3" s="44" t="s">
        <v>19</v>
      </c>
      <c r="K3" s="44" t="s">
        <v>20</v>
      </c>
      <c r="L3" s="44" t="s">
        <v>78</v>
      </c>
      <c r="M3" s="44" t="s">
        <v>56</v>
      </c>
      <c r="N3" s="44" t="s">
        <v>88</v>
      </c>
      <c r="U3" s="117" t="s">
        <v>203</v>
      </c>
    </row>
    <row r="4" spans="1:22" ht="17.45" customHeight="1">
      <c r="A4">
        <v>1</v>
      </c>
      <c r="B4" s="123">
        <f>IFERROR(INDEX('IG 콘텐츠 data'!R:R,MATCH('IG 신규발행'!A4,'IG 콘텐츠 data'!S:S,0)),"")</f>
        <v>45417</v>
      </c>
      <c r="C4" s="125" t="str">
        <f>IFERROR(IF(INDEX('IG 콘텐츠 data'!$A$1:$AJ$25,MATCH('IG 신규발행'!$A4,'IG 콘텐츠 data'!$S:$S,0),MATCH(C$3,'IG 콘텐츠 data'!$A$1:$O$1,0))="IG 이미지","이미지",IF(INDEX('IG 콘텐츠 data'!$A$1:$AJ$25,MATCH('IG 신규발행'!$A4,'IG 콘텐츠 data'!$S:$S,0),MATCH(C$3,'IG 콘텐츠 data'!$A$1:$O$1,0))="IG 슬라이드","슬라이드",IF(INDEX('IG 콘텐츠 data'!$A$1:$AJ$25,MATCH('IG 신규발행'!$A4,'IG 콘텐츠 data'!$S:$S,0),MATCH(C$3,'IG 콘텐츠 data'!$A$1:$O$1,0))="Instagram 릴스","영상"))),"")</f>
        <v>이미지</v>
      </c>
      <c r="D4" s="125" t="str">
        <f>IFERROR(INDEX('IG 콘텐츠 data'!$A$1:$AJ$25,MATCH('IG 신규발행'!$A4,'IG 콘텐츠 data'!$S:$S,0),MATCH(D$3,'IG 콘텐츠 data'!$A$1:$Q$1,0)),"")</f>
        <v>이노드림(버트런드 러셀)</v>
      </c>
      <c r="E4" s="125">
        <f>IFERROR(INDEX('IG 콘텐츠 data'!$A$1:$AJ$25,MATCH('IG 신규발행'!$A4,'IG 콘텐츠 data'!$S:$S,0),MATCH(E$3,'IG 콘텐츠 data'!$A$1:$Q$1,0)),"")</f>
        <v>9027</v>
      </c>
      <c r="F4" s="125">
        <f>IFERROR(INDEX('IG 콘텐츠 data'!$A$1:$AJ$25,MATCH('IG 신규발행'!$A4,'IG 콘텐츠 data'!$S:$S,0),MATCH(F$3,'IG 콘텐츠 data'!$A$1:$Q$1,0)),"")</f>
        <v>6327</v>
      </c>
      <c r="G4" s="125">
        <f>IFERROR(INDEX('IG 콘텐츠 data'!$A$1:$AJ$25,MATCH('IG 신규발행'!$A4,'IG 콘텐츠 data'!$S:$S,0),MATCH(G$3,'IG 콘텐츠 data'!$A$1:$Q$1,0)),"")</f>
        <v>5</v>
      </c>
      <c r="H4" s="125">
        <f>IFERROR(INDEX('IG 콘텐츠 data'!$A$1:$AJ$25,MATCH('IG 신규발행'!$A4,'IG 콘텐츠 data'!$S:$S,0),MATCH(H$3,'IG 콘텐츠 data'!$A$1:$Q$1,0)),"")</f>
        <v>2</v>
      </c>
      <c r="I4" s="125">
        <f>IFERROR(INDEX('IG 콘텐츠 data'!$A$1:$AJ$25,MATCH('IG 신규발행'!$A4,'IG 콘텐츠 data'!$S:$S,0),MATCH(I$3,'IG 콘텐츠 data'!$A$1:$Q$1,0)),"")</f>
        <v>0</v>
      </c>
      <c r="J4" s="125">
        <f>IFERROR(INDEX('IG 콘텐츠 data'!$A$1:$AJ$25,MATCH('IG 신규발행'!$A4,'IG 콘텐츠 data'!$S:$S,0),MATCH(J$3,'IG 콘텐츠 data'!$A$1:$Q$1,0)),"")</f>
        <v>1249</v>
      </c>
      <c r="K4" s="125">
        <f>IFERROR(INDEX('IG 콘텐츠 data'!$A$1:$AJ$25,MATCH('IG 신규발행'!$A4,'IG 콘텐츠 data'!$S:$S,0),MATCH(K$3,'IG 콘텐츠 data'!$A$1:$Q$1,0)),"")</f>
        <v>8</v>
      </c>
      <c r="L4" s="125">
        <f>IFERROR(INDEX('IG 콘텐츠 data'!$A$1:$AJ$25,MATCH('IG 신규발행'!$A4,'IG 콘텐츠 data'!$S:$S,0),MATCH(L$3,'IG 콘텐츠 data'!$A$1:$Q$1,0)),"")</f>
        <v>52</v>
      </c>
      <c r="M4" s="125">
        <f>IF(B4="","",SUM(J4:L4)+G4)</f>
        <v>1314</v>
      </c>
      <c r="N4" s="126">
        <f t="shared" ref="N4:N42" si="0">IFERROR(M4/F4,"")</f>
        <v>0.20768136557610242</v>
      </c>
      <c r="P4" s="48">
        <f t="shared" ref="P4:P42" si="1">IFERROR(RANK(N4,$N$4:$N$42,0),"")</f>
        <v>4</v>
      </c>
      <c r="Q4" s="48">
        <f t="shared" ref="Q4:Q42" si="2">IFERROR(RANK(E4,$E$4:$E$42,0),"")</f>
        <v>7</v>
      </c>
      <c r="S4">
        <f>IFERROR(INDEX(A:A,MATCH(A4,P:P,0)),"")</f>
        <v>6</v>
      </c>
      <c r="U4" s="187" t="s">
        <v>57</v>
      </c>
      <c r="V4" s="184">
        <f ca="1">SUM(INDIRECT("'IG STORY DATA'!R"&amp;1&amp;"C"&amp;(MATCH(U4,'IG story data'!$A$1:$U$1,0)),FALSE):INDIRECT("'IG STORY DATA'!R"&amp;30&amp;"C"&amp;(MATCH(U4,'IG story data'!$A$1:$U$1,0)),FALSE))</f>
        <v>3757</v>
      </c>
    </row>
    <row r="5" spans="1:22" ht="17.45" customHeight="1">
      <c r="A5">
        <v>2</v>
      </c>
      <c r="B5" s="123">
        <f>IFERROR(INDEX('IG 콘텐츠 data'!R:R,MATCH('IG 신규발행'!A5,'IG 콘텐츠 data'!S:S,0)),"")</f>
        <v>45419</v>
      </c>
      <c r="C5" s="125" t="str">
        <f>IFERROR(IF(INDEX('IG 콘텐츠 data'!$A$1:$AJ$25,MATCH('IG 신규발행'!$A5,'IG 콘텐츠 data'!$S:$S,0),MATCH(C$3,'IG 콘텐츠 data'!$A$1:$O$1,0))="IG 이미지","이미지",IF(INDEX('IG 콘텐츠 data'!$A$1:$AJ$25,MATCH('IG 신규발행'!$A5,'IG 콘텐츠 data'!$S:$S,0),MATCH(C$3,'IG 콘텐츠 data'!$A$1:$O$1,0))="IG 슬라이드","슬라이드",IF(INDEX('IG 콘텐츠 data'!$A$1:$AJ$25,MATCH('IG 신규발행'!$A5,'IG 콘텐츠 data'!$S:$S,0),MATCH(C$3,'IG 콘텐츠 data'!$A$1:$O$1,0))="Instagram 릴스","영상"))),"")</f>
        <v>영상</v>
      </c>
      <c r="D5" s="125" t="str">
        <f>IFERROR(INDEX('IG 콘텐츠 data'!$A$1:$AJ$25,MATCH('IG 신규발행'!$A5,'IG 콘텐츠 data'!$S:$S,0),MATCH(D$3,'IG 콘텐츠 data'!$A$1:$Q$1,0)),"")</f>
        <v>EVENT 울산대공원 장미축제</v>
      </c>
      <c r="E5" s="125">
        <f>IFERROR(INDEX('IG 콘텐츠 data'!$A$1:$AJ$25,MATCH('IG 신규발행'!$A5,'IG 콘텐츠 data'!$S:$S,0),MATCH(E$3,'IG 콘텐츠 data'!$A$1:$Q$1,0)),"")</f>
        <v>33928</v>
      </c>
      <c r="F5" s="125">
        <f>IFERROR(INDEX('IG 콘텐츠 data'!$A$1:$AJ$25,MATCH('IG 신규발행'!$A5,'IG 콘텐츠 data'!$S:$S,0),MATCH(F$3,'IG 콘텐츠 data'!$A$1:$Q$1,0)),"")</f>
        <v>25412</v>
      </c>
      <c r="G5" s="125">
        <f>IFERROR(INDEX('IG 콘텐츠 data'!$A$1:$AJ$25,MATCH('IG 신규발행'!$A5,'IG 콘텐츠 data'!$S:$S,0),MATCH(G$3,'IG 콘텐츠 data'!$A$1:$Q$1,0)),"")</f>
        <v>62</v>
      </c>
      <c r="H5" s="125">
        <f>IFERROR(INDEX('IG 콘텐츠 data'!$A$1:$AJ$25,MATCH('IG 신규발행'!$A5,'IG 콘텐츠 data'!$S:$S,0),MATCH(H$3,'IG 콘텐츠 data'!$A$1:$Q$1,0)),"")</f>
        <v>43</v>
      </c>
      <c r="I5" s="125">
        <f>IFERROR(INDEX('IG 콘텐츠 data'!$A$1:$AJ$25,MATCH('IG 신규발행'!$A5,'IG 콘텐츠 data'!$S:$S,0),MATCH(I$3,'IG 콘텐츠 data'!$A$1:$Q$1,0)),"")</f>
        <v>36348</v>
      </c>
      <c r="J5" s="125">
        <f>IFERROR(INDEX('IG 콘텐츠 data'!$A$1:$AJ$25,MATCH('IG 신규발행'!$A5,'IG 콘텐츠 data'!$S:$S,0),MATCH(J$3,'IG 콘텐츠 data'!$A$1:$Q$1,0)),"")</f>
        <v>957</v>
      </c>
      <c r="K5" s="125">
        <f>IFERROR(INDEX('IG 콘텐츠 data'!$A$1:$AJ$25,MATCH('IG 신규발행'!$A5,'IG 콘텐츠 data'!$S:$S,0),MATCH(K$3,'IG 콘텐츠 data'!$A$1:$Q$1,0)),"")</f>
        <v>628</v>
      </c>
      <c r="L5" s="125">
        <f>IFERROR(INDEX('IG 콘텐츠 data'!$A$1:$AJ$25,MATCH('IG 신규발행'!$A5,'IG 콘텐츠 data'!$S:$S,0),MATCH(L$3,'IG 콘텐츠 data'!$A$1:$Q$1,0)),"")</f>
        <v>39</v>
      </c>
      <c r="M5" s="125">
        <f t="shared" ref="M5:M42" si="3">IF(B5="","",SUM(J5:L5)+G5)</f>
        <v>1686</v>
      </c>
      <c r="N5" s="126">
        <f t="shared" si="0"/>
        <v>6.6346607901778681E-2</v>
      </c>
      <c r="P5" s="48">
        <f t="shared" si="1"/>
        <v>7</v>
      </c>
      <c r="Q5" s="48">
        <f t="shared" si="2"/>
        <v>3</v>
      </c>
      <c r="S5">
        <f t="shared" ref="S5:S42" si="4">IFERROR(INDEX(A:A,MATCH(A5,P:P,0)),"")</f>
        <v>4</v>
      </c>
      <c r="U5" s="188" t="s">
        <v>65</v>
      </c>
      <c r="V5" s="185">
        <f ca="1">SUM(INDIRECT("'IG STORY DATA'!R"&amp;1&amp;"C"&amp;(MATCH(U5,'IG story data'!$A$1:$U$1,0)),FALSE):INDIRECT("'IG STORY DATA'!R"&amp;30&amp;"C"&amp;(MATCH(U5,'IG story data'!$A$1:$U$1,0)),FALSE))</f>
        <v>3704</v>
      </c>
    </row>
    <row r="6" spans="1:22" ht="17.45" customHeight="1">
      <c r="A6">
        <v>3</v>
      </c>
      <c r="B6" s="123">
        <f>IFERROR(INDEX('IG 콘텐츠 data'!R:R,MATCH('IG 신규발행'!A6,'IG 콘텐츠 data'!S:S,0)),"")</f>
        <v>45420</v>
      </c>
      <c r="C6" s="125" t="str">
        <f>IFERROR(IF(INDEX('IG 콘텐츠 data'!$A$1:$AJ$25,MATCH('IG 신규발행'!$A6,'IG 콘텐츠 data'!$S:$S,0),MATCH(C$3,'IG 콘텐츠 data'!$A$1:$O$1,0))="IG 이미지","이미지",IF(INDEX('IG 콘텐츠 data'!$A$1:$AJ$25,MATCH('IG 신규발행'!$A6,'IG 콘텐츠 data'!$S:$S,0),MATCH(C$3,'IG 콘텐츠 data'!$A$1:$O$1,0))="IG 슬라이드","슬라이드",IF(INDEX('IG 콘텐츠 data'!$A$1:$AJ$25,MATCH('IG 신규발행'!$A6,'IG 콘텐츠 data'!$S:$S,0),MATCH(C$3,'IG 콘텐츠 data'!$A$1:$O$1,0))="Instagram 릴스","영상"))),"")</f>
        <v>영상</v>
      </c>
      <c r="D6" s="125" t="str">
        <f>IFERROR(INDEX('IG 콘텐츠 data'!$A$1:$AJ$25,MATCH('IG 신규발행'!$A6,'IG 콘텐츠 data'!$S:$S,0),MATCH(D$3,'IG 콘텐츠 data'!$A$1:$Q$1,0)),"")</f>
        <v>이야기를 걷다 Ep. 나무</v>
      </c>
      <c r="E6" s="125">
        <f>IFERROR(INDEX('IG 콘텐츠 data'!$A$1:$AJ$25,MATCH('IG 신규발행'!$A6,'IG 콘텐츠 data'!$S:$S,0),MATCH(E$3,'IG 콘텐츠 data'!$A$1:$Q$1,0)),"")</f>
        <v>14325</v>
      </c>
      <c r="F6" s="125">
        <f>IFERROR(INDEX('IG 콘텐츠 data'!$A$1:$AJ$25,MATCH('IG 신규발행'!$A6,'IG 콘텐츠 data'!$S:$S,0),MATCH(F$3,'IG 콘텐츠 data'!$A$1:$Q$1,0)),"")</f>
        <v>10173</v>
      </c>
      <c r="G6" s="125">
        <f>IFERROR(INDEX('IG 콘텐츠 data'!$A$1:$AJ$25,MATCH('IG 신규발행'!$A6,'IG 콘텐츠 data'!$S:$S,0),MATCH(G$3,'IG 콘텐츠 data'!$A$1:$Q$1,0)),"")</f>
        <v>1</v>
      </c>
      <c r="H6" s="125">
        <f>IFERROR(INDEX('IG 콘텐츠 data'!$A$1:$AJ$25,MATCH('IG 신규발행'!$A6,'IG 콘텐츠 data'!$S:$S,0),MATCH(H$3,'IG 콘텐츠 data'!$A$1:$Q$1,0)),"")</f>
        <v>1</v>
      </c>
      <c r="I6" s="125">
        <f>IFERROR(INDEX('IG 콘텐츠 data'!$A$1:$AJ$25,MATCH('IG 신규발행'!$A6,'IG 콘텐츠 data'!$S:$S,0),MATCH(I$3,'IG 콘텐츠 data'!$A$1:$Q$1,0)),"")</f>
        <v>15156</v>
      </c>
      <c r="J6" s="125">
        <f>IFERROR(INDEX('IG 콘텐츠 data'!$A$1:$AJ$25,MATCH('IG 신규발행'!$A6,'IG 콘텐츠 data'!$S:$S,0),MATCH(J$3,'IG 콘텐츠 data'!$A$1:$Q$1,0)),"")</f>
        <v>1117</v>
      </c>
      <c r="K6" s="125">
        <f>IFERROR(INDEX('IG 콘텐츠 data'!$A$1:$AJ$25,MATCH('IG 신규발행'!$A6,'IG 콘텐츠 data'!$S:$S,0),MATCH(K$3,'IG 콘텐츠 data'!$A$1:$Q$1,0)),"")</f>
        <v>0</v>
      </c>
      <c r="L6" s="125">
        <f>IFERROR(INDEX('IG 콘텐츠 data'!$A$1:$AJ$25,MATCH('IG 신규발행'!$A6,'IG 콘텐츠 data'!$S:$S,0),MATCH(L$3,'IG 콘텐츠 data'!$A$1:$Q$1,0)),"")</f>
        <v>1</v>
      </c>
      <c r="M6" s="125">
        <f t="shared" si="3"/>
        <v>1119</v>
      </c>
      <c r="N6" s="126">
        <f t="shared" si="0"/>
        <v>0.109997051017399</v>
      </c>
      <c r="P6" s="48">
        <f t="shared" si="1"/>
        <v>6</v>
      </c>
      <c r="Q6" s="48">
        <f t="shared" si="2"/>
        <v>6</v>
      </c>
      <c r="S6">
        <f t="shared" si="4"/>
        <v>9</v>
      </c>
      <c r="U6" s="188" t="s">
        <v>202</v>
      </c>
      <c r="V6" s="185">
        <f ca="1">SUM(INDIRECT("'IG STORY DATA'!R"&amp;1&amp;"C"&amp;(MATCH(U6,'IG story data'!$A$1:$U$1,0)),FALSE):INDIRECT("'IG STORY DATA'!R"&amp;30&amp;"C"&amp;(MATCH(U6,'IG story data'!$A$1:$U$1,0)),FALSE))</f>
        <v>73</v>
      </c>
    </row>
    <row r="7" spans="1:22" ht="17.45" customHeight="1" thickBot="1">
      <c r="A7">
        <v>4</v>
      </c>
      <c r="B7" s="123">
        <f>IFERROR(INDEX('IG 콘텐츠 data'!R:R,MATCH('IG 신규발행'!A7,'IG 콘텐츠 data'!S:S,0)),"")</f>
        <v>45424</v>
      </c>
      <c r="C7" s="125" t="str">
        <f>IFERROR(IF(INDEX('IG 콘텐츠 data'!$A$1:$AJ$25,MATCH('IG 신규발행'!$A7,'IG 콘텐츠 data'!$S:$S,0),MATCH(C$3,'IG 콘텐츠 data'!$A$1:$O$1,0))="IG 이미지","이미지",IF(INDEX('IG 콘텐츠 data'!$A$1:$AJ$25,MATCH('IG 신규발행'!$A7,'IG 콘텐츠 data'!$S:$S,0),MATCH(C$3,'IG 콘텐츠 data'!$A$1:$O$1,0))="IG 슬라이드","슬라이드",IF(INDEX('IG 콘텐츠 data'!$A$1:$AJ$25,MATCH('IG 신규발행'!$A7,'IG 콘텐츠 data'!$S:$S,0),MATCH(C$3,'IG 콘텐츠 data'!$A$1:$O$1,0))="Instagram 릴스","영상"))),"")</f>
        <v>이미지</v>
      </c>
      <c r="D7" s="125" t="str">
        <f>IFERROR(INDEX('IG 콘텐츠 data'!$A$1:$AJ$25,MATCH('IG 신규발행'!$A7,'IG 콘텐츠 data'!$S:$S,0),MATCH(D$3,'IG 콘텐츠 data'!$A$1:$Q$1,0)),"")</f>
        <v>이노드림(데이비드 흄)</v>
      </c>
      <c r="E7" s="125">
        <f>IFERROR(INDEX('IG 콘텐츠 data'!$A$1:$AJ$25,MATCH('IG 신규발행'!$A7,'IG 콘텐츠 data'!$S:$S,0),MATCH(E$3,'IG 콘텐츠 data'!$A$1:$Q$1,0)),"")</f>
        <v>7251</v>
      </c>
      <c r="F7" s="125">
        <f>IFERROR(INDEX('IG 콘텐츠 data'!$A$1:$AJ$25,MATCH('IG 신규발행'!$A7,'IG 콘텐츠 data'!$S:$S,0),MATCH(F$3,'IG 콘텐츠 data'!$A$1:$Q$1,0)),"")</f>
        <v>5097</v>
      </c>
      <c r="G7" s="125">
        <f>IFERROR(INDEX('IG 콘텐츠 data'!$A$1:$AJ$25,MATCH('IG 신규발행'!$A7,'IG 콘텐츠 data'!$S:$S,0),MATCH(G$3,'IG 콘텐츠 data'!$A$1:$Q$1,0)),"")</f>
        <v>3</v>
      </c>
      <c r="H7" s="125">
        <f>IFERROR(INDEX('IG 콘텐츠 data'!$A$1:$AJ$25,MATCH('IG 신규발행'!$A7,'IG 콘텐츠 data'!$S:$S,0),MATCH(H$3,'IG 콘텐츠 data'!$A$1:$Q$1,0)),"")</f>
        <v>0</v>
      </c>
      <c r="I7" s="125">
        <f>IFERROR(INDEX('IG 콘텐츠 data'!$A$1:$AJ$25,MATCH('IG 신규발행'!$A7,'IG 콘텐츠 data'!$S:$S,0),MATCH(I$3,'IG 콘텐츠 data'!$A$1:$Q$1,0)),"")</f>
        <v>0</v>
      </c>
      <c r="J7" s="125">
        <f>IFERROR(INDEX('IG 콘텐츠 data'!$A$1:$AJ$25,MATCH('IG 신규발행'!$A7,'IG 콘텐츠 data'!$S:$S,0),MATCH(J$3,'IG 콘텐츠 data'!$A$1:$Q$1,0)),"")</f>
        <v>1305</v>
      </c>
      <c r="K7" s="125">
        <f>IFERROR(INDEX('IG 콘텐츠 data'!$A$1:$AJ$25,MATCH('IG 신규발행'!$A7,'IG 콘텐츠 data'!$S:$S,0),MATCH(K$3,'IG 콘텐츠 data'!$A$1:$Q$1,0)),"")</f>
        <v>0</v>
      </c>
      <c r="L7" s="125">
        <f>IFERROR(INDEX('IG 콘텐츠 data'!$A$1:$AJ$25,MATCH('IG 신규발행'!$A7,'IG 콘텐츠 data'!$S:$S,0),MATCH(L$3,'IG 콘텐츠 data'!$A$1:$Q$1,0)),"")</f>
        <v>17</v>
      </c>
      <c r="M7" s="125">
        <f t="shared" si="3"/>
        <v>1325</v>
      </c>
      <c r="N7" s="126">
        <f t="shared" si="0"/>
        <v>0.25995683735530706</v>
      </c>
      <c r="P7" s="48">
        <f t="shared" si="1"/>
        <v>2</v>
      </c>
      <c r="Q7" s="48">
        <f t="shared" si="2"/>
        <v>8</v>
      </c>
      <c r="S7">
        <f t="shared" si="4"/>
        <v>1</v>
      </c>
      <c r="U7" s="189" t="s">
        <v>128</v>
      </c>
      <c r="V7" s="186">
        <f ca="1">SUM(INDIRECT("'IG STORY DATA'!R"&amp;1&amp;"C"&amp;(MATCH(U7,'IG story data'!$A$1:$U$1,0)),FALSE):INDIRECT("'IG STORY DATA'!R"&amp;30&amp;"C"&amp;(MATCH(U7,'IG story data'!$A$1:$U$1,0)),FALSE))</f>
        <v>48</v>
      </c>
    </row>
    <row r="8" spans="1:22" ht="17.45" customHeight="1">
      <c r="A8">
        <v>5</v>
      </c>
      <c r="B8" s="123">
        <f>IFERROR(INDEX('IG 콘텐츠 data'!R:R,MATCH('IG 신규발행'!A8,'IG 콘텐츠 data'!S:S,0)),"")</f>
        <v>45426</v>
      </c>
      <c r="C8" s="125" t="str">
        <f>IFERROR(IF(INDEX('IG 콘텐츠 data'!$A$1:$AJ$25,MATCH('IG 신규발행'!$A8,'IG 콘텐츠 data'!$S:$S,0),MATCH(C$3,'IG 콘텐츠 data'!$A$1:$O$1,0))="IG 이미지","이미지",IF(INDEX('IG 콘텐츠 data'!$A$1:$AJ$25,MATCH('IG 신규발행'!$A8,'IG 콘텐츠 data'!$S:$S,0),MATCH(C$3,'IG 콘텐츠 data'!$A$1:$O$1,0))="IG 슬라이드","슬라이드",IF(INDEX('IG 콘텐츠 data'!$A$1:$AJ$25,MATCH('IG 신규발행'!$A8,'IG 콘텐츠 data'!$S:$S,0),MATCH(C$3,'IG 콘텐츠 data'!$A$1:$O$1,0))="Instagram 릴스","영상"))),"")</f>
        <v>이미지</v>
      </c>
      <c r="D8" s="125" t="str">
        <f>IFERROR(INDEX('IG 콘텐츠 data'!$A$1:$AJ$25,MATCH('IG 신규발행'!$A8,'IG 콘텐츠 data'!$S:$S,0),MATCH(D$3,'IG 콘텐츠 data'!$A$1:$Q$1,0)),"")</f>
        <v>세계 가정의 날</v>
      </c>
      <c r="E8" s="125">
        <f>IFERROR(INDEX('IG 콘텐츠 data'!$A$1:$AJ$25,MATCH('IG 신규발행'!$A8,'IG 콘텐츠 data'!$S:$S,0),MATCH(E$3,'IG 콘텐츠 data'!$A$1:$Q$1,0)),"")</f>
        <v>3516</v>
      </c>
      <c r="F8" s="125">
        <f>IFERROR(INDEX('IG 콘텐츠 data'!$A$1:$AJ$25,MATCH('IG 신규발행'!$A8,'IG 콘텐츠 data'!$S:$S,0),MATCH(F$3,'IG 콘텐츠 data'!$A$1:$Q$1,0)),"")</f>
        <v>3245</v>
      </c>
      <c r="G8" s="125">
        <f>IFERROR(INDEX('IG 콘텐츠 data'!$A$1:$AJ$25,MATCH('IG 신규발행'!$A8,'IG 콘텐츠 data'!$S:$S,0),MATCH(G$3,'IG 콘텐츠 data'!$A$1:$Q$1,0)),"")</f>
        <v>2</v>
      </c>
      <c r="H8" s="125">
        <f>IFERROR(INDEX('IG 콘텐츠 data'!$A$1:$AJ$25,MATCH('IG 신규발행'!$A8,'IG 콘텐츠 data'!$S:$S,0),MATCH(H$3,'IG 콘텐츠 data'!$A$1:$Q$1,0)),"")</f>
        <v>1</v>
      </c>
      <c r="I8" s="125">
        <f>IFERROR(INDEX('IG 콘텐츠 data'!$A$1:$AJ$25,MATCH('IG 신규발행'!$A8,'IG 콘텐츠 data'!$S:$S,0),MATCH(I$3,'IG 콘텐츠 data'!$A$1:$Q$1,0)),"")</f>
        <v>0</v>
      </c>
      <c r="J8" s="125">
        <f>IFERROR(INDEX('IG 콘텐츠 data'!$A$1:$AJ$25,MATCH('IG 신규발행'!$A8,'IG 콘텐츠 data'!$S:$S,0),MATCH(J$3,'IG 콘텐츠 data'!$A$1:$Q$1,0)),"")</f>
        <v>599</v>
      </c>
      <c r="K8" s="125">
        <f>IFERROR(INDEX('IG 콘텐츠 data'!$A$1:$AJ$25,MATCH('IG 신규발행'!$A8,'IG 콘텐츠 data'!$S:$S,0),MATCH(K$3,'IG 콘텐츠 data'!$A$1:$Q$1,0)),"")</f>
        <v>1</v>
      </c>
      <c r="L8" s="125">
        <f>IFERROR(INDEX('IG 콘텐츠 data'!$A$1:$AJ$25,MATCH('IG 신규발행'!$A8,'IG 콘텐츠 data'!$S:$S,0),MATCH(L$3,'IG 콘텐츠 data'!$A$1:$Q$1,0)),"")</f>
        <v>11</v>
      </c>
      <c r="M8" s="125">
        <f t="shared" si="3"/>
        <v>613</v>
      </c>
      <c r="N8" s="126">
        <f t="shared" si="0"/>
        <v>0.18890600924499229</v>
      </c>
      <c r="P8" s="48">
        <f t="shared" si="1"/>
        <v>5</v>
      </c>
      <c r="Q8" s="48">
        <f t="shared" si="2"/>
        <v>11</v>
      </c>
      <c r="S8">
        <f t="shared" si="4"/>
        <v>5</v>
      </c>
      <c r="U8" s="117"/>
    </row>
    <row r="9" spans="1:22" ht="17.45" customHeight="1">
      <c r="A9">
        <v>6</v>
      </c>
      <c r="B9" s="123">
        <f>IFERROR(INDEX('IG 콘텐츠 data'!R:R,MATCH('IG 신규발행'!A9,'IG 콘텐츠 data'!S:S,0)),"")</f>
        <v>45431</v>
      </c>
      <c r="C9" s="125" t="str">
        <f>IFERROR(IF(INDEX('IG 콘텐츠 data'!$A$1:$AJ$25,MATCH('IG 신규발행'!$A9,'IG 콘텐츠 data'!$S:$S,0),MATCH(C$3,'IG 콘텐츠 data'!$A$1:$O$1,0))="IG 이미지","이미지",IF(INDEX('IG 콘텐츠 data'!$A$1:$AJ$25,MATCH('IG 신규발행'!$A9,'IG 콘텐츠 data'!$S:$S,0),MATCH(C$3,'IG 콘텐츠 data'!$A$1:$O$1,0))="IG 슬라이드","슬라이드",IF(INDEX('IG 콘텐츠 data'!$A$1:$AJ$25,MATCH('IG 신규발행'!$A9,'IG 콘텐츠 data'!$S:$S,0),MATCH(C$3,'IG 콘텐츠 data'!$A$1:$O$1,0))="Instagram 릴스","영상"))),"")</f>
        <v>이미지</v>
      </c>
      <c r="D9" s="125" t="str">
        <f>IFERROR(INDEX('IG 콘텐츠 data'!$A$1:$AJ$25,MATCH('IG 신규발행'!$A9,'IG 콘텐츠 data'!$S:$S,0),MATCH(D$3,'IG 콘텐츠 data'!$A$1:$Q$1,0)),"")</f>
        <v>이노드림(지두 크리슈나무르티)</v>
      </c>
      <c r="E9" s="125">
        <f>IFERROR(INDEX('IG 콘텐츠 data'!$A$1:$AJ$25,MATCH('IG 신규발행'!$A9,'IG 콘텐츠 data'!$S:$S,0),MATCH(E$3,'IG 콘텐츠 data'!$A$1:$Q$1,0)),"")</f>
        <v>6407</v>
      </c>
      <c r="F9" s="125">
        <f>IFERROR(INDEX('IG 콘텐츠 data'!$A$1:$AJ$25,MATCH('IG 신규발행'!$A9,'IG 콘텐츠 data'!$S:$S,0),MATCH(F$3,'IG 콘텐츠 data'!$A$1:$Q$1,0)),"")</f>
        <v>4408</v>
      </c>
      <c r="G9" s="125">
        <f>IFERROR(INDEX('IG 콘텐츠 data'!$A$1:$AJ$25,MATCH('IG 신규발행'!$A9,'IG 콘텐츠 data'!$S:$S,0),MATCH(G$3,'IG 콘텐츠 data'!$A$1:$Q$1,0)),"")</f>
        <v>1</v>
      </c>
      <c r="H9" s="125">
        <f>IFERROR(INDEX('IG 콘텐츠 data'!$A$1:$AJ$25,MATCH('IG 신규발행'!$A9,'IG 콘텐츠 data'!$S:$S,0),MATCH(H$3,'IG 콘텐츠 data'!$A$1:$Q$1,0)),"")</f>
        <v>0</v>
      </c>
      <c r="I9" s="125">
        <f>IFERROR(INDEX('IG 콘텐츠 data'!$A$1:$AJ$25,MATCH('IG 신규발행'!$A9,'IG 콘텐츠 data'!$S:$S,0),MATCH(I$3,'IG 콘텐츠 data'!$A$1:$Q$1,0)),"")</f>
        <v>0</v>
      </c>
      <c r="J9" s="125">
        <f>IFERROR(INDEX('IG 콘텐츠 data'!$A$1:$AJ$25,MATCH('IG 신규발행'!$A9,'IG 콘텐츠 data'!$S:$S,0),MATCH(J$3,'IG 콘텐츠 data'!$A$1:$Q$1,0)),"")</f>
        <v>1126</v>
      </c>
      <c r="K9" s="125">
        <f>IFERROR(INDEX('IG 콘텐츠 data'!$A$1:$AJ$25,MATCH('IG 신규발행'!$A9,'IG 콘텐츠 data'!$S:$S,0),MATCH(K$3,'IG 콘텐츠 data'!$A$1:$Q$1,0)),"")</f>
        <v>8</v>
      </c>
      <c r="L9" s="125">
        <f>IFERROR(INDEX('IG 콘텐츠 data'!$A$1:$AJ$25,MATCH('IG 신규발행'!$A9,'IG 콘텐츠 data'!$S:$S,0),MATCH(L$3,'IG 콘텐츠 data'!$A$1:$Q$1,0)),"")</f>
        <v>25</v>
      </c>
      <c r="M9" s="125">
        <f t="shared" si="3"/>
        <v>1160</v>
      </c>
      <c r="N9" s="126">
        <f t="shared" si="0"/>
        <v>0.26315789473684209</v>
      </c>
      <c r="P9" s="48">
        <f t="shared" si="1"/>
        <v>1</v>
      </c>
      <c r="Q9" s="48">
        <f t="shared" si="2"/>
        <v>10</v>
      </c>
      <c r="S9">
        <f t="shared" si="4"/>
        <v>3</v>
      </c>
      <c r="U9" s="117"/>
    </row>
    <row r="10" spans="1:22" ht="17.45" customHeight="1">
      <c r="A10">
        <v>7</v>
      </c>
      <c r="B10" s="123">
        <f>IFERROR(INDEX('IG 콘텐츠 data'!R:R,MATCH('IG 신규발행'!A10,'IG 콘텐츠 data'!S:S,0)),"")</f>
        <v>45433</v>
      </c>
      <c r="C10" s="125" t="str">
        <f>IFERROR(IF(INDEX('IG 콘텐츠 data'!$A$1:$AJ$25,MATCH('IG 신규발행'!$A10,'IG 콘텐츠 data'!$S:$S,0),MATCH(C$3,'IG 콘텐츠 data'!$A$1:$O$1,0))="IG 이미지","이미지",IF(INDEX('IG 콘텐츠 data'!$A$1:$AJ$25,MATCH('IG 신규발행'!$A10,'IG 콘텐츠 data'!$S:$S,0),MATCH(C$3,'IG 콘텐츠 data'!$A$1:$O$1,0))="IG 슬라이드","슬라이드",IF(INDEX('IG 콘텐츠 data'!$A$1:$AJ$25,MATCH('IG 신규발행'!$A10,'IG 콘텐츠 data'!$S:$S,0),MATCH(C$3,'IG 콘텐츠 data'!$A$1:$O$1,0))="Instagram 릴스","영상"))),"")</f>
        <v>슬라이드</v>
      </c>
      <c r="D10" s="125" t="str">
        <f>IFERROR(INDEX('IG 콘텐츠 data'!$A$1:$AJ$25,MATCH('IG 신규발행'!$A10,'IG 콘텐츠 data'!$S:$S,0),MATCH(D$3,'IG 콘텐츠 data'!$A$1:$Q$1,0)),"")</f>
        <v>[SKinno Tech] 항공유</v>
      </c>
      <c r="E10" s="125">
        <f>IFERROR(INDEX('IG 콘텐츠 data'!$A$1:$AJ$25,MATCH('IG 신규발행'!$A10,'IG 콘텐츠 data'!$S:$S,0),MATCH(E$3,'IG 콘텐츠 data'!$A$1:$Q$1,0)),"")</f>
        <v>26353</v>
      </c>
      <c r="F10" s="125">
        <f>IFERROR(INDEX('IG 콘텐츠 data'!$A$1:$AJ$25,MATCH('IG 신규발행'!$A10,'IG 콘텐츠 data'!$S:$S,0),MATCH(F$3,'IG 콘텐츠 data'!$A$1:$Q$1,0)),"")</f>
        <v>16664</v>
      </c>
      <c r="G10" s="125">
        <f>IFERROR(INDEX('IG 콘텐츠 data'!$A$1:$AJ$25,MATCH('IG 신규발행'!$A10,'IG 콘텐츠 data'!$S:$S,0),MATCH(G$3,'IG 콘텐츠 data'!$A$1:$Q$1,0)),"")</f>
        <v>15</v>
      </c>
      <c r="H10" s="125">
        <f>IFERROR(INDEX('IG 콘텐츠 data'!$A$1:$AJ$25,MATCH('IG 신규발행'!$A10,'IG 콘텐츠 data'!$S:$S,0),MATCH(H$3,'IG 콘텐츠 data'!$A$1:$Q$1,0)),"")</f>
        <v>125</v>
      </c>
      <c r="I10" s="125">
        <f>IFERROR(INDEX('IG 콘텐츠 data'!$A$1:$AJ$25,MATCH('IG 신규발행'!$A10,'IG 콘텐츠 data'!$S:$S,0),MATCH(I$3,'IG 콘텐츠 data'!$A$1:$Q$1,0)),"")</f>
        <v>0</v>
      </c>
      <c r="J10" s="125">
        <f>IFERROR(INDEX('IG 콘텐츠 data'!$A$1:$AJ$25,MATCH('IG 신규발행'!$A10,'IG 콘텐츠 data'!$S:$S,0),MATCH(J$3,'IG 콘텐츠 data'!$A$1:$Q$1,0)),"")</f>
        <v>348</v>
      </c>
      <c r="K10" s="125">
        <f>IFERROR(INDEX('IG 콘텐츠 data'!$A$1:$AJ$25,MATCH('IG 신규발행'!$A10,'IG 콘텐츠 data'!$S:$S,0),MATCH(K$3,'IG 콘텐츠 data'!$A$1:$Q$1,0)),"")</f>
        <v>3</v>
      </c>
      <c r="L10" s="125">
        <f>IFERROR(INDEX('IG 콘텐츠 data'!$A$1:$AJ$25,MATCH('IG 신규발행'!$A10,'IG 콘텐츠 data'!$S:$S,0),MATCH(L$3,'IG 콘텐츠 data'!$A$1:$Q$1,0)),"")</f>
        <v>284</v>
      </c>
      <c r="M10" s="125">
        <f t="shared" si="3"/>
        <v>650</v>
      </c>
      <c r="N10" s="126">
        <f t="shared" si="0"/>
        <v>3.9006240998559767E-2</v>
      </c>
      <c r="P10" s="48">
        <f t="shared" si="1"/>
        <v>8</v>
      </c>
      <c r="Q10" s="48">
        <f t="shared" si="2"/>
        <v>4</v>
      </c>
      <c r="S10">
        <f t="shared" si="4"/>
        <v>2</v>
      </c>
      <c r="U10" s="117"/>
    </row>
    <row r="11" spans="1:22" ht="17.45" customHeight="1">
      <c r="A11">
        <v>8</v>
      </c>
      <c r="B11" s="123">
        <f>IFERROR(INDEX('IG 콘텐츠 data'!R:R,MATCH('IG 신규발행'!A11,'IG 콘텐츠 data'!S:S,0)),"")</f>
        <v>45435</v>
      </c>
      <c r="C11" s="125" t="str">
        <f>IFERROR(IF(INDEX('IG 콘텐츠 data'!$A$1:$AJ$25,MATCH('IG 신규발행'!$A11,'IG 콘텐츠 data'!$S:$S,0),MATCH(C$3,'IG 콘텐츠 data'!$A$1:$O$1,0))="IG 이미지","이미지",IF(INDEX('IG 콘텐츠 data'!$A$1:$AJ$25,MATCH('IG 신규발행'!$A11,'IG 콘텐츠 data'!$S:$S,0),MATCH(C$3,'IG 콘텐츠 data'!$A$1:$O$1,0))="IG 슬라이드","슬라이드",IF(INDEX('IG 콘텐츠 data'!$A$1:$AJ$25,MATCH('IG 신규발행'!$A11,'IG 콘텐츠 data'!$S:$S,0),MATCH(C$3,'IG 콘텐츠 data'!$A$1:$O$1,0))="Instagram 릴스","영상"))),"")</f>
        <v>슬라이드</v>
      </c>
      <c r="D11" s="125" t="str">
        <f>IFERROR(INDEX('IG 콘텐츠 data'!$A$1:$AJ$25,MATCH('IG 신규발행'!$A11,'IG 콘텐츠 data'!$S:$S,0),MATCH(D$3,'IG 콘텐츠 data'!$A$1:$Q$1,0)),"")</f>
        <v>울산대공원 장미축제 현장 사진</v>
      </c>
      <c r="E11" s="125">
        <f>IFERROR(INDEX('IG 콘텐츠 data'!$A$1:$AJ$25,MATCH('IG 신규발행'!$A11,'IG 콘텐츠 data'!$S:$S,0),MATCH(E$3,'IG 콘텐츠 data'!$A$1:$Q$1,0)),"")</f>
        <v>25010</v>
      </c>
      <c r="F11" s="125">
        <f>IFERROR(INDEX('IG 콘텐츠 data'!$A$1:$AJ$25,MATCH('IG 신규발행'!$A11,'IG 콘텐츠 data'!$S:$S,0),MATCH(F$3,'IG 콘텐츠 data'!$A$1:$Q$1,0)),"")</f>
        <v>14660</v>
      </c>
      <c r="G11" s="125">
        <f>IFERROR(INDEX('IG 콘텐츠 data'!$A$1:$AJ$25,MATCH('IG 신규발행'!$A11,'IG 콘텐츠 data'!$S:$S,0),MATCH(G$3,'IG 콘텐츠 data'!$A$1:$Q$1,0)),"")</f>
        <v>16</v>
      </c>
      <c r="H11" s="125">
        <f>IFERROR(INDEX('IG 콘텐츠 data'!$A$1:$AJ$25,MATCH('IG 신규발행'!$A11,'IG 콘텐츠 data'!$S:$S,0),MATCH(H$3,'IG 콘텐츠 data'!$A$1:$Q$1,0)),"")</f>
        <v>74</v>
      </c>
      <c r="I11" s="125">
        <f>IFERROR(INDEX('IG 콘텐츠 data'!$A$1:$AJ$25,MATCH('IG 신규발행'!$A11,'IG 콘텐츠 data'!$S:$S,0),MATCH(I$3,'IG 콘텐츠 data'!$A$1:$Q$1,0)),"")</f>
        <v>0</v>
      </c>
      <c r="J11" s="125">
        <f>IFERROR(INDEX('IG 콘텐츠 data'!$A$1:$AJ$25,MATCH('IG 신규발행'!$A11,'IG 콘텐츠 data'!$S:$S,0),MATCH(J$3,'IG 콘텐츠 data'!$A$1:$Q$1,0)),"")</f>
        <v>353</v>
      </c>
      <c r="K11" s="125">
        <f>IFERROR(INDEX('IG 콘텐츠 data'!$A$1:$AJ$25,MATCH('IG 신규발행'!$A11,'IG 콘텐츠 data'!$S:$S,0),MATCH(K$3,'IG 콘텐츠 data'!$A$1:$Q$1,0)),"")</f>
        <v>2</v>
      </c>
      <c r="L11" s="125">
        <f>IFERROR(INDEX('IG 콘텐츠 data'!$A$1:$AJ$25,MATCH('IG 신규발행'!$A11,'IG 콘텐츠 data'!$S:$S,0),MATCH(L$3,'IG 콘텐츠 data'!$A$1:$Q$1,0)),"")</f>
        <v>72</v>
      </c>
      <c r="M11" s="125">
        <f t="shared" si="3"/>
        <v>443</v>
      </c>
      <c r="N11" s="126">
        <f t="shared" si="0"/>
        <v>3.0218281036834924E-2</v>
      </c>
      <c r="P11" s="48">
        <f t="shared" si="1"/>
        <v>9</v>
      </c>
      <c r="Q11" s="48">
        <f t="shared" si="2"/>
        <v>5</v>
      </c>
      <c r="S11">
        <f t="shared" si="4"/>
        <v>7</v>
      </c>
      <c r="U11" s="117"/>
    </row>
    <row r="12" spans="1:22" ht="17.45" customHeight="1">
      <c r="A12">
        <v>9</v>
      </c>
      <c r="B12" s="123">
        <f>IFERROR(INDEX('IG 콘텐츠 data'!R:R,MATCH('IG 신규발행'!A12,'IG 콘텐츠 data'!S:S,0)),"")</f>
        <v>45438</v>
      </c>
      <c r="C12" s="125" t="str">
        <f>IFERROR(IF(INDEX('IG 콘텐츠 data'!$A$1:$AJ$25,MATCH('IG 신규발행'!$A12,'IG 콘텐츠 data'!$S:$S,0),MATCH(C$3,'IG 콘텐츠 data'!$A$1:$O$1,0))="IG 이미지","이미지",IF(INDEX('IG 콘텐츠 data'!$A$1:$AJ$25,MATCH('IG 신규발행'!$A12,'IG 콘텐츠 data'!$S:$S,0),MATCH(C$3,'IG 콘텐츠 data'!$A$1:$O$1,0))="IG 슬라이드","슬라이드",IF(INDEX('IG 콘텐츠 data'!$A$1:$AJ$25,MATCH('IG 신규발행'!$A12,'IG 콘텐츠 data'!$S:$S,0),MATCH(C$3,'IG 콘텐츠 data'!$A$1:$O$1,0))="Instagram 릴스","영상"))),"")</f>
        <v>이미지</v>
      </c>
      <c r="D12" s="125" t="str">
        <f>IFERROR(INDEX('IG 콘텐츠 data'!$A$1:$AJ$25,MATCH('IG 신규발행'!$A12,'IG 콘텐츠 data'!$S:$S,0),MATCH(D$3,'IG 콘텐츠 data'!$A$1:$Q$1,0)),"")</f>
        <v>이노드림(존 스튜어트 밀)</v>
      </c>
      <c r="E12" s="125">
        <f>IFERROR(INDEX('IG 콘텐츠 data'!$A$1:$AJ$25,MATCH('IG 신규발행'!$A12,'IG 콘텐츠 data'!$S:$S,0),MATCH(E$3,'IG 콘텐츠 data'!$A$1:$Q$1,0)),"")</f>
        <v>6421</v>
      </c>
      <c r="F12" s="125">
        <f>IFERROR(INDEX('IG 콘텐츠 data'!$A$1:$AJ$25,MATCH('IG 신규발행'!$A12,'IG 콘텐츠 data'!$S:$S,0),MATCH(F$3,'IG 콘텐츠 data'!$A$1:$Q$1,0)),"")</f>
        <v>4655</v>
      </c>
      <c r="G12" s="125">
        <f>IFERROR(INDEX('IG 콘텐츠 data'!$A$1:$AJ$25,MATCH('IG 신규발행'!$A12,'IG 콘텐츠 data'!$S:$S,0),MATCH(G$3,'IG 콘텐츠 data'!$A$1:$Q$1,0)),"")</f>
        <v>2</v>
      </c>
      <c r="H12" s="125">
        <f>IFERROR(INDEX('IG 콘텐츠 data'!$A$1:$AJ$25,MATCH('IG 신규발행'!$A12,'IG 콘텐츠 data'!$S:$S,0),MATCH(H$3,'IG 콘텐츠 data'!$A$1:$Q$1,0)),"")</f>
        <v>0</v>
      </c>
      <c r="I12" s="125">
        <f>IFERROR(INDEX('IG 콘텐츠 data'!$A$1:$AJ$25,MATCH('IG 신규발행'!$A12,'IG 콘텐츠 data'!$S:$S,0),MATCH(I$3,'IG 콘텐츠 data'!$A$1:$Q$1,0)),"")</f>
        <v>0</v>
      </c>
      <c r="J12" s="125">
        <f>IFERROR(INDEX('IG 콘텐츠 data'!$A$1:$AJ$25,MATCH('IG 신규발행'!$A12,'IG 콘텐츠 data'!$S:$S,0),MATCH(J$3,'IG 콘텐츠 data'!$A$1:$Q$1,0)),"")</f>
        <v>1145</v>
      </c>
      <c r="K12" s="125">
        <f>IFERROR(INDEX('IG 콘텐츠 data'!$A$1:$AJ$25,MATCH('IG 신규발행'!$A12,'IG 콘텐츠 data'!$S:$S,0),MATCH(K$3,'IG 콘텐츠 data'!$A$1:$Q$1,0)),"")</f>
        <v>3</v>
      </c>
      <c r="L12" s="125">
        <f>IFERROR(INDEX('IG 콘텐츠 data'!$A$1:$AJ$25,MATCH('IG 신규발행'!$A12,'IG 콘텐츠 data'!$S:$S,0),MATCH(L$3,'IG 콘텐츠 data'!$A$1:$Q$1,0)),"")</f>
        <v>25</v>
      </c>
      <c r="M12" s="125">
        <f t="shared" si="3"/>
        <v>1175</v>
      </c>
      <c r="N12" s="126">
        <f t="shared" si="0"/>
        <v>0.25241675617615467</v>
      </c>
      <c r="P12" s="48">
        <f t="shared" si="1"/>
        <v>3</v>
      </c>
      <c r="Q12" s="48">
        <f t="shared" si="2"/>
        <v>9</v>
      </c>
      <c r="S12">
        <f t="shared" si="4"/>
        <v>8</v>
      </c>
      <c r="U12" s="117"/>
    </row>
    <row r="13" spans="1:22" ht="17.45" customHeight="1">
      <c r="A13">
        <v>10</v>
      </c>
      <c r="B13" s="123">
        <f>IFERROR(INDEX('IG 콘텐츠 data'!R:R,MATCH('IG 신규발행'!A13,'IG 콘텐츠 data'!S:S,0)),"")</f>
        <v>45441</v>
      </c>
      <c r="C13" s="125" t="str">
        <f>IFERROR(IF(INDEX('IG 콘텐츠 data'!$A$1:$AJ$25,MATCH('IG 신규발행'!$A13,'IG 콘텐츠 data'!$S:$S,0),MATCH(C$3,'IG 콘텐츠 data'!$A$1:$O$1,0))="IG 이미지","이미지",IF(INDEX('IG 콘텐츠 data'!$A$1:$AJ$25,MATCH('IG 신규발행'!$A13,'IG 콘텐츠 data'!$S:$S,0),MATCH(C$3,'IG 콘텐츠 data'!$A$1:$O$1,0))="IG 슬라이드","슬라이드",IF(INDEX('IG 콘텐츠 data'!$A$1:$AJ$25,MATCH('IG 신규발행'!$A13,'IG 콘텐츠 data'!$S:$S,0),MATCH(C$3,'IG 콘텐츠 data'!$A$1:$O$1,0))="Instagram 릴스","영상"))),"")</f>
        <v>슬라이드</v>
      </c>
      <c r="D13" s="125" t="str">
        <f>IFERROR(INDEX('IG 콘텐츠 data'!$A$1:$AJ$25,MATCH('IG 신규발행'!$A13,'IG 콘텐츠 data'!$S:$S,0),MATCH(D$3,'IG 콘텐츠 data'!$A$1:$Q$1,0)),"")</f>
        <v>[과거의 오늘] 서산 배터리 제1공장 착공</v>
      </c>
      <c r="E13" s="125">
        <f>IFERROR(INDEX('IG 콘텐츠 data'!$A$1:$AJ$25,MATCH('IG 신규발행'!$A13,'IG 콘텐츠 data'!$S:$S,0),MATCH(E$3,'IG 콘텐츠 data'!$A$1:$Q$1,0)),"")</f>
        <v>40349</v>
      </c>
      <c r="F13" s="125">
        <f>IFERROR(INDEX('IG 콘텐츠 data'!$A$1:$AJ$25,MATCH('IG 신규발행'!$A13,'IG 콘텐츠 data'!$S:$S,0),MATCH(F$3,'IG 콘텐츠 data'!$A$1:$Q$1,0)),"")</f>
        <v>22929</v>
      </c>
      <c r="G13" s="125">
        <f>IFERROR(INDEX('IG 콘텐츠 data'!$A$1:$AJ$25,MATCH('IG 신규발행'!$A13,'IG 콘텐츠 data'!$S:$S,0),MATCH(G$3,'IG 콘텐츠 data'!$A$1:$Q$1,0)),"")</f>
        <v>3</v>
      </c>
      <c r="H13" s="125">
        <f>IFERROR(INDEX('IG 콘텐츠 data'!$A$1:$AJ$25,MATCH('IG 신규발행'!$A13,'IG 콘텐츠 data'!$S:$S,0),MATCH(H$3,'IG 콘텐츠 data'!$A$1:$Q$1,0)),"")</f>
        <v>20</v>
      </c>
      <c r="I13" s="125">
        <f>IFERROR(INDEX('IG 콘텐츠 data'!$A$1:$AJ$25,MATCH('IG 신규발행'!$A13,'IG 콘텐츠 data'!$S:$S,0),MATCH(I$3,'IG 콘텐츠 data'!$A$1:$Q$1,0)),"")</f>
        <v>0</v>
      </c>
      <c r="J13" s="125">
        <f>IFERROR(INDEX('IG 콘텐츠 data'!$A$1:$AJ$25,MATCH('IG 신규발행'!$A13,'IG 콘텐츠 data'!$S:$S,0),MATCH(J$3,'IG 콘텐츠 data'!$A$1:$Q$1,0)),"")</f>
        <v>129</v>
      </c>
      <c r="K13" s="125">
        <f>IFERROR(INDEX('IG 콘텐츠 data'!$A$1:$AJ$25,MATCH('IG 신규발행'!$A13,'IG 콘텐츠 data'!$S:$S,0),MATCH(K$3,'IG 콘텐츠 data'!$A$1:$Q$1,0)),"")</f>
        <v>5</v>
      </c>
      <c r="L13" s="125">
        <f>IFERROR(INDEX('IG 콘텐츠 data'!$A$1:$AJ$25,MATCH('IG 신규발행'!$A13,'IG 콘텐츠 data'!$S:$S,0),MATCH(L$3,'IG 콘텐츠 data'!$A$1:$Q$1,0)),"")</f>
        <v>26</v>
      </c>
      <c r="M13" s="125">
        <f t="shared" si="3"/>
        <v>163</v>
      </c>
      <c r="N13" s="126">
        <f t="shared" si="0"/>
        <v>7.1089013912512536E-3</v>
      </c>
      <c r="P13" s="48">
        <f t="shared" si="1"/>
        <v>10</v>
      </c>
      <c r="Q13" s="48">
        <f t="shared" si="2"/>
        <v>2</v>
      </c>
      <c r="S13">
        <f t="shared" si="4"/>
        <v>10</v>
      </c>
      <c r="U13" s="117"/>
    </row>
    <row r="14" spans="1:22" ht="17.45" customHeight="1">
      <c r="A14">
        <v>11</v>
      </c>
      <c r="B14" s="123">
        <f>IFERROR(INDEX('IG 콘텐츠 data'!R:R,MATCH('IG 신규발행'!A14,'IG 콘텐츠 data'!S:S,0)),"")</f>
        <v>45443</v>
      </c>
      <c r="C14" s="125" t="str">
        <f>IFERROR(IF(INDEX('IG 콘텐츠 data'!$A$1:$AJ$25,MATCH('IG 신규발행'!$A14,'IG 콘텐츠 data'!$S:$S,0),MATCH(C$3,'IG 콘텐츠 data'!$A$1:$O$1,0))="IG 이미지","이미지",IF(INDEX('IG 콘텐츠 data'!$A$1:$AJ$25,MATCH('IG 신규발행'!$A14,'IG 콘텐츠 data'!$S:$S,0),MATCH(C$3,'IG 콘텐츠 data'!$A$1:$O$1,0))="IG 슬라이드","슬라이드",IF(INDEX('IG 콘텐츠 data'!$A$1:$AJ$25,MATCH('IG 신규발행'!$A14,'IG 콘텐츠 data'!$S:$S,0),MATCH(C$3,'IG 콘텐츠 data'!$A$1:$O$1,0))="Instagram 릴스","영상"))),"")</f>
        <v>영상</v>
      </c>
      <c r="D14" s="125" t="str">
        <f>IFERROR(INDEX('IG 콘텐츠 data'!$A$1:$AJ$25,MATCH('IG 신규발행'!$A14,'IG 콘텐츠 data'!$S:$S,0),MATCH(D$3,'IG 콘텐츠 data'!$A$1:$Q$1,0)),"")</f>
        <v>팩트체크해~油 Ep. 4</v>
      </c>
      <c r="E14" s="125">
        <f>IFERROR(INDEX('IG 콘텐츠 data'!$A$1:$AJ$25,MATCH('IG 신규발행'!$A14,'IG 콘텐츠 data'!$S:$S,0),MATCH(E$3,'IG 콘텐츠 data'!$A$1:$Q$1,0)),"")</f>
        <v>86853</v>
      </c>
      <c r="F14" s="125">
        <f>IFERROR(INDEX('IG 콘텐츠 data'!$A$1:$AJ$25,MATCH('IG 신규발행'!$A14,'IG 콘텐츠 data'!$S:$S,0),MATCH(F$3,'IG 콘텐츠 data'!$A$1:$Q$1,0)),"")</f>
        <v>74172</v>
      </c>
      <c r="G14" s="125">
        <f>IFERROR(INDEX('IG 콘텐츠 data'!$A$1:$AJ$25,MATCH('IG 신규발행'!$A14,'IG 콘텐츠 data'!$S:$S,0),MATCH(G$3,'IG 콘텐츠 data'!$A$1:$Q$1,0)),"")</f>
        <v>95</v>
      </c>
      <c r="H14" s="125">
        <f>IFERROR(INDEX('IG 콘텐츠 data'!$A$1:$AJ$25,MATCH('IG 신규발행'!$A14,'IG 콘텐츠 data'!$S:$S,0),MATCH(H$3,'IG 콘텐츠 data'!$A$1:$Q$1,0)),"")</f>
        <v>16</v>
      </c>
      <c r="I14" s="125">
        <f>IFERROR(INDEX('IG 콘텐츠 data'!$A$1:$AJ$25,MATCH('IG 신규발행'!$A14,'IG 콘텐츠 data'!$S:$S,0),MATCH(I$3,'IG 콘텐츠 data'!$A$1:$Q$1,0)),"")</f>
        <v>94085</v>
      </c>
      <c r="J14" s="125">
        <f>IFERROR(INDEX('IG 콘텐츠 data'!$A$1:$AJ$25,MATCH('IG 신규발행'!$A14,'IG 콘텐츠 data'!$S:$S,0),MATCH(J$3,'IG 콘텐츠 data'!$A$1:$Q$1,0)),"")</f>
        <v>133</v>
      </c>
      <c r="K14" s="125">
        <f>IFERROR(INDEX('IG 콘텐츠 data'!$A$1:$AJ$25,MATCH('IG 신규발행'!$A14,'IG 콘텐츠 data'!$S:$S,0),MATCH(K$3,'IG 콘텐츠 data'!$A$1:$Q$1,0)),"")</f>
        <v>6</v>
      </c>
      <c r="L14" s="125">
        <f>IFERROR(INDEX('IG 콘텐츠 data'!$A$1:$AJ$25,MATCH('IG 신규발행'!$A14,'IG 콘텐츠 data'!$S:$S,0),MATCH(L$3,'IG 콘텐츠 data'!$A$1:$Q$1,0)),"")</f>
        <v>20</v>
      </c>
      <c r="M14" s="125">
        <f t="shared" si="3"/>
        <v>254</v>
      </c>
      <c r="N14" s="126">
        <f t="shared" si="0"/>
        <v>3.4244728468964029E-3</v>
      </c>
      <c r="P14" s="48">
        <f t="shared" si="1"/>
        <v>11</v>
      </c>
      <c r="Q14" s="48">
        <f t="shared" si="2"/>
        <v>1</v>
      </c>
      <c r="S14">
        <f t="shared" si="4"/>
        <v>11</v>
      </c>
      <c r="U14" s="117"/>
    </row>
    <row r="15" spans="1:22" ht="17.45" customHeight="1">
      <c r="A15">
        <v>12</v>
      </c>
      <c r="B15" s="123" t="str">
        <f>IFERROR(INDEX('IG 콘텐츠 data'!R:R,MATCH('IG 신규발행'!A15,'IG 콘텐츠 data'!S:S,0)),"")</f>
        <v/>
      </c>
      <c r="C15" s="125" t="str">
        <f>IFERROR(IF(INDEX('IG 콘텐츠 data'!$A$1:$AJ$25,MATCH('IG 신규발행'!$A15,'IG 콘텐츠 data'!$S:$S,0),MATCH(C$3,'IG 콘텐츠 data'!$A$1:$O$1,0))="IG 이미지","이미지",IF(INDEX('IG 콘텐츠 data'!$A$1:$AJ$25,MATCH('IG 신규발행'!$A15,'IG 콘텐츠 data'!$S:$S,0),MATCH(C$3,'IG 콘텐츠 data'!$A$1:$O$1,0))="IG 슬라이드","슬라이드",IF(INDEX('IG 콘텐츠 data'!$A$1:$AJ$25,MATCH('IG 신규발행'!$A15,'IG 콘텐츠 data'!$S:$S,0),MATCH(C$3,'IG 콘텐츠 data'!$A$1:$O$1,0))="Instagram 릴스","영상"))),"")</f>
        <v/>
      </c>
      <c r="D15" s="125" t="str">
        <f>IFERROR(INDEX('IG 콘텐츠 data'!$A$1:$AJ$25,MATCH('IG 신규발행'!$A15,'IG 콘텐츠 data'!$S:$S,0),MATCH(D$3,'IG 콘텐츠 data'!$A$1:$Q$1,0)),"")</f>
        <v/>
      </c>
      <c r="E15" s="125" t="str">
        <f>IFERROR(INDEX('IG 콘텐츠 data'!$A$1:$AJ$25,MATCH('IG 신규발행'!$A15,'IG 콘텐츠 data'!$S:$S,0),MATCH(E$3,'IG 콘텐츠 data'!$A$1:$Q$1,0)),"")</f>
        <v/>
      </c>
      <c r="F15" s="125" t="str">
        <f>IFERROR(INDEX('IG 콘텐츠 data'!$A$1:$AJ$25,MATCH('IG 신규발행'!$A15,'IG 콘텐츠 data'!$S:$S,0),MATCH(F$3,'IG 콘텐츠 data'!$A$1:$Q$1,0)),"")</f>
        <v/>
      </c>
      <c r="G15" s="125" t="str">
        <f>IFERROR(INDEX('IG 콘텐츠 data'!$A$1:$AJ$25,MATCH('IG 신규발행'!$A15,'IG 콘텐츠 data'!$S:$S,0),MATCH(G$3,'IG 콘텐츠 data'!$A$1:$Q$1,0)),"")</f>
        <v/>
      </c>
      <c r="H15" s="125" t="str">
        <f>IFERROR(INDEX('IG 콘텐츠 data'!$A$1:$AJ$25,MATCH('IG 신규발행'!$A15,'IG 콘텐츠 data'!$S:$S,0),MATCH(H$3,'IG 콘텐츠 data'!$A$1:$Q$1,0)),"")</f>
        <v/>
      </c>
      <c r="I15" s="125" t="str">
        <f>IFERROR(INDEX('IG 콘텐츠 data'!$A$1:$AJ$25,MATCH('IG 신규발행'!$A15,'IG 콘텐츠 data'!$S:$S,0),MATCH(I$3,'IG 콘텐츠 data'!$A$1:$Q$1,0)),"")</f>
        <v/>
      </c>
      <c r="J15" s="125" t="str">
        <f>IFERROR(INDEX('IG 콘텐츠 data'!$A$1:$AJ$25,MATCH('IG 신규발행'!$A15,'IG 콘텐츠 data'!$S:$S,0),MATCH(J$3,'IG 콘텐츠 data'!$A$1:$Q$1,0)),"")</f>
        <v/>
      </c>
      <c r="K15" s="125" t="str">
        <f>IFERROR(INDEX('IG 콘텐츠 data'!$A$1:$AJ$25,MATCH('IG 신규발행'!$A15,'IG 콘텐츠 data'!$S:$S,0),MATCH(K$3,'IG 콘텐츠 data'!$A$1:$Q$1,0)),"")</f>
        <v/>
      </c>
      <c r="L15" s="125" t="str">
        <f>IFERROR(INDEX('IG 콘텐츠 data'!$A$1:$AJ$25,MATCH('IG 신규발행'!$A15,'IG 콘텐츠 data'!$S:$S,0),MATCH(L$3,'IG 콘텐츠 data'!$A$1:$Q$1,0)),"")</f>
        <v/>
      </c>
      <c r="M15" s="125" t="str">
        <f t="shared" si="3"/>
        <v/>
      </c>
      <c r="N15" s="126" t="str">
        <f t="shared" si="0"/>
        <v/>
      </c>
      <c r="P15" s="48" t="str">
        <f t="shared" si="1"/>
        <v/>
      </c>
      <c r="Q15" s="48" t="str">
        <f t="shared" si="2"/>
        <v/>
      </c>
      <c r="S15" t="str">
        <f t="shared" si="4"/>
        <v/>
      </c>
      <c r="U15" s="117"/>
    </row>
    <row r="16" spans="1:22" ht="17.45" customHeight="1">
      <c r="A16">
        <v>13</v>
      </c>
      <c r="B16" s="123" t="str">
        <f>IFERROR(INDEX('IG 콘텐츠 data'!R:R,MATCH('IG 신규발행'!A16,'IG 콘텐츠 data'!S:S,0)),"")</f>
        <v/>
      </c>
      <c r="C16" s="125" t="str">
        <f>IFERROR(IF(INDEX('IG 콘텐츠 data'!$A$1:$AJ$25,MATCH('IG 신규발행'!$A16,'IG 콘텐츠 data'!$S:$S,0),MATCH(C$3,'IG 콘텐츠 data'!$A$1:$O$1,0))="IG 이미지","이미지",IF(INDEX('IG 콘텐츠 data'!$A$1:$AJ$25,MATCH('IG 신규발행'!$A16,'IG 콘텐츠 data'!$S:$S,0),MATCH(C$3,'IG 콘텐츠 data'!$A$1:$O$1,0))="IG 슬라이드","슬라이드",IF(INDEX('IG 콘텐츠 data'!$A$1:$AJ$25,MATCH('IG 신규발행'!$A16,'IG 콘텐츠 data'!$S:$S,0),MATCH(C$3,'IG 콘텐츠 data'!$A$1:$O$1,0))="Instagram 릴스","영상"))),"")</f>
        <v/>
      </c>
      <c r="D16" s="125" t="str">
        <f>IFERROR(INDEX('IG 콘텐츠 data'!$A$1:$AJ$25,MATCH('IG 신규발행'!$A16,'IG 콘텐츠 data'!$S:$S,0),MATCH(D$3,'IG 콘텐츠 data'!$A$1:$Q$1,0)),"")</f>
        <v/>
      </c>
      <c r="E16" s="125" t="str">
        <f>IFERROR(INDEX('IG 콘텐츠 data'!$A$1:$AJ$25,MATCH('IG 신규발행'!$A16,'IG 콘텐츠 data'!$S:$S,0),MATCH(E$3,'IG 콘텐츠 data'!$A$1:$Q$1,0)),"")</f>
        <v/>
      </c>
      <c r="F16" s="125" t="str">
        <f>IFERROR(INDEX('IG 콘텐츠 data'!$A$1:$AJ$25,MATCH('IG 신규발행'!$A16,'IG 콘텐츠 data'!$S:$S,0),MATCH(F$3,'IG 콘텐츠 data'!$A$1:$Q$1,0)),"")</f>
        <v/>
      </c>
      <c r="G16" s="125" t="str">
        <f>IFERROR(INDEX('IG 콘텐츠 data'!$A$1:$AJ$25,MATCH('IG 신규발행'!$A16,'IG 콘텐츠 data'!$S:$S,0),MATCH(G$3,'IG 콘텐츠 data'!$A$1:$Q$1,0)),"")</f>
        <v/>
      </c>
      <c r="H16" s="125" t="str">
        <f>IFERROR(INDEX('IG 콘텐츠 data'!$A$1:$AJ$25,MATCH('IG 신규발행'!$A16,'IG 콘텐츠 data'!$S:$S,0),MATCH(H$3,'IG 콘텐츠 data'!$A$1:$Q$1,0)),"")</f>
        <v/>
      </c>
      <c r="I16" s="125" t="str">
        <f>IFERROR(INDEX('IG 콘텐츠 data'!$A$1:$AJ$25,MATCH('IG 신규발행'!$A16,'IG 콘텐츠 data'!$S:$S,0),MATCH(I$3,'IG 콘텐츠 data'!$A$1:$Q$1,0)),"")</f>
        <v/>
      </c>
      <c r="J16" s="125" t="str">
        <f>IFERROR(INDEX('IG 콘텐츠 data'!$A$1:$AJ$25,MATCH('IG 신규발행'!$A16,'IG 콘텐츠 data'!$S:$S,0),MATCH(J$3,'IG 콘텐츠 data'!$A$1:$Q$1,0)),"")</f>
        <v/>
      </c>
      <c r="K16" s="125" t="str">
        <f>IFERROR(INDEX('IG 콘텐츠 data'!$A$1:$AJ$25,MATCH('IG 신규발행'!$A16,'IG 콘텐츠 data'!$S:$S,0),MATCH(K$3,'IG 콘텐츠 data'!$A$1:$Q$1,0)),"")</f>
        <v/>
      </c>
      <c r="L16" s="125" t="str">
        <f>IFERROR(INDEX('IG 콘텐츠 data'!$A$1:$AJ$25,MATCH('IG 신규발행'!$A16,'IG 콘텐츠 data'!$S:$S,0),MATCH(L$3,'IG 콘텐츠 data'!$A$1:$Q$1,0)),"")</f>
        <v/>
      </c>
      <c r="M16" s="125" t="str">
        <f t="shared" si="3"/>
        <v/>
      </c>
      <c r="N16" s="126" t="str">
        <f t="shared" si="0"/>
        <v/>
      </c>
      <c r="P16" s="48" t="str">
        <f t="shared" si="1"/>
        <v/>
      </c>
      <c r="Q16" s="48" t="str">
        <f t="shared" si="2"/>
        <v/>
      </c>
      <c r="S16" t="str">
        <f t="shared" si="4"/>
        <v/>
      </c>
      <c r="U16" s="117"/>
    </row>
    <row r="17" spans="1:21" ht="17.45" customHeight="1">
      <c r="A17">
        <v>14</v>
      </c>
      <c r="B17" s="123" t="str">
        <f>IFERROR(INDEX('IG 콘텐츠 data'!R:R,MATCH('IG 신규발행'!A17,'IG 콘텐츠 data'!S:S,0)),"")</f>
        <v/>
      </c>
      <c r="C17" s="125" t="str">
        <f>IFERROR(IF(INDEX('IG 콘텐츠 data'!$A$1:$AJ$25,MATCH('IG 신규발행'!$A17,'IG 콘텐츠 data'!$S:$S,0),MATCH(C$3,'IG 콘텐츠 data'!$A$1:$O$1,0))="IG 이미지","이미지",IF(INDEX('IG 콘텐츠 data'!$A$1:$AJ$25,MATCH('IG 신규발행'!$A17,'IG 콘텐츠 data'!$S:$S,0),MATCH(C$3,'IG 콘텐츠 data'!$A$1:$O$1,0))="IG 슬라이드","슬라이드",IF(INDEX('IG 콘텐츠 data'!$A$1:$AJ$25,MATCH('IG 신규발행'!$A17,'IG 콘텐츠 data'!$S:$S,0),MATCH(C$3,'IG 콘텐츠 data'!$A$1:$O$1,0))="Instagram 릴스","영상"))),"")</f>
        <v/>
      </c>
      <c r="D17" s="125" t="str">
        <f>IFERROR(INDEX('IG 콘텐츠 data'!$A$1:$AJ$25,MATCH('IG 신규발행'!$A17,'IG 콘텐츠 data'!$S:$S,0),MATCH(D$3,'IG 콘텐츠 data'!$A$1:$Q$1,0)),"")</f>
        <v/>
      </c>
      <c r="E17" s="125" t="str">
        <f>IFERROR(INDEX('IG 콘텐츠 data'!$A$1:$AJ$25,MATCH('IG 신규발행'!$A17,'IG 콘텐츠 data'!$S:$S,0),MATCH(E$3,'IG 콘텐츠 data'!$A$1:$Q$1,0)),"")</f>
        <v/>
      </c>
      <c r="F17" s="125" t="str">
        <f>IFERROR(INDEX('IG 콘텐츠 data'!$A$1:$AJ$25,MATCH('IG 신규발행'!$A17,'IG 콘텐츠 data'!$S:$S,0),MATCH(F$3,'IG 콘텐츠 data'!$A$1:$Q$1,0)),"")</f>
        <v/>
      </c>
      <c r="G17" s="125" t="str">
        <f>IFERROR(INDEX('IG 콘텐츠 data'!$A$1:$AJ$25,MATCH('IG 신규발행'!$A17,'IG 콘텐츠 data'!$S:$S,0),MATCH(G$3,'IG 콘텐츠 data'!$A$1:$Q$1,0)),"")</f>
        <v/>
      </c>
      <c r="H17" s="125" t="str">
        <f>IFERROR(INDEX('IG 콘텐츠 data'!$A$1:$AJ$25,MATCH('IG 신규발행'!$A17,'IG 콘텐츠 data'!$S:$S,0),MATCH(H$3,'IG 콘텐츠 data'!$A$1:$Q$1,0)),"")</f>
        <v/>
      </c>
      <c r="I17" s="125" t="str">
        <f>IFERROR(INDEX('IG 콘텐츠 data'!$A$1:$AJ$25,MATCH('IG 신규발행'!$A17,'IG 콘텐츠 data'!$S:$S,0),MATCH(I$3,'IG 콘텐츠 data'!$A$1:$Q$1,0)),"")</f>
        <v/>
      </c>
      <c r="J17" s="125" t="str">
        <f>IFERROR(INDEX('IG 콘텐츠 data'!$A$1:$AJ$25,MATCH('IG 신규발행'!$A17,'IG 콘텐츠 data'!$S:$S,0),MATCH(J$3,'IG 콘텐츠 data'!$A$1:$Q$1,0)),"")</f>
        <v/>
      </c>
      <c r="K17" s="125" t="str">
        <f>IFERROR(INDEX('IG 콘텐츠 data'!$A$1:$AJ$25,MATCH('IG 신규발행'!$A17,'IG 콘텐츠 data'!$S:$S,0),MATCH(K$3,'IG 콘텐츠 data'!$A$1:$Q$1,0)),"")</f>
        <v/>
      </c>
      <c r="L17" s="125" t="str">
        <f>IFERROR(INDEX('IG 콘텐츠 data'!$A$1:$AJ$25,MATCH('IG 신규발행'!$A17,'IG 콘텐츠 data'!$S:$S,0),MATCH(L$3,'IG 콘텐츠 data'!$A$1:$Q$1,0)),"")</f>
        <v/>
      </c>
      <c r="M17" s="125" t="str">
        <f t="shared" si="3"/>
        <v/>
      </c>
      <c r="N17" s="126" t="str">
        <f t="shared" si="0"/>
        <v/>
      </c>
      <c r="P17" s="48" t="str">
        <f t="shared" si="1"/>
        <v/>
      </c>
      <c r="Q17" s="48" t="str">
        <f t="shared" si="2"/>
        <v/>
      </c>
      <c r="S17" t="str">
        <f t="shared" si="4"/>
        <v/>
      </c>
      <c r="U17" s="117"/>
    </row>
    <row r="18" spans="1:21" ht="17.45" customHeight="1">
      <c r="A18">
        <v>15</v>
      </c>
      <c r="B18" s="123" t="str">
        <f>IFERROR(INDEX('IG 콘텐츠 data'!R:R,MATCH('IG 신규발행'!A18,'IG 콘텐츠 data'!S:S,0)),"")</f>
        <v/>
      </c>
      <c r="C18" s="125" t="str">
        <f>IFERROR(IF(INDEX('IG 콘텐츠 data'!$A$1:$AJ$25,MATCH('IG 신규발행'!$A18,'IG 콘텐츠 data'!$S:$S,0),MATCH(C$3,'IG 콘텐츠 data'!$A$1:$O$1,0))="IG 이미지","이미지",IF(INDEX('IG 콘텐츠 data'!$A$1:$AJ$25,MATCH('IG 신규발행'!$A18,'IG 콘텐츠 data'!$S:$S,0),MATCH(C$3,'IG 콘텐츠 data'!$A$1:$O$1,0))="IG 슬라이드","슬라이드",IF(INDEX('IG 콘텐츠 data'!$A$1:$AJ$25,MATCH('IG 신규발행'!$A18,'IG 콘텐츠 data'!$S:$S,0),MATCH(C$3,'IG 콘텐츠 data'!$A$1:$O$1,0))="Instagram 릴스","영상"))),"")</f>
        <v/>
      </c>
      <c r="D18" s="125" t="str">
        <f>IFERROR(INDEX('IG 콘텐츠 data'!$A$1:$AJ$25,MATCH('IG 신규발행'!$A18,'IG 콘텐츠 data'!$S:$S,0),MATCH(D$3,'IG 콘텐츠 data'!$A$1:$Q$1,0)),"")</f>
        <v/>
      </c>
      <c r="E18" s="125" t="str">
        <f>IFERROR(INDEX('IG 콘텐츠 data'!$A$1:$AJ$25,MATCH('IG 신규발행'!$A18,'IG 콘텐츠 data'!$S:$S,0),MATCH(E$3,'IG 콘텐츠 data'!$A$1:$Q$1,0)),"")</f>
        <v/>
      </c>
      <c r="F18" s="125" t="str">
        <f>IFERROR(INDEX('IG 콘텐츠 data'!$A$1:$AJ$25,MATCH('IG 신규발행'!$A18,'IG 콘텐츠 data'!$S:$S,0),MATCH(F$3,'IG 콘텐츠 data'!$A$1:$Q$1,0)),"")</f>
        <v/>
      </c>
      <c r="G18" s="125" t="str">
        <f>IFERROR(INDEX('IG 콘텐츠 data'!$A$1:$AJ$25,MATCH('IG 신규발행'!$A18,'IG 콘텐츠 data'!$S:$S,0),MATCH(G$3,'IG 콘텐츠 data'!$A$1:$Q$1,0)),"")</f>
        <v/>
      </c>
      <c r="H18" s="125" t="str">
        <f>IFERROR(INDEX('IG 콘텐츠 data'!$A$1:$AJ$25,MATCH('IG 신규발행'!$A18,'IG 콘텐츠 data'!$S:$S,0),MATCH(H$3,'IG 콘텐츠 data'!$A$1:$Q$1,0)),"")</f>
        <v/>
      </c>
      <c r="I18" s="125" t="str">
        <f>IFERROR(INDEX('IG 콘텐츠 data'!$A$1:$AJ$25,MATCH('IG 신규발행'!$A18,'IG 콘텐츠 data'!$S:$S,0),MATCH(I$3,'IG 콘텐츠 data'!$A$1:$Q$1,0)),"")</f>
        <v/>
      </c>
      <c r="J18" s="125" t="str">
        <f>IFERROR(INDEX('IG 콘텐츠 data'!$A$1:$AJ$25,MATCH('IG 신규발행'!$A18,'IG 콘텐츠 data'!$S:$S,0),MATCH(J$3,'IG 콘텐츠 data'!$A$1:$Q$1,0)),"")</f>
        <v/>
      </c>
      <c r="K18" s="125" t="str">
        <f>IFERROR(INDEX('IG 콘텐츠 data'!$A$1:$AJ$25,MATCH('IG 신규발행'!$A18,'IG 콘텐츠 data'!$S:$S,0),MATCH(K$3,'IG 콘텐츠 data'!$A$1:$Q$1,0)),"")</f>
        <v/>
      </c>
      <c r="L18" s="125" t="str">
        <f>IFERROR(INDEX('IG 콘텐츠 data'!$A$1:$AJ$25,MATCH('IG 신규발행'!$A18,'IG 콘텐츠 data'!$S:$S,0),MATCH(L$3,'IG 콘텐츠 data'!$A$1:$Q$1,0)),"")</f>
        <v/>
      </c>
      <c r="M18" s="125" t="str">
        <f t="shared" si="3"/>
        <v/>
      </c>
      <c r="N18" s="126" t="str">
        <f t="shared" si="0"/>
        <v/>
      </c>
      <c r="P18" s="48" t="str">
        <f t="shared" si="1"/>
        <v/>
      </c>
      <c r="Q18" s="48" t="str">
        <f t="shared" si="2"/>
        <v/>
      </c>
      <c r="S18" t="str">
        <f t="shared" si="4"/>
        <v/>
      </c>
      <c r="U18" s="117"/>
    </row>
    <row r="19" spans="1:21" ht="17.45" customHeight="1">
      <c r="A19">
        <v>16</v>
      </c>
      <c r="B19" s="123" t="str">
        <f>IFERROR(INDEX('IG 콘텐츠 data'!R:R,MATCH('IG 신규발행'!A19,'IG 콘텐츠 data'!S:S,0)),"")</f>
        <v/>
      </c>
      <c r="C19" s="125" t="str">
        <f>IFERROR(IF(INDEX('IG 콘텐츠 data'!$A$1:$AJ$25,MATCH('IG 신규발행'!$A19,'IG 콘텐츠 data'!$S:$S,0),MATCH(C$3,'IG 콘텐츠 data'!$A$1:$O$1,0))="IG 이미지","이미지",IF(INDEX('IG 콘텐츠 data'!$A$1:$AJ$25,MATCH('IG 신규발행'!$A19,'IG 콘텐츠 data'!$S:$S,0),MATCH(C$3,'IG 콘텐츠 data'!$A$1:$O$1,0))="IG 슬라이드","슬라이드",IF(INDEX('IG 콘텐츠 data'!$A$1:$AJ$25,MATCH('IG 신규발행'!$A19,'IG 콘텐츠 data'!$S:$S,0),MATCH(C$3,'IG 콘텐츠 data'!$A$1:$O$1,0))="Instagram 릴스","영상"))),"")</f>
        <v/>
      </c>
      <c r="D19" s="125" t="str">
        <f>IFERROR(INDEX('IG 콘텐츠 data'!$A$1:$AJ$25,MATCH('IG 신규발행'!$A19,'IG 콘텐츠 data'!$S:$S,0),MATCH(D$3,'IG 콘텐츠 data'!$A$1:$Q$1,0)),"")</f>
        <v/>
      </c>
      <c r="E19" s="125" t="str">
        <f>IFERROR(INDEX('IG 콘텐츠 data'!$A$1:$AJ$25,MATCH('IG 신규발행'!$A19,'IG 콘텐츠 data'!$S:$S,0),MATCH(E$3,'IG 콘텐츠 data'!$A$1:$Q$1,0)),"")</f>
        <v/>
      </c>
      <c r="F19" s="125" t="str">
        <f>IFERROR(INDEX('IG 콘텐츠 data'!$A$1:$AJ$25,MATCH('IG 신규발행'!$A19,'IG 콘텐츠 data'!$S:$S,0),MATCH(F$3,'IG 콘텐츠 data'!$A$1:$Q$1,0)),"")</f>
        <v/>
      </c>
      <c r="G19" s="125" t="str">
        <f>IFERROR(INDEX('IG 콘텐츠 data'!$A$1:$AJ$25,MATCH('IG 신규발행'!$A19,'IG 콘텐츠 data'!$S:$S,0),MATCH(G$3,'IG 콘텐츠 data'!$A$1:$Q$1,0)),"")</f>
        <v/>
      </c>
      <c r="H19" s="125" t="str">
        <f>IFERROR(INDEX('IG 콘텐츠 data'!$A$1:$AJ$25,MATCH('IG 신규발행'!$A19,'IG 콘텐츠 data'!$S:$S,0),MATCH(H$3,'IG 콘텐츠 data'!$A$1:$Q$1,0)),"")</f>
        <v/>
      </c>
      <c r="I19" s="125" t="str">
        <f>IFERROR(INDEX('IG 콘텐츠 data'!$A$1:$AJ$25,MATCH('IG 신규발행'!$A19,'IG 콘텐츠 data'!$S:$S,0),MATCH(I$3,'IG 콘텐츠 data'!$A$1:$Q$1,0)),"")</f>
        <v/>
      </c>
      <c r="J19" s="125" t="str">
        <f>IFERROR(INDEX('IG 콘텐츠 data'!$A$1:$AJ$25,MATCH('IG 신규발행'!$A19,'IG 콘텐츠 data'!$S:$S,0),MATCH(J$3,'IG 콘텐츠 data'!$A$1:$Q$1,0)),"")</f>
        <v/>
      </c>
      <c r="K19" s="125" t="str">
        <f>IFERROR(INDEX('IG 콘텐츠 data'!$A$1:$AJ$25,MATCH('IG 신규발행'!$A19,'IG 콘텐츠 data'!$S:$S,0),MATCH(K$3,'IG 콘텐츠 data'!$A$1:$Q$1,0)),"")</f>
        <v/>
      </c>
      <c r="L19" s="125" t="str">
        <f>IFERROR(INDEX('IG 콘텐츠 data'!$A$1:$AJ$25,MATCH('IG 신규발행'!$A19,'IG 콘텐츠 data'!$S:$S,0),MATCH(L$3,'IG 콘텐츠 data'!$A$1:$Q$1,0)),"")</f>
        <v/>
      </c>
      <c r="M19" s="125" t="str">
        <f t="shared" si="3"/>
        <v/>
      </c>
      <c r="N19" s="126" t="str">
        <f t="shared" si="0"/>
        <v/>
      </c>
      <c r="P19" s="48" t="str">
        <f t="shared" si="1"/>
        <v/>
      </c>
      <c r="Q19" s="48" t="str">
        <f t="shared" si="2"/>
        <v/>
      </c>
      <c r="S19" t="str">
        <f t="shared" si="4"/>
        <v/>
      </c>
      <c r="U19" s="117"/>
    </row>
    <row r="20" spans="1:21" ht="17.45" customHeight="1">
      <c r="A20">
        <v>17</v>
      </c>
      <c r="B20" s="123" t="str">
        <f>IFERROR(INDEX('IG 콘텐츠 data'!R:R,MATCH('IG 신규발행'!A20,'IG 콘텐츠 data'!S:S,0)),"")</f>
        <v/>
      </c>
      <c r="C20" s="125" t="str">
        <f>IFERROR(IF(INDEX('IG 콘텐츠 data'!$A$1:$AJ$25,MATCH('IG 신규발행'!$A20,'IG 콘텐츠 data'!$S:$S,0),MATCH(C$3,'IG 콘텐츠 data'!$A$1:$O$1,0))="IG 이미지","이미지",IF(INDEX('IG 콘텐츠 data'!$A$1:$AJ$25,MATCH('IG 신규발행'!$A20,'IG 콘텐츠 data'!$S:$S,0),MATCH(C$3,'IG 콘텐츠 data'!$A$1:$O$1,0))="IG 슬라이드","슬라이드",IF(INDEX('IG 콘텐츠 data'!$A$1:$AJ$25,MATCH('IG 신규발행'!$A20,'IG 콘텐츠 data'!$S:$S,0),MATCH(C$3,'IG 콘텐츠 data'!$A$1:$O$1,0))="Instagram 릴스","영상"))),"")</f>
        <v/>
      </c>
      <c r="D20" s="125" t="str">
        <f>IFERROR(INDEX('IG 콘텐츠 data'!$A$1:$AJ$25,MATCH('IG 신규발행'!$A20,'IG 콘텐츠 data'!$S:$S,0),MATCH(D$3,'IG 콘텐츠 data'!$A$1:$Q$1,0)),"")</f>
        <v/>
      </c>
      <c r="E20" s="125" t="str">
        <f>IFERROR(INDEX('IG 콘텐츠 data'!$A$1:$AJ$25,MATCH('IG 신규발행'!$A20,'IG 콘텐츠 data'!$S:$S,0),MATCH(E$3,'IG 콘텐츠 data'!$A$1:$Q$1,0)),"")</f>
        <v/>
      </c>
      <c r="F20" s="125" t="str">
        <f>IFERROR(INDEX('IG 콘텐츠 data'!$A$1:$AJ$25,MATCH('IG 신규발행'!$A20,'IG 콘텐츠 data'!$S:$S,0),MATCH(F$3,'IG 콘텐츠 data'!$A$1:$Q$1,0)),"")</f>
        <v/>
      </c>
      <c r="G20" s="125" t="str">
        <f>IFERROR(INDEX('IG 콘텐츠 data'!$A$1:$AJ$25,MATCH('IG 신규발행'!$A20,'IG 콘텐츠 data'!$S:$S,0),MATCH(G$3,'IG 콘텐츠 data'!$A$1:$Q$1,0)),"")</f>
        <v/>
      </c>
      <c r="H20" s="125" t="str">
        <f>IFERROR(INDEX('IG 콘텐츠 data'!$A$1:$AJ$25,MATCH('IG 신규발행'!$A20,'IG 콘텐츠 data'!$S:$S,0),MATCH(H$3,'IG 콘텐츠 data'!$A$1:$Q$1,0)),"")</f>
        <v/>
      </c>
      <c r="I20" s="125" t="str">
        <f>IFERROR(INDEX('IG 콘텐츠 data'!$A$1:$AJ$25,MATCH('IG 신규발행'!$A20,'IG 콘텐츠 data'!$S:$S,0),MATCH(I$3,'IG 콘텐츠 data'!$A$1:$Q$1,0)),"")</f>
        <v/>
      </c>
      <c r="J20" s="125" t="str">
        <f>IFERROR(INDEX('IG 콘텐츠 data'!$A$1:$AJ$25,MATCH('IG 신규발행'!$A20,'IG 콘텐츠 data'!$S:$S,0),MATCH(J$3,'IG 콘텐츠 data'!$A$1:$Q$1,0)),"")</f>
        <v/>
      </c>
      <c r="K20" s="125" t="str">
        <f>IFERROR(INDEX('IG 콘텐츠 data'!$A$1:$AJ$25,MATCH('IG 신규발행'!$A20,'IG 콘텐츠 data'!$S:$S,0),MATCH(K$3,'IG 콘텐츠 data'!$A$1:$Q$1,0)),"")</f>
        <v/>
      </c>
      <c r="L20" s="125" t="str">
        <f>IFERROR(INDEX('IG 콘텐츠 data'!$A$1:$AJ$25,MATCH('IG 신규발행'!$A20,'IG 콘텐츠 data'!$S:$S,0),MATCH(L$3,'IG 콘텐츠 data'!$A$1:$Q$1,0)),"")</f>
        <v/>
      </c>
      <c r="M20" s="125" t="str">
        <f t="shared" si="3"/>
        <v/>
      </c>
      <c r="N20" s="126" t="str">
        <f t="shared" si="0"/>
        <v/>
      </c>
      <c r="P20" s="48" t="str">
        <f t="shared" si="1"/>
        <v/>
      </c>
      <c r="Q20" s="48" t="str">
        <f t="shared" si="2"/>
        <v/>
      </c>
      <c r="S20" t="str">
        <f t="shared" si="4"/>
        <v/>
      </c>
      <c r="U20" s="117"/>
    </row>
    <row r="21" spans="1:21" ht="17.45" customHeight="1">
      <c r="A21">
        <v>18</v>
      </c>
      <c r="B21" s="123" t="str">
        <f>IFERROR(INDEX('IG 콘텐츠 data'!R:R,MATCH('IG 신규발행'!A21,'IG 콘텐츠 data'!S:S,0)),"")</f>
        <v/>
      </c>
      <c r="C21" s="125" t="str">
        <f>IFERROR(IF(INDEX('IG 콘텐츠 data'!$A$1:$AJ$25,MATCH('IG 신규발행'!$A21,'IG 콘텐츠 data'!$S:$S,0),MATCH(C$3,'IG 콘텐츠 data'!$A$1:$O$1,0))="IG 이미지","이미지",IF(INDEX('IG 콘텐츠 data'!$A$1:$AJ$25,MATCH('IG 신규발행'!$A21,'IG 콘텐츠 data'!$S:$S,0),MATCH(C$3,'IG 콘텐츠 data'!$A$1:$O$1,0))="IG 슬라이드","슬라이드",IF(INDEX('IG 콘텐츠 data'!$A$1:$AJ$25,MATCH('IG 신규발행'!$A21,'IG 콘텐츠 data'!$S:$S,0),MATCH(C$3,'IG 콘텐츠 data'!$A$1:$O$1,0))="Instagram 릴스","영상"))),"")</f>
        <v/>
      </c>
      <c r="D21" s="125" t="str">
        <f>IFERROR(INDEX('IG 콘텐츠 data'!$A$1:$AJ$25,MATCH('IG 신규발행'!$A21,'IG 콘텐츠 data'!$S:$S,0),MATCH(D$3,'IG 콘텐츠 data'!$A$1:$Q$1,0)),"")</f>
        <v/>
      </c>
      <c r="E21" s="125" t="str">
        <f>IFERROR(INDEX('IG 콘텐츠 data'!$A$1:$AJ$25,MATCH('IG 신규발행'!$A21,'IG 콘텐츠 data'!$S:$S,0),MATCH(E$3,'IG 콘텐츠 data'!$A$1:$Q$1,0)),"")</f>
        <v/>
      </c>
      <c r="F21" s="125" t="str">
        <f>IFERROR(INDEX('IG 콘텐츠 data'!$A$1:$AJ$25,MATCH('IG 신규발행'!$A21,'IG 콘텐츠 data'!$S:$S,0),MATCH(F$3,'IG 콘텐츠 data'!$A$1:$Q$1,0)),"")</f>
        <v/>
      </c>
      <c r="G21" s="125" t="str">
        <f>IFERROR(INDEX('IG 콘텐츠 data'!$A$1:$AJ$25,MATCH('IG 신규발행'!$A21,'IG 콘텐츠 data'!$S:$S,0),MATCH(G$3,'IG 콘텐츠 data'!$A$1:$Q$1,0)),"")</f>
        <v/>
      </c>
      <c r="H21" s="125" t="str">
        <f>IFERROR(INDEX('IG 콘텐츠 data'!$A$1:$AJ$25,MATCH('IG 신규발행'!$A21,'IG 콘텐츠 data'!$S:$S,0),MATCH(H$3,'IG 콘텐츠 data'!$A$1:$Q$1,0)),"")</f>
        <v/>
      </c>
      <c r="I21" s="125" t="str">
        <f>IFERROR(INDEX('IG 콘텐츠 data'!$A$1:$AJ$25,MATCH('IG 신규발행'!$A21,'IG 콘텐츠 data'!$S:$S,0),MATCH(I$3,'IG 콘텐츠 data'!$A$1:$Q$1,0)),"")</f>
        <v/>
      </c>
      <c r="J21" s="125" t="str">
        <f>IFERROR(INDEX('IG 콘텐츠 data'!$A$1:$AJ$25,MATCH('IG 신규발행'!$A21,'IG 콘텐츠 data'!$S:$S,0),MATCH(J$3,'IG 콘텐츠 data'!$A$1:$Q$1,0)),"")</f>
        <v/>
      </c>
      <c r="K21" s="125" t="str">
        <f>IFERROR(INDEX('IG 콘텐츠 data'!$A$1:$AJ$25,MATCH('IG 신규발행'!$A21,'IG 콘텐츠 data'!$S:$S,0),MATCH(K$3,'IG 콘텐츠 data'!$A$1:$Q$1,0)),"")</f>
        <v/>
      </c>
      <c r="L21" s="125" t="str">
        <f>IFERROR(INDEX('IG 콘텐츠 data'!$A$1:$AJ$25,MATCH('IG 신규발행'!$A21,'IG 콘텐츠 data'!$S:$S,0),MATCH(L$3,'IG 콘텐츠 data'!$A$1:$Q$1,0)),"")</f>
        <v/>
      </c>
      <c r="M21" s="125" t="str">
        <f t="shared" si="3"/>
        <v/>
      </c>
      <c r="N21" s="126" t="str">
        <f t="shared" si="0"/>
        <v/>
      </c>
      <c r="P21" s="48" t="str">
        <f t="shared" si="1"/>
        <v/>
      </c>
      <c r="Q21" s="48" t="str">
        <f t="shared" si="2"/>
        <v/>
      </c>
      <c r="S21" t="str">
        <f t="shared" si="4"/>
        <v/>
      </c>
      <c r="U21" s="117"/>
    </row>
    <row r="22" spans="1:21" ht="17.45" customHeight="1">
      <c r="A22">
        <v>19</v>
      </c>
      <c r="B22" s="123" t="str">
        <f>IFERROR(INDEX('IG 콘텐츠 data'!R:R,MATCH('IG 신규발행'!A22,'IG 콘텐츠 data'!S:S,0)),"")</f>
        <v/>
      </c>
      <c r="C22" s="125" t="str">
        <f>IFERROR(IF(INDEX('IG 콘텐츠 data'!$A$1:$AJ$25,MATCH('IG 신규발행'!$A22,'IG 콘텐츠 data'!$S:$S,0),MATCH(C$3,'IG 콘텐츠 data'!$A$1:$O$1,0))="IG 이미지","이미지",IF(INDEX('IG 콘텐츠 data'!$A$1:$AJ$25,MATCH('IG 신규발행'!$A22,'IG 콘텐츠 data'!$S:$S,0),MATCH(C$3,'IG 콘텐츠 data'!$A$1:$O$1,0))="IG 슬라이드","슬라이드",IF(INDEX('IG 콘텐츠 data'!$A$1:$AJ$25,MATCH('IG 신규발행'!$A22,'IG 콘텐츠 data'!$S:$S,0),MATCH(C$3,'IG 콘텐츠 data'!$A$1:$O$1,0))="Instagram 릴스","영상"))),"")</f>
        <v/>
      </c>
      <c r="D22" s="125" t="str">
        <f>IFERROR(INDEX('IG 콘텐츠 data'!$A$1:$AJ$25,MATCH('IG 신규발행'!$A22,'IG 콘텐츠 data'!$S:$S,0),MATCH(D$3,'IG 콘텐츠 data'!$A$1:$Q$1,0)),"")</f>
        <v/>
      </c>
      <c r="E22" s="125" t="str">
        <f>IFERROR(INDEX('IG 콘텐츠 data'!$A$1:$AJ$25,MATCH('IG 신규발행'!$A22,'IG 콘텐츠 data'!$S:$S,0),MATCH(E$3,'IG 콘텐츠 data'!$A$1:$Q$1,0)),"")</f>
        <v/>
      </c>
      <c r="F22" s="125" t="str">
        <f>IFERROR(INDEX('IG 콘텐츠 data'!$A$1:$AJ$25,MATCH('IG 신규발행'!$A22,'IG 콘텐츠 data'!$S:$S,0),MATCH(F$3,'IG 콘텐츠 data'!$A$1:$Q$1,0)),"")</f>
        <v/>
      </c>
      <c r="G22" s="125" t="str">
        <f>IFERROR(INDEX('IG 콘텐츠 data'!$A$1:$AJ$25,MATCH('IG 신규발행'!$A22,'IG 콘텐츠 data'!$S:$S,0),MATCH(G$3,'IG 콘텐츠 data'!$A$1:$Q$1,0)),"")</f>
        <v/>
      </c>
      <c r="H22" s="125" t="str">
        <f>IFERROR(INDEX('IG 콘텐츠 data'!$A$1:$AJ$25,MATCH('IG 신규발행'!$A22,'IG 콘텐츠 data'!$S:$S,0),MATCH(H$3,'IG 콘텐츠 data'!$A$1:$Q$1,0)),"")</f>
        <v/>
      </c>
      <c r="I22" s="125" t="str">
        <f>IFERROR(INDEX('IG 콘텐츠 data'!$A$1:$AJ$25,MATCH('IG 신규발행'!$A22,'IG 콘텐츠 data'!$S:$S,0),MATCH(I$3,'IG 콘텐츠 data'!$A$1:$Q$1,0)),"")</f>
        <v/>
      </c>
      <c r="J22" s="125" t="str">
        <f>IFERROR(INDEX('IG 콘텐츠 data'!$A$1:$AJ$25,MATCH('IG 신규발행'!$A22,'IG 콘텐츠 data'!$S:$S,0),MATCH(J$3,'IG 콘텐츠 data'!$A$1:$Q$1,0)),"")</f>
        <v/>
      </c>
      <c r="K22" s="125" t="str">
        <f>IFERROR(INDEX('IG 콘텐츠 data'!$A$1:$AJ$25,MATCH('IG 신규발행'!$A22,'IG 콘텐츠 data'!$S:$S,0),MATCH(K$3,'IG 콘텐츠 data'!$A$1:$Q$1,0)),"")</f>
        <v/>
      </c>
      <c r="L22" s="125" t="str">
        <f>IFERROR(INDEX('IG 콘텐츠 data'!$A$1:$AJ$25,MATCH('IG 신규발행'!$A22,'IG 콘텐츠 data'!$S:$S,0),MATCH(L$3,'IG 콘텐츠 data'!$A$1:$Q$1,0)),"")</f>
        <v/>
      </c>
      <c r="M22" s="125" t="str">
        <f t="shared" si="3"/>
        <v/>
      </c>
      <c r="N22" s="126" t="str">
        <f t="shared" si="0"/>
        <v/>
      </c>
      <c r="P22" s="48" t="str">
        <f t="shared" si="1"/>
        <v/>
      </c>
      <c r="Q22" s="48" t="str">
        <f t="shared" si="2"/>
        <v/>
      </c>
      <c r="S22" t="str">
        <f t="shared" si="4"/>
        <v/>
      </c>
      <c r="U22" s="117"/>
    </row>
    <row r="23" spans="1:21" ht="17.45" customHeight="1">
      <c r="A23">
        <v>20</v>
      </c>
      <c r="B23" s="123" t="str">
        <f>IFERROR(INDEX('IG 콘텐츠 data'!R:R,MATCH('IG 신규발행'!A23,'IG 콘텐츠 data'!S:S,0)),"")</f>
        <v/>
      </c>
      <c r="C23" s="125" t="str">
        <f>IFERROR(IF(INDEX('IG 콘텐츠 data'!$A$1:$AJ$25,MATCH('IG 신규발행'!$A23,'IG 콘텐츠 data'!$S:$S,0),MATCH(C$3,'IG 콘텐츠 data'!$A$1:$O$1,0))="IG 이미지","이미지",IF(INDEX('IG 콘텐츠 data'!$A$1:$AJ$25,MATCH('IG 신규발행'!$A23,'IG 콘텐츠 data'!$S:$S,0),MATCH(C$3,'IG 콘텐츠 data'!$A$1:$O$1,0))="IG 슬라이드","슬라이드",IF(INDEX('IG 콘텐츠 data'!$A$1:$AJ$25,MATCH('IG 신규발행'!$A23,'IG 콘텐츠 data'!$S:$S,0),MATCH(C$3,'IG 콘텐츠 data'!$A$1:$O$1,0))="Instagram 릴스","영상"))),"")</f>
        <v/>
      </c>
      <c r="D23" s="125" t="str">
        <f>IFERROR(INDEX('IG 콘텐츠 data'!$A$1:$AJ$25,MATCH('IG 신규발행'!$A23,'IG 콘텐츠 data'!$S:$S,0),MATCH(D$3,'IG 콘텐츠 data'!$A$1:$Q$1,0)),"")</f>
        <v/>
      </c>
      <c r="E23" s="125" t="str">
        <f>IFERROR(INDEX('IG 콘텐츠 data'!$A$1:$AJ$25,MATCH('IG 신규발행'!$A23,'IG 콘텐츠 data'!$S:$S,0),MATCH(E$3,'IG 콘텐츠 data'!$A$1:$Q$1,0)),"")</f>
        <v/>
      </c>
      <c r="F23" s="125" t="str">
        <f>IFERROR(INDEX('IG 콘텐츠 data'!$A$1:$AJ$25,MATCH('IG 신규발행'!$A23,'IG 콘텐츠 data'!$S:$S,0),MATCH(F$3,'IG 콘텐츠 data'!$A$1:$Q$1,0)),"")</f>
        <v/>
      </c>
      <c r="G23" s="125" t="str">
        <f>IFERROR(INDEX('IG 콘텐츠 data'!$A$1:$AJ$25,MATCH('IG 신규발행'!$A23,'IG 콘텐츠 data'!$S:$S,0),MATCH(G$3,'IG 콘텐츠 data'!$A$1:$Q$1,0)),"")</f>
        <v/>
      </c>
      <c r="H23" s="125" t="str">
        <f>IFERROR(INDEX('IG 콘텐츠 data'!$A$1:$AJ$25,MATCH('IG 신규발행'!$A23,'IG 콘텐츠 data'!$S:$S,0),MATCH(H$3,'IG 콘텐츠 data'!$A$1:$Q$1,0)),"")</f>
        <v/>
      </c>
      <c r="I23" s="125" t="str">
        <f>IFERROR(INDEX('IG 콘텐츠 data'!$A$1:$AJ$25,MATCH('IG 신규발행'!$A23,'IG 콘텐츠 data'!$S:$S,0),MATCH(I$3,'IG 콘텐츠 data'!$A$1:$Q$1,0)),"")</f>
        <v/>
      </c>
      <c r="J23" s="125" t="str">
        <f>IFERROR(INDEX('IG 콘텐츠 data'!$A$1:$AJ$25,MATCH('IG 신규발행'!$A23,'IG 콘텐츠 data'!$S:$S,0),MATCH(J$3,'IG 콘텐츠 data'!$A$1:$Q$1,0)),"")</f>
        <v/>
      </c>
      <c r="K23" s="125" t="str">
        <f>IFERROR(INDEX('IG 콘텐츠 data'!$A$1:$AJ$25,MATCH('IG 신규발행'!$A23,'IG 콘텐츠 data'!$S:$S,0),MATCH(K$3,'IG 콘텐츠 data'!$A$1:$Q$1,0)),"")</f>
        <v/>
      </c>
      <c r="L23" s="125" t="str">
        <f>IFERROR(INDEX('IG 콘텐츠 data'!$A$1:$AJ$25,MATCH('IG 신규발행'!$A23,'IG 콘텐츠 data'!$S:$S,0),MATCH(L$3,'IG 콘텐츠 data'!$A$1:$Q$1,0)),"")</f>
        <v/>
      </c>
      <c r="M23" s="125" t="str">
        <f t="shared" si="3"/>
        <v/>
      </c>
      <c r="N23" s="126" t="str">
        <f t="shared" si="0"/>
        <v/>
      </c>
      <c r="P23" s="48" t="str">
        <f t="shared" si="1"/>
        <v/>
      </c>
      <c r="Q23" s="48" t="str">
        <f t="shared" si="2"/>
        <v/>
      </c>
      <c r="S23" t="str">
        <f t="shared" si="4"/>
        <v/>
      </c>
      <c r="U23" s="117"/>
    </row>
    <row r="24" spans="1:21" ht="17.45" customHeight="1">
      <c r="A24">
        <v>21</v>
      </c>
      <c r="B24" s="123" t="str">
        <f>IFERROR(INDEX('IG 콘텐츠 data'!R:R,MATCH('IG 신규발행'!A24,'IG 콘텐츠 data'!S:S,0)),"")</f>
        <v/>
      </c>
      <c r="C24" s="125" t="str">
        <f>IFERROR(IF(INDEX('IG 콘텐츠 data'!$A$1:$AJ$25,MATCH('IG 신규발행'!$A24,'IG 콘텐츠 data'!$S:$S,0),MATCH(C$3,'IG 콘텐츠 data'!$A$1:$O$1,0))="IG 이미지","이미지",IF(INDEX('IG 콘텐츠 data'!$A$1:$AJ$25,MATCH('IG 신규발행'!$A24,'IG 콘텐츠 data'!$S:$S,0),MATCH(C$3,'IG 콘텐츠 data'!$A$1:$O$1,0))="IG 슬라이드","슬라이드",IF(INDEX('IG 콘텐츠 data'!$A$1:$AJ$25,MATCH('IG 신규발행'!$A24,'IG 콘텐츠 data'!$S:$S,0),MATCH(C$3,'IG 콘텐츠 data'!$A$1:$O$1,0))="Instagram 릴스","영상"))),"")</f>
        <v/>
      </c>
      <c r="D24" s="125" t="str">
        <f>IFERROR(INDEX('IG 콘텐츠 data'!$A$1:$AJ$25,MATCH('IG 신규발행'!$A24,'IG 콘텐츠 data'!$S:$S,0),MATCH(D$3,'IG 콘텐츠 data'!$A$1:$Q$1,0)),"")</f>
        <v/>
      </c>
      <c r="E24" s="125" t="str">
        <f>IFERROR(INDEX('IG 콘텐츠 data'!$A$1:$AJ$25,MATCH('IG 신규발행'!$A24,'IG 콘텐츠 data'!$S:$S,0),MATCH(E$3,'IG 콘텐츠 data'!$A$1:$Q$1,0)),"")</f>
        <v/>
      </c>
      <c r="F24" s="125" t="str">
        <f>IFERROR(INDEX('IG 콘텐츠 data'!$A$1:$AJ$25,MATCH('IG 신규발행'!$A24,'IG 콘텐츠 data'!$S:$S,0),MATCH(F$3,'IG 콘텐츠 data'!$A$1:$Q$1,0)),"")</f>
        <v/>
      </c>
      <c r="G24" s="125" t="str">
        <f>IFERROR(INDEX('IG 콘텐츠 data'!$A$1:$AJ$25,MATCH('IG 신규발행'!$A24,'IG 콘텐츠 data'!$S:$S,0),MATCH(G$3,'IG 콘텐츠 data'!$A$1:$Q$1,0)),"")</f>
        <v/>
      </c>
      <c r="H24" s="125" t="str">
        <f>IFERROR(INDEX('IG 콘텐츠 data'!$A$1:$AJ$25,MATCH('IG 신규발행'!$A24,'IG 콘텐츠 data'!$S:$S,0),MATCH(H$3,'IG 콘텐츠 data'!$A$1:$Q$1,0)),"")</f>
        <v/>
      </c>
      <c r="I24" s="125" t="str">
        <f>IFERROR(INDEX('IG 콘텐츠 data'!$A$1:$AJ$25,MATCH('IG 신규발행'!$A24,'IG 콘텐츠 data'!$S:$S,0),MATCH(I$3,'IG 콘텐츠 data'!$A$1:$Q$1,0)),"")</f>
        <v/>
      </c>
      <c r="J24" s="125" t="str">
        <f>IFERROR(INDEX('IG 콘텐츠 data'!$A$1:$AJ$25,MATCH('IG 신규발행'!$A24,'IG 콘텐츠 data'!$S:$S,0),MATCH(J$3,'IG 콘텐츠 data'!$A$1:$Q$1,0)),"")</f>
        <v/>
      </c>
      <c r="K24" s="125" t="str">
        <f>IFERROR(INDEX('IG 콘텐츠 data'!$A$1:$AJ$25,MATCH('IG 신규발행'!$A24,'IG 콘텐츠 data'!$S:$S,0),MATCH(K$3,'IG 콘텐츠 data'!$A$1:$Q$1,0)),"")</f>
        <v/>
      </c>
      <c r="L24" s="125" t="str">
        <f>IFERROR(INDEX('IG 콘텐츠 data'!$A$1:$AJ$25,MATCH('IG 신규발행'!$A24,'IG 콘텐츠 data'!$S:$S,0),MATCH(L$3,'IG 콘텐츠 data'!$A$1:$Q$1,0)),"")</f>
        <v/>
      </c>
      <c r="M24" s="125" t="str">
        <f t="shared" si="3"/>
        <v/>
      </c>
      <c r="N24" s="126" t="str">
        <f t="shared" si="0"/>
        <v/>
      </c>
      <c r="P24" s="48" t="str">
        <f t="shared" si="1"/>
        <v/>
      </c>
      <c r="Q24" s="48" t="str">
        <f t="shared" si="2"/>
        <v/>
      </c>
      <c r="S24" t="str">
        <f t="shared" si="4"/>
        <v/>
      </c>
      <c r="U24" s="117"/>
    </row>
    <row r="25" spans="1:21" ht="17.45" customHeight="1">
      <c r="A25">
        <v>22</v>
      </c>
      <c r="B25" s="123" t="str">
        <f>IFERROR(INDEX('IG 콘텐츠 data'!R:R,MATCH('IG 신규발행'!A25,'IG 콘텐츠 data'!S:S,0)),"")</f>
        <v/>
      </c>
      <c r="C25" s="125" t="str">
        <f>IFERROR(IF(INDEX('IG 콘텐츠 data'!$A$1:$AJ$25,MATCH('IG 신규발행'!$A25,'IG 콘텐츠 data'!$S:$S,0),MATCH(C$3,'IG 콘텐츠 data'!$A$1:$O$1,0))="IG 이미지","이미지",IF(INDEX('IG 콘텐츠 data'!$A$1:$AJ$25,MATCH('IG 신규발행'!$A25,'IG 콘텐츠 data'!$S:$S,0),MATCH(C$3,'IG 콘텐츠 data'!$A$1:$O$1,0))="IG 슬라이드","슬라이드",IF(INDEX('IG 콘텐츠 data'!$A$1:$AJ$25,MATCH('IG 신규발행'!$A25,'IG 콘텐츠 data'!$S:$S,0),MATCH(C$3,'IG 콘텐츠 data'!$A$1:$O$1,0))="Instagram 릴스","영상"))),"")</f>
        <v/>
      </c>
      <c r="D25" s="125" t="str">
        <f>IFERROR(INDEX('IG 콘텐츠 data'!$A$1:$AJ$25,MATCH('IG 신규발행'!$A25,'IG 콘텐츠 data'!$S:$S,0),MATCH(D$3,'IG 콘텐츠 data'!$A$1:$Q$1,0)),"")</f>
        <v/>
      </c>
      <c r="E25" s="125" t="str">
        <f>IFERROR(INDEX('IG 콘텐츠 data'!$A$1:$AJ$25,MATCH('IG 신규발행'!$A25,'IG 콘텐츠 data'!$S:$S,0),MATCH(E$3,'IG 콘텐츠 data'!$A$1:$Q$1,0)),"")</f>
        <v/>
      </c>
      <c r="F25" s="125" t="str">
        <f>IFERROR(INDEX('IG 콘텐츠 data'!$A$1:$AJ$25,MATCH('IG 신규발행'!$A25,'IG 콘텐츠 data'!$S:$S,0),MATCH(F$3,'IG 콘텐츠 data'!$A$1:$Q$1,0)),"")</f>
        <v/>
      </c>
      <c r="G25" s="125" t="str">
        <f>IFERROR(INDEX('IG 콘텐츠 data'!$A$1:$AJ$25,MATCH('IG 신규발행'!$A25,'IG 콘텐츠 data'!$S:$S,0),MATCH(G$3,'IG 콘텐츠 data'!$A$1:$Q$1,0)),"")</f>
        <v/>
      </c>
      <c r="H25" s="125" t="str">
        <f>IFERROR(INDEX('IG 콘텐츠 data'!$A$1:$AJ$25,MATCH('IG 신규발행'!$A25,'IG 콘텐츠 data'!$S:$S,0),MATCH(H$3,'IG 콘텐츠 data'!$A$1:$Q$1,0)),"")</f>
        <v/>
      </c>
      <c r="I25" s="125" t="str">
        <f>IFERROR(INDEX('IG 콘텐츠 data'!$A$1:$AJ$25,MATCH('IG 신규발행'!$A25,'IG 콘텐츠 data'!$S:$S,0),MATCH(I$3,'IG 콘텐츠 data'!$A$1:$Q$1,0)),"")</f>
        <v/>
      </c>
      <c r="J25" s="125" t="str">
        <f>IFERROR(INDEX('IG 콘텐츠 data'!$A$1:$AJ$25,MATCH('IG 신규발행'!$A25,'IG 콘텐츠 data'!$S:$S,0),MATCH(J$3,'IG 콘텐츠 data'!$A$1:$Q$1,0)),"")</f>
        <v/>
      </c>
      <c r="K25" s="125" t="str">
        <f>IFERROR(INDEX('IG 콘텐츠 data'!$A$1:$AJ$25,MATCH('IG 신규발행'!$A25,'IG 콘텐츠 data'!$S:$S,0),MATCH(K$3,'IG 콘텐츠 data'!$A$1:$Q$1,0)),"")</f>
        <v/>
      </c>
      <c r="L25" s="125" t="str">
        <f>IFERROR(INDEX('IG 콘텐츠 data'!$A$1:$AJ$25,MATCH('IG 신규발행'!$A25,'IG 콘텐츠 data'!$S:$S,0),MATCH(L$3,'IG 콘텐츠 data'!$A$1:$Q$1,0)),"")</f>
        <v/>
      </c>
      <c r="M25" s="125" t="str">
        <f t="shared" si="3"/>
        <v/>
      </c>
      <c r="N25" s="126" t="str">
        <f t="shared" si="0"/>
        <v/>
      </c>
      <c r="P25" s="48" t="str">
        <f t="shared" si="1"/>
        <v/>
      </c>
      <c r="Q25" s="48" t="str">
        <f t="shared" si="2"/>
        <v/>
      </c>
      <c r="S25" t="str">
        <f t="shared" si="4"/>
        <v/>
      </c>
      <c r="U25" s="117"/>
    </row>
    <row r="26" spans="1:21" ht="17.45" customHeight="1">
      <c r="A26">
        <v>23</v>
      </c>
      <c r="B26" s="123" t="str">
        <f>IFERROR(INDEX('IG 콘텐츠 data'!R:R,MATCH('IG 신규발행'!A26,'IG 콘텐츠 data'!S:S,0)),"")</f>
        <v/>
      </c>
      <c r="C26" s="125" t="str">
        <f>IFERROR(IF(INDEX('IG 콘텐츠 data'!$A$1:$AJ$25,MATCH('IG 신규발행'!$A26,'IG 콘텐츠 data'!$S:$S,0),MATCH(C$3,'IG 콘텐츠 data'!$A$1:$O$1,0))="IG 이미지","이미지",IF(INDEX('IG 콘텐츠 data'!$A$1:$AJ$25,MATCH('IG 신규발행'!$A26,'IG 콘텐츠 data'!$S:$S,0),MATCH(C$3,'IG 콘텐츠 data'!$A$1:$O$1,0))="IG 슬라이드","슬라이드",IF(INDEX('IG 콘텐츠 data'!$A$1:$AJ$25,MATCH('IG 신규발행'!$A26,'IG 콘텐츠 data'!$S:$S,0),MATCH(C$3,'IG 콘텐츠 data'!$A$1:$O$1,0))="Instagram 릴스","영상"))),"")</f>
        <v/>
      </c>
      <c r="D26" s="125" t="str">
        <f>IFERROR(INDEX('IG 콘텐츠 data'!$A$1:$AJ$25,MATCH('IG 신규발행'!$A26,'IG 콘텐츠 data'!$S:$S,0),MATCH(D$3,'IG 콘텐츠 data'!$A$1:$Q$1,0)),"")</f>
        <v/>
      </c>
      <c r="E26" s="125" t="str">
        <f>IFERROR(INDEX('IG 콘텐츠 data'!$A$1:$AJ$25,MATCH('IG 신규발행'!$A26,'IG 콘텐츠 data'!$S:$S,0),MATCH(E$3,'IG 콘텐츠 data'!$A$1:$Q$1,0)),"")</f>
        <v/>
      </c>
      <c r="F26" s="125" t="str">
        <f>IFERROR(INDEX('IG 콘텐츠 data'!$A$1:$AJ$25,MATCH('IG 신규발행'!$A26,'IG 콘텐츠 data'!$S:$S,0),MATCH(F$3,'IG 콘텐츠 data'!$A$1:$Q$1,0)),"")</f>
        <v/>
      </c>
      <c r="G26" s="125" t="str">
        <f>IFERROR(INDEX('IG 콘텐츠 data'!$A$1:$AJ$25,MATCH('IG 신규발행'!$A26,'IG 콘텐츠 data'!$S:$S,0),MATCH(G$3,'IG 콘텐츠 data'!$A$1:$Q$1,0)),"")</f>
        <v/>
      </c>
      <c r="H26" s="125" t="str">
        <f>IFERROR(INDEX('IG 콘텐츠 data'!$A$1:$AJ$25,MATCH('IG 신규발행'!$A26,'IG 콘텐츠 data'!$S:$S,0),MATCH(H$3,'IG 콘텐츠 data'!$A$1:$Q$1,0)),"")</f>
        <v/>
      </c>
      <c r="I26" s="125" t="str">
        <f>IFERROR(INDEX('IG 콘텐츠 data'!$A$1:$AJ$25,MATCH('IG 신규발행'!$A26,'IG 콘텐츠 data'!$S:$S,0),MATCH(I$3,'IG 콘텐츠 data'!$A$1:$Q$1,0)),"")</f>
        <v/>
      </c>
      <c r="J26" s="125" t="str">
        <f>IFERROR(INDEX('IG 콘텐츠 data'!$A$1:$AJ$25,MATCH('IG 신규발행'!$A26,'IG 콘텐츠 data'!$S:$S,0),MATCH(J$3,'IG 콘텐츠 data'!$A$1:$Q$1,0)),"")</f>
        <v/>
      </c>
      <c r="K26" s="125" t="str">
        <f>IFERROR(INDEX('IG 콘텐츠 data'!$A$1:$AJ$25,MATCH('IG 신규발행'!$A26,'IG 콘텐츠 data'!$S:$S,0),MATCH(K$3,'IG 콘텐츠 data'!$A$1:$Q$1,0)),"")</f>
        <v/>
      </c>
      <c r="L26" s="125" t="str">
        <f>IFERROR(INDEX('IG 콘텐츠 data'!$A$1:$AJ$25,MATCH('IG 신규발행'!$A26,'IG 콘텐츠 data'!$S:$S,0),MATCH(L$3,'IG 콘텐츠 data'!$A$1:$Q$1,0)),"")</f>
        <v/>
      </c>
      <c r="M26" s="125" t="str">
        <f t="shared" si="3"/>
        <v/>
      </c>
      <c r="N26" s="126" t="str">
        <f t="shared" si="0"/>
        <v/>
      </c>
      <c r="P26" s="48" t="str">
        <f t="shared" si="1"/>
        <v/>
      </c>
      <c r="Q26" s="48" t="str">
        <f t="shared" si="2"/>
        <v/>
      </c>
      <c r="S26" t="str">
        <f t="shared" si="4"/>
        <v/>
      </c>
      <c r="U26" s="117"/>
    </row>
    <row r="27" spans="1:21" ht="17.45" customHeight="1">
      <c r="A27">
        <v>24</v>
      </c>
      <c r="B27" s="123" t="str">
        <f>IFERROR(INDEX('IG 콘텐츠 data'!R:R,MATCH('IG 신규발행'!A27,'IG 콘텐츠 data'!S:S,0)),"")</f>
        <v/>
      </c>
      <c r="C27" s="125" t="str">
        <f>IFERROR(IF(INDEX('IG 콘텐츠 data'!$A$1:$AJ$25,MATCH('IG 신규발행'!$A27,'IG 콘텐츠 data'!$S:$S,0),MATCH(C$3,'IG 콘텐츠 data'!$A$1:$O$1,0))="IG 이미지","이미지",IF(INDEX('IG 콘텐츠 data'!$A$1:$AJ$25,MATCH('IG 신규발행'!$A27,'IG 콘텐츠 data'!$S:$S,0),MATCH(C$3,'IG 콘텐츠 data'!$A$1:$O$1,0))="IG 슬라이드","슬라이드",IF(INDEX('IG 콘텐츠 data'!$A$1:$AJ$25,MATCH('IG 신규발행'!$A27,'IG 콘텐츠 data'!$S:$S,0),MATCH(C$3,'IG 콘텐츠 data'!$A$1:$O$1,0))="Instagram 릴스","영상"))),"")</f>
        <v/>
      </c>
      <c r="D27" s="125" t="str">
        <f>IFERROR(INDEX('IG 콘텐츠 data'!$A$1:$AJ$25,MATCH('IG 신규발행'!$A27,'IG 콘텐츠 data'!$S:$S,0),MATCH(D$3,'IG 콘텐츠 data'!$A$1:$Q$1,0)),"")</f>
        <v/>
      </c>
      <c r="E27" s="125" t="str">
        <f>IFERROR(INDEX('IG 콘텐츠 data'!$A$1:$AJ$25,MATCH('IG 신규발행'!$A27,'IG 콘텐츠 data'!$S:$S,0),MATCH(E$3,'IG 콘텐츠 data'!$A$1:$Q$1,0)),"")</f>
        <v/>
      </c>
      <c r="F27" s="125" t="str">
        <f>IFERROR(INDEX('IG 콘텐츠 data'!$A$1:$AJ$25,MATCH('IG 신규발행'!$A27,'IG 콘텐츠 data'!$S:$S,0),MATCH(F$3,'IG 콘텐츠 data'!$A$1:$Q$1,0)),"")</f>
        <v/>
      </c>
      <c r="G27" s="125" t="str">
        <f>IFERROR(INDEX('IG 콘텐츠 data'!$A$1:$AJ$25,MATCH('IG 신규발행'!$A27,'IG 콘텐츠 data'!$S:$S,0),MATCH(G$3,'IG 콘텐츠 data'!$A$1:$Q$1,0)),"")</f>
        <v/>
      </c>
      <c r="H27" s="125" t="str">
        <f>IFERROR(INDEX('IG 콘텐츠 data'!$A$1:$AJ$25,MATCH('IG 신규발행'!$A27,'IG 콘텐츠 data'!$S:$S,0),MATCH(H$3,'IG 콘텐츠 data'!$A$1:$Q$1,0)),"")</f>
        <v/>
      </c>
      <c r="I27" s="125" t="str">
        <f>IFERROR(INDEX('IG 콘텐츠 data'!$A$1:$AJ$25,MATCH('IG 신규발행'!$A27,'IG 콘텐츠 data'!$S:$S,0),MATCH(I$3,'IG 콘텐츠 data'!$A$1:$Q$1,0)),"")</f>
        <v/>
      </c>
      <c r="J27" s="125" t="str">
        <f>IFERROR(INDEX('IG 콘텐츠 data'!$A$1:$AJ$25,MATCH('IG 신규발행'!$A27,'IG 콘텐츠 data'!$S:$S,0),MATCH(J$3,'IG 콘텐츠 data'!$A$1:$Q$1,0)),"")</f>
        <v/>
      </c>
      <c r="K27" s="125" t="str">
        <f>IFERROR(INDEX('IG 콘텐츠 data'!$A$1:$AJ$25,MATCH('IG 신규발행'!$A27,'IG 콘텐츠 data'!$S:$S,0),MATCH(K$3,'IG 콘텐츠 data'!$A$1:$Q$1,0)),"")</f>
        <v/>
      </c>
      <c r="L27" s="125" t="str">
        <f>IFERROR(INDEX('IG 콘텐츠 data'!$A$1:$AJ$25,MATCH('IG 신규발행'!$A27,'IG 콘텐츠 data'!$S:$S,0),MATCH(L$3,'IG 콘텐츠 data'!$A$1:$Q$1,0)),"")</f>
        <v/>
      </c>
      <c r="M27" s="125" t="str">
        <f t="shared" si="3"/>
        <v/>
      </c>
      <c r="N27" s="126" t="str">
        <f t="shared" si="0"/>
        <v/>
      </c>
      <c r="P27" s="48" t="str">
        <f t="shared" si="1"/>
        <v/>
      </c>
      <c r="Q27" s="48" t="str">
        <f t="shared" si="2"/>
        <v/>
      </c>
      <c r="S27" t="str">
        <f t="shared" si="4"/>
        <v/>
      </c>
      <c r="U27" s="117"/>
    </row>
    <row r="28" spans="1:21" ht="17.45" customHeight="1">
      <c r="A28">
        <v>25</v>
      </c>
      <c r="B28" s="123" t="str">
        <f>IFERROR(INDEX('IG 콘텐츠 data'!R:R,MATCH('IG 신규발행'!A28,'IG 콘텐츠 data'!S:S,0)),"")</f>
        <v/>
      </c>
      <c r="C28" s="125" t="str">
        <f>IFERROR(IF(INDEX('IG 콘텐츠 data'!$A$1:$AJ$25,MATCH('IG 신규발행'!$A28,'IG 콘텐츠 data'!$S:$S,0),MATCH(C$3,'IG 콘텐츠 data'!$A$1:$O$1,0))="IG 이미지","이미지",IF(INDEX('IG 콘텐츠 data'!$A$1:$AJ$25,MATCH('IG 신규발행'!$A28,'IG 콘텐츠 data'!$S:$S,0),MATCH(C$3,'IG 콘텐츠 data'!$A$1:$O$1,0))="IG 슬라이드","슬라이드",IF(INDEX('IG 콘텐츠 data'!$A$1:$AJ$25,MATCH('IG 신규발행'!$A28,'IG 콘텐츠 data'!$S:$S,0),MATCH(C$3,'IG 콘텐츠 data'!$A$1:$O$1,0))="Instagram 릴스","영상"))),"")</f>
        <v/>
      </c>
      <c r="D28" s="125" t="str">
        <f>IFERROR(INDEX('IG 콘텐츠 data'!$A$1:$AJ$25,MATCH('IG 신규발행'!$A28,'IG 콘텐츠 data'!$S:$S,0),MATCH(D$3,'IG 콘텐츠 data'!$A$1:$Q$1,0)),"")</f>
        <v/>
      </c>
      <c r="E28" s="125" t="str">
        <f>IFERROR(INDEX('IG 콘텐츠 data'!$A$1:$AJ$25,MATCH('IG 신규발행'!$A28,'IG 콘텐츠 data'!$S:$S,0),MATCH(E$3,'IG 콘텐츠 data'!$A$1:$Q$1,0)),"")</f>
        <v/>
      </c>
      <c r="F28" s="125" t="str">
        <f>IFERROR(INDEX('IG 콘텐츠 data'!$A$1:$AJ$25,MATCH('IG 신규발행'!$A28,'IG 콘텐츠 data'!$S:$S,0),MATCH(F$3,'IG 콘텐츠 data'!$A$1:$Q$1,0)),"")</f>
        <v/>
      </c>
      <c r="G28" s="125" t="str">
        <f>IFERROR(INDEX('IG 콘텐츠 data'!$A$1:$AJ$25,MATCH('IG 신규발행'!$A28,'IG 콘텐츠 data'!$S:$S,0),MATCH(G$3,'IG 콘텐츠 data'!$A$1:$Q$1,0)),"")</f>
        <v/>
      </c>
      <c r="H28" s="125" t="str">
        <f>IFERROR(INDEX('IG 콘텐츠 data'!$A$1:$AJ$25,MATCH('IG 신규발행'!$A28,'IG 콘텐츠 data'!$S:$S,0),MATCH(H$3,'IG 콘텐츠 data'!$A$1:$Q$1,0)),"")</f>
        <v/>
      </c>
      <c r="I28" s="125" t="str">
        <f>IFERROR(INDEX('IG 콘텐츠 data'!$A$1:$AJ$25,MATCH('IG 신규발행'!$A28,'IG 콘텐츠 data'!$S:$S,0),MATCH(I$3,'IG 콘텐츠 data'!$A$1:$Q$1,0)),"")</f>
        <v/>
      </c>
      <c r="J28" s="125" t="str">
        <f>IFERROR(INDEX('IG 콘텐츠 data'!$A$1:$AJ$25,MATCH('IG 신규발행'!$A28,'IG 콘텐츠 data'!$S:$S,0),MATCH(J$3,'IG 콘텐츠 data'!$A$1:$Q$1,0)),"")</f>
        <v/>
      </c>
      <c r="K28" s="125" t="str">
        <f>IFERROR(INDEX('IG 콘텐츠 data'!$A$1:$AJ$25,MATCH('IG 신규발행'!$A28,'IG 콘텐츠 data'!$S:$S,0),MATCH(K$3,'IG 콘텐츠 data'!$A$1:$Q$1,0)),"")</f>
        <v/>
      </c>
      <c r="L28" s="125" t="str">
        <f>IFERROR(INDEX('IG 콘텐츠 data'!$A$1:$AJ$25,MATCH('IG 신규발행'!$A28,'IG 콘텐츠 data'!$S:$S,0),MATCH(L$3,'IG 콘텐츠 data'!$A$1:$Q$1,0)),"")</f>
        <v/>
      </c>
      <c r="M28" s="125" t="str">
        <f t="shared" si="3"/>
        <v/>
      </c>
      <c r="N28" s="126" t="str">
        <f t="shared" si="0"/>
        <v/>
      </c>
      <c r="P28" s="48" t="str">
        <f t="shared" si="1"/>
        <v/>
      </c>
      <c r="Q28" s="48" t="str">
        <f t="shared" si="2"/>
        <v/>
      </c>
      <c r="S28" t="str">
        <f t="shared" si="4"/>
        <v/>
      </c>
      <c r="U28" s="117"/>
    </row>
    <row r="29" spans="1:21" ht="17.45" customHeight="1">
      <c r="A29">
        <v>26</v>
      </c>
      <c r="B29" s="123" t="str">
        <f>IFERROR(INDEX('IG 콘텐츠 data'!R:R,MATCH('IG 신규발행'!A29,'IG 콘텐츠 data'!S:S,0)),"")</f>
        <v/>
      </c>
      <c r="C29" s="125" t="str">
        <f>IFERROR(IF(INDEX('IG 콘텐츠 data'!$A$1:$AJ$25,MATCH('IG 신규발행'!$A29,'IG 콘텐츠 data'!$S:$S,0),MATCH(C$3,'IG 콘텐츠 data'!$A$1:$O$1,0))="IG 이미지","이미지",IF(INDEX('IG 콘텐츠 data'!$A$1:$AJ$25,MATCH('IG 신규발행'!$A29,'IG 콘텐츠 data'!$S:$S,0),MATCH(C$3,'IG 콘텐츠 data'!$A$1:$O$1,0))="IG 슬라이드","슬라이드",IF(INDEX('IG 콘텐츠 data'!$A$1:$AJ$25,MATCH('IG 신규발행'!$A29,'IG 콘텐츠 data'!$S:$S,0),MATCH(C$3,'IG 콘텐츠 data'!$A$1:$O$1,0))="Instagram 릴스","영상"))),"")</f>
        <v/>
      </c>
      <c r="D29" s="125" t="str">
        <f>IFERROR(INDEX('IG 콘텐츠 data'!$A$1:$AJ$25,MATCH('IG 신규발행'!$A29,'IG 콘텐츠 data'!$S:$S,0),MATCH(D$3,'IG 콘텐츠 data'!$A$1:$Q$1,0)),"")</f>
        <v/>
      </c>
      <c r="E29" s="125" t="str">
        <f>IFERROR(INDEX('IG 콘텐츠 data'!$A$1:$AJ$25,MATCH('IG 신규발행'!$A29,'IG 콘텐츠 data'!$S:$S,0),MATCH(E$3,'IG 콘텐츠 data'!$A$1:$Q$1,0)),"")</f>
        <v/>
      </c>
      <c r="F29" s="125" t="str">
        <f>IFERROR(INDEX('IG 콘텐츠 data'!$A$1:$AJ$25,MATCH('IG 신규발행'!$A29,'IG 콘텐츠 data'!$S:$S,0),MATCH(F$3,'IG 콘텐츠 data'!$A$1:$Q$1,0)),"")</f>
        <v/>
      </c>
      <c r="G29" s="125" t="str">
        <f>IFERROR(INDEX('IG 콘텐츠 data'!$A$1:$AJ$25,MATCH('IG 신규발행'!$A29,'IG 콘텐츠 data'!$S:$S,0),MATCH(G$3,'IG 콘텐츠 data'!$A$1:$Q$1,0)),"")</f>
        <v/>
      </c>
      <c r="H29" s="125" t="str">
        <f>IFERROR(INDEX('IG 콘텐츠 data'!$A$1:$AJ$25,MATCH('IG 신규발행'!$A29,'IG 콘텐츠 data'!$S:$S,0),MATCH(H$3,'IG 콘텐츠 data'!$A$1:$Q$1,0)),"")</f>
        <v/>
      </c>
      <c r="I29" s="125" t="str">
        <f>IFERROR(INDEX('IG 콘텐츠 data'!$A$1:$AJ$25,MATCH('IG 신규발행'!$A29,'IG 콘텐츠 data'!$S:$S,0),MATCH(I$3,'IG 콘텐츠 data'!$A$1:$Q$1,0)),"")</f>
        <v/>
      </c>
      <c r="J29" s="125" t="str">
        <f>IFERROR(INDEX('IG 콘텐츠 data'!$A$1:$AJ$25,MATCH('IG 신규발행'!$A29,'IG 콘텐츠 data'!$S:$S,0),MATCH(J$3,'IG 콘텐츠 data'!$A$1:$Q$1,0)),"")</f>
        <v/>
      </c>
      <c r="K29" s="125" t="str">
        <f>IFERROR(INDEX('IG 콘텐츠 data'!$A$1:$AJ$25,MATCH('IG 신규발행'!$A29,'IG 콘텐츠 data'!$S:$S,0),MATCH(K$3,'IG 콘텐츠 data'!$A$1:$Q$1,0)),"")</f>
        <v/>
      </c>
      <c r="L29" s="125" t="str">
        <f>IFERROR(INDEX('IG 콘텐츠 data'!$A$1:$AJ$25,MATCH('IG 신규발행'!$A29,'IG 콘텐츠 data'!$S:$S,0),MATCH(L$3,'IG 콘텐츠 data'!$A$1:$Q$1,0)),"")</f>
        <v/>
      </c>
      <c r="M29" s="125" t="str">
        <f t="shared" si="3"/>
        <v/>
      </c>
      <c r="N29" s="126" t="str">
        <f t="shared" si="0"/>
        <v/>
      </c>
      <c r="P29" s="48" t="str">
        <f t="shared" si="1"/>
        <v/>
      </c>
      <c r="Q29" s="48" t="str">
        <f t="shared" si="2"/>
        <v/>
      </c>
      <c r="S29" t="str">
        <f t="shared" si="4"/>
        <v/>
      </c>
      <c r="U29" s="117"/>
    </row>
    <row r="30" spans="1:21" ht="17.45" customHeight="1">
      <c r="A30">
        <v>27</v>
      </c>
      <c r="B30" s="123" t="str">
        <f>IFERROR(INDEX('IG 콘텐츠 data'!R:R,MATCH('IG 신규발행'!A30,'IG 콘텐츠 data'!S:S,0)),"")</f>
        <v/>
      </c>
      <c r="C30" s="125" t="str">
        <f>IFERROR(IF(INDEX('IG 콘텐츠 data'!$A$1:$AJ$25,MATCH('IG 신규발행'!$A30,'IG 콘텐츠 data'!$S:$S,0),MATCH(C$3,'IG 콘텐츠 data'!$A$1:$O$1,0))="IG 이미지","이미지",IF(INDEX('IG 콘텐츠 data'!$A$1:$AJ$25,MATCH('IG 신규발행'!$A30,'IG 콘텐츠 data'!$S:$S,0),MATCH(C$3,'IG 콘텐츠 data'!$A$1:$O$1,0))="IG 슬라이드","슬라이드",IF(INDEX('IG 콘텐츠 data'!$A$1:$AJ$25,MATCH('IG 신규발행'!$A30,'IG 콘텐츠 data'!$S:$S,0),MATCH(C$3,'IG 콘텐츠 data'!$A$1:$O$1,0))="Instagram 릴스","영상"))),"")</f>
        <v/>
      </c>
      <c r="D30" s="125" t="str">
        <f>IFERROR(INDEX('IG 콘텐츠 data'!$A$1:$AJ$25,MATCH('IG 신규발행'!$A30,'IG 콘텐츠 data'!$S:$S,0),MATCH(D$3,'IG 콘텐츠 data'!$A$1:$Q$1,0)),"")</f>
        <v/>
      </c>
      <c r="E30" s="125" t="str">
        <f>IFERROR(INDEX('IG 콘텐츠 data'!$A$1:$AJ$25,MATCH('IG 신규발행'!$A30,'IG 콘텐츠 data'!$S:$S,0),MATCH(E$3,'IG 콘텐츠 data'!$A$1:$Q$1,0)),"")</f>
        <v/>
      </c>
      <c r="F30" s="125" t="str">
        <f>IFERROR(INDEX('IG 콘텐츠 data'!$A$1:$AJ$25,MATCH('IG 신규발행'!$A30,'IG 콘텐츠 data'!$S:$S,0),MATCH(F$3,'IG 콘텐츠 data'!$A$1:$Q$1,0)),"")</f>
        <v/>
      </c>
      <c r="G30" s="125" t="str">
        <f>IFERROR(INDEX('IG 콘텐츠 data'!$A$1:$AJ$25,MATCH('IG 신규발행'!$A30,'IG 콘텐츠 data'!$S:$S,0),MATCH(G$3,'IG 콘텐츠 data'!$A$1:$Q$1,0)),"")</f>
        <v/>
      </c>
      <c r="H30" s="125" t="str">
        <f>IFERROR(INDEX('IG 콘텐츠 data'!$A$1:$AJ$25,MATCH('IG 신규발행'!$A30,'IG 콘텐츠 data'!$S:$S,0),MATCH(H$3,'IG 콘텐츠 data'!$A$1:$Q$1,0)),"")</f>
        <v/>
      </c>
      <c r="I30" s="125" t="str">
        <f>IFERROR(INDEX('IG 콘텐츠 data'!$A$1:$AJ$25,MATCH('IG 신규발행'!$A30,'IG 콘텐츠 data'!$S:$S,0),MATCH(I$3,'IG 콘텐츠 data'!$A$1:$Q$1,0)),"")</f>
        <v/>
      </c>
      <c r="J30" s="125" t="str">
        <f>IFERROR(INDEX('IG 콘텐츠 data'!$A$1:$AJ$25,MATCH('IG 신규발행'!$A30,'IG 콘텐츠 data'!$S:$S,0),MATCH(J$3,'IG 콘텐츠 data'!$A$1:$Q$1,0)),"")</f>
        <v/>
      </c>
      <c r="K30" s="125" t="str">
        <f>IFERROR(INDEX('IG 콘텐츠 data'!$A$1:$AJ$25,MATCH('IG 신규발행'!$A30,'IG 콘텐츠 data'!$S:$S,0),MATCH(K$3,'IG 콘텐츠 data'!$A$1:$Q$1,0)),"")</f>
        <v/>
      </c>
      <c r="L30" s="125" t="str">
        <f>IFERROR(INDEX('IG 콘텐츠 data'!$A$1:$AJ$25,MATCH('IG 신규발행'!$A30,'IG 콘텐츠 data'!$S:$S,0),MATCH(L$3,'IG 콘텐츠 data'!$A$1:$Q$1,0)),"")</f>
        <v/>
      </c>
      <c r="M30" s="125" t="str">
        <f t="shared" si="3"/>
        <v/>
      </c>
      <c r="N30" s="126" t="str">
        <f t="shared" si="0"/>
        <v/>
      </c>
      <c r="P30" s="48" t="str">
        <f t="shared" si="1"/>
        <v/>
      </c>
      <c r="Q30" s="48" t="str">
        <f t="shared" si="2"/>
        <v/>
      </c>
      <c r="S30" t="str">
        <f t="shared" si="4"/>
        <v/>
      </c>
      <c r="U30" s="117"/>
    </row>
    <row r="31" spans="1:21" ht="17.45" customHeight="1">
      <c r="A31">
        <v>28</v>
      </c>
      <c r="B31" s="123" t="str">
        <f>IFERROR(INDEX('IG 콘텐츠 data'!R:R,MATCH('IG 신규발행'!A31,'IG 콘텐츠 data'!S:S,0)),"")</f>
        <v/>
      </c>
      <c r="C31" s="125" t="str">
        <f>IFERROR(IF(INDEX('IG 콘텐츠 data'!$A$1:$AJ$25,MATCH('IG 신규발행'!$A31,'IG 콘텐츠 data'!$S:$S,0),MATCH(C$3,'IG 콘텐츠 data'!$A$1:$O$1,0))="IG 이미지","이미지",IF(INDEX('IG 콘텐츠 data'!$A$1:$AJ$25,MATCH('IG 신규발행'!$A31,'IG 콘텐츠 data'!$S:$S,0),MATCH(C$3,'IG 콘텐츠 data'!$A$1:$O$1,0))="IG 슬라이드","슬라이드",IF(INDEX('IG 콘텐츠 data'!$A$1:$AJ$25,MATCH('IG 신규발행'!$A31,'IG 콘텐츠 data'!$S:$S,0),MATCH(C$3,'IG 콘텐츠 data'!$A$1:$O$1,0))="Instagram 릴스","영상"))),"")</f>
        <v/>
      </c>
      <c r="D31" s="125" t="str">
        <f>IFERROR(INDEX('IG 콘텐츠 data'!$A$1:$AJ$25,MATCH('IG 신규발행'!$A31,'IG 콘텐츠 data'!$S:$S,0),MATCH(D$3,'IG 콘텐츠 data'!$A$1:$Q$1,0)),"")</f>
        <v/>
      </c>
      <c r="E31" s="125" t="str">
        <f>IFERROR(INDEX('IG 콘텐츠 data'!$A$1:$AJ$25,MATCH('IG 신규발행'!$A31,'IG 콘텐츠 data'!$S:$S,0),MATCH(E$3,'IG 콘텐츠 data'!$A$1:$Q$1,0)),"")</f>
        <v/>
      </c>
      <c r="F31" s="125" t="str">
        <f>IFERROR(INDEX('IG 콘텐츠 data'!$A$1:$AJ$25,MATCH('IG 신규발행'!$A31,'IG 콘텐츠 data'!$S:$S,0),MATCH(F$3,'IG 콘텐츠 data'!$A$1:$Q$1,0)),"")</f>
        <v/>
      </c>
      <c r="G31" s="125" t="str">
        <f>IFERROR(INDEX('IG 콘텐츠 data'!$A$1:$AJ$25,MATCH('IG 신규발행'!$A31,'IG 콘텐츠 data'!$S:$S,0),MATCH(G$3,'IG 콘텐츠 data'!$A$1:$Q$1,0)),"")</f>
        <v/>
      </c>
      <c r="H31" s="125" t="str">
        <f>IFERROR(INDEX('IG 콘텐츠 data'!$A$1:$AJ$25,MATCH('IG 신규발행'!$A31,'IG 콘텐츠 data'!$S:$S,0),MATCH(H$3,'IG 콘텐츠 data'!$A$1:$Q$1,0)),"")</f>
        <v/>
      </c>
      <c r="I31" s="125" t="str">
        <f>IFERROR(INDEX('IG 콘텐츠 data'!$A$1:$AJ$25,MATCH('IG 신규발행'!$A31,'IG 콘텐츠 data'!$S:$S,0),MATCH(I$3,'IG 콘텐츠 data'!$A$1:$Q$1,0)),"")</f>
        <v/>
      </c>
      <c r="J31" s="125" t="str">
        <f>IFERROR(INDEX('IG 콘텐츠 data'!$A$1:$AJ$25,MATCH('IG 신규발행'!$A31,'IG 콘텐츠 data'!$S:$S,0),MATCH(J$3,'IG 콘텐츠 data'!$A$1:$Q$1,0)),"")</f>
        <v/>
      </c>
      <c r="K31" s="125" t="str">
        <f>IFERROR(INDEX('IG 콘텐츠 data'!$A$1:$AJ$25,MATCH('IG 신규발행'!$A31,'IG 콘텐츠 data'!$S:$S,0),MATCH(K$3,'IG 콘텐츠 data'!$A$1:$Q$1,0)),"")</f>
        <v/>
      </c>
      <c r="L31" s="125" t="str">
        <f>IFERROR(INDEX('IG 콘텐츠 data'!$A$1:$AJ$25,MATCH('IG 신규발행'!$A31,'IG 콘텐츠 data'!$S:$S,0),MATCH(L$3,'IG 콘텐츠 data'!$A$1:$Q$1,0)),"")</f>
        <v/>
      </c>
      <c r="M31" s="125" t="str">
        <f t="shared" si="3"/>
        <v/>
      </c>
      <c r="N31" s="126" t="str">
        <f t="shared" si="0"/>
        <v/>
      </c>
      <c r="P31" s="48" t="str">
        <f t="shared" si="1"/>
        <v/>
      </c>
      <c r="Q31" s="48" t="str">
        <f t="shared" si="2"/>
        <v/>
      </c>
      <c r="S31" t="str">
        <f t="shared" si="4"/>
        <v/>
      </c>
      <c r="U31" s="117"/>
    </row>
    <row r="32" spans="1:21" ht="17.45" customHeight="1">
      <c r="A32">
        <v>29</v>
      </c>
      <c r="B32" s="123" t="str">
        <f>IFERROR(INDEX('IG 콘텐츠 data'!R:R,MATCH('IG 신규발행'!A32,'IG 콘텐츠 data'!S:S,0)),"")</f>
        <v/>
      </c>
      <c r="C32" s="125" t="str">
        <f>IFERROR(IF(INDEX('IG 콘텐츠 data'!$A$1:$AJ$25,MATCH('IG 신규발행'!$A32,'IG 콘텐츠 data'!$S:$S,0),MATCH(C$3,'IG 콘텐츠 data'!$A$1:$O$1,0))="IG 이미지","이미지",IF(INDEX('IG 콘텐츠 data'!$A$1:$AJ$25,MATCH('IG 신규발행'!$A32,'IG 콘텐츠 data'!$S:$S,0),MATCH(C$3,'IG 콘텐츠 data'!$A$1:$O$1,0))="IG 슬라이드","슬라이드",IF(INDEX('IG 콘텐츠 data'!$A$1:$AJ$25,MATCH('IG 신규발행'!$A32,'IG 콘텐츠 data'!$S:$S,0),MATCH(C$3,'IG 콘텐츠 data'!$A$1:$O$1,0))="Instagram 릴스","영상"))),"")</f>
        <v/>
      </c>
      <c r="D32" s="125" t="str">
        <f>IFERROR(INDEX('IG 콘텐츠 data'!$A$1:$AJ$25,MATCH('IG 신규발행'!$A32,'IG 콘텐츠 data'!$S:$S,0),MATCH(D$3,'IG 콘텐츠 data'!$A$1:$Q$1,0)),"")</f>
        <v/>
      </c>
      <c r="E32" s="125" t="str">
        <f>IFERROR(INDEX('IG 콘텐츠 data'!$A$1:$AJ$25,MATCH('IG 신규발행'!$A32,'IG 콘텐츠 data'!$S:$S,0),MATCH(E$3,'IG 콘텐츠 data'!$A$1:$Q$1,0)),"")</f>
        <v/>
      </c>
      <c r="F32" s="125" t="str">
        <f>IFERROR(INDEX('IG 콘텐츠 data'!$A$1:$AJ$25,MATCH('IG 신규발행'!$A32,'IG 콘텐츠 data'!$S:$S,0),MATCH(F$3,'IG 콘텐츠 data'!$A$1:$Q$1,0)),"")</f>
        <v/>
      </c>
      <c r="G32" s="125" t="str">
        <f>IFERROR(INDEX('IG 콘텐츠 data'!$A$1:$AJ$25,MATCH('IG 신규발행'!$A32,'IG 콘텐츠 data'!$S:$S,0),MATCH(G$3,'IG 콘텐츠 data'!$A$1:$Q$1,0)),"")</f>
        <v/>
      </c>
      <c r="H32" s="125" t="str">
        <f>IFERROR(INDEX('IG 콘텐츠 data'!$A$1:$AJ$25,MATCH('IG 신규발행'!$A32,'IG 콘텐츠 data'!$S:$S,0),MATCH(H$3,'IG 콘텐츠 data'!$A$1:$Q$1,0)),"")</f>
        <v/>
      </c>
      <c r="I32" s="125" t="str">
        <f>IFERROR(INDEX('IG 콘텐츠 data'!$A$1:$AJ$25,MATCH('IG 신규발행'!$A32,'IG 콘텐츠 data'!$S:$S,0),MATCH(I$3,'IG 콘텐츠 data'!$A$1:$Q$1,0)),"")</f>
        <v/>
      </c>
      <c r="J32" s="125" t="str">
        <f>IFERROR(INDEX('IG 콘텐츠 data'!$A$1:$AJ$25,MATCH('IG 신규발행'!$A32,'IG 콘텐츠 data'!$S:$S,0),MATCH(J$3,'IG 콘텐츠 data'!$A$1:$Q$1,0)),"")</f>
        <v/>
      </c>
      <c r="K32" s="125" t="str">
        <f>IFERROR(INDEX('IG 콘텐츠 data'!$A$1:$AJ$25,MATCH('IG 신규발행'!$A32,'IG 콘텐츠 data'!$S:$S,0),MATCH(K$3,'IG 콘텐츠 data'!$A$1:$Q$1,0)),"")</f>
        <v/>
      </c>
      <c r="L32" s="125" t="str">
        <f>IFERROR(INDEX('IG 콘텐츠 data'!$A$1:$AJ$25,MATCH('IG 신규발행'!$A32,'IG 콘텐츠 data'!$S:$S,0),MATCH(L$3,'IG 콘텐츠 data'!$A$1:$Q$1,0)),"")</f>
        <v/>
      </c>
      <c r="M32" s="125" t="str">
        <f t="shared" si="3"/>
        <v/>
      </c>
      <c r="N32" s="126" t="str">
        <f t="shared" si="0"/>
        <v/>
      </c>
      <c r="P32" s="48" t="str">
        <f t="shared" si="1"/>
        <v/>
      </c>
      <c r="Q32" s="48" t="str">
        <f t="shared" si="2"/>
        <v/>
      </c>
      <c r="S32" t="str">
        <f t="shared" si="4"/>
        <v/>
      </c>
      <c r="U32" s="117"/>
    </row>
    <row r="33" spans="1:21" ht="17.45" customHeight="1">
      <c r="A33">
        <v>30</v>
      </c>
      <c r="B33" s="123" t="str">
        <f>IFERROR(INDEX('IG 콘텐츠 data'!R:R,MATCH('IG 신규발행'!A33,'IG 콘텐츠 data'!S:S,0)),"")</f>
        <v/>
      </c>
      <c r="C33" s="125" t="str">
        <f>IFERROR(IF(INDEX('IG 콘텐츠 data'!$A$1:$AJ$25,MATCH('IG 신규발행'!$A33,'IG 콘텐츠 data'!$S:$S,0),MATCH(C$3,'IG 콘텐츠 data'!$A$1:$O$1,0))="IG 이미지","이미지",IF(INDEX('IG 콘텐츠 data'!$A$1:$AJ$25,MATCH('IG 신규발행'!$A33,'IG 콘텐츠 data'!$S:$S,0),MATCH(C$3,'IG 콘텐츠 data'!$A$1:$O$1,0))="IG 슬라이드","슬라이드",IF(INDEX('IG 콘텐츠 data'!$A$1:$AJ$25,MATCH('IG 신규발행'!$A33,'IG 콘텐츠 data'!$S:$S,0),MATCH(C$3,'IG 콘텐츠 data'!$A$1:$O$1,0))="Instagram 릴스","영상"))),"")</f>
        <v/>
      </c>
      <c r="D33" s="125" t="str">
        <f>IFERROR(INDEX('IG 콘텐츠 data'!$A$1:$AJ$25,MATCH('IG 신규발행'!$A33,'IG 콘텐츠 data'!$S:$S,0),MATCH(D$3,'IG 콘텐츠 data'!$A$1:$Q$1,0)),"")</f>
        <v/>
      </c>
      <c r="E33" s="125" t="str">
        <f>IFERROR(INDEX('IG 콘텐츠 data'!$A$1:$AJ$25,MATCH('IG 신규발행'!$A33,'IG 콘텐츠 data'!$S:$S,0),MATCH(E$3,'IG 콘텐츠 data'!$A$1:$Q$1,0)),"")</f>
        <v/>
      </c>
      <c r="F33" s="125" t="str">
        <f>IFERROR(INDEX('IG 콘텐츠 data'!$A$1:$AJ$25,MATCH('IG 신규발행'!$A33,'IG 콘텐츠 data'!$S:$S,0),MATCH(F$3,'IG 콘텐츠 data'!$A$1:$Q$1,0)),"")</f>
        <v/>
      </c>
      <c r="G33" s="125" t="str">
        <f>IFERROR(INDEX('IG 콘텐츠 data'!$A$1:$AJ$25,MATCH('IG 신규발행'!$A33,'IG 콘텐츠 data'!$S:$S,0),MATCH(G$3,'IG 콘텐츠 data'!$A$1:$Q$1,0)),"")</f>
        <v/>
      </c>
      <c r="H33" s="125" t="str">
        <f>IFERROR(INDEX('IG 콘텐츠 data'!$A$1:$AJ$25,MATCH('IG 신규발행'!$A33,'IG 콘텐츠 data'!$S:$S,0),MATCH(H$3,'IG 콘텐츠 data'!$A$1:$Q$1,0)),"")</f>
        <v/>
      </c>
      <c r="I33" s="125" t="str">
        <f>IFERROR(INDEX('IG 콘텐츠 data'!$A$1:$AJ$25,MATCH('IG 신규발행'!$A33,'IG 콘텐츠 data'!$S:$S,0),MATCH(I$3,'IG 콘텐츠 data'!$A$1:$Q$1,0)),"")</f>
        <v/>
      </c>
      <c r="J33" s="125" t="str">
        <f>IFERROR(INDEX('IG 콘텐츠 data'!$A$1:$AJ$25,MATCH('IG 신규발행'!$A33,'IG 콘텐츠 data'!$S:$S,0),MATCH(J$3,'IG 콘텐츠 data'!$A$1:$Q$1,0)),"")</f>
        <v/>
      </c>
      <c r="K33" s="125" t="str">
        <f>IFERROR(INDEX('IG 콘텐츠 data'!$A$1:$AJ$25,MATCH('IG 신규발행'!$A33,'IG 콘텐츠 data'!$S:$S,0),MATCH(K$3,'IG 콘텐츠 data'!$A$1:$Q$1,0)),"")</f>
        <v/>
      </c>
      <c r="L33" s="125" t="str">
        <f>IFERROR(INDEX('IG 콘텐츠 data'!$A$1:$AJ$25,MATCH('IG 신규발행'!$A33,'IG 콘텐츠 data'!$S:$S,0),MATCH(L$3,'IG 콘텐츠 data'!$A$1:$Q$1,0)),"")</f>
        <v/>
      </c>
      <c r="M33" s="125" t="str">
        <f t="shared" si="3"/>
        <v/>
      </c>
      <c r="N33" s="126" t="str">
        <f t="shared" si="0"/>
        <v/>
      </c>
      <c r="P33" s="48" t="str">
        <f t="shared" si="1"/>
        <v/>
      </c>
      <c r="Q33" s="48" t="str">
        <f t="shared" si="2"/>
        <v/>
      </c>
      <c r="S33" t="str">
        <f t="shared" si="4"/>
        <v/>
      </c>
      <c r="U33" s="117"/>
    </row>
    <row r="34" spans="1:21" ht="17.45" customHeight="1">
      <c r="A34">
        <v>31</v>
      </c>
      <c r="B34" s="123" t="str">
        <f>IFERROR(INDEX('IG 콘텐츠 data'!R:R,MATCH('IG 신규발행'!A34,'IG 콘텐츠 data'!S:S,0)),"")</f>
        <v/>
      </c>
      <c r="C34" s="125" t="str">
        <f>IFERROR(IF(INDEX('IG 콘텐츠 data'!$A$1:$AJ$25,MATCH('IG 신규발행'!$A34,'IG 콘텐츠 data'!$S:$S,0),MATCH(C$3,'IG 콘텐츠 data'!$A$1:$O$1,0))="IG 이미지","이미지",IF(INDEX('IG 콘텐츠 data'!$A$1:$AJ$25,MATCH('IG 신규발행'!$A34,'IG 콘텐츠 data'!$S:$S,0),MATCH(C$3,'IG 콘텐츠 data'!$A$1:$O$1,0))="IG 슬라이드","슬라이드",IF(INDEX('IG 콘텐츠 data'!$A$1:$AJ$25,MATCH('IG 신규발행'!$A34,'IG 콘텐츠 data'!$S:$S,0),MATCH(C$3,'IG 콘텐츠 data'!$A$1:$O$1,0))="Instagram 릴스","영상"))),"")</f>
        <v/>
      </c>
      <c r="D34" s="125" t="str">
        <f>IFERROR(INDEX('IG 콘텐츠 data'!$A$1:$AJ$25,MATCH('IG 신규발행'!$A34,'IG 콘텐츠 data'!$S:$S,0),MATCH(D$3,'IG 콘텐츠 data'!$A$1:$Q$1,0)),"")</f>
        <v/>
      </c>
      <c r="E34" s="125" t="str">
        <f>IFERROR(INDEX('IG 콘텐츠 data'!$A$1:$AJ$25,MATCH('IG 신규발행'!$A34,'IG 콘텐츠 data'!$S:$S,0),MATCH(E$3,'IG 콘텐츠 data'!$A$1:$Q$1,0)),"")</f>
        <v/>
      </c>
      <c r="F34" s="125" t="str">
        <f>IFERROR(INDEX('IG 콘텐츠 data'!$A$1:$AJ$25,MATCH('IG 신규발행'!$A34,'IG 콘텐츠 data'!$S:$S,0),MATCH(F$3,'IG 콘텐츠 data'!$A$1:$Q$1,0)),"")</f>
        <v/>
      </c>
      <c r="G34" s="125" t="str">
        <f>IFERROR(INDEX('IG 콘텐츠 data'!$A$1:$AJ$25,MATCH('IG 신규발행'!$A34,'IG 콘텐츠 data'!$S:$S,0),MATCH(G$3,'IG 콘텐츠 data'!$A$1:$Q$1,0)),"")</f>
        <v/>
      </c>
      <c r="H34" s="125" t="str">
        <f>IFERROR(INDEX('IG 콘텐츠 data'!$A$1:$AJ$25,MATCH('IG 신규발행'!$A34,'IG 콘텐츠 data'!$S:$S,0),MATCH(H$3,'IG 콘텐츠 data'!$A$1:$Q$1,0)),"")</f>
        <v/>
      </c>
      <c r="I34" s="125" t="str">
        <f>IFERROR(INDEX('IG 콘텐츠 data'!$A$1:$AJ$25,MATCH('IG 신규발행'!$A34,'IG 콘텐츠 data'!$S:$S,0),MATCH(I$3,'IG 콘텐츠 data'!$A$1:$Q$1,0)),"")</f>
        <v/>
      </c>
      <c r="J34" s="125" t="str">
        <f>IFERROR(INDEX('IG 콘텐츠 data'!$A$1:$AJ$25,MATCH('IG 신규발행'!$A34,'IG 콘텐츠 data'!$S:$S,0),MATCH(J$3,'IG 콘텐츠 data'!$A$1:$Q$1,0)),"")</f>
        <v/>
      </c>
      <c r="K34" s="125" t="str">
        <f>IFERROR(INDEX('IG 콘텐츠 data'!$A$1:$AJ$25,MATCH('IG 신규발행'!$A34,'IG 콘텐츠 data'!$S:$S,0),MATCH(K$3,'IG 콘텐츠 data'!$A$1:$Q$1,0)),"")</f>
        <v/>
      </c>
      <c r="L34" s="125" t="str">
        <f>IFERROR(INDEX('IG 콘텐츠 data'!$A$1:$AJ$25,MATCH('IG 신규발행'!$A34,'IG 콘텐츠 data'!$S:$S,0),MATCH(L$3,'IG 콘텐츠 data'!$A$1:$Q$1,0)),"")</f>
        <v/>
      </c>
      <c r="M34" s="125" t="str">
        <f t="shared" si="3"/>
        <v/>
      </c>
      <c r="N34" s="126" t="str">
        <f t="shared" si="0"/>
        <v/>
      </c>
      <c r="P34" s="48" t="str">
        <f t="shared" si="1"/>
        <v/>
      </c>
      <c r="Q34" s="48" t="str">
        <f t="shared" si="2"/>
        <v/>
      </c>
      <c r="S34" t="str">
        <f t="shared" si="4"/>
        <v/>
      </c>
      <c r="U34" s="117"/>
    </row>
    <row r="35" spans="1:21" ht="17.45" customHeight="1">
      <c r="A35">
        <v>32</v>
      </c>
      <c r="B35" s="123" t="str">
        <f>IFERROR(INDEX('IG 콘텐츠 data'!R:R,MATCH('IG 신규발행'!A35,'IG 콘텐츠 data'!S:S,0)),"")</f>
        <v/>
      </c>
      <c r="C35" s="125" t="str">
        <f>IFERROR(IF(INDEX('IG 콘텐츠 data'!$A$1:$AJ$25,MATCH('IG 신규발행'!$A35,'IG 콘텐츠 data'!$S:$S,0),MATCH(C$3,'IG 콘텐츠 data'!$A$1:$O$1,0))="IG 이미지","이미지",IF(INDEX('IG 콘텐츠 data'!$A$1:$AJ$25,MATCH('IG 신규발행'!$A35,'IG 콘텐츠 data'!$S:$S,0),MATCH(C$3,'IG 콘텐츠 data'!$A$1:$O$1,0))="IG 슬라이드","슬라이드",IF(INDEX('IG 콘텐츠 data'!$A$1:$AJ$25,MATCH('IG 신규발행'!$A35,'IG 콘텐츠 data'!$S:$S,0),MATCH(C$3,'IG 콘텐츠 data'!$A$1:$O$1,0))="Instagram 릴스","영상"))),"")</f>
        <v/>
      </c>
      <c r="D35" s="125" t="str">
        <f>IFERROR(INDEX('IG 콘텐츠 data'!$A$1:$AJ$25,MATCH('IG 신규발행'!$A35,'IG 콘텐츠 data'!$S:$S,0),MATCH(D$3,'IG 콘텐츠 data'!$A$1:$Q$1,0)),"")</f>
        <v/>
      </c>
      <c r="E35" s="125" t="str">
        <f>IFERROR(INDEX('IG 콘텐츠 data'!$A$1:$AJ$25,MATCH('IG 신규발행'!$A35,'IG 콘텐츠 data'!$S:$S,0),MATCH(E$3,'IG 콘텐츠 data'!$A$1:$Q$1,0)),"")</f>
        <v/>
      </c>
      <c r="F35" s="125" t="str">
        <f>IFERROR(INDEX('IG 콘텐츠 data'!$A$1:$AJ$25,MATCH('IG 신규발행'!$A35,'IG 콘텐츠 data'!$S:$S,0),MATCH(F$3,'IG 콘텐츠 data'!$A$1:$Q$1,0)),"")</f>
        <v/>
      </c>
      <c r="G35" s="125" t="str">
        <f>IFERROR(INDEX('IG 콘텐츠 data'!$A$1:$AJ$25,MATCH('IG 신규발행'!$A35,'IG 콘텐츠 data'!$S:$S,0),MATCH(G$3,'IG 콘텐츠 data'!$A$1:$Q$1,0)),"")</f>
        <v/>
      </c>
      <c r="H35" s="125" t="str">
        <f>IFERROR(INDEX('IG 콘텐츠 data'!$A$1:$AJ$25,MATCH('IG 신규발행'!$A35,'IG 콘텐츠 data'!$S:$S,0),MATCH(H$3,'IG 콘텐츠 data'!$A$1:$Q$1,0)),"")</f>
        <v/>
      </c>
      <c r="I35" s="125" t="str">
        <f>IFERROR(INDEX('IG 콘텐츠 data'!$A$1:$AJ$25,MATCH('IG 신규발행'!$A35,'IG 콘텐츠 data'!$S:$S,0),MATCH(I$3,'IG 콘텐츠 data'!$A$1:$Q$1,0)),"")</f>
        <v/>
      </c>
      <c r="J35" s="125" t="str">
        <f>IFERROR(INDEX('IG 콘텐츠 data'!$A$1:$AJ$25,MATCH('IG 신규발행'!$A35,'IG 콘텐츠 data'!$S:$S,0),MATCH(J$3,'IG 콘텐츠 data'!$A$1:$Q$1,0)),"")</f>
        <v/>
      </c>
      <c r="K35" s="125" t="str">
        <f>IFERROR(INDEX('IG 콘텐츠 data'!$A$1:$AJ$25,MATCH('IG 신규발행'!$A35,'IG 콘텐츠 data'!$S:$S,0),MATCH(K$3,'IG 콘텐츠 data'!$A$1:$Q$1,0)),"")</f>
        <v/>
      </c>
      <c r="L35" s="125" t="str">
        <f>IFERROR(INDEX('IG 콘텐츠 data'!$A$1:$AJ$25,MATCH('IG 신규발행'!$A35,'IG 콘텐츠 data'!$S:$S,0),MATCH(L$3,'IG 콘텐츠 data'!$A$1:$Q$1,0)),"")</f>
        <v/>
      </c>
      <c r="M35" s="125" t="str">
        <f t="shared" si="3"/>
        <v/>
      </c>
      <c r="N35" s="126" t="str">
        <f t="shared" si="0"/>
        <v/>
      </c>
      <c r="P35" s="48" t="str">
        <f t="shared" si="1"/>
        <v/>
      </c>
      <c r="Q35" s="48" t="str">
        <f t="shared" si="2"/>
        <v/>
      </c>
      <c r="S35" t="str">
        <f t="shared" si="4"/>
        <v/>
      </c>
      <c r="U35" s="117"/>
    </row>
    <row r="36" spans="1:21" ht="17.45" customHeight="1">
      <c r="A36">
        <v>33</v>
      </c>
      <c r="B36" s="123" t="str">
        <f>IFERROR(INDEX('IG 콘텐츠 data'!R:R,MATCH('IG 신규발행'!A36,'IG 콘텐츠 data'!S:S,0)),"")</f>
        <v/>
      </c>
      <c r="C36" s="125" t="str">
        <f>IFERROR(IF(INDEX('IG 콘텐츠 data'!$A$1:$AJ$25,MATCH('IG 신규발행'!$A36,'IG 콘텐츠 data'!$S:$S,0),MATCH(C$3,'IG 콘텐츠 data'!$A$1:$O$1,0))="IG 이미지","이미지",IF(INDEX('IG 콘텐츠 data'!$A$1:$AJ$25,MATCH('IG 신규발행'!$A36,'IG 콘텐츠 data'!$S:$S,0),MATCH(C$3,'IG 콘텐츠 data'!$A$1:$O$1,0))="IG 슬라이드","슬라이드",IF(INDEX('IG 콘텐츠 data'!$A$1:$AJ$25,MATCH('IG 신규발행'!$A36,'IG 콘텐츠 data'!$S:$S,0),MATCH(C$3,'IG 콘텐츠 data'!$A$1:$O$1,0))="Instagram 릴스","영상"))),"")</f>
        <v/>
      </c>
      <c r="D36" s="125" t="str">
        <f>IFERROR(INDEX('IG 콘텐츠 data'!$A$1:$AJ$25,MATCH('IG 신규발행'!$A36,'IG 콘텐츠 data'!$S:$S,0),MATCH(D$3,'IG 콘텐츠 data'!$A$1:$Q$1,0)),"")</f>
        <v/>
      </c>
      <c r="E36" s="125" t="str">
        <f>IFERROR(INDEX('IG 콘텐츠 data'!$A$1:$AJ$25,MATCH('IG 신규발행'!$A36,'IG 콘텐츠 data'!$S:$S,0),MATCH(E$3,'IG 콘텐츠 data'!$A$1:$Q$1,0)),"")</f>
        <v/>
      </c>
      <c r="F36" s="125" t="str">
        <f>IFERROR(INDEX('IG 콘텐츠 data'!$A$1:$AJ$25,MATCH('IG 신규발행'!$A36,'IG 콘텐츠 data'!$S:$S,0),MATCH(F$3,'IG 콘텐츠 data'!$A$1:$Q$1,0)),"")</f>
        <v/>
      </c>
      <c r="G36" s="125" t="str">
        <f>IFERROR(INDEX('IG 콘텐츠 data'!$A$1:$AJ$25,MATCH('IG 신규발행'!$A36,'IG 콘텐츠 data'!$S:$S,0),MATCH(G$3,'IG 콘텐츠 data'!$A$1:$Q$1,0)),"")</f>
        <v/>
      </c>
      <c r="H36" s="125" t="str">
        <f>IFERROR(INDEX('IG 콘텐츠 data'!$A$1:$AJ$25,MATCH('IG 신규발행'!$A36,'IG 콘텐츠 data'!$S:$S,0),MATCH(H$3,'IG 콘텐츠 data'!$A$1:$Q$1,0)),"")</f>
        <v/>
      </c>
      <c r="I36" s="125" t="str">
        <f>IFERROR(INDEX('IG 콘텐츠 data'!$A$1:$AJ$25,MATCH('IG 신규발행'!$A36,'IG 콘텐츠 data'!$S:$S,0),MATCH(I$3,'IG 콘텐츠 data'!$A$1:$Q$1,0)),"")</f>
        <v/>
      </c>
      <c r="J36" s="125" t="str">
        <f>IFERROR(INDEX('IG 콘텐츠 data'!$A$1:$AJ$25,MATCH('IG 신규발행'!$A36,'IG 콘텐츠 data'!$S:$S,0),MATCH(J$3,'IG 콘텐츠 data'!$A$1:$Q$1,0)),"")</f>
        <v/>
      </c>
      <c r="K36" s="125" t="str">
        <f>IFERROR(INDEX('IG 콘텐츠 data'!$A$1:$AJ$25,MATCH('IG 신규발행'!$A36,'IG 콘텐츠 data'!$S:$S,0),MATCH(K$3,'IG 콘텐츠 data'!$A$1:$Q$1,0)),"")</f>
        <v/>
      </c>
      <c r="L36" s="125" t="str">
        <f>IFERROR(INDEX('IG 콘텐츠 data'!$A$1:$AJ$25,MATCH('IG 신규발행'!$A36,'IG 콘텐츠 data'!$S:$S,0),MATCH(L$3,'IG 콘텐츠 data'!$A$1:$Q$1,0)),"")</f>
        <v/>
      </c>
      <c r="M36" s="125" t="str">
        <f t="shared" si="3"/>
        <v/>
      </c>
      <c r="N36" s="126" t="str">
        <f t="shared" si="0"/>
        <v/>
      </c>
      <c r="P36" s="48" t="str">
        <f t="shared" si="1"/>
        <v/>
      </c>
      <c r="Q36" s="48" t="str">
        <f t="shared" si="2"/>
        <v/>
      </c>
      <c r="S36" t="str">
        <f t="shared" si="4"/>
        <v/>
      </c>
      <c r="U36" s="117"/>
    </row>
    <row r="37" spans="1:21" ht="17.45" customHeight="1">
      <c r="A37">
        <v>34</v>
      </c>
      <c r="B37" s="123" t="str">
        <f>IFERROR(INDEX('IG 콘텐츠 data'!R:R,MATCH('IG 신규발행'!A37,'IG 콘텐츠 data'!S:S,0)),"")</f>
        <v/>
      </c>
      <c r="C37" s="125" t="str">
        <f>IFERROR(IF(INDEX('IG 콘텐츠 data'!$A$1:$AJ$25,MATCH('IG 신규발행'!$A37,'IG 콘텐츠 data'!$S:$S,0),MATCH(C$3,'IG 콘텐츠 data'!$A$1:$O$1,0))="IG 이미지","이미지",IF(INDEX('IG 콘텐츠 data'!$A$1:$AJ$25,MATCH('IG 신규발행'!$A37,'IG 콘텐츠 data'!$S:$S,0),MATCH(C$3,'IG 콘텐츠 data'!$A$1:$O$1,0))="IG 슬라이드","슬라이드",IF(INDEX('IG 콘텐츠 data'!$A$1:$AJ$25,MATCH('IG 신규발행'!$A37,'IG 콘텐츠 data'!$S:$S,0),MATCH(C$3,'IG 콘텐츠 data'!$A$1:$O$1,0))="Instagram 릴스","영상"))),"")</f>
        <v/>
      </c>
      <c r="D37" s="125" t="str">
        <f>IFERROR(INDEX('IG 콘텐츠 data'!$A$1:$AJ$25,MATCH('IG 신규발행'!$A37,'IG 콘텐츠 data'!$S:$S,0),MATCH(D$3,'IG 콘텐츠 data'!$A$1:$Q$1,0)),"")</f>
        <v/>
      </c>
      <c r="E37" s="125" t="str">
        <f>IFERROR(INDEX('IG 콘텐츠 data'!$A$1:$AJ$25,MATCH('IG 신규발행'!$A37,'IG 콘텐츠 data'!$S:$S,0),MATCH(E$3,'IG 콘텐츠 data'!$A$1:$Q$1,0)),"")</f>
        <v/>
      </c>
      <c r="F37" s="125" t="str">
        <f>IFERROR(INDEX('IG 콘텐츠 data'!$A$1:$AJ$25,MATCH('IG 신규발행'!$A37,'IG 콘텐츠 data'!$S:$S,0),MATCH(F$3,'IG 콘텐츠 data'!$A$1:$Q$1,0)),"")</f>
        <v/>
      </c>
      <c r="G37" s="125" t="str">
        <f>IFERROR(INDEX('IG 콘텐츠 data'!$A$1:$AJ$25,MATCH('IG 신규발행'!$A37,'IG 콘텐츠 data'!$S:$S,0),MATCH(G$3,'IG 콘텐츠 data'!$A$1:$Q$1,0)),"")</f>
        <v/>
      </c>
      <c r="H37" s="125" t="str">
        <f>IFERROR(INDEX('IG 콘텐츠 data'!$A$1:$AJ$25,MATCH('IG 신규발행'!$A37,'IG 콘텐츠 data'!$S:$S,0),MATCH(H$3,'IG 콘텐츠 data'!$A$1:$Q$1,0)),"")</f>
        <v/>
      </c>
      <c r="I37" s="125" t="str">
        <f>IFERROR(INDEX('IG 콘텐츠 data'!$A$1:$AJ$25,MATCH('IG 신규발행'!$A37,'IG 콘텐츠 data'!$S:$S,0),MATCH(I$3,'IG 콘텐츠 data'!$A$1:$Q$1,0)),"")</f>
        <v/>
      </c>
      <c r="J37" s="125" t="str">
        <f>IFERROR(INDEX('IG 콘텐츠 data'!$A$1:$AJ$25,MATCH('IG 신규발행'!$A37,'IG 콘텐츠 data'!$S:$S,0),MATCH(J$3,'IG 콘텐츠 data'!$A$1:$Q$1,0)),"")</f>
        <v/>
      </c>
      <c r="K37" s="125" t="str">
        <f>IFERROR(INDEX('IG 콘텐츠 data'!$A$1:$AJ$25,MATCH('IG 신규발행'!$A37,'IG 콘텐츠 data'!$S:$S,0),MATCH(K$3,'IG 콘텐츠 data'!$A$1:$Q$1,0)),"")</f>
        <v/>
      </c>
      <c r="L37" s="125" t="str">
        <f>IFERROR(INDEX('IG 콘텐츠 data'!$A$1:$AJ$25,MATCH('IG 신규발행'!$A37,'IG 콘텐츠 data'!$S:$S,0),MATCH(L$3,'IG 콘텐츠 data'!$A$1:$Q$1,0)),"")</f>
        <v/>
      </c>
      <c r="M37" s="125" t="str">
        <f t="shared" si="3"/>
        <v/>
      </c>
      <c r="N37" s="126" t="str">
        <f t="shared" si="0"/>
        <v/>
      </c>
      <c r="P37" s="48" t="str">
        <f t="shared" si="1"/>
        <v/>
      </c>
      <c r="Q37" s="48" t="str">
        <f t="shared" si="2"/>
        <v/>
      </c>
      <c r="S37" t="str">
        <f t="shared" si="4"/>
        <v/>
      </c>
      <c r="U37" s="117"/>
    </row>
    <row r="38" spans="1:21" ht="17.45" customHeight="1">
      <c r="A38">
        <v>35</v>
      </c>
      <c r="B38" s="123" t="str">
        <f>IFERROR(INDEX('IG 콘텐츠 data'!R:R,MATCH('IG 신규발행'!A38,'IG 콘텐츠 data'!S:S,0)),"")</f>
        <v/>
      </c>
      <c r="C38" s="125" t="str">
        <f>IFERROR(IF(INDEX('IG 콘텐츠 data'!$A$1:$AJ$25,MATCH('IG 신규발행'!$A38,'IG 콘텐츠 data'!$S:$S,0),MATCH(C$3,'IG 콘텐츠 data'!$A$1:$O$1,0))="IG 이미지","이미지",IF(INDEX('IG 콘텐츠 data'!$A$1:$AJ$25,MATCH('IG 신규발행'!$A38,'IG 콘텐츠 data'!$S:$S,0),MATCH(C$3,'IG 콘텐츠 data'!$A$1:$O$1,0))="IG 슬라이드","슬라이드",IF(INDEX('IG 콘텐츠 data'!$A$1:$AJ$25,MATCH('IG 신규발행'!$A38,'IG 콘텐츠 data'!$S:$S,0),MATCH(C$3,'IG 콘텐츠 data'!$A$1:$O$1,0))="Instagram 릴스","영상"))),"")</f>
        <v/>
      </c>
      <c r="D38" s="125" t="str">
        <f>IFERROR(INDEX('IG 콘텐츠 data'!$A$1:$AJ$25,MATCH('IG 신규발행'!$A38,'IG 콘텐츠 data'!$S:$S,0),MATCH(D$3,'IG 콘텐츠 data'!$A$1:$Q$1,0)),"")</f>
        <v/>
      </c>
      <c r="E38" s="125" t="str">
        <f>IFERROR(INDEX('IG 콘텐츠 data'!$A$1:$AJ$25,MATCH('IG 신규발행'!$A38,'IG 콘텐츠 data'!$S:$S,0),MATCH(E$3,'IG 콘텐츠 data'!$A$1:$Q$1,0)),"")</f>
        <v/>
      </c>
      <c r="F38" s="125" t="str">
        <f>IFERROR(INDEX('IG 콘텐츠 data'!$A$1:$AJ$25,MATCH('IG 신규발행'!$A38,'IG 콘텐츠 data'!$S:$S,0),MATCH(F$3,'IG 콘텐츠 data'!$A$1:$Q$1,0)),"")</f>
        <v/>
      </c>
      <c r="G38" s="125" t="str">
        <f>IFERROR(INDEX('IG 콘텐츠 data'!$A$1:$AJ$25,MATCH('IG 신규발행'!$A38,'IG 콘텐츠 data'!$S:$S,0),MATCH(G$3,'IG 콘텐츠 data'!$A$1:$Q$1,0)),"")</f>
        <v/>
      </c>
      <c r="H38" s="125" t="str">
        <f>IFERROR(INDEX('IG 콘텐츠 data'!$A$1:$AJ$25,MATCH('IG 신규발행'!$A38,'IG 콘텐츠 data'!$S:$S,0),MATCH(H$3,'IG 콘텐츠 data'!$A$1:$Q$1,0)),"")</f>
        <v/>
      </c>
      <c r="I38" s="125" t="str">
        <f>IFERROR(INDEX('IG 콘텐츠 data'!$A$1:$AJ$25,MATCH('IG 신규발행'!$A38,'IG 콘텐츠 data'!$S:$S,0),MATCH(I$3,'IG 콘텐츠 data'!$A$1:$Q$1,0)),"")</f>
        <v/>
      </c>
      <c r="J38" s="125" t="str">
        <f>IFERROR(INDEX('IG 콘텐츠 data'!$A$1:$AJ$25,MATCH('IG 신규발행'!$A38,'IG 콘텐츠 data'!$S:$S,0),MATCH(J$3,'IG 콘텐츠 data'!$A$1:$Q$1,0)),"")</f>
        <v/>
      </c>
      <c r="K38" s="125" t="str">
        <f>IFERROR(INDEX('IG 콘텐츠 data'!$A$1:$AJ$25,MATCH('IG 신규발행'!$A38,'IG 콘텐츠 data'!$S:$S,0),MATCH(K$3,'IG 콘텐츠 data'!$A$1:$Q$1,0)),"")</f>
        <v/>
      </c>
      <c r="L38" s="125" t="str">
        <f>IFERROR(INDEX('IG 콘텐츠 data'!$A$1:$AJ$25,MATCH('IG 신규발행'!$A38,'IG 콘텐츠 data'!$S:$S,0),MATCH(L$3,'IG 콘텐츠 data'!$A$1:$Q$1,0)),"")</f>
        <v/>
      </c>
      <c r="M38" s="125" t="str">
        <f t="shared" si="3"/>
        <v/>
      </c>
      <c r="N38" s="126" t="str">
        <f t="shared" si="0"/>
        <v/>
      </c>
      <c r="P38" s="48" t="str">
        <f t="shared" si="1"/>
        <v/>
      </c>
      <c r="Q38" s="48" t="str">
        <f t="shared" si="2"/>
        <v/>
      </c>
      <c r="S38" t="str">
        <f t="shared" si="4"/>
        <v/>
      </c>
      <c r="U38" s="117"/>
    </row>
    <row r="39" spans="1:21" ht="17.45" customHeight="1">
      <c r="A39">
        <v>36</v>
      </c>
      <c r="B39" s="123" t="str">
        <f>IFERROR(INDEX('IG 콘텐츠 data'!R:R,MATCH('IG 신규발행'!A39,'IG 콘텐츠 data'!S:S,0)),"")</f>
        <v/>
      </c>
      <c r="C39" s="125" t="str">
        <f>IFERROR(IF(INDEX('IG 콘텐츠 data'!$A$1:$AJ$25,MATCH('IG 신규발행'!$A39,'IG 콘텐츠 data'!$S:$S,0),MATCH(C$3,'IG 콘텐츠 data'!$A$1:$O$1,0))="IG 이미지","이미지",IF(INDEX('IG 콘텐츠 data'!$A$1:$AJ$25,MATCH('IG 신규발행'!$A39,'IG 콘텐츠 data'!$S:$S,0),MATCH(C$3,'IG 콘텐츠 data'!$A$1:$O$1,0))="IG 슬라이드","슬라이드",IF(INDEX('IG 콘텐츠 data'!$A$1:$AJ$25,MATCH('IG 신규발행'!$A39,'IG 콘텐츠 data'!$S:$S,0),MATCH(C$3,'IG 콘텐츠 data'!$A$1:$O$1,0))="Instagram 릴스","영상"))),"")</f>
        <v/>
      </c>
      <c r="D39" s="125" t="str">
        <f>IFERROR(INDEX('IG 콘텐츠 data'!$A$1:$AJ$25,MATCH('IG 신규발행'!$A39,'IG 콘텐츠 data'!$S:$S,0),MATCH(D$3,'IG 콘텐츠 data'!$A$1:$Q$1,0)),"")</f>
        <v/>
      </c>
      <c r="E39" s="125" t="str">
        <f>IFERROR(INDEX('IG 콘텐츠 data'!$A$1:$AJ$25,MATCH('IG 신규발행'!$A39,'IG 콘텐츠 data'!$S:$S,0),MATCH(E$3,'IG 콘텐츠 data'!$A$1:$Q$1,0)),"")</f>
        <v/>
      </c>
      <c r="F39" s="125" t="str">
        <f>IFERROR(INDEX('IG 콘텐츠 data'!$A$1:$AJ$25,MATCH('IG 신규발행'!$A39,'IG 콘텐츠 data'!$S:$S,0),MATCH(F$3,'IG 콘텐츠 data'!$A$1:$Q$1,0)),"")</f>
        <v/>
      </c>
      <c r="G39" s="125" t="str">
        <f>IFERROR(INDEX('IG 콘텐츠 data'!$A$1:$AJ$25,MATCH('IG 신규발행'!$A39,'IG 콘텐츠 data'!$S:$S,0),MATCH(G$3,'IG 콘텐츠 data'!$A$1:$Q$1,0)),"")</f>
        <v/>
      </c>
      <c r="H39" s="125" t="str">
        <f>IFERROR(INDEX('IG 콘텐츠 data'!$A$1:$AJ$25,MATCH('IG 신규발행'!$A39,'IG 콘텐츠 data'!$S:$S,0),MATCH(H$3,'IG 콘텐츠 data'!$A$1:$Q$1,0)),"")</f>
        <v/>
      </c>
      <c r="I39" s="125" t="str">
        <f>IFERROR(INDEX('IG 콘텐츠 data'!$A$1:$AJ$25,MATCH('IG 신규발행'!$A39,'IG 콘텐츠 data'!$S:$S,0),MATCH(I$3,'IG 콘텐츠 data'!$A$1:$Q$1,0)),"")</f>
        <v/>
      </c>
      <c r="J39" s="125" t="str">
        <f>IFERROR(INDEX('IG 콘텐츠 data'!$A$1:$AJ$25,MATCH('IG 신규발행'!$A39,'IG 콘텐츠 data'!$S:$S,0),MATCH(J$3,'IG 콘텐츠 data'!$A$1:$Q$1,0)),"")</f>
        <v/>
      </c>
      <c r="K39" s="125" t="str">
        <f>IFERROR(INDEX('IG 콘텐츠 data'!$A$1:$AJ$25,MATCH('IG 신규발행'!$A39,'IG 콘텐츠 data'!$S:$S,0),MATCH(K$3,'IG 콘텐츠 data'!$A$1:$Q$1,0)),"")</f>
        <v/>
      </c>
      <c r="L39" s="125" t="str">
        <f>IFERROR(INDEX('IG 콘텐츠 data'!$A$1:$AJ$25,MATCH('IG 신규발행'!$A39,'IG 콘텐츠 data'!$S:$S,0),MATCH(L$3,'IG 콘텐츠 data'!$A$1:$Q$1,0)),"")</f>
        <v/>
      </c>
      <c r="M39" s="125" t="str">
        <f t="shared" si="3"/>
        <v/>
      </c>
      <c r="N39" s="126" t="str">
        <f t="shared" si="0"/>
        <v/>
      </c>
      <c r="P39" s="48" t="str">
        <f t="shared" si="1"/>
        <v/>
      </c>
      <c r="Q39" s="48" t="str">
        <f t="shared" si="2"/>
        <v/>
      </c>
      <c r="S39" t="str">
        <f t="shared" si="4"/>
        <v/>
      </c>
      <c r="U39" s="117"/>
    </row>
    <row r="40" spans="1:21" ht="17.45" customHeight="1">
      <c r="A40">
        <v>37</v>
      </c>
      <c r="B40" s="123" t="str">
        <f>IFERROR(INDEX('IG 콘텐츠 data'!R:R,MATCH('IG 신규발행'!A40,'IG 콘텐츠 data'!S:S,0)),"")</f>
        <v/>
      </c>
      <c r="C40" s="125" t="str">
        <f>IFERROR(IF(INDEX('IG 콘텐츠 data'!$A$1:$AJ$25,MATCH('IG 신규발행'!$A40,'IG 콘텐츠 data'!$S:$S,0),MATCH(C$3,'IG 콘텐츠 data'!$A$1:$O$1,0))="IG 이미지","이미지",IF(INDEX('IG 콘텐츠 data'!$A$1:$AJ$25,MATCH('IG 신규발행'!$A40,'IG 콘텐츠 data'!$S:$S,0),MATCH(C$3,'IG 콘텐츠 data'!$A$1:$O$1,0))="IG 슬라이드","슬라이드",IF(INDEX('IG 콘텐츠 data'!$A$1:$AJ$25,MATCH('IG 신규발행'!$A40,'IG 콘텐츠 data'!$S:$S,0),MATCH(C$3,'IG 콘텐츠 data'!$A$1:$O$1,0))="Instagram 릴스","영상"))),"")</f>
        <v/>
      </c>
      <c r="D40" s="125" t="str">
        <f>IFERROR(INDEX('IG 콘텐츠 data'!$A$1:$AJ$25,MATCH('IG 신규발행'!$A40,'IG 콘텐츠 data'!$S:$S,0),MATCH(D$3,'IG 콘텐츠 data'!$A$1:$Q$1,0)),"")</f>
        <v/>
      </c>
      <c r="E40" s="125" t="str">
        <f>IFERROR(INDEX('IG 콘텐츠 data'!$A$1:$AJ$25,MATCH('IG 신규발행'!$A40,'IG 콘텐츠 data'!$S:$S,0),MATCH(E$3,'IG 콘텐츠 data'!$A$1:$Q$1,0)),"")</f>
        <v/>
      </c>
      <c r="F40" s="125" t="str">
        <f>IFERROR(INDEX('IG 콘텐츠 data'!$A$1:$AJ$25,MATCH('IG 신규발행'!$A40,'IG 콘텐츠 data'!$S:$S,0),MATCH(F$3,'IG 콘텐츠 data'!$A$1:$Q$1,0)),"")</f>
        <v/>
      </c>
      <c r="G40" s="125" t="str">
        <f>IFERROR(INDEX('IG 콘텐츠 data'!$A$1:$AJ$25,MATCH('IG 신규발행'!$A40,'IG 콘텐츠 data'!$S:$S,0),MATCH(G$3,'IG 콘텐츠 data'!$A$1:$Q$1,0)),"")</f>
        <v/>
      </c>
      <c r="H40" s="125" t="str">
        <f>IFERROR(INDEX('IG 콘텐츠 data'!$A$1:$AJ$25,MATCH('IG 신규발행'!$A40,'IG 콘텐츠 data'!$S:$S,0),MATCH(H$3,'IG 콘텐츠 data'!$A$1:$Q$1,0)),"")</f>
        <v/>
      </c>
      <c r="I40" s="125" t="str">
        <f>IFERROR(INDEX('IG 콘텐츠 data'!$A$1:$AJ$25,MATCH('IG 신규발행'!$A40,'IG 콘텐츠 data'!$S:$S,0),MATCH(I$3,'IG 콘텐츠 data'!$A$1:$Q$1,0)),"")</f>
        <v/>
      </c>
      <c r="J40" s="125" t="str">
        <f>IFERROR(INDEX('IG 콘텐츠 data'!$A$1:$AJ$25,MATCH('IG 신규발행'!$A40,'IG 콘텐츠 data'!$S:$S,0),MATCH(J$3,'IG 콘텐츠 data'!$A$1:$Q$1,0)),"")</f>
        <v/>
      </c>
      <c r="K40" s="125" t="str">
        <f>IFERROR(INDEX('IG 콘텐츠 data'!$A$1:$AJ$25,MATCH('IG 신규발행'!$A40,'IG 콘텐츠 data'!$S:$S,0),MATCH(K$3,'IG 콘텐츠 data'!$A$1:$Q$1,0)),"")</f>
        <v/>
      </c>
      <c r="L40" s="125" t="str">
        <f>IFERROR(INDEX('IG 콘텐츠 data'!$A$1:$AJ$25,MATCH('IG 신규발행'!$A40,'IG 콘텐츠 data'!$S:$S,0),MATCH(L$3,'IG 콘텐츠 data'!$A$1:$Q$1,0)),"")</f>
        <v/>
      </c>
      <c r="M40" s="125" t="str">
        <f t="shared" si="3"/>
        <v/>
      </c>
      <c r="N40" s="126" t="str">
        <f t="shared" si="0"/>
        <v/>
      </c>
      <c r="P40" s="48" t="str">
        <f t="shared" si="1"/>
        <v/>
      </c>
      <c r="Q40" s="48" t="str">
        <f t="shared" si="2"/>
        <v/>
      </c>
      <c r="S40" t="str">
        <f t="shared" si="4"/>
        <v/>
      </c>
      <c r="U40" s="117"/>
    </row>
    <row r="41" spans="1:21" ht="17.45" customHeight="1">
      <c r="A41">
        <v>38</v>
      </c>
      <c r="B41" s="123" t="str">
        <f>IFERROR(INDEX('IG 콘텐츠 data'!R:R,MATCH('IG 신규발행'!A41,'IG 콘텐츠 data'!S:S,0)),"")</f>
        <v/>
      </c>
      <c r="C41" s="125" t="str">
        <f>IFERROR(IF(INDEX('IG 콘텐츠 data'!$A$1:$AJ$25,MATCH('IG 신규발행'!$A41,'IG 콘텐츠 data'!$S:$S,0),MATCH(C$3,'IG 콘텐츠 data'!$A$1:$O$1,0))="IG 이미지","이미지",IF(INDEX('IG 콘텐츠 data'!$A$1:$AJ$25,MATCH('IG 신규발행'!$A41,'IG 콘텐츠 data'!$S:$S,0),MATCH(C$3,'IG 콘텐츠 data'!$A$1:$O$1,0))="IG 슬라이드","슬라이드",IF(INDEX('IG 콘텐츠 data'!$A$1:$AJ$25,MATCH('IG 신규발행'!$A41,'IG 콘텐츠 data'!$S:$S,0),MATCH(C$3,'IG 콘텐츠 data'!$A$1:$O$1,0))="Instagram 릴스","영상"))),"")</f>
        <v/>
      </c>
      <c r="D41" s="125" t="str">
        <f>IFERROR(INDEX('IG 콘텐츠 data'!$A$1:$AJ$25,MATCH('IG 신규발행'!$A41,'IG 콘텐츠 data'!$S:$S,0),MATCH(D$3,'IG 콘텐츠 data'!$A$1:$Q$1,0)),"")</f>
        <v/>
      </c>
      <c r="E41" s="125" t="str">
        <f>IFERROR(INDEX('IG 콘텐츠 data'!$A$1:$AJ$25,MATCH('IG 신규발행'!$A41,'IG 콘텐츠 data'!$S:$S,0),MATCH(E$3,'IG 콘텐츠 data'!$A$1:$Q$1,0)),"")</f>
        <v/>
      </c>
      <c r="F41" s="125" t="str">
        <f>IFERROR(INDEX('IG 콘텐츠 data'!$A$1:$AJ$25,MATCH('IG 신규발행'!$A41,'IG 콘텐츠 data'!$S:$S,0),MATCH(F$3,'IG 콘텐츠 data'!$A$1:$Q$1,0)),"")</f>
        <v/>
      </c>
      <c r="G41" s="125" t="str">
        <f>IFERROR(INDEX('IG 콘텐츠 data'!$A$1:$AJ$25,MATCH('IG 신규발행'!$A41,'IG 콘텐츠 data'!$S:$S,0),MATCH(G$3,'IG 콘텐츠 data'!$A$1:$Q$1,0)),"")</f>
        <v/>
      </c>
      <c r="H41" s="125" t="str">
        <f>IFERROR(INDEX('IG 콘텐츠 data'!$A$1:$AJ$25,MATCH('IG 신규발행'!$A41,'IG 콘텐츠 data'!$S:$S,0),MATCH(H$3,'IG 콘텐츠 data'!$A$1:$Q$1,0)),"")</f>
        <v/>
      </c>
      <c r="I41" s="125" t="str">
        <f>IFERROR(INDEX('IG 콘텐츠 data'!$A$1:$AJ$25,MATCH('IG 신규발행'!$A41,'IG 콘텐츠 data'!$S:$S,0),MATCH(I$3,'IG 콘텐츠 data'!$A$1:$Q$1,0)),"")</f>
        <v/>
      </c>
      <c r="J41" s="125" t="str">
        <f>IFERROR(INDEX('IG 콘텐츠 data'!$A$1:$AJ$25,MATCH('IG 신규발행'!$A41,'IG 콘텐츠 data'!$S:$S,0),MATCH(J$3,'IG 콘텐츠 data'!$A$1:$Q$1,0)),"")</f>
        <v/>
      </c>
      <c r="K41" s="125" t="str">
        <f>IFERROR(INDEX('IG 콘텐츠 data'!$A$1:$AJ$25,MATCH('IG 신규발행'!$A41,'IG 콘텐츠 data'!$S:$S,0),MATCH(K$3,'IG 콘텐츠 data'!$A$1:$Q$1,0)),"")</f>
        <v/>
      </c>
      <c r="L41" s="125" t="str">
        <f>IFERROR(INDEX('IG 콘텐츠 data'!$A$1:$AJ$25,MATCH('IG 신규발행'!$A41,'IG 콘텐츠 data'!$S:$S,0),MATCH(L$3,'IG 콘텐츠 data'!$A$1:$Q$1,0)),"")</f>
        <v/>
      </c>
      <c r="M41" s="125" t="str">
        <f t="shared" si="3"/>
        <v/>
      </c>
      <c r="N41" s="126" t="str">
        <f t="shared" si="0"/>
        <v/>
      </c>
      <c r="P41" s="48" t="str">
        <f t="shared" si="1"/>
        <v/>
      </c>
      <c r="Q41" s="48" t="str">
        <f t="shared" si="2"/>
        <v/>
      </c>
      <c r="S41" t="str">
        <f t="shared" si="4"/>
        <v/>
      </c>
      <c r="U41" s="117"/>
    </row>
    <row r="42" spans="1:21" ht="17.45" customHeight="1">
      <c r="A42">
        <v>39</v>
      </c>
      <c r="B42" s="123" t="str">
        <f>IFERROR(INDEX('IG 콘텐츠 data'!R:R,MATCH('IG 신규발행'!A42,'IG 콘텐츠 data'!S:S,0)),"")</f>
        <v/>
      </c>
      <c r="C42" s="125" t="str">
        <f>IFERROR(IF(INDEX('IG 콘텐츠 data'!$A$1:$AJ$25,MATCH('IG 신규발행'!$A42,'IG 콘텐츠 data'!$S:$S,0),MATCH(C$3,'IG 콘텐츠 data'!$A$1:$O$1,0))="IG 이미지","이미지",IF(INDEX('IG 콘텐츠 data'!$A$1:$AJ$25,MATCH('IG 신규발행'!$A42,'IG 콘텐츠 data'!$S:$S,0),MATCH(C$3,'IG 콘텐츠 data'!$A$1:$O$1,0))="IG 슬라이드","슬라이드",IF(INDEX('IG 콘텐츠 data'!$A$1:$AJ$25,MATCH('IG 신규발행'!$A42,'IG 콘텐츠 data'!$S:$S,0),MATCH(C$3,'IG 콘텐츠 data'!$A$1:$O$1,0))="Instagram 릴스","영상"))),"")</f>
        <v/>
      </c>
      <c r="D42" s="125" t="str">
        <f>IFERROR(INDEX('IG 콘텐츠 data'!$A$1:$AJ$25,MATCH('IG 신규발행'!$A42,'IG 콘텐츠 data'!$S:$S,0),MATCH(D$3,'IG 콘텐츠 data'!$A$1:$Q$1,0)),"")</f>
        <v/>
      </c>
      <c r="E42" s="125" t="str">
        <f>IFERROR(INDEX('IG 콘텐츠 data'!$A$1:$AJ$25,MATCH('IG 신규발행'!$A42,'IG 콘텐츠 data'!$S:$S,0),MATCH(E$3,'IG 콘텐츠 data'!$A$1:$Q$1,0)),"")</f>
        <v/>
      </c>
      <c r="F42" s="125" t="str">
        <f>IFERROR(INDEX('IG 콘텐츠 data'!$A$1:$AJ$25,MATCH('IG 신규발행'!$A42,'IG 콘텐츠 data'!$S:$S,0),MATCH(F$3,'IG 콘텐츠 data'!$A$1:$Q$1,0)),"")</f>
        <v/>
      </c>
      <c r="G42" s="125" t="str">
        <f>IFERROR(INDEX('IG 콘텐츠 data'!$A$1:$AJ$25,MATCH('IG 신규발행'!$A42,'IG 콘텐츠 data'!$S:$S,0),MATCH(G$3,'IG 콘텐츠 data'!$A$1:$Q$1,0)),"")</f>
        <v/>
      </c>
      <c r="H42" s="125" t="str">
        <f>IFERROR(INDEX('IG 콘텐츠 data'!$A$1:$AJ$25,MATCH('IG 신규발행'!$A42,'IG 콘텐츠 data'!$S:$S,0),MATCH(H$3,'IG 콘텐츠 data'!$A$1:$Q$1,0)),"")</f>
        <v/>
      </c>
      <c r="I42" s="125" t="str">
        <f>IFERROR(INDEX('IG 콘텐츠 data'!$A$1:$AJ$25,MATCH('IG 신규발행'!$A42,'IG 콘텐츠 data'!$S:$S,0),MATCH(I$3,'IG 콘텐츠 data'!$A$1:$Q$1,0)),"")</f>
        <v/>
      </c>
      <c r="J42" s="125" t="str">
        <f>IFERROR(INDEX('IG 콘텐츠 data'!$A$1:$AJ$25,MATCH('IG 신규발행'!$A42,'IG 콘텐츠 data'!$S:$S,0),MATCH(J$3,'IG 콘텐츠 data'!$A$1:$Q$1,0)),"")</f>
        <v/>
      </c>
      <c r="K42" s="125" t="str">
        <f>IFERROR(INDEX('IG 콘텐츠 data'!$A$1:$AJ$25,MATCH('IG 신규발행'!$A42,'IG 콘텐츠 data'!$S:$S,0),MATCH(K$3,'IG 콘텐츠 data'!$A$1:$Q$1,0)),"")</f>
        <v/>
      </c>
      <c r="L42" s="125" t="str">
        <f>IFERROR(INDEX('IG 콘텐츠 data'!$A$1:$AJ$25,MATCH('IG 신규발행'!$A42,'IG 콘텐츠 data'!$S:$S,0),MATCH(L$3,'IG 콘텐츠 data'!$A$1:$Q$1,0)),"")</f>
        <v/>
      </c>
      <c r="M42" s="125" t="str">
        <f t="shared" si="3"/>
        <v/>
      </c>
      <c r="N42" s="126" t="str">
        <f t="shared" si="0"/>
        <v/>
      </c>
      <c r="P42" s="48" t="str">
        <f t="shared" si="1"/>
        <v/>
      </c>
      <c r="Q42" s="48" t="str">
        <f t="shared" si="2"/>
        <v/>
      </c>
      <c r="S42" t="str">
        <f t="shared" si="4"/>
        <v/>
      </c>
      <c r="U42" s="117"/>
    </row>
  </sheetData>
  <autoFilter ref="A3:N42" xr:uid="{00000000-0001-0000-0C00-000000000000}"/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B1:U48"/>
  <sheetViews>
    <sheetView workbookViewId="0">
      <selection activeCell="B3" sqref="B3"/>
    </sheetView>
  </sheetViews>
  <sheetFormatPr defaultRowHeight="16.899999999999999"/>
  <cols>
    <col min="21" max="21" width="8.625" style="113"/>
  </cols>
  <sheetData>
    <row r="1" spans="2:21">
      <c r="U1" s="59"/>
    </row>
    <row r="2" spans="2:21">
      <c r="U2" s="59"/>
    </row>
    <row r="3" spans="2:21">
      <c r="B3" s="130" t="str">
        <f>HYPERLINK(INDEX('IG 콘텐츠 data'!D:D,MATCH(INDEX('IG 신규발행'!$A:$A,MATCH(1,'IG 신규발행'!$P:$P,0)),'IG 콘텐츠 data'!S:S,0)),"1. "&amp;INDEX('IG 신규발행'!$D:$D,MATCH(1,'IG 신규발행'!$P:$P,0)))</f>
        <v>1. 이노드림(지두 크리슈나무르티)</v>
      </c>
      <c r="H3" s="130" t="str">
        <f>HYPERLINK(INDEX('IG 콘텐츠 data'!D:D,MATCH(INDEX('IG 신규발행'!$A:$A,MATCH(2,'IG 신규발행'!$P:$P,0)),'IG 콘텐츠 data'!S:S,0)),"2. "&amp;INDEX('IG 신규발행'!$D:$D,MATCH(2,'IG 신규발행'!$P:$P,0)))</f>
        <v>2. 이노드림(데이비드 흄)</v>
      </c>
      <c r="N3" s="130" t="str">
        <f>HYPERLINK(INDEX('IG 콘텐츠 data'!D:D,MATCH(INDEX('IG 신규발행'!$A:$A,MATCH(3,'IG 신규발행'!$P:$P,0)),'IG 콘텐츠 data'!S:S,0)),"3. "&amp;INDEX('IG 신규발행'!$D:$D,MATCH(3,'IG 신규발행'!$P:$P,0)))</f>
        <v>3. 이노드림(존 스튜어트 밀)</v>
      </c>
      <c r="U3" s="59"/>
    </row>
    <row r="4" spans="2:21">
      <c r="E4" s="87"/>
      <c r="K4" s="87"/>
      <c r="Q4" s="87"/>
      <c r="U4" s="59"/>
    </row>
    <row r="5" spans="2:21" ht="17.25" thickBot="1">
      <c r="B5" s="53" t="s">
        <v>80</v>
      </c>
      <c r="C5" s="61">
        <f ca="1">VLOOKUP(INDEX('IG 신규발행'!$D:$D,MATCH(1,'IG 신규발행'!$P:$P,0)),'IG 신규발행'!$D:$N,3,FALSE)</f>
        <v>4408</v>
      </c>
      <c r="D5" s="54" t="s">
        <v>82</v>
      </c>
      <c r="E5" s="61">
        <f ca="1">VLOOKUP(INDEX('IG 신규발행'!$D:$D,MATCH(1,'IG 신규발행'!$P:$P,0)),'IG 신규발행'!$D:$N,2,FALSE)</f>
        <v>6407</v>
      </c>
      <c r="H5" s="53" t="s">
        <v>65</v>
      </c>
      <c r="I5" s="61">
        <f ca="1">VLOOKUP(INDEX('IG 신규발행'!$D:$D,MATCH(2,'IG 신규발행'!$P:$P,0)),'IG 신규발행'!$D:$N,3,FALSE)</f>
        <v>5097</v>
      </c>
      <c r="J5" s="54" t="s">
        <v>82</v>
      </c>
      <c r="K5" s="61">
        <f ca="1">VLOOKUP(INDEX('IG 신규발행'!$D:$D,MATCH(2,'IG 신규발행'!$P:$P,0)),'IG 신규발행'!$D:$N,2,FALSE)</f>
        <v>7251</v>
      </c>
      <c r="N5" s="53" t="s">
        <v>65</v>
      </c>
      <c r="O5" s="61">
        <f ca="1">VLOOKUP(INDEX('IG 신규발행'!$D:$D,MATCH(3,'IG 신규발행'!$P:$P,0)),'IG 신규발행'!$D:$N,3,FALSE)</f>
        <v>4655</v>
      </c>
      <c r="P5" s="54" t="s">
        <v>82</v>
      </c>
      <c r="Q5" s="61">
        <f ca="1">VLOOKUP(INDEX('IG 신규발행'!$D:$D,MATCH(3,'IG 신규발행'!$P:$P,0)),'IG 신규발행'!$D:$N,2,FALSE)</f>
        <v>6421</v>
      </c>
      <c r="U5" s="59"/>
    </row>
    <row r="6" spans="2:21" ht="17.649999999999999" thickTop="1" thickBot="1">
      <c r="B6" s="55" t="s">
        <v>81</v>
      </c>
      <c r="C6" s="61">
        <f ca="1">VLOOKUP(INDEX('IG 신규발행'!$D:$D,MATCH(1,'IG 신규발행'!$P:$P,0)),'IG 신규발행'!$D:$N,7,FALSE)</f>
        <v>1126</v>
      </c>
      <c r="D6" s="56" t="s">
        <v>83</v>
      </c>
      <c r="E6" s="61">
        <f ca="1">VLOOKUP(INDEX('IG 신규발행'!$D:$D,MATCH(1,'IG 신규발행'!$P:$P,0)),'IG 신규발행'!$D:$N,8,FALSE)</f>
        <v>8</v>
      </c>
      <c r="H6" s="55" t="s">
        <v>81</v>
      </c>
      <c r="I6" s="61">
        <f ca="1">VLOOKUP(INDEX('IG 신규발행'!$D:$D,MATCH(2,'IG 신규발행'!$P:$P,0)),'IG 신규발행'!$D:$N,7,FALSE)</f>
        <v>1305</v>
      </c>
      <c r="J6" s="56" t="s">
        <v>83</v>
      </c>
      <c r="K6" s="61">
        <f ca="1">VLOOKUP(INDEX('IG 신규발행'!$D:$D,MATCH(2,'IG 신규발행'!$P:$P,0)),'IG 신규발행'!$D:$N,8,FALSE)</f>
        <v>0</v>
      </c>
      <c r="N6" s="55" t="s">
        <v>81</v>
      </c>
      <c r="O6" s="61">
        <f ca="1">VLOOKUP(INDEX('IG 신규발행'!$D:$D,MATCH(3,'IG 신규발행'!$P:$P,0)),'IG 신규발행'!$D:$N,7,FALSE)</f>
        <v>1145</v>
      </c>
      <c r="P6" s="56" t="s">
        <v>83</v>
      </c>
      <c r="Q6" s="61">
        <f ca="1">VLOOKUP(INDEX('IG 신규발행'!$D:$D,MATCH(3,'IG 신규발행'!$P:$P,0)),'IG 신규발행'!$D:$N,8,FALSE)</f>
        <v>3</v>
      </c>
      <c r="U6" s="59"/>
    </row>
    <row r="7" spans="2:21" ht="17.649999999999999" thickTop="1" thickBot="1">
      <c r="B7" s="57" t="s">
        <v>84</v>
      </c>
      <c r="C7" s="61">
        <f ca="1">VLOOKUP(INDEX('IG 신규발행'!$D:$D,MATCH(1,'IG 신규발행'!$P:$P,0)),'IG 신규발행'!$D:$N,4,FALSE)</f>
        <v>1</v>
      </c>
      <c r="D7" s="56" t="s">
        <v>87</v>
      </c>
      <c r="E7" s="61">
        <f ca="1">VLOOKUP(INDEX('IG 신규발행'!$D:$D,MATCH(1,'IG 신규발행'!$P:$P,0)),'IG 신규발행'!$D:$N,9,FALSE)</f>
        <v>25</v>
      </c>
      <c r="H7" s="57" t="s">
        <v>84</v>
      </c>
      <c r="I7" s="61">
        <f ca="1">VLOOKUP(INDEX('IG 신규발행'!$D:$D,MATCH(2,'IG 신규발행'!$P:$P,0)),'IG 신규발행'!$D:$N,4,FALSE)</f>
        <v>3</v>
      </c>
      <c r="J7" s="56" t="s">
        <v>78</v>
      </c>
      <c r="K7" s="61">
        <f ca="1">VLOOKUP(INDEX('IG 신규발행'!$D:$D,MATCH(2,'IG 신규발행'!$P:$P,0)),'IG 신규발행'!$D:$N,9,FALSE)</f>
        <v>17</v>
      </c>
      <c r="N7" s="57" t="s">
        <v>84</v>
      </c>
      <c r="O7" s="61">
        <f ca="1">VLOOKUP(INDEX('IG 신규발행'!$D:$D,MATCH(3,'IG 신규발행'!$P:$P,0)),'IG 신규발행'!$D:$N,4,FALSE)</f>
        <v>2</v>
      </c>
      <c r="P7" s="56" t="s">
        <v>78</v>
      </c>
      <c r="Q7" s="61">
        <f ca="1">VLOOKUP(INDEX('IG 신규발행'!$D:$D,MATCH(3,'IG 신규발행'!$P:$P,0)),'IG 신규발행'!$D:$N,9,FALSE)</f>
        <v>25</v>
      </c>
      <c r="U7" s="59"/>
    </row>
    <row r="8" spans="2:21" ht="17.649999999999999" thickTop="1" thickBot="1">
      <c r="B8" s="58" t="s">
        <v>85</v>
      </c>
      <c r="C8" s="61">
        <f ca="1">VLOOKUP(INDEX('IG 신규발행'!$D:$D,MATCH(1,'IG 신규발행'!$P:$P,0)),'IG 신규발행'!$D:$N,10,FALSE)</f>
        <v>1160</v>
      </c>
      <c r="D8" s="56" t="s">
        <v>86</v>
      </c>
      <c r="E8" s="86">
        <f ca="1">VLOOKUP(INDEX('IG 신규발행'!$D:$D,MATCH(1,'IG 신규발행'!$P:$P,0)),'IG 신규발행'!$D:$N,11,FALSE)</f>
        <v>0.26315789473684209</v>
      </c>
      <c r="H8" s="58" t="s">
        <v>56</v>
      </c>
      <c r="I8" s="61">
        <f ca="1">VLOOKUP(INDEX('IG 신규발행'!$D:$D,MATCH(2,'IG 신규발행'!$P:$P,0)),'IG 신규발행'!$D:$N,10,FALSE)</f>
        <v>1325</v>
      </c>
      <c r="J8" s="56" t="s">
        <v>61</v>
      </c>
      <c r="K8" s="86">
        <f ca="1">VLOOKUP(INDEX('IG 신규발행'!$D:$D,MATCH(2,'IG 신규발행'!$P:$P,0)),'IG 신규발행'!$D:$N,11,FALSE)</f>
        <v>0.25995683735530706</v>
      </c>
      <c r="N8" s="58" t="s">
        <v>56</v>
      </c>
      <c r="O8" s="61">
        <f ca="1">VLOOKUP(INDEX('IG 신규발행'!$D:$D,MATCH(3,'IG 신규발행'!$P:$P,0)),'IG 신규발행'!$D:$N,10,FALSE)</f>
        <v>1175</v>
      </c>
      <c r="P8" s="56" t="s">
        <v>61</v>
      </c>
      <c r="Q8" s="86">
        <f ca="1">VLOOKUP(INDEX('IG 신규발행'!$D:$D,MATCH(3,'IG 신규발행'!$P:$P,0)),'IG 신규발행'!$D:$N,11,FALSE)</f>
        <v>0.25241675617615467</v>
      </c>
      <c r="U8" s="59"/>
    </row>
    <row r="9" spans="2:21" ht="17.25" thickTop="1">
      <c r="U9" s="59"/>
    </row>
    <row r="10" spans="2:21">
      <c r="B10" s="59"/>
      <c r="U10" s="59"/>
    </row>
    <row r="11" spans="2:21">
      <c r="B11" s="52" t="s">
        <v>71</v>
      </c>
      <c r="U11" s="59"/>
    </row>
    <row r="12" spans="2:21">
      <c r="B12" s="52" t="s">
        <v>111</v>
      </c>
      <c r="U12" s="59"/>
    </row>
    <row r="13" spans="2:21">
      <c r="U13" s="59"/>
    </row>
    <row r="14" spans="2:21">
      <c r="U14" s="59"/>
    </row>
    <row r="15" spans="2:21">
      <c r="U15" s="59"/>
    </row>
    <row r="16" spans="2:21">
      <c r="U16" s="59"/>
    </row>
    <row r="17" spans="21:21">
      <c r="U17" s="59"/>
    </row>
    <row r="18" spans="21:21">
      <c r="U18" s="59"/>
    </row>
    <row r="19" spans="21:21">
      <c r="U19" s="59"/>
    </row>
    <row r="20" spans="21:21">
      <c r="U20" s="59"/>
    </row>
    <row r="21" spans="21:21">
      <c r="U21" s="59"/>
    </row>
    <row r="22" spans="21:21">
      <c r="U22" s="59"/>
    </row>
    <row r="23" spans="21:21">
      <c r="U23" s="59"/>
    </row>
    <row r="24" spans="21:21">
      <c r="U24" s="59"/>
    </row>
    <row r="25" spans="21:21">
      <c r="U25" s="59"/>
    </row>
    <row r="26" spans="21:21">
      <c r="U26" s="59"/>
    </row>
    <row r="27" spans="21:21">
      <c r="U27" s="59"/>
    </row>
    <row r="28" spans="21:21">
      <c r="U28" s="59"/>
    </row>
    <row r="29" spans="21:21">
      <c r="U29" s="59"/>
    </row>
    <row r="30" spans="21:21">
      <c r="U30" s="59"/>
    </row>
    <row r="31" spans="21:21">
      <c r="U31" s="59"/>
    </row>
    <row r="32" spans="21:21">
      <c r="U32" s="59"/>
    </row>
    <row r="33" spans="21:21">
      <c r="U33" s="59"/>
    </row>
    <row r="34" spans="21:21">
      <c r="U34" s="59"/>
    </row>
    <row r="35" spans="21:21">
      <c r="U35" s="59"/>
    </row>
    <row r="36" spans="21:21">
      <c r="U36" s="59"/>
    </row>
    <row r="37" spans="21:21">
      <c r="U37" s="59"/>
    </row>
    <row r="38" spans="21:21">
      <c r="U38" s="59"/>
    </row>
    <row r="39" spans="21:21">
      <c r="U39" s="59"/>
    </row>
    <row r="40" spans="21:21">
      <c r="U40" s="59"/>
    </row>
    <row r="41" spans="21:21">
      <c r="U41" s="59"/>
    </row>
    <row r="42" spans="21:21">
      <c r="U42" s="59"/>
    </row>
    <row r="43" spans="21:21">
      <c r="U43" s="59"/>
    </row>
    <row r="44" spans="21:21">
      <c r="U44" s="59"/>
    </row>
    <row r="45" spans="21:21">
      <c r="U45" s="59"/>
    </row>
    <row r="46" spans="21:21">
      <c r="U46" s="59"/>
    </row>
    <row r="47" spans="21:21">
      <c r="U47" s="59"/>
    </row>
    <row r="48" spans="21:21">
      <c r="U48" s="5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C36"/>
  <sheetViews>
    <sheetView tabSelected="1" topLeftCell="A10" workbookViewId="0">
      <selection activeCell="O30" sqref="O30"/>
    </sheetView>
  </sheetViews>
  <sheetFormatPr defaultRowHeight="16.899999999999999"/>
  <cols>
    <col min="1" max="1" width="10.875" bestFit="1" customWidth="1"/>
  </cols>
  <sheetData>
    <row r="1" spans="1:2">
      <c r="A1" s="91" t="s">
        <v>100</v>
      </c>
      <c r="B1" s="92" t="s">
        <v>101</v>
      </c>
    </row>
    <row r="2" spans="1:2">
      <c r="A2" s="93" t="str">
        <f>IF(일일data!A4="","",TEXT(일일data!A4,"d"))</f>
        <v>1</v>
      </c>
      <c r="B2" s="90">
        <f>IF(일일data!Y4="","",일일data!Y4)</f>
        <v>195362</v>
      </c>
    </row>
    <row r="3" spans="1:2">
      <c r="A3" s="93" t="str">
        <f>IF(일일data!A5="","",TEXT(일일data!A5,"d"))</f>
        <v>2</v>
      </c>
      <c r="B3" s="90">
        <f>IF(일일data!Y5="","",일일data!Y5)</f>
        <v>195335</v>
      </c>
    </row>
    <row r="4" spans="1:2">
      <c r="A4" s="93" t="str">
        <f>IF(일일data!A6="","",TEXT(일일data!A6,"d"))</f>
        <v>3</v>
      </c>
      <c r="B4" s="90">
        <f>IF(일일data!Y6="","",일일data!Y6)</f>
        <v>195286</v>
      </c>
    </row>
    <row r="5" spans="1:2">
      <c r="A5" s="93" t="str">
        <f>IF(일일data!A7="","",TEXT(일일data!A7,"d"))</f>
        <v>4</v>
      </c>
      <c r="B5" s="90">
        <f>IF(일일data!Y7="","",일일data!Y7)</f>
        <v>195239</v>
      </c>
    </row>
    <row r="6" spans="1:2">
      <c r="A6" s="93" t="str">
        <f>IF(일일data!A8="","",TEXT(일일data!A8,"d"))</f>
        <v>5</v>
      </c>
      <c r="B6" s="90">
        <f>IF(일일data!Y8="","",일일data!Y8)</f>
        <v>195183</v>
      </c>
    </row>
    <row r="7" spans="1:2">
      <c r="A7" s="93" t="str">
        <f>IF(일일data!A9="","",TEXT(일일data!A9,"d"))</f>
        <v>6</v>
      </c>
      <c r="B7" s="90">
        <f>IF(일일data!Y9="","",일일data!Y9)</f>
        <v>195136</v>
      </c>
    </row>
    <row r="8" spans="1:2">
      <c r="A8" s="93" t="str">
        <f>IF(일일data!A10="","",TEXT(일일data!A10,"d"))</f>
        <v>7</v>
      </c>
      <c r="B8" s="90">
        <f>IF(일일data!Y10="","",일일data!Y10)</f>
        <v>195080</v>
      </c>
    </row>
    <row r="9" spans="1:2">
      <c r="A9" s="93" t="str">
        <f>IF(일일data!A11="","",TEXT(일일data!A11,"d"))</f>
        <v>8</v>
      </c>
      <c r="B9" s="90">
        <f>IF(일일data!Y11="","",일일data!Y11)</f>
        <v>195041</v>
      </c>
    </row>
    <row r="10" spans="1:2">
      <c r="A10" s="93" t="str">
        <f>IF(일일data!A12="","",TEXT(일일data!A12,"d"))</f>
        <v>9</v>
      </c>
      <c r="B10" s="90">
        <f>IF(일일data!Y12="","",일일data!Y12)</f>
        <v>195000</v>
      </c>
    </row>
    <row r="11" spans="1:2">
      <c r="A11" s="93" t="str">
        <f>IF(일일data!A13="","",TEXT(일일data!A13,"d"))</f>
        <v>10</v>
      </c>
      <c r="B11" s="90">
        <f>IF(일일data!Y13="","",일일data!Y13)</f>
        <v>194966</v>
      </c>
    </row>
    <row r="12" spans="1:2">
      <c r="A12" s="93" t="str">
        <f>IF(일일data!A14="","",TEXT(일일data!A14,"d"))</f>
        <v>11</v>
      </c>
      <c r="B12" s="90">
        <f>IF(일일data!Y14="","",일일data!Y14)</f>
        <v>194913</v>
      </c>
    </row>
    <row r="13" spans="1:2">
      <c r="A13" s="93" t="str">
        <f>IF(일일data!A15="","",TEXT(일일data!A15,"d"))</f>
        <v>12</v>
      </c>
      <c r="B13" s="90">
        <f>IF(일일data!Y15="","",일일data!Y15)</f>
        <v>194883</v>
      </c>
    </row>
    <row r="14" spans="1:2">
      <c r="A14" s="93" t="str">
        <f>IF(일일data!A16="","",TEXT(일일data!A16,"d"))</f>
        <v>13</v>
      </c>
      <c r="B14" s="90">
        <f>IF(일일data!Y16="","",일일data!Y16)</f>
        <v>194840</v>
      </c>
    </row>
    <row r="15" spans="1:2">
      <c r="A15" s="93" t="str">
        <f>IF(일일data!A17="","",TEXT(일일data!A17,"d"))</f>
        <v>14</v>
      </c>
      <c r="B15" s="90">
        <f>IF(일일data!Y17="","",일일data!Y17)</f>
        <v>194743</v>
      </c>
    </row>
    <row r="16" spans="1:2">
      <c r="A16" s="93" t="str">
        <f>IF(일일data!A18="","",TEXT(일일data!A18,"d"))</f>
        <v>15</v>
      </c>
      <c r="B16" s="90">
        <f>IF(일일data!Y18="","",일일data!Y18)</f>
        <v>194743</v>
      </c>
    </row>
    <row r="17" spans="1:3">
      <c r="A17" s="93" t="str">
        <f>IF(일일data!A19="","",TEXT(일일data!A19,"d"))</f>
        <v>16</v>
      </c>
      <c r="B17" s="90">
        <f>IF(일일data!Y19="","",일일data!Y19)</f>
        <v>194721</v>
      </c>
    </row>
    <row r="18" spans="1:3">
      <c r="A18" s="93" t="str">
        <f>IF(일일data!A20="","",TEXT(일일data!A20,"d"))</f>
        <v>17</v>
      </c>
      <c r="B18" s="90">
        <f>IF(일일data!Y20="","",일일data!Y20)</f>
        <v>194676</v>
      </c>
    </row>
    <row r="19" spans="1:3">
      <c r="A19" s="93" t="str">
        <f>IF(일일data!A21="","",TEXT(일일data!A21,"d"))</f>
        <v>18</v>
      </c>
      <c r="B19" s="90">
        <f>IF(일일data!Y21="","",일일data!Y21)</f>
        <v>194619</v>
      </c>
    </row>
    <row r="20" spans="1:3">
      <c r="A20" s="93" t="str">
        <f>IF(일일data!A22="","",TEXT(일일data!A22,"d"))</f>
        <v>19</v>
      </c>
      <c r="B20" s="90">
        <f>IF(일일data!Y22="","",일일data!Y22)</f>
        <v>194581</v>
      </c>
    </row>
    <row r="21" spans="1:3">
      <c r="A21" s="93" t="str">
        <f>IF(일일data!A23="","",TEXT(일일data!A23,"d"))</f>
        <v>20</v>
      </c>
      <c r="B21" s="90">
        <f>IF(일일data!Y23="","",일일data!Y23)</f>
        <v>194530</v>
      </c>
    </row>
    <row r="22" spans="1:3">
      <c r="A22" s="93" t="str">
        <f>IF(일일data!A24="","",TEXT(일일data!A24,"d"))</f>
        <v>21</v>
      </c>
      <c r="B22" s="90">
        <f>IF(일일data!Y24="","",일일data!Y24)</f>
        <v>194501</v>
      </c>
    </row>
    <row r="23" spans="1:3">
      <c r="A23" s="93" t="str">
        <f>IF(일일data!A25="","",TEXT(일일data!A25,"d"))</f>
        <v>22</v>
      </c>
      <c r="B23" s="90">
        <f>IF(일일data!Y25="","",일일data!Y25)</f>
        <v>194465</v>
      </c>
    </row>
    <row r="24" spans="1:3">
      <c r="A24" s="93" t="str">
        <f>IF(일일data!A26="","",TEXT(일일data!A26,"d"))</f>
        <v>23</v>
      </c>
      <c r="B24" s="90">
        <f>IF(일일data!Y26="","",일일data!Y26)</f>
        <v>194422</v>
      </c>
    </row>
    <row r="25" spans="1:3">
      <c r="A25" s="93" t="str">
        <f>IF(일일data!A27="","",TEXT(일일data!A27,"d"))</f>
        <v>24</v>
      </c>
      <c r="B25" s="90">
        <f>IF(일일data!Y27="","",일일data!Y27)</f>
        <v>194377</v>
      </c>
    </row>
    <row r="26" spans="1:3">
      <c r="A26" s="93" t="str">
        <f>IF(일일data!A28="","",TEXT(일일data!A28,"d"))</f>
        <v>25</v>
      </c>
      <c r="B26" s="90">
        <f>IF(일일data!Y28="","",일일data!Y28)</f>
        <v>194320</v>
      </c>
    </row>
    <row r="27" spans="1:3">
      <c r="A27" s="93" t="str">
        <f>IF(일일data!A29="","",TEXT(일일data!A29,"d"))</f>
        <v>26</v>
      </c>
      <c r="B27" s="90">
        <f>IF(일일data!Y29="","",일일data!Y29)</f>
        <v>194284</v>
      </c>
    </row>
    <row r="28" spans="1:3">
      <c r="A28" s="93" t="str">
        <f>IF(일일data!A30="","",TEXT(일일data!A30,"d"))</f>
        <v>27</v>
      </c>
      <c r="B28" s="90">
        <f>IF(일일data!Y30="","",일일data!Y30)</f>
        <v>194242</v>
      </c>
    </row>
    <row r="29" spans="1:3">
      <c r="A29" s="93" t="str">
        <f>IF(일일data!A31="","",TEXT(일일data!A31,"d"))</f>
        <v>28</v>
      </c>
      <c r="B29" s="90">
        <f>IF(일일data!Y31="","",일일data!Y31)</f>
        <v>194207</v>
      </c>
    </row>
    <row r="30" spans="1:3">
      <c r="A30" s="93" t="str">
        <f>IF(일일data!A32="","",TEXT(일일data!A32,"d"))</f>
        <v>29</v>
      </c>
      <c r="B30" s="90">
        <f>IF(일일data!Y32="","",일일data!Y32)</f>
        <v>194174</v>
      </c>
    </row>
    <row r="31" spans="1:3">
      <c r="A31" s="93" t="str">
        <f>IF(일일data!A33="","",TEXT(일일data!A33,"d"))</f>
        <v>30</v>
      </c>
      <c r="B31" s="90">
        <f>IF(일일data!Y33="","",일일data!Y33)</f>
        <v>194141</v>
      </c>
    </row>
    <row r="32" spans="1:3">
      <c r="A32" s="93" t="str">
        <f>IF(일일data!A34="","",TEXT(일일data!A34,"d"))</f>
        <v>31</v>
      </c>
      <c r="B32" s="90">
        <f>IF(일일data!Y34="","",일일data!Y34)</f>
        <v>194084</v>
      </c>
      <c r="C32" s="131"/>
    </row>
    <row r="36" spans="2:2">
      <c r="B36" s="131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사용방법</vt:lpstr>
      <vt:lpstr>일일data</vt:lpstr>
      <vt:lpstr>채널별 팔로워 추이</vt:lpstr>
      <vt:lpstr>FB 콘텐츠 data</vt:lpstr>
      <vt:lpstr>구글시트 data</vt:lpstr>
      <vt:lpstr>FB 커버</vt:lpstr>
      <vt:lpstr>FB 신규발행</vt:lpstr>
      <vt:lpstr>FB Top3 Post</vt:lpstr>
      <vt:lpstr>IG 콘텐츠 data</vt:lpstr>
      <vt:lpstr>IG story data</vt:lpstr>
      <vt:lpstr>IG 커버</vt:lpstr>
      <vt:lpstr>IG 신규발행</vt:lpstr>
      <vt:lpstr>IG Top3 Post</vt:lpstr>
      <vt:lpstr>YT 커버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2023-08-08T04:29:36Z</dcterms:created>
  <dcterms:modified xsi:type="dcterms:W3CDTF">2024-06-12T09:20:58Z</dcterms:modified>
</cp:coreProperties>
</file>