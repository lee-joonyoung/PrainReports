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c2bf77b41f9f2c0/바탕 화면/바탕화면/Prain Global/SK Innovation/국문/8월 뉴스룸/일일보고(8.1-8.31)/"/>
    </mc:Choice>
  </mc:AlternateContent>
  <xr:revisionPtr revIDLastSave="129" documentId="8_{6E3F9E94-7733-461D-AFAE-15A9466DE22A}" xr6:coauthVersionLast="47" xr6:coauthVersionMax="47" xr10:uidLastSave="{4C3E89BE-B07B-42F0-94C0-FD35C158A5E9}"/>
  <bookViews>
    <workbookView xWindow="28695" yWindow="0" windowWidth="29010" windowHeight="15585" tabRatio="958" xr2:uid="{00000000-000D-0000-FFFF-FFFF00000000}"/>
  </bookViews>
  <sheets>
    <sheet name="통합" sheetId="33" r:id="rId1"/>
    <sheet name="서식" sheetId="34" r:id="rId2"/>
    <sheet name="8.1" sheetId="344" r:id="rId3"/>
    <sheet name="8.2" sheetId="345" r:id="rId4"/>
    <sheet name="8.3" sheetId="346" r:id="rId5"/>
    <sheet name="8.4" sheetId="347" r:id="rId6"/>
    <sheet name="8.5" sheetId="348" r:id="rId7"/>
    <sheet name="8.6" sheetId="349" r:id="rId8"/>
    <sheet name="8.7" sheetId="350" r:id="rId9"/>
    <sheet name="8.8" sheetId="351" r:id="rId10"/>
    <sheet name="8.9" sheetId="352" r:id="rId11"/>
    <sheet name="8.10" sheetId="353" r:id="rId12"/>
    <sheet name="8.11" sheetId="354" r:id="rId13"/>
    <sheet name="8.12" sheetId="355" r:id="rId14"/>
    <sheet name="8.13" sheetId="356" r:id="rId15"/>
    <sheet name="8.14" sheetId="357" r:id="rId16"/>
    <sheet name="8.15" sheetId="358" r:id="rId17"/>
    <sheet name="8.16" sheetId="359" r:id="rId18"/>
    <sheet name="8.17" sheetId="360" r:id="rId19"/>
    <sheet name="8.18" sheetId="361" r:id="rId20"/>
    <sheet name="8.19" sheetId="362" r:id="rId21"/>
    <sheet name="8.20" sheetId="363" r:id="rId22"/>
    <sheet name="8.21" sheetId="364" r:id="rId23"/>
    <sheet name="8.22" sheetId="365" r:id="rId24"/>
    <sheet name="8.23" sheetId="366" r:id="rId25"/>
    <sheet name="8.24" sheetId="367" r:id="rId26"/>
    <sheet name="8.25" sheetId="368" r:id="rId27"/>
    <sheet name="8.26" sheetId="369" r:id="rId28"/>
    <sheet name="8.27" sheetId="370" r:id="rId29"/>
    <sheet name="8.28" sheetId="371" r:id="rId30"/>
    <sheet name="8.29" sheetId="372" r:id="rId31"/>
    <sheet name="8.30" sheetId="373" r:id="rId32"/>
    <sheet name="8.31" sheetId="374" r:id="rId33"/>
  </sheets>
  <definedNames>
    <definedName name="array1">#REF!</definedName>
    <definedName name="가">#REF!</definedName>
    <definedName name="가격">#REF!</definedName>
    <definedName name="개수">#REF!</definedName>
    <definedName name="점수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374" l="1"/>
  <c r="I16" i="374"/>
  <c r="H16" i="374"/>
  <c r="H5" i="374" s="1"/>
  <c r="J15" i="374"/>
  <c r="I15" i="374"/>
  <c r="J5" i="374" s="1"/>
  <c r="H15" i="374"/>
  <c r="J14" i="374"/>
  <c r="I14" i="374"/>
  <c r="H14" i="374"/>
  <c r="J13" i="374"/>
  <c r="J12" i="374" s="1"/>
  <c r="I13" i="374"/>
  <c r="I12" i="374" s="1"/>
  <c r="H13" i="374"/>
  <c r="H12" i="374" s="1"/>
  <c r="L5" i="374"/>
  <c r="J16" i="373"/>
  <c r="I16" i="373"/>
  <c r="H16" i="373"/>
  <c r="J15" i="373"/>
  <c r="I15" i="373"/>
  <c r="J5" i="373" s="1"/>
  <c r="H15" i="373"/>
  <c r="H5" i="373" s="1"/>
  <c r="J14" i="373"/>
  <c r="I14" i="373"/>
  <c r="H14" i="373"/>
  <c r="J13" i="373"/>
  <c r="J12" i="373" s="1"/>
  <c r="I13" i="373"/>
  <c r="H13" i="373"/>
  <c r="L5" i="373"/>
  <c r="J16" i="372"/>
  <c r="I16" i="372"/>
  <c r="H16" i="372"/>
  <c r="J15" i="372"/>
  <c r="L5" i="372" s="1"/>
  <c r="I15" i="372"/>
  <c r="J5" i="372" s="1"/>
  <c r="H15" i="372"/>
  <c r="H5" i="372" s="1"/>
  <c r="J14" i="372"/>
  <c r="I14" i="372"/>
  <c r="H14" i="372"/>
  <c r="J13" i="372"/>
  <c r="J12" i="372" s="1"/>
  <c r="I13" i="372"/>
  <c r="I12" i="372" s="1"/>
  <c r="H13" i="372"/>
  <c r="H12" i="372" s="1"/>
  <c r="J16" i="371"/>
  <c r="I16" i="371"/>
  <c r="H16" i="371"/>
  <c r="J15" i="371"/>
  <c r="I15" i="371"/>
  <c r="H15" i="371"/>
  <c r="H5" i="371" s="1"/>
  <c r="J14" i="371"/>
  <c r="I14" i="371"/>
  <c r="H14" i="371"/>
  <c r="J13" i="371"/>
  <c r="J12" i="371" s="1"/>
  <c r="I13" i="371"/>
  <c r="H13" i="371"/>
  <c r="H12" i="371" s="1"/>
  <c r="L5" i="371"/>
  <c r="J16" i="370"/>
  <c r="I16" i="370"/>
  <c r="H16" i="370"/>
  <c r="J15" i="370"/>
  <c r="I15" i="370"/>
  <c r="H15" i="370"/>
  <c r="J14" i="370"/>
  <c r="I14" i="370"/>
  <c r="H14" i="370"/>
  <c r="J13" i="370"/>
  <c r="J12" i="370" s="1"/>
  <c r="I13" i="370"/>
  <c r="H13" i="370"/>
  <c r="H12" i="370" s="1"/>
  <c r="L5" i="370"/>
  <c r="J5" i="370"/>
  <c r="H5" i="370"/>
  <c r="J16" i="369"/>
  <c r="I16" i="369"/>
  <c r="H16" i="369"/>
  <c r="J15" i="369"/>
  <c r="L5" i="369" s="1"/>
  <c r="I15" i="369"/>
  <c r="H15" i="369"/>
  <c r="J14" i="369"/>
  <c r="I14" i="369"/>
  <c r="H14" i="369"/>
  <c r="J13" i="369"/>
  <c r="I13" i="369"/>
  <c r="I12" i="369" s="1"/>
  <c r="H13" i="369"/>
  <c r="H4" i="369" s="1"/>
  <c r="J5" i="369"/>
  <c r="J16" i="368"/>
  <c r="I16" i="368"/>
  <c r="H16" i="368"/>
  <c r="J15" i="368"/>
  <c r="I15" i="368"/>
  <c r="J5" i="368" s="1"/>
  <c r="H15" i="368"/>
  <c r="J14" i="368"/>
  <c r="I14" i="368"/>
  <c r="J4" i="368" s="1"/>
  <c r="H14" i="368"/>
  <c r="J13" i="368"/>
  <c r="J12" i="368" s="1"/>
  <c r="I13" i="368"/>
  <c r="H13" i="368"/>
  <c r="H4" i="368" s="1"/>
  <c r="H6" i="368" s="1"/>
  <c r="I4" i="368" s="1"/>
  <c r="H5" i="368"/>
  <c r="J16" i="367"/>
  <c r="I16" i="367"/>
  <c r="H16" i="367"/>
  <c r="J15" i="367"/>
  <c r="I15" i="367"/>
  <c r="J5" i="367" s="1"/>
  <c r="H15" i="367"/>
  <c r="H5" i="367" s="1"/>
  <c r="J14" i="367"/>
  <c r="I14" i="367"/>
  <c r="H14" i="367"/>
  <c r="J13" i="367"/>
  <c r="J12" i="367" s="1"/>
  <c r="I13" i="367"/>
  <c r="H13" i="367"/>
  <c r="L5" i="367"/>
  <c r="J16" i="366"/>
  <c r="I16" i="366"/>
  <c r="H16" i="366"/>
  <c r="J15" i="366"/>
  <c r="L5" i="366" s="1"/>
  <c r="I15" i="366"/>
  <c r="J5" i="366" s="1"/>
  <c r="H15" i="366"/>
  <c r="H5" i="366" s="1"/>
  <c r="J14" i="366"/>
  <c r="I14" i="366"/>
  <c r="H14" i="366"/>
  <c r="J13" i="366"/>
  <c r="J12" i="366" s="1"/>
  <c r="I13" i="366"/>
  <c r="J4" i="366" s="1"/>
  <c r="H13" i="366"/>
  <c r="J16" i="365"/>
  <c r="I16" i="365"/>
  <c r="H16" i="365"/>
  <c r="J15" i="365"/>
  <c r="I15" i="365"/>
  <c r="H15" i="365"/>
  <c r="H5" i="365" s="1"/>
  <c r="J14" i="365"/>
  <c r="J12" i="365" s="1"/>
  <c r="I14" i="365"/>
  <c r="H14" i="365"/>
  <c r="J13" i="365"/>
  <c r="L4" i="365" s="1"/>
  <c r="I13" i="365"/>
  <c r="I12" i="365" s="1"/>
  <c r="H13" i="365"/>
  <c r="H12" i="365" s="1"/>
  <c r="L5" i="365"/>
  <c r="J5" i="365"/>
  <c r="J16" i="364"/>
  <c r="I16" i="364"/>
  <c r="J5" i="364" s="1"/>
  <c r="H16" i="364"/>
  <c r="J15" i="364"/>
  <c r="L5" i="364" s="1"/>
  <c r="I15" i="364"/>
  <c r="H15" i="364"/>
  <c r="J14" i="364"/>
  <c r="I14" i="364"/>
  <c r="I12" i="364" s="1"/>
  <c r="H14" i="364"/>
  <c r="J13" i="364"/>
  <c r="I13" i="364"/>
  <c r="H13" i="364"/>
  <c r="H12" i="364" s="1"/>
  <c r="H5" i="364"/>
  <c r="J16" i="363"/>
  <c r="I16" i="363"/>
  <c r="H16" i="363"/>
  <c r="J15" i="363"/>
  <c r="L5" i="363" s="1"/>
  <c r="I15" i="363"/>
  <c r="H15" i="363"/>
  <c r="J14" i="363"/>
  <c r="I14" i="363"/>
  <c r="H14" i="363"/>
  <c r="J13" i="363"/>
  <c r="J12" i="363" s="1"/>
  <c r="I13" i="363"/>
  <c r="I12" i="363" s="1"/>
  <c r="H13" i="363"/>
  <c r="H12" i="363" s="1"/>
  <c r="J5" i="363"/>
  <c r="J16" i="362"/>
  <c r="I16" i="362"/>
  <c r="J5" i="362" s="1"/>
  <c r="H16" i="362"/>
  <c r="J15" i="362"/>
  <c r="L5" i="362" s="1"/>
  <c r="I15" i="362"/>
  <c r="H15" i="362"/>
  <c r="H5" i="362" s="1"/>
  <c r="J14" i="362"/>
  <c r="I14" i="362"/>
  <c r="H14" i="362"/>
  <c r="J13" i="362"/>
  <c r="J12" i="362" s="1"/>
  <c r="I13" i="362"/>
  <c r="H13" i="362"/>
  <c r="H12" i="362" s="1"/>
  <c r="J16" i="361"/>
  <c r="I16" i="361"/>
  <c r="J5" i="361" s="1"/>
  <c r="H16" i="361"/>
  <c r="J15" i="361"/>
  <c r="I15" i="361"/>
  <c r="H15" i="361"/>
  <c r="H5" i="361" s="1"/>
  <c r="J14" i="361"/>
  <c r="I14" i="361"/>
  <c r="H14" i="361"/>
  <c r="J13" i="361"/>
  <c r="J12" i="361" s="1"/>
  <c r="I13" i="361"/>
  <c r="H13" i="361"/>
  <c r="H12" i="361" s="1"/>
  <c r="L5" i="361"/>
  <c r="J16" i="360"/>
  <c r="I16" i="360"/>
  <c r="H16" i="360"/>
  <c r="J15" i="360"/>
  <c r="L5" i="360" s="1"/>
  <c r="I15" i="360"/>
  <c r="J5" i="360" s="1"/>
  <c r="H15" i="360"/>
  <c r="H5" i="360" s="1"/>
  <c r="J14" i="360"/>
  <c r="I14" i="360"/>
  <c r="H14" i="360"/>
  <c r="J13" i="360"/>
  <c r="J12" i="360" s="1"/>
  <c r="I13" i="360"/>
  <c r="H13" i="360"/>
  <c r="H12" i="360" s="1"/>
  <c r="J16" i="359"/>
  <c r="I16" i="359"/>
  <c r="H16" i="359"/>
  <c r="J15" i="359"/>
  <c r="L5" i="359" s="1"/>
  <c r="I15" i="359"/>
  <c r="J5" i="359" s="1"/>
  <c r="H15" i="359"/>
  <c r="J14" i="359"/>
  <c r="I14" i="359"/>
  <c r="H14" i="359"/>
  <c r="J13" i="359"/>
  <c r="J12" i="359" s="1"/>
  <c r="I13" i="359"/>
  <c r="H13" i="359"/>
  <c r="H12" i="359" s="1"/>
  <c r="H5" i="359"/>
  <c r="J16" i="358"/>
  <c r="I16" i="358"/>
  <c r="H16" i="358"/>
  <c r="J15" i="358"/>
  <c r="L5" i="358" s="1"/>
  <c r="I15" i="358"/>
  <c r="J5" i="358" s="1"/>
  <c r="H15" i="358"/>
  <c r="H5" i="358" s="1"/>
  <c r="J14" i="358"/>
  <c r="I14" i="358"/>
  <c r="J4" i="358" s="1"/>
  <c r="H14" i="358"/>
  <c r="J13" i="358"/>
  <c r="I13" i="358"/>
  <c r="H13" i="358"/>
  <c r="H12" i="358" s="1"/>
  <c r="J16" i="357"/>
  <c r="L5" i="357" s="1"/>
  <c r="I16" i="357"/>
  <c r="H16" i="357"/>
  <c r="J15" i="357"/>
  <c r="I15" i="357"/>
  <c r="J5" i="357" s="1"/>
  <c r="H15" i="357"/>
  <c r="J14" i="357"/>
  <c r="I14" i="357"/>
  <c r="H14" i="357"/>
  <c r="J13" i="357"/>
  <c r="L4" i="357" s="1"/>
  <c r="I13" i="357"/>
  <c r="I12" i="357" s="1"/>
  <c r="H13" i="357"/>
  <c r="H4" i="357" s="1"/>
  <c r="J16" i="356"/>
  <c r="I16" i="356"/>
  <c r="H16" i="356"/>
  <c r="J15" i="356"/>
  <c r="I15" i="356"/>
  <c r="H15" i="356"/>
  <c r="J14" i="356"/>
  <c r="I14" i="356"/>
  <c r="H14" i="356"/>
  <c r="J13" i="356"/>
  <c r="J12" i="356" s="1"/>
  <c r="I13" i="356"/>
  <c r="I12" i="356" s="1"/>
  <c r="H13" i="356"/>
  <c r="H12" i="356" s="1"/>
  <c r="L5" i="356"/>
  <c r="H5" i="356"/>
  <c r="J16" i="355"/>
  <c r="I16" i="355"/>
  <c r="H16" i="355"/>
  <c r="J15" i="355"/>
  <c r="I15" i="355"/>
  <c r="H15" i="355"/>
  <c r="J14" i="355"/>
  <c r="I14" i="355"/>
  <c r="H14" i="355"/>
  <c r="J13" i="355"/>
  <c r="I13" i="355"/>
  <c r="I12" i="355" s="1"/>
  <c r="H13" i="355"/>
  <c r="H12" i="355" s="1"/>
  <c r="L5" i="355"/>
  <c r="J5" i="355"/>
  <c r="H5" i="355"/>
  <c r="J16" i="354"/>
  <c r="I16" i="354"/>
  <c r="H16" i="354"/>
  <c r="J15" i="354"/>
  <c r="L5" i="354" s="1"/>
  <c r="I15" i="354"/>
  <c r="H15" i="354"/>
  <c r="H5" i="354" s="1"/>
  <c r="J14" i="354"/>
  <c r="I14" i="354"/>
  <c r="H14" i="354"/>
  <c r="J13" i="354"/>
  <c r="I13" i="354"/>
  <c r="H13" i="354"/>
  <c r="H12" i="354" s="1"/>
  <c r="J16" i="353"/>
  <c r="I16" i="353"/>
  <c r="H16" i="353"/>
  <c r="J15" i="353"/>
  <c r="I15" i="353"/>
  <c r="H15" i="353"/>
  <c r="H5" i="353" s="1"/>
  <c r="J14" i="353"/>
  <c r="I14" i="353"/>
  <c r="I12" i="353" s="1"/>
  <c r="H14" i="353"/>
  <c r="J13" i="353"/>
  <c r="J12" i="353" s="1"/>
  <c r="I13" i="353"/>
  <c r="H13" i="353"/>
  <c r="H4" i="353" s="1"/>
  <c r="J5" i="353"/>
  <c r="J16" i="352"/>
  <c r="I16" i="352"/>
  <c r="H16" i="352"/>
  <c r="J15" i="352"/>
  <c r="I15" i="352"/>
  <c r="H15" i="352"/>
  <c r="H5" i="352" s="1"/>
  <c r="J14" i="352"/>
  <c r="I14" i="352"/>
  <c r="I12" i="352" s="1"/>
  <c r="H14" i="352"/>
  <c r="J13" i="352"/>
  <c r="J12" i="352" s="1"/>
  <c r="I13" i="352"/>
  <c r="J4" i="352" s="1"/>
  <c r="H13" i="352"/>
  <c r="J16" i="351"/>
  <c r="L5" i="351" s="1"/>
  <c r="I16" i="351"/>
  <c r="H16" i="351"/>
  <c r="J15" i="351"/>
  <c r="I15" i="351"/>
  <c r="H15" i="351"/>
  <c r="H5" i="351" s="1"/>
  <c r="J14" i="351"/>
  <c r="I14" i="351"/>
  <c r="H14" i="351"/>
  <c r="J13" i="351"/>
  <c r="I13" i="351"/>
  <c r="I12" i="351" s="1"/>
  <c r="H13" i="351"/>
  <c r="H12" i="351" s="1"/>
  <c r="J5" i="351"/>
  <c r="J16" i="350"/>
  <c r="I16" i="350"/>
  <c r="H16" i="350"/>
  <c r="J15" i="350"/>
  <c r="I15" i="350"/>
  <c r="J5" i="350" s="1"/>
  <c r="H15" i="350"/>
  <c r="J14" i="350"/>
  <c r="I14" i="350"/>
  <c r="H14" i="350"/>
  <c r="J13" i="350"/>
  <c r="L4" i="350" s="1"/>
  <c r="I13" i="350"/>
  <c r="I12" i="350" s="1"/>
  <c r="H13" i="350"/>
  <c r="H12" i="350" s="1"/>
  <c r="H5" i="350"/>
  <c r="J16" i="349"/>
  <c r="I16" i="349"/>
  <c r="H16" i="349"/>
  <c r="J15" i="349"/>
  <c r="L5" i="349" s="1"/>
  <c r="I15" i="349"/>
  <c r="J5" i="349" s="1"/>
  <c r="H15" i="349"/>
  <c r="H5" i="349" s="1"/>
  <c r="J14" i="349"/>
  <c r="I14" i="349"/>
  <c r="H14" i="349"/>
  <c r="J13" i="349"/>
  <c r="J12" i="349" s="1"/>
  <c r="I13" i="349"/>
  <c r="I12" i="349" s="1"/>
  <c r="H13" i="349"/>
  <c r="H12" i="349" s="1"/>
  <c r="J16" i="348"/>
  <c r="I16" i="348"/>
  <c r="H16" i="348"/>
  <c r="J15" i="348"/>
  <c r="I15" i="348"/>
  <c r="J5" i="348" s="1"/>
  <c r="H15" i="348"/>
  <c r="H5" i="348" s="1"/>
  <c r="J14" i="348"/>
  <c r="I14" i="348"/>
  <c r="H14" i="348"/>
  <c r="J13" i="348"/>
  <c r="L4" i="348" s="1"/>
  <c r="I13" i="348"/>
  <c r="I12" i="348" s="1"/>
  <c r="H13" i="348"/>
  <c r="H12" i="348" s="1"/>
  <c r="J16" i="347"/>
  <c r="I16" i="347"/>
  <c r="H16" i="347"/>
  <c r="J15" i="347"/>
  <c r="L5" i="347" s="1"/>
  <c r="I15" i="347"/>
  <c r="I12" i="347" s="1"/>
  <c r="H15" i="347"/>
  <c r="H5" i="347" s="1"/>
  <c r="J14" i="347"/>
  <c r="I14" i="347"/>
  <c r="H14" i="347"/>
  <c r="J13" i="347"/>
  <c r="J12" i="347" s="1"/>
  <c r="I13" i="347"/>
  <c r="H13" i="347"/>
  <c r="H12" i="347" s="1"/>
  <c r="J4" i="347"/>
  <c r="J16" i="346"/>
  <c r="L5" i="346" s="1"/>
  <c r="I16" i="346"/>
  <c r="H16" i="346"/>
  <c r="H5" i="346" s="1"/>
  <c r="J15" i="346"/>
  <c r="I15" i="346"/>
  <c r="H15" i="346"/>
  <c r="J14" i="346"/>
  <c r="I14" i="346"/>
  <c r="I12" i="346" s="1"/>
  <c r="H14" i="346"/>
  <c r="J13" i="346"/>
  <c r="I13" i="346"/>
  <c r="H13" i="346"/>
  <c r="H12" i="346" s="1"/>
  <c r="J16" i="345"/>
  <c r="I16" i="345"/>
  <c r="H16" i="345"/>
  <c r="J15" i="345"/>
  <c r="L5" i="345" s="1"/>
  <c r="I15" i="345"/>
  <c r="J5" i="345" s="1"/>
  <c r="H15" i="345"/>
  <c r="J14" i="345"/>
  <c r="I14" i="345"/>
  <c r="J4" i="345" s="1"/>
  <c r="H14" i="345"/>
  <c r="J13" i="345"/>
  <c r="J12" i="345" s="1"/>
  <c r="I13" i="345"/>
  <c r="H13" i="345"/>
  <c r="H4" i="345" s="1"/>
  <c r="J16" i="344"/>
  <c r="I16" i="344"/>
  <c r="H16" i="344"/>
  <c r="H5" i="344" s="1"/>
  <c r="J15" i="344"/>
  <c r="I15" i="344"/>
  <c r="J5" i="344" s="1"/>
  <c r="H15" i="344"/>
  <c r="J14" i="344"/>
  <c r="I14" i="344"/>
  <c r="H14" i="344"/>
  <c r="J13" i="344"/>
  <c r="L4" i="344" s="1"/>
  <c r="I13" i="344"/>
  <c r="H13" i="344"/>
  <c r="H4" i="374" l="1"/>
  <c r="J4" i="374"/>
  <c r="L4" i="374"/>
  <c r="H12" i="373"/>
  <c r="I12" i="373"/>
  <c r="J4" i="373"/>
  <c r="H4" i="373"/>
  <c r="L4" i="373"/>
  <c r="H4" i="372"/>
  <c r="J4" i="372"/>
  <c r="L4" i="372"/>
  <c r="I12" i="371"/>
  <c r="J5" i="371"/>
  <c r="H4" i="371"/>
  <c r="J4" i="371"/>
  <c r="L4" i="371"/>
  <c r="I12" i="370"/>
  <c r="H4" i="370"/>
  <c r="J4" i="370"/>
  <c r="L4" i="370"/>
  <c r="J12" i="369"/>
  <c r="H5" i="369"/>
  <c r="H6" i="369" s="1"/>
  <c r="J4" i="369"/>
  <c r="L4" i="369"/>
  <c r="H12" i="369"/>
  <c r="I12" i="368"/>
  <c r="H12" i="368"/>
  <c r="L5" i="368"/>
  <c r="J6" i="368"/>
  <c r="K4" i="368" s="1"/>
  <c r="I5" i="368"/>
  <c r="I6" i="368" s="1"/>
  <c r="K5" i="368"/>
  <c r="L4" i="368"/>
  <c r="H12" i="367"/>
  <c r="I12" i="367"/>
  <c r="H4" i="367"/>
  <c r="J4" i="367"/>
  <c r="L4" i="367"/>
  <c r="H12" i="366"/>
  <c r="I12" i="366"/>
  <c r="J6" i="366"/>
  <c r="K5" i="366" s="1"/>
  <c r="H4" i="366"/>
  <c r="L4" i="366"/>
  <c r="H4" i="365"/>
  <c r="J4" i="365"/>
  <c r="L6" i="365"/>
  <c r="M5" i="365" s="1"/>
  <c r="J12" i="364"/>
  <c r="H4" i="364"/>
  <c r="J4" i="364"/>
  <c r="L4" i="364"/>
  <c r="J4" i="363"/>
  <c r="H5" i="363"/>
  <c r="H4" i="363"/>
  <c r="J6" i="363"/>
  <c r="K5" i="363" s="1"/>
  <c r="L4" i="363"/>
  <c r="J4" i="362"/>
  <c r="I12" i="362"/>
  <c r="J6" i="362"/>
  <c r="K4" i="362" s="1"/>
  <c r="K6" i="362" s="1"/>
  <c r="K5" i="362"/>
  <c r="H4" i="362"/>
  <c r="L4" i="362"/>
  <c r="I12" i="361"/>
  <c r="J4" i="361"/>
  <c r="H4" i="361"/>
  <c r="L4" i="361"/>
  <c r="I12" i="360"/>
  <c r="J4" i="360"/>
  <c r="L4" i="360"/>
  <c r="H4" i="360"/>
  <c r="I12" i="359"/>
  <c r="H4" i="359"/>
  <c r="J4" i="359"/>
  <c r="L4" i="359"/>
  <c r="I12" i="358"/>
  <c r="J12" i="358"/>
  <c r="J6" i="358"/>
  <c r="K5" i="358" s="1"/>
  <c r="H4" i="358"/>
  <c r="L4" i="358"/>
  <c r="H12" i="357"/>
  <c r="J4" i="357"/>
  <c r="L6" i="357"/>
  <c r="M4" i="357" s="1"/>
  <c r="J12" i="357"/>
  <c r="J6" i="357"/>
  <c r="K4" i="357" s="1"/>
  <c r="H5" i="357"/>
  <c r="J4" i="356"/>
  <c r="J5" i="356"/>
  <c r="H4" i="356"/>
  <c r="J6" i="356"/>
  <c r="K4" i="356" s="1"/>
  <c r="L4" i="356"/>
  <c r="J12" i="355"/>
  <c r="H4" i="355"/>
  <c r="J4" i="355"/>
  <c r="L4" i="355"/>
  <c r="I12" i="354"/>
  <c r="J12" i="354"/>
  <c r="J5" i="354"/>
  <c r="H4" i="354"/>
  <c r="J4" i="354"/>
  <c r="L4" i="354"/>
  <c r="J4" i="353"/>
  <c r="J6" i="353" s="1"/>
  <c r="K4" i="353" s="1"/>
  <c r="L4" i="353"/>
  <c r="L5" i="353"/>
  <c r="H6" i="353"/>
  <c r="I4" i="353" s="1"/>
  <c r="K5" i="353"/>
  <c r="K6" i="353" s="1"/>
  <c r="L6" i="353"/>
  <c r="M4" i="353" s="1"/>
  <c r="H12" i="353"/>
  <c r="H12" i="352"/>
  <c r="J5" i="352"/>
  <c r="L5" i="352"/>
  <c r="J6" i="352"/>
  <c r="K4" i="352" s="1"/>
  <c r="L4" i="352"/>
  <c r="H4" i="352"/>
  <c r="J12" i="351"/>
  <c r="J4" i="351"/>
  <c r="J6" i="351"/>
  <c r="K5" i="351" s="1"/>
  <c r="L4" i="351"/>
  <c r="H4" i="351"/>
  <c r="J4" i="350"/>
  <c r="J6" i="350" s="1"/>
  <c r="K4" i="350" s="1"/>
  <c r="J12" i="350"/>
  <c r="L5" i="350"/>
  <c r="H4" i="350"/>
  <c r="L6" i="350"/>
  <c r="M4" i="350" s="1"/>
  <c r="J4" i="349"/>
  <c r="H4" i="349"/>
  <c r="J6" i="349"/>
  <c r="K5" i="349" s="1"/>
  <c r="L4" i="349"/>
  <c r="J12" i="348"/>
  <c r="L5" i="348"/>
  <c r="H4" i="348"/>
  <c r="J4" i="348"/>
  <c r="L6" i="348"/>
  <c r="M4" i="348" s="1"/>
  <c r="J5" i="347"/>
  <c r="J6" i="347" s="1"/>
  <c r="K4" i="347" s="1"/>
  <c r="H4" i="347"/>
  <c r="L4" i="347"/>
  <c r="J12" i="346"/>
  <c r="J5" i="346"/>
  <c r="J4" i="346"/>
  <c r="H4" i="346"/>
  <c r="L4" i="346"/>
  <c r="H12" i="345"/>
  <c r="J6" i="345"/>
  <c r="K4" i="345" s="1"/>
  <c r="H5" i="345"/>
  <c r="H6" i="345" s="1"/>
  <c r="I4" i="345" s="1"/>
  <c r="I12" i="345"/>
  <c r="L4" i="345"/>
  <c r="H12" i="344"/>
  <c r="I12" i="344"/>
  <c r="L5" i="344"/>
  <c r="L6" i="344" s="1"/>
  <c r="J12" i="344"/>
  <c r="H4" i="344"/>
  <c r="J4" i="344"/>
  <c r="J16" i="34"/>
  <c r="I16" i="34"/>
  <c r="H16" i="34"/>
  <c r="J15" i="34"/>
  <c r="I15" i="34"/>
  <c r="H15" i="34"/>
  <c r="J14" i="34"/>
  <c r="I14" i="34"/>
  <c r="H14" i="34"/>
  <c r="J13" i="34"/>
  <c r="I13" i="34"/>
  <c r="H13" i="34"/>
  <c r="H12" i="34" s="1"/>
  <c r="B4" i="33"/>
  <c r="C4" i="33" s="1"/>
  <c r="J4" i="33"/>
  <c r="L6" i="374" l="1"/>
  <c r="M5" i="374" s="1"/>
  <c r="J6" i="374"/>
  <c r="K5" i="374" s="1"/>
  <c r="H6" i="374"/>
  <c r="I5" i="374" s="1"/>
  <c r="H6" i="373"/>
  <c r="I5" i="373" s="1"/>
  <c r="I4" i="373"/>
  <c r="I6" i="373" s="1"/>
  <c r="J6" i="373"/>
  <c r="K5" i="373" s="1"/>
  <c r="L6" i="373"/>
  <c r="M5" i="373" s="1"/>
  <c r="L6" i="372"/>
  <c r="M5" i="372" s="1"/>
  <c r="J6" i="372"/>
  <c r="K5" i="372" s="1"/>
  <c r="K4" i="372"/>
  <c r="K6" i="372" s="1"/>
  <c r="H6" i="372"/>
  <c r="I5" i="372" s="1"/>
  <c r="J6" i="371"/>
  <c r="K5" i="371" s="1"/>
  <c r="H6" i="371"/>
  <c r="I5" i="371" s="1"/>
  <c r="L6" i="371"/>
  <c r="M5" i="371" s="1"/>
  <c r="M4" i="371"/>
  <c r="M6" i="371" s="1"/>
  <c r="L6" i="370"/>
  <c r="M5" i="370" s="1"/>
  <c r="J6" i="370"/>
  <c r="K5" i="370" s="1"/>
  <c r="H6" i="370"/>
  <c r="I5" i="370" s="1"/>
  <c r="I4" i="369"/>
  <c r="I5" i="369"/>
  <c r="L6" i="369"/>
  <c r="M5" i="369" s="1"/>
  <c r="J6" i="369"/>
  <c r="K5" i="369" s="1"/>
  <c r="K6" i="368"/>
  <c r="L6" i="368"/>
  <c r="M5" i="368" s="1"/>
  <c r="J6" i="367"/>
  <c r="K5" i="367" s="1"/>
  <c r="K4" i="367"/>
  <c r="K6" i="367" s="1"/>
  <c r="H6" i="367"/>
  <c r="I5" i="367" s="1"/>
  <c r="L6" i="367"/>
  <c r="M5" i="367" s="1"/>
  <c r="L6" i="366"/>
  <c r="M5" i="366" s="1"/>
  <c r="H6" i="366"/>
  <c r="I5" i="366" s="1"/>
  <c r="K4" i="366"/>
  <c r="K6" i="366" s="1"/>
  <c r="J6" i="365"/>
  <c r="K5" i="365" s="1"/>
  <c r="H6" i="365"/>
  <c r="I5" i="365" s="1"/>
  <c r="M4" i="365"/>
  <c r="M6" i="365" s="1"/>
  <c r="J6" i="364"/>
  <c r="K5" i="364" s="1"/>
  <c r="H6" i="364"/>
  <c r="I5" i="364" s="1"/>
  <c r="L6" i="364"/>
  <c r="M5" i="364" s="1"/>
  <c r="L6" i="363"/>
  <c r="M5" i="363" s="1"/>
  <c r="H6" i="363"/>
  <c r="I5" i="363" s="1"/>
  <c r="K4" i="363"/>
  <c r="K6" i="363" s="1"/>
  <c r="H6" i="362"/>
  <c r="I5" i="362" s="1"/>
  <c r="L6" i="362"/>
  <c r="M5" i="362" s="1"/>
  <c r="H6" i="361"/>
  <c r="I5" i="361" s="1"/>
  <c r="J6" i="361"/>
  <c r="K5" i="361" s="1"/>
  <c r="L6" i="361"/>
  <c r="M5" i="361" s="1"/>
  <c r="H6" i="360"/>
  <c r="I5" i="360" s="1"/>
  <c r="J6" i="360"/>
  <c r="K5" i="360" s="1"/>
  <c r="L6" i="360"/>
  <c r="M5" i="360" s="1"/>
  <c r="L6" i="359"/>
  <c r="M5" i="359" s="1"/>
  <c r="J6" i="359"/>
  <c r="K5" i="359" s="1"/>
  <c r="H6" i="359"/>
  <c r="I5" i="359" s="1"/>
  <c r="H6" i="358"/>
  <c r="I5" i="358" s="1"/>
  <c r="K4" i="358"/>
  <c r="K6" i="358" s="1"/>
  <c r="L6" i="358"/>
  <c r="M5" i="358" s="1"/>
  <c r="M5" i="357"/>
  <c r="M6" i="357" s="1"/>
  <c r="H6" i="357"/>
  <c r="I4" i="357" s="1"/>
  <c r="K5" i="357"/>
  <c r="K6" i="357" s="1"/>
  <c r="L6" i="356"/>
  <c r="M5" i="356" s="1"/>
  <c r="H6" i="356"/>
  <c r="I5" i="356" s="1"/>
  <c r="K5" i="356"/>
  <c r="K6" i="356" s="1"/>
  <c r="L6" i="355"/>
  <c r="M5" i="355" s="1"/>
  <c r="J6" i="355"/>
  <c r="K5" i="355" s="1"/>
  <c r="H6" i="355"/>
  <c r="I5" i="355" s="1"/>
  <c r="J6" i="354"/>
  <c r="K5" i="354" s="1"/>
  <c r="H6" i="354"/>
  <c r="I5" i="354" s="1"/>
  <c r="L6" i="354"/>
  <c r="M5" i="354" s="1"/>
  <c r="I5" i="353"/>
  <c r="I6" i="353"/>
  <c r="M5" i="353"/>
  <c r="M6" i="353" s="1"/>
  <c r="H6" i="352"/>
  <c r="I5" i="352" s="1"/>
  <c r="K5" i="352"/>
  <c r="K6" i="352" s="1"/>
  <c r="L6" i="352"/>
  <c r="M5" i="352" s="1"/>
  <c r="H6" i="351"/>
  <c r="I5" i="351" s="1"/>
  <c r="L6" i="351"/>
  <c r="M5" i="351" s="1"/>
  <c r="K4" i="351"/>
  <c r="K6" i="351" s="1"/>
  <c r="M5" i="350"/>
  <c r="M6" i="350" s="1"/>
  <c r="K5" i="350"/>
  <c r="K6" i="350" s="1"/>
  <c r="H6" i="350"/>
  <c r="I5" i="350" s="1"/>
  <c r="H6" i="349"/>
  <c r="I5" i="349" s="1"/>
  <c r="I4" i="349"/>
  <c r="I6" i="349" s="1"/>
  <c r="K4" i="349"/>
  <c r="K6" i="349" s="1"/>
  <c r="L6" i="349"/>
  <c r="M5" i="349" s="1"/>
  <c r="H6" i="348"/>
  <c r="I5" i="348" s="1"/>
  <c r="J6" i="348"/>
  <c r="K5" i="348" s="1"/>
  <c r="M5" i="348"/>
  <c r="M6" i="348" s="1"/>
  <c r="K5" i="347"/>
  <c r="K6" i="347" s="1"/>
  <c r="L6" i="347"/>
  <c r="M5" i="347" s="1"/>
  <c r="H6" i="347"/>
  <c r="I5" i="347" s="1"/>
  <c r="H6" i="346"/>
  <c r="I5" i="346" s="1"/>
  <c r="J6" i="346"/>
  <c r="K5" i="346" s="1"/>
  <c r="L6" i="346"/>
  <c r="M5" i="346" s="1"/>
  <c r="I5" i="345"/>
  <c r="I6" i="345" s="1"/>
  <c r="L6" i="345"/>
  <c r="M5" i="345" s="1"/>
  <c r="K5" i="345"/>
  <c r="K6" i="345" s="1"/>
  <c r="M4" i="344"/>
  <c r="M5" i="344"/>
  <c r="H6" i="344"/>
  <c r="I5" i="344" s="1"/>
  <c r="J6" i="344"/>
  <c r="K5" i="344" s="1"/>
  <c r="I12" i="34"/>
  <c r="J12" i="34"/>
  <c r="B5" i="33"/>
  <c r="L5" i="34"/>
  <c r="D4" i="33"/>
  <c r="E4" i="33"/>
  <c r="K4" i="33"/>
  <c r="I4" i="374" l="1"/>
  <c r="I6" i="374" s="1"/>
  <c r="K4" i="374"/>
  <c r="K6" i="374" s="1"/>
  <c r="M4" i="374"/>
  <c r="M6" i="374" s="1"/>
  <c r="M4" i="373"/>
  <c r="M6" i="373" s="1"/>
  <c r="K4" i="373"/>
  <c r="K6" i="373" s="1"/>
  <c r="I4" i="372"/>
  <c r="I6" i="372" s="1"/>
  <c r="M4" i="372"/>
  <c r="M6" i="372" s="1"/>
  <c r="I4" i="371"/>
  <c r="I6" i="371" s="1"/>
  <c r="K4" i="371"/>
  <c r="K6" i="371" s="1"/>
  <c r="K4" i="370"/>
  <c r="K6" i="370" s="1"/>
  <c r="I4" i="370"/>
  <c r="I6" i="370" s="1"/>
  <c r="M4" i="370"/>
  <c r="M6" i="370" s="1"/>
  <c r="I6" i="369"/>
  <c r="K4" i="369"/>
  <c r="K6" i="369" s="1"/>
  <c r="M4" i="369"/>
  <c r="M6" i="369" s="1"/>
  <c r="M4" i="368"/>
  <c r="M6" i="368" s="1"/>
  <c r="M4" i="367"/>
  <c r="M6" i="367" s="1"/>
  <c r="I4" i="367"/>
  <c r="I6" i="367" s="1"/>
  <c r="I4" i="366"/>
  <c r="I6" i="366" s="1"/>
  <c r="M4" i="366"/>
  <c r="M6" i="366" s="1"/>
  <c r="I4" i="365"/>
  <c r="I6" i="365" s="1"/>
  <c r="K4" i="365"/>
  <c r="K6" i="365" s="1"/>
  <c r="I4" i="364"/>
  <c r="I6" i="364" s="1"/>
  <c r="M4" i="364"/>
  <c r="M6" i="364" s="1"/>
  <c r="K4" i="364"/>
  <c r="K6" i="364" s="1"/>
  <c r="I4" i="363"/>
  <c r="I6" i="363" s="1"/>
  <c r="M4" i="363"/>
  <c r="M6" i="363" s="1"/>
  <c r="M4" i="362"/>
  <c r="M6" i="362" s="1"/>
  <c r="I4" i="362"/>
  <c r="I6" i="362" s="1"/>
  <c r="M4" i="361"/>
  <c r="M6" i="361" s="1"/>
  <c r="K4" i="361"/>
  <c r="K6" i="361" s="1"/>
  <c r="I4" i="361"/>
  <c r="I6" i="361" s="1"/>
  <c r="M4" i="360"/>
  <c r="M6" i="360" s="1"/>
  <c r="K4" i="360"/>
  <c r="K6" i="360" s="1"/>
  <c r="I4" i="360"/>
  <c r="I6" i="360" s="1"/>
  <c r="K4" i="359"/>
  <c r="K6" i="359" s="1"/>
  <c r="I4" i="359"/>
  <c r="I6" i="359" s="1"/>
  <c r="M4" i="359"/>
  <c r="M6" i="359" s="1"/>
  <c r="M4" i="358"/>
  <c r="M6" i="358" s="1"/>
  <c r="I4" i="358"/>
  <c r="I6" i="358" s="1"/>
  <c r="I5" i="357"/>
  <c r="I6" i="357" s="1"/>
  <c r="M4" i="356"/>
  <c r="M6" i="356" s="1"/>
  <c r="I4" i="356"/>
  <c r="I6" i="356" s="1"/>
  <c r="I4" i="355"/>
  <c r="I6" i="355" s="1"/>
  <c r="K4" i="355"/>
  <c r="K6" i="355" s="1"/>
  <c r="M4" i="355"/>
  <c r="M6" i="355" s="1"/>
  <c r="I4" i="354"/>
  <c r="I6" i="354" s="1"/>
  <c r="M4" i="354"/>
  <c r="M6" i="354" s="1"/>
  <c r="K4" i="354"/>
  <c r="K6" i="354" s="1"/>
  <c r="M4" i="352"/>
  <c r="M6" i="352" s="1"/>
  <c r="I4" i="352"/>
  <c r="I6" i="352" s="1"/>
  <c r="I4" i="351"/>
  <c r="I6" i="351" s="1"/>
  <c r="M4" i="351"/>
  <c r="M6" i="351" s="1"/>
  <c r="I4" i="350"/>
  <c r="I6" i="350" s="1"/>
  <c r="M4" i="349"/>
  <c r="M6" i="349" s="1"/>
  <c r="K4" i="348"/>
  <c r="K6" i="348" s="1"/>
  <c r="I4" i="348"/>
  <c r="I6" i="348" s="1"/>
  <c r="I4" i="347"/>
  <c r="I6" i="347" s="1"/>
  <c r="M4" i="347"/>
  <c r="M6" i="347" s="1"/>
  <c r="M4" i="346"/>
  <c r="M6" i="346" s="1"/>
  <c r="K4" i="346"/>
  <c r="K6" i="346" s="1"/>
  <c r="I4" i="346"/>
  <c r="I6" i="346" s="1"/>
  <c r="M4" i="345"/>
  <c r="M6" i="345" s="1"/>
  <c r="I4" i="344"/>
  <c r="I6" i="344" s="1"/>
  <c r="M6" i="344"/>
  <c r="K4" i="344"/>
  <c r="K6" i="344" s="1"/>
  <c r="C5" i="33"/>
  <c r="B6" i="33"/>
  <c r="H5" i="34"/>
  <c r="J5" i="34"/>
  <c r="J4" i="34"/>
  <c r="H4" i="34"/>
  <c r="L4" i="34"/>
  <c r="L6" i="34" s="1"/>
  <c r="M4" i="34" s="1"/>
  <c r="G4" i="33"/>
  <c r="N5" i="33"/>
  <c r="H4" i="33"/>
  <c r="J6" i="34" l="1"/>
  <c r="K5" i="34" s="1"/>
  <c r="H6" i="34"/>
  <c r="I5" i="34" s="1"/>
  <c r="B7" i="33"/>
  <c r="C6" i="33"/>
  <c r="M5" i="34"/>
  <c r="M6" i="34" s="1"/>
  <c r="F4" i="33"/>
  <c r="L4" i="33"/>
  <c r="K5" i="33"/>
  <c r="E5" i="33"/>
  <c r="D5" i="33"/>
  <c r="J5" i="33"/>
  <c r="M4" i="33"/>
  <c r="M5" i="33"/>
  <c r="G5" i="33"/>
  <c r="H5" i="33"/>
  <c r="N4" i="33"/>
  <c r="E6" i="33"/>
  <c r="I4" i="34" l="1"/>
  <c r="I6" i="34" s="1"/>
  <c r="K4" i="34"/>
  <c r="K6" i="34" s="1"/>
  <c r="F5" i="33"/>
  <c r="L5" i="33"/>
  <c r="O5" i="33"/>
  <c r="I5" i="33"/>
  <c r="C7" i="33"/>
  <c r="B8" i="33"/>
  <c r="D6" i="33"/>
  <c r="N6" i="33"/>
  <c r="G6" i="33"/>
  <c r="H6" i="33"/>
  <c r="K6" i="33"/>
  <c r="D7" i="33"/>
  <c r="M6" i="33"/>
  <c r="J6" i="33"/>
  <c r="I6" i="33" l="1"/>
  <c r="O6" i="33"/>
  <c r="F6" i="33"/>
  <c r="L6" i="33"/>
  <c r="B9" i="33"/>
  <c r="C8" i="33"/>
  <c r="O4" i="33"/>
  <c r="I4" i="33"/>
  <c r="N7" i="33"/>
  <c r="E7" i="33"/>
  <c r="H7" i="33"/>
  <c r="J7" i="33"/>
  <c r="N8" i="33"/>
  <c r="K7" i="33"/>
  <c r="G7" i="33"/>
  <c r="M7" i="33"/>
  <c r="I7" i="33" l="1"/>
  <c r="O7" i="33"/>
  <c r="L7" i="33"/>
  <c r="F7" i="33"/>
  <c r="C9" i="33"/>
  <c r="B10" i="33"/>
  <c r="H8" i="33"/>
  <c r="E9" i="33"/>
  <c r="J8" i="33"/>
  <c r="G8" i="33"/>
  <c r="M8" i="33"/>
  <c r="E8" i="33"/>
  <c r="K8" i="33"/>
  <c r="D8" i="33"/>
  <c r="F8" i="33" l="1"/>
  <c r="O8" i="33"/>
  <c r="L8" i="33"/>
  <c r="I8" i="33"/>
  <c r="C10" i="33"/>
  <c r="B11" i="33"/>
  <c r="N9" i="33"/>
  <c r="G9" i="33"/>
  <c r="M9" i="33"/>
  <c r="D9" i="33"/>
  <c r="H9" i="33"/>
  <c r="J9" i="33"/>
  <c r="H10" i="33"/>
  <c r="K9" i="33"/>
  <c r="O9" i="33" l="1"/>
  <c r="I9" i="33"/>
  <c r="L9" i="33"/>
  <c r="F9" i="33"/>
  <c r="B12" i="33"/>
  <c r="C11" i="33"/>
  <c r="K10" i="33"/>
  <c r="G10" i="33"/>
  <c r="M10" i="33"/>
  <c r="J10" i="33"/>
  <c r="D10" i="33"/>
  <c r="M11" i="33"/>
  <c r="E10" i="33"/>
  <c r="N10" i="33"/>
  <c r="L10" i="33" l="1"/>
  <c r="O10" i="33"/>
  <c r="F10" i="33"/>
  <c r="I10" i="33"/>
  <c r="C12" i="33"/>
  <c r="B13" i="33"/>
  <c r="D11" i="33"/>
  <c r="G11" i="33"/>
  <c r="D12" i="33"/>
  <c r="H11" i="33"/>
  <c r="K11" i="33"/>
  <c r="J11" i="33"/>
  <c r="E11" i="33"/>
  <c r="N11" i="33"/>
  <c r="I11" i="33" l="1"/>
  <c r="O11" i="33"/>
  <c r="F11" i="33"/>
  <c r="L11" i="33"/>
  <c r="B14" i="33"/>
  <c r="C13" i="33"/>
  <c r="G12" i="33"/>
  <c r="M12" i="33"/>
  <c r="N12" i="33"/>
  <c r="J12" i="33"/>
  <c r="E12" i="33"/>
  <c r="K12" i="33"/>
  <c r="H12" i="33"/>
  <c r="D13" i="33"/>
  <c r="O12" i="33" l="1"/>
  <c r="I12" i="33"/>
  <c r="F12" i="33"/>
  <c r="L12" i="33"/>
  <c r="B15" i="33"/>
  <c r="C14" i="33"/>
  <c r="N13" i="33"/>
  <c r="M13" i="33"/>
  <c r="G13" i="33"/>
  <c r="K13" i="33"/>
  <c r="H13" i="33"/>
  <c r="E13" i="33"/>
  <c r="J13" i="33"/>
  <c r="D14" i="33"/>
  <c r="O13" i="33" l="1"/>
  <c r="I13" i="33"/>
  <c r="F13" i="33"/>
  <c r="L13" i="33"/>
  <c r="B16" i="33"/>
  <c r="C15" i="33"/>
  <c r="J14" i="33"/>
  <c r="K15" i="33"/>
  <c r="N14" i="33"/>
  <c r="G14" i="33"/>
  <c r="H14" i="33"/>
  <c r="M14" i="33"/>
  <c r="K14" i="33"/>
  <c r="E14" i="33"/>
  <c r="F14" i="33" l="1"/>
  <c r="O14" i="33"/>
  <c r="I14" i="33"/>
  <c r="L14" i="33"/>
  <c r="C16" i="33"/>
  <c r="B17" i="33"/>
  <c r="J15" i="33"/>
  <c r="E15" i="33"/>
  <c r="H15" i="33"/>
  <c r="M15" i="33"/>
  <c r="G15" i="33"/>
  <c r="D15" i="33"/>
  <c r="G16" i="33"/>
  <c r="N15" i="33"/>
  <c r="F15" i="33" l="1"/>
  <c r="I15" i="33"/>
  <c r="L15" i="33"/>
  <c r="O15" i="33"/>
  <c r="B18" i="33"/>
  <c r="C17" i="33"/>
  <c r="D16" i="33"/>
  <c r="M16" i="33"/>
  <c r="E16" i="33"/>
  <c r="N16" i="33"/>
  <c r="J16" i="33"/>
  <c r="M17" i="33"/>
  <c r="H16" i="33"/>
  <c r="K16" i="33"/>
  <c r="F16" i="33" l="1"/>
  <c r="O16" i="33"/>
  <c r="I16" i="33"/>
  <c r="L16" i="33"/>
  <c r="B19" i="33"/>
  <c r="C18" i="33"/>
  <c r="K17" i="33"/>
  <c r="D17" i="33"/>
  <c r="N17" i="33"/>
  <c r="J17" i="33"/>
  <c r="G17" i="33"/>
  <c r="G18" i="33"/>
  <c r="E17" i="33"/>
  <c r="H17" i="33"/>
  <c r="O17" i="33" l="1"/>
  <c r="F17" i="33"/>
  <c r="L17" i="33"/>
  <c r="I17" i="33"/>
  <c r="B20" i="33"/>
  <c r="C19" i="33"/>
  <c r="H18" i="33"/>
  <c r="K18" i="33"/>
  <c r="N19" i="33"/>
  <c r="D18" i="33"/>
  <c r="E18" i="33"/>
  <c r="M18" i="33"/>
  <c r="N18" i="33"/>
  <c r="J18" i="33"/>
  <c r="O18" i="33" l="1"/>
  <c r="F18" i="33"/>
  <c r="I18" i="33"/>
  <c r="L18" i="33"/>
  <c r="C20" i="33"/>
  <c r="B21" i="33"/>
  <c r="E19" i="33"/>
  <c r="M19" i="33"/>
  <c r="J19" i="33"/>
  <c r="D19" i="33"/>
  <c r="G19" i="33"/>
  <c r="H19" i="33"/>
  <c r="N20" i="33"/>
  <c r="K19" i="33"/>
  <c r="O19" i="33" l="1"/>
  <c r="I19" i="33"/>
  <c r="L19" i="33"/>
  <c r="F19" i="33"/>
  <c r="B22" i="33"/>
  <c r="C21" i="33"/>
  <c r="M20" i="33"/>
  <c r="M21" i="33"/>
  <c r="K20" i="33"/>
  <c r="E20" i="33"/>
  <c r="D20" i="33"/>
  <c r="G20" i="33"/>
  <c r="H20" i="33"/>
  <c r="J20" i="33"/>
  <c r="L20" i="33" l="1"/>
  <c r="O20" i="33"/>
  <c r="F20" i="33"/>
  <c r="I20" i="33"/>
  <c r="B23" i="33"/>
  <c r="C22" i="33"/>
  <c r="G21" i="33"/>
  <c r="D21" i="33"/>
  <c r="J22" i="33"/>
  <c r="E21" i="33"/>
  <c r="J21" i="33"/>
  <c r="K21" i="33"/>
  <c r="N21" i="33"/>
  <c r="H21" i="33"/>
  <c r="I21" i="33" l="1"/>
  <c r="F21" i="33"/>
  <c r="L21" i="33"/>
  <c r="O21" i="33"/>
  <c r="B24" i="33"/>
  <c r="C23" i="33"/>
  <c r="G22" i="33"/>
  <c r="H22" i="33"/>
  <c r="E22" i="33"/>
  <c r="M22" i="33"/>
  <c r="D22" i="33"/>
  <c r="M23" i="33"/>
  <c r="N22" i="33"/>
  <c r="K22" i="33"/>
  <c r="F22" i="33" l="1"/>
  <c r="O22" i="33"/>
  <c r="I22" i="33"/>
  <c r="L22" i="33"/>
  <c r="B25" i="33"/>
  <c r="C24" i="33"/>
  <c r="D23" i="33"/>
  <c r="N23" i="33"/>
  <c r="G24" i="33"/>
  <c r="K23" i="33"/>
  <c r="G23" i="33"/>
  <c r="H23" i="33"/>
  <c r="E23" i="33"/>
  <c r="J23" i="33"/>
  <c r="O23" i="33" l="1"/>
  <c r="L23" i="33"/>
  <c r="F23" i="33"/>
  <c r="I23" i="33"/>
  <c r="B26" i="33"/>
  <c r="C25" i="33"/>
  <c r="J24" i="33"/>
  <c r="D24" i="33"/>
  <c r="M24" i="33"/>
  <c r="E24" i="33"/>
  <c r="G25" i="33"/>
  <c r="N24" i="33"/>
  <c r="K24" i="33"/>
  <c r="H24" i="33"/>
  <c r="L24" i="33" l="1"/>
  <c r="O24" i="33"/>
  <c r="F24" i="33"/>
  <c r="I24" i="33"/>
  <c r="B27" i="33"/>
  <c r="C26" i="33"/>
  <c r="K25" i="33"/>
  <c r="N25" i="33"/>
  <c r="H25" i="33"/>
  <c r="M25" i="33"/>
  <c r="J25" i="33"/>
  <c r="E25" i="33"/>
  <c r="H26" i="33"/>
  <c r="D25" i="33"/>
  <c r="L25" i="33" l="1"/>
  <c r="O25" i="33"/>
  <c r="F25" i="33"/>
  <c r="I25" i="33"/>
  <c r="B28" i="33"/>
  <c r="C27" i="33"/>
  <c r="J26" i="33"/>
  <c r="D26" i="33"/>
  <c r="E26" i="33"/>
  <c r="G26" i="33"/>
  <c r="K26" i="33"/>
  <c r="N26" i="33"/>
  <c r="H27" i="33"/>
  <c r="M26" i="33"/>
  <c r="O26" i="33" l="1"/>
  <c r="I26" i="33"/>
  <c r="L26" i="33"/>
  <c r="F26" i="33"/>
  <c r="C28" i="33"/>
  <c r="B29" i="33"/>
  <c r="J27" i="33"/>
  <c r="D27" i="33"/>
  <c r="K27" i="33"/>
  <c r="M27" i="33"/>
  <c r="N27" i="33"/>
  <c r="E27" i="33"/>
  <c r="K28" i="33"/>
  <c r="G27" i="33"/>
  <c r="L27" i="33" l="1"/>
  <c r="F27" i="33"/>
  <c r="O27" i="33"/>
  <c r="I27" i="33"/>
  <c r="B30" i="33"/>
  <c r="C29" i="33"/>
  <c r="G28" i="33"/>
  <c r="J28" i="33"/>
  <c r="D28" i="33"/>
  <c r="E28" i="33"/>
  <c r="M29" i="33"/>
  <c r="M28" i="33"/>
  <c r="N28" i="33"/>
  <c r="H28" i="33"/>
  <c r="I28" i="33" l="1"/>
  <c r="O28" i="33"/>
  <c r="F28" i="33"/>
  <c r="L28" i="33"/>
  <c r="B31" i="33"/>
  <c r="C30" i="33"/>
  <c r="H29" i="33"/>
  <c r="D29" i="33"/>
  <c r="K29" i="33"/>
  <c r="J29" i="33"/>
  <c r="H30" i="33"/>
  <c r="E29" i="33"/>
  <c r="N29" i="33"/>
  <c r="G29" i="33"/>
  <c r="F29" i="33" l="1"/>
  <c r="O29" i="33"/>
  <c r="L29" i="33"/>
  <c r="I29" i="33"/>
  <c r="B32" i="33"/>
  <c r="B33" i="33" s="1"/>
  <c r="B34" i="33" s="1"/>
  <c r="C31" i="33"/>
  <c r="M30" i="33"/>
  <c r="D30" i="33"/>
  <c r="H31" i="33"/>
  <c r="G30" i="33"/>
  <c r="K30" i="33"/>
  <c r="N30" i="33"/>
  <c r="E30" i="33"/>
  <c r="J30" i="33"/>
  <c r="O30" i="33" l="1"/>
  <c r="L30" i="33"/>
  <c r="I30" i="33"/>
  <c r="F30" i="33"/>
  <c r="C32" i="33"/>
  <c r="K31" i="33"/>
  <c r="N31" i="33"/>
  <c r="M31" i="33"/>
  <c r="E31" i="33"/>
  <c r="D31" i="33"/>
  <c r="H32" i="33"/>
  <c r="J31" i="33"/>
  <c r="G31" i="33"/>
  <c r="L31" i="33" l="1"/>
  <c r="I31" i="33"/>
  <c r="O31" i="33"/>
  <c r="F31" i="33"/>
  <c r="C34" i="33"/>
  <c r="C33" i="33"/>
  <c r="M32" i="33"/>
  <c r="E32" i="33"/>
  <c r="J32" i="33"/>
  <c r="K33" i="33"/>
  <c r="K32" i="33"/>
  <c r="G32" i="33"/>
  <c r="K34" i="33"/>
  <c r="D32" i="33"/>
  <c r="N32" i="33"/>
  <c r="F32" i="33" l="1"/>
  <c r="L32" i="33"/>
  <c r="I32" i="33"/>
  <c r="O32" i="33"/>
  <c r="K36" i="33"/>
  <c r="K35" i="33"/>
  <c r="G33" i="33"/>
  <c r="M34" i="33"/>
  <c r="N33" i="33"/>
  <c r="H34" i="33"/>
  <c r="H33" i="33"/>
  <c r="E33" i="33"/>
  <c r="E34" i="33"/>
  <c r="M33" i="33"/>
  <c r="J34" i="33"/>
  <c r="G34" i="33"/>
  <c r="J33" i="33"/>
  <c r="D34" i="33"/>
  <c r="N34" i="33"/>
  <c r="D33" i="33"/>
  <c r="J36" i="33" l="1"/>
  <c r="J35" i="33"/>
  <c r="D35" i="33"/>
  <c r="D36" i="33"/>
  <c r="H36" i="33"/>
  <c r="G36" i="33"/>
  <c r="E36" i="33"/>
  <c r="E35" i="33"/>
  <c r="N36" i="33"/>
  <c r="M36" i="33"/>
  <c r="F34" i="33"/>
  <c r="L33" i="33"/>
  <c r="O34" i="33"/>
  <c r="F33" i="33"/>
  <c r="I33" i="33"/>
  <c r="I34" i="33"/>
  <c r="L34" i="33"/>
  <c r="O33" i="33"/>
  <c r="F35" i="33" l="1"/>
  <c r="L36" i="33"/>
  <c r="O36" i="33"/>
  <c r="I36" i="33"/>
  <c r="L35" i="33"/>
  <c r="F36" i="33"/>
</calcChain>
</file>

<file path=xl/sharedStrings.xml><?xml version="1.0" encoding="utf-8"?>
<sst xmlns="http://schemas.openxmlformats.org/spreadsheetml/2006/main" count="34834" uniqueCount="3014">
  <si>
    <t>mobile</t>
  </si>
  <si>
    <t>desktop</t>
  </si>
  <si>
    <t>tablet</t>
  </si>
  <si>
    <t>총 사용자</t>
    <phoneticPr fontId="2" type="noConversion"/>
  </si>
  <si>
    <t>새 사용자</t>
    <phoneticPr fontId="2" type="noConversion"/>
  </si>
  <si>
    <t>조회수</t>
    <phoneticPr fontId="2" type="noConversion"/>
  </si>
  <si>
    <t>비율</t>
    <phoneticPr fontId="2" type="noConversion"/>
  </si>
  <si>
    <t>desktop</t>
    <phoneticPr fontId="2" type="noConversion"/>
  </si>
  <si>
    <t>PC</t>
    <phoneticPr fontId="2" type="noConversion"/>
  </si>
  <si>
    <t>smart tv</t>
    <phoneticPr fontId="2" type="noConversion"/>
  </si>
  <si>
    <t>Mo</t>
    <phoneticPr fontId="2" type="noConversion"/>
  </si>
  <si>
    <t>mobile</t>
    <phoneticPr fontId="2" type="noConversion"/>
  </si>
  <si>
    <t>tablet</t>
    <phoneticPr fontId="2" type="noConversion"/>
  </si>
  <si>
    <t>기기</t>
    <phoneticPr fontId="2" type="noConversion"/>
  </si>
  <si>
    <t>경로</t>
    <phoneticPr fontId="2" type="noConversion"/>
  </si>
  <si>
    <t>UV</t>
    <phoneticPr fontId="2" type="noConversion"/>
  </si>
  <si>
    <t>PV</t>
    <phoneticPr fontId="2" type="noConversion"/>
  </si>
  <si>
    <t>합</t>
    <phoneticPr fontId="2" type="noConversion"/>
  </si>
  <si>
    <t>날짜</t>
    <phoneticPr fontId="2" type="noConversion"/>
  </si>
  <si>
    <t>PC 수치</t>
    <phoneticPr fontId="2" type="noConversion"/>
  </si>
  <si>
    <t>PC 비율</t>
    <phoneticPr fontId="2" type="noConversion"/>
  </si>
  <si>
    <t>MO 비율</t>
    <phoneticPr fontId="2" type="noConversion"/>
  </si>
  <si>
    <t>MO 수치</t>
    <phoneticPr fontId="2" type="noConversion"/>
  </si>
  <si>
    <t>수치 합</t>
    <phoneticPr fontId="2" type="noConversion"/>
  </si>
  <si>
    <t>평균</t>
    <phoneticPr fontId="2" type="noConversion"/>
  </si>
  <si>
    <t>시트명</t>
    <phoneticPr fontId="2" type="noConversion"/>
  </si>
  <si>
    <t>연</t>
    <phoneticPr fontId="2" type="noConversion"/>
  </si>
  <si>
    <t>월</t>
    <phoneticPr fontId="2" type="noConversion"/>
  </si>
  <si>
    <t>/archives/24686</t>
  </si>
  <si>
    <t>/archives/32828</t>
  </si>
  <si>
    <t>/</t>
  </si>
  <si>
    <t>/archives/96864</t>
  </si>
  <si>
    <t>/posts</t>
  </si>
  <si>
    <t>/archives/103947</t>
  </si>
  <si>
    <t>/archives/10815</t>
  </si>
  <si>
    <t>/archives/16295</t>
  </si>
  <si>
    <t>/archives/100667</t>
  </si>
  <si>
    <t>/archives/84588</t>
  </si>
  <si>
    <t>/archives/97077</t>
  </si>
  <si>
    <t>/archives/category/business/sk-on</t>
  </si>
  <si>
    <t>/archives/109462</t>
  </si>
  <si>
    <t>/archives/113680</t>
  </si>
  <si>
    <t>/archives/113998</t>
  </si>
  <si>
    <t>/archives/30434</t>
  </si>
  <si>
    <t>/archives/51614</t>
  </si>
  <si>
    <t>/archives/63622</t>
  </si>
  <si>
    <t>/archives/85006</t>
  </si>
  <si>
    <t>/archives/100892</t>
  </si>
  <si>
    <t>/archives/104002</t>
  </si>
  <si>
    <t>/archives/14875</t>
  </si>
  <si>
    <t>/archives/36253</t>
  </si>
  <si>
    <t>/archives/49884</t>
  </si>
  <si>
    <t>/archives/95110</t>
  </si>
  <si>
    <t>/archives/98731</t>
  </si>
  <si>
    <t>/archives/category/field-news</t>
  </si>
  <si>
    <t>/archives/category/industry-and-insight</t>
  </si>
  <si>
    <t>/archives/category/social-news</t>
  </si>
  <si>
    <t>/archives/103932</t>
  </si>
  <si>
    <t>/archives/104504</t>
  </si>
  <si>
    <t>/archives/107557</t>
  </si>
  <si>
    <t>/archives/113952</t>
  </si>
  <si>
    <t>/archives/114094</t>
  </si>
  <si>
    <t>/archives/8422</t>
  </si>
  <si>
    <t>/archives/8935</t>
  </si>
  <si>
    <t>/archives/97391</t>
  </si>
  <si>
    <t>/archives/98613</t>
  </si>
  <si>
    <t>/archives/category/business/sk-enmove</t>
  </si>
  <si>
    <t>/archives/category/business/sk-incheonpetrochem</t>
  </si>
  <si>
    <t>/newsroom-guide</t>
  </si>
  <si>
    <t>/archives/100327</t>
  </si>
  <si>
    <t>/archives/102328</t>
  </si>
  <si>
    <t>/archives/103803</t>
  </si>
  <si>
    <t>/archives/103818</t>
  </si>
  <si>
    <t>/archives/103989</t>
  </si>
  <si>
    <t>/archives/105395</t>
  </si>
  <si>
    <t>/archives/105532</t>
  </si>
  <si>
    <t>/archives/105914</t>
  </si>
  <si>
    <t>/archives/107411</t>
  </si>
  <si>
    <t>/archives/107845</t>
  </si>
  <si>
    <t>/archives/107963</t>
  </si>
  <si>
    <t>/archives/108874</t>
  </si>
  <si>
    <t>/archives/110015</t>
  </si>
  <si>
    <t>/archives/110206</t>
  </si>
  <si>
    <t>/archives/110323</t>
  </si>
  <si>
    <t>/archives/110536</t>
  </si>
  <si>
    <t>/archives/111373</t>
  </si>
  <si>
    <t>/archives/111406</t>
  </si>
  <si>
    <t>/archives/111978</t>
  </si>
  <si>
    <t>/archives/112133</t>
  </si>
  <si>
    <t>/archives/112210</t>
  </si>
  <si>
    <t>/archives/112480</t>
  </si>
  <si>
    <t>/archives/112908</t>
  </si>
  <si>
    <t>/archives/113289</t>
  </si>
  <si>
    <t>/archives/114065</t>
  </si>
  <si>
    <t>/archives/114138</t>
  </si>
  <si>
    <t>/archives/13682</t>
  </si>
  <si>
    <t>/archives/17876</t>
  </si>
  <si>
    <t>/archives/20706</t>
  </si>
  <si>
    <t>/archives/20855</t>
  </si>
  <si>
    <t>/archives/20948</t>
  </si>
  <si>
    <t>/archives/24874</t>
  </si>
  <si>
    <t>/archives/25579</t>
  </si>
  <si>
    <t>/archives/25711</t>
  </si>
  <si>
    <t>/archives/25955</t>
  </si>
  <si>
    <t>/archives/27825</t>
  </si>
  <si>
    <t>/archives/28782</t>
  </si>
  <si>
    <t>/archives/32713</t>
  </si>
  <si>
    <t>/archives/34426</t>
  </si>
  <si>
    <t>/archives/37693</t>
  </si>
  <si>
    <t>/archives/45433</t>
  </si>
  <si>
    <t>/archives/47192</t>
  </si>
  <si>
    <t>/archives/48028</t>
  </si>
  <si>
    <t>/archives/49054</t>
  </si>
  <si>
    <t>/archives/61743</t>
  </si>
  <si>
    <t>/archives/7636</t>
  </si>
  <si>
    <t>/archives/76541</t>
  </si>
  <si>
    <t>/archives/79784</t>
  </si>
  <si>
    <t>/archives/8034</t>
  </si>
  <si>
    <t>/archives/83065</t>
  </si>
  <si>
    <t>/archives/83181</t>
  </si>
  <si>
    <t>/archives/83720</t>
  </si>
  <si>
    <t>/archives/8448</t>
  </si>
  <si>
    <t>/archives/84762</t>
  </si>
  <si>
    <t>/archives/8502</t>
  </si>
  <si>
    <t>/archives/91050</t>
  </si>
  <si>
    <t>/archives/95080</t>
  </si>
  <si>
    <t>/archives/9512</t>
  </si>
  <si>
    <t>/archives/95380</t>
  </si>
  <si>
    <t>/archives/95467</t>
  </si>
  <si>
    <t>/archives/9562</t>
  </si>
  <si>
    <t>/archives/96339</t>
  </si>
  <si>
    <t>/archives/96759</t>
  </si>
  <si>
    <t>/archives/98107</t>
  </si>
  <si>
    <t>/archives/98325</t>
  </si>
  <si>
    <t>/archives/99932</t>
  </si>
  <si>
    <t>/archives/category/press/press-release</t>
  </si>
  <si>
    <t>/archives/tag/?붿????몃옖?ㅽ룷硫붿씠??1</t>
  </si>
  <si>
    <t>/archives/100222</t>
  </si>
  <si>
    <t>/archives/102075</t>
  </si>
  <si>
    <t>/archives/104136</t>
  </si>
  <si>
    <t>/archives/104517</t>
  </si>
  <si>
    <t>/archives/105641</t>
  </si>
  <si>
    <t>/archives/105821</t>
  </si>
  <si>
    <t>/archives/106205</t>
  </si>
  <si>
    <t>/archives/110144</t>
  </si>
  <si>
    <t>/archives/111387</t>
  </si>
  <si>
    <t>/archives/111495</t>
  </si>
  <si>
    <t>/archives/111540</t>
  </si>
  <si>
    <t>/archives/111831</t>
  </si>
  <si>
    <t>/archives/112418</t>
  </si>
  <si>
    <t>/archives/112956</t>
  </si>
  <si>
    <t>/archives/113159</t>
  </si>
  <si>
    <t>/archives/113855</t>
  </si>
  <si>
    <t>/archives/114052</t>
  </si>
  <si>
    <t>/archives/11700</t>
  </si>
  <si>
    <t>/archives/13104</t>
  </si>
  <si>
    <t>/archives/21617</t>
  </si>
  <si>
    <t>/archives/22421</t>
  </si>
  <si>
    <t>/archives/23134</t>
  </si>
  <si>
    <t>/archives/23352</t>
  </si>
  <si>
    <t>/archives/23662</t>
  </si>
  <si>
    <t>/archives/25903</t>
  </si>
  <si>
    <t>/archives/29155</t>
  </si>
  <si>
    <t>/archives/31846</t>
  </si>
  <si>
    <t>/archives/32685</t>
  </si>
  <si>
    <t>/archives/36237</t>
  </si>
  <si>
    <t>/archives/37258</t>
  </si>
  <si>
    <t>/archives/45601</t>
  </si>
  <si>
    <t>/archives/47000</t>
  </si>
  <si>
    <t>/archives/47699</t>
  </si>
  <si>
    <t>/archives/53520</t>
  </si>
  <si>
    <t>/archives/55965</t>
  </si>
  <si>
    <t>/archives/78785</t>
  </si>
  <si>
    <t>/archives/80837</t>
  </si>
  <si>
    <t>/archives/85278</t>
  </si>
  <si>
    <t>/archives/8544</t>
  </si>
  <si>
    <t>/archives/90087</t>
  </si>
  <si>
    <t>/archives/90219</t>
  </si>
  <si>
    <t>/archives/9049</t>
  </si>
  <si>
    <t>/archives/9249</t>
  </si>
  <si>
    <t>/archives/93460</t>
  </si>
  <si>
    <t>/archives/93799</t>
  </si>
  <si>
    <t>/archives/94081</t>
  </si>
  <si>
    <t>/archives/94468</t>
  </si>
  <si>
    <t>/archives/95134</t>
  </si>
  <si>
    <t>/archives/96097</t>
  </si>
  <si>
    <t>/archives/9670</t>
  </si>
  <si>
    <t>/archives/96846</t>
  </si>
  <si>
    <t>/archives/97638</t>
  </si>
  <si>
    <t>/archives/99298</t>
  </si>
  <si>
    <t>/archives/99361</t>
  </si>
  <si>
    <t>/archives/category/business/sk-energy</t>
  </si>
  <si>
    <t>/archives/category/business/sk-innovation</t>
  </si>
  <si>
    <t>/archives/tag/safety-golden-rule</t>
  </si>
  <si>
    <t>/archives/113462</t>
  </si>
  <si>
    <t>/archives/34678</t>
  </si>
  <si>
    <t>/archives/8355</t>
  </si>
  <si>
    <t>/archives/96387</t>
  </si>
  <si>
    <t>/archives/100041</t>
  </si>
  <si>
    <t>/archives/101143</t>
  </si>
  <si>
    <t>/archives/101258</t>
  </si>
  <si>
    <t>/archives/102398</t>
  </si>
  <si>
    <t>/archives/102980</t>
  </si>
  <si>
    <t>/archives/104187</t>
  </si>
  <si>
    <t>/archives/104532</t>
  </si>
  <si>
    <t>/archives/105313</t>
  </si>
  <si>
    <t>/archives/105770</t>
  </si>
  <si>
    <t>/archives/107610</t>
  </si>
  <si>
    <t>/archives/108461</t>
  </si>
  <si>
    <t>/archives/109888</t>
  </si>
  <si>
    <t>/archives/109977</t>
  </si>
  <si>
    <t>/archives/110120</t>
  </si>
  <si>
    <t>/archives/112046</t>
  </si>
  <si>
    <t>/archives/112331</t>
  </si>
  <si>
    <t>/archives/112411</t>
  </si>
  <si>
    <t>/archives/112487</t>
  </si>
  <si>
    <t>/archives/112566</t>
  </si>
  <si>
    <t>/archives/112776</t>
  </si>
  <si>
    <t>/archives/113192</t>
  </si>
  <si>
    <t>/archives/113565</t>
  </si>
  <si>
    <t>/archives/114084</t>
  </si>
  <si>
    <t>/archives/14040</t>
  </si>
  <si>
    <t>/archives/38098</t>
  </si>
  <si>
    <t>/archives/60522</t>
  </si>
  <si>
    <t>/archives/61356</t>
  </si>
  <si>
    <t>/archives/70139</t>
  </si>
  <si>
    <t>/archives/70737</t>
  </si>
  <si>
    <t>/archives/77592</t>
  </si>
  <si>
    <t>/archives/93636</t>
  </si>
  <si>
    <t>/archives/94318</t>
  </si>
  <si>
    <t>/archives/9807</t>
  </si>
  <si>
    <t>/archives/category/business</t>
  </si>
  <si>
    <t>/archives/category/business/sk-geo-centric</t>
  </si>
  <si>
    <t>/archives/category/business/sk-tradinginternational</t>
  </si>
  <si>
    <t>/archives/category/field-news/inno-field</t>
  </si>
  <si>
    <t>/archives/category/field-news/inno-people</t>
  </si>
  <si>
    <t>/archives/category/industry-and-insight/basics</t>
  </si>
  <si>
    <t>/archives/tag/?몃?怨듦컧-clan</t>
  </si>
  <si>
    <t>/archives/100553</t>
  </si>
  <si>
    <t>/archives/100739</t>
  </si>
  <si>
    <t>/archives/101442</t>
  </si>
  <si>
    <t>/archives/103704</t>
  </si>
  <si>
    <t>/archives/107506</t>
  </si>
  <si>
    <t>/archives/107738</t>
  </si>
  <si>
    <t>/archives/112513</t>
  </si>
  <si>
    <t>/archives/112989</t>
  </si>
  <si>
    <t>/archives/113268</t>
  </si>
  <si>
    <t>/archives/114118</t>
  </si>
  <si>
    <t>/archives/13718</t>
  </si>
  <si>
    <t>/archives/26999</t>
  </si>
  <si>
    <t>/archives/34403</t>
  </si>
  <si>
    <t>/archives/63101</t>
  </si>
  <si>
    <t>/archives/82567</t>
  </si>
  <si>
    <t>/archives/96879</t>
  </si>
  <si>
    <t>/archives/113520</t>
  </si>
  <si>
    <t>/archives/94030</t>
  </si>
  <si>
    <t>/archives/98767</t>
  </si>
  <si>
    <t>/archives/111283</t>
  </si>
  <si>
    <t>/archives/21277</t>
  </si>
  <si>
    <t>/archives/tag/sk?대끂踰좎씠???몄궛complex</t>
  </si>
  <si>
    <t>/archives/10963</t>
  </si>
  <si>
    <t>/archives/10179</t>
  </si>
  <si>
    <t>/archives/102896</t>
  </si>
  <si>
    <t>/archives/10512</t>
  </si>
  <si>
    <t>/archives/10557</t>
  </si>
  <si>
    <t>/archives/105571</t>
  </si>
  <si>
    <t>/archives/106626</t>
  </si>
  <si>
    <t>/archives/106868</t>
  </si>
  <si>
    <t>/archives/108815</t>
  </si>
  <si>
    <t>/archives/109118</t>
  </si>
  <si>
    <t>/archives/110471</t>
  </si>
  <si>
    <t>/archives/110975</t>
  </si>
  <si>
    <t>/archives/112580</t>
  </si>
  <si>
    <t>/archives/11737</t>
  </si>
  <si>
    <t>/archives/18429</t>
  </si>
  <si>
    <t>/archives/2624</t>
  </si>
  <si>
    <t>/archives/33139</t>
  </si>
  <si>
    <t>/archives/34651</t>
  </si>
  <si>
    <t>/archives/45061</t>
  </si>
  <si>
    <t>/archives/48279</t>
  </si>
  <si>
    <t>/archives/50461</t>
  </si>
  <si>
    <t>/archives/51077</t>
  </si>
  <si>
    <t>/archives/6654</t>
  </si>
  <si>
    <t>/archives/67606</t>
  </si>
  <si>
    <t>/archives/68240</t>
  </si>
  <si>
    <t>/archives/69589</t>
  </si>
  <si>
    <t>/archives/69864</t>
  </si>
  <si>
    <t>/archives/70521</t>
  </si>
  <si>
    <t>/archives/80192</t>
  </si>
  <si>
    <t>/archives/80526</t>
  </si>
  <si>
    <t>/archives/87190</t>
  </si>
  <si>
    <t>/archives/88269</t>
  </si>
  <si>
    <t>/archives/9006</t>
  </si>
  <si>
    <t>/archives/91072</t>
  </si>
  <si>
    <t>/archives/92988</t>
  </si>
  <si>
    <t>/archives/9782</t>
  </si>
  <si>
    <t>/archives/98610</t>
  </si>
  <si>
    <t>/archives/tag/?덉쭏寃쎌쁺??1</t>
  </si>
  <si>
    <t>/archives/tag/?됰났?섎옒</t>
  </si>
  <si>
    <t>/archives/100970</t>
  </si>
  <si>
    <t>/archives/101248</t>
  </si>
  <si>
    <t>/archives/102588</t>
  </si>
  <si>
    <t>/archives/105651</t>
  </si>
  <si>
    <t>/archives/108949</t>
  </si>
  <si>
    <t>/archives/110055</t>
  </si>
  <si>
    <t>/archives/111245</t>
  </si>
  <si>
    <t>/archives/112011</t>
  </si>
  <si>
    <t>/archives/14636</t>
  </si>
  <si>
    <t>/archives/21775</t>
  </si>
  <si>
    <t>/archives/27324</t>
  </si>
  <si>
    <t>/archives/28045</t>
  </si>
  <si>
    <t>/archives/28520</t>
  </si>
  <si>
    <t>/archives/28909</t>
  </si>
  <si>
    <t>/archives/29960</t>
  </si>
  <si>
    <t>/archives/56046</t>
  </si>
  <si>
    <t>/archives/59030</t>
  </si>
  <si>
    <t>/archives/59917</t>
  </si>
  <si>
    <t>/archives/60291</t>
  </si>
  <si>
    <t>/archives/64019</t>
  </si>
  <si>
    <t>/archives/65154</t>
  </si>
  <si>
    <t>/archives/6688</t>
  </si>
  <si>
    <t>/archives/68210</t>
  </si>
  <si>
    <t>/archives/69750</t>
  </si>
  <si>
    <t>/archives/7103</t>
  </si>
  <si>
    <t>/archives/71405</t>
  </si>
  <si>
    <t>/archives/72552</t>
  </si>
  <si>
    <t>/archives/7475</t>
  </si>
  <si>
    <t>/archives/76494</t>
  </si>
  <si>
    <t>/archives/77093</t>
  </si>
  <si>
    <t>/archives/7918</t>
  </si>
  <si>
    <t>/archives/82120</t>
  </si>
  <si>
    <t>/archives/82326</t>
  </si>
  <si>
    <t>/archives/8289</t>
  </si>
  <si>
    <t>/archives/83099</t>
  </si>
  <si>
    <t>/archives/83166</t>
  </si>
  <si>
    <t>/archives/86272</t>
  </si>
  <si>
    <t>/archives/88930</t>
  </si>
  <si>
    <t>/archives/93157</t>
  </si>
  <si>
    <t>/archives/93410</t>
  </si>
  <si>
    <t>/archives/9439</t>
  </si>
  <si>
    <t>/archives/9705</t>
  </si>
  <si>
    <t>/archives/25596</t>
  </si>
  <si>
    <t>/archives/26466</t>
  </si>
  <si>
    <t>/archives/100061</t>
  </si>
  <si>
    <t>/archives/101589</t>
  </si>
  <si>
    <t>/archives/106345</t>
  </si>
  <si>
    <t>/archives/106701</t>
  </si>
  <si>
    <t>/archives/107618</t>
  </si>
  <si>
    <t>/archives/107925</t>
  </si>
  <si>
    <t>/archives/110819</t>
  </si>
  <si>
    <t>/archives/111394</t>
  </si>
  <si>
    <t>/archives/111929</t>
  </si>
  <si>
    <t>/archives/113432</t>
  </si>
  <si>
    <t>/archives/113475</t>
  </si>
  <si>
    <t>/archives/113797</t>
  </si>
  <si>
    <t>/archives/113899</t>
  </si>
  <si>
    <t>/archives/114014</t>
  </si>
  <si>
    <t>/archives/23957</t>
  </si>
  <si>
    <t>/archives/67318</t>
  </si>
  <si>
    <t>/archives/71556</t>
  </si>
  <si>
    <t>/archives/7288</t>
  </si>
  <si>
    <t>/archives/81946</t>
  </si>
  <si>
    <t>/archives/83119</t>
  </si>
  <si>
    <t>/archives/83751</t>
  </si>
  <si>
    <t>/archives/88154</t>
  </si>
  <si>
    <t>/archives/category/business/sk-enterm</t>
  </si>
  <si>
    <t>/archives/category/press/archive</t>
  </si>
  <si>
    <t>/archives/tag/?몄궛clx</t>
  </si>
  <si>
    <t>/archives/100759</t>
  </si>
  <si>
    <t>/archives/108563</t>
  </si>
  <si>
    <t>/archives/category/business/sk-earthon</t>
  </si>
  <si>
    <t>/archives/category/press</t>
  </si>
  <si>
    <t>/archives/103372</t>
  </si>
  <si>
    <t>/archives/10330</t>
  </si>
  <si>
    <t>/archives/67904</t>
  </si>
  <si>
    <t>/archives/104151</t>
  </si>
  <si>
    <t>/archives/8171</t>
  </si>
  <si>
    <t>/archives/100159</t>
  </si>
  <si>
    <t>/archives/101202</t>
  </si>
  <si>
    <t>/archives/101304</t>
  </si>
  <si>
    <t>/archives/102419</t>
  </si>
  <si>
    <t>/archives/105048</t>
  </si>
  <si>
    <t>/archives/105499</t>
  </si>
  <si>
    <t>/archives/105803</t>
  </si>
  <si>
    <t>/archives/108889</t>
  </si>
  <si>
    <t>/archives/110768</t>
  </si>
  <si>
    <t>/archives/110846</t>
  </si>
  <si>
    <t>/archives/13135</t>
  </si>
  <si>
    <t>/archives/13264</t>
  </si>
  <si>
    <t>/archives/14188</t>
  </si>
  <si>
    <t>/archives/14770</t>
  </si>
  <si>
    <t>/archives/22283</t>
  </si>
  <si>
    <t>/archives/24192</t>
  </si>
  <si>
    <t>/archives/28157</t>
  </si>
  <si>
    <t>/archives/36348</t>
  </si>
  <si>
    <t>/archives/38114</t>
  </si>
  <si>
    <t>/archives/47994</t>
  </si>
  <si>
    <t>/archives/48690</t>
  </si>
  <si>
    <t>/archives/53791</t>
  </si>
  <si>
    <t>/archives/56972</t>
  </si>
  <si>
    <t>/archives/62799</t>
  </si>
  <si>
    <t>/archives/72120</t>
  </si>
  <si>
    <t>/archives/75805</t>
  </si>
  <si>
    <t>/archives/76643</t>
  </si>
  <si>
    <t>/archives/80564</t>
  </si>
  <si>
    <t>/archives/81289</t>
  </si>
  <si>
    <t>/archives/85894</t>
  </si>
  <si>
    <t>/archives/85896</t>
  </si>
  <si>
    <t>/archives/87110</t>
  </si>
  <si>
    <t>/archives/88198</t>
  </si>
  <si>
    <t>/archives/88287</t>
  </si>
  <si>
    <t>/archives/9082</t>
  </si>
  <si>
    <t>/archives/91375</t>
  </si>
  <si>
    <t>/archives/91695</t>
  </si>
  <si>
    <t>/archives/93340</t>
  </si>
  <si>
    <t>/archives/93757</t>
  </si>
  <si>
    <t>/archives/94311</t>
  </si>
  <si>
    <t>/archives/9637</t>
  </si>
  <si>
    <t>/archives/tag/?섍꼍怨쇳븰湲곗닠??1</t>
  </si>
  <si>
    <t>/archives/102285</t>
  </si>
  <si>
    <t>/archives/105449</t>
  </si>
  <si>
    <t>/archives/106307</t>
  </si>
  <si>
    <t>/archives/111582</t>
  </si>
  <si>
    <t>/archives/112834</t>
  </si>
  <si>
    <t>/archives/112995</t>
  </si>
  <si>
    <t>/archives/113881</t>
  </si>
  <si>
    <t>/archives/11793</t>
  </si>
  <si>
    <t>/archives/14070</t>
  </si>
  <si>
    <t>/archives/21649</t>
  </si>
  <si>
    <t>/archives/33788</t>
  </si>
  <si>
    <t>/archives/58745</t>
  </si>
  <si>
    <t>/archives/70071</t>
  </si>
  <si>
    <t>/archives/72162</t>
  </si>
  <si>
    <t>/archives/78506</t>
  </si>
  <si>
    <t>/archives/81784</t>
  </si>
  <si>
    <t>/archives/88816</t>
  </si>
  <si>
    <t>/archives/90754</t>
  </si>
  <si>
    <t>/archives/96252</t>
  </si>
  <si>
    <t>/archives/96309</t>
  </si>
  <si>
    <t>/archives/96535</t>
  </si>
  <si>
    <t>/archives/9764</t>
  </si>
  <si>
    <t>/archives/97693</t>
  </si>
  <si>
    <t>/archives/tag/sk-battery-america</t>
  </si>
  <si>
    <t>/archives/101177</t>
  </si>
  <si>
    <t>/archives/103233</t>
  </si>
  <si>
    <t>/archives/103860</t>
  </si>
  <si>
    <t>/archives/105131</t>
  </si>
  <si>
    <t>/archives/106126</t>
  </si>
  <si>
    <t>/archives/109571</t>
  </si>
  <si>
    <t>/archives/113419</t>
  </si>
  <si>
    <t>/archives/113632</t>
  </si>
  <si>
    <t>/archives/57650</t>
  </si>
  <si>
    <t>/archives/63586</t>
  </si>
  <si>
    <t>/archives/6811</t>
  </si>
  <si>
    <t>/archives/72104</t>
  </si>
  <si>
    <t>/archives/82496</t>
  </si>
  <si>
    <t>/archives/93867</t>
  </si>
  <si>
    <t>/archives/94104</t>
  </si>
  <si>
    <t>/archives/94113</t>
  </si>
  <si>
    <t>/archives/98484</t>
  </si>
  <si>
    <t>/archives/category/business/sk-ietechnology</t>
  </si>
  <si>
    <t>/archives/category/press/notice</t>
  </si>
  <si>
    <t>/archives/102531</t>
  </si>
  <si>
    <t>/archives/108569</t>
  </si>
  <si>
    <t>/archives/111652</t>
  </si>
  <si>
    <t>/archives/112239</t>
  </si>
  <si>
    <t>/archives/81000</t>
  </si>
  <si>
    <t>/archives/93206</t>
  </si>
  <si>
    <t>/archives/tag/?붾）???뚮윭??1</t>
  </si>
  <si>
    <t>/archives/tag/梨꾩슜</t>
  </si>
  <si>
    <t>/archives/103349</t>
  </si>
  <si>
    <t>/archives/114153</t>
  </si>
  <si>
    <t>/archives/47741</t>
  </si>
  <si>
    <t>/archives/100001</t>
  </si>
  <si>
    <t>/archives/105883</t>
  </si>
  <si>
    <t>/archives/15974</t>
  </si>
  <si>
    <t>/archives/18301</t>
  </si>
  <si>
    <t>/archives/55989</t>
  </si>
  <si>
    <t>/archives/80343</t>
  </si>
  <si>
    <t>/archives/80568</t>
  </si>
  <si>
    <t>/archives/95732</t>
  </si>
  <si>
    <t>/archives/95988</t>
  </si>
  <si>
    <t>/archives/96752</t>
  </si>
  <si>
    <t>/archives/97264</t>
  </si>
  <si>
    <t>/archives/98605</t>
  </si>
  <si>
    <t>/archives/100309</t>
  </si>
  <si>
    <t>/archives/100641</t>
  </si>
  <si>
    <t>/archives/100723</t>
  </si>
  <si>
    <t>/archives/101465</t>
  </si>
  <si>
    <t>/archives/101945</t>
  </si>
  <si>
    <t>/archives/102835</t>
  </si>
  <si>
    <t>/archives/103178</t>
  </si>
  <si>
    <t>/archives/104331</t>
  </si>
  <si>
    <t>/archives/104533</t>
  </si>
  <si>
    <t>/archives/104883</t>
  </si>
  <si>
    <t>/archives/104996</t>
  </si>
  <si>
    <t>/archives/105002</t>
  </si>
  <si>
    <t>/archives/106172</t>
  </si>
  <si>
    <t>/archives/107036</t>
  </si>
  <si>
    <t>/archives/107142</t>
  </si>
  <si>
    <t>/archives/110382</t>
  </si>
  <si>
    <t>/archives/110458</t>
  </si>
  <si>
    <t>/archives/111968</t>
  </si>
  <si>
    <t>/archives/11371</t>
  </si>
  <si>
    <t>/archives/113942</t>
  </si>
  <si>
    <t>/archives/11993</t>
  </si>
  <si>
    <t>/archives/12929</t>
  </si>
  <si>
    <t>/archives/15214</t>
  </si>
  <si>
    <t>/archives/19039</t>
  </si>
  <si>
    <t>/archives/19825</t>
  </si>
  <si>
    <t>/archives/21543</t>
  </si>
  <si>
    <t>/archives/30560</t>
  </si>
  <si>
    <t>/archives/50688</t>
  </si>
  <si>
    <t>/archives/50898</t>
  </si>
  <si>
    <t>/archives/54173</t>
  </si>
  <si>
    <t>/archives/57820</t>
  </si>
  <si>
    <t>/archives/60780</t>
  </si>
  <si>
    <t>/archives/61110</t>
  </si>
  <si>
    <t>/archives/61250</t>
  </si>
  <si>
    <t>/archives/62607</t>
  </si>
  <si>
    <t>/archives/63128</t>
  </si>
  <si>
    <t>/archives/67506</t>
  </si>
  <si>
    <t>/archives/6772</t>
  </si>
  <si>
    <t>/archives/70300</t>
  </si>
  <si>
    <t>/archives/72713</t>
  </si>
  <si>
    <t>/archives/7348</t>
  </si>
  <si>
    <t>/archives/7359</t>
  </si>
  <si>
    <t>/archives/7868</t>
  </si>
  <si>
    <t>/archives/7938</t>
  </si>
  <si>
    <t>/archives/84900</t>
  </si>
  <si>
    <t>/archives/85134</t>
  </si>
  <si>
    <t>/archives/85853</t>
  </si>
  <si>
    <t>/archives/86689</t>
  </si>
  <si>
    <t>/archives/88954</t>
  </si>
  <si>
    <t>/archives/89828</t>
  </si>
  <si>
    <t>/archives/90090</t>
  </si>
  <si>
    <t>/archives/90393</t>
  </si>
  <si>
    <t>/archives/93780</t>
  </si>
  <si>
    <t>/archives/94616</t>
  </si>
  <si>
    <t>/archives/97113</t>
  </si>
  <si>
    <t>/archives/97463</t>
  </si>
  <si>
    <t>/archives/97579</t>
  </si>
  <si>
    <t>/archives/98253</t>
  </si>
  <si>
    <t>/archives/98694</t>
  </si>
  <si>
    <t>/archives/99525</t>
  </si>
  <si>
    <t>/archives/tag/sk-battery-hungary</t>
  </si>
  <si>
    <t>/archives/tag/sk-supex異붽뎄?묒쓽??1</t>
  </si>
  <si>
    <t>/archives/tag/sk寃쎌쁺寃쎌젣?곌뎄??1</t>
  </si>
  <si>
    <t>/archives/tag/?ㅽ뵂-?대끂踰좎씠??1</t>
  </si>
  <si>
    <t>/archives/tag/?ν깂媛</t>
  </si>
  <si>
    <t>/archives/tag/?뚮줈源?1</t>
  </si>
  <si>
    <t>/archives/100851</t>
  </si>
  <si>
    <t>/archives/101641</t>
  </si>
  <si>
    <t>/archives/102756</t>
  </si>
  <si>
    <t>/archives/103092</t>
  </si>
  <si>
    <t>/archives/103594</t>
  </si>
  <si>
    <t>/archives/105691</t>
  </si>
  <si>
    <t>/archives/108736</t>
  </si>
  <si>
    <t>/archives/110919</t>
  </si>
  <si>
    <t>/archives/14136</t>
  </si>
  <si>
    <t>/archives/21354</t>
  </si>
  <si>
    <t>/archives/21634</t>
  </si>
  <si>
    <t>/archives/22310</t>
  </si>
  <si>
    <t>/archives/24005</t>
  </si>
  <si>
    <t>/archives/25258</t>
  </si>
  <si>
    <t>/archives/34162</t>
  </si>
  <si>
    <t>/archives/35195</t>
  </si>
  <si>
    <t>/archives/38706</t>
  </si>
  <si>
    <t>/archives/57901</t>
  </si>
  <si>
    <t>/archives/64647</t>
  </si>
  <si>
    <t>/archives/68608</t>
  </si>
  <si>
    <t>/archives/69107</t>
  </si>
  <si>
    <t>/archives/72390</t>
  </si>
  <si>
    <t>/archives/84376</t>
  </si>
  <si>
    <t>/archives/84713</t>
  </si>
  <si>
    <t>/archives/87527</t>
  </si>
  <si>
    <t>/archives/87921</t>
  </si>
  <si>
    <t>/archives/9192</t>
  </si>
  <si>
    <t>/archives/93235</t>
  </si>
  <si>
    <t>/archives/51746</t>
  </si>
  <si>
    <t>/archives/7268</t>
  </si>
  <si>
    <t>/404</t>
  </si>
  <si>
    <t>/archives/101213</t>
  </si>
  <si>
    <t>/archives/102095</t>
  </si>
  <si>
    <t>/archives/102733</t>
  </si>
  <si>
    <t>/archives/103145</t>
  </si>
  <si>
    <t>/archives/103336</t>
  </si>
  <si>
    <t>/archives/103449</t>
  </si>
  <si>
    <t>/archives/103500</t>
  </si>
  <si>
    <t>/archives/103688</t>
  </si>
  <si>
    <t>/archives/103830</t>
  </si>
  <si>
    <t>/archives/104596</t>
  </si>
  <si>
    <t>/archives/104638</t>
  </si>
  <si>
    <t>/archives/105440</t>
  </si>
  <si>
    <t>/archives/105461</t>
  </si>
  <si>
    <t>/archives/105639</t>
  </si>
  <si>
    <t>/archives/105676</t>
  </si>
  <si>
    <t>/archives/106254</t>
  </si>
  <si>
    <t>/archives/107289</t>
  </si>
  <si>
    <t>/archives/110681</t>
  </si>
  <si>
    <t>/archives/110801</t>
  </si>
  <si>
    <t>/archives/110932</t>
  </si>
  <si>
    <t>/archives/111435</t>
  </si>
  <si>
    <t>/archives/111887</t>
  </si>
  <si>
    <t>/archives/111949</t>
  </si>
  <si>
    <t>/archives/112036</t>
  </si>
  <si>
    <t>/archives/112250</t>
  </si>
  <si>
    <t>/archives/112544</t>
  </si>
  <si>
    <t>/archives/112603</t>
  </si>
  <si>
    <t>/archives/112754</t>
  </si>
  <si>
    <t>/archives/113083</t>
  </si>
  <si>
    <t>/archives/113197</t>
  </si>
  <si>
    <t>/archives/113226</t>
  </si>
  <si>
    <t>/archives/114038</t>
  </si>
  <si>
    <t>/archives/16903</t>
  </si>
  <si>
    <t>/archives/30153</t>
  </si>
  <si>
    <t>/archives/34624</t>
  </si>
  <si>
    <t>/archives/34669</t>
  </si>
  <si>
    <t>/archives/38936</t>
  </si>
  <si>
    <t>/archives/4521</t>
  </si>
  <si>
    <t>/archives/47895</t>
  </si>
  <si>
    <t>/archives/60629</t>
  </si>
  <si>
    <t>/archives/70156</t>
  </si>
  <si>
    <t>/archives/72250</t>
  </si>
  <si>
    <t>/archives/74629</t>
  </si>
  <si>
    <t>/archives/75079</t>
  </si>
  <si>
    <t>/archives/75513</t>
  </si>
  <si>
    <t>/archives/76328</t>
  </si>
  <si>
    <t>/archives/7725</t>
  </si>
  <si>
    <t>/archives/78311</t>
  </si>
  <si>
    <t>/archives/82691</t>
  </si>
  <si>
    <t>/archives/83571</t>
  </si>
  <si>
    <t>/archives/83801</t>
  </si>
  <si>
    <t>/archives/90963</t>
  </si>
  <si>
    <t>/archives/91679</t>
  </si>
  <si>
    <t>/archives/95007</t>
  </si>
  <si>
    <t>/archives/96322</t>
  </si>
  <si>
    <t>/archives/96489</t>
  </si>
  <si>
    <t>/archives/99229</t>
  </si>
  <si>
    <t>/archives/category/field-news/management</t>
  </si>
  <si>
    <t>/archives/category/industry-and-insight/inno-column</t>
  </si>
  <si>
    <t>/archives/tag/諛고꽣由?1</t>
  </si>
  <si>
    <t>/archives/tag/?좎옄??1</t>
  </si>
  <si>
    <t>/archives/tag/?뷀겕由?1</t>
  </si>
  <si>
    <t>/privacy-policy</t>
  </si>
  <si>
    <t>/archives/113099</t>
  </si>
  <si>
    <t>/archives/113149</t>
  </si>
  <si>
    <t>/archives/59768</t>
  </si>
  <si>
    <t>/archives/7696</t>
  </si>
  <si>
    <t>/archives/8369</t>
  </si>
  <si>
    <t>/archives/88135</t>
  </si>
  <si>
    <t>/archives/category/9</t>
  </si>
  <si>
    <t>/archives/76271</t>
  </si>
  <si>
    <t>/archives/114172</t>
  </si>
  <si>
    <t>/archives/tag/sk寃쎌쁺寃쎌젣?곌뎄??4</t>
  </si>
  <si>
    <t>/archives/85055</t>
  </si>
  <si>
    <t>/archives/103988</t>
  </si>
  <si>
    <t>/archives/104049</t>
  </si>
  <si>
    <t>/archives/113663</t>
  </si>
  <si>
    <t>/archives/31658</t>
  </si>
  <si>
    <t>/archives/54273</t>
  </si>
  <si>
    <t>/archives/8482</t>
  </si>
  <si>
    <t>/archives/86834</t>
  </si>
  <si>
    <t>/archives/89053</t>
  </si>
  <si>
    <t>/archives/9299</t>
  </si>
  <si>
    <t>/archives/93770</t>
  </si>
  <si>
    <t>/archives/99949</t>
  </si>
  <si>
    <t>/archives/tag/諛고꽣由?2</t>
  </si>
  <si>
    <t>/archives/90543</t>
  </si>
  <si>
    <t>/archives/102910</t>
  </si>
  <si>
    <t>/archives/104439</t>
  </si>
  <si>
    <t>/archives/105331</t>
  </si>
  <si>
    <t>/archives/106235</t>
  </si>
  <si>
    <t>/archives/110003</t>
  </si>
  <si>
    <t>/archives/111454</t>
  </si>
  <si>
    <t>/archives/111466</t>
  </si>
  <si>
    <t>/archives/112724</t>
  </si>
  <si>
    <t>/archives/113891</t>
  </si>
  <si>
    <t>/archives/11761</t>
  </si>
  <si>
    <t>/archives/19981</t>
  </si>
  <si>
    <t>/archives/21261</t>
  </si>
  <si>
    <t>/archives/25623</t>
  </si>
  <si>
    <t>/archives/27705</t>
  </si>
  <si>
    <t>/archives/34578</t>
  </si>
  <si>
    <t>/archives/35023</t>
  </si>
  <si>
    <t>/archives/56073</t>
  </si>
  <si>
    <t>/archives/59623</t>
  </si>
  <si>
    <t>/archives/59934</t>
  </si>
  <si>
    <t>/archives/61117</t>
  </si>
  <si>
    <t>/archives/62310</t>
  </si>
  <si>
    <t>/archives/62375</t>
  </si>
  <si>
    <t>/archives/67841</t>
  </si>
  <si>
    <t>/archives/68575</t>
  </si>
  <si>
    <t>/archives/70471</t>
  </si>
  <si>
    <t>/archives/71038</t>
  </si>
  <si>
    <t>/archives/72623</t>
  </si>
  <si>
    <t>/archives/73326</t>
  </si>
  <si>
    <t>/archives/7577</t>
  </si>
  <si>
    <t>/archives/81923</t>
  </si>
  <si>
    <t>/archives/82172</t>
  </si>
  <si>
    <t>/archives/8269</t>
  </si>
  <si>
    <t>/archives/83097</t>
  </si>
  <si>
    <t>/archives/84804</t>
  </si>
  <si>
    <t>/archives/86086</t>
  </si>
  <si>
    <t>/archives/86866</t>
  </si>
  <si>
    <t>/archives/86941</t>
  </si>
  <si>
    <t>/archives/88031</t>
  </si>
  <si>
    <t>/archives/89317</t>
  </si>
  <si>
    <t>/archives/8957</t>
  </si>
  <si>
    <t>/archives/89977</t>
  </si>
  <si>
    <t>/archives/92338</t>
  </si>
  <si>
    <t>/archives/92599</t>
  </si>
  <si>
    <t>/archives/92917</t>
  </si>
  <si>
    <t>/archives/93491</t>
  </si>
  <si>
    <t>/archives/96145</t>
  </si>
  <si>
    <t>/archives/96454</t>
  </si>
  <si>
    <t>/archives/97929</t>
  </si>
  <si>
    <t>/archives/98042</t>
  </si>
  <si>
    <t>/archives/tag/great-music-festival</t>
  </si>
  <si>
    <t>/archives/tag/?섍퉭?④낵</t>
  </si>
  <si>
    <t>/archives/tag/?쒕끂??1</t>
  </si>
  <si>
    <t>/archives/tag/?좎엯?ъ썝-援먯쑁怨쇱젙</t>
  </si>
  <si>
    <t>/archives/tag/?깃??щⅤ-蹂듯빀-?뺤젣留덉쭊</t>
  </si>
  <si>
    <t>/archives/tag/?먯썝遊됱궗</t>
  </si>
  <si>
    <t>/archives/tag/議곗쭅臾명솕</t>
  </si>
  <si>
    <t>/archives/tag/?뚮씪?먯씪??1</t>
  </si>
  <si>
    <t>/archives/103287</t>
  </si>
  <si>
    <t>/archives/110489</t>
  </si>
  <si>
    <t>/archives/11127</t>
  </si>
  <si>
    <t>/archives/19728</t>
  </si>
  <si>
    <t>/archives/21532</t>
  </si>
  <si>
    <t>/archives/21973</t>
  </si>
  <si>
    <t>/archives/26620</t>
  </si>
  <si>
    <t>/archives/30647</t>
  </si>
  <si>
    <t>/archives/38911</t>
  </si>
  <si>
    <t>/archives/59136</t>
  </si>
  <si>
    <t>/archives/62659</t>
  </si>
  <si>
    <t>/archives/69357</t>
  </si>
  <si>
    <t>/archives/73613</t>
  </si>
  <si>
    <t>/archives/7660</t>
  </si>
  <si>
    <t>/archives/7762</t>
  </si>
  <si>
    <t>/archives/78965</t>
  </si>
  <si>
    <t>/archives/82619</t>
  </si>
  <si>
    <t>/archives/87503</t>
  </si>
  <si>
    <t>/archives/9501</t>
  </si>
  <si>
    <t>/archives/95327</t>
  </si>
  <si>
    <t>/archives/96184</t>
  </si>
  <si>
    <t>/archives/96818</t>
  </si>
  <si>
    <t>/archives/97573</t>
  </si>
  <si>
    <t>/archives/tag/洹몃┛諛몃윴??2030</t>
  </si>
  <si>
    <t>/archives/tag/?쇰젆?몃줈??1</t>
  </si>
  <si>
    <t>/archives/86766</t>
  </si>
  <si>
    <t>/archives/103302</t>
  </si>
  <si>
    <t>/archives/104261</t>
  </si>
  <si>
    <t>/archives/104964</t>
  </si>
  <si>
    <t>/archives/105258</t>
  </si>
  <si>
    <t>/archives/10794</t>
  </si>
  <si>
    <t>/archives/108834</t>
  </si>
  <si>
    <t>/archives/109663</t>
  </si>
  <si>
    <t>/archives/110328</t>
  </si>
  <si>
    <t>/archives/112071</t>
  </si>
  <si>
    <t>/archives/113925</t>
  </si>
  <si>
    <t>/archives/21314</t>
  </si>
  <si>
    <t>/archives/31789</t>
  </si>
  <si>
    <t>/archives/32157</t>
  </si>
  <si>
    <t>/archives/56657</t>
  </si>
  <si>
    <t>/archives/74012</t>
  </si>
  <si>
    <t>/archives/74611</t>
  </si>
  <si>
    <t>/archives/76343</t>
  </si>
  <si>
    <t>/archives/76429</t>
  </si>
  <si>
    <t>/archives/77887</t>
  </si>
  <si>
    <t>/archives/78753</t>
  </si>
  <si>
    <t>/archives/81735</t>
  </si>
  <si>
    <t>/archives/83278</t>
  </si>
  <si>
    <t>/archives/84557</t>
  </si>
  <si>
    <t>/archives/84789</t>
  </si>
  <si>
    <t>/archives/92248</t>
  </si>
  <si>
    <t>/archives/93529</t>
  </si>
  <si>
    <t>/archives/93938</t>
  </si>
  <si>
    <t>/archives/94778</t>
  </si>
  <si>
    <t>/archives/95609</t>
  </si>
  <si>
    <t>/archives/95863</t>
  </si>
  <si>
    <t>/archives/96768</t>
  </si>
  <si>
    <t>/archives/97418</t>
  </si>
  <si>
    <t>/archives/98931</t>
  </si>
  <si>
    <t>/archives/98991</t>
  </si>
  <si>
    <t>/archives/tag/green-transformation</t>
  </si>
  <si>
    <t>/archives/tag/以묓븳?앺솕</t>
  </si>
  <si>
    <t>/archives/tag/?먰뵆?쇱뒪??1</t>
  </si>
  <si>
    <t>/archives/tag/?됰났-cc</t>
  </si>
  <si>
    <t>/archives/105707</t>
  </si>
  <si>
    <t>/archives/111155</t>
  </si>
  <si>
    <t>/archives/24737</t>
  </si>
  <si>
    <t>/archives/38469</t>
  </si>
  <si>
    <t>/archives/70759</t>
  </si>
  <si>
    <t>/archives/21558</t>
  </si>
  <si>
    <t>/archives/109603</t>
  </si>
  <si>
    <t>/archives/98215</t>
  </si>
  <si>
    <t>/archives/100916</t>
  </si>
  <si>
    <t>/archives/112024</t>
  </si>
  <si>
    <t>/archives/50203</t>
  </si>
  <si>
    <t>/archives/84007</t>
  </si>
  <si>
    <t>/archives/97804</t>
  </si>
  <si>
    <t>/archives/98805</t>
  </si>
  <si>
    <t>/archives/tag/?대텇?댁쑀</t>
  </si>
  <si>
    <t>/archives/112824</t>
  </si>
  <si>
    <t>/archives/88430</t>
  </si>
  <si>
    <t>/archives/10005</t>
  </si>
  <si>
    <t>/archives/104421</t>
  </si>
  <si>
    <t>/archives/104459</t>
  </si>
  <si>
    <t>/archives/104493</t>
  </si>
  <si>
    <t>/archives/105362</t>
  </si>
  <si>
    <t>/archives/107822</t>
  </si>
  <si>
    <t>/archives/108755</t>
  </si>
  <si>
    <t>/archives/109216</t>
  </si>
  <si>
    <t>/archives/110237</t>
  </si>
  <si>
    <t>/archives/110245</t>
  </si>
  <si>
    <t>/archives/112167</t>
  </si>
  <si>
    <t>/archives/112882</t>
  </si>
  <si>
    <t>/archives/12513</t>
  </si>
  <si>
    <t>/archives/14225</t>
  </si>
  <si>
    <t>/archives/25690</t>
  </si>
  <si>
    <t>/archives/31857</t>
  </si>
  <si>
    <t>/archives/47218</t>
  </si>
  <si>
    <t>/archives/48881</t>
  </si>
  <si>
    <t>/archives/50273</t>
  </si>
  <si>
    <t>/archives/52963</t>
  </si>
  <si>
    <t>/archives/57359</t>
  </si>
  <si>
    <t>/archives/59389</t>
  </si>
  <si>
    <t>/archives/60917</t>
  </si>
  <si>
    <t>/archives/61753</t>
  </si>
  <si>
    <t>/archives/61987</t>
  </si>
  <si>
    <t>/archives/64250</t>
  </si>
  <si>
    <t>/archives/69621</t>
  </si>
  <si>
    <t>/archives/73355</t>
  </si>
  <si>
    <t>/archives/75713</t>
  </si>
  <si>
    <t>/archives/79287</t>
  </si>
  <si>
    <t>/archives/80603</t>
  </si>
  <si>
    <t>/archives/85187</t>
  </si>
  <si>
    <t>/archives/85956</t>
  </si>
  <si>
    <t>/archives/86916</t>
  </si>
  <si>
    <t>/archives/88042</t>
  </si>
  <si>
    <t>/archives/88339</t>
  </si>
  <si>
    <t>/archives/88849</t>
  </si>
  <si>
    <t>/archives/90811</t>
  </si>
  <si>
    <t>/archives/92880</t>
  </si>
  <si>
    <t>/archives/97593</t>
  </si>
  <si>
    <t>/archives/97661</t>
  </si>
  <si>
    <t>/archives/tag/ocean-h</t>
  </si>
  <si>
    <t>/archives/tag/sk吏??1</t>
  </si>
  <si>
    <t>/blog</t>
  </si>
  <si>
    <t>/archives/102543</t>
  </si>
  <si>
    <t>/archives/105091</t>
  </si>
  <si>
    <t>/archives/107388</t>
  </si>
  <si>
    <t>/archives/107793</t>
  </si>
  <si>
    <t>/archives/109282</t>
  </si>
  <si>
    <t>/archives/114221</t>
  </si>
  <si>
    <t>/archives/24003</t>
  </si>
  <si>
    <t>/archives/25383</t>
  </si>
  <si>
    <t>/archives/25734</t>
  </si>
  <si>
    <t>/archives/26127</t>
  </si>
  <si>
    <t>/archives/34140</t>
  </si>
  <si>
    <t>/archives/48476</t>
  </si>
  <si>
    <t>/archives/59457</t>
  </si>
  <si>
    <t>/archives/6947</t>
  </si>
  <si>
    <t>/archives/93034</t>
  </si>
  <si>
    <t>/archives/94397</t>
  </si>
  <si>
    <t>/archives/9660</t>
  </si>
  <si>
    <t>/archives/98404</t>
  </si>
  <si>
    <t>/archives/tag/sk二쇱쑀??1</t>
  </si>
  <si>
    <t>/archives/tag/?ы깮洹쇰Т</t>
  </si>
  <si>
    <t>/archives/tag/?섎え?덉븘</t>
  </si>
  <si>
    <t>/archives/112428</t>
  </si>
  <si>
    <t>/archives/tag/?뚯씠?몄뀥-?ㅽ넗由?1</t>
  </si>
  <si>
    <t>/archives/100111</t>
  </si>
  <si>
    <t>/archives/102329</t>
  </si>
  <si>
    <t>/archives/104601</t>
  </si>
  <si>
    <t>/archives/106899</t>
  </si>
  <si>
    <t>/archives/107662</t>
  </si>
  <si>
    <t>/archives/107995</t>
  </si>
  <si>
    <t>/archives/108416</t>
  </si>
  <si>
    <t>/archives/111159</t>
  </si>
  <si>
    <t>/archives/111224</t>
  </si>
  <si>
    <t>/archives/111533</t>
  </si>
  <si>
    <t>/archives/111866</t>
  </si>
  <si>
    <t>/archives/113218</t>
  </si>
  <si>
    <t>/archives/113297</t>
  </si>
  <si>
    <t>/archives/114199</t>
  </si>
  <si>
    <t>/archives/114208</t>
  </si>
  <si>
    <t>/archives/18648</t>
  </si>
  <si>
    <t>/archives/19881</t>
  </si>
  <si>
    <t>/archives/29639</t>
  </si>
  <si>
    <t>/archives/34225</t>
  </si>
  <si>
    <t>/archives/64114</t>
  </si>
  <si>
    <t>/archives/69310</t>
  </si>
  <si>
    <t>/archives/70099</t>
  </si>
  <si>
    <t>/archives/71578</t>
  </si>
  <si>
    <t>/archives/78120</t>
  </si>
  <si>
    <t>/archives/79054</t>
  </si>
  <si>
    <t>/archives/82005</t>
  </si>
  <si>
    <t>/archives/8227</t>
  </si>
  <si>
    <t>/archives/82343</t>
  </si>
  <si>
    <t>/archives/8511</t>
  </si>
  <si>
    <t>/archives/86732</t>
  </si>
  <si>
    <t>/archives/91442</t>
  </si>
  <si>
    <t>/archives/92277</t>
  </si>
  <si>
    <t>/archives/93276</t>
  </si>
  <si>
    <t>/archives/94488</t>
  </si>
  <si>
    <t>/archives/97067</t>
  </si>
  <si>
    <t>/archives/98756</t>
  </si>
  <si>
    <t>/archives/99281</t>
  </si>
  <si>
    <t>/archives/tag/sk?대끂踰좎씠??吏곸썝?쒖꽕</t>
  </si>
  <si>
    <t>/archives/tag/?꾧린李?諛고꽣由?1</t>
  </si>
  <si>
    <t>/archives/tag/?쒖＜?좊굹?댄떚?쐄c</t>
  </si>
  <si>
    <t>/archives/112156</t>
  </si>
  <si>
    <t>/archives/22252</t>
  </si>
  <si>
    <t>/archives/45706</t>
  </si>
  <si>
    <t>/archives/72036</t>
  </si>
  <si>
    <t>/archives/77996</t>
  </si>
  <si>
    <t>/archives/106168</t>
  </si>
  <si>
    <t>/archives/5506</t>
  </si>
  <si>
    <t>/archives/71505</t>
  </si>
  <si>
    <t>/archives/9986</t>
  </si>
  <si>
    <t>/archives/tag/?섍꼍怨쇳븰湲곗닠??2</t>
  </si>
  <si>
    <t>/archives/100113</t>
  </si>
  <si>
    <t>/archives/100130</t>
  </si>
  <si>
    <t>/archives/100207</t>
  </si>
  <si>
    <t>/archives/103400</t>
  </si>
  <si>
    <t>/archives/104985</t>
  </si>
  <si>
    <t>/archives/107394</t>
  </si>
  <si>
    <t>/archives/107887</t>
  </si>
  <si>
    <t>/archives/111054</t>
  </si>
  <si>
    <t>/archives/17256</t>
  </si>
  <si>
    <t>/archives/21295</t>
  </si>
  <si>
    <t>/archives/22734</t>
  </si>
  <si>
    <t>/archives/23283</t>
  </si>
  <si>
    <t>/archives/24523</t>
  </si>
  <si>
    <t>/archives/24588</t>
  </si>
  <si>
    <t>/archives/32311</t>
  </si>
  <si>
    <t>/archives/3293</t>
  </si>
  <si>
    <t>/archives/34905</t>
  </si>
  <si>
    <t>/archives/45364</t>
  </si>
  <si>
    <t>/archives/47950</t>
  </si>
  <si>
    <t>/archives/54522</t>
  </si>
  <si>
    <t>/archives/60093</t>
  </si>
  <si>
    <t>/archives/67865</t>
  </si>
  <si>
    <t>/archives/71524</t>
  </si>
  <si>
    <t>/archives/74339</t>
  </si>
  <si>
    <t>/archives/77266</t>
  </si>
  <si>
    <t>/archives/79941</t>
  </si>
  <si>
    <t>/archives/83217</t>
  </si>
  <si>
    <t>/archives/85171</t>
  </si>
  <si>
    <t>/archives/88712</t>
  </si>
  <si>
    <t>/archives/89158</t>
  </si>
  <si>
    <t>/archives/89651</t>
  </si>
  <si>
    <t>/archives/89908</t>
  </si>
  <si>
    <t>/archives/90522</t>
  </si>
  <si>
    <t>/archives/92534</t>
  </si>
  <si>
    <t>/archives/96443</t>
  </si>
  <si>
    <t>/archives/98822</t>
  </si>
  <si>
    <t>/archives/9962</t>
  </si>
  <si>
    <t>/archives/tag/sk?몄쿇?앹쑀?뷀븰</t>
  </si>
  <si>
    <t>/archives/tag/sk吏?ㅼ꽱?몃┃</t>
  </si>
  <si>
    <t>/archives/tag/遊됱궗?쒕룞</t>
  </si>
  <si>
    <t>/privacy20210908</t>
  </si>
  <si>
    <t>/archives/100303</t>
  </si>
  <si>
    <t>/archives/10070</t>
  </si>
  <si>
    <t>/archives/101462</t>
  </si>
  <si>
    <t>/archives/12222</t>
  </si>
  <si>
    <t>/archives/24485</t>
  </si>
  <si>
    <t>/archives/62178</t>
  </si>
  <si>
    <t>/archives/63062</t>
  </si>
  <si>
    <t>/archives/8051</t>
  </si>
  <si>
    <t>/archives/88291</t>
  </si>
  <si>
    <t>/archives/89493</t>
  </si>
  <si>
    <t>/archives/92800</t>
  </si>
  <si>
    <t>/archives/93813</t>
  </si>
  <si>
    <t>/archives/96251</t>
  </si>
  <si>
    <t>/archives/category/social-news/social-company</t>
  </si>
  <si>
    <t>/archives/tag/mou</t>
  </si>
  <si>
    <t>/archives/tag/?깃??щⅤ</t>
  </si>
  <si>
    <t>/archives/tag/?먮꼫吏-?몃옖吏??1</t>
  </si>
  <si>
    <t>/archives/103076</t>
  </si>
  <si>
    <t>/archives/107857</t>
  </si>
  <si>
    <t>/archives/108058</t>
  </si>
  <si>
    <t>/archives/108327</t>
  </si>
  <si>
    <t>/archives/110560</t>
  </si>
  <si>
    <t>/archives/110743</t>
  </si>
  <si>
    <t>/archives/111105</t>
  </si>
  <si>
    <t>/archives/111616</t>
  </si>
  <si>
    <t>/archives/111875</t>
  </si>
  <si>
    <t>/archives/112183</t>
  </si>
  <si>
    <t>/archives/112318</t>
  </si>
  <si>
    <t>/archives/112815</t>
  </si>
  <si>
    <t>/archives/112842</t>
  </si>
  <si>
    <t>/archives/112867</t>
  </si>
  <si>
    <t>/archives/18073</t>
  </si>
  <si>
    <t>/archives/18414</t>
  </si>
  <si>
    <t>/archives/21385</t>
  </si>
  <si>
    <t>/archives/21853</t>
  </si>
  <si>
    <t>/archives/25421</t>
  </si>
  <si>
    <t>/archives/25442</t>
  </si>
  <si>
    <t>/archives/25466</t>
  </si>
  <si>
    <t>/archives/34060</t>
  </si>
  <si>
    <t>/archives/47014</t>
  </si>
  <si>
    <t>/archives/62987</t>
  </si>
  <si>
    <t>/archives/64364</t>
  </si>
  <si>
    <t>/archives/70929</t>
  </si>
  <si>
    <t>/archives/72855</t>
  </si>
  <si>
    <t>/archives/78699</t>
  </si>
  <si>
    <t>/archives/87900</t>
  </si>
  <si>
    <t>/archives/91087</t>
  </si>
  <si>
    <t>/archives/97461</t>
  </si>
  <si>
    <t>/archives/category/field-news/inno-field/incheon</t>
  </si>
  <si>
    <t>/archives/category/field-news/inno-field/ulsan</t>
  </si>
  <si>
    <t>/archives/category/press/archive/photo</t>
  </si>
  <si>
    <t>/archives/tag/sk?먮꼫吏</t>
  </si>
  <si>
    <t>/archives/tag/?≪묠?됯컖</t>
  </si>
  <si>
    <t>/archives/103003</t>
  </si>
  <si>
    <t>/archives/110959</t>
  </si>
  <si>
    <t>/archives/114206</t>
  </si>
  <si>
    <t>/archives/45977</t>
  </si>
  <si>
    <t>/archives/46319</t>
  </si>
  <si>
    <t>/archives/63816</t>
  </si>
  <si>
    <t>/archives/82045</t>
  </si>
  <si>
    <t>/archives/97151</t>
  </si>
  <si>
    <t>/archives/tag/sk-?몄궛complex</t>
  </si>
  <si>
    <t>/archives/tag/?μ뒳??1</t>
  </si>
  <si>
    <t>/archives/37795</t>
  </si>
  <si>
    <t>/archives/101315</t>
  </si>
  <si>
    <t>/archives/102435</t>
  </si>
  <si>
    <t>/archives/111486</t>
  </si>
  <si>
    <t>/archives/14965</t>
  </si>
  <si>
    <t>/archives/20287</t>
  </si>
  <si>
    <t>/archives/21573</t>
  </si>
  <si>
    <t>/archives/28109</t>
  </si>
  <si>
    <t>/archives/29138</t>
  </si>
  <si>
    <t>/archives/73240</t>
  </si>
  <si>
    <t>/archives/78553</t>
  </si>
  <si>
    <t>/archives/79656</t>
  </si>
  <si>
    <t>/archives/83464</t>
  </si>
  <si>
    <t>/archives/85075</t>
  </si>
  <si>
    <t>/archives/87887</t>
  </si>
  <si>
    <t>/archives/89841</t>
  </si>
  <si>
    <t>/archives/9370</t>
  </si>
  <si>
    <t>/archives/95617</t>
  </si>
  <si>
    <t>/archives/95661</t>
  </si>
  <si>
    <t>/archives/97507</t>
  </si>
  <si>
    <t>/archives/98201</t>
  </si>
  <si>
    <t>/archives/98363</t>
  </si>
  <si>
    <t>/archives/99678</t>
  </si>
  <si>
    <t>/archives/tag/no-1-fcc?앹궛1-unit</t>
  </si>
  <si>
    <t>/archives/112142</t>
  </si>
  <si>
    <t>/archives/21215</t>
  </si>
  <si>
    <t>/archives/26114</t>
  </si>
  <si>
    <t>/archives/32681</t>
  </si>
  <si>
    <t>/archives/59095</t>
  </si>
  <si>
    <t>/archives/94822</t>
  </si>
  <si>
    <t>/archives/96200</t>
  </si>
  <si>
    <t>/archives/98889</t>
  </si>
  <si>
    <t>/archives/99547</t>
  </si>
  <si>
    <t>/archives/tag/?좎엯?ъ썝</t>
  </si>
  <si>
    <t>/archives/tag/議곗??꾩＜</t>
  </si>
  <si>
    <t>/archives/100438</t>
  </si>
  <si>
    <t>/archives/110665</t>
  </si>
  <si>
    <t>/archives/114197</t>
  </si>
  <si>
    <t>/archives/114201</t>
  </si>
  <si>
    <t>/archives/114278</t>
  </si>
  <si>
    <t>/archives/19049</t>
  </si>
  <si>
    <t>/archives/22805</t>
  </si>
  <si>
    <t>/archives/25648</t>
  </si>
  <si>
    <t>/archives/3160</t>
  </si>
  <si>
    <t>/archives/32845</t>
  </si>
  <si>
    <t>/archives/67827</t>
  </si>
  <si>
    <t>/archives/7751</t>
  </si>
  <si>
    <t>/archives/81526</t>
  </si>
  <si>
    <t>/archives/82821</t>
  </si>
  <si>
    <t>/archives/86313</t>
  </si>
  <si>
    <t>/archives/category/today/event</t>
  </si>
  <si>
    <t>/archives/105264</t>
  </si>
  <si>
    <t>/archives/63456</t>
  </si>
  <si>
    <t>/archives/79895</t>
  </si>
  <si>
    <t>/archives/88319</t>
  </si>
  <si>
    <t>/archives/11955</t>
  </si>
  <si>
    <t>/archives/28345</t>
  </si>
  <si>
    <t>/archives/64591</t>
  </si>
  <si>
    <t>/archives/73031</t>
  </si>
  <si>
    <t>/archives/7380</t>
  </si>
  <si>
    <t>/archives/tag/?대━?먯뒪?뚮Ⅴ?ㅽ룿</t>
  </si>
  <si>
    <t>/archives/106297</t>
  </si>
  <si>
    <t>/archives/106017</t>
  </si>
  <si>
    <t>/archives/106085</t>
  </si>
  <si>
    <t>/archives/86439</t>
  </si>
  <si>
    <t>/archives/76420</t>
  </si>
  <si>
    <t>/archives/30101</t>
  </si>
  <si>
    <t>/archives/3095</t>
  </si>
  <si>
    <t>/archives/37759</t>
  </si>
  <si>
    <t>/archives/4846</t>
  </si>
  <si>
    <t>/archives/61918</t>
  </si>
  <si>
    <t>/archives/73965</t>
  </si>
  <si>
    <t>/archives/77408</t>
  </si>
  <si>
    <t>/archives/78457</t>
  </si>
  <si>
    <t>/archives/95234</t>
  </si>
  <si>
    <t>/archives/99191</t>
  </si>
  <si>
    <t>/archives/14427</t>
  </si>
  <si>
    <t>/archives/26278</t>
  </si>
  <si>
    <t>/archives/36456</t>
  </si>
  <si>
    <t>/archives/59820</t>
  </si>
  <si>
    <t>/archives/68188</t>
  </si>
  <si>
    <t>/archives/8326</t>
  </si>
  <si>
    <t>/archives/90978</t>
  </si>
  <si>
    <t>/archives/category/social-news/csr</t>
  </si>
  <si>
    <t>/archives/111421</t>
  </si>
  <si>
    <t>/archives/27964</t>
  </si>
  <si>
    <t>/archives/33074</t>
  </si>
  <si>
    <t>/archives/8754</t>
  </si>
  <si>
    <t>/archives/category/social-news/biz-social</t>
  </si>
  <si>
    <t>/archives/95827</t>
  </si>
  <si>
    <t>/archives/98149</t>
  </si>
  <si>
    <t>/archives/98307</t>
  </si>
  <si>
    <t>/archives/87345</t>
  </si>
  <si>
    <t>/newsletter_agreement</t>
  </si>
  <si>
    <t>/archives/10019</t>
  </si>
  <si>
    <t>/archives/105850</t>
  </si>
  <si>
    <t>/archives/110720</t>
  </si>
  <si>
    <t>/archives/111843</t>
  </si>
  <si>
    <t>/archives/17479</t>
  </si>
  <si>
    <t>/archives/22870</t>
  </si>
  <si>
    <t>/archives/25882</t>
  </si>
  <si>
    <t>/archives/31776</t>
  </si>
  <si>
    <t>/archives/33937</t>
  </si>
  <si>
    <t>/archives/37000</t>
  </si>
  <si>
    <t>/archives/4735</t>
  </si>
  <si>
    <t>/archives/54675</t>
  </si>
  <si>
    <t>/archives/56726</t>
  </si>
  <si>
    <t>/archives/58337</t>
  </si>
  <si>
    <t>/archives/64674</t>
  </si>
  <si>
    <t>/archives/71231</t>
  </si>
  <si>
    <t>/archives/73799</t>
  </si>
  <si>
    <t>/archives/79812</t>
  </si>
  <si>
    <t>/archives/80912</t>
  </si>
  <si>
    <t>/archives/82839</t>
  </si>
  <si>
    <t>/archives/89361</t>
  </si>
  <si>
    <t>/archives/93962</t>
  </si>
  <si>
    <t>/archives/96733</t>
  </si>
  <si>
    <t>/archives/98112</t>
  </si>
  <si>
    <t>/archives/category/寃쎌쁺吏??좊뀈-?명꽣酉?1</t>
  </si>
  <si>
    <t>/archives/tag/sk吏?ㅼ꽭?몃┃-?곹븯??踰뺤씤</t>
  </si>
  <si>
    <t>/archives/tag/李쎈┰湲곕뀗??1</t>
  </si>
  <si>
    <t>/archives/71803</t>
  </si>
  <si>
    <t>/archives/81367</t>
  </si>
  <si>
    <t>/archives/83253</t>
  </si>
  <si>
    <t>/archives/96171</t>
  </si>
  <si>
    <t>/archives/97392</t>
  </si>
  <si>
    <t>/archives/tag/sne由ъ꽌移?1</t>
  </si>
  <si>
    <t>/archives/101604</t>
  </si>
  <si>
    <t>/archives/101730</t>
  </si>
  <si>
    <t>/archives/105172</t>
  </si>
  <si>
    <t>/archives/105521</t>
  </si>
  <si>
    <t>/archives/105741</t>
  </si>
  <si>
    <t>/archives/112006</t>
  </si>
  <si>
    <t>/archives/112709</t>
  </si>
  <si>
    <t>/archives/113055</t>
  </si>
  <si>
    <t>/archives/24660</t>
  </si>
  <si>
    <t>/archives/26899</t>
  </si>
  <si>
    <t>/archives/33833</t>
  </si>
  <si>
    <t>/archives/55939</t>
  </si>
  <si>
    <t>/archives/57491</t>
  </si>
  <si>
    <t>/archives/81931</t>
  </si>
  <si>
    <t>/archives/89099</t>
  </si>
  <si>
    <t>/archives/tag/esg</t>
  </si>
  <si>
    <t>/archives/113121</t>
  </si>
  <si>
    <t>/archives/38490</t>
  </si>
  <si>
    <t>/archives/tag/sk?대끂踰좎씠??1</t>
  </si>
  <si>
    <t>/archives/35116</t>
  </si>
  <si>
    <t>/archives/112655</t>
  </si>
  <si>
    <t>/archives/21592</t>
  </si>
  <si>
    <t>/archives/tag/sk寃쎌쁺寃쎌젣?곌뎄??2</t>
  </si>
  <si>
    <t>/archives/113061</t>
  </si>
  <si>
    <t>/archives/16114</t>
  </si>
  <si>
    <t>/archives/109765</t>
  </si>
  <si>
    <t>/archives/111324</t>
  </si>
  <si>
    <t>/archives/11223</t>
  </si>
  <si>
    <t>/archives/112490</t>
  </si>
  <si>
    <t>/archives/112771</t>
  </si>
  <si>
    <t>/archives/11848</t>
  </si>
  <si>
    <t>/archives/32839</t>
  </si>
  <si>
    <t>/archives/64969</t>
  </si>
  <si>
    <t>/archives/71296</t>
  </si>
  <si>
    <t>/archives/72020</t>
  </si>
  <si>
    <t>/archives/73127</t>
  </si>
  <si>
    <t>/archives/74664</t>
  </si>
  <si>
    <t>/archives/87660</t>
  </si>
  <si>
    <t>/archives/8856</t>
  </si>
  <si>
    <t>/archives/89732</t>
  </si>
  <si>
    <t>/archives/90112</t>
  </si>
  <si>
    <t>/archives/category/social-news/1percent-sharing</t>
  </si>
  <si>
    <t>/archives/tag/all-time-net-zero</t>
  </si>
  <si>
    <t>/archives/tag/re100</t>
  </si>
  <si>
    <t>/archives/tag/?쇳븯??諛⑹떇???곸떊</t>
  </si>
  <si>
    <t>/archives/100255</t>
  </si>
  <si>
    <t>/archives/26029</t>
  </si>
  <si>
    <t>/archives/79533</t>
  </si>
  <si>
    <t>/archives/79887</t>
  </si>
  <si>
    <t>/archives/82278</t>
  </si>
  <si>
    <t>/archives/86636</t>
  </si>
  <si>
    <t>/archives/99533</t>
  </si>
  <si>
    <t>/archives/104829</t>
  </si>
  <si>
    <t>/archives/109090</t>
  </si>
  <si>
    <t>/archives/110425</t>
  </si>
  <si>
    <t>/archives/110994</t>
  </si>
  <si>
    <t>/archives/112053</t>
  </si>
  <si>
    <t>/archives/22990</t>
  </si>
  <si>
    <t>/archives/58004</t>
  </si>
  <si>
    <t>/archives/59742</t>
  </si>
  <si>
    <t>/archives/83888</t>
  </si>
  <si>
    <t>/archives/86006</t>
  </si>
  <si>
    <t>/archives/87448</t>
  </si>
  <si>
    <t>/archives/97325</t>
  </si>
  <si>
    <t>/archives/98182</t>
  </si>
  <si>
    <t>/archives/99441</t>
  </si>
  <si>
    <t>/archives/tag/?앷?由?肄붾쭏濡?1</t>
  </si>
  <si>
    <t>/archives/34241</t>
  </si>
  <si>
    <t>/archives/96958</t>
  </si>
  <si>
    <t>/archives/101469</t>
  </si>
  <si>
    <t>/archives/109962</t>
  </si>
  <si>
    <t>/archives/106374</t>
  </si>
  <si>
    <t>/archives/106411</t>
  </si>
  <si>
    <t>/archives/107717</t>
  </si>
  <si>
    <t>/archives/110156</t>
  </si>
  <si>
    <t>/archives/112305</t>
  </si>
  <si>
    <t>/archives/13420</t>
  </si>
  <si>
    <t>/archives/23900</t>
  </si>
  <si>
    <t>/archives/30145</t>
  </si>
  <si>
    <t>/archives/58321</t>
  </si>
  <si>
    <t>/archives/59794</t>
  </si>
  <si>
    <t>/archives/61876</t>
  </si>
  <si>
    <t>/archives/67796</t>
  </si>
  <si>
    <t>/archives/69742</t>
  </si>
  <si>
    <t>/archives/76261</t>
  </si>
  <si>
    <t>/archives/77515</t>
  </si>
  <si>
    <t>/archives/80881</t>
  </si>
  <si>
    <t>/archives/81070</t>
  </si>
  <si>
    <t>/archives/81203</t>
  </si>
  <si>
    <t>/archives/82021</t>
  </si>
  <si>
    <t>/archives/85805</t>
  </si>
  <si>
    <t>/archives/94248</t>
  </si>
  <si>
    <t>/archives/tag/?щ궡-?좎튂??1</t>
  </si>
  <si>
    <t>/archives/tag/梨꾩슜?ㅻ챸??1</t>
  </si>
  <si>
    <t>/archives/111312</t>
  </si>
  <si>
    <t>/archives/80987</t>
  </si>
  <si>
    <t>/archives/101342</t>
  </si>
  <si>
    <t>/archives/103216</t>
  </si>
  <si>
    <t>/archives/105208</t>
  </si>
  <si>
    <t>/archives/23219</t>
  </si>
  <si>
    <t>/archives/27556</t>
  </si>
  <si>
    <t>/archives/32247</t>
  </si>
  <si>
    <t>/archives/38609</t>
  </si>
  <si>
    <t>/archives/61829</t>
  </si>
  <si>
    <t>/archives/64305</t>
  </si>
  <si>
    <t>/archives/68784</t>
  </si>
  <si>
    <t>/archives/68858</t>
  </si>
  <si>
    <t>/archives/78837</t>
  </si>
  <si>
    <t>/archives/87619</t>
  </si>
  <si>
    <t>/archives/98444</t>
  </si>
  <si>
    <t>/archives/105068</t>
  </si>
  <si>
    <t>/archives/105726</t>
  </si>
  <si>
    <t>/archives/100073</t>
  </si>
  <si>
    <t>/archives/11242</t>
  </si>
  <si>
    <t>/archives/14117</t>
  </si>
  <si>
    <t>/archives/15945</t>
  </si>
  <si>
    <t>/archives/37348</t>
  </si>
  <si>
    <t>/archives/51079</t>
  </si>
  <si>
    <t>/archives/78143</t>
  </si>
  <si>
    <t>/archives/80420</t>
  </si>
  <si>
    <t>/archives/89203</t>
  </si>
  <si>
    <t>/archives/97705</t>
  </si>
  <si>
    <t>/archives/99699</t>
  </si>
  <si>
    <t>/archives/tag/bm-?곸떊</t>
  </si>
  <si>
    <t>/archives/tag/湲濡쒕쾶?щ읆</t>
  </si>
  <si>
    <t>/archives/107982</t>
  </si>
  <si>
    <t>/archives/37645</t>
  </si>
  <si>
    <t>/archives/55181</t>
  </si>
  <si>
    <t>/archives/56574</t>
  </si>
  <si>
    <t>/archives/64414</t>
  </si>
  <si>
    <t>/archives/8217</t>
  </si>
  <si>
    <t>/archives/100515</t>
  </si>
  <si>
    <t>/archives/103424</t>
  </si>
  <si>
    <t>/archives/111302</t>
  </si>
  <si>
    <t>/archives/111667</t>
  </si>
  <si>
    <t>/archives/17628</t>
  </si>
  <si>
    <t>/archives/32119</t>
  </si>
  <si>
    <t>/archives/78599</t>
  </si>
  <si>
    <t>/archives/79559</t>
  </si>
  <si>
    <t>/archives/85005</t>
  </si>
  <si>
    <t>/archives/91215</t>
  </si>
  <si>
    <t>/archives/103669</t>
  </si>
  <si>
    <t>/archives/112385</t>
  </si>
  <si>
    <t>/archives/12432</t>
  </si>
  <si>
    <t>/archives/14651</t>
  </si>
  <si>
    <t>/archives/22377</t>
  </si>
  <si>
    <t>/archives/29201</t>
  </si>
  <si>
    <t>/archives/67997</t>
  </si>
  <si>
    <t>/archives/80919</t>
  </si>
  <si>
    <t>/archives/84628</t>
  </si>
  <si>
    <t>/archives/85165</t>
  </si>
  <si>
    <t>/archives/92541</t>
  </si>
  <si>
    <t>/archives/96997</t>
  </si>
  <si>
    <t>/archives/tag/?앹쑀</t>
  </si>
  <si>
    <t>/archives/tag/?앹쑀?뷀븰</t>
  </si>
  <si>
    <t>/archives/tag/?꾩냼以묐┰</t>
  </si>
  <si>
    <t>/archives/26728</t>
  </si>
  <si>
    <t>/archives/34355</t>
  </si>
  <si>
    <t>/archives/46029</t>
  </si>
  <si>
    <t>/archives/86750</t>
  </si>
  <si>
    <t>/archives/57233</t>
  </si>
  <si>
    <t>/archives/60017</t>
  </si>
  <si>
    <t>/archives/74262</t>
  </si>
  <si>
    <t>/archives/77626</t>
  </si>
  <si>
    <t>/archives/category/industry-and-insight/specialist-column</t>
  </si>
  <si>
    <t>/archives/tag/?붾㈃蹂댄샇湲?1</t>
  </si>
  <si>
    <t>/archives/tag/?⑺듃泥댄겕?댁쑀</t>
  </si>
  <si>
    <t>/archives/62426</t>
  </si>
  <si>
    <t>/archives/8247</t>
  </si>
  <si>
    <t>/archives/87414</t>
  </si>
  <si>
    <t>/archives/87474</t>
  </si>
  <si>
    <t>/sr-report-2-2</t>
  </si>
  <si>
    <t>/archives/26186</t>
  </si>
  <si>
    <t>/archives/46360</t>
  </si>
  <si>
    <t>/archives/47927</t>
  </si>
  <si>
    <t>/archives/49396</t>
  </si>
  <si>
    <t>/archives/95813</t>
  </si>
  <si>
    <t>/archives/5026</t>
  </si>
  <si>
    <t>/archives/tag/sk?됰났?대┛?댁쭛</t>
  </si>
  <si>
    <t>/archives/105458</t>
  </si>
  <si>
    <t>/archives/50863</t>
  </si>
  <si>
    <t>/archives/72610</t>
  </si>
  <si>
    <t>/archives/75940</t>
  </si>
  <si>
    <t>/archives/83028</t>
  </si>
  <si>
    <t>/archives/98783</t>
  </si>
  <si>
    <t>/archives/tag/carbon-to-green</t>
  </si>
  <si>
    <t>/archives/17812</t>
  </si>
  <si>
    <t>/archives/19961</t>
  </si>
  <si>
    <t>/archives/22942</t>
  </si>
  <si>
    <t>/archives/tag/?섏씠?대끂踰좎씠??1</t>
  </si>
  <si>
    <t>/archives/24435</t>
  </si>
  <si>
    <t>/archives/89031</t>
  </si>
  <si>
    <t>/archives/94695</t>
  </si>
  <si>
    <t>/archives/97821</t>
  </si>
  <si>
    <t>/archives/99460</t>
  </si>
  <si>
    <t>/archives/100244</t>
  </si>
  <si>
    <t>/archives/10083</t>
  </si>
  <si>
    <t>/archives/18082</t>
  </si>
  <si>
    <t>/archives/34190</t>
  </si>
  <si>
    <t>/archives/52642</t>
  </si>
  <si>
    <t>/archives/56487</t>
  </si>
  <si>
    <t>/archives/70662</t>
  </si>
  <si>
    <t>/archives/95282</t>
  </si>
  <si>
    <t>/archives/tag/vrds</t>
  </si>
  <si>
    <t>/archives/9525</t>
  </si>
  <si>
    <t>/archives/tag/?먰넻?뺣같?곕━</t>
  </si>
  <si>
    <t>/archives/101404</t>
  </si>
  <si>
    <t>/archives/107579</t>
  </si>
  <si>
    <t>/archives/7554</t>
  </si>
  <si>
    <t>/archives/77070</t>
  </si>
  <si>
    <t>/archives/8496</t>
  </si>
  <si>
    <t>/archives/88779</t>
  </si>
  <si>
    <t>/archives/98905</t>
  </si>
  <si>
    <t>/archives/tag/湲곗뾽pr-罹좏럹??1</t>
  </si>
  <si>
    <t>/archives/21997</t>
  </si>
  <si>
    <t>/archives/114309</t>
  </si>
  <si>
    <t>/archives/tag/sk寃쎌쁺寃쎌젣?곌뎄??3</t>
  </si>
  <si>
    <t>/archives/100387</t>
  </si>
  <si>
    <t>/archives/27289</t>
  </si>
  <si>
    <t>/archives/28579</t>
  </si>
  <si>
    <t>/archives/50967</t>
  </si>
  <si>
    <t>/archives/59442</t>
  </si>
  <si>
    <t>/archives/72905</t>
  </si>
  <si>
    <t>/archives/90662</t>
  </si>
  <si>
    <t>/archives/tag/?ㅽ궎?몃㎤</t>
  </si>
  <si>
    <t>/archives/90131</t>
  </si>
  <si>
    <t>/archives/97544</t>
  </si>
  <si>
    <t>/archives/110572</t>
  </si>
  <si>
    <t>/archives/110892</t>
  </si>
  <si>
    <t>/archives/111732</t>
  </si>
  <si>
    <t>/archives/21407</t>
  </si>
  <si>
    <t>/archives/27747</t>
  </si>
  <si>
    <t>/archives/28402</t>
  </si>
  <si>
    <t>/archives/34632</t>
  </si>
  <si>
    <t>/archives/8008</t>
  </si>
  <si>
    <t>/archives/90355</t>
  </si>
  <si>
    <t>/archives/tag/?됰났誘우쓬</t>
  </si>
  <si>
    <t>/archives/35678</t>
  </si>
  <si>
    <t>/archives/tag/?꾩떆?좎쟾</t>
  </si>
  <si>
    <t>/archives/tag/吏곷Т?뚭컻</t>
  </si>
  <si>
    <t>/archives/35115</t>
  </si>
  <si>
    <t>/archives/35200</t>
  </si>
  <si>
    <t>/archives/54002</t>
  </si>
  <si>
    <t>/archives/67879</t>
  </si>
  <si>
    <t>/archives/73661</t>
  </si>
  <si>
    <t>/archives/83237</t>
  </si>
  <si>
    <t>/archives/87651</t>
  </si>
  <si>
    <t>/archives/93652</t>
  </si>
  <si>
    <t>/archives/category/2023</t>
  </si>
  <si>
    <t>/archives/tag/?곗떆??1</t>
  </si>
  <si>
    <t>/archives/10147</t>
  </si>
  <si>
    <t>/archives/105618</t>
  </si>
  <si>
    <t>/archives/94739</t>
  </si>
  <si>
    <t>/archives/32337</t>
  </si>
  <si>
    <t>/archives/45946</t>
  </si>
  <si>
    <t>/archives/48168</t>
  </si>
  <si>
    <t>/archives/48438</t>
  </si>
  <si>
    <t>/archives/48939</t>
  </si>
  <si>
    <t>/archives/56469</t>
  </si>
  <si>
    <t>/archives/70664</t>
  </si>
  <si>
    <t>/archives/88917</t>
  </si>
  <si>
    <t>/archives/96226</t>
  </si>
  <si>
    <t>/archives/97308</t>
  </si>
  <si>
    <t>/archives/tag/2020-?좎븘??移쒗솚寃??덊띁蹂대뱶</t>
  </si>
  <si>
    <t>/archives/114327</t>
  </si>
  <si>
    <t>/archives/18264</t>
  </si>
  <si>
    <t>/archives/60500</t>
  </si>
  <si>
    <t>/archives/7820</t>
  </si>
  <si>
    <t>/archives/90340</t>
  </si>
  <si>
    <t>/archives/94710</t>
  </si>
  <si>
    <t>/archives/97027</t>
  </si>
  <si>
    <t>/archives/98428</t>
  </si>
  <si>
    <t>/archives/73628</t>
  </si>
  <si>
    <t>/archives/tag/?숉깂?쒕┝二쇱쑀??1</t>
  </si>
  <si>
    <t>/archives/112279</t>
  </si>
  <si>
    <t>/archives/87254</t>
  </si>
  <si>
    <t>/archives/97687</t>
  </si>
  <si>
    <t>/archives/98956</t>
  </si>
  <si>
    <t>/archives/tag/遺紐⑥큹泥?뻾??1</t>
  </si>
  <si>
    <t>/archives/tag/利앷텒??由ы룷??1</t>
  </si>
  <si>
    <t>/archives/tag/?됰났?ㅼ?</t>
  </si>
  <si>
    <t>/archives/20723</t>
  </si>
  <si>
    <t>/archives/14089</t>
  </si>
  <si>
    <t>/archives/58468</t>
  </si>
  <si>
    <t>/archives/93353</t>
  </si>
  <si>
    <t>/archives/category/field-news/inno-field/europe</t>
  </si>
  <si>
    <t>/archives/tag/?쇱쓬而듬쭔?ㅺ린</t>
  </si>
  <si>
    <t>/archives/77615</t>
  </si>
  <si>
    <t>/archives/78657</t>
  </si>
  <si>
    <t>/archives/105749</t>
  </si>
  <si>
    <t>/archives/108498</t>
  </si>
  <si>
    <t>/archives/61410</t>
  </si>
  <si>
    <t>/archives/24951</t>
  </si>
  <si>
    <t>/archives/114010</t>
  </si>
  <si>
    <t>/archives/32708</t>
  </si>
  <si>
    <t>/archives/tag/?곗씠?곗꽱??1</t>
  </si>
  <si>
    <t>/archives/23614</t>
  </si>
  <si>
    <t>/archives/18606</t>
  </si>
  <si>
    <t>/archives/25675</t>
  </si>
  <si>
    <t>/archives/96953</t>
  </si>
  <si>
    <t>/archives/103310</t>
  </si>
  <si>
    <t>/archives/107875</t>
  </si>
  <si>
    <t>/archives/23448</t>
  </si>
  <si>
    <t>/archives/24078</t>
  </si>
  <si>
    <t>/archives/57140</t>
  </si>
  <si>
    <t>/archives/60947</t>
  </si>
  <si>
    <t>/archives/71756</t>
  </si>
  <si>
    <t>/archives/71937</t>
  </si>
  <si>
    <t>/archives/89524</t>
  </si>
  <si>
    <t>/archives/tag/sk?대끂踰좎씠???ы쉶怨듯뿄</t>
  </si>
  <si>
    <t>/archives/101160</t>
  </si>
  <si>
    <t>/archives/101476</t>
  </si>
  <si>
    <t>/archives/74438</t>
  </si>
  <si>
    <t>/archives/tag/??묒꽍??1</t>
  </si>
  <si>
    <t>/archives/92610</t>
  </si>
  <si>
    <t>/archives/tag/?됰났-而ㅻ??덊떚-?쇳꽣</t>
  </si>
  <si>
    <t>/archives/114336</t>
  </si>
  <si>
    <t>/archives/110469</t>
  </si>
  <si>
    <t>/archives/114354</t>
  </si>
  <si>
    <t>/archives/25965</t>
  </si>
  <si>
    <t>/archives/33770</t>
  </si>
  <si>
    <t>/archives/95649</t>
  </si>
  <si>
    <t>/archives/tag/踰숈빱?⑥쑀</t>
  </si>
  <si>
    <t>/archives/58410</t>
  </si>
  <si>
    <t>/archives/108585</t>
  </si>
  <si>
    <t>/archives/56647</t>
  </si>
  <si>
    <t>/archives/86310</t>
  </si>
  <si>
    <t>/archives/87738</t>
  </si>
  <si>
    <t>/archives/114364</t>
  </si>
  <si>
    <t>/archives/114430</t>
  </si>
  <si>
    <t>/archives/114407</t>
  </si>
  <si>
    <t>/archives/38329</t>
  </si>
  <si>
    <t>/archives/100999</t>
  </si>
  <si>
    <t>/archives/68450</t>
  </si>
  <si>
    <t>/archives/89459</t>
  </si>
  <si>
    <t>/archives/97843</t>
  </si>
  <si>
    <t>/archives/36270</t>
  </si>
  <si>
    <t>/archives/114412</t>
  </si>
  <si>
    <t>/archives/tag/?뚰듃?펣k</t>
  </si>
  <si>
    <t>/archives/63284</t>
  </si>
  <si>
    <t>/archives/tag/留밴렇?щ툕</t>
  </si>
  <si>
    <t>/archives/54432</t>
  </si>
  <si>
    <t>/archives/60611</t>
  </si>
  <si>
    <t>/archives/114474</t>
  </si>
  <si>
    <t>/archives/31735</t>
  </si>
  <si>
    <t>/archives/35079</t>
  </si>
  <si>
    <t>/archives/83537</t>
  </si>
  <si>
    <t>/archives/87786</t>
  </si>
  <si>
    <t>/archives/111748</t>
  </si>
  <si>
    <t>/archives/83372</t>
  </si>
  <si>
    <t>/archives/114483</t>
  </si>
  <si>
    <t>/archives/50204</t>
  </si>
  <si>
    <t>/archives/82944</t>
  </si>
  <si>
    <t>/archives/12554</t>
  </si>
  <si>
    <t>/archives/94923</t>
  </si>
  <si>
    <t>/archives/33974</t>
  </si>
  <si>
    <t>/archives/90997</t>
  </si>
  <si>
    <t>/archives/tag/蹂듭?</t>
  </si>
  <si>
    <t>/archives/109674</t>
  </si>
  <si>
    <t>/archives/68805</t>
  </si>
  <si>
    <t>/archives/104279</t>
  </si>
  <si>
    <t>/archives/6742</t>
  </si>
  <si>
    <t>/archives/107523</t>
  </si>
  <si>
    <t>/archives/114530</t>
  </si>
  <si>
    <t>/archives/35099</t>
  </si>
  <si>
    <t>/archives/105945</t>
  </si>
  <si>
    <t>/archives/114522</t>
  </si>
  <si>
    <t>/archives/21488</t>
  </si>
  <si>
    <t>/archives/22292</t>
  </si>
  <si>
    <t>/archives/28011</t>
  </si>
  <si>
    <t>/archives/32220</t>
  </si>
  <si>
    <t>/archives/52624</t>
  </si>
  <si>
    <t>/archives/tag/?됰났?붾뵥</t>
  </si>
  <si>
    <t>/archives/55625</t>
  </si>
  <si>
    <t>/archives/71614</t>
  </si>
  <si>
    <t>/archives/108091</t>
  </si>
  <si>
    <t>/archives/111914</t>
  </si>
  <si>
    <t>/archives/31955</t>
  </si>
  <si>
    <t>/archives/49319</t>
  </si>
  <si>
    <t>/archives/70048</t>
  </si>
  <si>
    <t>/archives/76626</t>
  </si>
  <si>
    <t>/archives/80453</t>
  </si>
  <si>
    <t>/archives/97763</t>
  </si>
  <si>
    <t>/archives/tag/移쒗솚寃?罹좏럹??1</t>
  </si>
  <si>
    <t>/archives/110586</t>
  </si>
  <si>
    <t>/archives/86645</t>
  </si>
  <si>
    <t>/archives/58976</t>
  </si>
  <si>
    <t>/archives/62220</t>
  </si>
  <si>
    <t>/archives/75150</t>
  </si>
  <si>
    <t>/archives/104937</t>
  </si>
  <si>
    <t>/archives/tag/sk二쇱쑀??2</t>
  </si>
  <si>
    <t>/archives/tag/移쒖씪??1</t>
  </si>
  <si>
    <t>/archives/108704</t>
  </si>
  <si>
    <t>/archives/80299</t>
  </si>
  <si>
    <t>/archives/85464</t>
  </si>
  <si>
    <t>/archives/87839</t>
  </si>
  <si>
    <t>/archives/90024</t>
  </si>
  <si>
    <t>/archives/93249</t>
  </si>
  <si>
    <t>/archives/114608</t>
  </si>
  <si>
    <t>/archives/tag/踰좏듃??1</t>
  </si>
  <si>
    <t>/archives/tag/而ㅻ㉧?ㅼ떆</t>
  </si>
  <si>
    <t>/archives/26085</t>
  </si>
  <si>
    <t>/archives/54098</t>
  </si>
  <si>
    <t>/archives/87197</t>
  </si>
  <si>
    <t>/archives/90077</t>
  </si>
  <si>
    <t>/archives/91353</t>
  </si>
  <si>
    <t>/archives/94849</t>
  </si>
  <si>
    <t>/archives/10169</t>
  </si>
  <si>
    <t>/archives/tag/sk猷⑤툕由ъ빻痢?1</t>
  </si>
  <si>
    <t>/archives/tag/sk?덇?湲?쇱씠?붿쫰</t>
  </si>
  <si>
    <t>/archives/tag/ilboc</t>
  </si>
  <si>
    <t>/archives/tag/?ㅽ솢??1</t>
  </si>
  <si>
    <t>/archives/114610</t>
  </si>
  <si>
    <t>/archives/114616</t>
  </si>
  <si>
    <t>/archives/69240</t>
  </si>
  <si>
    <t>/archives/114632</t>
  </si>
  <si>
    <t>/archives/84572</t>
  </si>
  <si>
    <t>/archives/85339</t>
  </si>
  <si>
    <t>/archives/101011</t>
  </si>
  <si>
    <t>/archives/103891</t>
  </si>
  <si>
    <t>/archives/20370</t>
  </si>
  <si>
    <t>/archives/34111</t>
  </si>
  <si>
    <t>/archives/34730</t>
  </si>
  <si>
    <t>/archives/35698</t>
  </si>
  <si>
    <t>/archives/30576</t>
  </si>
  <si>
    <t>/archives/59490</t>
  </si>
  <si>
    <t>/archives/52070</t>
  </si>
  <si>
    <t>/archives/45470</t>
  </si>
  <si>
    <t>/archives/101108</t>
  </si>
  <si>
    <t>/archives/49626</t>
  </si>
  <si>
    <t>/archives/60327</t>
  </si>
  <si>
    <t>/archives/4050</t>
  </si>
  <si>
    <t>/archives/59270</t>
  </si>
  <si>
    <t>/archives/75439</t>
  </si>
  <si>
    <t>/archives/tag/sk-?몄궛clx</t>
  </si>
  <si>
    <t>/archives/15654</t>
  </si>
  <si>
    <t>/archives/tag/she</t>
  </si>
  <si>
    <t>/archives/105667</t>
  </si>
  <si>
    <t>/archives/22498</t>
  </si>
  <si>
    <t>/archives/61623</t>
  </si>
  <si>
    <t>/archives/86852</t>
  </si>
  <si>
    <t>/archives/92661</t>
  </si>
  <si>
    <t>/archives/tag/?뺤쟾湲??먮━</t>
  </si>
  <si>
    <t>/archives/32790</t>
  </si>
  <si>
    <t>/archives/80233</t>
  </si>
  <si>
    <t>/archives/72139</t>
  </si>
  <si>
    <t>/archives/114679</t>
  </si>
  <si>
    <t>/archives/84026</t>
  </si>
  <si>
    <t>/archives/27448</t>
  </si>
  <si>
    <t>/archives/61840</t>
  </si>
  <si>
    <t>/archives/category/field-news/inno-field/seosan-jeungpyeong</t>
  </si>
  <si>
    <t>/archives/49664</t>
  </si>
  <si>
    <t>/archives/86192</t>
  </si>
  <si>
    <t>/archives/tag/sk洹몃９</t>
  </si>
  <si>
    <t>/archives/85603</t>
  </si>
  <si>
    <t>/archives/114677</t>
  </si>
  <si>
    <t>/archives/28281</t>
  </si>
  <si>
    <t>/archives/99389</t>
  </si>
  <si>
    <t>/archives/82704</t>
  </si>
  <si>
    <t>/archives/tag/pet-?댁쨷??1</t>
  </si>
  <si>
    <t>/archives/13174</t>
  </si>
  <si>
    <t>/archives/7927</t>
  </si>
  <si>
    <t>/archives/108156</t>
  </si>
  <si>
    <t>/archives/87558</t>
  </si>
  <si>
    <t>/archives/tag/?띾낫?곸긽</t>
  </si>
  <si>
    <t>/archives/68704</t>
  </si>
  <si>
    <t>/archives/114688</t>
  </si>
  <si>
    <t>/archives/74097</t>
  </si>
  <si>
    <t>/archives/tag/湲?뚯퐫??1</t>
  </si>
  <si>
    <t>/archives/114689</t>
  </si>
  <si>
    <t>/archives/11875</t>
  </si>
  <si>
    <t>/archives/29775</t>
  </si>
  <si>
    <t>/archives/tag/blueovalsk</t>
  </si>
  <si>
    <t>/archives/103657</t>
  </si>
  <si>
    <t>/archives/12657</t>
  </si>
  <si>
    <t>/archives/tag/踰좎씠吏뺤옄?숈감</t>
  </si>
  <si>
    <t>/archives/114751</t>
  </si>
  <si>
    <t>/archives/tag/?쒖쨷寃쎌젣臾명솕援먯쑁?묓쉶</t>
  </si>
  <si>
    <t>/archives/15100</t>
  </si>
  <si>
    <t>/archives/72952</t>
  </si>
  <si>
    <t>/archives/86980</t>
  </si>
  <si>
    <t>/archives/99350</t>
  </si>
  <si>
    <t>/archives/tag/?ш퀬?됯?</t>
  </si>
  <si>
    <t>/archives/52417</t>
  </si>
  <si>
    <t>/archives/tag/?먮꼫吏-?덊띁?ㅽ뀒?댁뀡</t>
  </si>
  <si>
    <t>/archives/93880</t>
  </si>
  <si>
    <t>/archives/99339</t>
  </si>
  <si>
    <t>/archives/86343</t>
  </si>
  <si>
    <t>/archives/87743</t>
  </si>
  <si>
    <t>/archives/tag/?ㅽ럹??1</t>
  </si>
  <si>
    <t>/archives/114773</t>
  </si>
  <si>
    <t>/archives/22393</t>
  </si>
  <si>
    <t>/archives/73718</t>
  </si>
  <si>
    <t>/archives/98681</t>
  </si>
  <si>
    <t>/archives/53044</t>
  </si>
  <si>
    <t>/archives/103126</t>
  </si>
  <si>
    <t>/archives/114789</t>
  </si>
  <si>
    <t>/archives/67584</t>
  </si>
  <si>
    <t>/archives/tag/?쇰갑??1</t>
  </si>
  <si>
    <t>/archives/114801</t>
  </si>
  <si>
    <t>/archives/114810</t>
  </si>
  <si>
    <t>/archives/tag/?섏궗寃곗젙-理쒖쟻??1</t>
  </si>
  <si>
    <t>/archives/73751</t>
  </si>
  <si>
    <t>/archives/18662</t>
  </si>
  <si>
    <t>/archives/26926</t>
  </si>
  <si>
    <t>/archives/82596</t>
  </si>
  <si>
    <t>/archives/52998</t>
  </si>
  <si>
    <t>/archives/tag/留밴렇濡쒕툕??蹂듭썝?ъ뾽</t>
  </si>
  <si>
    <t>/archives/114973</t>
  </si>
  <si>
    <t>/archives/114931</t>
  </si>
  <si>
    <t>/archives/tag/?뚯떇吏</t>
  </si>
  <si>
    <t>/archives/tag/gmf</t>
  </si>
  <si>
    <t>/archives/tag/蹂듯빀-二쇱쑀??1</t>
  </si>
  <si>
    <t>/archives/114987</t>
  </si>
  <si>
    <t>/archives/114983</t>
  </si>
  <si>
    <t>/archives/114991</t>
  </si>
  <si>
    <t>/archives/114993</t>
  </si>
  <si>
    <t>/archives/15187</t>
  </si>
  <si>
    <t>/archives/tag/?댄듃??븯?곗뒪</t>
  </si>
  <si>
    <t>/archives/114999</t>
  </si>
  <si>
    <t>/archives/55833</t>
  </si>
  <si>
    <t>/archives/8872</t>
  </si>
  <si>
    <t>/archives/65098</t>
  </si>
  <si>
    <t>/archives/93130</t>
  </si>
  <si>
    <t>/archives/107701</t>
  </si>
  <si>
    <t>/archives/50750/190329_?섏씠?몄씠?쇨린_2?꾩감二쇰땲?댁궗???명꽣酉??섎???2</t>
  </si>
  <si>
    <t>/archives/56262</t>
  </si>
  <si>
    <t>/archives/71812</t>
  </si>
  <si>
    <t>/archives/20133</t>
  </si>
  <si>
    <t>/archives/tag/?대━移대낫?ㅼ씠??1</t>
  </si>
  <si>
    <t>/archives/111719</t>
  </si>
  <si>
    <t>/archives/95303</t>
  </si>
  <si>
    <t>/archives/109520</t>
  </si>
  <si>
    <t>/archives/11677</t>
  </si>
  <si>
    <t>/archives/31844</t>
  </si>
  <si>
    <t>/archives/34256</t>
  </si>
  <si>
    <t>/archives/74508</t>
  </si>
  <si>
    <t>/archives/86378</t>
  </si>
  <si>
    <t>/archives/94210</t>
  </si>
  <si>
    <t>/archives/10112</t>
  </si>
  <si>
    <t>/archives/109932</t>
  </si>
  <si>
    <t>/archives/115020</t>
  </si>
  <si>
    <t>/archives/63379</t>
  </si>
  <si>
    <t>/archives/92582</t>
  </si>
  <si>
    <t>/archives/tag/sk?쒕┛?ъ삦</t>
  </si>
  <si>
    <t>/archives/85944</t>
  </si>
  <si>
    <t>/archives/8740</t>
  </si>
  <si>
    <t>/archives/91753</t>
  </si>
  <si>
    <t>/archives/tag/援먯쑁?덈젴??1</t>
  </si>
  <si>
    <t>/archives/tag/?댁쇅?ы뻾-以鍮꾨Ъ-泥댄겕由ъ뒪??1</t>
  </si>
  <si>
    <t>/archives/86363</t>
  </si>
  <si>
    <t>/archives/93024</t>
  </si>
  <si>
    <t>/archives/94161</t>
  </si>
  <si>
    <t>/archives/107482</t>
  </si>
  <si>
    <t>/archives/20005</t>
  </si>
  <si>
    <t>/archives/76496</t>
  </si>
  <si>
    <t>/archives/84498</t>
  </si>
  <si>
    <t>/archives/34597</t>
  </si>
  <si>
    <t>/archives/9351</t>
  </si>
  <si>
    <t>/archives/16528</t>
  </si>
  <si>
    <t>/archives/95591</t>
  </si>
  <si>
    <t>/archives/tag/洹몃┛?먮꼫吏</t>
  </si>
  <si>
    <t>/archives/tag/?좊뀈??1</t>
  </si>
  <si>
    <t>/archives/58841</t>
  </si>
  <si>
    <t>/archives/tag/?몄옱???ъ옣</t>
  </si>
  <si>
    <t>/archives/14924</t>
  </si>
  <si>
    <t>/archives/68308</t>
  </si>
  <si>
    <t>/archives/81106</t>
  </si>
  <si>
    <t>/archives/113475/4-sk?대끂踰좎씠??ces2024_sk?먮뜑?쒕뱶_sk-wonderland_?먰??ㅽ떛?꾩씪?쒕뱶_1</t>
  </si>
  <si>
    <t>/archives/27907</t>
  </si>
  <si>
    <t>/archives/33685</t>
  </si>
  <si>
    <t>/archives/tag/洹몃┛??1</t>
  </si>
  <si>
    <t>/archives/112614</t>
  </si>
  <si>
    <t>/archives/tag/理쒖씠??1</t>
  </si>
  <si>
    <t>/archives/110104</t>
  </si>
  <si>
    <t>/archives/30069</t>
  </si>
  <si>
    <t>/archives/77232</t>
  </si>
  <si>
    <t>/archives/tag/skgca</t>
  </si>
  <si>
    <t>/archives/tag/?좎엯-?붿??덉뼱</t>
  </si>
  <si>
    <t>/archives/35072</t>
  </si>
  <si>
    <t>/archives/57534</t>
  </si>
  <si>
    <t>/archives/tag/steam-purge</t>
  </si>
  <si>
    <t>/archives/106338</t>
  </si>
  <si>
    <t>/archives/115043</t>
  </si>
  <si>
    <t>/archives/tag/skinnotech</t>
  </si>
  <si>
    <t>/archives/115074</t>
  </si>
  <si>
    <t>/archives/115057</t>
  </si>
  <si>
    <t>/archives/84500</t>
  </si>
  <si>
    <t>/archives/97416</t>
  </si>
  <si>
    <t>/archives/100695</t>
  </si>
  <si>
    <t>/archives/tag/ccs</t>
  </si>
  <si>
    <t>/archives/92217</t>
  </si>
  <si>
    <t>/archives/6916</t>
  </si>
  <si>
    <t>/archives/84916</t>
  </si>
  <si>
    <t>/archives/90700</t>
  </si>
  <si>
    <t>/archives/54917</t>
  </si>
  <si>
    <t>/archives/111264</t>
  </si>
  <si>
    <t>/archives/115099</t>
  </si>
  <si>
    <t>/archives/115101</t>
  </si>
  <si>
    <t>/archives/71721</t>
  </si>
  <si>
    <t>/archives/96274</t>
  </si>
  <si>
    <t>/archives/91535</t>
  </si>
  <si>
    <t>/archives/49759</t>
  </si>
  <si>
    <t>/archives/tag/bmr</t>
  </si>
  <si>
    <t>/archives/tag/g-r-o-w-t-h</t>
  </si>
  <si>
    <t>/archives/tag/??⑸웾諛⑹궗??1</t>
  </si>
  <si>
    <t>/archives/115113</t>
  </si>
  <si>
    <t>/archives/20916</t>
  </si>
  <si>
    <t>/archives/26596</t>
  </si>
  <si>
    <t>/archives/62012</t>
  </si>
  <si>
    <t>/archives/85445</t>
  </si>
  <si>
    <t>/archives/tag/sk?⑤땲</t>
  </si>
  <si>
    <t>/archives/tag/猷⑦봽?몃뜑?ㅽ듃由?1</t>
  </si>
  <si>
    <t>/archives/tag/supex異붽뎄??1</t>
  </si>
  <si>
    <t>/archives/110186</t>
  </si>
  <si>
    <t>/archives/54742</t>
  </si>
  <si>
    <t>/archives/tag/?댁긽??1</t>
  </si>
  <si>
    <t>/archives/tag/?됱퐫</t>
  </si>
  <si>
    <t>/archives/tag/由щ돱???대깽??1</t>
  </si>
  <si>
    <t>/archives/48060</t>
  </si>
  <si>
    <t>/archives/96050</t>
  </si>
  <si>
    <t>/archives/111591</t>
  </si>
  <si>
    <t>/archives/30539</t>
  </si>
  <si>
    <t>/archives/tag/踰꾪궥由ъ뒪???묒떇</t>
  </si>
  <si>
    <t>/archives/11323</t>
  </si>
  <si>
    <t>/archives/15017</t>
  </si>
  <si>
    <t>/archives/88707</t>
  </si>
  <si>
    <t>/archives/tag/skoh</t>
  </si>
  <si>
    <t>/archives/tag/?ъ쑀</t>
  </si>
  <si>
    <t>/archives/tag/?뚯궗?ъ뼱</t>
  </si>
  <si>
    <t>/archives/37290</t>
  </si>
  <si>
    <t>/archives/61771</t>
  </si>
  <si>
    <t>/archives/88639</t>
  </si>
  <si>
    <t>/archives/tag/?쒕┛鍮뚮뵫</t>
  </si>
  <si>
    <t>/archives/53362</t>
  </si>
  <si>
    <t>/archives/tag/flexible-cover-window</t>
  </si>
  <si>
    <t>/archives/tag/?뚮Т??1</t>
  </si>
  <si>
    <t>/archives/tag/sk?ㅼ씪濡쒗뙣??1</t>
  </si>
  <si>
    <t>/archives/60362</t>
  </si>
  <si>
    <t>/archives/60564</t>
  </si>
  <si>
    <t>/archives/87571</t>
  </si>
  <si>
    <t>/archives/9131</t>
  </si>
  <si>
    <t>/archives/tag/green-for-better-life</t>
  </si>
  <si>
    <t>/archives/102613</t>
  </si>
  <si>
    <t>/archives/30212</t>
  </si>
  <si>
    <t>/archives/47748</t>
  </si>
  <si>
    <t>/archives/32706</t>
  </si>
  <si>
    <t>/archives/33806</t>
  </si>
  <si>
    <t>/archives/37470</t>
  </si>
  <si>
    <t>/archives/37497</t>
  </si>
  <si>
    <t>/archives/49588</t>
  </si>
  <si>
    <t>/archives/49650</t>
  </si>
  <si>
    <t>/archives/51972</t>
  </si>
  <si>
    <t>/archives/52962</t>
  </si>
  <si>
    <t>/archives/53447</t>
  </si>
  <si>
    <t>/archives/55224</t>
  </si>
  <si>
    <t>/archives/60047</t>
  </si>
  <si>
    <t>/archives/60621</t>
  </si>
  <si>
    <t>/archives/28061</t>
  </si>
  <si>
    <t>/archives/89316</t>
  </si>
  <si>
    <t>/archives/81839</t>
  </si>
  <si>
    <t>/archives/20157</t>
  </si>
  <si>
    <t>/archives/32657</t>
  </si>
  <si>
    <t>/archives/57119</t>
  </si>
  <si>
    <t>/archives/90451</t>
  </si>
  <si>
    <t>/archives/92932</t>
  </si>
  <si>
    <t>/archives/category/business/innovation</t>
  </si>
  <si>
    <t>/archives/tag/媛議깆튇?붽꼍??1</t>
  </si>
  <si>
    <t>/archives/105115</t>
  </si>
  <si>
    <t>/archives/105902</t>
  </si>
  <si>
    <t>/archives/36616</t>
  </si>
  <si>
    <t>/archives/96592</t>
  </si>
  <si>
    <t>/archives/tag/ca100</t>
  </si>
  <si>
    <t>/archives/tag/?낆궗?댄겢留?1</t>
  </si>
  <si>
    <t>/archives/88552</t>
  </si>
  <si>
    <t>/archives/110446</t>
  </si>
  <si>
    <t>/archives/8489</t>
  </si>
  <si>
    <t>/archives/91414</t>
  </si>
  <si>
    <t>/archives/115209</t>
  </si>
  <si>
    <t>/archives/115249</t>
  </si>
  <si>
    <t>/archives/64895</t>
  </si>
  <si>
    <t>/archives/tag/din-certco</t>
  </si>
  <si>
    <t>/archives/tag/怨듬え??1</t>
  </si>
  <si>
    <t>/archives/89364</t>
  </si>
  <si>
    <t>/archives/tag/諛붿씠??梨뚮┛吏</t>
  </si>
  <si>
    <t>/archives/89190</t>
  </si>
  <si>
    <t>/archives/tag/?ㅻ쭏?명뵆?쒗듃</t>
  </si>
  <si>
    <t>/archives/tag/hdpe</t>
  </si>
  <si>
    <t>/archives/tag/sk?대끂踰좎씠??蹂듭?</t>
  </si>
  <si>
    <t>/archives/tag/?뚮씪?ㅽ떛-醫낅쪟</t>
  </si>
  <si>
    <t>/archives/107493</t>
  </si>
  <si>
    <t>/archives/68684</t>
  </si>
  <si>
    <t>/archives/tag/?ㅽ넗由??곗씠</t>
  </si>
  <si>
    <t>/archives/112686</t>
  </si>
  <si>
    <t>/archives/115258</t>
  </si>
  <si>
    <t>/archives/82878</t>
  </si>
  <si>
    <t>/archives/64577</t>
  </si>
  <si>
    <t>/archives/115214</t>
  </si>
  <si>
    <t>/archives/102664</t>
  </si>
  <si>
    <t>/archives/115302</t>
  </si>
  <si>
    <t>/archives/93430</t>
  </si>
  <si>
    <t>/archives/6988</t>
  </si>
  <si>
    <t>/archives/95714</t>
  </si>
  <si>
    <t>/archives/tag/oi-post</t>
  </si>
  <si>
    <t>/archives/tag/??쒕?援?移쒗솚寃??⑦궎吏??щ읆</t>
  </si>
  <si>
    <t>/archives/tag/?쇱씠?ㅻ??숆탳</t>
  </si>
  <si>
    <t>/archives/tag/議곌꼍紐??ъ옣</t>
  </si>
  <si>
    <t>/archives/70782</t>
  </si>
  <si>
    <t>/archives/tag/?묒뾽?덉쟾媛?대뱶</t>
  </si>
  <si>
    <t>/archives/tag/?ㅽ??몄뾽</t>
  </si>
  <si>
    <t>/archives/115324</t>
  </si>
  <si>
    <t>/archives/115337</t>
  </si>
  <si>
    <t>/archives/21366</t>
  </si>
  <si>
    <t>/archives/8254</t>
  </si>
  <si>
    <t>/archives/tag/?쇱씠?⑥폁??1</t>
  </si>
  <si>
    <t>/archives/tag/?댁궗??1</t>
  </si>
  <si>
    <t>/archives/109513</t>
  </si>
  <si>
    <t>/archives/22103</t>
  </si>
  <si>
    <t>/archives/tag/z?대뵫</t>
  </si>
  <si>
    <t>/archives/tag/利앷텒?щ━?ы듃</t>
  </si>
  <si>
    <t>/archives/109195</t>
  </si>
  <si>
    <t>/archives/103367</t>
  </si>
  <si>
    <t>/archives/18280</t>
  </si>
  <si>
    <t>/archives/74314</t>
  </si>
  <si>
    <t>/archives/90120</t>
  </si>
  <si>
    <t>/archives/72888</t>
  </si>
  <si>
    <t>/archives/115558</t>
  </si>
  <si>
    <t>/archives/115727</t>
  </si>
  <si>
    <t>/archives/115706</t>
  </si>
  <si>
    <t>/archives/115587</t>
  </si>
  <si>
    <t>/archives/115537</t>
  </si>
  <si>
    <t>/archives/115394</t>
  </si>
  <si>
    <t>/archives/115353</t>
  </si>
  <si>
    <t>/archives/115517</t>
  </si>
  <si>
    <t>/archives/16254</t>
  </si>
  <si>
    <t>/archives/19392</t>
  </si>
  <si>
    <t>/archives/37159</t>
  </si>
  <si>
    <t>/archives/46873</t>
  </si>
  <si>
    <t>/archives/54808</t>
  </si>
  <si>
    <t>/archives/8409</t>
  </si>
  <si>
    <t>/archives/tag/ceo??????1</t>
  </si>
  <si>
    <t>/archives/tag/?щ궡蹂듭?</t>
  </si>
  <si>
    <t>/archives/tag/?ы솕?꾪솕?섏냼</t>
  </si>
  <si>
    <t>/archives/107637</t>
  </si>
  <si>
    <t>/archives/115622</t>
  </si>
  <si>
    <t>/archives/115664</t>
  </si>
  <si>
    <t>/archives/27811</t>
  </si>
  <si>
    <t>/archives/80790</t>
  </si>
  <si>
    <t>/archives/tag/silicon-foundry</t>
  </si>
  <si>
    <t>/archives/115371</t>
  </si>
  <si>
    <t>/archives/115403</t>
  </si>
  <si>
    <t>/archives/115494</t>
  </si>
  <si>
    <t>/archives/115532</t>
  </si>
  <si>
    <t>/archives/115611</t>
  </si>
  <si>
    <t>/archives/115648</t>
  </si>
  <si>
    <t>/archives/115691</t>
  </si>
  <si>
    <t>/archives/34367</t>
  </si>
  <si>
    <t>/archives/94170</t>
  </si>
  <si>
    <t>/archives/99911</t>
  </si>
  <si>
    <t>/archives/tag/sk醫낇빀?뷀븰</t>
  </si>
  <si>
    <t>/archives/112846</t>
  </si>
  <si>
    <t>/archives/tag/?먯랬?앷뎅臾쇱슂由?1</t>
  </si>
  <si>
    <t>/archives/101367</t>
  </si>
  <si>
    <t>/archives/115416</t>
  </si>
  <si>
    <t>/archives/115416/????꾧킅??떆?몄씤蹂듭?愿_臾명솕泥댄뿕?쒕룞-?ъ쭊</t>
  </si>
  <si>
    <t>/archives/13362</t>
  </si>
  <si>
    <t>/archives/32181</t>
  </si>
  <si>
    <t>/archives/33962</t>
  </si>
  <si>
    <t>/archives/68104</t>
  </si>
  <si>
    <t>/archives/tag/諛붿꽭由??ъ슜踰?1</t>
  </si>
  <si>
    <t>/archives/tag/?쇱긽-???앹쑀</t>
  </si>
  <si>
    <t>/archives/115380</t>
  </si>
  <si>
    <t>/archives/62569</t>
  </si>
  <si>
    <t>/archives/115637</t>
  </si>
  <si>
    <t>/archives/115712</t>
  </si>
  <si>
    <t>/archives/115719</t>
  </si>
  <si>
    <t>/archives/16651</t>
  </si>
  <si>
    <t>/archives/36447</t>
  </si>
  <si>
    <t>/archives/98899</t>
  </si>
  <si>
    <t>/archives/tag/?곕줈-??媛숈씠</t>
  </si>
  <si>
    <t>/archives/100883</t>
  </si>
  <si>
    <t>/archives/105945/230510_?λ?異뺤젣?띾낫移대뱶?댁뒪_蹂몃Ц02-2</t>
  </si>
  <si>
    <t>/archives/49173</t>
  </si>
  <si>
    <t>/archives/61576</t>
  </si>
  <si>
    <t>/archives/69146</t>
  </si>
  <si>
    <t>/archives/86140</t>
  </si>
  <si>
    <t>/archives/93909</t>
  </si>
  <si>
    <t>/archives/tag/ios-27001</t>
  </si>
  <si>
    <t>/archives/tag/px</t>
  </si>
  <si>
    <t>/archives/tag/?곕━?먭쾶?곸떊??먯뿰?ㅻ읇??1</t>
  </si>
  <si>
    <t>/archives/45668</t>
  </si>
  <si>
    <t>/archives/106465</t>
  </si>
  <si>
    <t>/archives/tag/?몃룞議고빀</t>
  </si>
  <si>
    <t>/archives/115731</t>
  </si>
  <si>
    <t>/archives/47614</t>
  </si>
  <si>
    <t>/archives/73180</t>
  </si>
  <si>
    <t>/archives/92980</t>
  </si>
  <si>
    <t>/archives/tag/源?꾨?-?쇳꽣??1</t>
  </si>
  <si>
    <t>/archives/tag/諛붿씠?ㅼ뿉?덉?</t>
  </si>
  <si>
    <t>/archives/tag/?곗???콐由곗?</t>
  </si>
  <si>
    <t>/archives/tag/?뺢린蹂댁닔</t>
  </si>
  <si>
    <t>/archives/tag/?섎컮由ъ?留뚮뱶?붾쾿</t>
  </si>
  <si>
    <t>/archives/tag/?쒓뎅?ㅻ쭏?몄씠紐⑤퉴由ы떚?묓쉶</t>
  </si>
  <si>
    <t>/archives/16310</t>
  </si>
  <si>
    <t>/archives/tag/sk?먮꼫吏-異뺢뎄??1</t>
  </si>
  <si>
    <t>/archives/115779</t>
  </si>
  <si>
    <t>/archives/65061</t>
  </si>
  <si>
    <t>/archives/65607</t>
  </si>
  <si>
    <t>/archives/91550</t>
  </si>
  <si>
    <t>/archives/97057</t>
  </si>
  <si>
    <t>/archives/tag/sk耳誘몄뭡</t>
  </si>
  <si>
    <t>/archives/tag/?섑봽?</t>
  </si>
  <si>
    <t>/archives/tag/?띾낫</t>
  </si>
  <si>
    <t>/archives/115416/5-skbmp-sk?섏씠?뚰겕諛고꽣由щ㉧?곕━?쇱뒪?대???1</t>
  </si>
  <si>
    <t>/archives/115791</t>
  </si>
  <si>
    <t>/archives/21061</t>
  </si>
  <si>
    <t>/archives/32711</t>
  </si>
  <si>
    <t>/archives/78155</t>
  </si>
  <si>
    <t>/archives/91844</t>
  </si>
  <si>
    <t>/archives/61527</t>
  </si>
  <si>
    <t>/archives/83636</t>
  </si>
  <si>
    <t>/archives/115801</t>
  </si>
  <si>
    <t>/archives/91318</t>
  </si>
  <si>
    <t>/archives/111942</t>
  </si>
  <si>
    <t>/archives/tag/留밴렇濡쒕툕</t>
  </si>
  <si>
    <t>/archives/23851</t>
  </si>
  <si>
    <t>/archives/96340</t>
  </si>
  <si>
    <t>/archives/101965</t>
  </si>
  <si>
    <t>/archives/27728</t>
  </si>
  <si>
    <t>/archives/13333</t>
  </si>
  <si>
    <t>/archives/35175</t>
  </si>
  <si>
    <t>/archives/45550</t>
  </si>
  <si>
    <t>/archives/92138</t>
  </si>
  <si>
    <t>/archives/115674</t>
  </si>
  <si>
    <t>/archives/115808</t>
  </si>
  <si>
    <t>/archives/115512</t>
  </si>
  <si>
    <t>/archives/108426</t>
  </si>
  <si>
    <t>/archives/15111</t>
  </si>
  <si>
    <t>/archives/25152</t>
  </si>
  <si>
    <t>/archives/27414</t>
  </si>
  <si>
    <t>/archives/35674</t>
  </si>
  <si>
    <t>/archives/36800</t>
  </si>
  <si>
    <t>/archives/55733</t>
  </si>
  <si>
    <t>/archives/5854</t>
  </si>
  <si>
    <t>/archives/69435</t>
  </si>
  <si>
    <t>/archives/98134</t>
  </si>
  <si>
    <t>/archives/33778</t>
  </si>
  <si>
    <t>/archives/108133</t>
  </si>
  <si>
    <t>/archives/110864</t>
  </si>
  <si>
    <t>/archives/70728</t>
  </si>
  <si>
    <t>/archives/77144</t>
  </si>
  <si>
    <t>/archives/86617</t>
  </si>
  <si>
    <t>/archives/87160</t>
  </si>
  <si>
    <t>/archives/102795</t>
  </si>
  <si>
    <t>/archives/103579</t>
  </si>
  <si>
    <t>/archives/111193</t>
  </si>
  <si>
    <t>/archives/111661</t>
  </si>
  <si>
    <t>/archives/21119</t>
  </si>
  <si>
    <t>/archives/23728</t>
  </si>
  <si>
    <t>/archives/8281</t>
  </si>
  <si>
    <t>/archives/84858</t>
  </si>
  <si>
    <t>/archives/tag/?덊듃???먮━</t>
  </si>
  <si>
    <t>/archives/tag/?몄궛-?뺤쑀怨듭옣</t>
  </si>
  <si>
    <t>/archives/115817</t>
  </si>
  <si>
    <t>/archives/32259</t>
  </si>
  <si>
    <t>/archives/6217</t>
  </si>
  <si>
    <t>/archives/98052</t>
  </si>
  <si>
    <t>/archives/tag/?먯퐫?몄뿉?덉?</t>
  </si>
  <si>
    <t>/archives/tag/梨뾤pt</t>
  </si>
  <si>
    <t>/archives/115635</t>
  </si>
  <si>
    <t>/archives/115639</t>
  </si>
  <si>
    <t>/archives/</t>
  </si>
  <si>
    <t>/archives/112393</t>
  </si>
  <si>
    <t>/archives/23925</t>
  </si>
  <si>
    <t>/archives/28634</t>
  </si>
  <si>
    <t>/archives/35137</t>
  </si>
  <si>
    <t>/archives/47896</t>
  </si>
  <si>
    <t>/archives/78734</t>
  </si>
  <si>
    <t>/archives/tag/mbwa</t>
  </si>
  <si>
    <t>/archives/tag/sheco-ark</t>
  </si>
  <si>
    <t>/archives/tag/sk?대끂踰좎씠??csr</t>
  </si>
  <si>
    <t>/archives/tag/轅踰?1</t>
  </si>
  <si>
    <t>/archives/59272</t>
  </si>
  <si>
    <t>/archives/81654</t>
  </si>
  <si>
    <t>/archives/100589</t>
  </si>
  <si>
    <t>/archives/10375</t>
  </si>
  <si>
    <t>/archives/6395</t>
  </si>
  <si>
    <t>/archives/7118</t>
  </si>
  <si>
    <t>/archives/80051</t>
  </si>
  <si>
    <t>/archives/82087</t>
  </si>
  <si>
    <t>/archives/93988</t>
  </si>
  <si>
    <t>/archives/97751</t>
  </si>
  <si>
    <t>/archives/19746</t>
  </si>
  <si>
    <t>/archives/108711</t>
  </si>
  <si>
    <t>/archives/7533</t>
  </si>
  <si>
    <t>/archives/31950</t>
  </si>
  <si>
    <t>/archives/88601</t>
  </si>
  <si>
    <t>/archives/tag/?대━?뚮윭??諛고꽣由?而댄띁??1</t>
  </si>
  <si>
    <t>/archives/72582</t>
  </si>
  <si>
    <t>/archives/79148</t>
  </si>
  <si>
    <t>/archives/95339</t>
  </si>
  <si>
    <t>/archives/tag/e-skb</t>
  </si>
  <si>
    <t>/archives/113610</t>
  </si>
  <si>
    <t>/archives/31477</t>
  </si>
  <si>
    <t>/archives/81412</t>
  </si>
  <si>
    <t>/archives/97615</t>
  </si>
  <si>
    <t>/archives/115830</t>
  </si>
  <si>
    <t>/archives/35171</t>
  </si>
  <si>
    <t>/archives/tag/?덊빐-踰꾪궥由ъ뒪??1</t>
  </si>
  <si>
    <t>/archives/55258</t>
  </si>
  <si>
    <t>/archives/37170</t>
  </si>
  <si>
    <t>/archives/80905</t>
  </si>
  <si>
    <t>/archives/tag/?꾨꼸?쒗듃?쇳봽-?뱀꽑</t>
  </si>
  <si>
    <t>/archives/59134</t>
  </si>
  <si>
    <t>/archives/115837</t>
  </si>
  <si>
    <t>/archives/88009</t>
  </si>
  <si>
    <t>/archives/tag/?먮룞李??섏떊??1</t>
  </si>
  <si>
    <t>/archives/108026</t>
  </si>
  <si>
    <t>/archives/109167</t>
  </si>
  <si>
    <t>/archives/113622</t>
  </si>
  <si>
    <t>/archives/18984</t>
  </si>
  <si>
    <t>/archives/24220</t>
  </si>
  <si>
    <t>/archives/79193</t>
  </si>
  <si>
    <t>/archives/85665</t>
  </si>
  <si>
    <t>/archives/tag/?좎옱?앹뿉?덉?</t>
  </si>
  <si>
    <t>/archives/14552</t>
  </si>
  <si>
    <t>/archives/23796</t>
  </si>
  <si>
    <t>/archives/73454</t>
  </si>
  <si>
    <t>/archives/85657</t>
  </si>
  <si>
    <t>/archives/tag/?붿?????궗愿</t>
  </si>
  <si>
    <t>/archives/113889</t>
  </si>
  <si>
    <t>/archives/tag/sk?대끂踰좎씠??怨듬え??1</t>
  </si>
  <si>
    <t>/archives/tag/?섏슱ev</t>
  </si>
  <si>
    <t>/archives/104487</t>
  </si>
  <si>
    <t>/archives/106456</t>
  </si>
  <si>
    <t>/archives/96561</t>
  </si>
  <si>
    <t>/archives/tag/?됰났cc</t>
  </si>
  <si>
    <t>/archives/tag/?곗뺨?ㅽ듃</t>
  </si>
  <si>
    <t>/archives/115877</t>
  </si>
  <si>
    <t>/archives/94907</t>
  </si>
  <si>
    <t>/archives/109159</t>
  </si>
  <si>
    <t>/archives/64226</t>
  </si>
  <si>
    <t>/archives/66709</t>
  </si>
  <si>
    <t>/archives/tag/湲濡쒕쾶?뚰겕?濡쒖?</t>
  </si>
  <si>
    <t>/archives/tag/?앷컖?ㅼ쭛湲?1</t>
  </si>
  <si>
    <t>/archives/46456</t>
  </si>
  <si>
    <t>/archives/71979</t>
  </si>
  <si>
    <t>/archives/83500</t>
  </si>
  <si>
    <t>/archives/tag/?듭뿭??1</t>
  </si>
  <si>
    <t>/archives/115351</t>
  </si>
  <si>
    <t>/archives/tag/?댁깋-二쇱쑀??1</t>
  </si>
  <si>
    <t>/archives/51666</t>
  </si>
  <si>
    <t>/archives/90746</t>
  </si>
  <si>
    <t>/archives/tag/??숈깮-?쒗룷?곗쫰</t>
  </si>
  <si>
    <t>/archives/74791</t>
  </si>
  <si>
    <t>/archives/tag/?좊쿋?댁뒪</t>
  </si>
  <si>
    <t>/archives/115416/8-skea-sk?붾Т釉뚯븘硫붾━移?1</t>
  </si>
  <si>
    <t>/archives/73281</t>
  </si>
  <si>
    <t>/archives/113897</t>
  </si>
  <si>
    <t>/archives/25846</t>
  </si>
  <si>
    <t>/archives/3840</t>
  </si>
  <si>
    <t>/archives/64129</t>
  </si>
  <si>
    <t>/archives/tag/baas</t>
  </si>
  <si>
    <t>/archives/tag/t-on</t>
  </si>
  <si>
    <t>/archives/tag/together-in-action</t>
  </si>
  <si>
    <t>/archives/tag/湲곗븘?먮룞李?1</t>
  </si>
  <si>
    <t>/archives/tag/誘몄냼?앸같</t>
  </si>
  <si>
    <t>/archives/tag/?깃퇏愿??숆탳</t>
  </si>
  <si>
    <t>/archives/tag/?멸퀎-?몃Ⅸ-?섎뒛????1</t>
  </si>
  <si>
    <t>/archives/tag/?먯퐫</t>
  </si>
  <si>
    <t>/archives/tag/?꾩궗-?덉쟾-?먭?????1</t>
  </si>
  <si>
    <t>/archives/115893</t>
  </si>
  <si>
    <t>/archives/83326</t>
  </si>
  <si>
    <t>/archives/96162</t>
  </si>
  <si>
    <t>/archives/tag/踰좎씠?뱀냼???쒖슜踰?1</t>
  </si>
  <si>
    <t>/archives/56324</t>
  </si>
  <si>
    <t>/archives/21168</t>
  </si>
  <si>
    <t>/archives/31820</t>
  </si>
  <si>
    <t>/archives/82886</t>
  </si>
  <si>
    <t>/archives/91688</t>
  </si>
  <si>
    <t>/archives/tag/?꾧린李?1</t>
  </si>
  <si>
    <t>/archives/tag/zic</t>
  </si>
  <si>
    <t>/archives/tag/愿묎퀬</t>
  </si>
  <si>
    <t>/archives/115896</t>
  </si>
  <si>
    <t>/archives/31518</t>
  </si>
  <si>
    <t>/archives/93852</t>
  </si>
  <si>
    <t>/archives/96498</t>
  </si>
  <si>
    <t>/archives/tag/?ㅻ궡?곗씠??1</t>
  </si>
  <si>
    <t>/archives/tag/?몃씪?댄깂</t>
  </si>
  <si>
    <t>/archives/29224</t>
  </si>
  <si>
    <t>/archives/34344</t>
  </si>
  <si>
    <t>/archives/62064</t>
  </si>
  <si>
    <t>/archives/78696</t>
  </si>
  <si>
    <t>/archives/115922</t>
  </si>
  <si>
    <t>/archives/115899</t>
  </si>
  <si>
    <t>/archives/87053</t>
  </si>
  <si>
    <t>/archives/tag/?좎븘???덊띁蹂대뱶</t>
  </si>
  <si>
    <t>/archives/tag/諛쒕떖?μ븷?꾨룞</t>
  </si>
  <si>
    <t>/archives/4376</t>
  </si>
  <si>
    <t>/archives/87068</t>
  </si>
  <si>
    <t>/archives/104697</t>
  </si>
  <si>
    <t>/archives/115933</t>
  </si>
  <si>
    <t>/archives/28873</t>
  </si>
  <si>
    <t>/archives/31513</t>
  </si>
  <si>
    <t>/archives/107063</t>
  </si>
  <si>
    <t>/archives/97378</t>
  </si>
  <si>
    <t>/archives/105137</t>
  </si>
  <si>
    <t>/archives/115950</t>
  </si>
  <si>
    <t>/archives/77036</t>
  </si>
  <si>
    <t>/archives/115954</t>
  </si>
  <si>
    <t>/archives/tag/?꾪겕由?1</t>
  </si>
  <si>
    <t>/archives/115969</t>
  </si>
  <si>
    <t>/archives/14984</t>
  </si>
  <si>
    <t>/archives/32839/1_蹂대뱶寃뚯엫_?곕큺怨?04</t>
  </si>
  <si>
    <t>/archives/tag/寃쎌쑀</t>
  </si>
  <si>
    <t>/archives/tag/?몄씠釉뚮뜑移좊뱶??1</t>
  </si>
  <si>
    <t>/archives/93683</t>
  </si>
  <si>
    <t>/archives/tag/?됰났?쒕┝愿</t>
  </si>
  <si>
    <t>/archives/tag/洹몃┛-諛붿씠??怨쇳븰湲곗닠?곌뎄??1</t>
  </si>
  <si>
    <t>/archives/104034</t>
  </si>
  <si>
    <t>/archives/105996</t>
  </si>
  <si>
    <t>/archives/tag/留먮났-蹂댁뼇??1</t>
  </si>
  <si>
    <t>/archives/65173</t>
  </si>
  <si>
    <t>/archives/tag/蹂대땲?섎땲</t>
  </si>
  <si>
    <t>/archives/115971</t>
  </si>
  <si>
    <t>/archives/28992</t>
  </si>
  <si>
    <t>/archives/74906</t>
  </si>
  <si>
    <t>/archives/90311</t>
  </si>
  <si>
    <t>/archives/tag/?꾨룄???좊━-遺꾨━留?1</t>
  </si>
  <si>
    <t>/archives/tag/?섍꼍?숈븞??援먯쑁-?꾨줈洹몃옩</t>
  </si>
  <si>
    <t>/archives/101388</t>
  </si>
  <si>
    <t>/archives/64853</t>
  </si>
  <si>
    <t>/archives/82401</t>
  </si>
  <si>
    <t>/archives/86042</t>
  </si>
  <si>
    <t>/archives/tag/援먯쑁</t>
  </si>
  <si>
    <t>/archives/27786</t>
  </si>
  <si>
    <t>/archives/58955</t>
  </si>
  <si>
    <t>/archives/110436</t>
  </si>
  <si>
    <t>/archives/15235</t>
  </si>
  <si>
    <t>/archives/32189</t>
  </si>
  <si>
    <t>/archives/92374</t>
  </si>
  <si>
    <t>/archives/tag/?곷궓-?뚰봽??1</t>
  </si>
  <si>
    <t>/archives/115416/2-醫낅줈援?泥쒖궗臾대즺湲됱떇??諛ν띁</t>
  </si>
  <si>
    <t>/archives/8624</t>
  </si>
  <si>
    <t>/archives/tag/?꾨젰洹쇰Т??1</t>
  </si>
  <si>
    <t>/archives/tag/?먮같?곕━</t>
  </si>
  <si>
    <t>/archives/92040</t>
  </si>
  <si>
    <t>/archives/96606</t>
  </si>
  <si>
    <t>/archives/115988</t>
  </si>
  <si>
    <t>/archives/10755</t>
  </si>
  <si>
    <t>/archives/102811</t>
  </si>
  <si>
    <t>/archives/111614</t>
  </si>
  <si>
    <t>/archives/16415</t>
  </si>
  <si>
    <t>/archives/46396</t>
  </si>
  <si>
    <t>/archives/48143</t>
  </si>
  <si>
    <t>/archives/56090</t>
  </si>
  <si>
    <t>/archives/60876</t>
  </si>
  <si>
    <t>/archives/62589</t>
  </si>
  <si>
    <t>/archives/71909</t>
  </si>
  <si>
    <t>/archives/86114</t>
  </si>
  <si>
    <t>/archives/8649</t>
  </si>
  <si>
    <t>/archives/91713</t>
  </si>
  <si>
    <t>/archives/95317</t>
  </si>
  <si>
    <t>/archives/tag/skbh</t>
  </si>
  <si>
    <t>/archives/tag/?먯쑀-?섏엯</t>
  </si>
  <si>
    <t>/archives/21106</t>
  </si>
  <si>
    <t>/archives/28003</t>
  </si>
  <si>
    <t>/archives/29271</t>
  </si>
  <si>
    <t>/archives/50803</t>
  </si>
  <si>
    <t>/archives/58655</t>
  </si>
  <si>
    <t>/archives/tag/skms</t>
  </si>
  <si>
    <t>/archives/tag/sk?됰났?좉컻?섎젴??1</t>
  </si>
  <si>
    <t>/archives/tag/?쒖슱?-?뷀븰?앸Ъ怨듯븰遺</t>
  </si>
  <si>
    <t>/archives/tag/?곕뱶留ν궓吏</t>
  </si>
  <si>
    <t>/archives/115985</t>
  </si>
  <si>
    <t>/archives/61073</t>
  </si>
  <si>
    <t>/archives/93538</t>
  </si>
  <si>
    <t>/archives/tag/safety-talk</t>
  </si>
  <si>
    <t>/archives/tag/she-罹좏럹??1</t>
  </si>
  <si>
    <t>/archives/tag/?앹쑀?뷀븰?낃퀎</t>
  </si>
  <si>
    <t>/archives/tag/?뚯옱?ъ뾽</t>
  </si>
  <si>
    <t>/archives/tag/?섎즺??1</t>
  </si>
  <si>
    <t>/archives/tag/?ㅽ솢湲곗쑀</t>
  </si>
  <si>
    <t>/archives/tag/?щ궡-?좎튂??3</t>
  </si>
  <si>
    <t>/archives/tag/梨쀫큸</t>
  </si>
  <si>
    <t>/archives/31964</t>
  </si>
  <si>
    <t>/archives/100653</t>
  </si>
  <si>
    <t>/archives/30361</t>
  </si>
  <si>
    <t>/archives/31670</t>
  </si>
  <si>
    <t>/archives/46278</t>
  </si>
  <si>
    <t>/archives/56062</t>
  </si>
  <si>
    <t>/archives/59872</t>
  </si>
  <si>
    <t>/archives/85260</t>
  </si>
  <si>
    <t>/archives/86654</t>
  </si>
  <si>
    <t>/archives/89066</t>
  </si>
  <si>
    <t>/archives/91149</t>
  </si>
  <si>
    <t>/archives/94930</t>
  </si>
  <si>
    <t>/archives/96006</t>
  </si>
  <si>
    <t>/archives/tag/moa?ы쉶?곹삊?숈“??1</t>
  </si>
  <si>
    <t>/archives/tag/踰붽뎅誘?罹좏럹??1</t>
  </si>
  <si>
    <t>/archives/tag/?쒖슱?밸퀎?쒖궗?뚮났吏?묒쓽?뚯옣??1</t>
  </si>
  <si>
    <t>/archives/tag/?쇱쓣-?듯븳-?≪꽦</t>
  </si>
  <si>
    <t>/archives/tag/?덇컯蹂댁쁺sk臾쇱옄吏묐떒?좏븳怨듭궗</t>
  </si>
  <si>
    <t>/archives/27132</t>
  </si>
  <si>
    <t>/archives/68154</t>
  </si>
  <si>
    <t>/archives/76192</t>
  </si>
  <si>
    <t>/archives/79766</t>
  </si>
  <si>
    <t>/archives/tag/sk?대┛?댁쭛</t>
  </si>
  <si>
    <t>/archives/tag/?꾩옄?덉씤吏濡쒖궪怨꾪깢</t>
  </si>
  <si>
    <t>/archives/101431</t>
  </si>
  <si>
    <t>/archives/49385</t>
  </si>
  <si>
    <t>/archives/50468</t>
  </si>
  <si>
    <t>/archives/6565</t>
  </si>
  <si>
    <t>/archives/tag/smart-?묒꽦踰?1</t>
  </si>
  <si>
    <t>/archives/tag/?대텇??1</t>
  </si>
  <si>
    <t>/archives/tag/?뚯슦移섑삎諛고꽣由?1</t>
  </si>
  <si>
    <t>/archives/tag/?됰났異붽뎄</t>
  </si>
  <si>
    <t>/archives/18796</t>
  </si>
  <si>
    <t>/archives/31675</t>
  </si>
  <si>
    <t>/archives/tag/?④린媛??ㅼ씠?댄듃</t>
  </si>
  <si>
    <t>/archives/68096</t>
  </si>
  <si>
    <t>/archives/7652</t>
  </si>
  <si>
    <t>/archives/11623</t>
  </si>
  <si>
    <t>/archives/31603</t>
  </si>
  <si>
    <t>/archives/31807</t>
  </si>
  <si>
    <t>/archives/76912</t>
  </si>
  <si>
    <t>/archives/78528</t>
  </si>
  <si>
    <t>/archives/tag/?곸뼱罹좏봽?꾨Ⅴ諛붿씠??1</t>
  </si>
  <si>
    <t>/archives/tag/?쇰━踰꾪듉</t>
  </si>
  <si>
    <t>/archives/tag/?됰났ict</t>
  </si>
  <si>
    <t>/archives/32382</t>
  </si>
  <si>
    <t>/achieves/86313</t>
  </si>
  <si>
    <t>/archives/108072</t>
  </si>
  <si>
    <t>/archives/111095</t>
  </si>
  <si>
    <t>/archives/27423</t>
  </si>
  <si>
    <t>/archives/31576</t>
  </si>
  <si>
    <t>/archives/47111</t>
  </si>
  <si>
    <t>/archives/64813</t>
  </si>
  <si>
    <t>/archives/86384</t>
  </si>
  <si>
    <t>/archives/91153</t>
  </si>
  <si>
    <t>/archives/23790</t>
  </si>
  <si>
    <t>/archives/35158</t>
  </si>
  <si>
    <t>/archives/45598</t>
  </si>
  <si>
    <t>/archives/tag/?덉걶?ъ쭊李띾뒗踰?1</t>
  </si>
  <si>
    <t>/archives/27486</t>
  </si>
  <si>
    <t>/archives/53948</t>
  </si>
  <si>
    <t>/archives/80415</t>
  </si>
  <si>
    <t>/archives/92695</t>
  </si>
  <si>
    <t>/archives/tag/v2l</t>
  </si>
  <si>
    <t>/archives/tag/移쒗솚寃??뚮씪?ㅽ떛</t>
  </si>
  <si>
    <t>/archives/101917</t>
  </si>
  <si>
    <t>/archives/112192</t>
  </si>
  <si>
    <t>/archives/14327</t>
  </si>
  <si>
    <t>/archives/32659</t>
  </si>
  <si>
    <t>/archives/33953</t>
  </si>
  <si>
    <t>/archives/37613</t>
  </si>
  <si>
    <t>/archives/5009</t>
  </si>
  <si>
    <t>/archives/64878</t>
  </si>
  <si>
    <t>/archives/68367</t>
  </si>
  <si>
    <t>/archives/81599</t>
  </si>
  <si>
    <t>/archives/83912</t>
  </si>
  <si>
    <t>/archives/84748</t>
  </si>
  <si>
    <t>/archives/97216</t>
  </si>
  <si>
    <t>/archives/category/aW5kdXN0cn</t>
  </si>
  <si>
    <t>/archives/tag/chatgpt</t>
  </si>
  <si>
    <t>/archives/tag/??묒꽍??2</t>
  </si>
  <si>
    <t>/archives/15602</t>
  </si>
  <si>
    <t>/archives/48531</t>
  </si>
  <si>
    <t>/archives/68734</t>
  </si>
  <si>
    <t>/archives/81562</t>
  </si>
  <si>
    <t>/archives/90440</t>
  </si>
  <si>
    <t>/archives/99640</t>
  </si>
  <si>
    <t>/archives/tag/?댁뒳??1</t>
  </si>
  <si>
    <t>/archives/tag/?먮윭由??대┛??1</t>
  </si>
  <si>
    <t>/archives/35208</t>
  </si>
  <si>
    <t>/archives/37228</t>
  </si>
  <si>
    <t>/archives/92353</t>
  </si>
  <si>
    <t>/archives/category/field-news/inno-field/america</t>
  </si>
  <si>
    <t>/archives/tag/ai</t>
  </si>
  <si>
    <t>/archives/tag/諛⑺뼢??留뚮뱾湲?1</t>
  </si>
  <si>
    <t>/archives/116018</t>
  </si>
  <si>
    <t>/archives/tag/?꾨룄???좊━-遺꾨━留?3</t>
  </si>
  <si>
    <t>/archives/tag/李쎈┰湲곕뀗??2</t>
  </si>
  <si>
    <t>/archives/115416/5-sk?대끂踰좎씠???몄궛clx-諛쒕떖?μ븷?대┛?댁쭛-諛⑸Ц-3</t>
  </si>
  <si>
    <t>/archives/116007</t>
  </si>
  <si>
    <t>/archives/31881</t>
  </si>
  <si>
    <t>/archives/55867</t>
  </si>
  <si>
    <t>/archives/83588</t>
  </si>
  <si>
    <t>/archives/9109</t>
  </si>
  <si>
    <t>/archives/tag/sk?붾Т釉?1</t>
  </si>
  <si>
    <t>/archives/tag/sk李⑺븳二쇱쑀??罹좏럹??2</t>
  </si>
  <si>
    <t>/archives/tag/?쒕씪?댁븘?댁뒪</t>
  </si>
  <si>
    <t>/archives/tag/?깊겕濡쒕━</t>
  </si>
  <si>
    <t>/mergerqna1</t>
  </si>
  <si>
    <t>/mergerqna2</t>
  </si>
  <si>
    <t>/mergerqna3</t>
  </si>
  <si>
    <t>/mergerqna4</t>
  </si>
  <si>
    <t>/mergerqna5</t>
  </si>
  <si>
    <t>/mergerqna6</t>
  </si>
  <si>
    <t>/mergerqna7</t>
  </si>
  <si>
    <t>/mergerqna8</t>
  </si>
  <si>
    <t>/archives/33109</t>
  </si>
  <si>
    <t>/archives/69840</t>
  </si>
  <si>
    <t>/archives/72058</t>
  </si>
  <si>
    <t>/archives/83970</t>
  </si>
  <si>
    <t>/archives/86484</t>
  </si>
  <si>
    <t>/archives/97198</t>
  </si>
  <si>
    <t>/archives/99425</t>
  </si>
  <si>
    <t>/archives/tag/怨꾨?援?걪?대뒗踰?1</t>
  </si>
  <si>
    <t>/archives/tag/??꾩떆?몄씤蹂듭?愿</t>
  </si>
  <si>
    <t>/archives/113618</t>
  </si>
  <si>
    <t>/archives/115349</t>
  </si>
  <si>
    <t>/archives/31927</t>
  </si>
  <si>
    <t>/archives/46112</t>
  </si>
  <si>
    <t>/archives/53972</t>
  </si>
  <si>
    <t>/archives/60839</t>
  </si>
  <si>
    <t>/archives/70062</t>
  </si>
  <si>
    <t>/archives/79135</t>
  </si>
  <si>
    <t>/archives/85297</t>
  </si>
  <si>
    <t>/archives/8584</t>
  </si>
  <si>
    <t>/archives/93271</t>
  </si>
  <si>
    <t>/archives/93661</t>
  </si>
  <si>
    <t>/archives/tag/best-hrd</t>
  </si>
  <si>
    <t>/archives/tag/蹂몄궗</t>
  </si>
  <si>
    <t>/archives/62155</t>
  </si>
  <si>
    <t>/archives/74202</t>
  </si>
  <si>
    <t>/archives/21502</t>
  </si>
  <si>
    <t>/archives/101488</t>
  </si>
  <si>
    <t>/archives/107594</t>
  </si>
  <si>
    <t>/archives/10903</t>
  </si>
  <si>
    <t>/archives/15233</t>
  </si>
  <si>
    <t>/archives/20784</t>
  </si>
  <si>
    <t>/archives/29789</t>
  </si>
  <si>
    <t>/archives/31791</t>
  </si>
  <si>
    <t>/archives/35071</t>
  </si>
  <si>
    <t>/archives/37863</t>
  </si>
  <si>
    <t>/archives/64837</t>
  </si>
  <si>
    <t>/archives/72665</t>
  </si>
  <si>
    <t>/archives/74902</t>
  </si>
  <si>
    <t>/archives/75021</t>
  </si>
  <si>
    <t>/archives/77434</t>
  </si>
  <si>
    <t>/archives/97207</t>
  </si>
  <si>
    <t>/archives/tag/china-ev100</t>
  </si>
  <si>
    <t>/archives/tag/怨듭쑀-?명봽??1</t>
  </si>
  <si>
    <t>/archives/tag/?앸Ъ?ㅼ뼇??1</t>
  </si>
  <si>
    <t>/archives/tag/?щ쫫?ㅽ듃?덉뒪?댁냼</t>
  </si>
  <si>
    <t>/archives/15744</t>
  </si>
  <si>
    <t>/archives/91151</t>
  </si>
  <si>
    <t>/archives/102176</t>
  </si>
  <si>
    <t>/archives/105195</t>
  </si>
  <si>
    <t>/archives/107655</t>
  </si>
  <si>
    <t>/archives/115416/sk?몃젅?대뵫?명꽣?댁뀛???섍꼍?뺥솕-遊됱궗?쒕룞-7</t>
  </si>
  <si>
    <t>/archives/115997</t>
  </si>
  <si>
    <t>/archives/116170</t>
  </si>
  <si>
    <t>/archives/31890</t>
  </si>
  <si>
    <t>/archives/35749</t>
  </si>
  <si>
    <t>/archives/38363</t>
  </si>
  <si>
    <t>/archives/63119</t>
  </si>
  <si>
    <t>/archives/66619</t>
  </si>
  <si>
    <t>/archives/73392</t>
  </si>
  <si>
    <t>/archives/7599</t>
  </si>
  <si>
    <t>/archives/79213</t>
  </si>
  <si>
    <t>/archives/80029</t>
  </si>
  <si>
    <t>/archives/82498</t>
  </si>
  <si>
    <t>/archives/87390</t>
  </si>
  <si>
    <t>/archives/88578</t>
  </si>
  <si>
    <t>/archives/92351</t>
  </si>
  <si>
    <t>/archives/tag/sk-蹂듯빀-二쇱쑀??1</t>
  </si>
  <si>
    <t>/archives/tag/怨듭쑀?명봽??1</t>
  </si>
  <si>
    <t>/archives/tag/?됰났?먮겮-?꾨줈?앺듃</t>
  </si>
  <si>
    <t>/archives/116189</t>
  </si>
  <si>
    <t>/archives/100801</t>
  </si>
  <si>
    <t>/archives/26359</t>
  </si>
  <si>
    <t>/archives/32215</t>
  </si>
  <si>
    <t>/archives/38524</t>
  </si>
  <si>
    <t>/archives/60469</t>
  </si>
  <si>
    <t>/archives/71142</t>
  </si>
  <si>
    <t>/archives/82455</t>
  </si>
  <si>
    <t>/archives/92464</t>
  </si>
  <si>
    <t>/archives/9547</t>
  </si>
  <si>
    <t>/archives/tag/怨좊?媛媛移??ъ뾽</t>
  </si>
  <si>
    <t>/archives/tag/?ㅼ슦議댁뒪</t>
  </si>
  <si>
    <t>/archives/tag/?대끂踰꾩뒪</t>
  </si>
  <si>
    <t>/archives/tag/?댁쨷??1</t>
  </si>
  <si>
    <t>/archives/31100</t>
  </si>
  <si>
    <t>/archives/36754</t>
  </si>
  <si>
    <t>/archives/70618</t>
  </si>
  <si>
    <t>/archives/tag/dt</t>
  </si>
  <si>
    <t>/archives/tag/psm</t>
  </si>
  <si>
    <t>/archives/tag/?먮컮??1</t>
  </si>
  <si>
    <t>/archives/101030</t>
  </si>
  <si>
    <t>/archives/33851</t>
  </si>
  <si>
    <t>/archives/57040</t>
  </si>
  <si>
    <t>/archives/61117/190925_二쇱쑀?뚮?泥쒖궗_移대뱶?댁뒪_2-4</t>
  </si>
  <si>
    <t>/archives/68083</t>
  </si>
  <si>
    <t>/archives/75340</t>
  </si>
  <si>
    <t>/archives/77771</t>
  </si>
  <si>
    <t>/archives/92735</t>
  </si>
  <si>
    <t>/archives/99039</t>
  </si>
  <si>
    <t>/archives/tag/?ㅼ슦議댁뒪-吏?띻??κ꼍?곸???1</t>
  </si>
  <si>
    <t>/archives/tag/?ы쉶怨듯뿄-?ㅽ듃?뚰겕</t>
  </si>
  <si>
    <t>/archives/83009</t>
  </si>
  <si>
    <t>/archives/tag/?멸퀎-3?-?좎쥌</t>
  </si>
  <si>
    <t>/archives/105985</t>
  </si>
  <si>
    <t>/archives/18807</t>
  </si>
  <si>
    <t>/archives/31997</t>
  </si>
  <si>
    <t>/archives/73657/200730_gmf_蹂몄꽑吏꾩텧?_?뚭컻_移대뱶?댁뒪_03-4</t>
  </si>
  <si>
    <t>/archives/75904</t>
  </si>
  <si>
    <t>/archives/8306</t>
  </si>
  <si>
    <t>/archives/84284</t>
  </si>
  <si>
    <t>/archives/98540</t>
  </si>
  <si>
    <t>/archives/98703</t>
  </si>
  <si>
    <t>/archives/tag/?꾩떆???뺤젣留덉쭊</t>
  </si>
  <si>
    <t>/archives/tag/?ъ깮?섏?</t>
  </si>
  <si>
    <t>/archives/tag/二쇱쿇?꾨늻由ы뫖??1</t>
  </si>
  <si>
    <t>/archives/18036</t>
  </si>
  <si>
    <t>/archives/25492</t>
  </si>
  <si>
    <t>/archives/31901</t>
  </si>
  <si>
    <t>/archives/71009</t>
  </si>
  <si>
    <t>/archives/tag/?쒖슱?뺤븷?숆탳</t>
  </si>
  <si>
    <t>/archives/102149</t>
  </si>
  <si>
    <t>/archives/108156/230222_sk?대끂踰좎씠??怨꾩뿴_?꾧뎅_?ъ뾽???뚭컻04-5</t>
  </si>
  <si>
    <t>/archives/17072</t>
  </si>
  <si>
    <t>/archives/57196</t>
  </si>
  <si>
    <t>/archives/70639</t>
  </si>
  <si>
    <t>/archives/79288</t>
  </si>
  <si>
    <t>/archives/92281</t>
  </si>
  <si>
    <t>/archives/tag/?섏씠-留덉폆</t>
  </si>
  <si>
    <t>/archives/113390</t>
  </si>
  <si>
    <t>/archives/22472</t>
  </si>
  <si>
    <t>/archives/tag/硫댁젒</t>
  </si>
  <si>
    <t>/archives/tag/?좎엯</t>
  </si>
  <si>
    <t>/archives/tag/?좎엯怨듭콈</t>
  </si>
  <si>
    <t>/archives/tag/?곗닔</t>
  </si>
  <si>
    <t>/archives/105643</t>
  </si>
  <si>
    <t>/archives/3268</t>
  </si>
  <si>
    <t>/archives/45922</t>
  </si>
  <si>
    <t>/archives/9168</t>
  </si>
  <si>
    <t>/archives/98469</t>
  </si>
  <si>
    <t>/archives/110110</t>
  </si>
  <si>
    <t>/archives/34093</t>
  </si>
  <si>
    <t>/archives/tag/innovate-uk</t>
  </si>
  <si>
    <t>/archives/tag/?먯쑀?섏엯援?1</t>
  </si>
  <si>
    <t>/archives/18484</t>
  </si>
  <si>
    <t>/archives/tag/留덈쾿????1</t>
  </si>
  <si>
    <t>/archives/105059</t>
  </si>
  <si>
    <t>/archives/32296</t>
  </si>
  <si>
    <t>/archives/9270</t>
  </si>
  <si>
    <t>/archives/tag/媛諛?1</t>
  </si>
  <si>
    <t>/archives/tag/?명듃遺?1</t>
  </si>
  <si>
    <t>/archives/22128</t>
  </si>
  <si>
    <t>/archives/32649</t>
  </si>
  <si>
    <t>/archives/54938</t>
  </si>
  <si>
    <t>/archives/tag/罹먮━?댁쭚?몃뒗踰?1</t>
  </si>
  <si>
    <t>/archives/tag/?섑듃濡쒕꽬</t>
  </si>
  <si>
    <t>/archives/19293</t>
  </si>
  <si>
    <t>/archives/73657</t>
  </si>
  <si>
    <t>/archives/tag/釉뚮옖?쒗뙆??1</t>
  </si>
  <si>
    <t>/archives/46345</t>
  </si>
  <si>
    <t>/archives/tag/?됰났怨듦컙-clan</t>
  </si>
  <si>
    <t>/archives/tag/?μ껜?몄?-2-0</t>
  </si>
  <si>
    <t>/archives/47804</t>
  </si>
  <si>
    <t>/archives/113105</t>
  </si>
  <si>
    <t>/archives/17781</t>
  </si>
  <si>
    <t>/archives/20656</t>
  </si>
  <si>
    <t>/archives/23333</t>
  </si>
  <si>
    <t>/archives/38532</t>
  </si>
  <si>
    <t>/archives/46277</t>
  </si>
  <si>
    <t>/archives/46959</t>
  </si>
  <si>
    <t>/archives/48502</t>
  </si>
  <si>
    <t>/archives/70376</t>
  </si>
  <si>
    <t>/archives/75046</t>
  </si>
  <si>
    <t>/archives/80736</t>
  </si>
  <si>
    <t>/archives/tag/?깆쑀</t>
  </si>
  <si>
    <t>/archives/tag/?뚯뀥踰ㅼ쿂</t>
  </si>
  <si>
    <t>/archives/11401</t>
  </si>
  <si>
    <t>/archives/13775</t>
  </si>
  <si>
    <t>/archives/70355</t>
  </si>
  <si>
    <t>/archives/90946</t>
  </si>
  <si>
    <t>/archives/103938</t>
  </si>
  <si>
    <t>/archives/109543</t>
  </si>
  <si>
    <t>/archives/110626</t>
  </si>
  <si>
    <t>/archives/111623</t>
  </si>
  <si>
    <t>/archives/23315</t>
  </si>
  <si>
    <t>/archives/35124</t>
  </si>
  <si>
    <t>/archives/88673</t>
  </si>
  <si>
    <t>/archives/97776</t>
  </si>
  <si>
    <t>/archives/97979</t>
  </si>
  <si>
    <t>/archives/tag/sk??1</t>
  </si>
  <si>
    <t>/archives/tag/踰좎씠吏뺤쟾怨?1</t>
  </si>
  <si>
    <t>/archives/tag/?고븰?묐젰</t>
  </si>
  <si>
    <t>/archives/tag/?쒖슱??숆탳</t>
  </si>
  <si>
    <t>/archives/tag/??났??1</t>
  </si>
  <si>
    <t>/archives/tag/媛곹삎諛고꽣由?1</t>
  </si>
  <si>
    <t>/archives/tag/洹몃┛諛몃윴??1</t>
  </si>
  <si>
    <t>/archives/tag/?뚮씪?먯씪??3</t>
  </si>
  <si>
    <t>/archives/104788</t>
  </si>
  <si>
    <t>/archives/31612</t>
  </si>
  <si>
    <t>/archives/38633</t>
  </si>
  <si>
    <t>/archives/4482</t>
  </si>
  <si>
    <t>/archives/60459</t>
  </si>
  <si>
    <t>/archives/92030</t>
  </si>
  <si>
    <t>/archives/95027</t>
  </si>
  <si>
    <t>/archives/96375</t>
  </si>
  <si>
    <t>/archives/96672</t>
  </si>
  <si>
    <t>/archives/99043</t>
  </si>
  <si>
    <t>/archives/tag/洹몃┛?대뵜</t>
  </si>
  <si>
    <t>/archives/tag/誘몃옒怨쇳븰?먮뱾???뷀븰異뺤젣</t>
  </si>
  <si>
    <t>/archives/tag/?⑥떎媛??諛곗텧沅?嫄곕옒??1</t>
  </si>
  <si>
    <t>/archives/tag/議몃┫-????源⑤뒗-踰?1</t>
  </si>
  <si>
    <t>/archives/12963</t>
  </si>
  <si>
    <t>/archives/22584</t>
  </si>
  <si>
    <t>/archives/71844</t>
  </si>
  <si>
    <t>/archives/tag/?μ뒪?щ뱶-釉붾줉</t>
  </si>
  <si>
    <t>/archives/100964</t>
  </si>
  <si>
    <t>/archives/114989</t>
  </si>
  <si>
    <t>/archives/48639</t>
  </si>
  <si>
    <t>/archives/77539</t>
  </si>
  <si>
    <t>/archives/80113</t>
  </si>
  <si>
    <t>/archives/91481</t>
  </si>
  <si>
    <t>/archives/95466</t>
  </si>
  <si>
    <t>/archives/category/2022</t>
  </si>
  <si>
    <t>/archives/category/field-news/inno-field/asia</t>
  </si>
  <si>
    <t>/archives/tag/湲由ъ꽭由?1</t>
  </si>
  <si>
    <t>/archives/tag/??좏솴以묒쑀</t>
  </si>
  <si>
    <t>/archives/112378</t>
  </si>
  <si>
    <t>/archives/17131</t>
  </si>
  <si>
    <t>/archives/22361</t>
  </si>
  <si>
    <t>/archives/24373</t>
  </si>
  <si>
    <t>/archives/28713</t>
  </si>
  <si>
    <t>/archives/4564</t>
  </si>
  <si>
    <t>/archives/53828</t>
  </si>
  <si>
    <t>/archives/62713</t>
  </si>
  <si>
    <t>/archives/65346</t>
  </si>
  <si>
    <t>/archives/76839</t>
  </si>
  <si>
    <t>/archives/78466</t>
  </si>
  <si>
    <t>/archives/79003</t>
  </si>
  <si>
    <t>/archives/79499</t>
  </si>
  <si>
    <t>/archives/89939</t>
  </si>
  <si>
    <t>/archives/93583</t>
  </si>
  <si>
    <t>/archives/95432</t>
  </si>
  <si>
    <t>/archives/97264?⑤┸ ?대??먮즺20240603_?⑤┸_議곌툑???대（?댁????ㅻ????쒓뎅IR?묒쓽??2</t>
  </si>
  <si>
    <t>/archives/tag/lng</t>
  </si>
  <si>
    <t>/archives/tag/?먮꼫吏?덉빟</t>
  </si>
  <si>
    <t>/archives/22171</t>
  </si>
  <si>
    <t>/archives/35063</t>
  </si>
  <si>
    <t>/archives/36314</t>
  </si>
  <si>
    <t>/archives/81303</t>
  </si>
  <si>
    <t>/archives/tag/愿묓솕?먯꽌鍮쏅굹?대떎</t>
  </si>
  <si>
    <t>/archives/tag/?ъ씠??1</t>
  </si>
  <si>
    <t>/archives/tag/?됰났洹몃┛?붿옄??1</t>
  </si>
  <si>
    <t>/archives/104742</t>
  </si>
  <si>
    <t>/archives/112402</t>
  </si>
  <si>
    <t>/archives/49027</t>
  </si>
  <si>
    <t>/archives/tag/sk?대끂踰좎씠??寃쎌쁺?꾨왂</t>
  </si>
  <si>
    <t>/archives/tag/?쒖＜?좊굹?댄떚??1</t>
  </si>
  <si>
    <t>/archives/tag/?뚮씪?ㅽ떛</t>
  </si>
  <si>
    <t>/page/7</t>
  </si>
  <si>
    <t>/archives/85410</t>
  </si>
  <si>
    <t>/archives/87015</t>
  </si>
  <si>
    <t>/archives/tag/鍮꾩쫰?덉뒪紐⑤뜽?곸떊</t>
  </si>
  <si>
    <t>/archives/48802</t>
  </si>
  <si>
    <t>/archives/76828</t>
  </si>
  <si>
    <t>/archives/tag/?ㅻ쭏?몃퉼</t>
  </si>
  <si>
    <t>/archives/113475/5-sk?대끂踰좎씠??ces2024_sk?먮뜑?쒕뱶_sk-wonderland_?꾩떛移?留ㅼ쭅移댄럹??4</t>
  </si>
  <si>
    <t>/archives/82942</t>
  </si>
  <si>
    <t>/archives/85124</t>
  </si>
  <si>
    <t>/archives/98235</t>
  </si>
  <si>
    <t>/archives/tag/?곕━?먭쾶-?곸떊?-?먯뿰?ㅻ읇??1</t>
  </si>
  <si>
    <t>/archives/116246</t>
  </si>
  <si>
    <t>/archives/100554</t>
  </si>
  <si>
    <t>/archives/101275</t>
  </si>
  <si>
    <t>/archives/102928</t>
  </si>
  <si>
    <t>/archives/17970</t>
  </si>
  <si>
    <t>/archives/20893</t>
  </si>
  <si>
    <t>/archives/48382</t>
  </si>
  <si>
    <t>/archives/50799</t>
  </si>
  <si>
    <t>/archives/80400</t>
  </si>
  <si>
    <t>/archives/93558</t>
  </si>
  <si>
    <t>/archives/93834</t>
  </si>
  <si>
    <t>/archives/tag/怨좉퀬梨뚮┛吏</t>
  </si>
  <si>
    <t>/archives/tag/諛붿씠?ㅺ???1</t>
  </si>
  <si>
    <t>/archives/tag/?≫렪?쒖슜?붾━</t>
  </si>
  <si>
    <t>/archives/36472</t>
  </si>
  <si>
    <t>/archives/94982/220428_sk?몄쿇?앹쑀?뷀븰_?고빐吏꾨?_?뚮줈源?硫붿씤_pc-2</t>
  </si>
  <si>
    <t>/archives/tag/?꾨줈援먰넻?덉쟾愿由ъ옄</t>
  </si>
  <si>
    <t>/archives/23247</t>
  </si>
  <si>
    <t>/archives/48251</t>
  </si>
  <si>
    <t>/archives/82157</t>
  </si>
  <si>
    <t>/archives/97264?⑤┸ ?대??먮즺20240603_?⑤┸_議곌툑???대（?댁????ㅻ????쒓뎅IR?묒쓽??1</t>
  </si>
  <si>
    <t>/archives/65349</t>
  </si>
  <si>
    <t>/ads.txt</t>
  </si>
  <si>
    <t>/archives/54557</t>
  </si>
  <si>
    <t>/archives/69723</t>
  </si>
  <si>
    <t>/archives/72439</t>
  </si>
  <si>
    <t>/archives/tag/李쎌???1</t>
  </si>
  <si>
    <t>/archives/32319</t>
  </si>
  <si>
    <t>/archives/79690</t>
  </si>
  <si>
    <t>/archives/tag/sk-愿묎퀬</t>
  </si>
  <si>
    <t>smart tv</t>
  </si>
  <si>
    <t>/archives/105226</t>
  </si>
  <si>
    <t>/archives/114973https:/javalab.org/activity_series_of_metals/</t>
  </si>
  <si>
    <t>/archives/116257</t>
  </si>
  <si>
    <t>/archives/tag/sk-zic</t>
  </si>
  <si>
    <t>/archives/63901</t>
  </si>
  <si>
    <t>/archives/author/hennyjung</t>
  </si>
  <si>
    <t>/archives/tag/?ㅽ궎?μ븘瑜대컮?댄듃</t>
  </si>
  <si>
    <t>/archives/103730</t>
  </si>
  <si>
    <t>/archives/95637</t>
  </si>
  <si>
    <t>/archives/99592</t>
  </si>
  <si>
    <t>/archives/date/2015/05</t>
  </si>
  <si>
    <t>/archives/tag/援대슍</t>
  </si>
  <si>
    <t>/archives/tag/異쒖궛?닿?</t>
  </si>
  <si>
    <t>/archives/10572</t>
  </si>
  <si>
    <t>/archives/31937</t>
  </si>
  <si>
    <t>/archives/9023</t>
  </si>
  <si>
    <t>/archives/tag/移쒗솚寃쎌쑄?쒖쑀</t>
  </si>
  <si>
    <t>/archives/tag/sk-?대끂踰좎씠??1</t>
  </si>
  <si>
    <t>/archives/26548</t>
  </si>
  <si>
    <t>/archives/tag/?댁뒋</t>
  </si>
  <si>
    <t>/archives/8460</t>
  </si>
  <si>
    <t>/archives/tag/sk猷⑤툕由ъ빻痢?2</t>
  </si>
  <si>
    <t>/archives/116261</t>
  </si>
  <si>
    <t>/archives/16013</t>
  </si>
  <si>
    <t>/archives/26393</t>
  </si>
  <si>
    <t>/archives/37122</t>
  </si>
  <si>
    <t>/archives/53495</t>
  </si>
  <si>
    <t>/archives/70749</t>
  </si>
  <si>
    <t>/archives/70777</t>
  </si>
  <si>
    <t>/archives/81621</t>
  </si>
  <si>
    <t>/archives/82247</t>
  </si>
  <si>
    <t>/archives/84173</t>
  </si>
  <si>
    <t>/archives/84451</t>
  </si>
  <si>
    <t>/archives/98324</t>
  </si>
  <si>
    <t>/archives/tag/sk?댁뒪荑?1</t>
  </si>
  <si>
    <t>/archives/tag/?됰났-?꾩떆??1</t>
  </si>
  <si>
    <t>/archives/104399</t>
  </si>
  <si>
    <t>/archives/108498/移대돱-4?섏씠吏-2</t>
  </si>
  <si>
    <t>/archives/113475/4-sk?대끂踰좎씠??ces2024_sk?먮뜑?쒕뱶_sk-wonderland_?먰??ㅽ떛?꾩씪?쒕뱶_ai-??1</t>
  </si>
  <si>
    <t>/archives/50253</t>
  </si>
  <si>
    <t>/archives/70677</t>
  </si>
  <si>
    <t>/archives/87334</t>
  </si>
  <si>
    <t>/archives/tag/2019???뷀븰?먭뎄?꾨윴?곗뼱?섏뒪?곕쾶</t>
  </si>
  <si>
    <t>/archives/100731</t>
  </si>
  <si>
    <t>/archives/100967</t>
  </si>
  <si>
    <t>/archives/113475/3-sk?대끂踰좎씠??ces2024_sk?먮뜑?쒕뱶_sk-wonderland_?먮뜑湲濡쒕툕_1-6</t>
  </si>
  <si>
    <t>/archives/116199</t>
  </si>
  <si>
    <t>/archives/25259</t>
  </si>
  <si>
    <t>/archives/35616</t>
  </si>
  <si>
    <t>/archives/63410</t>
  </si>
  <si>
    <t>/archives/87830</t>
  </si>
  <si>
    <t>/archives/93084</t>
  </si>
  <si>
    <t>/archives/95001</t>
  </si>
  <si>
    <t>/archives/97382</t>
  </si>
  <si>
    <t>/archives/99492</t>
  </si>
  <si>
    <t>/archives/99892</t>
  </si>
  <si>
    <t>/archives/tag/value-chain</t>
  </si>
  <si>
    <t>/archives/tag/怨듭옣?댁썝?뚯닔?ъ뾽</t>
  </si>
  <si>
    <t>/archives/tag/踰좎씠吏뺥룷??1</t>
  </si>
  <si>
    <t>/sigin</t>
  </si>
  <si>
    <t>/archives/tag/怨좉툒-?섎컻??1</t>
  </si>
  <si>
    <t>/archives/18908</t>
  </si>
  <si>
    <t>/archives/49351</t>
  </si>
  <si>
    <t>/archives/62393</t>
  </si>
  <si>
    <t>/archives/62974</t>
  </si>
  <si>
    <t>/archives/64788</t>
  </si>
  <si>
    <t>/archives/68423</t>
  </si>
  <si>
    <t>/archives/90042</t>
  </si>
  <si>
    <t>/archives/96541</t>
  </si>
  <si>
    <t>/archives/tag/one-for-one</t>
  </si>
  <si>
    <t>/archives/tag/?μ뒳??2</t>
  </si>
  <si>
    <t>/archives/tag/?앹쑀?뷀븰?곗뾽</t>
  </si>
  <si>
    <t>/archives/32289</t>
  </si>
  <si>
    <t>/archives/82766</t>
  </si>
  <si>
    <t>/archives/98376</t>
  </si>
  <si>
    <t>/archives/tag/?붿꽍?곕즺泥?젙?붿뿰援ъ썝</t>
  </si>
  <si>
    <t>/archives/13504</t>
  </si>
  <si>
    <t>/archives/85681</t>
  </si>
  <si>
    <t>/archives/88584</t>
  </si>
  <si>
    <t>/archives/116276</t>
  </si>
  <si>
    <t>/archives/116290</t>
  </si>
  <si>
    <t>/archives/73710</t>
  </si>
  <si>
    <t>/archives/13290</t>
  </si>
  <si>
    <t>/archives/19672</t>
  </si>
  <si>
    <t>/archives/28092</t>
  </si>
  <si>
    <t>/archives/33760</t>
  </si>
  <si>
    <t>/archives/59667</t>
  </si>
  <si>
    <t>/archives/74311</t>
  </si>
  <si>
    <t>/archives/88153</t>
  </si>
  <si>
    <t>/archives/tag/ceshow</t>
  </si>
  <si>
    <t>/archives/tag/?쇱씠釉??뚰넻-?댁쫰??1</t>
  </si>
  <si>
    <t>/archives/tag/?붾━?쒗뙆??1</t>
  </si>
  <si>
    <t>/archives/91623</t>
  </si>
  <si>
    <t>/archives/tag/sk?꾩씠?댄뀒?щ?濡쒖?</t>
  </si>
  <si>
    <t>/archives/tag/?ㅽ궎?μ븣諛뷀븯?붾쾿</t>
  </si>
  <si>
    <t>/archives/tag/移쒗솚寃?1</t>
  </si>
  <si>
    <t>/archives/104187/230315_2023_?명꽣諛고꽣由?移대뱶?댁뒪_3_01</t>
  </si>
  <si>
    <t>/archives/11812</t>
  </si>
  <si>
    <t>/archives/20687</t>
  </si>
  <si>
    <t>/archives/31930</t>
  </si>
  <si>
    <t>/archives/60936</t>
  </si>
  <si>
    <t>/archives/88211</t>
  </si>
  <si>
    <t>/archives/tag/she??1</t>
  </si>
  <si>
    <t>/archives/tag/?섎컻??1</t>
  </si>
  <si>
    <t>/?ъ쭊3-移대뱶?댁뒪-?띾낫?먮즺</t>
  </si>
  <si>
    <t>/archives/112715</t>
  </si>
  <si>
    <t>/archives/tag/2李⑥쟾吏</t>
  </si>
  <si>
    <t>/archives/116299</t>
  </si>
  <si>
    <t>/about</t>
  </si>
  <si>
    <t>/archives/106083</t>
  </si>
  <si>
    <t>/archives/13264/異붿꽍?뚯떇-移쇰줈由?v2_02</t>
  </si>
  <si>
    <t>/archives/20058</t>
  </si>
  <si>
    <t>/archives/21035</t>
  </si>
  <si>
    <t>/archives/31914</t>
  </si>
  <si>
    <t>/archives/51543</t>
  </si>
  <si>
    <t>/archives/54580</t>
  </si>
  <si>
    <t>/archives/64469</t>
  </si>
  <si>
    <t>/archives/70363</t>
  </si>
  <si>
    <t>/archives/98013</t>
  </si>
  <si>
    <t>/archives/99261</t>
  </si>
  <si>
    <t>/archives/99638</t>
  </si>
  <si>
    <t>/archives/tag/sks-?대（??1</t>
  </si>
  <si>
    <t>/archives/tag/誘몃꽕???섏씠??1</t>
  </si>
  <si>
    <t>/archives/tag/?ы쉶??媛移?1</t>
  </si>
  <si>
    <t>/archives/tag/?몃룄-?먮쭏??怨듭옣</t>
  </si>
  <si>
    <t>/archives/tag/二쇱쑀???댁궗??1</t>
  </si>
  <si>
    <t>/archives/tag/?덊깂??1</t>
  </si>
  <si>
    <t>/archives/27370</t>
  </si>
  <si>
    <t>/archives/52916</t>
  </si>
  <si>
    <t>/archives/56862</t>
  </si>
  <si>
    <t>/archives/91555</t>
  </si>
  <si>
    <t>/archives/tag/if-?붿옄???댁썙??2021</t>
  </si>
  <si>
    <t>/archives/tag/sk而ㅻ━?댁뒪?섏뼱</t>
  </si>
  <si>
    <t>/archives/tag/而ㅽ뵾吏??1</t>
  </si>
  <si>
    <t>/archives/tag/?釉붾윭</t>
  </si>
  <si>
    <t>/archives/tag/?됰났?쇰씪?댁뼵??1</t>
  </si>
  <si>
    <t>/about-us</t>
  </si>
  <si>
    <t>/archives/100384</t>
  </si>
  <si>
    <t>/archives/101694</t>
  </si>
  <si>
    <t>/archives/101897</t>
  </si>
  <si>
    <t>/archives/102880</t>
  </si>
  <si>
    <t>/archives/31686</t>
  </si>
  <si>
    <t>/archives/31916</t>
  </si>
  <si>
    <t>/archives/38072</t>
  </si>
  <si>
    <t>/archives/60391</t>
  </si>
  <si>
    <t>/archives/6499</t>
  </si>
  <si>
    <t>/archives/7136</t>
  </si>
  <si>
    <t>/archives/91671</t>
  </si>
  <si>
    <t>/archives/92399</t>
  </si>
  <si>
    <t>/archives/98023</t>
  </si>
  <si>
    <t>/contact</t>
  </si>
  <si>
    <t>/archives/tag/?몄쬆???대깽??3</t>
  </si>
  <si>
    <t>/archives/107142/230531_?멸퀎_?섍꼍????移대뱶?댁뒪_04</t>
  </si>
  <si>
    <t>/archives/34021</t>
  </si>
  <si>
    <t>/archives/49979</t>
  </si>
  <si>
    <t>/archives/52007</t>
  </si>
  <si>
    <t>/archives/60829</t>
  </si>
  <si>
    <t>/archives/69904</t>
  </si>
  <si>
    <t>/archives/83619</t>
  </si>
  <si>
    <t>/archives/tag/iscc-plus</t>
  </si>
  <si>
    <t>/archives/2671</t>
  </si>
  <si>
    <t>/archives/4344</t>
  </si>
  <si>
    <t>/archives/8888</t>
  </si>
  <si>
    <t>/archives/tag/?됰났?좉컻?섎젴??1</t>
  </si>
  <si>
    <t>/archives/33708</t>
  </si>
  <si>
    <t>/archives/46732</t>
  </si>
  <si>
    <t>/archives/74727</t>
  </si>
  <si>
    <t>/archives/90050</t>
  </si>
  <si>
    <t>/archives/94419</t>
  </si>
  <si>
    <t>/archives/tag/saf</t>
  </si>
  <si>
    <t>/archives/tag/諛고꽣由??</t>
  </si>
  <si>
    <t>/archives/tag/?ㅽ뵂?섏슦??1</t>
  </si>
  <si>
    <t>/archives/tag/寃쎌쁺?ㅼ쟻</t>
  </si>
  <si>
    <t>/archives/tag/?섍꼍</t>
  </si>
  <si>
    <t>/sitemap_index.xml</t>
  </si>
  <si>
    <t>/archives/25533</t>
  </si>
  <si>
    <t>/archives/97891</t>
  </si>
  <si>
    <t>/archives/110356</t>
  </si>
  <si>
    <t>/archives/date/2012/03</t>
  </si>
  <si>
    <t>/archives/tag/1遺꾩씠?몃쿋?댁뀡</t>
  </si>
  <si>
    <t>/archives/tag/2016??踰꾪궥由ъ뒪??1</t>
  </si>
  <si>
    <t>/archives/tag/蹂듬쭚</t>
  </si>
  <si>
    <t>/archives/tag/?멸퀎-李??녿뒗-??1</t>
  </si>
  <si>
    <t>/archives/tag/?먮룞李?諛고꽣由?1</t>
  </si>
  <si>
    <t>/archives/46771</t>
  </si>
  <si>
    <t>/archives/tag/?쇱긽?띿꽍?좏솕??1</t>
  </si>
  <si>
    <t>/archives/9144</t>
  </si>
  <si>
    <t>/archives/tag/?ㅽ궎?몄＜?덉뼱</t>
  </si>
  <si>
    <t>/archives/tag/?몄쟻?먯썝媛쒕컻-?곗닔湲곌?-?몄쬆</t>
  </si>
  <si>
    <t>/archives/tag/skba</t>
  </si>
  <si>
    <t>/archives/tag/?숉샇??1</t>
  </si>
  <si>
    <t>/archives/55145</t>
  </si>
  <si>
    <t>/archives/12929/?먮꼫吏????媛??v1_01</t>
  </si>
  <si>
    <t>/archieves/115731</t>
  </si>
  <si>
    <t>/archives/103916</t>
  </si>
  <si>
    <t>/archives/104769</t>
  </si>
  <si>
    <t>/archives/21926</t>
  </si>
  <si>
    <t>/archives/33912</t>
  </si>
  <si>
    <t>/archives/35710</t>
  </si>
  <si>
    <t>/archives/35818</t>
  </si>
  <si>
    <t>/archives/87460</t>
  </si>
  <si>
    <t>/archives/tag/skei</t>
  </si>
  <si>
    <t>/archives/tag/援щ낯??1</t>
  </si>
  <si>
    <t>/archives/21233</t>
  </si>
  <si>
    <t>/archives/27277</t>
  </si>
  <si>
    <t>/archives/48898</t>
  </si>
  <si>
    <t>/archives/77904</t>
  </si>
  <si>
    <t>/archives/8718</t>
  </si>
  <si>
    <t>/archives/95850</t>
  </si>
  <si>
    <t>/archives/tag/?⑤씪??援먯쑁-?꾨줈洹몃옩</t>
  </si>
  <si>
    <t>/archives/tag/?꾩??곷같?곕━?쒖젏</t>
  </si>
  <si>
    <t>/??1</t>
  </si>
  <si>
    <t>/archives/53868</t>
  </si>
  <si>
    <t>/archives/55764</t>
  </si>
  <si>
    <t>/archives/116346</t>
  </si>
  <si>
    <t>/archives/110591</t>
  </si>
  <si>
    <t>/archives/110981</t>
  </si>
  <si>
    <t>/archives/27347</t>
  </si>
  <si>
    <t>/archives/34690</t>
  </si>
  <si>
    <t>/archives/37334</t>
  </si>
  <si>
    <t>/archives/70225</t>
  </si>
  <si>
    <t>/archives/79003/201215_?곸떇in_寃⑥슱泥좎묠援щ쪟_移대뱶?댁뒪_08-2</t>
  </si>
  <si>
    <t>/archives/83665</t>
  </si>
  <si>
    <t>/archives/85821</t>
  </si>
  <si>
    <t>/archives/86356</t>
  </si>
  <si>
    <t>/archives/86463</t>
  </si>
  <si>
    <t>/archives/88484</t>
  </si>
  <si>
    <t>/archives/88522</t>
  </si>
  <si>
    <t>/archives/93061</t>
  </si>
  <si>
    <t>/archives/94488/220218_?먮꼫吏_?덊띁?ㅽ뀒?댁뀡_?대?吏_2_1340</t>
  </si>
  <si>
    <t>/archives/97821/220825_????gmf_蹂몄꽑吏꾩텧??뚭컻_移대뱶?댁뒪_06-4</t>
  </si>
  <si>
    <t>/archives/tag/sk-由대젅???뚰삁-罹좏럹??1</t>
  </si>
  <si>
    <t>/archives/tag/嫄닿컯-?듦?</t>
  </si>
  <si>
    <t>/archives/tag/?ъ떆??1</t>
  </si>
  <si>
    <t>/archives/tag/?덊듃濡?1</t>
  </si>
  <si>
    <t>/archives/tag/?ъ쇅?댁궗</t>
  </si>
  <si>
    <t>/archives/tag/由щ쭏</t>
  </si>
  <si>
    <t>/archives/tag/?먯쑀</t>
  </si>
  <si>
    <t>/archives/tag/議곗쭅媛쒗렪</t>
  </si>
  <si>
    <t>/archives/106744</t>
  </si>
  <si>
    <t>/archives/113893</t>
  </si>
  <si>
    <t>/archives/113895</t>
  </si>
  <si>
    <t>/archives/94910</t>
  </si>
  <si>
    <t>/archives/97908</t>
  </si>
  <si>
    <t>/archives/category/field-news/inno-field/she</t>
  </si>
  <si>
    <t>/archives/tag/洹몃┛諛몃윴??030</t>
  </si>
  <si>
    <t>/archives/tag/?덉쟾媛?대뱶</t>
  </si>
  <si>
    <t>/archives/tag/?덊듃由대???붿뿏-怨좊Т</t>
  </si>
  <si>
    <t>/archives/13864</t>
  </si>
  <si>
    <t>/archives/52461</t>
  </si>
  <si>
    <t>/archives/116346&amp;ct=ga&amp;cd=CAEYCSoUMTQ5ODc5MTQ5Mjk1Njk3MjQyMjQyHDdmOGM0MzM2ZWJkMTM0ZmE6Y28ua3I6a286S1I&amp;usg=AOvVaw30hbZETC3Luv0Hvq0PRtNw</t>
  </si>
  <si>
    <t>/archives/116346&amp;source=alertsmail&amp;hl=ko&amp;gl=KR&amp;msgid=MTQ5ODc5MTQ5Mjk1Njk3MjQyMjQ&amp;s=AB2Xq4i2-zh5lkZgF6bo7q5y_GGXna5102vrq3w</t>
  </si>
  <si>
    <t>/archives/116346&amp;ss=tw&amp;rt=SK?대끂踰좎씠??SK+E&amp;S+?⑸퀝???뺣룄??李ъ꽦?쇰줈+?듦낵...+?앹옄??100議곗썝+洹쒕え+?꾪깭+理쒕?+誘쇨컙+...&amp;cd=KhQxNDk4NzkxNDkyOTU2OTcyNDIyNDIcN2Y4YzQzMzZlYmQxMzRmYTpjby5rcjprbzpLUg&amp;ssp=AMJHsmVgKyxPe1ei4toZ4X4UHi0O8foqHw</t>
  </si>
  <si>
    <t>/archives/13312</t>
  </si>
  <si>
    <t>/archives/17560</t>
  </si>
  <si>
    <t>/archives/46487</t>
  </si>
  <si>
    <t>/archives/64098</t>
  </si>
  <si>
    <t>/archives/64173</t>
  </si>
  <si>
    <t>/archives/77980</t>
  </si>
  <si>
    <t>/archives/81559</t>
  </si>
  <si>
    <t>/archives/tag/sk-high-tech-materials-poland</t>
  </si>
  <si>
    <t>/archives/tag/諛붿씠?ㅼ뿉?꾩삱</t>
  </si>
  <si>
    <t>/archives/116364</t>
  </si>
  <si>
    <t>/archives/23515</t>
  </si>
  <si>
    <t>/archives/31555</t>
  </si>
  <si>
    <t>/archives/65137</t>
  </si>
  <si>
    <t>/archives/70498</t>
  </si>
  <si>
    <t>/archives/81326</t>
  </si>
  <si>
    <t>/archives/tag/sk?쒕┛鍮뚮뵫</t>
  </si>
  <si>
    <t>/archives/tag/湲곗닠吏?援먯쑁?덈젴</t>
  </si>
  <si>
    <t>/archives/tag/?ъ쑀-?덉랬??1</t>
  </si>
  <si>
    <t>/archives/106060</t>
  </si>
  <si>
    <t>/archives/110635</t>
  </si>
  <si>
    <t>/archives/28927</t>
  </si>
  <si>
    <t>/archives/28937</t>
  </si>
  <si>
    <t>/archives/53684</t>
  </si>
  <si>
    <t>/archives/60135</t>
  </si>
  <si>
    <t>/archives/70427</t>
  </si>
  <si>
    <t>/archives/88559</t>
  </si>
  <si>
    <t>/archives/89934</t>
  </si>
  <si>
    <t>/archives/92989</t>
  </si>
  <si>
    <t>/archives/tag/sk?대끂踰좎씠??釉붾줈洹?由щ돱??1</t>
  </si>
  <si>
    <t>/archives/tag/寃ъ슦?吏곷?</t>
  </si>
  <si>
    <t>/archives/tag/?곗씪由ъ듉??1</t>
  </si>
  <si>
    <t>/archives/tag/留앹썝寃?1</t>
  </si>
  <si>
    <t>/archives/tag/?앺깂</t>
  </si>
  <si>
    <t>/archives/tag/?щ쫫泥??λ쭏</t>
  </si>
  <si>
    <t>/archives/tag/?ы뻾??罹먮━??1</t>
  </si>
  <si>
    <t>/archives/tag/?곗궛</t>
  </si>
  <si>
    <t>/archives/tag/?λ쭏</t>
  </si>
  <si>
    <t>/archives/tag/移좎꽍</t>
  </si>
  <si>
    <t>/archives/15814</t>
  </si>
  <si>
    <t>/archives/22919</t>
  </si>
  <si>
    <t>/archives/tag/?μ븷???섏닔議?吏?먯궗??1</t>
  </si>
  <si>
    <t>/archives/116323</t>
  </si>
  <si>
    <t>/archives/107180</t>
  </si>
  <si>
    <t>/archives/14600</t>
  </si>
  <si>
    <t>/archives/3459</t>
  </si>
  <si>
    <t>/archives/58358</t>
  </si>
  <si>
    <t>/archives/66432</t>
  </si>
  <si>
    <t>/archives/69990</t>
  </si>
  <si>
    <t>/archives/80064</t>
  </si>
  <si>
    <t>/archives/83986</t>
  </si>
  <si>
    <t>/archives/88387</t>
  </si>
  <si>
    <t>/archives/tag/源吏??1</t>
  </si>
  <si>
    <t>/archives/tag/?ы쉶??湲곗뾽</t>
  </si>
  <si>
    <t>/archives/tag/?꾩옄?덉씤吏?쇨퀎二?1</t>
  </si>
  <si>
    <t>/archives/tag/利먭굅???뷀븰?몄긽</t>
  </si>
  <si>
    <t>/archives/tag/吏곸옣???꾩묠?앹궗</t>
  </si>
  <si>
    <t>/archives/31598</t>
  </si>
  <si>
    <t>/archives/tag/sk-?됰났?꾩떆??1</t>
  </si>
  <si>
    <t>/archives/tag/怨좎냼??1</t>
  </si>
  <si>
    <t>/archives/104629</t>
  </si>
  <si>
    <t>/archives/77341</t>
  </si>
  <si>
    <t>/archives/82795</t>
  </si>
  <si>
    <t>/archives/89688</t>
  </si>
  <si>
    <t>/singin</t>
  </si>
  <si>
    <t>/archives/116404</t>
  </si>
  <si>
    <t>/archives/87803</t>
  </si>
  <si>
    <t>/archives/56537</t>
  </si>
  <si>
    <t>/archives/113475/5-sk?대끂踰좎씠??ces2024_sk?먮뜑?쒕뱶_sk-wonderland_?꾩떛移?留ㅼ쭅移댄럹??2</t>
  </si>
  <si>
    <t>/archives/12786</t>
  </si>
  <si>
    <t>/archives/21136</t>
  </si>
  <si>
    <t>/archives/32087</t>
  </si>
  <si>
    <t>/archives/32710</t>
  </si>
  <si>
    <t>/archives/49916</t>
  </si>
  <si>
    <t>/archives/53856</t>
  </si>
  <si>
    <t>/archives/63504</t>
  </si>
  <si>
    <t>/archives/84653</t>
  </si>
  <si>
    <t>/archives/99636</t>
  </si>
  <si>
    <t>/archives/tag/?곕찓?대뱶</t>
  </si>
  <si>
    <t>/archives/tag/李쎈┰-60二쇰뀈</t>
  </si>
  <si>
    <t>/archives/tag/?댁긽-釉붾젋???ъ뾽</t>
  </si>
  <si>
    <t>/news/detail/ARC_groundbreaking</t>
  </si>
  <si>
    <t>/archives/31528</t>
  </si>
  <si>
    <t>/archives/59945</t>
  </si>
  <si>
    <t>/archives/82853</t>
  </si>
  <si>
    <t>/archives/86230</t>
  </si>
  <si>
    <t>/archives/tag/2019??以묐벑怨쇳븰誘몄뀡罹좏봽</t>
  </si>
  <si>
    <t>/archives/tag/?≪쿋???몄궛愿묒뿭?쒖옣</t>
  </si>
  <si>
    <t>/archives/113049</t>
  </si>
  <si>
    <t>/archives/116435</t>
  </si>
  <si>
    <t>/archives/47076</t>
  </si>
  <si>
    <t>/archives/47645</t>
  </si>
  <si>
    <t>/archives/61814</t>
  </si>
  <si>
    <t>/archives/76671</t>
  </si>
  <si>
    <t>/archives/86698</t>
  </si>
  <si>
    <t>/archives/99720</t>
  </si>
  <si>
    <t>/archives/32110</t>
  </si>
  <si>
    <t>/archives/tag/諛붿꽭由??쒖슜踰?1</t>
  </si>
  <si>
    <t>/archives/tag/遺볤린</t>
  </si>
  <si>
    <t>/archives/tag/?먮꼫吏-留덈쾿?숆탳</t>
  </si>
  <si>
    <t>/archives/52284</t>
  </si>
  <si>
    <t>/archives/69790</t>
  </si>
  <si>
    <t>/archives/94154</t>
  </si>
  <si>
    <t>/archives/category/today/oil-price</t>
  </si>
  <si>
    <t>/battery-components</t>
  </si>
  <si>
    <t>/archives/tag/?곗씪?ㅼ씪</t>
  </si>
  <si>
    <t>/archives/tag/f-150-?쇱씠?몃떇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</si>
</sst>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&quot;/&quot;d;@"/>
    <numFmt numFmtId="177" formatCode="m&quot;월&quot;\ d&quot;일&quot;;@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name val="맑은 고딕"/>
      <family val="1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6"/>
      <color theme="0"/>
      <name val="맑은 고딕"/>
      <family val="2"/>
      <charset val="129"/>
      <scheme val="minor"/>
    </font>
    <font>
      <b/>
      <sz val="16"/>
      <color theme="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4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4" fillId="0" borderId="0" xfId="3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9" fontId="0" fillId="2" borderId="1" xfId="5" applyFont="1" applyFill="1" applyBorder="1">
      <alignment vertical="center"/>
    </xf>
    <xf numFmtId="0" fontId="6" fillId="6" borderId="1" xfId="0" applyFont="1" applyFill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9" fontId="0" fillId="4" borderId="1" xfId="5" applyFont="1" applyFill="1" applyBorder="1">
      <alignment vertical="center"/>
    </xf>
    <xf numFmtId="41" fontId="9" fillId="5" borderId="1" xfId="0" applyNumberFormat="1" applyFont="1" applyFill="1" applyBorder="1">
      <alignment vertical="center"/>
    </xf>
    <xf numFmtId="9" fontId="9" fillId="5" borderId="1" xfId="5" applyFont="1" applyFill="1" applyBorder="1">
      <alignment vertical="center"/>
    </xf>
    <xf numFmtId="9" fontId="9" fillId="5" borderId="1" xfId="0" applyNumberFormat="1" applyFont="1" applyFill="1" applyBorder="1">
      <alignment vertical="center"/>
    </xf>
    <xf numFmtId="41" fontId="10" fillId="5" borderId="1" xfId="0" applyNumberFormat="1" applyFont="1" applyFill="1" applyBorder="1">
      <alignment vertical="center"/>
    </xf>
    <xf numFmtId="0" fontId="5" fillId="3" borderId="0" xfId="0" applyFont="1" applyFill="1">
      <alignment vertical="center"/>
    </xf>
    <xf numFmtId="0" fontId="0" fillId="3" borderId="0" xfId="0" applyFill="1">
      <alignment vertical="center"/>
    </xf>
    <xf numFmtId="0" fontId="4" fillId="3" borderId="0" xfId="3" applyFill="1">
      <alignment vertical="center"/>
    </xf>
    <xf numFmtId="41" fontId="0" fillId="7" borderId="1" xfId="0" applyNumberFormat="1" applyFill="1" applyBorder="1">
      <alignment vertical="center"/>
    </xf>
    <xf numFmtId="9" fontId="0" fillId="7" borderId="1" xfId="5" applyFont="1" applyFill="1" applyBorder="1">
      <alignment vertical="center"/>
    </xf>
    <xf numFmtId="41" fontId="5" fillId="7" borderId="1" xfId="0" applyNumberFormat="1" applyFont="1" applyFill="1" applyBorder="1">
      <alignment vertical="center"/>
    </xf>
    <xf numFmtId="41" fontId="0" fillId="7" borderId="1" xfId="4" applyFont="1" applyFill="1" applyBorder="1">
      <alignment vertical="center"/>
    </xf>
    <xf numFmtId="0" fontId="0" fillId="7" borderId="6" xfId="0" applyFill="1" applyBorder="1">
      <alignment vertical="center"/>
    </xf>
    <xf numFmtId="41" fontId="5" fillId="7" borderId="7" xfId="0" applyNumberFormat="1" applyFont="1" applyFill="1" applyBorder="1">
      <alignment vertical="center"/>
    </xf>
    <xf numFmtId="41" fontId="0" fillId="7" borderId="7" xfId="4" applyFont="1" applyFill="1" applyBorder="1">
      <alignment vertical="center"/>
    </xf>
    <xf numFmtId="0" fontId="0" fillId="7" borderId="8" xfId="0" applyFill="1" applyBorder="1">
      <alignment vertical="center"/>
    </xf>
    <xf numFmtId="41" fontId="0" fillId="7" borderId="9" xfId="4" applyFont="1" applyFill="1" applyBorder="1">
      <alignment vertical="center"/>
    </xf>
    <xf numFmtId="41" fontId="0" fillId="7" borderId="10" xfId="4" applyFont="1" applyFill="1" applyBorder="1">
      <alignment vertical="center"/>
    </xf>
    <xf numFmtId="9" fontId="0" fillId="7" borderId="7" xfId="5" applyFont="1" applyFill="1" applyBorder="1">
      <alignment vertical="center"/>
    </xf>
    <xf numFmtId="41" fontId="5" fillId="7" borderId="9" xfId="0" applyNumberFormat="1" applyFont="1" applyFill="1" applyBorder="1">
      <alignment vertical="center"/>
    </xf>
    <xf numFmtId="9" fontId="5" fillId="7" borderId="9" xfId="0" applyNumberFormat="1" applyFont="1" applyFill="1" applyBorder="1">
      <alignment vertical="center"/>
    </xf>
    <xf numFmtId="9" fontId="5" fillId="7" borderId="10" xfId="0" applyNumberFormat="1" applyFont="1" applyFill="1" applyBorder="1">
      <alignment vertical="center"/>
    </xf>
    <xf numFmtId="0" fontId="0" fillId="4" borderId="3" xfId="0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2" xfId="0" applyFont="1" applyFill="1" applyBorder="1">
      <alignment vertical="center"/>
    </xf>
    <xf numFmtId="177" fontId="5" fillId="0" borderId="1" xfId="0" applyNumberFormat="1" applyFont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176" fontId="5" fillId="0" borderId="2" xfId="0" applyNumberFormat="1" applyFont="1" applyBorder="1" applyAlignment="1">
      <alignment horizontal="center" vertical="center"/>
    </xf>
    <xf numFmtId="0" fontId="5" fillId="0" borderId="2" xfId="4" applyNumberFormat="1" applyFont="1" applyBorder="1" applyAlignment="1">
      <alignment horizontal="center" vertical="center"/>
    </xf>
    <xf numFmtId="0" fontId="5" fillId="4" borderId="11" xfId="0" applyFont="1" applyFill="1" applyBorder="1">
      <alignment vertical="center"/>
    </xf>
    <xf numFmtId="9" fontId="0" fillId="4" borderId="11" xfId="5" applyFont="1" applyFill="1" applyBorder="1">
      <alignment vertical="center"/>
    </xf>
    <xf numFmtId="0" fontId="7" fillId="6" borderId="12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41" fontId="9" fillId="5" borderId="13" xfId="0" applyNumberFormat="1" applyFont="1" applyFill="1" applyBorder="1">
      <alignment vertical="center"/>
    </xf>
    <xf numFmtId="41" fontId="10" fillId="5" borderId="13" xfId="0" applyNumberFormat="1" applyFont="1" applyFill="1" applyBorder="1">
      <alignment vertical="center"/>
    </xf>
    <xf numFmtId="9" fontId="9" fillId="5" borderId="13" xfId="5" applyFont="1" applyFill="1" applyBorder="1">
      <alignment vertical="center"/>
    </xf>
    <xf numFmtId="0" fontId="5" fillId="7" borderId="3" xfId="0" applyFont="1" applyFill="1" applyBorder="1">
      <alignment vertical="center"/>
    </xf>
    <xf numFmtId="0" fontId="5" fillId="7" borderId="4" xfId="0" applyFont="1" applyFill="1" applyBorder="1">
      <alignment vertical="center"/>
    </xf>
    <xf numFmtId="0" fontId="5" fillId="7" borderId="5" xfId="0" applyFont="1" applyFill="1" applyBorder="1">
      <alignment vertical="center"/>
    </xf>
    <xf numFmtId="41" fontId="0" fillId="7" borderId="6" xfId="4" applyFont="1" applyFill="1" applyBorder="1">
      <alignment vertical="center"/>
    </xf>
    <xf numFmtId="41" fontId="0" fillId="7" borderId="8" xfId="4" applyFont="1" applyFill="1" applyBorder="1">
      <alignment vertical="center"/>
    </xf>
    <xf numFmtId="9" fontId="0" fillId="7" borderId="9" xfId="5" applyFont="1" applyFill="1" applyBorder="1">
      <alignment vertical="center"/>
    </xf>
  </cellXfs>
  <cellStyles count="6">
    <cellStyle name="백분율" xfId="5" builtinId="5"/>
    <cellStyle name="쉼표 [0]" xfId="4" builtinId="6"/>
    <cellStyle name="쉼표 [0] 2" xfId="1" xr:uid="{00000000-0005-0000-0000-000002000000}"/>
    <cellStyle name="표준" xfId="0" builtinId="0"/>
    <cellStyle name="표준 2" xfId="2" xr:uid="{00000000-0005-0000-0000-000004000000}"/>
    <cellStyle name="표준 3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134471</xdr:colOff>
      <xdr:row>1</xdr:row>
      <xdr:rowOff>22412</xdr:rowOff>
    </xdr:from>
    <xdr:to>
      <xdr:col>18</xdr:col>
      <xdr:colOff>515471</xdr:colOff>
      <xdr:row>4</xdr:row>
      <xdr:rowOff>56030</xdr:rowOff>
    </xdr:to>
    <xdr:sp macro="[0]!현재_통합_문서.UpdateDailyReport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CF056430-05EF-A1AD-AAD0-75C8C479758B}"/>
            </a:ext>
          </a:extLst>
        </xdr:cNvPr>
        <xdr:cNvSpPr/>
      </xdr:nvSpPr>
      <xdr:spPr>
        <a:xfrm>
          <a:off x="11329147" y="235324"/>
          <a:ext cx="1748118" cy="79561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생성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36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Z10" sqref="Z10"/>
    </sheetView>
  </sheetViews>
  <sheetFormatPr defaultRowHeight="16.5" x14ac:dyDescent="0.3"/>
  <cols>
    <col min="2" max="2" width="9.5" bestFit="1" customWidth="1"/>
    <col min="3" max="3" width="9.125" customWidth="1"/>
    <col min="4" max="6" width="9.875" customWidth="1"/>
    <col min="12" max="12" width="9.375" bestFit="1" customWidth="1"/>
  </cols>
  <sheetData>
    <row r="1" spans="2:15" x14ac:dyDescent="0.3">
      <c r="B1" t="s">
        <v>26</v>
      </c>
      <c r="C1" t="s">
        <v>27</v>
      </c>
    </row>
    <row r="2" spans="2:15" ht="27" thickBot="1" x14ac:dyDescent="0.35">
      <c r="B2" s="5">
        <v>2024</v>
      </c>
      <c r="C2" s="5">
        <v>8</v>
      </c>
      <c r="D2" s="42" t="s">
        <v>15</v>
      </c>
      <c r="E2" s="43"/>
      <c r="F2" s="43"/>
      <c r="G2" s="43"/>
      <c r="H2" s="43"/>
      <c r="I2" s="43"/>
      <c r="J2" s="43" t="s">
        <v>16</v>
      </c>
      <c r="K2" s="43"/>
      <c r="L2" s="43"/>
      <c r="M2" s="37"/>
      <c r="N2" s="37"/>
      <c r="O2" s="37"/>
    </row>
    <row r="3" spans="2:15" x14ac:dyDescent="0.3">
      <c r="B3" s="6" t="s">
        <v>18</v>
      </c>
      <c r="C3" s="38" t="s">
        <v>25</v>
      </c>
      <c r="D3" s="47" t="s">
        <v>19</v>
      </c>
      <c r="E3" s="48" t="s">
        <v>22</v>
      </c>
      <c r="F3" s="48" t="s">
        <v>23</v>
      </c>
      <c r="G3" s="48" t="s">
        <v>20</v>
      </c>
      <c r="H3" s="48" t="s">
        <v>21</v>
      </c>
      <c r="I3" s="48" t="s">
        <v>17</v>
      </c>
      <c r="J3" s="48" t="s">
        <v>19</v>
      </c>
      <c r="K3" s="48" t="s">
        <v>22</v>
      </c>
      <c r="L3" s="49" t="s">
        <v>23</v>
      </c>
      <c r="M3" s="40" t="s">
        <v>20</v>
      </c>
      <c r="N3" s="2" t="s">
        <v>21</v>
      </c>
      <c r="O3" s="3" t="s">
        <v>17</v>
      </c>
    </row>
    <row r="4" spans="2:15" x14ac:dyDescent="0.3">
      <c r="B4" s="36">
        <f>DATE(B2,C2,1)</f>
        <v>45505</v>
      </c>
      <c r="C4" s="39" t="str">
        <f>TEXT(B4,"M.D")</f>
        <v>8.1</v>
      </c>
      <c r="D4" s="50">
        <f t="shared" ref="D4:D31" ca="1" si="0">INDIRECT($C4&amp;"!H4")</f>
        <v>1090</v>
      </c>
      <c r="E4" s="18">
        <f t="shared" ref="E4:E31" ca="1" si="1">INDIRECT($C4&amp;"!H5")</f>
        <v>362</v>
      </c>
      <c r="F4" s="18">
        <f ca="1">SUM(D4:E4)</f>
        <v>1452</v>
      </c>
      <c r="G4" s="16">
        <f t="shared" ref="G4:G31" ca="1" si="2">INDIRECT($C4&amp;"!I4")</f>
        <v>0.75068870523415976</v>
      </c>
      <c r="H4" s="16">
        <f t="shared" ref="H4:H31" ca="1" si="3">INDIRECT($C4&amp;"!I5")</f>
        <v>0.24931129476584021</v>
      </c>
      <c r="I4" s="16">
        <f ca="1">SUM(G4:H4)</f>
        <v>1</v>
      </c>
      <c r="J4" s="18">
        <f t="shared" ref="J4:J31" ca="1" si="4">INDIRECT($C4&amp;"!L4")</f>
        <v>1294</v>
      </c>
      <c r="K4" s="18">
        <f t="shared" ref="K4:K31" ca="1" si="5">INDIRECT($C4&amp;"!L5")</f>
        <v>408</v>
      </c>
      <c r="L4" s="21">
        <f ca="1">SUM(J4:K4)</f>
        <v>1702</v>
      </c>
      <c r="M4" s="41">
        <f t="shared" ref="M4:M31" ca="1" si="6">INDIRECT($C4&amp;"!M4")</f>
        <v>0.76028202115158638</v>
      </c>
      <c r="N4" s="7">
        <f t="shared" ref="N4:N31" ca="1" si="7">INDIRECT($C4&amp;"!M5")</f>
        <v>0.23971797884841364</v>
      </c>
      <c r="O4" s="4">
        <f ca="1">SUM(M4:N4)</f>
        <v>1</v>
      </c>
    </row>
    <row r="5" spans="2:15" x14ac:dyDescent="0.3">
      <c r="B5" s="36">
        <f>B4+1</f>
        <v>45506</v>
      </c>
      <c r="C5" s="39" t="str">
        <f>TEXT(B5,"M.D")</f>
        <v>8.2</v>
      </c>
      <c r="D5" s="50">
        <f t="shared" ca="1" si="0"/>
        <v>852</v>
      </c>
      <c r="E5" s="18">
        <f t="shared" ca="1" si="1"/>
        <v>345</v>
      </c>
      <c r="F5" s="18">
        <f t="shared" ref="F5:F34" ca="1" si="8">SUM(D5:E5)</f>
        <v>1197</v>
      </c>
      <c r="G5" s="16">
        <f t="shared" ca="1" si="2"/>
        <v>0.71177944862155385</v>
      </c>
      <c r="H5" s="16">
        <f t="shared" ca="1" si="3"/>
        <v>0.2882205513784461</v>
      </c>
      <c r="I5" s="16">
        <f t="shared" ref="I5:I34" ca="1" si="9">SUM(G5:H5)</f>
        <v>1</v>
      </c>
      <c r="J5" s="18">
        <f t="shared" ca="1" si="4"/>
        <v>1014</v>
      </c>
      <c r="K5" s="18">
        <f t="shared" ca="1" si="5"/>
        <v>391</v>
      </c>
      <c r="L5" s="21">
        <f t="shared" ref="L5:L34" ca="1" si="10">SUM(J5:K5)</f>
        <v>1405</v>
      </c>
      <c r="M5" s="41">
        <f t="shared" ca="1" si="6"/>
        <v>0.72170818505338075</v>
      </c>
      <c r="N5" s="7">
        <f t="shared" ca="1" si="7"/>
        <v>0.2782918149466192</v>
      </c>
      <c r="O5" s="4">
        <f t="shared" ref="O5:O34" ca="1" si="11">SUM(M5:N5)</f>
        <v>1</v>
      </c>
    </row>
    <row r="6" spans="2:15" x14ac:dyDescent="0.3">
      <c r="B6" s="36">
        <f t="shared" ref="B6:B31" si="12">B5+1</f>
        <v>45507</v>
      </c>
      <c r="C6" s="39" t="str">
        <f t="shared" ref="C6:C31" si="13">TEXT(B6,"M.D")</f>
        <v>8.3</v>
      </c>
      <c r="D6" s="50">
        <f t="shared" ca="1" si="0"/>
        <v>276</v>
      </c>
      <c r="E6" s="18">
        <f t="shared" ca="1" si="1"/>
        <v>278</v>
      </c>
      <c r="F6" s="18">
        <f t="shared" ca="1" si="8"/>
        <v>554</v>
      </c>
      <c r="G6" s="16">
        <f t="shared" ca="1" si="2"/>
        <v>0.49819494584837543</v>
      </c>
      <c r="H6" s="16">
        <f t="shared" ca="1" si="3"/>
        <v>0.50180505415162457</v>
      </c>
      <c r="I6" s="16">
        <f t="shared" ca="1" si="9"/>
        <v>1</v>
      </c>
      <c r="J6" s="18">
        <f t="shared" ca="1" si="4"/>
        <v>298</v>
      </c>
      <c r="K6" s="18">
        <f t="shared" ca="1" si="5"/>
        <v>302</v>
      </c>
      <c r="L6" s="21">
        <f t="shared" ca="1" si="10"/>
        <v>600</v>
      </c>
      <c r="M6" s="41">
        <f t="shared" ca="1" si="6"/>
        <v>0.49666666666666665</v>
      </c>
      <c r="N6" s="7">
        <f t="shared" ca="1" si="7"/>
        <v>0.5033333333333333</v>
      </c>
      <c r="O6" s="4">
        <f t="shared" ca="1" si="11"/>
        <v>1</v>
      </c>
    </row>
    <row r="7" spans="2:15" x14ac:dyDescent="0.3">
      <c r="B7" s="36">
        <f t="shared" si="12"/>
        <v>45508</v>
      </c>
      <c r="C7" s="39" t="str">
        <f t="shared" si="13"/>
        <v>8.4</v>
      </c>
      <c r="D7" s="50">
        <f t="shared" ca="1" si="0"/>
        <v>366</v>
      </c>
      <c r="E7" s="18">
        <f t="shared" ca="1" si="1"/>
        <v>361</v>
      </c>
      <c r="F7" s="18">
        <f t="shared" ca="1" si="8"/>
        <v>727</v>
      </c>
      <c r="G7" s="16">
        <f t="shared" ca="1" si="2"/>
        <v>0.50343878954607979</v>
      </c>
      <c r="H7" s="16">
        <f t="shared" ca="1" si="3"/>
        <v>0.49656121045392021</v>
      </c>
      <c r="I7" s="16">
        <f t="shared" ca="1" si="9"/>
        <v>1</v>
      </c>
      <c r="J7" s="18">
        <f t="shared" ca="1" si="4"/>
        <v>400</v>
      </c>
      <c r="K7" s="18">
        <f t="shared" ca="1" si="5"/>
        <v>382</v>
      </c>
      <c r="L7" s="21">
        <f t="shared" ca="1" si="10"/>
        <v>782</v>
      </c>
      <c r="M7" s="41">
        <f t="shared" ca="1" si="6"/>
        <v>0.51150895140664965</v>
      </c>
      <c r="N7" s="7">
        <f t="shared" ca="1" si="7"/>
        <v>0.48849104859335041</v>
      </c>
      <c r="O7" s="4">
        <f t="shared" ca="1" si="11"/>
        <v>1</v>
      </c>
    </row>
    <row r="8" spans="2:15" x14ac:dyDescent="0.3">
      <c r="B8" s="36">
        <f t="shared" si="12"/>
        <v>45509</v>
      </c>
      <c r="C8" s="39" t="str">
        <f t="shared" si="13"/>
        <v>8.5</v>
      </c>
      <c r="D8" s="50">
        <f t="shared" ca="1" si="0"/>
        <v>1023</v>
      </c>
      <c r="E8" s="18">
        <f t="shared" ca="1" si="1"/>
        <v>381</v>
      </c>
      <c r="F8" s="18">
        <f t="shared" ca="1" si="8"/>
        <v>1404</v>
      </c>
      <c r="G8" s="16">
        <f t="shared" ca="1" si="2"/>
        <v>0.7286324786324786</v>
      </c>
      <c r="H8" s="16">
        <f t="shared" ca="1" si="3"/>
        <v>0.27136752136752135</v>
      </c>
      <c r="I8" s="16">
        <f t="shared" ca="1" si="9"/>
        <v>1</v>
      </c>
      <c r="J8" s="18">
        <f t="shared" ca="1" si="4"/>
        <v>1237</v>
      </c>
      <c r="K8" s="18">
        <f t="shared" ca="1" si="5"/>
        <v>421</v>
      </c>
      <c r="L8" s="21">
        <f t="shared" ca="1" si="10"/>
        <v>1658</v>
      </c>
      <c r="M8" s="41">
        <f t="shared" ca="1" si="6"/>
        <v>0.74607961399276235</v>
      </c>
      <c r="N8" s="7">
        <f t="shared" ca="1" si="7"/>
        <v>0.25392038600723765</v>
      </c>
      <c r="O8" s="4">
        <f t="shared" ca="1" si="11"/>
        <v>1</v>
      </c>
    </row>
    <row r="9" spans="2:15" x14ac:dyDescent="0.3">
      <c r="B9" s="36">
        <f t="shared" si="12"/>
        <v>45510</v>
      </c>
      <c r="C9" s="39" t="str">
        <f t="shared" si="13"/>
        <v>8.6</v>
      </c>
      <c r="D9" s="50">
        <f t="shared" ca="1" si="0"/>
        <v>1185</v>
      </c>
      <c r="E9" s="18">
        <f t="shared" ca="1" si="1"/>
        <v>441</v>
      </c>
      <c r="F9" s="18">
        <f t="shared" ca="1" si="8"/>
        <v>1626</v>
      </c>
      <c r="G9" s="16">
        <f t="shared" ca="1" si="2"/>
        <v>0.72878228782287824</v>
      </c>
      <c r="H9" s="16">
        <f t="shared" ca="1" si="3"/>
        <v>0.27121771217712176</v>
      </c>
      <c r="I9" s="16">
        <f t="shared" ca="1" si="9"/>
        <v>1</v>
      </c>
      <c r="J9" s="18">
        <f t="shared" ca="1" si="4"/>
        <v>1483</v>
      </c>
      <c r="K9" s="18">
        <f t="shared" ca="1" si="5"/>
        <v>534</v>
      </c>
      <c r="L9" s="21">
        <f t="shared" ca="1" si="10"/>
        <v>2017</v>
      </c>
      <c r="M9" s="41">
        <f t="shared" ca="1" si="6"/>
        <v>0.73525037183936537</v>
      </c>
      <c r="N9" s="7">
        <f t="shared" ca="1" si="7"/>
        <v>0.26474962816063463</v>
      </c>
      <c r="O9" s="4">
        <f t="shared" ca="1" si="11"/>
        <v>1</v>
      </c>
    </row>
    <row r="10" spans="2:15" x14ac:dyDescent="0.3">
      <c r="B10" s="36">
        <f t="shared" si="12"/>
        <v>45511</v>
      </c>
      <c r="C10" s="39" t="str">
        <f t="shared" si="13"/>
        <v>8.7</v>
      </c>
      <c r="D10" s="50">
        <f t="shared" ca="1" si="0"/>
        <v>1213</v>
      </c>
      <c r="E10" s="18">
        <f t="shared" ca="1" si="1"/>
        <v>406</v>
      </c>
      <c r="F10" s="18">
        <f t="shared" ca="1" si="8"/>
        <v>1619</v>
      </c>
      <c r="G10" s="16">
        <f t="shared" ca="1" si="2"/>
        <v>0.74922791846819026</v>
      </c>
      <c r="H10" s="16">
        <f t="shared" ca="1" si="3"/>
        <v>0.25077208153180974</v>
      </c>
      <c r="I10" s="16">
        <f t="shared" ca="1" si="9"/>
        <v>1</v>
      </c>
      <c r="J10" s="18">
        <f t="shared" ca="1" si="4"/>
        <v>1416</v>
      </c>
      <c r="K10" s="18">
        <f t="shared" ca="1" si="5"/>
        <v>474</v>
      </c>
      <c r="L10" s="21">
        <f t="shared" ca="1" si="10"/>
        <v>1890</v>
      </c>
      <c r="M10" s="41">
        <f t="shared" ca="1" si="6"/>
        <v>0.74920634920634921</v>
      </c>
      <c r="N10" s="7">
        <f t="shared" ca="1" si="7"/>
        <v>0.25079365079365079</v>
      </c>
      <c r="O10" s="4">
        <f t="shared" ca="1" si="11"/>
        <v>1</v>
      </c>
    </row>
    <row r="11" spans="2:15" x14ac:dyDescent="0.3">
      <c r="B11" s="36">
        <f t="shared" si="12"/>
        <v>45512</v>
      </c>
      <c r="C11" s="39" t="str">
        <f t="shared" si="13"/>
        <v>8.8</v>
      </c>
      <c r="D11" s="50">
        <f t="shared" ca="1" si="0"/>
        <v>1079</v>
      </c>
      <c r="E11" s="18">
        <f t="shared" ca="1" si="1"/>
        <v>375</v>
      </c>
      <c r="F11" s="18">
        <f t="shared" ca="1" si="8"/>
        <v>1454</v>
      </c>
      <c r="G11" s="16">
        <f t="shared" ca="1" si="2"/>
        <v>0.74209078404401652</v>
      </c>
      <c r="H11" s="16">
        <f t="shared" ca="1" si="3"/>
        <v>0.25790921595598348</v>
      </c>
      <c r="I11" s="16">
        <f t="shared" ca="1" si="9"/>
        <v>1</v>
      </c>
      <c r="J11" s="18">
        <f t="shared" ca="1" si="4"/>
        <v>1293</v>
      </c>
      <c r="K11" s="18">
        <f t="shared" ca="1" si="5"/>
        <v>429</v>
      </c>
      <c r="L11" s="21">
        <f t="shared" ca="1" si="10"/>
        <v>1722</v>
      </c>
      <c r="M11" s="41">
        <f t="shared" ca="1" si="6"/>
        <v>0.75087108013937287</v>
      </c>
      <c r="N11" s="7">
        <f t="shared" ca="1" si="7"/>
        <v>0.24912891986062718</v>
      </c>
      <c r="O11" s="4">
        <f t="shared" ca="1" si="11"/>
        <v>1</v>
      </c>
    </row>
    <row r="12" spans="2:15" x14ac:dyDescent="0.3">
      <c r="B12" s="36">
        <f t="shared" si="12"/>
        <v>45513</v>
      </c>
      <c r="C12" s="39" t="str">
        <f t="shared" si="13"/>
        <v>8.9</v>
      </c>
      <c r="D12" s="50">
        <f t="shared" ca="1" si="0"/>
        <v>924</v>
      </c>
      <c r="E12" s="18">
        <f t="shared" ca="1" si="1"/>
        <v>410</v>
      </c>
      <c r="F12" s="18">
        <f t="shared" ca="1" si="8"/>
        <v>1334</v>
      </c>
      <c r="G12" s="16">
        <f t="shared" ca="1" si="2"/>
        <v>0.6926536731634183</v>
      </c>
      <c r="H12" s="16">
        <f t="shared" ca="1" si="3"/>
        <v>0.3073463268365817</v>
      </c>
      <c r="I12" s="16">
        <f t="shared" ca="1" si="9"/>
        <v>1</v>
      </c>
      <c r="J12" s="18">
        <f t="shared" ca="1" si="4"/>
        <v>1045</v>
      </c>
      <c r="K12" s="18">
        <f t="shared" ca="1" si="5"/>
        <v>482</v>
      </c>
      <c r="L12" s="21">
        <f t="shared" ca="1" si="10"/>
        <v>1527</v>
      </c>
      <c r="M12" s="41">
        <f t="shared" ca="1" si="6"/>
        <v>0.68434839554682381</v>
      </c>
      <c r="N12" s="7">
        <f t="shared" ca="1" si="7"/>
        <v>0.31565160445317614</v>
      </c>
      <c r="O12" s="4">
        <f t="shared" ca="1" si="11"/>
        <v>1</v>
      </c>
    </row>
    <row r="13" spans="2:15" x14ac:dyDescent="0.3">
      <c r="B13" s="36">
        <f t="shared" si="12"/>
        <v>45514</v>
      </c>
      <c r="C13" s="39" t="str">
        <f t="shared" si="13"/>
        <v>8.10</v>
      </c>
      <c r="D13" s="50">
        <f t="shared" ca="1" si="0"/>
        <v>298</v>
      </c>
      <c r="E13" s="18">
        <f t="shared" ca="1" si="1"/>
        <v>413</v>
      </c>
      <c r="F13" s="18">
        <f t="shared" ca="1" si="8"/>
        <v>711</v>
      </c>
      <c r="G13" s="16">
        <f t="shared" ca="1" si="2"/>
        <v>0.41912798874824192</v>
      </c>
      <c r="H13" s="16">
        <f t="shared" ca="1" si="3"/>
        <v>0.58087201125175814</v>
      </c>
      <c r="I13" s="16">
        <f t="shared" ca="1" si="9"/>
        <v>1</v>
      </c>
      <c r="J13" s="18">
        <f t="shared" ca="1" si="4"/>
        <v>339</v>
      </c>
      <c r="K13" s="18">
        <f t="shared" ca="1" si="5"/>
        <v>483</v>
      </c>
      <c r="L13" s="21">
        <f t="shared" ca="1" si="10"/>
        <v>822</v>
      </c>
      <c r="M13" s="41">
        <f t="shared" ca="1" si="6"/>
        <v>0.41240875912408759</v>
      </c>
      <c r="N13" s="7">
        <f t="shared" ca="1" si="7"/>
        <v>0.58759124087591241</v>
      </c>
      <c r="O13" s="4">
        <f t="shared" ca="1" si="11"/>
        <v>1</v>
      </c>
    </row>
    <row r="14" spans="2:15" x14ac:dyDescent="0.3">
      <c r="B14" s="36">
        <f t="shared" si="12"/>
        <v>45515</v>
      </c>
      <c r="C14" s="39" t="str">
        <f t="shared" si="13"/>
        <v>8.11</v>
      </c>
      <c r="D14" s="50">
        <f t="shared" ca="1" si="0"/>
        <v>330</v>
      </c>
      <c r="E14" s="18">
        <f t="shared" ca="1" si="1"/>
        <v>483</v>
      </c>
      <c r="F14" s="18">
        <f t="shared" ca="1" si="8"/>
        <v>813</v>
      </c>
      <c r="G14" s="16">
        <f t="shared" ca="1" si="2"/>
        <v>0.4059040590405904</v>
      </c>
      <c r="H14" s="16">
        <f t="shared" ca="1" si="3"/>
        <v>0.59409594095940954</v>
      </c>
      <c r="I14" s="16">
        <f t="shared" ca="1" si="9"/>
        <v>1</v>
      </c>
      <c r="J14" s="18">
        <f t="shared" ca="1" si="4"/>
        <v>384</v>
      </c>
      <c r="K14" s="18">
        <f t="shared" ca="1" si="5"/>
        <v>529</v>
      </c>
      <c r="L14" s="21">
        <f t="shared" ca="1" si="10"/>
        <v>913</v>
      </c>
      <c r="M14" s="41">
        <f t="shared" ca="1" si="6"/>
        <v>0.42059145673603504</v>
      </c>
      <c r="N14" s="7">
        <f t="shared" ca="1" si="7"/>
        <v>0.57940854326396496</v>
      </c>
      <c r="O14" s="4">
        <f t="shared" ca="1" si="11"/>
        <v>1</v>
      </c>
    </row>
    <row r="15" spans="2:15" x14ac:dyDescent="0.3">
      <c r="B15" s="36">
        <f t="shared" si="12"/>
        <v>45516</v>
      </c>
      <c r="C15" s="39" t="str">
        <f t="shared" si="13"/>
        <v>8.12</v>
      </c>
      <c r="D15" s="50">
        <f t="shared" ca="1" si="0"/>
        <v>1161</v>
      </c>
      <c r="E15" s="18">
        <f t="shared" ca="1" si="1"/>
        <v>496</v>
      </c>
      <c r="F15" s="18">
        <f t="shared" ca="1" si="8"/>
        <v>1657</v>
      </c>
      <c r="G15" s="16">
        <f t="shared" ca="1" si="2"/>
        <v>0.70066385033192513</v>
      </c>
      <c r="H15" s="16">
        <f t="shared" ca="1" si="3"/>
        <v>0.29933614966807481</v>
      </c>
      <c r="I15" s="16">
        <f t="shared" ca="1" si="9"/>
        <v>1</v>
      </c>
      <c r="J15" s="18">
        <f t="shared" ca="1" si="4"/>
        <v>1341</v>
      </c>
      <c r="K15" s="18">
        <f t="shared" ca="1" si="5"/>
        <v>574</v>
      </c>
      <c r="L15" s="21">
        <f t="shared" ca="1" si="10"/>
        <v>1915</v>
      </c>
      <c r="M15" s="41">
        <f t="shared" ca="1" si="6"/>
        <v>0.70026109660574409</v>
      </c>
      <c r="N15" s="7">
        <f t="shared" ca="1" si="7"/>
        <v>0.29973890339425585</v>
      </c>
      <c r="O15" s="4">
        <f t="shared" ca="1" si="11"/>
        <v>1</v>
      </c>
    </row>
    <row r="16" spans="2:15" x14ac:dyDescent="0.3">
      <c r="B16" s="36">
        <f t="shared" si="12"/>
        <v>45517</v>
      </c>
      <c r="C16" s="39" t="str">
        <f t="shared" si="13"/>
        <v>8.13</v>
      </c>
      <c r="D16" s="50">
        <f t="shared" ca="1" si="0"/>
        <v>1144</v>
      </c>
      <c r="E16" s="18">
        <f t="shared" ca="1" si="1"/>
        <v>398</v>
      </c>
      <c r="F16" s="18">
        <f t="shared" ca="1" si="8"/>
        <v>1542</v>
      </c>
      <c r="G16" s="16">
        <f t="shared" ca="1" si="2"/>
        <v>0.74189364461738005</v>
      </c>
      <c r="H16" s="16">
        <f t="shared" ca="1" si="3"/>
        <v>0.25810635538262</v>
      </c>
      <c r="I16" s="16">
        <f t="shared" ca="1" si="9"/>
        <v>1</v>
      </c>
      <c r="J16" s="18">
        <f t="shared" ca="1" si="4"/>
        <v>1402</v>
      </c>
      <c r="K16" s="18">
        <f t="shared" ca="1" si="5"/>
        <v>450</v>
      </c>
      <c r="L16" s="21">
        <f t="shared" ca="1" si="10"/>
        <v>1852</v>
      </c>
      <c r="M16" s="41">
        <f t="shared" ca="1" si="6"/>
        <v>0.75701943844492436</v>
      </c>
      <c r="N16" s="7">
        <f t="shared" ca="1" si="7"/>
        <v>0.24298056155507558</v>
      </c>
      <c r="O16" s="4">
        <f t="shared" ca="1" si="11"/>
        <v>1</v>
      </c>
    </row>
    <row r="17" spans="2:15" x14ac:dyDescent="0.3">
      <c r="B17" s="36">
        <f t="shared" si="12"/>
        <v>45518</v>
      </c>
      <c r="C17" s="39" t="str">
        <f t="shared" si="13"/>
        <v>8.14</v>
      </c>
      <c r="D17" s="50">
        <f t="shared" ca="1" si="0"/>
        <v>997</v>
      </c>
      <c r="E17" s="18">
        <f t="shared" ca="1" si="1"/>
        <v>380</v>
      </c>
      <c r="F17" s="18">
        <f t="shared" ca="1" si="8"/>
        <v>1377</v>
      </c>
      <c r="G17" s="16">
        <f t="shared" ca="1" si="2"/>
        <v>0.72403776325344948</v>
      </c>
      <c r="H17" s="16">
        <f t="shared" ca="1" si="3"/>
        <v>0.27596223674655046</v>
      </c>
      <c r="I17" s="16">
        <f t="shared" ca="1" si="9"/>
        <v>1</v>
      </c>
      <c r="J17" s="18">
        <f t="shared" ca="1" si="4"/>
        <v>1193</v>
      </c>
      <c r="K17" s="18">
        <f t="shared" ca="1" si="5"/>
        <v>445</v>
      </c>
      <c r="L17" s="21">
        <f t="shared" ca="1" si="10"/>
        <v>1638</v>
      </c>
      <c r="M17" s="41">
        <f t="shared" ca="1" si="6"/>
        <v>0.72832722832722829</v>
      </c>
      <c r="N17" s="7">
        <f t="shared" ca="1" si="7"/>
        <v>0.27167277167277165</v>
      </c>
      <c r="O17" s="4">
        <f t="shared" ca="1" si="11"/>
        <v>1</v>
      </c>
    </row>
    <row r="18" spans="2:15" x14ac:dyDescent="0.3">
      <c r="B18" s="36">
        <f t="shared" si="12"/>
        <v>45519</v>
      </c>
      <c r="C18" s="39" t="str">
        <f t="shared" si="13"/>
        <v>8.15</v>
      </c>
      <c r="D18" s="50">
        <f t="shared" ca="1" si="0"/>
        <v>354</v>
      </c>
      <c r="E18" s="18">
        <f t="shared" ca="1" si="1"/>
        <v>289</v>
      </c>
      <c r="F18" s="18">
        <f t="shared" ca="1" si="8"/>
        <v>643</v>
      </c>
      <c r="G18" s="16">
        <f t="shared" ca="1" si="2"/>
        <v>0.55054432348367033</v>
      </c>
      <c r="H18" s="16">
        <f t="shared" ca="1" si="3"/>
        <v>0.44945567651632973</v>
      </c>
      <c r="I18" s="16">
        <f t="shared" ca="1" si="9"/>
        <v>1</v>
      </c>
      <c r="J18" s="18">
        <f t="shared" ca="1" si="4"/>
        <v>400</v>
      </c>
      <c r="K18" s="18">
        <f t="shared" ca="1" si="5"/>
        <v>316</v>
      </c>
      <c r="L18" s="21">
        <f t="shared" ca="1" si="10"/>
        <v>716</v>
      </c>
      <c r="M18" s="41">
        <f t="shared" ca="1" si="6"/>
        <v>0.55865921787709494</v>
      </c>
      <c r="N18" s="7">
        <f t="shared" ca="1" si="7"/>
        <v>0.44134078212290501</v>
      </c>
      <c r="O18" s="4">
        <f t="shared" ca="1" si="11"/>
        <v>1</v>
      </c>
    </row>
    <row r="19" spans="2:15" x14ac:dyDescent="0.3">
      <c r="B19" s="36">
        <f t="shared" si="12"/>
        <v>45520</v>
      </c>
      <c r="C19" s="39" t="str">
        <f t="shared" si="13"/>
        <v>8.16</v>
      </c>
      <c r="D19" s="50">
        <f t="shared" ca="1" si="0"/>
        <v>849</v>
      </c>
      <c r="E19" s="18">
        <f t="shared" ca="1" si="1"/>
        <v>298</v>
      </c>
      <c r="F19" s="18">
        <f t="shared" ca="1" si="8"/>
        <v>1147</v>
      </c>
      <c r="G19" s="16">
        <f t="shared" ca="1" si="2"/>
        <v>0.74019180470793378</v>
      </c>
      <c r="H19" s="16">
        <f t="shared" ca="1" si="3"/>
        <v>0.25980819529206628</v>
      </c>
      <c r="I19" s="16">
        <f t="shared" ca="1" si="9"/>
        <v>1</v>
      </c>
      <c r="J19" s="18">
        <f t="shared" ca="1" si="4"/>
        <v>1005</v>
      </c>
      <c r="K19" s="18">
        <f t="shared" ca="1" si="5"/>
        <v>341</v>
      </c>
      <c r="L19" s="21">
        <f t="shared" ca="1" si="10"/>
        <v>1346</v>
      </c>
      <c r="M19" s="41">
        <f t="shared" ca="1" si="6"/>
        <v>0.74665676077265974</v>
      </c>
      <c r="N19" s="7">
        <f t="shared" ca="1" si="7"/>
        <v>0.25334323922734026</v>
      </c>
      <c r="O19" s="4">
        <f t="shared" ca="1" si="11"/>
        <v>1</v>
      </c>
    </row>
    <row r="20" spans="2:15" x14ac:dyDescent="0.3">
      <c r="B20" s="36">
        <f t="shared" si="12"/>
        <v>45521</v>
      </c>
      <c r="C20" s="39" t="str">
        <f t="shared" si="13"/>
        <v>8.17</v>
      </c>
      <c r="D20" s="50">
        <f t="shared" ca="1" si="0"/>
        <v>304</v>
      </c>
      <c r="E20" s="18">
        <f t="shared" ca="1" si="1"/>
        <v>288</v>
      </c>
      <c r="F20" s="18">
        <f t="shared" ca="1" si="8"/>
        <v>592</v>
      </c>
      <c r="G20" s="16">
        <f t="shared" ca="1" si="2"/>
        <v>0.51351351351351349</v>
      </c>
      <c r="H20" s="16">
        <f t="shared" ca="1" si="3"/>
        <v>0.48648648648648651</v>
      </c>
      <c r="I20" s="16">
        <f t="shared" ca="1" si="9"/>
        <v>1</v>
      </c>
      <c r="J20" s="18">
        <f t="shared" ca="1" si="4"/>
        <v>341</v>
      </c>
      <c r="K20" s="18">
        <f t="shared" ca="1" si="5"/>
        <v>316</v>
      </c>
      <c r="L20" s="21">
        <f t="shared" ca="1" si="10"/>
        <v>657</v>
      </c>
      <c r="M20" s="41">
        <f t="shared" ca="1" si="6"/>
        <v>0.51902587519025878</v>
      </c>
      <c r="N20" s="7">
        <f t="shared" ca="1" si="7"/>
        <v>0.48097412480974122</v>
      </c>
      <c r="O20" s="4">
        <f t="shared" ca="1" si="11"/>
        <v>1</v>
      </c>
    </row>
    <row r="21" spans="2:15" x14ac:dyDescent="0.3">
      <c r="B21" s="36">
        <f t="shared" si="12"/>
        <v>45522</v>
      </c>
      <c r="C21" s="39" t="str">
        <f t="shared" si="13"/>
        <v>8.18</v>
      </c>
      <c r="D21" s="50">
        <f t="shared" ca="1" si="0"/>
        <v>381</v>
      </c>
      <c r="E21" s="18">
        <f t="shared" ca="1" si="1"/>
        <v>270</v>
      </c>
      <c r="F21" s="18">
        <f t="shared" ca="1" si="8"/>
        <v>651</v>
      </c>
      <c r="G21" s="16">
        <f t="shared" ca="1" si="2"/>
        <v>0.58525345622119818</v>
      </c>
      <c r="H21" s="16">
        <f t="shared" ca="1" si="3"/>
        <v>0.41474654377880182</v>
      </c>
      <c r="I21" s="16">
        <f t="shared" ca="1" si="9"/>
        <v>1</v>
      </c>
      <c r="J21" s="18">
        <f t="shared" ca="1" si="4"/>
        <v>432</v>
      </c>
      <c r="K21" s="18">
        <f t="shared" ca="1" si="5"/>
        <v>303</v>
      </c>
      <c r="L21" s="21">
        <f t="shared" ca="1" si="10"/>
        <v>735</v>
      </c>
      <c r="M21" s="41">
        <f t="shared" ca="1" si="6"/>
        <v>0.58775510204081638</v>
      </c>
      <c r="N21" s="7">
        <f t="shared" ca="1" si="7"/>
        <v>0.41224489795918368</v>
      </c>
      <c r="O21" s="4">
        <f t="shared" ca="1" si="11"/>
        <v>1</v>
      </c>
    </row>
    <row r="22" spans="2:15" x14ac:dyDescent="0.3">
      <c r="B22" s="36">
        <f t="shared" si="12"/>
        <v>45523</v>
      </c>
      <c r="C22" s="39" t="str">
        <f t="shared" si="13"/>
        <v>8.19</v>
      </c>
      <c r="D22" s="50">
        <f t="shared" ca="1" si="0"/>
        <v>1189</v>
      </c>
      <c r="E22" s="18">
        <f t="shared" ca="1" si="1"/>
        <v>355</v>
      </c>
      <c r="F22" s="18">
        <f t="shared" ca="1" si="8"/>
        <v>1544</v>
      </c>
      <c r="G22" s="16">
        <f t="shared" ca="1" si="2"/>
        <v>0.77007772020725385</v>
      </c>
      <c r="H22" s="16">
        <f t="shared" ca="1" si="3"/>
        <v>0.22992227979274613</v>
      </c>
      <c r="I22" s="16">
        <f t="shared" ca="1" si="9"/>
        <v>1</v>
      </c>
      <c r="J22" s="18">
        <f t="shared" ca="1" si="4"/>
        <v>1440</v>
      </c>
      <c r="K22" s="18">
        <f t="shared" ca="1" si="5"/>
        <v>428</v>
      </c>
      <c r="L22" s="21">
        <f t="shared" ca="1" si="10"/>
        <v>1868</v>
      </c>
      <c r="M22" s="41">
        <f t="shared" ca="1" si="6"/>
        <v>0.77087794432548185</v>
      </c>
      <c r="N22" s="7">
        <f t="shared" ca="1" si="7"/>
        <v>0.22912205567451821</v>
      </c>
      <c r="O22" s="4">
        <f t="shared" ca="1" si="11"/>
        <v>1</v>
      </c>
    </row>
    <row r="23" spans="2:15" x14ac:dyDescent="0.3">
      <c r="B23" s="36">
        <f t="shared" si="12"/>
        <v>45524</v>
      </c>
      <c r="C23" s="39" t="str">
        <f t="shared" si="13"/>
        <v>8.20</v>
      </c>
      <c r="D23" s="50">
        <f t="shared" ca="1" si="0"/>
        <v>1121</v>
      </c>
      <c r="E23" s="18">
        <f t="shared" ca="1" si="1"/>
        <v>321</v>
      </c>
      <c r="F23" s="18">
        <f t="shared" ca="1" si="8"/>
        <v>1442</v>
      </c>
      <c r="G23" s="16">
        <f t="shared" ca="1" si="2"/>
        <v>0.77739251040221913</v>
      </c>
      <c r="H23" s="16">
        <f t="shared" ca="1" si="3"/>
        <v>0.22260748959778087</v>
      </c>
      <c r="I23" s="16">
        <f t="shared" ca="1" si="9"/>
        <v>1</v>
      </c>
      <c r="J23" s="18">
        <f t="shared" ca="1" si="4"/>
        <v>1340</v>
      </c>
      <c r="K23" s="18">
        <f t="shared" ca="1" si="5"/>
        <v>377</v>
      </c>
      <c r="L23" s="21">
        <f t="shared" ca="1" si="10"/>
        <v>1717</v>
      </c>
      <c r="M23" s="41">
        <f t="shared" ca="1" si="6"/>
        <v>0.7804309842748981</v>
      </c>
      <c r="N23" s="7">
        <f t="shared" ca="1" si="7"/>
        <v>0.21956901572510193</v>
      </c>
      <c r="O23" s="4">
        <f t="shared" ca="1" si="11"/>
        <v>1</v>
      </c>
    </row>
    <row r="24" spans="2:15" x14ac:dyDescent="0.3">
      <c r="B24" s="36">
        <f t="shared" si="12"/>
        <v>45525</v>
      </c>
      <c r="C24" s="39" t="str">
        <f t="shared" si="13"/>
        <v>8.21</v>
      </c>
      <c r="D24" s="50">
        <f t="shared" ca="1" si="0"/>
        <v>1114</v>
      </c>
      <c r="E24" s="18">
        <f t="shared" ca="1" si="1"/>
        <v>368</v>
      </c>
      <c r="F24" s="18">
        <f t="shared" ca="1" si="8"/>
        <v>1482</v>
      </c>
      <c r="G24" s="16">
        <f t="shared" ca="1" si="2"/>
        <v>0.75168690958164641</v>
      </c>
      <c r="H24" s="16">
        <f t="shared" ca="1" si="3"/>
        <v>0.24831309041835359</v>
      </c>
      <c r="I24" s="16">
        <f t="shared" ca="1" si="9"/>
        <v>1</v>
      </c>
      <c r="J24" s="18">
        <f t="shared" ca="1" si="4"/>
        <v>1304</v>
      </c>
      <c r="K24" s="18">
        <f t="shared" ca="1" si="5"/>
        <v>439</v>
      </c>
      <c r="L24" s="21">
        <f t="shared" ca="1" si="10"/>
        <v>1743</v>
      </c>
      <c r="M24" s="41">
        <f t="shared" ca="1" si="6"/>
        <v>0.74813539873780832</v>
      </c>
      <c r="N24" s="7">
        <f t="shared" ca="1" si="7"/>
        <v>0.25186460126219162</v>
      </c>
      <c r="O24" s="4">
        <f t="shared" ca="1" si="11"/>
        <v>1</v>
      </c>
    </row>
    <row r="25" spans="2:15" x14ac:dyDescent="0.3">
      <c r="B25" s="36">
        <f t="shared" si="12"/>
        <v>45526</v>
      </c>
      <c r="C25" s="39" t="str">
        <f t="shared" si="13"/>
        <v>8.22</v>
      </c>
      <c r="D25" s="50">
        <f t="shared" ca="1" si="0"/>
        <v>1185</v>
      </c>
      <c r="E25" s="18">
        <f t="shared" ca="1" si="1"/>
        <v>461</v>
      </c>
      <c r="F25" s="18">
        <f t="shared" ca="1" si="8"/>
        <v>1646</v>
      </c>
      <c r="G25" s="16">
        <f t="shared" ca="1" si="2"/>
        <v>0.71992709599027949</v>
      </c>
      <c r="H25" s="16">
        <f t="shared" ca="1" si="3"/>
        <v>0.28007290400972051</v>
      </c>
      <c r="I25" s="16">
        <f t="shared" ca="1" si="9"/>
        <v>1</v>
      </c>
      <c r="J25" s="18">
        <f t="shared" ca="1" si="4"/>
        <v>1444</v>
      </c>
      <c r="K25" s="18">
        <f t="shared" ca="1" si="5"/>
        <v>552</v>
      </c>
      <c r="L25" s="21">
        <f t="shared" ca="1" si="10"/>
        <v>1996</v>
      </c>
      <c r="M25" s="41">
        <f t="shared" ca="1" si="6"/>
        <v>0.7234468937875751</v>
      </c>
      <c r="N25" s="7">
        <f t="shared" ca="1" si="7"/>
        <v>0.27655310621242485</v>
      </c>
      <c r="O25" s="4">
        <f t="shared" ca="1" si="11"/>
        <v>1</v>
      </c>
    </row>
    <row r="26" spans="2:15" x14ac:dyDescent="0.3">
      <c r="B26" s="36">
        <f t="shared" si="12"/>
        <v>45527</v>
      </c>
      <c r="C26" s="39" t="str">
        <f t="shared" si="13"/>
        <v>8.23</v>
      </c>
      <c r="D26" s="50">
        <f t="shared" ca="1" si="0"/>
        <v>1014</v>
      </c>
      <c r="E26" s="18">
        <f t="shared" ca="1" si="1"/>
        <v>436</v>
      </c>
      <c r="F26" s="18">
        <f t="shared" ca="1" si="8"/>
        <v>1450</v>
      </c>
      <c r="G26" s="16">
        <f t="shared" ca="1" si="2"/>
        <v>0.69931034482758625</v>
      </c>
      <c r="H26" s="16">
        <f t="shared" ca="1" si="3"/>
        <v>0.30068965517241381</v>
      </c>
      <c r="I26" s="16">
        <f t="shared" ca="1" si="9"/>
        <v>1</v>
      </c>
      <c r="J26" s="18">
        <f t="shared" ca="1" si="4"/>
        <v>1214</v>
      </c>
      <c r="K26" s="18">
        <f t="shared" ca="1" si="5"/>
        <v>503</v>
      </c>
      <c r="L26" s="21">
        <f t="shared" ca="1" si="10"/>
        <v>1717</v>
      </c>
      <c r="M26" s="41">
        <f t="shared" ca="1" si="6"/>
        <v>0.70704717530576588</v>
      </c>
      <c r="N26" s="7">
        <f t="shared" ca="1" si="7"/>
        <v>0.29295282469423412</v>
      </c>
      <c r="O26" s="4">
        <f t="shared" ca="1" si="11"/>
        <v>1</v>
      </c>
    </row>
    <row r="27" spans="2:15" x14ac:dyDescent="0.3">
      <c r="B27" s="36">
        <f t="shared" si="12"/>
        <v>45528</v>
      </c>
      <c r="C27" s="39" t="str">
        <f t="shared" si="13"/>
        <v>8.24</v>
      </c>
      <c r="D27" s="50">
        <f t="shared" ca="1" si="0"/>
        <v>303</v>
      </c>
      <c r="E27" s="18">
        <f t="shared" ca="1" si="1"/>
        <v>343</v>
      </c>
      <c r="F27" s="18">
        <f t="shared" ca="1" si="8"/>
        <v>646</v>
      </c>
      <c r="G27" s="16">
        <f t="shared" ca="1" si="2"/>
        <v>0.46904024767801855</v>
      </c>
      <c r="H27" s="16">
        <f t="shared" ca="1" si="3"/>
        <v>0.53095975232198145</v>
      </c>
      <c r="I27" s="16">
        <f t="shared" ca="1" si="9"/>
        <v>1</v>
      </c>
      <c r="J27" s="18">
        <f t="shared" ca="1" si="4"/>
        <v>317</v>
      </c>
      <c r="K27" s="18">
        <f t="shared" ca="1" si="5"/>
        <v>377</v>
      </c>
      <c r="L27" s="21">
        <f t="shared" ca="1" si="10"/>
        <v>694</v>
      </c>
      <c r="M27" s="41">
        <f t="shared" ca="1" si="6"/>
        <v>0.45677233429394815</v>
      </c>
      <c r="N27" s="7">
        <f t="shared" ca="1" si="7"/>
        <v>0.54322766570605185</v>
      </c>
      <c r="O27" s="4">
        <f t="shared" ca="1" si="11"/>
        <v>1</v>
      </c>
    </row>
    <row r="28" spans="2:15" x14ac:dyDescent="0.3">
      <c r="B28" s="36">
        <f t="shared" si="12"/>
        <v>45529</v>
      </c>
      <c r="C28" s="39" t="str">
        <f t="shared" si="13"/>
        <v>8.25</v>
      </c>
      <c r="D28" s="50">
        <f t="shared" ca="1" si="0"/>
        <v>407</v>
      </c>
      <c r="E28" s="18">
        <f t="shared" ca="1" si="1"/>
        <v>299</v>
      </c>
      <c r="F28" s="18">
        <f t="shared" ca="1" si="8"/>
        <v>706</v>
      </c>
      <c r="G28" s="16">
        <f t="shared" ca="1" si="2"/>
        <v>0.57648725212464591</v>
      </c>
      <c r="H28" s="16">
        <f t="shared" ca="1" si="3"/>
        <v>0.42351274787535409</v>
      </c>
      <c r="I28" s="16">
        <f t="shared" ca="1" si="9"/>
        <v>1</v>
      </c>
      <c r="J28" s="18">
        <f t="shared" ca="1" si="4"/>
        <v>465</v>
      </c>
      <c r="K28" s="18">
        <f t="shared" ca="1" si="5"/>
        <v>324</v>
      </c>
      <c r="L28" s="21">
        <f t="shared" ca="1" si="10"/>
        <v>789</v>
      </c>
      <c r="M28" s="41">
        <f t="shared" ca="1" si="6"/>
        <v>0.58935361216730042</v>
      </c>
      <c r="N28" s="7">
        <f t="shared" ca="1" si="7"/>
        <v>0.41064638783269963</v>
      </c>
      <c r="O28" s="4">
        <f t="shared" ca="1" si="11"/>
        <v>1</v>
      </c>
    </row>
    <row r="29" spans="2:15" x14ac:dyDescent="0.3">
      <c r="B29" s="36">
        <f t="shared" si="12"/>
        <v>45530</v>
      </c>
      <c r="C29" s="39" t="str">
        <f t="shared" si="13"/>
        <v>8.26</v>
      </c>
      <c r="D29" s="50">
        <f t="shared" ca="1" si="0"/>
        <v>1159</v>
      </c>
      <c r="E29" s="18">
        <f t="shared" ca="1" si="1"/>
        <v>388</v>
      </c>
      <c r="F29" s="18">
        <f t="shared" ca="1" si="8"/>
        <v>1547</v>
      </c>
      <c r="G29" s="16">
        <f t="shared" ca="1" si="2"/>
        <v>0.74919198448610214</v>
      </c>
      <c r="H29" s="16">
        <f t="shared" ca="1" si="3"/>
        <v>0.25080801551389786</v>
      </c>
      <c r="I29" s="16">
        <f t="shared" ca="1" si="9"/>
        <v>1</v>
      </c>
      <c r="J29" s="18">
        <f t="shared" ca="1" si="4"/>
        <v>1349</v>
      </c>
      <c r="K29" s="18">
        <f t="shared" ca="1" si="5"/>
        <v>440</v>
      </c>
      <c r="L29" s="21">
        <f t="shared" ca="1" si="10"/>
        <v>1789</v>
      </c>
      <c r="M29" s="41">
        <f t="shared" ca="1" si="6"/>
        <v>0.7540525433202907</v>
      </c>
      <c r="N29" s="7">
        <f t="shared" ca="1" si="7"/>
        <v>0.24594745667970933</v>
      </c>
      <c r="O29" s="4">
        <f t="shared" ca="1" si="11"/>
        <v>1</v>
      </c>
    </row>
    <row r="30" spans="2:15" x14ac:dyDescent="0.3">
      <c r="B30" s="36">
        <f t="shared" si="12"/>
        <v>45531</v>
      </c>
      <c r="C30" s="39" t="str">
        <f t="shared" si="13"/>
        <v>8.27</v>
      </c>
      <c r="D30" s="50">
        <f t="shared" ca="1" si="0"/>
        <v>1281</v>
      </c>
      <c r="E30" s="18">
        <f t="shared" ca="1" si="1"/>
        <v>415</v>
      </c>
      <c r="F30" s="18">
        <f t="shared" ca="1" si="8"/>
        <v>1696</v>
      </c>
      <c r="G30" s="16">
        <f t="shared" ca="1" si="2"/>
        <v>0.75530660377358494</v>
      </c>
      <c r="H30" s="16">
        <f t="shared" ca="1" si="3"/>
        <v>0.24469339622641509</v>
      </c>
      <c r="I30" s="16">
        <f t="shared" ca="1" si="9"/>
        <v>1</v>
      </c>
      <c r="J30" s="18">
        <f t="shared" ca="1" si="4"/>
        <v>1530</v>
      </c>
      <c r="K30" s="18">
        <f t="shared" ca="1" si="5"/>
        <v>499</v>
      </c>
      <c r="L30" s="21">
        <f t="shared" ca="1" si="10"/>
        <v>2029</v>
      </c>
      <c r="M30" s="41">
        <f t="shared" ca="1" si="6"/>
        <v>0.75406604238541153</v>
      </c>
      <c r="N30" s="7">
        <f t="shared" ca="1" si="7"/>
        <v>0.24593395761458847</v>
      </c>
      <c r="O30" s="4">
        <f t="shared" ca="1" si="11"/>
        <v>1</v>
      </c>
    </row>
    <row r="31" spans="2:15" x14ac:dyDescent="0.3">
      <c r="B31" s="36">
        <f t="shared" si="12"/>
        <v>45532</v>
      </c>
      <c r="C31" s="39" t="str">
        <f t="shared" si="13"/>
        <v>8.28</v>
      </c>
      <c r="D31" s="50">
        <f t="shared" ca="1" si="0"/>
        <v>1158</v>
      </c>
      <c r="E31" s="18">
        <f t="shared" ca="1" si="1"/>
        <v>423</v>
      </c>
      <c r="F31" s="18">
        <f t="shared" ca="1" si="8"/>
        <v>1581</v>
      </c>
      <c r="G31" s="16">
        <f t="shared" ca="1" si="2"/>
        <v>0.73244781783681212</v>
      </c>
      <c r="H31" s="16">
        <f t="shared" ca="1" si="3"/>
        <v>0.26755218216318788</v>
      </c>
      <c r="I31" s="16">
        <f t="shared" ca="1" si="9"/>
        <v>1</v>
      </c>
      <c r="J31" s="18">
        <f t="shared" ca="1" si="4"/>
        <v>1661</v>
      </c>
      <c r="K31" s="18">
        <f t="shared" ca="1" si="5"/>
        <v>492</v>
      </c>
      <c r="L31" s="21">
        <f t="shared" ca="1" si="10"/>
        <v>2153</v>
      </c>
      <c r="M31" s="41">
        <f t="shared" ca="1" si="6"/>
        <v>0.77148165350673481</v>
      </c>
      <c r="N31" s="7">
        <f t="shared" ca="1" si="7"/>
        <v>0.22851834649326522</v>
      </c>
      <c r="O31" s="4">
        <f t="shared" ca="1" si="11"/>
        <v>1</v>
      </c>
    </row>
    <row r="32" spans="2:15" x14ac:dyDescent="0.3">
      <c r="B32" s="36">
        <f>IF(MONTH(B31)&lt;&gt;MONTH(B31+1),"",B31+1)</f>
        <v>45533</v>
      </c>
      <c r="C32" s="39" t="str">
        <f>IF(B32="","",TEXT(B32,"M.D"))</f>
        <v>8.29</v>
      </c>
      <c r="D32" s="50">
        <f ca="1">IF(C32="","",INDIRECT($C32&amp;"!H4"))</f>
        <v>1150</v>
      </c>
      <c r="E32" s="18">
        <f ca="1">IF(C32="","",INDIRECT($C32&amp;"!H5"))</f>
        <v>391</v>
      </c>
      <c r="F32" s="18">
        <f t="shared" ca="1" si="8"/>
        <v>1541</v>
      </c>
      <c r="G32" s="16">
        <f ca="1">IF(C32="","",INDIRECT($C32&amp;"!I4"))</f>
        <v>0.74626865671641796</v>
      </c>
      <c r="H32" s="16">
        <f ca="1">IF(C32="","",INDIRECT($C32&amp;"!I5"))</f>
        <v>0.2537313432835821</v>
      </c>
      <c r="I32" s="16">
        <f t="shared" ca="1" si="9"/>
        <v>1</v>
      </c>
      <c r="J32" s="18">
        <f ca="1">IF(C32="","",INDIRECT($C32&amp;"!L4"))</f>
        <v>1373</v>
      </c>
      <c r="K32" s="18">
        <f ca="1">IF(C32="","",INDIRECT($C32&amp;"!L5"))</f>
        <v>443</v>
      </c>
      <c r="L32" s="21">
        <f t="shared" ca="1" si="10"/>
        <v>1816</v>
      </c>
      <c r="M32" s="41">
        <f ca="1">IF(C32="","",INDIRECT($C32&amp;"!M4"))</f>
        <v>0.75605726872246692</v>
      </c>
      <c r="N32" s="7">
        <f ca="1">IF(C32="","",INDIRECT($C32&amp;"!M5"))</f>
        <v>0.24394273127753305</v>
      </c>
      <c r="O32" s="4">
        <f t="shared" ca="1" si="11"/>
        <v>1</v>
      </c>
    </row>
    <row r="33" spans="2:15" x14ac:dyDescent="0.3">
      <c r="B33" s="36">
        <f>IF(B32="","",IF(MONTH(B32)&lt;&gt;MONTH(B32+1),"",B32+1))</f>
        <v>45534</v>
      </c>
      <c r="C33" s="39" t="str">
        <f>IF(B33="","",TEXT(B33,"M.D"))</f>
        <v>8.30</v>
      </c>
      <c r="D33" s="50">
        <f ca="1">IF(C33="","",INDIRECT($C33&amp;"!H4"))</f>
        <v>881</v>
      </c>
      <c r="E33" s="18">
        <f ca="1">IF(C33="","",INDIRECT($C33&amp;"!H5"))</f>
        <v>346</v>
      </c>
      <c r="F33" s="18">
        <f t="shared" ca="1" si="8"/>
        <v>1227</v>
      </c>
      <c r="G33" s="16">
        <f ca="1">IF(C33="","",INDIRECT($C33&amp;"!I4"))</f>
        <v>0.71801140994295032</v>
      </c>
      <c r="H33" s="16">
        <f ca="1">IF(C33="","",INDIRECT($C33&amp;"!I5"))</f>
        <v>0.28198859005704974</v>
      </c>
      <c r="I33" s="16">
        <f t="shared" ca="1" si="9"/>
        <v>1</v>
      </c>
      <c r="J33" s="18">
        <f ca="1">IF(C33="","",INDIRECT($C33&amp;"!L4"))</f>
        <v>1007</v>
      </c>
      <c r="K33" s="18">
        <f ca="1">IF(C33="","",INDIRECT($C33&amp;"!L5"))</f>
        <v>425</v>
      </c>
      <c r="L33" s="21">
        <f t="shared" ca="1" si="10"/>
        <v>1432</v>
      </c>
      <c r="M33" s="41">
        <f ca="1">IF(C33="","",INDIRECT($C33&amp;"!M4"))</f>
        <v>0.70321229050279332</v>
      </c>
      <c r="N33" s="7">
        <f ca="1">IF(C33="","",INDIRECT($C33&amp;"!M5"))</f>
        <v>0.29678770949720673</v>
      </c>
      <c r="O33" s="4">
        <f t="shared" ca="1" si="11"/>
        <v>1</v>
      </c>
    </row>
    <row r="34" spans="2:15" ht="17.25" thickBot="1" x14ac:dyDescent="0.35">
      <c r="B34" s="36">
        <f>IF(B33="","",IF(MONTH(B33)&lt;&gt;MONTH(B33+1),"",B33+1))</f>
        <v>45535</v>
      </c>
      <c r="C34" s="39" t="str">
        <f>IF(B34="","",TEXT(B34,"M.D"))</f>
        <v>8.31</v>
      </c>
      <c r="D34" s="51">
        <f ca="1">IF(C34="","",INDIRECT($C34&amp;"!H4"))</f>
        <v>299</v>
      </c>
      <c r="E34" s="23">
        <f ca="1">IF(C34="","",INDIRECT($C34&amp;"!H5"))</f>
        <v>292</v>
      </c>
      <c r="F34" s="23">
        <f t="shared" ca="1" si="8"/>
        <v>591</v>
      </c>
      <c r="G34" s="52">
        <f ca="1">IF(C34="","",INDIRECT($C34&amp;"!I4"))</f>
        <v>0.50592216582064298</v>
      </c>
      <c r="H34" s="52">
        <f ca="1">IF(C34="","",INDIRECT($C34&amp;"!I5"))</f>
        <v>0.49407783417935702</v>
      </c>
      <c r="I34" s="52">
        <f t="shared" ca="1" si="9"/>
        <v>1</v>
      </c>
      <c r="J34" s="23">
        <f ca="1">IF(C34="","",INDIRECT($C34&amp;"!L4"))</f>
        <v>324</v>
      </c>
      <c r="K34" s="23">
        <f ca="1">IF(C34="","",INDIRECT($C34&amp;"!L5"))</f>
        <v>315</v>
      </c>
      <c r="L34" s="24">
        <f t="shared" ca="1" si="10"/>
        <v>639</v>
      </c>
      <c r="M34" s="41">
        <f ca="1">IF(C34="","",INDIRECT($C34&amp;"!M4"))</f>
        <v>0.50704225352112675</v>
      </c>
      <c r="N34" s="7">
        <f ca="1">IF(C34="","",INDIRECT($C34&amp;"!M5"))</f>
        <v>0.49295774647887325</v>
      </c>
      <c r="O34" s="4">
        <f t="shared" ca="1" si="11"/>
        <v>1</v>
      </c>
    </row>
    <row r="35" spans="2:15" x14ac:dyDescent="0.3">
      <c r="B35" s="35" t="s">
        <v>17</v>
      </c>
      <c r="C35" s="35" t="s">
        <v>17</v>
      </c>
      <c r="D35" s="44">
        <f ca="1">SUM(D4:D34)</f>
        <v>26087</v>
      </c>
      <c r="E35" s="44">
        <f ca="1">SUM(E4:E34)</f>
        <v>11512</v>
      </c>
      <c r="F35" s="45">
        <f ca="1">SUM(F4:F34)</f>
        <v>37599</v>
      </c>
      <c r="G35" s="46"/>
      <c r="H35" s="46"/>
      <c r="I35" s="46"/>
      <c r="J35" s="44">
        <f ca="1">SUM(J4:J34)</f>
        <v>31085</v>
      </c>
      <c r="K35" s="44">
        <f ca="1">SUM(K4:K34)</f>
        <v>13194</v>
      </c>
      <c r="L35" s="45">
        <f ca="1">SUM(L4:L34)</f>
        <v>44279</v>
      </c>
      <c r="M35" s="9"/>
      <c r="N35" s="9"/>
      <c r="O35" s="9"/>
    </row>
    <row r="36" spans="2:15" x14ac:dyDescent="0.3">
      <c r="B36" s="35" t="s">
        <v>24</v>
      </c>
      <c r="C36" s="35" t="s">
        <v>24</v>
      </c>
      <c r="D36" s="8">
        <f ca="1">AVERAGE(D4:D34)</f>
        <v>841.51612903225805</v>
      </c>
      <c r="E36" s="8">
        <f ca="1">AVERAGE(E4:E34)</f>
        <v>371.35483870967744</v>
      </c>
      <c r="F36" s="11">
        <f ca="1">AVERAGE(F4:F34)</f>
        <v>1212.8709677419354</v>
      </c>
      <c r="G36" s="9">
        <f ca="1">AVERAGE(G4:G34)</f>
        <v>0.65992548886087776</v>
      </c>
      <c r="H36" s="9">
        <f ca="1">AVERAGE(H4:H34)</f>
        <v>0.34007451113912207</v>
      </c>
      <c r="I36" s="10">
        <f ca="1">SUM(G36:H36)</f>
        <v>0.99999999999999978</v>
      </c>
      <c r="J36" s="8">
        <f ca="1">AVERAGE(J4:J34)</f>
        <v>1002.741935483871</v>
      </c>
      <c r="K36" s="8">
        <f ca="1">AVERAGE(K4:K34)</f>
        <v>425.61290322580646</v>
      </c>
      <c r="L36" s="11">
        <f ca="1">AVERAGE(L4:L34)</f>
        <v>1428.3548387096773</v>
      </c>
      <c r="M36" s="9">
        <f ca="1">AVERAGE(M4:M34)</f>
        <v>0.6647936440314004</v>
      </c>
      <c r="N36" s="9">
        <f ca="1">AVERAGE(N4:N34)</f>
        <v>0.33520635596859971</v>
      </c>
      <c r="O36" s="10">
        <f ca="1">SUM(M36:N36)</f>
        <v>1</v>
      </c>
    </row>
  </sheetData>
  <mergeCells count="2">
    <mergeCell ref="D2:I2"/>
    <mergeCell ref="J2:O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4E2A-5E0E-4356-A791-4BE5F5352696}">
  <sheetPr codeName="Sheet31"/>
  <dimension ref="A1:M620"/>
  <sheetViews>
    <sheetView workbookViewId="0">
      <selection activeCell="I4" sqref="I4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/>
      <c r="B2" s="13"/>
      <c r="C2" s="13"/>
      <c r="D2" s="13"/>
      <c r="E2" s="13"/>
    </row>
    <row r="3" spans="1:13" customFormat="1" x14ac:dyDescent="0.3">
      <c r="A3" s="13"/>
      <c r="B3" s="13"/>
      <c r="C3" s="13"/>
      <c r="D3" s="13"/>
      <c r="E3" s="13"/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/>
      <c r="B4" s="13"/>
      <c r="C4" s="13"/>
      <c r="D4" s="13"/>
      <c r="E4" s="13"/>
      <c r="G4" s="19" t="s">
        <v>8</v>
      </c>
      <c r="H4" s="15">
        <f>H13+H14</f>
        <v>0</v>
      </c>
      <c r="I4" s="16" t="e">
        <f>H4/H$6</f>
        <v>#DIV/0!</v>
      </c>
      <c r="J4" s="15">
        <f>I13+I14</f>
        <v>0</v>
      </c>
      <c r="K4" s="16" t="e">
        <f>J4/J$6</f>
        <v>#DIV/0!</v>
      </c>
      <c r="L4" s="15">
        <f>J13+J14</f>
        <v>0</v>
      </c>
      <c r="M4" s="25" t="e">
        <f>L4/L$6</f>
        <v>#DIV/0!</v>
      </c>
    </row>
    <row r="5" spans="1:13" customFormat="1" x14ac:dyDescent="0.3">
      <c r="A5" s="13"/>
      <c r="B5" s="13"/>
      <c r="C5" s="13"/>
      <c r="D5" s="13"/>
      <c r="E5" s="13"/>
      <c r="G5" s="19" t="s">
        <v>10</v>
      </c>
      <c r="H5" s="15">
        <f>H15+H16</f>
        <v>0</v>
      </c>
      <c r="I5" s="16" t="e">
        <f>H5/H$6</f>
        <v>#DIV/0!</v>
      </c>
      <c r="J5" s="15">
        <f>I15+I16</f>
        <v>0</v>
      </c>
      <c r="K5" s="16" t="e">
        <f>J5/J$6</f>
        <v>#DIV/0!</v>
      </c>
      <c r="L5" s="15">
        <f>J15+J16</f>
        <v>0</v>
      </c>
      <c r="M5" s="25" t="e">
        <f>L5/L$6</f>
        <v>#DIV/0!</v>
      </c>
    </row>
    <row r="6" spans="1:13" customFormat="1" ht="17.25" thickBot="1" x14ac:dyDescent="0.35">
      <c r="A6" s="13"/>
      <c r="B6" s="13"/>
      <c r="C6" s="13"/>
      <c r="D6" s="13"/>
      <c r="E6" s="13"/>
      <c r="G6" s="22"/>
      <c r="H6" s="26">
        <f>SUM(H4:H5)</f>
        <v>0</v>
      </c>
      <c r="I6" s="27" t="e">
        <f>I4+I5</f>
        <v>#DIV/0!</v>
      </c>
      <c r="J6" s="26">
        <f>SUM(J4:J5)</f>
        <v>0</v>
      </c>
      <c r="K6" s="27" t="e">
        <f>K4+K5</f>
        <v>#DIV/0!</v>
      </c>
      <c r="L6" s="26">
        <f>SUM(L4:L5)</f>
        <v>0</v>
      </c>
      <c r="M6" s="28" t="e">
        <f>M4+M5</f>
        <v>#DIV/0!</v>
      </c>
    </row>
    <row r="7" spans="1:13" customFormat="1" x14ac:dyDescent="0.3">
      <c r="A7" s="13"/>
      <c r="B7" s="13"/>
      <c r="C7" s="13"/>
      <c r="D7" s="13"/>
      <c r="E7" s="13"/>
    </row>
    <row r="8" spans="1:13" customFormat="1" x14ac:dyDescent="0.3">
      <c r="A8" s="13"/>
      <c r="B8" s="13"/>
      <c r="C8" s="13"/>
      <c r="D8" s="13"/>
      <c r="E8" s="13"/>
    </row>
    <row r="9" spans="1:13" customFormat="1" x14ac:dyDescent="0.3">
      <c r="A9" s="13"/>
      <c r="B9" s="13"/>
      <c r="C9" s="13"/>
      <c r="D9" s="13"/>
      <c r="E9" s="13"/>
    </row>
    <row r="10" spans="1:13" customFormat="1" ht="17.25" thickBot="1" x14ac:dyDescent="0.35">
      <c r="A10" s="13"/>
      <c r="B10" s="13"/>
      <c r="C10" s="13"/>
      <c r="D10" s="13"/>
      <c r="E10" s="13"/>
    </row>
    <row r="11" spans="1:13" x14ac:dyDescent="0.3">
      <c r="A11" s="13"/>
      <c r="B11" s="13"/>
      <c r="C11" s="13"/>
      <c r="D11" s="13"/>
      <c r="E11" s="13"/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/>
      <c r="B12" s="13"/>
      <c r="C12" s="13"/>
      <c r="D12" s="13"/>
      <c r="E12" s="13"/>
      <c r="G12" s="19"/>
      <c r="H12" s="17">
        <f t="shared" ref="H12:J12" si="0">SUM(H13:H16)</f>
        <v>0</v>
      </c>
      <c r="I12" s="17">
        <f t="shared" si="0"/>
        <v>0</v>
      </c>
      <c r="J12" s="20">
        <f t="shared" si="0"/>
        <v>0</v>
      </c>
    </row>
    <row r="13" spans="1:13" x14ac:dyDescent="0.3">
      <c r="A13" s="13"/>
      <c r="B13" s="13"/>
      <c r="C13" s="13"/>
      <c r="D13" s="13"/>
      <c r="E13" s="13"/>
      <c r="G13" s="19" t="s">
        <v>7</v>
      </c>
      <c r="H13" s="18">
        <f t="shared" ref="H13:J16" si="1">SUMIF($A$2:$A$9999,$G13,C$2:C$9999)</f>
        <v>0</v>
      </c>
      <c r="I13" s="18">
        <f t="shared" si="1"/>
        <v>0</v>
      </c>
      <c r="J13" s="21">
        <f t="shared" si="1"/>
        <v>0</v>
      </c>
    </row>
    <row r="14" spans="1:13" x14ac:dyDescent="0.3">
      <c r="A14" s="13"/>
      <c r="B14" s="13"/>
      <c r="C14" s="13"/>
      <c r="D14" s="13"/>
      <c r="E14" s="13"/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/>
      <c r="B15" s="13"/>
      <c r="C15" s="13"/>
      <c r="D15" s="13"/>
      <c r="E15" s="13"/>
      <c r="G15" s="19" t="s">
        <v>11</v>
      </c>
      <c r="H15" s="18">
        <f t="shared" si="1"/>
        <v>0</v>
      </c>
      <c r="I15" s="18">
        <f t="shared" si="1"/>
        <v>0</v>
      </c>
      <c r="J15" s="21">
        <f t="shared" si="1"/>
        <v>0</v>
      </c>
    </row>
    <row r="16" spans="1:13" ht="17.25" thickBot="1" x14ac:dyDescent="0.35">
      <c r="A16" s="13"/>
      <c r="B16" s="13"/>
      <c r="C16" s="13"/>
      <c r="D16" s="13"/>
      <c r="E16" s="13"/>
      <c r="G16" s="22" t="s">
        <v>12</v>
      </c>
      <c r="H16" s="23">
        <f t="shared" si="1"/>
        <v>0</v>
      </c>
      <c r="I16" s="23">
        <f t="shared" si="1"/>
        <v>0</v>
      </c>
      <c r="J16" s="24">
        <f t="shared" si="1"/>
        <v>0</v>
      </c>
    </row>
    <row r="17" spans="1:5" x14ac:dyDescent="0.3">
      <c r="A17" s="13"/>
      <c r="B17" s="13"/>
      <c r="C17" s="13"/>
      <c r="D17" s="13"/>
      <c r="E17" s="13"/>
    </row>
    <row r="18" spans="1:5" x14ac:dyDescent="0.3">
      <c r="A18" s="13"/>
      <c r="B18" s="13"/>
      <c r="C18" s="13"/>
      <c r="D18" s="13"/>
      <c r="E18" s="13"/>
    </row>
    <row r="19" spans="1:5" x14ac:dyDescent="0.3">
      <c r="A19" s="13"/>
      <c r="B19" s="13"/>
      <c r="C19" s="13"/>
      <c r="D19" s="13"/>
      <c r="E19" s="13"/>
    </row>
    <row r="20" spans="1:5" x14ac:dyDescent="0.3">
      <c r="A20" s="13"/>
      <c r="B20" s="13"/>
      <c r="C20" s="13"/>
      <c r="D20" s="13"/>
      <c r="E20" s="13"/>
    </row>
    <row r="21" spans="1:5" x14ac:dyDescent="0.3">
      <c r="A21" s="13"/>
      <c r="B21" s="13"/>
      <c r="C21" s="13"/>
      <c r="D21" s="13"/>
      <c r="E21" s="13"/>
    </row>
    <row r="22" spans="1:5" x14ac:dyDescent="0.3">
      <c r="A22" s="13"/>
      <c r="B22" s="13"/>
      <c r="C22" s="13"/>
      <c r="D22" s="13"/>
      <c r="E22" s="13"/>
    </row>
    <row r="23" spans="1:5" x14ac:dyDescent="0.3">
      <c r="A23" s="13"/>
      <c r="B23" s="13"/>
      <c r="C23" s="13"/>
      <c r="D23" s="13"/>
      <c r="E23" s="13"/>
    </row>
    <row r="24" spans="1:5" x14ac:dyDescent="0.3">
      <c r="A24" s="13"/>
      <c r="B24" s="13"/>
      <c r="C24" s="13"/>
      <c r="D24" s="13"/>
      <c r="E24" s="13"/>
    </row>
    <row r="25" spans="1:5" x14ac:dyDescent="0.3">
      <c r="A25" s="13"/>
      <c r="B25" s="13"/>
      <c r="C25" s="13"/>
      <c r="D25" s="13"/>
      <c r="E25" s="13"/>
    </row>
    <row r="26" spans="1:5" x14ac:dyDescent="0.3">
      <c r="A26" s="13"/>
      <c r="B26" s="13"/>
      <c r="C26" s="13"/>
      <c r="D26" s="13"/>
      <c r="E26" s="13"/>
    </row>
    <row r="27" spans="1:5" x14ac:dyDescent="0.3">
      <c r="A27" s="13"/>
      <c r="B27" s="13"/>
      <c r="C27" s="13"/>
      <c r="D27" s="13"/>
      <c r="E27" s="13"/>
    </row>
    <row r="28" spans="1:5" x14ac:dyDescent="0.3">
      <c r="A28" s="13"/>
      <c r="B28" s="13"/>
      <c r="C28" s="13"/>
      <c r="D28" s="13"/>
      <c r="E28" s="13"/>
    </row>
    <row r="29" spans="1:5" x14ac:dyDescent="0.3">
      <c r="A29" s="13"/>
      <c r="B29" s="13"/>
      <c r="C29" s="13"/>
      <c r="D29" s="13"/>
      <c r="E29" s="13"/>
    </row>
    <row r="30" spans="1:5" x14ac:dyDescent="0.3">
      <c r="A30" s="13"/>
      <c r="B30" s="13"/>
      <c r="C30" s="13"/>
      <c r="D30" s="13"/>
      <c r="E30" s="13"/>
    </row>
    <row r="31" spans="1:5" x14ac:dyDescent="0.3">
      <c r="A31" s="13"/>
      <c r="B31" s="13"/>
      <c r="C31" s="13"/>
      <c r="D31" s="13"/>
      <c r="E31" s="13"/>
    </row>
    <row r="32" spans="1:5" x14ac:dyDescent="0.3">
      <c r="A32" s="13"/>
      <c r="B32" s="13"/>
      <c r="C32" s="13"/>
      <c r="D32" s="13"/>
      <c r="E32" s="13"/>
    </row>
    <row r="33" spans="1:5" x14ac:dyDescent="0.3">
      <c r="A33" s="13"/>
      <c r="B33" s="13"/>
      <c r="C33" s="13"/>
      <c r="D33" s="13"/>
      <c r="E33" s="13"/>
    </row>
    <row r="34" spans="1:5" x14ac:dyDescent="0.3">
      <c r="A34" s="13"/>
      <c r="B34" s="13"/>
      <c r="C34" s="13"/>
      <c r="D34" s="13"/>
      <c r="E34" s="13"/>
    </row>
    <row r="35" spans="1:5" x14ac:dyDescent="0.3">
      <c r="A35" s="13"/>
      <c r="B35" s="13"/>
      <c r="C35" s="13"/>
      <c r="D35" s="13"/>
      <c r="E35" s="13"/>
    </row>
    <row r="36" spans="1:5" x14ac:dyDescent="0.3">
      <c r="A36" s="13"/>
      <c r="B36" s="13"/>
      <c r="C36" s="13"/>
      <c r="D36" s="13"/>
      <c r="E36" s="13"/>
    </row>
    <row r="37" spans="1:5" x14ac:dyDescent="0.3">
      <c r="A37" s="13"/>
      <c r="B37" s="13"/>
      <c r="C37" s="13"/>
      <c r="D37" s="13"/>
      <c r="E37" s="13"/>
    </row>
    <row r="38" spans="1:5" x14ac:dyDescent="0.3">
      <c r="A38" s="13"/>
      <c r="B38" s="13"/>
      <c r="C38" s="13"/>
      <c r="D38" s="13"/>
      <c r="E38" s="13"/>
    </row>
    <row r="39" spans="1:5" x14ac:dyDescent="0.3">
      <c r="A39" s="13"/>
      <c r="B39" s="13"/>
      <c r="C39" s="13"/>
      <c r="D39" s="13"/>
      <c r="E39" s="13"/>
    </row>
    <row r="40" spans="1:5" x14ac:dyDescent="0.3">
      <c r="A40" s="13"/>
      <c r="B40" s="13"/>
      <c r="C40" s="13"/>
      <c r="D40" s="13"/>
      <c r="E40" s="13"/>
    </row>
    <row r="41" spans="1:5" x14ac:dyDescent="0.3">
      <c r="A41" s="13"/>
      <c r="B41" s="13"/>
      <c r="C41" s="13"/>
      <c r="D41" s="13"/>
      <c r="E41" s="13"/>
    </row>
    <row r="42" spans="1:5" x14ac:dyDescent="0.3">
      <c r="A42" s="13"/>
      <c r="B42" s="13"/>
      <c r="C42" s="13"/>
      <c r="D42" s="13"/>
      <c r="E42" s="13"/>
    </row>
    <row r="43" spans="1:5" x14ac:dyDescent="0.3">
      <c r="A43" s="13"/>
      <c r="B43" s="13"/>
      <c r="C43" s="13"/>
      <c r="D43" s="13"/>
      <c r="E43" s="13"/>
    </row>
    <row r="44" spans="1:5" x14ac:dyDescent="0.3">
      <c r="A44" s="13"/>
      <c r="B44" s="13"/>
      <c r="C44" s="13"/>
      <c r="D44" s="13"/>
      <c r="E44" s="13"/>
    </row>
    <row r="45" spans="1:5" x14ac:dyDescent="0.3">
      <c r="A45" s="13"/>
      <c r="B45" s="13"/>
      <c r="C45" s="13"/>
      <c r="D45" s="13"/>
      <c r="E45" s="13"/>
    </row>
    <row r="46" spans="1:5" x14ac:dyDescent="0.3">
      <c r="A46" s="13"/>
      <c r="B46" s="13"/>
      <c r="C46" s="13"/>
      <c r="D46" s="13"/>
      <c r="E46" s="13"/>
    </row>
    <row r="47" spans="1:5" x14ac:dyDescent="0.3">
      <c r="A47" s="13"/>
      <c r="B47" s="13"/>
      <c r="C47" s="13"/>
      <c r="D47" s="13"/>
      <c r="E47" s="13"/>
    </row>
    <row r="48" spans="1:5" x14ac:dyDescent="0.3">
      <c r="A48" s="13"/>
      <c r="B48" s="13"/>
      <c r="C48" s="13"/>
      <c r="D48" s="13"/>
      <c r="E48" s="13"/>
    </row>
    <row r="49" spans="1:5" x14ac:dyDescent="0.3">
      <c r="A49" s="13"/>
      <c r="B49" s="13"/>
      <c r="C49" s="13"/>
      <c r="D49" s="13"/>
      <c r="E49" s="13"/>
    </row>
    <row r="50" spans="1:5" x14ac:dyDescent="0.3">
      <c r="A50" s="13"/>
      <c r="B50" s="13"/>
      <c r="C50" s="13"/>
      <c r="D50" s="13"/>
      <c r="E50" s="13"/>
    </row>
    <row r="51" spans="1:5" x14ac:dyDescent="0.3">
      <c r="A51" s="13"/>
      <c r="B51" s="13"/>
      <c r="C51" s="13"/>
      <c r="D51" s="13"/>
      <c r="E51" s="13"/>
    </row>
    <row r="52" spans="1:5" x14ac:dyDescent="0.3">
      <c r="A52" s="13"/>
      <c r="B52" s="13"/>
      <c r="C52" s="13"/>
      <c r="D52" s="13"/>
      <c r="E52" s="13"/>
    </row>
    <row r="53" spans="1:5" x14ac:dyDescent="0.3">
      <c r="A53" s="13"/>
      <c r="B53" s="13"/>
      <c r="C53" s="13"/>
      <c r="D53" s="13"/>
      <c r="E53" s="13"/>
    </row>
    <row r="54" spans="1:5" x14ac:dyDescent="0.3">
      <c r="A54" s="13"/>
      <c r="B54" s="13"/>
      <c r="C54" s="13"/>
      <c r="D54" s="13"/>
      <c r="E54" s="13"/>
    </row>
    <row r="55" spans="1:5" x14ac:dyDescent="0.3">
      <c r="A55" s="13"/>
      <c r="B55" s="13"/>
      <c r="C55" s="13"/>
      <c r="D55" s="13"/>
      <c r="E55" s="13"/>
    </row>
    <row r="56" spans="1:5" x14ac:dyDescent="0.3">
      <c r="A56" s="13"/>
      <c r="B56" s="13"/>
      <c r="C56" s="13"/>
      <c r="D56" s="13"/>
      <c r="E56" s="13"/>
    </row>
    <row r="57" spans="1:5" x14ac:dyDescent="0.3">
      <c r="A57" s="13"/>
      <c r="B57" s="13"/>
      <c r="C57" s="13"/>
      <c r="D57" s="13"/>
      <c r="E57" s="13"/>
    </row>
    <row r="58" spans="1:5" x14ac:dyDescent="0.3">
      <c r="A58" s="13"/>
      <c r="B58" s="13"/>
      <c r="C58" s="13"/>
      <c r="D58" s="13"/>
      <c r="E58" s="13"/>
    </row>
    <row r="59" spans="1:5" x14ac:dyDescent="0.3">
      <c r="A59" s="13"/>
      <c r="B59" s="13"/>
      <c r="C59" s="13"/>
      <c r="D59" s="13"/>
      <c r="E59" s="13"/>
    </row>
    <row r="60" spans="1:5" x14ac:dyDescent="0.3">
      <c r="A60" s="13"/>
      <c r="B60" s="13"/>
      <c r="C60" s="13"/>
      <c r="D60" s="13"/>
      <c r="E60" s="13"/>
    </row>
    <row r="61" spans="1:5" x14ac:dyDescent="0.3">
      <c r="A61" s="13"/>
      <c r="B61" s="13"/>
      <c r="C61" s="13"/>
      <c r="D61" s="13"/>
      <c r="E61" s="13"/>
    </row>
    <row r="62" spans="1:5" x14ac:dyDescent="0.3">
      <c r="A62" s="13"/>
      <c r="B62" s="13"/>
      <c r="C62" s="13"/>
      <c r="D62" s="13"/>
      <c r="E62" s="13"/>
    </row>
    <row r="63" spans="1:5" x14ac:dyDescent="0.3">
      <c r="A63" s="13"/>
      <c r="B63" s="13"/>
      <c r="C63" s="13"/>
      <c r="D63" s="13"/>
      <c r="E63" s="13"/>
    </row>
    <row r="64" spans="1:5" x14ac:dyDescent="0.3">
      <c r="A64" s="13"/>
      <c r="B64" s="13"/>
      <c r="C64" s="13"/>
      <c r="D64" s="13"/>
      <c r="E64" s="13"/>
    </row>
    <row r="65" spans="1:5" x14ac:dyDescent="0.3">
      <c r="A65" s="13"/>
      <c r="B65" s="13"/>
      <c r="C65" s="13"/>
      <c r="D65" s="13"/>
      <c r="E65" s="13"/>
    </row>
    <row r="66" spans="1:5" x14ac:dyDescent="0.3">
      <c r="A66" s="13"/>
      <c r="B66" s="13"/>
      <c r="C66" s="13"/>
      <c r="D66" s="13"/>
      <c r="E66" s="13"/>
    </row>
    <row r="67" spans="1:5" x14ac:dyDescent="0.3">
      <c r="A67" s="13"/>
      <c r="B67" s="13"/>
      <c r="C67" s="13"/>
      <c r="D67" s="13"/>
      <c r="E67" s="13"/>
    </row>
    <row r="68" spans="1:5" x14ac:dyDescent="0.3">
      <c r="A68" s="13"/>
      <c r="B68" s="13"/>
      <c r="C68" s="13"/>
      <c r="D68" s="13"/>
      <c r="E68" s="13"/>
    </row>
    <row r="69" spans="1:5" x14ac:dyDescent="0.3">
      <c r="A69" s="13"/>
      <c r="B69" s="13"/>
      <c r="C69" s="13"/>
      <c r="D69" s="13"/>
      <c r="E69" s="13"/>
    </row>
    <row r="70" spans="1:5" x14ac:dyDescent="0.3">
      <c r="A70" s="13"/>
      <c r="B70" s="13"/>
      <c r="C70" s="13"/>
      <c r="D70" s="13"/>
      <c r="E70" s="13"/>
    </row>
    <row r="71" spans="1:5" x14ac:dyDescent="0.3">
      <c r="A71" s="13"/>
      <c r="B71" s="13"/>
      <c r="C71" s="13"/>
      <c r="D71" s="13"/>
      <c r="E71" s="13"/>
    </row>
    <row r="72" spans="1:5" x14ac:dyDescent="0.3">
      <c r="A72" s="13"/>
      <c r="B72" s="13"/>
      <c r="C72" s="13"/>
      <c r="D72" s="13"/>
      <c r="E72" s="13"/>
    </row>
    <row r="73" spans="1:5" x14ac:dyDescent="0.3">
      <c r="A73" s="13"/>
      <c r="B73" s="13"/>
      <c r="C73" s="13"/>
      <c r="D73" s="13"/>
      <c r="E73" s="13"/>
    </row>
    <row r="74" spans="1:5" x14ac:dyDescent="0.3">
      <c r="A74" s="13"/>
      <c r="B74" s="13"/>
      <c r="C74" s="13"/>
      <c r="D74" s="13"/>
      <c r="E74" s="13"/>
    </row>
    <row r="75" spans="1:5" x14ac:dyDescent="0.3">
      <c r="A75" s="13"/>
      <c r="B75" s="13"/>
      <c r="C75" s="13"/>
      <c r="D75" s="13"/>
      <c r="E75" s="13"/>
    </row>
    <row r="76" spans="1:5" x14ac:dyDescent="0.3">
      <c r="A76" s="13"/>
      <c r="B76" s="13"/>
      <c r="C76" s="13"/>
      <c r="D76" s="13"/>
      <c r="E76" s="13"/>
    </row>
    <row r="77" spans="1:5" x14ac:dyDescent="0.3">
      <c r="A77" s="13"/>
      <c r="B77" s="13"/>
      <c r="C77" s="13"/>
      <c r="D77" s="13"/>
      <c r="E77" s="13"/>
    </row>
    <row r="78" spans="1:5" x14ac:dyDescent="0.3">
      <c r="A78" s="13"/>
      <c r="B78" s="13"/>
      <c r="C78" s="13"/>
      <c r="D78" s="13"/>
      <c r="E78" s="13"/>
    </row>
    <row r="79" spans="1:5" x14ac:dyDescent="0.3">
      <c r="A79" s="13"/>
      <c r="B79" s="13"/>
      <c r="C79" s="13"/>
      <c r="D79" s="13"/>
      <c r="E79" s="13"/>
    </row>
    <row r="80" spans="1:5" x14ac:dyDescent="0.3">
      <c r="A80" s="13"/>
      <c r="B80" s="13"/>
      <c r="C80" s="13"/>
      <c r="D80" s="13"/>
      <c r="E80" s="13"/>
    </row>
    <row r="81" spans="1:5" x14ac:dyDescent="0.3">
      <c r="A81" s="13"/>
      <c r="B81" s="13"/>
      <c r="C81" s="13"/>
      <c r="D81" s="13"/>
      <c r="E81" s="13"/>
    </row>
    <row r="82" spans="1:5" x14ac:dyDescent="0.3">
      <c r="A82" s="13"/>
      <c r="B82" s="13"/>
      <c r="C82" s="13"/>
      <c r="D82" s="13"/>
      <c r="E82" s="13"/>
    </row>
    <row r="83" spans="1:5" x14ac:dyDescent="0.3">
      <c r="A83" s="13"/>
      <c r="B83" s="13"/>
      <c r="C83" s="13"/>
      <c r="D83" s="13"/>
      <c r="E83" s="13"/>
    </row>
    <row r="84" spans="1:5" x14ac:dyDescent="0.3">
      <c r="A84" s="13"/>
      <c r="B84" s="13"/>
      <c r="C84" s="13"/>
      <c r="D84" s="13"/>
      <c r="E84" s="13"/>
    </row>
    <row r="85" spans="1:5" x14ac:dyDescent="0.3">
      <c r="A85" s="13"/>
      <c r="B85" s="13"/>
      <c r="C85" s="13"/>
      <c r="D85" s="13"/>
      <c r="E85" s="13"/>
    </row>
    <row r="86" spans="1:5" x14ac:dyDescent="0.3">
      <c r="A86" s="13"/>
      <c r="B86" s="13"/>
      <c r="C86" s="13"/>
      <c r="D86" s="13"/>
      <c r="E86" s="13"/>
    </row>
    <row r="87" spans="1:5" x14ac:dyDescent="0.3">
      <c r="A87" s="13"/>
      <c r="B87" s="13"/>
      <c r="C87" s="13"/>
      <c r="D87" s="13"/>
      <c r="E87" s="13"/>
    </row>
    <row r="88" spans="1:5" x14ac:dyDescent="0.3">
      <c r="A88" s="13"/>
      <c r="B88" s="13"/>
      <c r="C88" s="13"/>
      <c r="D88" s="13"/>
      <c r="E88" s="13"/>
    </row>
    <row r="89" spans="1:5" x14ac:dyDescent="0.3">
      <c r="A89" s="13"/>
      <c r="B89" s="13"/>
      <c r="C89" s="13"/>
      <c r="D89" s="13"/>
      <c r="E89" s="13"/>
    </row>
    <row r="90" spans="1:5" x14ac:dyDescent="0.3">
      <c r="A90" s="13"/>
      <c r="B90" s="13"/>
      <c r="C90" s="13"/>
      <c r="D90" s="13"/>
      <c r="E90" s="13"/>
    </row>
    <row r="91" spans="1:5" x14ac:dyDescent="0.3">
      <c r="A91" s="13"/>
      <c r="B91" s="13"/>
      <c r="C91" s="13"/>
      <c r="D91" s="13"/>
      <c r="E91" s="13"/>
    </row>
    <row r="92" spans="1:5" x14ac:dyDescent="0.3">
      <c r="A92" s="13"/>
      <c r="B92" s="13"/>
      <c r="C92" s="13"/>
      <c r="D92" s="13"/>
      <c r="E92" s="13"/>
    </row>
    <row r="93" spans="1:5" x14ac:dyDescent="0.3">
      <c r="A93" s="13"/>
      <c r="B93" s="13"/>
      <c r="C93" s="13"/>
      <c r="D93" s="13"/>
      <c r="E93" s="13"/>
    </row>
    <row r="94" spans="1:5" x14ac:dyDescent="0.3">
      <c r="A94" s="13"/>
      <c r="B94" s="13"/>
      <c r="C94" s="13"/>
      <c r="D94" s="13"/>
      <c r="E94" s="13"/>
    </row>
    <row r="95" spans="1:5" x14ac:dyDescent="0.3">
      <c r="A95" s="13"/>
      <c r="B95" s="13"/>
      <c r="C95" s="13"/>
      <c r="D95" s="13"/>
      <c r="E95" s="13"/>
    </row>
    <row r="96" spans="1:5" x14ac:dyDescent="0.3">
      <c r="A96" s="13"/>
      <c r="B96" s="13"/>
      <c r="C96" s="13"/>
      <c r="D96" s="13"/>
      <c r="E96" s="13"/>
    </row>
    <row r="97" spans="1:5" x14ac:dyDescent="0.3">
      <c r="A97" s="13"/>
      <c r="B97" s="13"/>
      <c r="C97" s="13"/>
      <c r="D97" s="13"/>
      <c r="E97" s="13"/>
    </row>
    <row r="98" spans="1:5" x14ac:dyDescent="0.3">
      <c r="A98" s="13"/>
      <c r="B98" s="13"/>
      <c r="C98" s="13"/>
      <c r="D98" s="13"/>
      <c r="E98" s="13"/>
    </row>
    <row r="99" spans="1:5" x14ac:dyDescent="0.3">
      <c r="A99" s="13"/>
      <c r="B99" s="13"/>
      <c r="C99" s="13"/>
      <c r="D99" s="13"/>
      <c r="E99" s="13"/>
    </row>
    <row r="100" spans="1:5" x14ac:dyDescent="0.3">
      <c r="A100" s="13"/>
      <c r="B100" s="13"/>
      <c r="C100" s="13"/>
      <c r="D100" s="13"/>
      <c r="E100" s="13"/>
    </row>
    <row r="101" spans="1:5" x14ac:dyDescent="0.3">
      <c r="A101" s="13"/>
      <c r="B101" s="13"/>
      <c r="C101" s="13"/>
      <c r="D101" s="13"/>
      <c r="E101" s="13"/>
    </row>
    <row r="102" spans="1:5" x14ac:dyDescent="0.3">
      <c r="A102" s="13"/>
      <c r="B102" s="13"/>
      <c r="C102" s="13"/>
      <c r="D102" s="13"/>
      <c r="E102" s="13"/>
    </row>
    <row r="103" spans="1:5" x14ac:dyDescent="0.3">
      <c r="A103" s="13"/>
      <c r="B103" s="13"/>
      <c r="C103" s="13"/>
      <c r="D103" s="13"/>
      <c r="E103" s="13"/>
    </row>
    <row r="104" spans="1:5" x14ac:dyDescent="0.3">
      <c r="A104" s="13"/>
      <c r="B104" s="13"/>
      <c r="C104" s="13"/>
      <c r="D104" s="13"/>
      <c r="E104" s="13"/>
    </row>
    <row r="105" spans="1:5" x14ac:dyDescent="0.3">
      <c r="A105" s="13"/>
      <c r="B105" s="13"/>
      <c r="C105" s="13"/>
      <c r="D105" s="13"/>
      <c r="E105" s="13"/>
    </row>
    <row r="106" spans="1:5" x14ac:dyDescent="0.3">
      <c r="A106" s="13"/>
      <c r="B106" s="13"/>
      <c r="C106" s="13"/>
      <c r="D106" s="13"/>
      <c r="E106" s="13"/>
    </row>
    <row r="107" spans="1:5" x14ac:dyDescent="0.3">
      <c r="A107" s="13"/>
      <c r="B107" s="13"/>
      <c r="C107" s="13"/>
      <c r="D107" s="13"/>
      <c r="E107" s="13"/>
    </row>
    <row r="108" spans="1:5" x14ac:dyDescent="0.3">
      <c r="A108" s="13"/>
      <c r="B108" s="13"/>
      <c r="C108" s="13"/>
      <c r="D108" s="13"/>
      <c r="E108" s="13"/>
    </row>
    <row r="109" spans="1:5" x14ac:dyDescent="0.3">
      <c r="A109" s="13"/>
      <c r="B109" s="13"/>
      <c r="C109" s="13"/>
      <c r="D109" s="13"/>
      <c r="E109" s="13"/>
    </row>
    <row r="110" spans="1:5" x14ac:dyDescent="0.3">
      <c r="A110" s="13"/>
      <c r="B110" s="13"/>
      <c r="C110" s="13"/>
      <c r="D110" s="13"/>
      <c r="E110" s="13"/>
    </row>
    <row r="111" spans="1:5" x14ac:dyDescent="0.3">
      <c r="A111" s="13"/>
      <c r="B111" s="13"/>
      <c r="C111" s="13"/>
      <c r="D111" s="13"/>
      <c r="E111" s="13"/>
    </row>
    <row r="112" spans="1:5" x14ac:dyDescent="0.3">
      <c r="A112" s="13"/>
      <c r="B112" s="13"/>
      <c r="C112" s="13"/>
      <c r="D112" s="13"/>
      <c r="E112" s="13"/>
    </row>
    <row r="113" spans="1:5" x14ac:dyDescent="0.3">
      <c r="A113" s="13"/>
      <c r="B113" s="13"/>
      <c r="C113" s="13"/>
      <c r="D113" s="13"/>
      <c r="E113" s="13"/>
    </row>
    <row r="114" spans="1:5" x14ac:dyDescent="0.3">
      <c r="A114" s="13"/>
      <c r="B114" s="13"/>
      <c r="C114" s="13"/>
      <c r="D114" s="13"/>
      <c r="E114" s="13"/>
    </row>
    <row r="115" spans="1:5" x14ac:dyDescent="0.3">
      <c r="A115" s="13"/>
      <c r="B115" s="13"/>
      <c r="C115" s="13"/>
      <c r="D115" s="13"/>
      <c r="E115" s="13"/>
    </row>
    <row r="116" spans="1:5" x14ac:dyDescent="0.3">
      <c r="A116" s="13"/>
      <c r="B116" s="13"/>
      <c r="C116" s="13"/>
      <c r="D116" s="13"/>
      <c r="E116" s="13"/>
    </row>
    <row r="117" spans="1:5" x14ac:dyDescent="0.3">
      <c r="A117" s="13"/>
      <c r="B117" s="13"/>
      <c r="C117" s="13"/>
      <c r="D117" s="13"/>
      <c r="E117" s="13"/>
    </row>
    <row r="118" spans="1:5" x14ac:dyDescent="0.3">
      <c r="A118" s="13"/>
      <c r="B118" s="13"/>
      <c r="C118" s="13"/>
      <c r="D118" s="13"/>
      <c r="E118" s="13"/>
    </row>
    <row r="119" spans="1:5" x14ac:dyDescent="0.3">
      <c r="A119" s="13"/>
      <c r="B119" s="13"/>
      <c r="C119" s="13"/>
      <c r="D119" s="13"/>
      <c r="E119" s="13"/>
    </row>
    <row r="120" spans="1:5" x14ac:dyDescent="0.3">
      <c r="A120" s="13"/>
      <c r="B120" s="13"/>
      <c r="C120" s="13"/>
      <c r="D120" s="13"/>
      <c r="E120" s="13"/>
    </row>
    <row r="121" spans="1:5" x14ac:dyDescent="0.3">
      <c r="A121" s="13"/>
      <c r="B121" s="13"/>
      <c r="C121" s="13"/>
      <c r="D121" s="13"/>
      <c r="E121" s="13"/>
    </row>
    <row r="122" spans="1:5" x14ac:dyDescent="0.3">
      <c r="A122" s="13"/>
      <c r="B122" s="13"/>
      <c r="C122" s="13"/>
      <c r="D122" s="13"/>
      <c r="E122" s="13"/>
    </row>
    <row r="123" spans="1:5" x14ac:dyDescent="0.3">
      <c r="A123" s="13"/>
      <c r="B123" s="13"/>
      <c r="C123" s="13"/>
      <c r="D123" s="13"/>
      <c r="E123" s="13"/>
    </row>
    <row r="124" spans="1:5" x14ac:dyDescent="0.3">
      <c r="A124" s="13"/>
      <c r="B124" s="13"/>
      <c r="C124" s="13"/>
      <c r="D124" s="13"/>
      <c r="E124" s="13"/>
    </row>
    <row r="125" spans="1:5" x14ac:dyDescent="0.3">
      <c r="A125" s="13"/>
      <c r="B125" s="13"/>
      <c r="C125" s="13"/>
      <c r="D125" s="13"/>
      <c r="E125" s="13"/>
    </row>
    <row r="126" spans="1:5" x14ac:dyDescent="0.3">
      <c r="A126" s="13"/>
      <c r="B126" s="13"/>
      <c r="C126" s="13"/>
      <c r="D126" s="13"/>
      <c r="E126" s="13"/>
    </row>
    <row r="127" spans="1:5" x14ac:dyDescent="0.3">
      <c r="A127" s="13"/>
      <c r="B127" s="13"/>
      <c r="C127" s="13"/>
      <c r="D127" s="13"/>
      <c r="E127" s="13"/>
    </row>
    <row r="128" spans="1:5" x14ac:dyDescent="0.3">
      <c r="A128" s="13"/>
      <c r="B128" s="13"/>
      <c r="C128" s="13"/>
      <c r="D128" s="13"/>
      <c r="E128" s="13"/>
    </row>
    <row r="129" spans="1:5" x14ac:dyDescent="0.3">
      <c r="A129" s="13"/>
      <c r="B129" s="13"/>
      <c r="C129" s="13"/>
      <c r="D129" s="13"/>
      <c r="E129" s="13"/>
    </row>
    <row r="130" spans="1:5" x14ac:dyDescent="0.3">
      <c r="A130" s="13"/>
      <c r="B130" s="13"/>
      <c r="C130" s="13"/>
      <c r="D130" s="13"/>
      <c r="E130" s="13"/>
    </row>
    <row r="131" spans="1:5" x14ac:dyDescent="0.3">
      <c r="A131" s="13"/>
      <c r="B131" s="13"/>
      <c r="C131" s="13"/>
      <c r="D131" s="13"/>
      <c r="E131" s="13"/>
    </row>
    <row r="132" spans="1:5" x14ac:dyDescent="0.3">
      <c r="A132" s="13"/>
      <c r="B132" s="13"/>
      <c r="C132" s="13"/>
      <c r="D132" s="13"/>
      <c r="E132" s="13"/>
    </row>
    <row r="133" spans="1:5" x14ac:dyDescent="0.3">
      <c r="A133" s="13"/>
      <c r="B133" s="13"/>
      <c r="C133" s="13"/>
      <c r="D133" s="13"/>
      <c r="E133" s="13"/>
    </row>
    <row r="134" spans="1:5" x14ac:dyDescent="0.3">
      <c r="A134" s="13"/>
      <c r="B134" s="13"/>
      <c r="C134" s="13"/>
      <c r="D134" s="13"/>
      <c r="E134" s="13"/>
    </row>
    <row r="135" spans="1:5" x14ac:dyDescent="0.3">
      <c r="A135" s="13"/>
      <c r="B135" s="13"/>
      <c r="C135" s="13"/>
      <c r="D135" s="13"/>
      <c r="E135" s="13"/>
    </row>
    <row r="136" spans="1:5" x14ac:dyDescent="0.3">
      <c r="A136" s="13"/>
      <c r="B136" s="13"/>
      <c r="C136" s="13"/>
      <c r="D136" s="13"/>
      <c r="E136" s="13"/>
    </row>
    <row r="137" spans="1:5" x14ac:dyDescent="0.3">
      <c r="A137" s="13"/>
      <c r="B137" s="13"/>
      <c r="C137" s="13"/>
      <c r="D137" s="13"/>
      <c r="E137" s="13"/>
    </row>
    <row r="138" spans="1:5" x14ac:dyDescent="0.3">
      <c r="A138" s="13"/>
      <c r="B138" s="13"/>
      <c r="C138" s="13"/>
      <c r="D138" s="13"/>
      <c r="E138" s="13"/>
    </row>
    <row r="139" spans="1:5" x14ac:dyDescent="0.3">
      <c r="A139" s="13"/>
      <c r="B139" s="13"/>
      <c r="C139" s="13"/>
      <c r="D139" s="13"/>
      <c r="E139" s="13"/>
    </row>
    <row r="140" spans="1:5" x14ac:dyDescent="0.3">
      <c r="A140" s="13"/>
      <c r="B140" s="13"/>
      <c r="C140" s="13"/>
      <c r="D140" s="13"/>
      <c r="E140" s="13"/>
    </row>
    <row r="141" spans="1:5" x14ac:dyDescent="0.3">
      <c r="A141" s="13"/>
      <c r="B141" s="13"/>
      <c r="C141" s="13"/>
      <c r="D141" s="13"/>
      <c r="E141" s="13"/>
    </row>
    <row r="142" spans="1:5" x14ac:dyDescent="0.3">
      <c r="A142" s="13"/>
      <c r="B142" s="13"/>
      <c r="C142" s="13"/>
      <c r="D142" s="13"/>
      <c r="E142" s="13"/>
    </row>
    <row r="143" spans="1:5" x14ac:dyDescent="0.3">
      <c r="A143" s="13"/>
      <c r="B143" s="13"/>
      <c r="C143" s="13"/>
      <c r="D143" s="13"/>
      <c r="E143" s="13"/>
    </row>
    <row r="144" spans="1:5" x14ac:dyDescent="0.3">
      <c r="A144" s="13"/>
      <c r="B144" s="13"/>
      <c r="C144" s="13"/>
      <c r="D144" s="13"/>
      <c r="E144" s="13"/>
    </row>
    <row r="145" spans="1:5" x14ac:dyDescent="0.3">
      <c r="A145" s="13"/>
      <c r="B145" s="13"/>
      <c r="C145" s="13"/>
      <c r="D145" s="13"/>
      <c r="E145" s="13"/>
    </row>
    <row r="146" spans="1:5" x14ac:dyDescent="0.3">
      <c r="A146" s="13"/>
      <c r="B146" s="13"/>
      <c r="C146" s="13"/>
      <c r="D146" s="13"/>
      <c r="E146" s="13"/>
    </row>
    <row r="147" spans="1:5" x14ac:dyDescent="0.3">
      <c r="A147" s="13"/>
      <c r="B147" s="13"/>
      <c r="C147" s="13"/>
      <c r="D147" s="13"/>
      <c r="E147" s="13"/>
    </row>
    <row r="148" spans="1:5" x14ac:dyDescent="0.3">
      <c r="A148" s="13"/>
      <c r="B148" s="13"/>
      <c r="C148" s="13"/>
      <c r="D148" s="13"/>
      <c r="E148" s="13"/>
    </row>
    <row r="149" spans="1:5" x14ac:dyDescent="0.3">
      <c r="A149" s="13"/>
      <c r="B149" s="13"/>
      <c r="C149" s="13"/>
      <c r="D149" s="13"/>
      <c r="E149" s="13"/>
    </row>
    <row r="150" spans="1:5" x14ac:dyDescent="0.3">
      <c r="A150" s="13"/>
      <c r="B150" s="13"/>
      <c r="C150" s="13"/>
      <c r="D150" s="13"/>
      <c r="E150" s="13"/>
    </row>
    <row r="151" spans="1:5" x14ac:dyDescent="0.3">
      <c r="A151" s="13"/>
      <c r="B151" s="13"/>
      <c r="C151" s="13"/>
      <c r="D151" s="13"/>
      <c r="E151" s="13"/>
    </row>
    <row r="152" spans="1:5" x14ac:dyDescent="0.3">
      <c r="A152" s="13"/>
      <c r="B152" s="13"/>
      <c r="C152" s="13"/>
      <c r="D152" s="13"/>
      <c r="E152" s="13"/>
    </row>
    <row r="153" spans="1:5" x14ac:dyDescent="0.3">
      <c r="A153" s="13"/>
      <c r="B153" s="13"/>
      <c r="C153" s="13"/>
      <c r="D153" s="13"/>
      <c r="E153" s="13"/>
    </row>
    <row r="154" spans="1:5" x14ac:dyDescent="0.3">
      <c r="A154" s="13"/>
      <c r="B154" s="13"/>
      <c r="C154" s="13"/>
      <c r="D154" s="13"/>
      <c r="E154" s="13"/>
    </row>
    <row r="155" spans="1:5" x14ac:dyDescent="0.3">
      <c r="A155" s="13"/>
      <c r="B155" s="13"/>
      <c r="C155" s="13"/>
      <c r="D155" s="13"/>
      <c r="E155" s="13"/>
    </row>
    <row r="156" spans="1:5" x14ac:dyDescent="0.3">
      <c r="A156" s="13"/>
      <c r="B156" s="13"/>
      <c r="C156" s="13"/>
      <c r="D156" s="13"/>
      <c r="E156" s="13"/>
    </row>
    <row r="157" spans="1:5" x14ac:dyDescent="0.3">
      <c r="A157" s="13"/>
      <c r="B157" s="13"/>
      <c r="C157" s="13"/>
      <c r="D157" s="13"/>
      <c r="E157" s="13"/>
    </row>
    <row r="158" spans="1:5" x14ac:dyDescent="0.3">
      <c r="A158" s="13"/>
      <c r="B158" s="13"/>
      <c r="C158" s="13"/>
      <c r="D158" s="13"/>
      <c r="E158" s="13"/>
    </row>
    <row r="159" spans="1:5" x14ac:dyDescent="0.3">
      <c r="A159" s="13"/>
      <c r="B159" s="13"/>
      <c r="C159" s="13"/>
      <c r="D159" s="13"/>
      <c r="E159" s="13"/>
    </row>
    <row r="160" spans="1:5" x14ac:dyDescent="0.3">
      <c r="A160" s="13"/>
      <c r="B160" s="13"/>
      <c r="C160" s="13"/>
      <c r="D160" s="13"/>
      <c r="E160" s="13"/>
    </row>
    <row r="161" spans="1:5" x14ac:dyDescent="0.3">
      <c r="A161" s="13"/>
      <c r="B161" s="13"/>
      <c r="C161" s="13"/>
      <c r="D161" s="13"/>
      <c r="E161" s="13"/>
    </row>
    <row r="162" spans="1:5" x14ac:dyDescent="0.3">
      <c r="A162" s="13"/>
      <c r="B162" s="13"/>
      <c r="C162" s="13"/>
      <c r="D162" s="13"/>
      <c r="E162" s="13"/>
    </row>
    <row r="163" spans="1:5" x14ac:dyDescent="0.3">
      <c r="A163" s="13"/>
      <c r="B163" s="13"/>
      <c r="C163" s="13"/>
      <c r="D163" s="13"/>
      <c r="E163" s="13"/>
    </row>
    <row r="164" spans="1:5" x14ac:dyDescent="0.3">
      <c r="A164" s="13"/>
      <c r="B164" s="13"/>
      <c r="C164" s="13"/>
      <c r="D164" s="13"/>
      <c r="E164" s="13"/>
    </row>
    <row r="165" spans="1:5" x14ac:dyDescent="0.3">
      <c r="A165" s="13"/>
      <c r="B165" s="13"/>
      <c r="C165" s="13"/>
      <c r="D165" s="13"/>
      <c r="E165" s="13"/>
    </row>
    <row r="166" spans="1:5" x14ac:dyDescent="0.3">
      <c r="A166" s="13"/>
      <c r="B166" s="13"/>
      <c r="C166" s="13"/>
      <c r="D166" s="13"/>
      <c r="E166" s="13"/>
    </row>
    <row r="167" spans="1:5" x14ac:dyDescent="0.3">
      <c r="A167" s="13"/>
      <c r="B167" s="13"/>
      <c r="C167" s="13"/>
      <c r="D167" s="13"/>
      <c r="E167" s="13"/>
    </row>
    <row r="168" spans="1:5" x14ac:dyDescent="0.3">
      <c r="A168" s="13"/>
      <c r="B168" s="13"/>
      <c r="C168" s="13"/>
      <c r="D168" s="13"/>
      <c r="E168" s="13"/>
    </row>
    <row r="169" spans="1:5" x14ac:dyDescent="0.3">
      <c r="A169" s="13"/>
      <c r="B169" s="13"/>
      <c r="C169" s="13"/>
      <c r="D169" s="13"/>
      <c r="E169" s="13"/>
    </row>
    <row r="170" spans="1:5" x14ac:dyDescent="0.3">
      <c r="A170" s="13"/>
      <c r="B170" s="13"/>
      <c r="C170" s="13"/>
      <c r="D170" s="13"/>
      <c r="E170" s="13"/>
    </row>
    <row r="171" spans="1:5" x14ac:dyDescent="0.3">
      <c r="A171" s="13"/>
      <c r="B171" s="13"/>
      <c r="C171" s="13"/>
      <c r="D171" s="13"/>
      <c r="E171" s="13"/>
    </row>
    <row r="172" spans="1:5" x14ac:dyDescent="0.3">
      <c r="A172" s="13"/>
      <c r="B172" s="13"/>
      <c r="C172" s="13"/>
      <c r="D172" s="13"/>
      <c r="E172" s="13"/>
    </row>
    <row r="173" spans="1:5" x14ac:dyDescent="0.3">
      <c r="A173" s="13"/>
      <c r="B173" s="13"/>
      <c r="C173" s="13"/>
      <c r="D173" s="13"/>
      <c r="E173" s="13"/>
    </row>
    <row r="174" spans="1:5" x14ac:dyDescent="0.3">
      <c r="A174" s="13"/>
      <c r="B174" s="13"/>
      <c r="C174" s="13"/>
      <c r="D174" s="13"/>
      <c r="E174" s="13"/>
    </row>
    <row r="175" spans="1:5" x14ac:dyDescent="0.3">
      <c r="A175" s="13"/>
      <c r="B175" s="13"/>
      <c r="C175" s="13"/>
      <c r="D175" s="13"/>
      <c r="E175" s="13"/>
    </row>
    <row r="176" spans="1:5" x14ac:dyDescent="0.3">
      <c r="A176" s="13"/>
      <c r="B176" s="13"/>
      <c r="C176" s="13"/>
      <c r="D176" s="13"/>
      <c r="E176" s="13"/>
    </row>
    <row r="177" spans="1:5" x14ac:dyDescent="0.3">
      <c r="A177" s="13"/>
      <c r="B177" s="13"/>
      <c r="C177" s="13"/>
      <c r="D177" s="13"/>
      <c r="E177" s="13"/>
    </row>
    <row r="178" spans="1:5" x14ac:dyDescent="0.3">
      <c r="A178" s="13"/>
      <c r="B178" s="13"/>
      <c r="C178" s="13"/>
      <c r="D178" s="13"/>
      <c r="E178" s="13"/>
    </row>
    <row r="179" spans="1:5" x14ac:dyDescent="0.3">
      <c r="A179" s="13"/>
      <c r="B179" s="13"/>
      <c r="C179" s="13"/>
      <c r="D179" s="13"/>
      <c r="E179" s="13"/>
    </row>
    <row r="180" spans="1:5" x14ac:dyDescent="0.3">
      <c r="A180" s="13"/>
      <c r="B180" s="13"/>
      <c r="C180" s="13"/>
      <c r="D180" s="13"/>
      <c r="E180" s="13"/>
    </row>
    <row r="181" spans="1:5" x14ac:dyDescent="0.3">
      <c r="A181" s="13"/>
      <c r="B181" s="13"/>
      <c r="C181" s="13"/>
      <c r="D181" s="13"/>
      <c r="E181" s="13"/>
    </row>
    <row r="182" spans="1:5" x14ac:dyDescent="0.3">
      <c r="A182" s="13"/>
      <c r="B182" s="13"/>
      <c r="C182" s="13"/>
      <c r="D182" s="13"/>
      <c r="E182" s="13"/>
    </row>
    <row r="183" spans="1:5" x14ac:dyDescent="0.3">
      <c r="A183" s="13"/>
      <c r="B183" s="13"/>
      <c r="C183" s="13"/>
      <c r="D183" s="13"/>
      <c r="E183" s="13"/>
    </row>
    <row r="184" spans="1:5" x14ac:dyDescent="0.3">
      <c r="A184" s="13"/>
      <c r="B184" s="13"/>
      <c r="C184" s="13"/>
      <c r="D184" s="13"/>
      <c r="E184" s="13"/>
    </row>
    <row r="185" spans="1:5" x14ac:dyDescent="0.3">
      <c r="A185" s="13"/>
      <c r="B185" s="13"/>
      <c r="C185" s="13"/>
      <c r="D185" s="13"/>
      <c r="E185" s="13"/>
    </row>
    <row r="186" spans="1:5" x14ac:dyDescent="0.3">
      <c r="A186" s="13"/>
      <c r="B186" s="13"/>
      <c r="C186" s="13"/>
      <c r="D186" s="13"/>
      <c r="E186" s="13"/>
    </row>
    <row r="187" spans="1:5" x14ac:dyDescent="0.3">
      <c r="A187" s="13"/>
      <c r="B187" s="13"/>
      <c r="C187" s="13"/>
      <c r="D187" s="13"/>
      <c r="E187" s="13"/>
    </row>
    <row r="188" spans="1:5" x14ac:dyDescent="0.3">
      <c r="A188" s="13"/>
      <c r="B188" s="13"/>
      <c r="C188" s="13"/>
      <c r="D188" s="13"/>
      <c r="E188" s="13"/>
    </row>
    <row r="189" spans="1:5" x14ac:dyDescent="0.3">
      <c r="A189" s="13"/>
      <c r="B189" s="13"/>
      <c r="C189" s="13"/>
      <c r="D189" s="13"/>
      <c r="E189" s="13"/>
    </row>
    <row r="190" spans="1:5" x14ac:dyDescent="0.3">
      <c r="A190" s="13"/>
      <c r="B190" s="13"/>
      <c r="C190" s="13"/>
      <c r="D190" s="13"/>
      <c r="E190" s="13"/>
    </row>
    <row r="191" spans="1:5" x14ac:dyDescent="0.3">
      <c r="A191" s="13"/>
      <c r="B191" s="13"/>
      <c r="C191" s="13"/>
      <c r="D191" s="13"/>
      <c r="E191" s="13"/>
    </row>
    <row r="192" spans="1:5" x14ac:dyDescent="0.3">
      <c r="A192" s="13"/>
      <c r="B192" s="13"/>
      <c r="C192" s="13"/>
      <c r="D192" s="13"/>
      <c r="E192" s="13"/>
    </row>
    <row r="193" spans="1:5" x14ac:dyDescent="0.3">
      <c r="A193" s="13"/>
      <c r="B193" s="13"/>
      <c r="C193" s="13"/>
      <c r="D193" s="13"/>
      <c r="E193" s="13"/>
    </row>
    <row r="194" spans="1:5" x14ac:dyDescent="0.3">
      <c r="A194" s="13"/>
      <c r="B194" s="13"/>
      <c r="C194" s="13"/>
      <c r="D194" s="13"/>
      <c r="E194" s="13"/>
    </row>
    <row r="195" spans="1:5" x14ac:dyDescent="0.3">
      <c r="A195" s="13"/>
      <c r="B195" s="13"/>
      <c r="C195" s="13"/>
      <c r="D195" s="13"/>
      <c r="E195" s="13"/>
    </row>
    <row r="196" spans="1:5" x14ac:dyDescent="0.3">
      <c r="A196" s="13"/>
      <c r="B196" s="13"/>
      <c r="C196" s="13"/>
      <c r="D196" s="13"/>
      <c r="E196" s="13"/>
    </row>
    <row r="197" spans="1:5" x14ac:dyDescent="0.3">
      <c r="A197" s="13"/>
      <c r="B197" s="13"/>
      <c r="C197" s="13"/>
      <c r="D197" s="13"/>
      <c r="E197" s="13"/>
    </row>
    <row r="198" spans="1:5" x14ac:dyDescent="0.3">
      <c r="A198" s="13"/>
      <c r="B198" s="13"/>
      <c r="C198" s="13"/>
      <c r="D198" s="13"/>
      <c r="E198" s="13"/>
    </row>
    <row r="199" spans="1:5" x14ac:dyDescent="0.3">
      <c r="A199" s="13"/>
      <c r="B199" s="13"/>
      <c r="C199" s="13"/>
      <c r="D199" s="13"/>
      <c r="E199" s="13"/>
    </row>
    <row r="200" spans="1:5" x14ac:dyDescent="0.3">
      <c r="A200" s="13"/>
      <c r="B200" s="13"/>
      <c r="C200" s="13"/>
      <c r="D200" s="13"/>
      <c r="E200" s="13"/>
    </row>
    <row r="201" spans="1:5" x14ac:dyDescent="0.3">
      <c r="A201" s="13"/>
      <c r="B201" s="13"/>
      <c r="C201" s="13"/>
      <c r="D201" s="13"/>
      <c r="E201" s="13"/>
    </row>
    <row r="202" spans="1:5" x14ac:dyDescent="0.3">
      <c r="A202" s="13"/>
      <c r="B202" s="13"/>
      <c r="C202" s="13"/>
      <c r="D202" s="13"/>
      <c r="E202" s="13"/>
    </row>
    <row r="203" spans="1:5" x14ac:dyDescent="0.3">
      <c r="A203" s="13"/>
      <c r="B203" s="13"/>
      <c r="C203" s="13"/>
      <c r="D203" s="13"/>
      <c r="E203" s="13"/>
    </row>
    <row r="204" spans="1:5" x14ac:dyDescent="0.3">
      <c r="A204" s="13"/>
      <c r="B204" s="13"/>
      <c r="C204" s="13"/>
      <c r="D204" s="13"/>
      <c r="E204" s="13"/>
    </row>
    <row r="205" spans="1:5" x14ac:dyDescent="0.3">
      <c r="A205" s="13"/>
      <c r="B205" s="13"/>
      <c r="C205" s="13"/>
      <c r="D205" s="13"/>
      <c r="E205" s="13"/>
    </row>
    <row r="206" spans="1:5" x14ac:dyDescent="0.3">
      <c r="A206" s="13"/>
      <c r="B206" s="13"/>
      <c r="C206" s="13"/>
      <c r="D206" s="13"/>
      <c r="E206" s="13"/>
    </row>
    <row r="207" spans="1:5" x14ac:dyDescent="0.3">
      <c r="A207" s="13"/>
      <c r="B207" s="13"/>
      <c r="C207" s="13"/>
      <c r="D207" s="13"/>
      <c r="E207" s="13"/>
    </row>
    <row r="208" spans="1:5" x14ac:dyDescent="0.3">
      <c r="A208" s="13"/>
      <c r="B208" s="13"/>
      <c r="C208" s="13"/>
      <c r="D208" s="13"/>
      <c r="E208" s="13"/>
    </row>
    <row r="209" spans="1:5" x14ac:dyDescent="0.3">
      <c r="A209" s="13"/>
      <c r="B209" s="13"/>
      <c r="C209" s="13"/>
      <c r="D209" s="13"/>
      <c r="E209" s="13"/>
    </row>
    <row r="210" spans="1:5" x14ac:dyDescent="0.3">
      <c r="A210" s="13"/>
      <c r="B210" s="13"/>
      <c r="C210" s="13"/>
      <c r="D210" s="13"/>
      <c r="E210" s="13"/>
    </row>
    <row r="211" spans="1:5" x14ac:dyDescent="0.3">
      <c r="A211" s="13"/>
      <c r="B211" s="13"/>
      <c r="C211" s="13"/>
      <c r="D211" s="13"/>
      <c r="E211" s="13"/>
    </row>
    <row r="212" spans="1:5" x14ac:dyDescent="0.3">
      <c r="A212" s="13"/>
      <c r="B212" s="13"/>
      <c r="C212" s="13"/>
      <c r="D212" s="13"/>
      <c r="E212" s="13"/>
    </row>
    <row r="213" spans="1:5" x14ac:dyDescent="0.3">
      <c r="A213" s="13"/>
      <c r="B213" s="13"/>
      <c r="C213" s="13"/>
      <c r="D213" s="13"/>
      <c r="E213" s="13"/>
    </row>
    <row r="214" spans="1:5" x14ac:dyDescent="0.3">
      <c r="A214" s="13"/>
      <c r="B214" s="13"/>
      <c r="C214" s="13"/>
      <c r="D214" s="13"/>
      <c r="E214" s="13"/>
    </row>
    <row r="215" spans="1:5" x14ac:dyDescent="0.3">
      <c r="A215" s="13"/>
      <c r="B215" s="13"/>
      <c r="C215" s="13"/>
      <c r="D215" s="13"/>
      <c r="E215" s="13"/>
    </row>
    <row r="216" spans="1:5" x14ac:dyDescent="0.3">
      <c r="A216" s="13"/>
      <c r="B216" s="13"/>
      <c r="C216" s="13"/>
      <c r="D216" s="13"/>
      <c r="E216" s="13"/>
    </row>
    <row r="217" spans="1:5" x14ac:dyDescent="0.3">
      <c r="A217" s="13"/>
      <c r="B217" s="13"/>
      <c r="C217" s="13"/>
      <c r="D217" s="13"/>
      <c r="E217" s="13"/>
    </row>
    <row r="218" spans="1:5" x14ac:dyDescent="0.3">
      <c r="A218" s="13"/>
      <c r="B218" s="13"/>
      <c r="C218" s="13"/>
      <c r="D218" s="13"/>
      <c r="E218" s="13"/>
    </row>
    <row r="219" spans="1:5" x14ac:dyDescent="0.3">
      <c r="A219" s="13"/>
      <c r="B219" s="13"/>
      <c r="C219" s="13"/>
      <c r="D219" s="13"/>
      <c r="E219" s="13"/>
    </row>
    <row r="220" spans="1:5" x14ac:dyDescent="0.3">
      <c r="A220" s="13"/>
      <c r="B220" s="13"/>
      <c r="C220" s="13"/>
      <c r="D220" s="13"/>
      <c r="E220" s="13"/>
    </row>
    <row r="221" spans="1:5" x14ac:dyDescent="0.3">
      <c r="A221" s="13"/>
      <c r="B221" s="13"/>
      <c r="C221" s="13"/>
      <c r="D221" s="13"/>
      <c r="E221" s="13"/>
    </row>
    <row r="222" spans="1:5" x14ac:dyDescent="0.3">
      <c r="A222" s="13"/>
      <c r="B222" s="13"/>
      <c r="C222" s="13"/>
      <c r="D222" s="13"/>
      <c r="E222" s="13"/>
    </row>
    <row r="223" spans="1:5" x14ac:dyDescent="0.3">
      <c r="A223" s="13"/>
      <c r="B223" s="13"/>
      <c r="C223" s="13"/>
      <c r="D223" s="13"/>
      <c r="E223" s="13"/>
    </row>
    <row r="224" spans="1:5" x14ac:dyDescent="0.3">
      <c r="A224" s="13"/>
      <c r="B224" s="13"/>
      <c r="C224" s="13"/>
      <c r="D224" s="13"/>
      <c r="E224" s="13"/>
    </row>
    <row r="225" spans="1:5" x14ac:dyDescent="0.3">
      <c r="A225" s="13"/>
      <c r="B225" s="13"/>
      <c r="C225" s="13"/>
      <c r="D225" s="13"/>
      <c r="E225" s="13"/>
    </row>
    <row r="226" spans="1:5" x14ac:dyDescent="0.3">
      <c r="A226" s="13"/>
      <c r="B226" s="13"/>
      <c r="C226" s="13"/>
      <c r="D226" s="13"/>
      <c r="E226" s="13"/>
    </row>
    <row r="227" spans="1:5" x14ac:dyDescent="0.3">
      <c r="A227" s="13"/>
      <c r="B227" s="13"/>
      <c r="C227" s="13"/>
      <c r="D227" s="13"/>
      <c r="E227" s="13"/>
    </row>
    <row r="228" spans="1:5" x14ac:dyDescent="0.3">
      <c r="A228" s="13"/>
      <c r="B228" s="13"/>
      <c r="C228" s="13"/>
      <c r="D228" s="13"/>
      <c r="E228" s="13"/>
    </row>
    <row r="229" spans="1:5" x14ac:dyDescent="0.3">
      <c r="A229" s="13"/>
      <c r="B229" s="13"/>
      <c r="C229" s="13"/>
      <c r="D229" s="13"/>
      <c r="E229" s="13"/>
    </row>
    <row r="230" spans="1:5" x14ac:dyDescent="0.3">
      <c r="A230" s="13"/>
      <c r="B230" s="13"/>
      <c r="C230" s="13"/>
      <c r="D230" s="13"/>
      <c r="E230" s="13"/>
    </row>
    <row r="231" spans="1:5" x14ac:dyDescent="0.3">
      <c r="A231" s="13"/>
      <c r="B231" s="13"/>
      <c r="C231" s="13"/>
      <c r="D231" s="13"/>
      <c r="E231" s="13"/>
    </row>
    <row r="232" spans="1:5" x14ac:dyDescent="0.3">
      <c r="A232" s="13"/>
      <c r="B232" s="13"/>
      <c r="C232" s="13"/>
      <c r="D232" s="13"/>
      <c r="E232" s="13"/>
    </row>
    <row r="233" spans="1:5" x14ac:dyDescent="0.3">
      <c r="A233" s="13"/>
      <c r="B233" s="13"/>
      <c r="C233" s="13"/>
      <c r="D233" s="13"/>
      <c r="E233" s="13"/>
    </row>
    <row r="234" spans="1:5" x14ac:dyDescent="0.3">
      <c r="A234" s="13"/>
      <c r="B234" s="13"/>
      <c r="C234" s="13"/>
      <c r="D234" s="13"/>
      <c r="E234" s="13"/>
    </row>
    <row r="235" spans="1:5" x14ac:dyDescent="0.3">
      <c r="A235" s="13"/>
      <c r="B235" s="13"/>
      <c r="C235" s="13"/>
      <c r="D235" s="13"/>
      <c r="E235" s="13"/>
    </row>
    <row r="236" spans="1:5" x14ac:dyDescent="0.3">
      <c r="A236" s="13"/>
      <c r="B236" s="13"/>
      <c r="C236" s="13"/>
      <c r="D236" s="13"/>
      <c r="E236" s="13"/>
    </row>
    <row r="237" spans="1:5" x14ac:dyDescent="0.3">
      <c r="A237" s="13"/>
      <c r="B237" s="13"/>
      <c r="C237" s="13"/>
      <c r="D237" s="13"/>
      <c r="E237" s="13"/>
    </row>
    <row r="238" spans="1:5" x14ac:dyDescent="0.3">
      <c r="A238" s="13"/>
      <c r="B238" s="13"/>
      <c r="C238" s="13"/>
      <c r="D238" s="13"/>
      <c r="E238" s="13"/>
    </row>
    <row r="239" spans="1:5" x14ac:dyDescent="0.3">
      <c r="A239" s="13"/>
      <c r="B239" s="13"/>
      <c r="C239" s="13"/>
      <c r="D239" s="13"/>
      <c r="E239" s="13"/>
    </row>
    <row r="240" spans="1:5" x14ac:dyDescent="0.3">
      <c r="A240" s="13"/>
      <c r="B240" s="13"/>
      <c r="C240" s="13"/>
      <c r="D240" s="13"/>
      <c r="E240" s="13"/>
    </row>
    <row r="241" spans="1:5" x14ac:dyDescent="0.3">
      <c r="A241" s="13"/>
      <c r="B241" s="13"/>
      <c r="C241" s="13"/>
      <c r="D241" s="13"/>
      <c r="E241" s="13"/>
    </row>
    <row r="242" spans="1:5" x14ac:dyDescent="0.3">
      <c r="A242" s="13"/>
      <c r="B242" s="13"/>
      <c r="C242" s="13"/>
      <c r="D242" s="13"/>
      <c r="E242" s="13"/>
    </row>
    <row r="243" spans="1:5" x14ac:dyDescent="0.3">
      <c r="A243" s="13"/>
      <c r="B243" s="13"/>
      <c r="C243" s="13"/>
      <c r="D243" s="13"/>
      <c r="E243" s="13"/>
    </row>
    <row r="244" spans="1:5" x14ac:dyDescent="0.3">
      <c r="A244" s="13"/>
      <c r="B244" s="13"/>
      <c r="C244" s="13"/>
      <c r="D244" s="13"/>
      <c r="E244" s="13"/>
    </row>
    <row r="245" spans="1:5" x14ac:dyDescent="0.3">
      <c r="A245" s="13"/>
      <c r="B245" s="13"/>
      <c r="C245" s="13"/>
      <c r="D245" s="13"/>
      <c r="E245" s="13"/>
    </row>
    <row r="246" spans="1:5" x14ac:dyDescent="0.3">
      <c r="A246" s="13"/>
      <c r="B246" s="13"/>
      <c r="C246" s="13"/>
      <c r="D246" s="13"/>
      <c r="E246" s="13"/>
    </row>
    <row r="247" spans="1:5" x14ac:dyDescent="0.3">
      <c r="A247" s="13"/>
      <c r="B247" s="13"/>
      <c r="C247" s="13"/>
      <c r="D247" s="13"/>
      <c r="E247" s="13"/>
    </row>
    <row r="248" spans="1:5" x14ac:dyDescent="0.3">
      <c r="A248" s="13"/>
      <c r="B248" s="13"/>
      <c r="C248" s="13"/>
      <c r="D248" s="13"/>
      <c r="E248" s="13"/>
    </row>
    <row r="249" spans="1:5" x14ac:dyDescent="0.3">
      <c r="A249" s="13"/>
      <c r="B249" s="13"/>
      <c r="C249" s="13"/>
      <c r="D249" s="13"/>
      <c r="E249" s="13"/>
    </row>
    <row r="250" spans="1:5" x14ac:dyDescent="0.3">
      <c r="A250" s="13"/>
      <c r="B250" s="13"/>
      <c r="C250" s="13"/>
      <c r="D250" s="13"/>
      <c r="E250" s="13"/>
    </row>
    <row r="251" spans="1:5" x14ac:dyDescent="0.3">
      <c r="A251" s="13"/>
      <c r="B251" s="13"/>
      <c r="C251" s="13"/>
      <c r="D251" s="13"/>
      <c r="E251" s="13"/>
    </row>
    <row r="252" spans="1:5" x14ac:dyDescent="0.3">
      <c r="A252" s="13"/>
      <c r="B252" s="13"/>
      <c r="C252" s="13"/>
      <c r="D252" s="13"/>
      <c r="E252" s="13"/>
    </row>
    <row r="253" spans="1:5" x14ac:dyDescent="0.3">
      <c r="A253" s="13"/>
      <c r="B253" s="13"/>
      <c r="C253" s="13"/>
      <c r="D253" s="13"/>
      <c r="E253" s="13"/>
    </row>
    <row r="254" spans="1:5" x14ac:dyDescent="0.3">
      <c r="A254" s="13"/>
      <c r="B254" s="13"/>
      <c r="C254" s="13"/>
      <c r="D254" s="13"/>
      <c r="E254" s="13"/>
    </row>
    <row r="255" spans="1:5" x14ac:dyDescent="0.3">
      <c r="A255" s="13"/>
      <c r="B255" s="13"/>
      <c r="C255" s="13"/>
      <c r="D255" s="13"/>
      <c r="E255" s="13"/>
    </row>
    <row r="256" spans="1:5" x14ac:dyDescent="0.3">
      <c r="A256" s="13"/>
      <c r="B256" s="13"/>
      <c r="C256" s="13"/>
      <c r="D256" s="13"/>
      <c r="E256" s="13"/>
    </row>
    <row r="257" spans="1:5" x14ac:dyDescent="0.3">
      <c r="A257" s="13"/>
      <c r="B257" s="13"/>
      <c r="C257" s="13"/>
      <c r="D257" s="13"/>
      <c r="E257" s="13"/>
    </row>
    <row r="258" spans="1:5" x14ac:dyDescent="0.3">
      <c r="A258" s="13"/>
      <c r="B258" s="13"/>
      <c r="C258" s="13"/>
      <c r="D258" s="13"/>
      <c r="E258" s="13"/>
    </row>
    <row r="259" spans="1:5" x14ac:dyDescent="0.3">
      <c r="A259" s="13"/>
      <c r="B259" s="13"/>
      <c r="C259" s="13"/>
      <c r="D259" s="13"/>
      <c r="E259" s="13"/>
    </row>
    <row r="260" spans="1:5" x14ac:dyDescent="0.3">
      <c r="A260" s="13"/>
      <c r="B260" s="13"/>
      <c r="C260" s="13"/>
      <c r="D260" s="13"/>
      <c r="E260" s="13"/>
    </row>
    <row r="261" spans="1:5" x14ac:dyDescent="0.3">
      <c r="A261" s="13"/>
      <c r="B261" s="13"/>
      <c r="C261" s="13"/>
      <c r="D261" s="13"/>
      <c r="E261" s="13"/>
    </row>
    <row r="262" spans="1:5" x14ac:dyDescent="0.3">
      <c r="A262" s="13"/>
      <c r="B262" s="13"/>
      <c r="C262" s="13"/>
      <c r="D262" s="13"/>
      <c r="E262" s="13"/>
    </row>
    <row r="263" spans="1:5" x14ac:dyDescent="0.3">
      <c r="A263" s="13"/>
      <c r="B263" s="13"/>
      <c r="C263" s="13"/>
      <c r="D263" s="13"/>
      <c r="E263" s="13"/>
    </row>
    <row r="264" spans="1:5" x14ac:dyDescent="0.3">
      <c r="A264" s="13"/>
      <c r="B264" s="13"/>
      <c r="C264" s="13"/>
      <c r="D264" s="13"/>
      <c r="E264" s="13"/>
    </row>
    <row r="265" spans="1:5" x14ac:dyDescent="0.3">
      <c r="A265" s="13"/>
      <c r="B265" s="13"/>
      <c r="C265" s="13"/>
      <c r="D265" s="13"/>
      <c r="E265" s="13"/>
    </row>
    <row r="266" spans="1:5" x14ac:dyDescent="0.3">
      <c r="A266" s="13"/>
      <c r="B266" s="13"/>
      <c r="C266" s="13"/>
      <c r="D266" s="13"/>
      <c r="E266" s="13"/>
    </row>
    <row r="267" spans="1:5" x14ac:dyDescent="0.3">
      <c r="A267" s="13"/>
      <c r="B267" s="13"/>
      <c r="C267" s="13"/>
      <c r="D267" s="13"/>
      <c r="E267" s="13"/>
    </row>
    <row r="268" spans="1:5" x14ac:dyDescent="0.3">
      <c r="A268" s="13"/>
      <c r="B268" s="13"/>
      <c r="C268" s="13"/>
      <c r="D268" s="13"/>
      <c r="E268" s="13"/>
    </row>
    <row r="269" spans="1:5" x14ac:dyDescent="0.3">
      <c r="A269" s="13"/>
      <c r="B269" s="13"/>
      <c r="C269" s="13"/>
      <c r="D269" s="13"/>
      <c r="E269" s="13"/>
    </row>
    <row r="270" spans="1:5" x14ac:dyDescent="0.3">
      <c r="A270" s="13"/>
      <c r="B270" s="13"/>
      <c r="C270" s="13"/>
      <c r="D270" s="13"/>
      <c r="E270" s="13"/>
    </row>
    <row r="271" spans="1:5" x14ac:dyDescent="0.3">
      <c r="A271" s="13"/>
      <c r="B271" s="13"/>
      <c r="C271" s="13"/>
      <c r="D271" s="13"/>
      <c r="E271" s="13"/>
    </row>
    <row r="272" spans="1:5" x14ac:dyDescent="0.3">
      <c r="A272" s="13"/>
      <c r="B272" s="13"/>
      <c r="C272" s="13"/>
      <c r="D272" s="13"/>
      <c r="E272" s="13"/>
    </row>
    <row r="273" spans="1:5" x14ac:dyDescent="0.3">
      <c r="A273" s="13"/>
      <c r="B273" s="13"/>
      <c r="C273" s="13"/>
      <c r="D273" s="13"/>
      <c r="E273" s="13"/>
    </row>
    <row r="274" spans="1:5" x14ac:dyDescent="0.3">
      <c r="A274" s="13"/>
      <c r="B274" s="13"/>
      <c r="C274" s="13"/>
      <c r="D274" s="13"/>
      <c r="E274" s="13"/>
    </row>
    <row r="275" spans="1:5" x14ac:dyDescent="0.3">
      <c r="A275" s="13"/>
      <c r="B275" s="13"/>
      <c r="C275" s="13"/>
      <c r="D275" s="13"/>
      <c r="E275" s="13"/>
    </row>
    <row r="276" spans="1:5" x14ac:dyDescent="0.3">
      <c r="A276" s="13"/>
      <c r="B276" s="13"/>
      <c r="C276" s="13"/>
      <c r="D276" s="13"/>
      <c r="E276" s="13"/>
    </row>
    <row r="277" spans="1:5" x14ac:dyDescent="0.3">
      <c r="A277" s="13"/>
      <c r="B277" s="13"/>
      <c r="C277" s="13"/>
      <c r="D277" s="13"/>
      <c r="E277" s="13"/>
    </row>
    <row r="278" spans="1:5" x14ac:dyDescent="0.3">
      <c r="A278" s="13"/>
      <c r="B278" s="13"/>
      <c r="C278" s="13"/>
      <c r="D278" s="13"/>
      <c r="E278" s="13"/>
    </row>
    <row r="279" spans="1:5" x14ac:dyDescent="0.3">
      <c r="A279" s="13"/>
      <c r="B279" s="13"/>
      <c r="C279" s="13"/>
      <c r="D279" s="13"/>
      <c r="E279" s="13"/>
    </row>
    <row r="280" spans="1:5" x14ac:dyDescent="0.3">
      <c r="A280" s="13"/>
      <c r="B280" s="13"/>
      <c r="C280" s="13"/>
      <c r="D280" s="13"/>
      <c r="E280" s="13"/>
    </row>
    <row r="281" spans="1:5" x14ac:dyDescent="0.3">
      <c r="A281" s="13"/>
      <c r="B281" s="13"/>
      <c r="C281" s="13"/>
      <c r="D281" s="13"/>
      <c r="E281" s="13"/>
    </row>
    <row r="282" spans="1:5" x14ac:dyDescent="0.3">
      <c r="A282" s="13"/>
      <c r="B282" s="13"/>
      <c r="C282" s="13"/>
      <c r="D282" s="13"/>
      <c r="E282" s="13"/>
    </row>
    <row r="283" spans="1:5" x14ac:dyDescent="0.3">
      <c r="A283" s="13"/>
      <c r="B283" s="13"/>
      <c r="C283" s="13"/>
      <c r="D283" s="13"/>
      <c r="E283" s="13"/>
    </row>
    <row r="284" spans="1:5" x14ac:dyDescent="0.3">
      <c r="A284" s="13"/>
      <c r="B284" s="13"/>
      <c r="C284" s="13"/>
      <c r="D284" s="13"/>
      <c r="E284" s="13"/>
    </row>
    <row r="285" spans="1:5" x14ac:dyDescent="0.3">
      <c r="A285" s="13"/>
      <c r="B285" s="13"/>
      <c r="C285" s="13"/>
      <c r="D285" s="13"/>
      <c r="E285" s="13"/>
    </row>
    <row r="286" spans="1:5" x14ac:dyDescent="0.3">
      <c r="A286" s="13"/>
      <c r="B286" s="13"/>
      <c r="C286" s="13"/>
      <c r="D286" s="13"/>
      <c r="E286" s="13"/>
    </row>
    <row r="287" spans="1:5" x14ac:dyDescent="0.3">
      <c r="A287" s="13"/>
      <c r="B287" s="13"/>
      <c r="C287" s="13"/>
      <c r="D287" s="13"/>
      <c r="E287" s="13"/>
    </row>
    <row r="288" spans="1:5" x14ac:dyDescent="0.3">
      <c r="A288" s="13"/>
      <c r="B288" s="13"/>
      <c r="C288" s="13"/>
      <c r="D288" s="13"/>
      <c r="E288" s="13"/>
    </row>
    <row r="289" spans="1:5" x14ac:dyDescent="0.3">
      <c r="A289" s="13"/>
      <c r="B289" s="13"/>
      <c r="C289" s="13"/>
      <c r="D289" s="13"/>
      <c r="E289" s="13"/>
    </row>
    <row r="290" spans="1:5" x14ac:dyDescent="0.3">
      <c r="A290" s="13"/>
      <c r="B290" s="13"/>
      <c r="C290" s="13"/>
      <c r="D290" s="13"/>
      <c r="E290" s="13"/>
    </row>
    <row r="291" spans="1:5" x14ac:dyDescent="0.3">
      <c r="A291" s="13"/>
      <c r="B291" s="13"/>
      <c r="C291" s="13"/>
      <c r="D291" s="13"/>
      <c r="E291" s="13"/>
    </row>
    <row r="292" spans="1:5" x14ac:dyDescent="0.3">
      <c r="A292" s="13"/>
      <c r="B292" s="13"/>
      <c r="C292" s="13"/>
      <c r="D292" s="13"/>
      <c r="E292" s="13"/>
    </row>
    <row r="293" spans="1:5" x14ac:dyDescent="0.3">
      <c r="A293" s="13"/>
      <c r="B293" s="13"/>
      <c r="C293" s="13"/>
      <c r="D293" s="13"/>
      <c r="E293" s="13"/>
    </row>
    <row r="294" spans="1:5" x14ac:dyDescent="0.3">
      <c r="A294" s="13"/>
      <c r="B294" s="13"/>
      <c r="C294" s="13"/>
      <c r="D294" s="13"/>
      <c r="E294" s="13"/>
    </row>
    <row r="295" spans="1:5" x14ac:dyDescent="0.3">
      <c r="A295" s="13"/>
      <c r="B295" s="13"/>
      <c r="C295" s="13"/>
      <c r="D295" s="13"/>
      <c r="E295" s="13"/>
    </row>
    <row r="296" spans="1:5" x14ac:dyDescent="0.3">
      <c r="A296" s="13"/>
      <c r="B296" s="13"/>
      <c r="C296" s="13"/>
      <c r="D296" s="13"/>
      <c r="E296" s="13"/>
    </row>
    <row r="297" spans="1:5" x14ac:dyDescent="0.3">
      <c r="A297" s="13"/>
      <c r="B297" s="13"/>
      <c r="C297" s="13"/>
      <c r="D297" s="13"/>
      <c r="E297" s="13"/>
    </row>
    <row r="298" spans="1:5" x14ac:dyDescent="0.3">
      <c r="A298" s="13"/>
      <c r="B298" s="13"/>
      <c r="C298" s="13"/>
      <c r="D298" s="13"/>
      <c r="E298" s="13"/>
    </row>
    <row r="299" spans="1:5" x14ac:dyDescent="0.3">
      <c r="A299" s="13"/>
      <c r="B299" s="13"/>
      <c r="C299" s="13"/>
      <c r="D299" s="13"/>
      <c r="E299" s="13"/>
    </row>
    <row r="300" spans="1:5" x14ac:dyDescent="0.3">
      <c r="A300" s="13"/>
      <c r="B300" s="13"/>
      <c r="C300" s="13"/>
      <c r="D300" s="13"/>
      <c r="E300" s="13"/>
    </row>
    <row r="301" spans="1:5" x14ac:dyDescent="0.3">
      <c r="A301" s="13"/>
      <c r="B301" s="13"/>
      <c r="C301" s="13"/>
      <c r="D301" s="13"/>
      <c r="E301" s="13"/>
    </row>
    <row r="302" spans="1:5" x14ac:dyDescent="0.3">
      <c r="A302" s="13"/>
      <c r="B302" s="13"/>
      <c r="C302" s="13"/>
      <c r="D302" s="13"/>
      <c r="E302" s="13"/>
    </row>
    <row r="303" spans="1:5" x14ac:dyDescent="0.3">
      <c r="A303" s="13"/>
      <c r="B303" s="13"/>
      <c r="C303" s="13"/>
      <c r="D303" s="13"/>
      <c r="E303" s="13"/>
    </row>
    <row r="304" spans="1:5" x14ac:dyDescent="0.3">
      <c r="A304" s="13"/>
      <c r="B304" s="13"/>
      <c r="C304" s="13"/>
      <c r="D304" s="13"/>
      <c r="E304" s="13"/>
    </row>
    <row r="305" spans="1:5" x14ac:dyDescent="0.3">
      <c r="A305" s="13"/>
      <c r="B305" s="13"/>
      <c r="C305" s="13"/>
      <c r="D305" s="13"/>
      <c r="E305" s="13"/>
    </row>
    <row r="306" spans="1:5" x14ac:dyDescent="0.3">
      <c r="A306" s="13"/>
      <c r="B306" s="13"/>
      <c r="C306" s="13"/>
      <c r="D306" s="13"/>
      <c r="E306" s="13"/>
    </row>
    <row r="307" spans="1:5" x14ac:dyDescent="0.3">
      <c r="A307" s="13"/>
      <c r="B307" s="13"/>
      <c r="C307" s="13"/>
      <c r="D307" s="13"/>
      <c r="E307" s="13"/>
    </row>
    <row r="308" spans="1:5" x14ac:dyDescent="0.3">
      <c r="A308" s="13"/>
      <c r="B308" s="13"/>
      <c r="C308" s="13"/>
      <c r="D308" s="13"/>
      <c r="E308" s="13"/>
    </row>
    <row r="309" spans="1:5" x14ac:dyDescent="0.3">
      <c r="A309" s="13"/>
      <c r="B309" s="13"/>
      <c r="C309" s="13"/>
      <c r="D309" s="13"/>
      <c r="E309" s="13"/>
    </row>
    <row r="310" spans="1:5" x14ac:dyDescent="0.3">
      <c r="A310" s="13"/>
      <c r="B310" s="13"/>
      <c r="C310" s="13"/>
      <c r="D310" s="13"/>
      <c r="E310" s="13"/>
    </row>
    <row r="311" spans="1:5" x14ac:dyDescent="0.3">
      <c r="A311" s="13"/>
      <c r="B311" s="13"/>
      <c r="C311" s="13"/>
      <c r="D311" s="13"/>
      <c r="E311" s="13"/>
    </row>
    <row r="312" spans="1:5" x14ac:dyDescent="0.3">
      <c r="A312" s="13"/>
      <c r="B312" s="13"/>
      <c r="C312" s="13"/>
      <c r="D312" s="13"/>
      <c r="E312" s="13"/>
    </row>
    <row r="313" spans="1:5" x14ac:dyDescent="0.3">
      <c r="A313" s="13"/>
      <c r="B313" s="13"/>
      <c r="C313" s="13"/>
      <c r="D313" s="13"/>
      <c r="E313" s="13"/>
    </row>
    <row r="314" spans="1:5" x14ac:dyDescent="0.3">
      <c r="A314" s="13"/>
      <c r="B314" s="13"/>
      <c r="C314" s="13"/>
      <c r="D314" s="13"/>
      <c r="E314" s="13"/>
    </row>
    <row r="315" spans="1:5" x14ac:dyDescent="0.3">
      <c r="A315" s="13"/>
      <c r="B315" s="13"/>
      <c r="C315" s="13"/>
      <c r="D315" s="13"/>
      <c r="E315" s="13"/>
    </row>
    <row r="316" spans="1:5" x14ac:dyDescent="0.3">
      <c r="A316" s="13"/>
      <c r="B316" s="13"/>
      <c r="C316" s="13"/>
      <c r="D316" s="13"/>
      <c r="E316" s="13"/>
    </row>
    <row r="317" spans="1:5" x14ac:dyDescent="0.3">
      <c r="A317" s="13"/>
      <c r="B317" s="13"/>
      <c r="C317" s="13"/>
      <c r="D317" s="13"/>
      <c r="E317" s="13"/>
    </row>
    <row r="318" spans="1:5" x14ac:dyDescent="0.3">
      <c r="A318" s="13"/>
      <c r="B318" s="13"/>
      <c r="C318" s="13"/>
      <c r="D318" s="13"/>
      <c r="E318" s="13"/>
    </row>
    <row r="319" spans="1:5" x14ac:dyDescent="0.3">
      <c r="A319" s="13"/>
      <c r="B319" s="13"/>
      <c r="C319" s="13"/>
      <c r="D319" s="13"/>
      <c r="E319" s="13"/>
    </row>
    <row r="320" spans="1:5" x14ac:dyDescent="0.3">
      <c r="A320" s="13"/>
      <c r="B320" s="13"/>
      <c r="C320" s="13"/>
      <c r="D320" s="13"/>
      <c r="E320" s="13"/>
    </row>
    <row r="321" spans="1:5" x14ac:dyDescent="0.3">
      <c r="A321" s="13"/>
      <c r="B321" s="13"/>
      <c r="C321" s="13"/>
      <c r="D321" s="13"/>
      <c r="E321" s="13"/>
    </row>
    <row r="322" spans="1:5" x14ac:dyDescent="0.3">
      <c r="A322" s="13"/>
      <c r="B322" s="13"/>
      <c r="C322" s="13"/>
      <c r="D322" s="13"/>
      <c r="E322" s="13"/>
    </row>
    <row r="323" spans="1:5" x14ac:dyDescent="0.3">
      <c r="A323" s="13"/>
      <c r="B323" s="13"/>
      <c r="C323" s="13"/>
      <c r="D323" s="13"/>
      <c r="E323" s="13"/>
    </row>
    <row r="324" spans="1:5" x14ac:dyDescent="0.3">
      <c r="A324" s="13"/>
      <c r="B324" s="13"/>
      <c r="C324" s="13"/>
      <c r="D324" s="13"/>
      <c r="E324" s="13"/>
    </row>
    <row r="325" spans="1:5" x14ac:dyDescent="0.3">
      <c r="A325" s="13"/>
      <c r="B325" s="13"/>
      <c r="C325" s="13"/>
      <c r="D325" s="13"/>
      <c r="E325" s="13"/>
    </row>
    <row r="326" spans="1:5" x14ac:dyDescent="0.3">
      <c r="A326" s="13"/>
      <c r="B326" s="13"/>
      <c r="C326" s="13"/>
      <c r="D326" s="13"/>
      <c r="E326" s="13"/>
    </row>
    <row r="327" spans="1:5" x14ac:dyDescent="0.3">
      <c r="A327" s="13"/>
      <c r="B327" s="13"/>
      <c r="C327" s="13"/>
      <c r="D327" s="13"/>
      <c r="E327" s="13"/>
    </row>
    <row r="328" spans="1:5" x14ac:dyDescent="0.3">
      <c r="A328" s="13"/>
      <c r="B328" s="13"/>
      <c r="C328" s="13"/>
      <c r="D328" s="13"/>
      <c r="E328" s="13"/>
    </row>
    <row r="329" spans="1:5" x14ac:dyDescent="0.3">
      <c r="A329" s="13"/>
      <c r="B329" s="13"/>
      <c r="C329" s="13"/>
      <c r="D329" s="13"/>
      <c r="E329" s="13"/>
    </row>
    <row r="330" spans="1:5" x14ac:dyDescent="0.3">
      <c r="A330" s="13"/>
      <c r="B330" s="13"/>
      <c r="C330" s="13"/>
      <c r="D330" s="13"/>
      <c r="E330" s="13"/>
    </row>
    <row r="331" spans="1:5" x14ac:dyDescent="0.3">
      <c r="A331" s="13"/>
      <c r="B331" s="13"/>
      <c r="C331" s="13"/>
      <c r="D331" s="13"/>
      <c r="E331" s="13"/>
    </row>
    <row r="332" spans="1:5" x14ac:dyDescent="0.3">
      <c r="A332" s="13"/>
      <c r="B332" s="13"/>
      <c r="C332" s="13"/>
      <c r="D332" s="13"/>
      <c r="E332" s="13"/>
    </row>
    <row r="333" spans="1:5" x14ac:dyDescent="0.3">
      <c r="A333" s="13"/>
      <c r="B333" s="13"/>
      <c r="C333" s="13"/>
      <c r="D333" s="13"/>
      <c r="E333" s="13"/>
    </row>
    <row r="334" spans="1:5" x14ac:dyDescent="0.3">
      <c r="A334" s="13"/>
      <c r="B334" s="13"/>
      <c r="C334" s="13"/>
      <c r="D334" s="13"/>
      <c r="E334" s="13"/>
    </row>
    <row r="335" spans="1:5" x14ac:dyDescent="0.3">
      <c r="A335" s="13"/>
      <c r="B335" s="13"/>
      <c r="C335" s="13"/>
      <c r="D335" s="13"/>
      <c r="E335" s="13"/>
    </row>
    <row r="336" spans="1:5" x14ac:dyDescent="0.3">
      <c r="A336" s="13"/>
      <c r="B336" s="13"/>
      <c r="C336" s="13"/>
      <c r="D336" s="13"/>
      <c r="E336" s="13"/>
    </row>
    <row r="337" spans="1:5" x14ac:dyDescent="0.3">
      <c r="A337" s="13"/>
      <c r="B337" s="13"/>
      <c r="C337" s="13"/>
      <c r="D337" s="13"/>
      <c r="E337" s="13"/>
    </row>
    <row r="338" spans="1:5" x14ac:dyDescent="0.3">
      <c r="A338" s="13"/>
      <c r="B338" s="13"/>
      <c r="C338" s="13"/>
      <c r="D338" s="13"/>
      <c r="E338" s="13"/>
    </row>
    <row r="339" spans="1:5" x14ac:dyDescent="0.3">
      <c r="A339" s="13"/>
      <c r="B339" s="13"/>
      <c r="C339" s="13"/>
      <c r="D339" s="13"/>
      <c r="E339" s="13"/>
    </row>
    <row r="340" spans="1:5" x14ac:dyDescent="0.3">
      <c r="A340" s="13"/>
      <c r="B340" s="13"/>
      <c r="C340" s="13"/>
      <c r="D340" s="13"/>
      <c r="E340" s="13"/>
    </row>
    <row r="341" spans="1:5" x14ac:dyDescent="0.3">
      <c r="A341" s="13"/>
      <c r="B341" s="13"/>
      <c r="C341" s="13"/>
      <c r="D341" s="13"/>
      <c r="E341" s="13"/>
    </row>
    <row r="342" spans="1:5" x14ac:dyDescent="0.3">
      <c r="A342" s="13"/>
      <c r="B342" s="13"/>
      <c r="C342" s="13"/>
      <c r="D342" s="13"/>
      <c r="E342" s="13"/>
    </row>
    <row r="343" spans="1:5" x14ac:dyDescent="0.3">
      <c r="A343" s="13"/>
      <c r="B343" s="13"/>
      <c r="C343" s="13"/>
      <c r="D343" s="13"/>
      <c r="E343" s="13"/>
    </row>
    <row r="344" spans="1:5" x14ac:dyDescent="0.3">
      <c r="A344" s="13"/>
      <c r="B344" s="13"/>
      <c r="C344" s="13"/>
      <c r="D344" s="13"/>
      <c r="E344" s="13"/>
    </row>
    <row r="345" spans="1:5" x14ac:dyDescent="0.3">
      <c r="A345" s="13"/>
      <c r="B345" s="13"/>
      <c r="C345" s="13"/>
      <c r="D345" s="13"/>
      <c r="E345" s="13"/>
    </row>
    <row r="346" spans="1:5" x14ac:dyDescent="0.3">
      <c r="A346" s="13"/>
      <c r="B346" s="13"/>
      <c r="C346" s="13"/>
      <c r="D346" s="13"/>
      <c r="E346" s="13"/>
    </row>
    <row r="347" spans="1:5" x14ac:dyDescent="0.3">
      <c r="A347" s="13"/>
      <c r="B347" s="13"/>
      <c r="C347" s="13"/>
      <c r="D347" s="13"/>
      <c r="E347" s="13"/>
    </row>
    <row r="348" spans="1:5" x14ac:dyDescent="0.3">
      <c r="A348" s="13"/>
      <c r="B348" s="13"/>
      <c r="C348" s="13"/>
      <c r="D348" s="13"/>
      <c r="E348" s="13"/>
    </row>
    <row r="349" spans="1:5" x14ac:dyDescent="0.3">
      <c r="A349" s="13"/>
      <c r="B349" s="13"/>
      <c r="C349" s="13"/>
      <c r="D349" s="13"/>
      <c r="E349" s="13"/>
    </row>
    <row r="350" spans="1:5" x14ac:dyDescent="0.3">
      <c r="A350" s="13"/>
      <c r="B350" s="13"/>
      <c r="C350" s="13"/>
      <c r="D350" s="13"/>
      <c r="E350" s="13"/>
    </row>
    <row r="351" spans="1:5" x14ac:dyDescent="0.3">
      <c r="A351" s="13"/>
      <c r="B351" s="13"/>
      <c r="C351" s="13"/>
      <c r="D351" s="13"/>
      <c r="E351" s="13"/>
    </row>
    <row r="352" spans="1:5" x14ac:dyDescent="0.3">
      <c r="A352" s="13"/>
      <c r="B352" s="13"/>
      <c r="C352" s="13"/>
      <c r="D352" s="13"/>
      <c r="E352" s="13"/>
    </row>
    <row r="353" spans="1:5" x14ac:dyDescent="0.3">
      <c r="A353" s="13"/>
      <c r="B353" s="13"/>
      <c r="C353" s="13"/>
      <c r="D353" s="13"/>
      <c r="E353" s="13"/>
    </row>
    <row r="354" spans="1:5" x14ac:dyDescent="0.3">
      <c r="A354" s="13"/>
      <c r="B354" s="13"/>
      <c r="C354" s="13"/>
      <c r="D354" s="13"/>
      <c r="E354" s="13"/>
    </row>
    <row r="355" spans="1:5" x14ac:dyDescent="0.3">
      <c r="A355" s="13"/>
      <c r="B355" s="13"/>
      <c r="C355" s="13"/>
      <c r="D355" s="13"/>
      <c r="E355" s="13"/>
    </row>
    <row r="356" spans="1:5" x14ac:dyDescent="0.3">
      <c r="A356" s="13"/>
      <c r="B356" s="13"/>
      <c r="C356" s="13"/>
      <c r="D356" s="13"/>
      <c r="E356" s="13"/>
    </row>
    <row r="357" spans="1:5" x14ac:dyDescent="0.3">
      <c r="A357" s="13"/>
      <c r="B357" s="13"/>
      <c r="C357" s="13"/>
      <c r="D357" s="13"/>
      <c r="E357" s="13"/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E82A7-0F73-40FB-B395-1D3D9B82FB7C}">
  <sheetPr codeName="Sheet32"/>
  <dimension ref="A1:M620"/>
  <sheetViews>
    <sheetView workbookViewId="0">
      <selection activeCell="A2" sqref="A2:E598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71</v>
      </c>
      <c r="D2" s="13">
        <v>49</v>
      </c>
      <c r="E2" s="13">
        <v>81</v>
      </c>
    </row>
    <row r="3" spans="1:13" customFormat="1" x14ac:dyDescent="0.3">
      <c r="A3" s="13" t="s">
        <v>1</v>
      </c>
      <c r="B3" s="13" t="s">
        <v>30</v>
      </c>
      <c r="C3" s="13">
        <v>103</v>
      </c>
      <c r="D3" s="13">
        <v>47</v>
      </c>
      <c r="E3" s="13">
        <v>183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2203</v>
      </c>
      <c r="C4" s="13">
        <v>42</v>
      </c>
      <c r="D4" s="13">
        <v>34</v>
      </c>
      <c r="E4" s="13">
        <v>49</v>
      </c>
      <c r="G4" s="19" t="s">
        <v>8</v>
      </c>
      <c r="H4" s="15">
        <f>H13+H14</f>
        <v>1090</v>
      </c>
      <c r="I4" s="16">
        <f>H4/H$6</f>
        <v>0.75068870523415976</v>
      </c>
      <c r="J4" s="15">
        <f>I13+I14</f>
        <v>613</v>
      </c>
      <c r="K4" s="16">
        <f>J4/J$6</f>
        <v>0.66127292340884569</v>
      </c>
      <c r="L4" s="15">
        <f>J13+J14</f>
        <v>1294</v>
      </c>
      <c r="M4" s="25">
        <f>L4/L$6</f>
        <v>0.76028202115158638</v>
      </c>
    </row>
    <row r="5" spans="1:13" customFormat="1" x14ac:dyDescent="0.3">
      <c r="A5" s="13" t="s">
        <v>1</v>
      </c>
      <c r="B5" s="13" t="s">
        <v>2203</v>
      </c>
      <c r="C5" s="13">
        <v>66</v>
      </c>
      <c r="D5" s="13">
        <v>20</v>
      </c>
      <c r="E5" s="13">
        <v>82</v>
      </c>
      <c r="G5" s="19" t="s">
        <v>10</v>
      </c>
      <c r="H5" s="15">
        <f>H15+H16</f>
        <v>362</v>
      </c>
      <c r="I5" s="16">
        <f>H5/H$6</f>
        <v>0.24931129476584021</v>
      </c>
      <c r="J5" s="15">
        <f>I15+I16</f>
        <v>314</v>
      </c>
      <c r="K5" s="16">
        <f>J5/J$6</f>
        <v>0.33872707659115425</v>
      </c>
      <c r="L5" s="15">
        <f>J15+J16</f>
        <v>408</v>
      </c>
      <c r="M5" s="25">
        <f>L5/L$6</f>
        <v>0.23971797884841364</v>
      </c>
    </row>
    <row r="6" spans="1:13" customFormat="1" ht="17.25" thickBot="1" x14ac:dyDescent="0.35">
      <c r="A6" s="13" t="s">
        <v>0</v>
      </c>
      <c r="B6" s="13" t="s">
        <v>37</v>
      </c>
      <c r="C6" s="13">
        <v>20</v>
      </c>
      <c r="D6" s="13">
        <v>20</v>
      </c>
      <c r="E6" s="13">
        <v>21</v>
      </c>
      <c r="G6" s="22"/>
      <c r="H6" s="26">
        <f>SUM(H4:H5)</f>
        <v>1452</v>
      </c>
      <c r="I6" s="27">
        <f>I4+I5</f>
        <v>1</v>
      </c>
      <c r="J6" s="26">
        <f>SUM(J4:J5)</f>
        <v>927</v>
      </c>
      <c r="K6" s="27">
        <f>K4+K5</f>
        <v>1</v>
      </c>
      <c r="L6" s="26">
        <f>SUM(L4:L5)</f>
        <v>1702</v>
      </c>
      <c r="M6" s="28">
        <f>M4+M5</f>
        <v>1</v>
      </c>
    </row>
    <row r="7" spans="1:13" customFormat="1" x14ac:dyDescent="0.3">
      <c r="A7" s="13" t="s">
        <v>1</v>
      </c>
      <c r="B7" s="13" t="s">
        <v>1948</v>
      </c>
      <c r="C7" s="13">
        <v>24</v>
      </c>
      <c r="D7" s="13">
        <v>18</v>
      </c>
      <c r="E7" s="13">
        <v>27</v>
      </c>
    </row>
    <row r="8" spans="1:13" customFormat="1" x14ac:dyDescent="0.3">
      <c r="A8" s="13" t="s">
        <v>1</v>
      </c>
      <c r="B8" s="13" t="s">
        <v>354</v>
      </c>
      <c r="C8" s="13">
        <v>16</v>
      </c>
      <c r="D8" s="13">
        <v>16</v>
      </c>
      <c r="E8" s="13">
        <v>18</v>
      </c>
    </row>
    <row r="9" spans="1:13" customFormat="1" x14ac:dyDescent="0.3">
      <c r="A9" s="13" t="s">
        <v>0</v>
      </c>
      <c r="B9" s="13" t="s">
        <v>1503</v>
      </c>
      <c r="C9" s="13">
        <v>15</v>
      </c>
      <c r="D9" s="13">
        <v>15</v>
      </c>
      <c r="E9" s="13">
        <v>15</v>
      </c>
    </row>
    <row r="10" spans="1:13" customFormat="1" ht="17.25" thickBot="1" x14ac:dyDescent="0.35">
      <c r="A10" s="13" t="s">
        <v>1</v>
      </c>
      <c r="B10" s="13" t="s">
        <v>37</v>
      </c>
      <c r="C10" s="13">
        <v>15</v>
      </c>
      <c r="D10" s="13">
        <v>14</v>
      </c>
      <c r="E10" s="13">
        <v>18</v>
      </c>
    </row>
    <row r="11" spans="1:13" x14ac:dyDescent="0.3">
      <c r="A11" s="13" t="s">
        <v>0</v>
      </c>
      <c r="B11" s="13" t="s">
        <v>31</v>
      </c>
      <c r="C11" s="13">
        <v>13</v>
      </c>
      <c r="D11" s="13">
        <v>13</v>
      </c>
      <c r="E11" s="13">
        <v>13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1674</v>
      </c>
      <c r="C12" s="13">
        <v>15</v>
      </c>
      <c r="D12" s="13">
        <v>11</v>
      </c>
      <c r="E12" s="13">
        <v>16</v>
      </c>
      <c r="G12" s="19"/>
      <c r="H12" s="17">
        <f t="shared" ref="H12:J12" si="0">SUM(H13:H16)</f>
        <v>1452</v>
      </c>
      <c r="I12" s="17">
        <f t="shared" si="0"/>
        <v>927</v>
      </c>
      <c r="J12" s="20">
        <f t="shared" si="0"/>
        <v>1702</v>
      </c>
    </row>
    <row r="13" spans="1:13" x14ac:dyDescent="0.3">
      <c r="A13" s="13" t="s">
        <v>0</v>
      </c>
      <c r="B13" s="13" t="s">
        <v>29</v>
      </c>
      <c r="C13" s="13">
        <v>12</v>
      </c>
      <c r="D13" s="13">
        <v>11</v>
      </c>
      <c r="E13" s="13">
        <v>14</v>
      </c>
      <c r="G13" s="19" t="s">
        <v>7</v>
      </c>
      <c r="H13" s="18">
        <f t="shared" ref="H13:J16" si="1">SUMIF($A$2:$A$9999,$G13,C$2:C$9999)</f>
        <v>1090</v>
      </c>
      <c r="I13" s="18">
        <f t="shared" si="1"/>
        <v>613</v>
      </c>
      <c r="J13" s="21">
        <f t="shared" si="1"/>
        <v>1294</v>
      </c>
    </row>
    <row r="14" spans="1:13" x14ac:dyDescent="0.3">
      <c r="A14" s="13" t="s">
        <v>1</v>
      </c>
      <c r="B14" s="13" t="s">
        <v>61</v>
      </c>
      <c r="C14" s="13">
        <v>10</v>
      </c>
      <c r="D14" s="13">
        <v>10</v>
      </c>
      <c r="E14" s="13">
        <v>11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29</v>
      </c>
      <c r="C15" s="13">
        <v>10</v>
      </c>
      <c r="D15" s="13">
        <v>10</v>
      </c>
      <c r="E15" s="13">
        <v>10</v>
      </c>
      <c r="G15" s="19" t="s">
        <v>11</v>
      </c>
      <c r="H15" s="18">
        <f t="shared" si="1"/>
        <v>358</v>
      </c>
      <c r="I15" s="18">
        <f t="shared" si="1"/>
        <v>310</v>
      </c>
      <c r="J15" s="21">
        <f t="shared" si="1"/>
        <v>404</v>
      </c>
    </row>
    <row r="16" spans="1:13" ht="17.25" thickBot="1" x14ac:dyDescent="0.35">
      <c r="A16" s="13" t="s">
        <v>1</v>
      </c>
      <c r="B16" s="13" t="s">
        <v>31</v>
      </c>
      <c r="C16" s="13">
        <v>10</v>
      </c>
      <c r="D16" s="13">
        <v>10</v>
      </c>
      <c r="E16" s="13">
        <v>10</v>
      </c>
      <c r="G16" s="22" t="s">
        <v>12</v>
      </c>
      <c r="H16" s="23">
        <f t="shared" si="1"/>
        <v>4</v>
      </c>
      <c r="I16" s="23">
        <f t="shared" si="1"/>
        <v>4</v>
      </c>
      <c r="J16" s="24">
        <f t="shared" si="1"/>
        <v>4</v>
      </c>
    </row>
    <row r="17" spans="1:5" x14ac:dyDescent="0.3">
      <c r="A17" s="13" t="s">
        <v>1</v>
      </c>
      <c r="B17" s="13" t="s">
        <v>1674</v>
      </c>
      <c r="C17" s="13">
        <v>17</v>
      </c>
      <c r="D17" s="13">
        <v>9</v>
      </c>
      <c r="E17" s="13">
        <v>25</v>
      </c>
    </row>
    <row r="18" spans="1:5" x14ac:dyDescent="0.3">
      <c r="A18" s="13" t="s">
        <v>0</v>
      </c>
      <c r="B18" s="13" t="s">
        <v>30</v>
      </c>
      <c r="C18" s="13">
        <v>13</v>
      </c>
      <c r="D18" s="13">
        <v>9</v>
      </c>
      <c r="E18" s="13">
        <v>21</v>
      </c>
    </row>
    <row r="19" spans="1:5" x14ac:dyDescent="0.3">
      <c r="A19" s="13" t="s">
        <v>1</v>
      </c>
      <c r="B19" s="13" t="s">
        <v>48</v>
      </c>
      <c r="C19" s="13">
        <v>8</v>
      </c>
      <c r="D19" s="13">
        <v>7</v>
      </c>
      <c r="E19" s="13">
        <v>9</v>
      </c>
    </row>
    <row r="20" spans="1:5" x14ac:dyDescent="0.3">
      <c r="A20" s="13" t="s">
        <v>1</v>
      </c>
      <c r="B20" s="13" t="s">
        <v>87</v>
      </c>
      <c r="C20" s="13">
        <v>8</v>
      </c>
      <c r="D20" s="13">
        <v>7</v>
      </c>
      <c r="E20" s="13">
        <v>7</v>
      </c>
    </row>
    <row r="21" spans="1:5" x14ac:dyDescent="0.3">
      <c r="A21" s="13" t="s">
        <v>1</v>
      </c>
      <c r="B21" s="13" t="s">
        <v>94</v>
      </c>
      <c r="C21" s="13">
        <v>9</v>
      </c>
      <c r="D21" s="13">
        <v>6</v>
      </c>
      <c r="E21" s="13">
        <v>9</v>
      </c>
    </row>
    <row r="22" spans="1:5" x14ac:dyDescent="0.3">
      <c r="A22" s="13" t="s">
        <v>1</v>
      </c>
      <c r="B22" s="13" t="s">
        <v>132</v>
      </c>
      <c r="C22" s="13">
        <v>7</v>
      </c>
      <c r="D22" s="13">
        <v>6</v>
      </c>
      <c r="E22" s="13">
        <v>8</v>
      </c>
    </row>
    <row r="23" spans="1:5" x14ac:dyDescent="0.3">
      <c r="A23" s="13" t="s">
        <v>0</v>
      </c>
      <c r="B23" s="13" t="s">
        <v>105</v>
      </c>
      <c r="C23" s="13">
        <v>6</v>
      </c>
      <c r="D23" s="13">
        <v>6</v>
      </c>
      <c r="E23" s="13">
        <v>6</v>
      </c>
    </row>
    <row r="24" spans="1:5" x14ac:dyDescent="0.3">
      <c r="A24" s="13" t="s">
        <v>0</v>
      </c>
      <c r="B24" s="13" t="s">
        <v>66</v>
      </c>
      <c r="C24" s="13">
        <v>6</v>
      </c>
      <c r="D24" s="13">
        <v>6</v>
      </c>
      <c r="E24" s="13">
        <v>9</v>
      </c>
    </row>
    <row r="25" spans="1:5" x14ac:dyDescent="0.3">
      <c r="A25" s="13" t="s">
        <v>1</v>
      </c>
      <c r="B25" s="13" t="s">
        <v>2164</v>
      </c>
      <c r="C25" s="13">
        <v>6</v>
      </c>
      <c r="D25" s="13">
        <v>5</v>
      </c>
      <c r="E25" s="13">
        <v>6</v>
      </c>
    </row>
    <row r="26" spans="1:5" x14ac:dyDescent="0.3">
      <c r="A26" s="13" t="s">
        <v>1</v>
      </c>
      <c r="B26" s="13" t="s">
        <v>39</v>
      </c>
      <c r="C26" s="13">
        <v>11</v>
      </c>
      <c r="D26" s="13">
        <v>5</v>
      </c>
      <c r="E26" s="13">
        <v>14</v>
      </c>
    </row>
    <row r="27" spans="1:5" x14ac:dyDescent="0.3">
      <c r="A27" s="13" t="s">
        <v>0</v>
      </c>
      <c r="B27" s="13" t="s">
        <v>1741</v>
      </c>
      <c r="C27" s="13">
        <v>5</v>
      </c>
      <c r="D27" s="13">
        <v>5</v>
      </c>
      <c r="E27" s="13">
        <v>5</v>
      </c>
    </row>
    <row r="28" spans="1:5" x14ac:dyDescent="0.3">
      <c r="A28" s="13" t="s">
        <v>1</v>
      </c>
      <c r="B28" s="13" t="s">
        <v>33</v>
      </c>
      <c r="C28" s="13">
        <v>7</v>
      </c>
      <c r="D28" s="13">
        <v>4</v>
      </c>
      <c r="E28" s="13">
        <v>6</v>
      </c>
    </row>
    <row r="29" spans="1:5" x14ac:dyDescent="0.3">
      <c r="A29" s="13" t="s">
        <v>1</v>
      </c>
      <c r="B29" s="13" t="s">
        <v>855</v>
      </c>
      <c r="C29" s="13">
        <v>10</v>
      </c>
      <c r="D29" s="13">
        <v>4</v>
      </c>
      <c r="E29" s="13">
        <v>12</v>
      </c>
    </row>
    <row r="30" spans="1:5" x14ac:dyDescent="0.3">
      <c r="A30" s="13" t="s">
        <v>1</v>
      </c>
      <c r="B30" s="13" t="s">
        <v>91</v>
      </c>
      <c r="C30" s="13">
        <v>5</v>
      </c>
      <c r="D30" s="13">
        <v>4</v>
      </c>
      <c r="E30" s="13">
        <v>6</v>
      </c>
    </row>
    <row r="31" spans="1:5" x14ac:dyDescent="0.3">
      <c r="A31" s="13" t="s">
        <v>1</v>
      </c>
      <c r="B31" s="13" t="s">
        <v>1882</v>
      </c>
      <c r="C31" s="13">
        <v>11</v>
      </c>
      <c r="D31" s="13">
        <v>4</v>
      </c>
      <c r="E31" s="13">
        <v>11</v>
      </c>
    </row>
    <row r="32" spans="1:5" x14ac:dyDescent="0.3">
      <c r="A32" s="13" t="s">
        <v>1</v>
      </c>
      <c r="B32" s="13" t="s">
        <v>614</v>
      </c>
      <c r="C32" s="13">
        <v>4</v>
      </c>
      <c r="D32" s="13">
        <v>4</v>
      </c>
      <c r="E32" s="13">
        <v>4</v>
      </c>
    </row>
    <row r="33" spans="1:5" x14ac:dyDescent="0.3">
      <c r="A33" s="13" t="s">
        <v>1</v>
      </c>
      <c r="B33" s="13" t="s">
        <v>195</v>
      </c>
      <c r="C33" s="13">
        <v>4</v>
      </c>
      <c r="D33" s="13">
        <v>4</v>
      </c>
      <c r="E33" s="13">
        <v>4</v>
      </c>
    </row>
    <row r="34" spans="1:5" x14ac:dyDescent="0.3">
      <c r="A34" s="13" t="s">
        <v>1</v>
      </c>
      <c r="B34" s="13" t="s">
        <v>111</v>
      </c>
      <c r="C34" s="13">
        <v>4</v>
      </c>
      <c r="D34" s="13">
        <v>4</v>
      </c>
      <c r="E34" s="13">
        <v>4</v>
      </c>
    </row>
    <row r="35" spans="1:5" x14ac:dyDescent="0.3">
      <c r="A35" s="13" t="s">
        <v>1</v>
      </c>
      <c r="B35" s="13" t="s">
        <v>279</v>
      </c>
      <c r="C35" s="13">
        <v>4</v>
      </c>
      <c r="D35" s="13">
        <v>4</v>
      </c>
      <c r="E35" s="13">
        <v>5</v>
      </c>
    </row>
    <row r="36" spans="1:5" x14ac:dyDescent="0.3">
      <c r="A36" s="13" t="s">
        <v>1</v>
      </c>
      <c r="B36" s="13" t="s">
        <v>51</v>
      </c>
      <c r="C36" s="13">
        <v>6</v>
      </c>
      <c r="D36" s="13">
        <v>4</v>
      </c>
      <c r="E36" s="13">
        <v>6</v>
      </c>
    </row>
    <row r="37" spans="1:5" x14ac:dyDescent="0.3">
      <c r="A37" s="13" t="s">
        <v>1</v>
      </c>
      <c r="B37" s="13" t="s">
        <v>196</v>
      </c>
      <c r="C37" s="13">
        <v>4</v>
      </c>
      <c r="D37" s="13">
        <v>4</v>
      </c>
      <c r="E37" s="13">
        <v>4</v>
      </c>
    </row>
    <row r="38" spans="1:5" x14ac:dyDescent="0.3">
      <c r="A38" s="13" t="s">
        <v>1</v>
      </c>
      <c r="B38" s="13" t="s">
        <v>120</v>
      </c>
      <c r="C38" s="13">
        <v>5</v>
      </c>
      <c r="D38" s="13">
        <v>4</v>
      </c>
      <c r="E38" s="13">
        <v>5</v>
      </c>
    </row>
    <row r="39" spans="1:5" x14ac:dyDescent="0.3">
      <c r="A39" s="13" t="s">
        <v>1</v>
      </c>
      <c r="B39" s="13" t="s">
        <v>32</v>
      </c>
      <c r="C39" s="13">
        <v>10</v>
      </c>
      <c r="D39" s="13">
        <v>4</v>
      </c>
      <c r="E39" s="13">
        <v>15</v>
      </c>
    </row>
    <row r="40" spans="1:5" x14ac:dyDescent="0.3">
      <c r="A40" s="13" t="s">
        <v>0</v>
      </c>
      <c r="B40" s="13" t="s">
        <v>354</v>
      </c>
      <c r="C40" s="13">
        <v>4</v>
      </c>
      <c r="D40" s="13">
        <v>4</v>
      </c>
      <c r="E40" s="13">
        <v>4</v>
      </c>
    </row>
    <row r="41" spans="1:5" x14ac:dyDescent="0.3">
      <c r="A41" s="13" t="s">
        <v>0</v>
      </c>
      <c r="B41" s="13" t="s">
        <v>60</v>
      </c>
      <c r="C41" s="13">
        <v>4</v>
      </c>
      <c r="D41" s="13">
        <v>4</v>
      </c>
      <c r="E41" s="13">
        <v>4</v>
      </c>
    </row>
    <row r="42" spans="1:5" x14ac:dyDescent="0.3">
      <c r="A42" s="13" t="s">
        <v>0</v>
      </c>
      <c r="B42" s="13" t="s">
        <v>1948</v>
      </c>
      <c r="C42" s="13">
        <v>4</v>
      </c>
      <c r="D42" s="13">
        <v>4</v>
      </c>
      <c r="E42" s="13">
        <v>4</v>
      </c>
    </row>
    <row r="43" spans="1:5" x14ac:dyDescent="0.3">
      <c r="A43" s="13" t="s">
        <v>0</v>
      </c>
      <c r="B43" s="13" t="s">
        <v>120</v>
      </c>
      <c r="C43" s="13">
        <v>4</v>
      </c>
      <c r="D43" s="13">
        <v>4</v>
      </c>
      <c r="E43" s="13">
        <v>10</v>
      </c>
    </row>
    <row r="44" spans="1:5" x14ac:dyDescent="0.3">
      <c r="A44" s="13" t="s">
        <v>1</v>
      </c>
      <c r="B44" s="13" t="s">
        <v>36</v>
      </c>
      <c r="C44" s="13">
        <v>3</v>
      </c>
      <c r="D44" s="13">
        <v>3</v>
      </c>
      <c r="E44" s="13">
        <v>3</v>
      </c>
    </row>
    <row r="45" spans="1:5" x14ac:dyDescent="0.3">
      <c r="A45" s="13" t="s">
        <v>1</v>
      </c>
      <c r="B45" s="13" t="s">
        <v>71</v>
      </c>
      <c r="C45" s="13">
        <v>3</v>
      </c>
      <c r="D45" s="13">
        <v>3</v>
      </c>
      <c r="E45" s="13">
        <v>3</v>
      </c>
    </row>
    <row r="46" spans="1:5" x14ac:dyDescent="0.3">
      <c r="A46" s="13" t="s">
        <v>1</v>
      </c>
      <c r="B46" s="13" t="s">
        <v>77</v>
      </c>
      <c r="C46" s="13">
        <v>3</v>
      </c>
      <c r="D46" s="13">
        <v>3</v>
      </c>
      <c r="E46" s="13">
        <v>3</v>
      </c>
    </row>
    <row r="47" spans="1:5" x14ac:dyDescent="0.3">
      <c r="A47" s="13" t="s">
        <v>1</v>
      </c>
      <c r="B47" s="13" t="s">
        <v>34</v>
      </c>
      <c r="C47" s="13">
        <v>3</v>
      </c>
      <c r="D47" s="13">
        <v>3</v>
      </c>
      <c r="E47" s="13">
        <v>3</v>
      </c>
    </row>
    <row r="48" spans="1:5" x14ac:dyDescent="0.3">
      <c r="A48" s="13" t="s">
        <v>1</v>
      </c>
      <c r="B48" s="13" t="s">
        <v>209</v>
      </c>
      <c r="C48" s="13">
        <v>3</v>
      </c>
      <c r="D48" s="13">
        <v>3</v>
      </c>
      <c r="E48" s="13">
        <v>4</v>
      </c>
    </row>
    <row r="49" spans="1:5" x14ac:dyDescent="0.3">
      <c r="A49" s="13" t="s">
        <v>1</v>
      </c>
      <c r="B49" s="13" t="s">
        <v>148</v>
      </c>
      <c r="C49" s="13">
        <v>5</v>
      </c>
      <c r="D49" s="13">
        <v>3</v>
      </c>
      <c r="E49" s="13">
        <v>6</v>
      </c>
    </row>
    <row r="50" spans="1:5" x14ac:dyDescent="0.3">
      <c r="A50" s="13" t="s">
        <v>1</v>
      </c>
      <c r="B50" s="13" t="s">
        <v>1621</v>
      </c>
      <c r="C50" s="13">
        <v>3</v>
      </c>
      <c r="D50" s="13">
        <v>3</v>
      </c>
      <c r="E50" s="13">
        <v>3</v>
      </c>
    </row>
    <row r="51" spans="1:5" x14ac:dyDescent="0.3">
      <c r="A51" s="13" t="s">
        <v>1</v>
      </c>
      <c r="B51" s="13" t="s">
        <v>104</v>
      </c>
      <c r="C51" s="13">
        <v>3</v>
      </c>
      <c r="D51" s="13">
        <v>3</v>
      </c>
      <c r="E51" s="13">
        <v>3</v>
      </c>
    </row>
    <row r="52" spans="1:5" x14ac:dyDescent="0.3">
      <c r="A52" s="13" t="s">
        <v>1</v>
      </c>
      <c r="B52" s="13" t="s">
        <v>394</v>
      </c>
      <c r="C52" s="13">
        <v>3</v>
      </c>
      <c r="D52" s="13">
        <v>3</v>
      </c>
      <c r="E52" s="13">
        <v>3</v>
      </c>
    </row>
    <row r="53" spans="1:5" x14ac:dyDescent="0.3">
      <c r="A53" s="13" t="s">
        <v>1</v>
      </c>
      <c r="B53" s="13" t="s">
        <v>513</v>
      </c>
      <c r="C53" s="13">
        <v>4</v>
      </c>
      <c r="D53" s="13">
        <v>3</v>
      </c>
      <c r="E53" s="13">
        <v>3</v>
      </c>
    </row>
    <row r="54" spans="1:5" x14ac:dyDescent="0.3">
      <c r="A54" s="13" t="s">
        <v>1</v>
      </c>
      <c r="B54" s="13" t="s">
        <v>479</v>
      </c>
      <c r="C54" s="13">
        <v>3</v>
      </c>
      <c r="D54" s="13">
        <v>3</v>
      </c>
      <c r="E54" s="13">
        <v>3</v>
      </c>
    </row>
    <row r="55" spans="1:5" x14ac:dyDescent="0.3">
      <c r="A55" s="13" t="s">
        <v>1</v>
      </c>
      <c r="B55" s="13" t="s">
        <v>631</v>
      </c>
      <c r="C55" s="13">
        <v>4</v>
      </c>
      <c r="D55" s="13">
        <v>3</v>
      </c>
      <c r="E55" s="13">
        <v>4</v>
      </c>
    </row>
    <row r="56" spans="1:5" x14ac:dyDescent="0.3">
      <c r="A56" s="13" t="s">
        <v>1</v>
      </c>
      <c r="B56" s="13" t="s">
        <v>124</v>
      </c>
      <c r="C56" s="13">
        <v>3</v>
      </c>
      <c r="D56" s="13">
        <v>3</v>
      </c>
      <c r="E56" s="13">
        <v>3</v>
      </c>
    </row>
    <row r="57" spans="1:5" x14ac:dyDescent="0.3">
      <c r="A57" s="13" t="s">
        <v>1</v>
      </c>
      <c r="B57" s="13" t="s">
        <v>52</v>
      </c>
      <c r="C57" s="13">
        <v>4</v>
      </c>
      <c r="D57" s="13">
        <v>3</v>
      </c>
      <c r="E57" s="13">
        <v>4</v>
      </c>
    </row>
    <row r="58" spans="1:5" x14ac:dyDescent="0.3">
      <c r="A58" s="13" t="s">
        <v>1</v>
      </c>
      <c r="B58" s="13" t="s">
        <v>190</v>
      </c>
      <c r="C58" s="13">
        <v>5</v>
      </c>
      <c r="D58" s="13">
        <v>3</v>
      </c>
      <c r="E58" s="13">
        <v>5</v>
      </c>
    </row>
    <row r="59" spans="1:5" x14ac:dyDescent="0.3">
      <c r="A59" s="13" t="s">
        <v>0</v>
      </c>
      <c r="B59" s="13" t="s">
        <v>373</v>
      </c>
      <c r="C59" s="13">
        <v>3</v>
      </c>
      <c r="D59" s="13">
        <v>3</v>
      </c>
      <c r="E59" s="13">
        <v>3</v>
      </c>
    </row>
    <row r="60" spans="1:5" x14ac:dyDescent="0.3">
      <c r="A60" s="13" t="s">
        <v>0</v>
      </c>
      <c r="B60" s="13" t="s">
        <v>77</v>
      </c>
      <c r="C60" s="13">
        <v>3</v>
      </c>
      <c r="D60" s="13">
        <v>3</v>
      </c>
      <c r="E60" s="13">
        <v>3</v>
      </c>
    </row>
    <row r="61" spans="1:5" x14ac:dyDescent="0.3">
      <c r="A61" s="13" t="s">
        <v>0</v>
      </c>
      <c r="B61" s="13" t="s">
        <v>94</v>
      </c>
      <c r="C61" s="13">
        <v>3</v>
      </c>
      <c r="D61" s="13">
        <v>3</v>
      </c>
      <c r="E61" s="13">
        <v>3</v>
      </c>
    </row>
    <row r="62" spans="1:5" x14ac:dyDescent="0.3">
      <c r="A62" s="13" t="s">
        <v>0</v>
      </c>
      <c r="B62" s="13" t="s">
        <v>476</v>
      </c>
      <c r="C62" s="13">
        <v>3</v>
      </c>
      <c r="D62" s="13">
        <v>3</v>
      </c>
      <c r="E62" s="13">
        <v>3</v>
      </c>
    </row>
    <row r="63" spans="1:5" x14ac:dyDescent="0.3">
      <c r="A63" s="13" t="s">
        <v>0</v>
      </c>
      <c r="B63" s="13" t="s">
        <v>195</v>
      </c>
      <c r="C63" s="13">
        <v>3</v>
      </c>
      <c r="D63" s="13">
        <v>3</v>
      </c>
      <c r="E63" s="13">
        <v>3</v>
      </c>
    </row>
    <row r="64" spans="1:5" x14ac:dyDescent="0.3">
      <c r="A64" s="13" t="s">
        <v>1</v>
      </c>
      <c r="B64" s="13" t="s">
        <v>204</v>
      </c>
      <c r="C64" s="13">
        <v>2</v>
      </c>
      <c r="D64" s="13">
        <v>2</v>
      </c>
      <c r="E64" s="13">
        <v>2</v>
      </c>
    </row>
    <row r="65" spans="1:5" x14ac:dyDescent="0.3">
      <c r="A65" s="13" t="s">
        <v>1</v>
      </c>
      <c r="B65" s="13" t="s">
        <v>499</v>
      </c>
      <c r="C65" s="13">
        <v>3</v>
      </c>
      <c r="D65" s="13">
        <v>2</v>
      </c>
      <c r="E65" s="13">
        <v>3</v>
      </c>
    </row>
    <row r="66" spans="1:5" x14ac:dyDescent="0.3">
      <c r="A66" s="13" t="s">
        <v>1</v>
      </c>
      <c r="B66" s="13" t="s">
        <v>2204</v>
      </c>
      <c r="C66" s="13">
        <v>2</v>
      </c>
      <c r="D66" s="13">
        <v>2</v>
      </c>
      <c r="E66" s="13">
        <v>4</v>
      </c>
    </row>
    <row r="67" spans="1:5" x14ac:dyDescent="0.3">
      <c r="A67" s="13" t="s">
        <v>1</v>
      </c>
      <c r="B67" s="13" t="s">
        <v>59</v>
      </c>
      <c r="C67" s="13">
        <v>2</v>
      </c>
      <c r="D67" s="13">
        <v>2</v>
      </c>
      <c r="E67" s="13">
        <v>2</v>
      </c>
    </row>
    <row r="68" spans="1:5" x14ac:dyDescent="0.3">
      <c r="A68" s="13" t="s">
        <v>1</v>
      </c>
      <c r="B68" s="13" t="s">
        <v>211</v>
      </c>
      <c r="C68" s="13">
        <v>3</v>
      </c>
      <c r="D68" s="13">
        <v>2</v>
      </c>
      <c r="E68" s="13">
        <v>3</v>
      </c>
    </row>
    <row r="69" spans="1:5" x14ac:dyDescent="0.3">
      <c r="A69" s="13" t="s">
        <v>1</v>
      </c>
      <c r="B69" s="13" t="s">
        <v>83</v>
      </c>
      <c r="C69" s="13">
        <v>2</v>
      </c>
      <c r="D69" s="13">
        <v>2</v>
      </c>
      <c r="E69" s="13">
        <v>2</v>
      </c>
    </row>
    <row r="70" spans="1:5" x14ac:dyDescent="0.3">
      <c r="A70" s="13" t="s">
        <v>1</v>
      </c>
      <c r="B70" s="13" t="s">
        <v>1288</v>
      </c>
      <c r="C70" s="13">
        <v>2</v>
      </c>
      <c r="D70" s="13">
        <v>2</v>
      </c>
      <c r="E70" s="13">
        <v>2</v>
      </c>
    </row>
    <row r="71" spans="1:5" x14ac:dyDescent="0.3">
      <c r="A71" s="13" t="s">
        <v>1</v>
      </c>
      <c r="B71" s="13" t="s">
        <v>351</v>
      </c>
      <c r="C71" s="13">
        <v>4</v>
      </c>
      <c r="D71" s="13">
        <v>2</v>
      </c>
      <c r="E71" s="13">
        <v>4</v>
      </c>
    </row>
    <row r="72" spans="1:5" x14ac:dyDescent="0.3">
      <c r="A72" s="13" t="s">
        <v>1</v>
      </c>
      <c r="B72" s="13" t="s">
        <v>151</v>
      </c>
      <c r="C72" s="13">
        <v>3</v>
      </c>
      <c r="D72" s="13">
        <v>2</v>
      </c>
      <c r="E72" s="13">
        <v>3</v>
      </c>
    </row>
    <row r="73" spans="1:5" x14ac:dyDescent="0.3">
      <c r="A73" s="13" t="s">
        <v>1</v>
      </c>
      <c r="B73" s="13" t="s">
        <v>42</v>
      </c>
      <c r="C73" s="13">
        <v>6</v>
      </c>
      <c r="D73" s="13">
        <v>2</v>
      </c>
      <c r="E73" s="13">
        <v>8</v>
      </c>
    </row>
    <row r="74" spans="1:5" x14ac:dyDescent="0.3">
      <c r="A74" s="13" t="s">
        <v>1</v>
      </c>
      <c r="B74" s="13" t="s">
        <v>471</v>
      </c>
      <c r="C74" s="13">
        <v>4</v>
      </c>
      <c r="D74" s="13">
        <v>2</v>
      </c>
      <c r="E74" s="13">
        <v>4</v>
      </c>
    </row>
    <row r="75" spans="1:5" x14ac:dyDescent="0.3">
      <c r="A75" s="13" t="s">
        <v>1</v>
      </c>
      <c r="B75" s="13" t="s">
        <v>1570</v>
      </c>
      <c r="C75" s="13">
        <v>2</v>
      </c>
      <c r="D75" s="13">
        <v>2</v>
      </c>
      <c r="E75" s="13">
        <v>3</v>
      </c>
    </row>
    <row r="76" spans="1:5" x14ac:dyDescent="0.3">
      <c r="A76" s="13" t="s">
        <v>1</v>
      </c>
      <c r="B76" s="13" t="s">
        <v>1663</v>
      </c>
      <c r="C76" s="13">
        <v>4</v>
      </c>
      <c r="D76" s="13">
        <v>2</v>
      </c>
      <c r="E76" s="13">
        <v>5</v>
      </c>
    </row>
    <row r="77" spans="1:5" x14ac:dyDescent="0.3">
      <c r="A77" s="13" t="s">
        <v>1</v>
      </c>
      <c r="B77" s="13" t="s">
        <v>1741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1888</v>
      </c>
      <c r="C78" s="13">
        <v>3</v>
      </c>
      <c r="D78" s="13">
        <v>2</v>
      </c>
      <c r="E78" s="13">
        <v>3</v>
      </c>
    </row>
    <row r="79" spans="1:5" x14ac:dyDescent="0.3">
      <c r="A79" s="13" t="s">
        <v>1</v>
      </c>
      <c r="B79" s="13" t="s">
        <v>1899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1988</v>
      </c>
      <c r="C80" s="13">
        <v>5</v>
      </c>
      <c r="D80" s="13">
        <v>2</v>
      </c>
      <c r="E80" s="13">
        <v>5</v>
      </c>
    </row>
    <row r="81" spans="1:5" x14ac:dyDescent="0.3">
      <c r="A81" s="13" t="s">
        <v>1</v>
      </c>
      <c r="B81" s="13" t="s">
        <v>2093</v>
      </c>
      <c r="C81" s="13">
        <v>7</v>
      </c>
      <c r="D81" s="13">
        <v>2</v>
      </c>
      <c r="E81" s="13">
        <v>7</v>
      </c>
    </row>
    <row r="82" spans="1:5" x14ac:dyDescent="0.3">
      <c r="A82" s="13" t="s">
        <v>1</v>
      </c>
      <c r="B82" s="13" t="s">
        <v>2162</v>
      </c>
      <c r="C82" s="13">
        <v>6</v>
      </c>
      <c r="D82" s="13">
        <v>2</v>
      </c>
      <c r="E82" s="13">
        <v>6</v>
      </c>
    </row>
    <row r="83" spans="1:5" x14ac:dyDescent="0.3">
      <c r="A83" s="13" t="s">
        <v>1</v>
      </c>
      <c r="B83" s="13" t="s">
        <v>28</v>
      </c>
      <c r="C83" s="13">
        <v>2</v>
      </c>
      <c r="D83" s="13">
        <v>2</v>
      </c>
      <c r="E83" s="13">
        <v>2</v>
      </c>
    </row>
    <row r="84" spans="1:5" x14ac:dyDescent="0.3">
      <c r="A84" s="13" t="s">
        <v>1</v>
      </c>
      <c r="B84" s="13" t="s">
        <v>161</v>
      </c>
      <c r="C84" s="13">
        <v>6</v>
      </c>
      <c r="D84" s="13">
        <v>2</v>
      </c>
      <c r="E84" s="13">
        <v>7</v>
      </c>
    </row>
    <row r="85" spans="1:5" x14ac:dyDescent="0.3">
      <c r="A85" s="13" t="s">
        <v>1</v>
      </c>
      <c r="B85" s="13" t="s">
        <v>105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163</v>
      </c>
      <c r="C86" s="13">
        <v>2</v>
      </c>
      <c r="D86" s="13">
        <v>2</v>
      </c>
      <c r="E86" s="13">
        <v>2</v>
      </c>
    </row>
    <row r="87" spans="1:5" x14ac:dyDescent="0.3">
      <c r="A87" s="13" t="s">
        <v>1</v>
      </c>
      <c r="B87" s="13" t="s">
        <v>276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683</v>
      </c>
      <c r="C88" s="13">
        <v>2</v>
      </c>
      <c r="D88" s="13">
        <v>2</v>
      </c>
      <c r="E88" s="13">
        <v>2</v>
      </c>
    </row>
    <row r="89" spans="1:5" x14ac:dyDescent="0.3">
      <c r="A89" s="13" t="s">
        <v>1</v>
      </c>
      <c r="B89" s="13" t="s">
        <v>395</v>
      </c>
      <c r="C89" s="13">
        <v>2</v>
      </c>
      <c r="D89" s="13">
        <v>2</v>
      </c>
      <c r="E89" s="13">
        <v>2</v>
      </c>
    </row>
    <row r="90" spans="1:5" x14ac:dyDescent="0.3">
      <c r="A90" s="13" t="s">
        <v>1</v>
      </c>
      <c r="B90" s="13" t="s">
        <v>567</v>
      </c>
      <c r="C90" s="13">
        <v>2</v>
      </c>
      <c r="D90" s="13">
        <v>2</v>
      </c>
      <c r="E90" s="13">
        <v>2</v>
      </c>
    </row>
    <row r="91" spans="1:5" x14ac:dyDescent="0.3">
      <c r="A91" s="13" t="s">
        <v>1</v>
      </c>
      <c r="B91" s="13" t="s">
        <v>45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115</v>
      </c>
      <c r="C92" s="13">
        <v>3</v>
      </c>
      <c r="D92" s="13">
        <v>2</v>
      </c>
      <c r="E92" s="13">
        <v>3</v>
      </c>
    </row>
    <row r="93" spans="1:5" x14ac:dyDescent="0.3">
      <c r="A93" s="13" t="s">
        <v>1</v>
      </c>
      <c r="B93" s="13" t="s">
        <v>837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121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537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38</v>
      </c>
      <c r="C96" s="13">
        <v>4</v>
      </c>
      <c r="D96" s="13">
        <v>2</v>
      </c>
      <c r="E96" s="13">
        <v>6</v>
      </c>
    </row>
    <row r="97" spans="1:5" x14ac:dyDescent="0.3">
      <c r="A97" s="13" t="s">
        <v>1</v>
      </c>
      <c r="B97" s="13" t="s">
        <v>1537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484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365</v>
      </c>
      <c r="C99" s="13">
        <v>5</v>
      </c>
      <c r="D99" s="13">
        <v>2</v>
      </c>
      <c r="E99" s="13">
        <v>6</v>
      </c>
    </row>
    <row r="100" spans="1:5" x14ac:dyDescent="0.3">
      <c r="A100" s="13" t="s">
        <v>1</v>
      </c>
      <c r="B100" s="13" t="s">
        <v>54</v>
      </c>
      <c r="C100" s="13">
        <v>5</v>
      </c>
      <c r="D100" s="13">
        <v>2</v>
      </c>
      <c r="E100" s="13">
        <v>6</v>
      </c>
    </row>
    <row r="101" spans="1:5" x14ac:dyDescent="0.3">
      <c r="A101" s="13" t="s">
        <v>1</v>
      </c>
      <c r="B101" s="13" t="s">
        <v>1589</v>
      </c>
      <c r="C101" s="13">
        <v>3</v>
      </c>
      <c r="D101" s="13">
        <v>2</v>
      </c>
      <c r="E101" s="13">
        <v>3</v>
      </c>
    </row>
    <row r="102" spans="1:5" x14ac:dyDescent="0.3">
      <c r="A102" s="13" t="s">
        <v>1</v>
      </c>
      <c r="B102" s="13" t="s">
        <v>1121</v>
      </c>
      <c r="C102" s="13">
        <v>2</v>
      </c>
      <c r="D102" s="13">
        <v>2</v>
      </c>
      <c r="E102" s="13">
        <v>3</v>
      </c>
    </row>
    <row r="103" spans="1:5" x14ac:dyDescent="0.3">
      <c r="A103" s="13" t="s">
        <v>0</v>
      </c>
      <c r="B103" s="13" t="s">
        <v>474</v>
      </c>
      <c r="C103" s="13">
        <v>3</v>
      </c>
      <c r="D103" s="13">
        <v>2</v>
      </c>
      <c r="E103" s="13">
        <v>4</v>
      </c>
    </row>
    <row r="104" spans="1:5" x14ac:dyDescent="0.3">
      <c r="A104" s="13" t="s">
        <v>0</v>
      </c>
      <c r="B104" s="13" t="s">
        <v>34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0</v>
      </c>
      <c r="B105" s="13" t="s">
        <v>260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0</v>
      </c>
      <c r="B106" s="13" t="s">
        <v>600</v>
      </c>
      <c r="C106" s="13">
        <v>2</v>
      </c>
      <c r="D106" s="13">
        <v>2</v>
      </c>
      <c r="E106" s="13">
        <v>4</v>
      </c>
    </row>
    <row r="107" spans="1:5" x14ac:dyDescent="0.3">
      <c r="A107" s="13" t="s">
        <v>0</v>
      </c>
      <c r="B107" s="13" t="s">
        <v>149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0</v>
      </c>
      <c r="B108" s="13" t="s">
        <v>1631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0</v>
      </c>
      <c r="B109" s="13" t="s">
        <v>1882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0</v>
      </c>
      <c r="B110" s="13" t="s">
        <v>156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0</v>
      </c>
      <c r="B111" s="13" t="s">
        <v>159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0</v>
      </c>
      <c r="B112" s="13" t="s">
        <v>567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0</v>
      </c>
      <c r="B113" s="13" t="s">
        <v>51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0</v>
      </c>
      <c r="B114" s="13" t="s">
        <v>170</v>
      </c>
      <c r="C114" s="13">
        <v>2</v>
      </c>
      <c r="D114" s="13">
        <v>2</v>
      </c>
      <c r="E114" s="13">
        <v>2</v>
      </c>
    </row>
    <row r="115" spans="1:5" x14ac:dyDescent="0.3">
      <c r="A115" s="13" t="s">
        <v>0</v>
      </c>
      <c r="B115" s="13" t="s">
        <v>1442</v>
      </c>
      <c r="C115" s="13">
        <v>2</v>
      </c>
      <c r="D115" s="13">
        <v>2</v>
      </c>
      <c r="E115" s="13">
        <v>4</v>
      </c>
    </row>
    <row r="116" spans="1:5" x14ac:dyDescent="0.3">
      <c r="A116" s="13" t="s">
        <v>0</v>
      </c>
      <c r="B116" s="13" t="s">
        <v>62</v>
      </c>
      <c r="C116" s="13">
        <v>2</v>
      </c>
      <c r="D116" s="13">
        <v>2</v>
      </c>
      <c r="E116" s="13">
        <v>2</v>
      </c>
    </row>
    <row r="117" spans="1:5" x14ac:dyDescent="0.3">
      <c r="A117" s="13" t="s">
        <v>0</v>
      </c>
      <c r="B117" s="13" t="s">
        <v>661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0</v>
      </c>
      <c r="B118" s="13" t="s">
        <v>178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0</v>
      </c>
      <c r="B119" s="13" t="s">
        <v>255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0</v>
      </c>
      <c r="B120" s="13" t="s">
        <v>483</v>
      </c>
      <c r="C120" s="13">
        <v>2</v>
      </c>
      <c r="D120" s="13">
        <v>2</v>
      </c>
      <c r="E120" s="13">
        <v>4</v>
      </c>
    </row>
    <row r="121" spans="1:5" x14ac:dyDescent="0.3">
      <c r="A121" s="13" t="s">
        <v>0</v>
      </c>
      <c r="B121" s="13" t="s">
        <v>188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0</v>
      </c>
      <c r="B122" s="13" t="s">
        <v>192</v>
      </c>
      <c r="C122" s="13">
        <v>3</v>
      </c>
      <c r="D122" s="13">
        <v>2</v>
      </c>
      <c r="E122" s="13">
        <v>4</v>
      </c>
    </row>
    <row r="123" spans="1:5" x14ac:dyDescent="0.3">
      <c r="A123" s="13" t="s">
        <v>0</v>
      </c>
      <c r="B123" s="13" t="s">
        <v>39</v>
      </c>
      <c r="C123" s="13">
        <v>4</v>
      </c>
      <c r="D123" s="13">
        <v>2</v>
      </c>
      <c r="E123" s="13">
        <v>5</v>
      </c>
    </row>
    <row r="124" spans="1:5" x14ac:dyDescent="0.3">
      <c r="A124" s="13" t="s">
        <v>1</v>
      </c>
      <c r="B124" s="13" t="s">
        <v>473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198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69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551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798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240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138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70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2205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554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586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470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555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656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73</v>
      </c>
      <c r="C138" s="13">
        <v>2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670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1207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382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1159</v>
      </c>
      <c r="C142" s="13">
        <v>4</v>
      </c>
      <c r="D142" s="13">
        <v>1</v>
      </c>
      <c r="E142" s="13">
        <v>5</v>
      </c>
    </row>
    <row r="143" spans="1:5" x14ac:dyDescent="0.3">
      <c r="A143" s="13" t="s">
        <v>1</v>
      </c>
      <c r="B143" s="13" t="s">
        <v>143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672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267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498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1362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78</v>
      </c>
      <c r="C148" s="13">
        <v>2</v>
      </c>
      <c r="D148" s="13">
        <v>1</v>
      </c>
      <c r="E148" s="13">
        <v>2</v>
      </c>
    </row>
    <row r="149" spans="1:5" x14ac:dyDescent="0.3">
      <c r="A149" s="13" t="s">
        <v>1</v>
      </c>
      <c r="B149" s="13" t="s">
        <v>930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757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80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304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270</v>
      </c>
      <c r="C153" s="13">
        <v>4</v>
      </c>
      <c r="D153" s="13">
        <v>1</v>
      </c>
      <c r="E153" s="13">
        <v>3</v>
      </c>
    </row>
    <row r="154" spans="1:5" x14ac:dyDescent="0.3">
      <c r="A154" s="13" t="s">
        <v>1</v>
      </c>
      <c r="B154" s="13" t="s">
        <v>600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145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86</v>
      </c>
      <c r="C156" s="13">
        <v>2</v>
      </c>
      <c r="D156" s="13">
        <v>1</v>
      </c>
      <c r="E156" s="13">
        <v>3</v>
      </c>
    </row>
    <row r="157" spans="1:5" x14ac:dyDescent="0.3">
      <c r="A157" s="13" t="s">
        <v>1</v>
      </c>
      <c r="B157" s="13" t="s">
        <v>2206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1503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605</v>
      </c>
      <c r="C159" s="13">
        <v>1</v>
      </c>
      <c r="D159" s="13">
        <v>1</v>
      </c>
      <c r="E159" s="13">
        <v>2</v>
      </c>
    </row>
    <row r="160" spans="1:5" x14ac:dyDescent="0.3">
      <c r="A160" s="13" t="s">
        <v>1</v>
      </c>
      <c r="B160" s="13" t="s">
        <v>88</v>
      </c>
      <c r="C160" s="13">
        <v>2</v>
      </c>
      <c r="D160" s="13">
        <v>1</v>
      </c>
      <c r="E160" s="13">
        <v>2</v>
      </c>
    </row>
    <row r="161" spans="1:5" x14ac:dyDescent="0.3">
      <c r="A161" s="13" t="s">
        <v>1</v>
      </c>
      <c r="B161" s="13" t="s">
        <v>272</v>
      </c>
      <c r="C161" s="13">
        <v>3</v>
      </c>
      <c r="D161" s="13">
        <v>1</v>
      </c>
      <c r="E161" s="13">
        <v>4</v>
      </c>
    </row>
    <row r="162" spans="1:5" x14ac:dyDescent="0.3">
      <c r="A162" s="13" t="s">
        <v>1</v>
      </c>
      <c r="B162" s="13" t="s">
        <v>1175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217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1171</v>
      </c>
      <c r="C164" s="13">
        <v>1</v>
      </c>
      <c r="D164" s="13">
        <v>1</v>
      </c>
      <c r="E164" s="13">
        <v>4</v>
      </c>
    </row>
    <row r="165" spans="1:5" x14ac:dyDescent="0.3">
      <c r="A165" s="13" t="s">
        <v>1</v>
      </c>
      <c r="B165" s="13" t="s">
        <v>353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60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1471</v>
      </c>
      <c r="C167" s="13">
        <v>2</v>
      </c>
      <c r="D167" s="13">
        <v>1</v>
      </c>
      <c r="E167" s="13">
        <v>5</v>
      </c>
    </row>
    <row r="168" spans="1:5" x14ac:dyDescent="0.3">
      <c r="A168" s="13" t="s">
        <v>1</v>
      </c>
      <c r="B168" s="13" t="s">
        <v>1484</v>
      </c>
      <c r="C168" s="13">
        <v>2</v>
      </c>
      <c r="D168" s="13">
        <v>1</v>
      </c>
      <c r="E168" s="13">
        <v>2</v>
      </c>
    </row>
    <row r="169" spans="1:5" x14ac:dyDescent="0.3">
      <c r="A169" s="13" t="s">
        <v>1</v>
      </c>
      <c r="B169" s="13" t="s">
        <v>1498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1645</v>
      </c>
      <c r="C170" s="13">
        <v>3</v>
      </c>
      <c r="D170" s="13">
        <v>1</v>
      </c>
      <c r="E170" s="13">
        <v>3</v>
      </c>
    </row>
    <row r="171" spans="1:5" x14ac:dyDescent="0.3">
      <c r="A171" s="13" t="s">
        <v>1</v>
      </c>
      <c r="B171" s="13" t="s">
        <v>1849</v>
      </c>
      <c r="C171" s="13">
        <v>1</v>
      </c>
      <c r="D171" s="13">
        <v>1</v>
      </c>
      <c r="E171" s="13">
        <v>2</v>
      </c>
    </row>
    <row r="172" spans="1:5" x14ac:dyDescent="0.3">
      <c r="A172" s="13" t="s">
        <v>1</v>
      </c>
      <c r="B172" s="13" t="s">
        <v>1885</v>
      </c>
      <c r="C172" s="13">
        <v>2</v>
      </c>
      <c r="D172" s="13">
        <v>1</v>
      </c>
      <c r="E172" s="13">
        <v>3</v>
      </c>
    </row>
    <row r="173" spans="1:5" x14ac:dyDescent="0.3">
      <c r="A173" s="13" t="s">
        <v>1</v>
      </c>
      <c r="B173" s="13" t="s">
        <v>1881</v>
      </c>
      <c r="C173" s="13">
        <v>3</v>
      </c>
      <c r="D173" s="13">
        <v>1</v>
      </c>
      <c r="E173" s="13">
        <v>3</v>
      </c>
    </row>
    <row r="174" spans="1:5" x14ac:dyDescent="0.3">
      <c r="A174" s="13" t="s">
        <v>1</v>
      </c>
      <c r="B174" s="13" t="s">
        <v>1976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2069</v>
      </c>
      <c r="C175" s="13">
        <v>3</v>
      </c>
      <c r="D175" s="13">
        <v>1</v>
      </c>
      <c r="E175" s="13">
        <v>3</v>
      </c>
    </row>
    <row r="176" spans="1:5" x14ac:dyDescent="0.3">
      <c r="A176" s="13" t="s">
        <v>1</v>
      </c>
      <c r="B176" s="13" t="s">
        <v>505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506</v>
      </c>
      <c r="C177" s="13">
        <v>2</v>
      </c>
      <c r="D177" s="13">
        <v>1</v>
      </c>
      <c r="E177" s="13">
        <v>2</v>
      </c>
    </row>
    <row r="178" spans="1:5" x14ac:dyDescent="0.3">
      <c r="A178" s="13" t="s">
        <v>1</v>
      </c>
      <c r="B178" s="13" t="s">
        <v>155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95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248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2207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96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996</v>
      </c>
      <c r="C183" s="13">
        <v>1</v>
      </c>
      <c r="D183" s="13">
        <v>1</v>
      </c>
      <c r="E183" s="13">
        <v>2</v>
      </c>
    </row>
    <row r="184" spans="1:5" x14ac:dyDescent="0.3">
      <c r="A184" s="13" t="s">
        <v>1</v>
      </c>
      <c r="B184" s="13" t="s">
        <v>1436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1970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762</v>
      </c>
      <c r="C186" s="13">
        <v>2</v>
      </c>
      <c r="D186" s="13">
        <v>1</v>
      </c>
      <c r="E186" s="13">
        <v>2</v>
      </c>
    </row>
    <row r="187" spans="1:5" x14ac:dyDescent="0.3">
      <c r="A187" s="13" t="s">
        <v>1</v>
      </c>
      <c r="B187" s="13" t="s">
        <v>159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937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101</v>
      </c>
      <c r="C189" s="13">
        <v>2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1201</v>
      </c>
      <c r="C190" s="13">
        <v>1</v>
      </c>
      <c r="D190" s="13">
        <v>1</v>
      </c>
      <c r="E190" s="13">
        <v>3</v>
      </c>
    </row>
    <row r="191" spans="1:5" x14ac:dyDescent="0.3">
      <c r="A191" s="13" t="s">
        <v>1</v>
      </c>
      <c r="B191" s="13" t="s">
        <v>860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1327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1626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1095</v>
      </c>
      <c r="C194" s="13">
        <v>2</v>
      </c>
      <c r="D194" s="13">
        <v>1</v>
      </c>
      <c r="E194" s="13">
        <v>2</v>
      </c>
    </row>
    <row r="195" spans="1:5" x14ac:dyDescent="0.3">
      <c r="A195" s="13" t="s">
        <v>1</v>
      </c>
      <c r="B195" s="13" t="s">
        <v>1129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164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1186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1165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1922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565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107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617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165</v>
      </c>
      <c r="C203" s="13">
        <v>1</v>
      </c>
      <c r="D203" s="13">
        <v>1</v>
      </c>
      <c r="E203" s="13">
        <v>4</v>
      </c>
    </row>
    <row r="204" spans="1:5" x14ac:dyDescent="0.3">
      <c r="A204" s="13" t="s">
        <v>1</v>
      </c>
      <c r="B204" s="13" t="s">
        <v>108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1028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618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2208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823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169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2209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1097</v>
      </c>
      <c r="C211" s="13">
        <v>1</v>
      </c>
      <c r="D211" s="13">
        <v>1</v>
      </c>
      <c r="E211" s="13">
        <v>2</v>
      </c>
    </row>
    <row r="212" spans="1:5" x14ac:dyDescent="0.3">
      <c r="A212" s="13" t="s">
        <v>1</v>
      </c>
      <c r="B212" s="13" t="s">
        <v>397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824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512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2210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315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316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317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2211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1258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1604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689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2212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1851</v>
      </c>
      <c r="C224" s="13">
        <v>1</v>
      </c>
      <c r="D224" s="13">
        <v>1</v>
      </c>
      <c r="E224" s="13">
        <v>2</v>
      </c>
    </row>
    <row r="225" spans="1:5" x14ac:dyDescent="0.3">
      <c r="A225" s="13" t="s">
        <v>1</v>
      </c>
      <c r="B225" s="13" t="s">
        <v>319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1073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691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285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895</v>
      </c>
      <c r="C229" s="13">
        <v>1</v>
      </c>
      <c r="D229" s="13">
        <v>1</v>
      </c>
      <c r="E229" s="13">
        <v>2</v>
      </c>
    </row>
    <row r="230" spans="1:5" x14ac:dyDescent="0.3">
      <c r="A230" s="13" t="s">
        <v>1</v>
      </c>
      <c r="B230" s="13" t="s">
        <v>622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693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226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1188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2213</v>
      </c>
      <c r="C234" s="13">
        <v>2</v>
      </c>
      <c r="D234" s="13">
        <v>1</v>
      </c>
      <c r="E234" s="13">
        <v>2</v>
      </c>
    </row>
    <row r="235" spans="1:5" x14ac:dyDescent="0.3">
      <c r="A235" s="13" t="s">
        <v>1</v>
      </c>
      <c r="B235" s="13" t="s">
        <v>454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325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580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1190</v>
      </c>
      <c r="C238" s="13">
        <v>1</v>
      </c>
      <c r="D238" s="13">
        <v>1</v>
      </c>
      <c r="E238" s="13">
        <v>2</v>
      </c>
    </row>
    <row r="239" spans="1:5" x14ac:dyDescent="0.3">
      <c r="A239" s="13" t="s">
        <v>1</v>
      </c>
      <c r="B239" s="13" t="s">
        <v>1691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767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2181</v>
      </c>
      <c r="C241" s="13">
        <v>1</v>
      </c>
      <c r="D241" s="13">
        <v>1</v>
      </c>
      <c r="E241" s="13">
        <v>3</v>
      </c>
    </row>
    <row r="242" spans="1:5" x14ac:dyDescent="0.3">
      <c r="A242" s="13" t="s">
        <v>1</v>
      </c>
      <c r="B242" s="13" t="s">
        <v>402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1101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836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1081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949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1389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289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466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363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661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123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175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531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407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2214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2215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1120</v>
      </c>
      <c r="C258" s="13">
        <v>2</v>
      </c>
      <c r="D258" s="13">
        <v>1</v>
      </c>
      <c r="E258" s="13">
        <v>2</v>
      </c>
    </row>
    <row r="259" spans="1:5" x14ac:dyDescent="0.3">
      <c r="A259" s="13" t="s">
        <v>1</v>
      </c>
      <c r="B259" s="13" t="s">
        <v>1324</v>
      </c>
      <c r="C259" s="13">
        <v>1</v>
      </c>
      <c r="D259" s="13">
        <v>1</v>
      </c>
      <c r="E259" s="13">
        <v>2</v>
      </c>
    </row>
    <row r="260" spans="1:5" x14ac:dyDescent="0.3">
      <c r="A260" s="13" t="s">
        <v>1</v>
      </c>
      <c r="B260" s="13" t="s">
        <v>1192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364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1781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533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953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63</v>
      </c>
      <c r="C265" s="13">
        <v>1</v>
      </c>
      <c r="D265" s="13">
        <v>1</v>
      </c>
      <c r="E265" s="13">
        <v>2</v>
      </c>
    </row>
    <row r="266" spans="1:5" x14ac:dyDescent="0.3">
      <c r="A266" s="13" t="s">
        <v>1</v>
      </c>
      <c r="B266" s="13" t="s">
        <v>1463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955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535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1195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536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2216</v>
      </c>
      <c r="C271" s="13">
        <v>1</v>
      </c>
      <c r="D271" s="13">
        <v>1</v>
      </c>
      <c r="E271" s="13">
        <v>2</v>
      </c>
    </row>
    <row r="272" spans="1:5" x14ac:dyDescent="0.3">
      <c r="A272" s="13" t="s">
        <v>1</v>
      </c>
      <c r="B272" s="13" t="s">
        <v>710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179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975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1951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337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414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182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779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2217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780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129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714</v>
      </c>
      <c r="C283" s="13">
        <v>4</v>
      </c>
      <c r="D283" s="13">
        <v>1</v>
      </c>
      <c r="E283" s="13">
        <v>4</v>
      </c>
    </row>
    <row r="284" spans="1:5" x14ac:dyDescent="0.3">
      <c r="A284" s="13" t="s">
        <v>1</v>
      </c>
      <c r="B284" s="13" t="s">
        <v>2128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977</v>
      </c>
      <c r="C285" s="13">
        <v>1</v>
      </c>
      <c r="D285" s="13">
        <v>1</v>
      </c>
      <c r="E285" s="13">
        <v>2</v>
      </c>
    </row>
    <row r="286" spans="1:5" x14ac:dyDescent="0.3">
      <c r="A286" s="13" t="s">
        <v>1</v>
      </c>
      <c r="B286" s="13" t="s">
        <v>637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483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188</v>
      </c>
      <c r="C288" s="13">
        <v>2</v>
      </c>
      <c r="D288" s="13">
        <v>1</v>
      </c>
      <c r="E288" s="13">
        <v>2</v>
      </c>
    </row>
    <row r="289" spans="1:5" x14ac:dyDescent="0.3">
      <c r="A289" s="13" t="s">
        <v>1</v>
      </c>
      <c r="B289" s="13" t="s">
        <v>441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1276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716</v>
      </c>
      <c r="C291" s="13">
        <v>2</v>
      </c>
      <c r="D291" s="13">
        <v>1</v>
      </c>
      <c r="E291" s="13">
        <v>2</v>
      </c>
    </row>
    <row r="292" spans="1:5" x14ac:dyDescent="0.3">
      <c r="A292" s="13" t="s">
        <v>1</v>
      </c>
      <c r="B292" s="13" t="s">
        <v>230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133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543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53</v>
      </c>
      <c r="C295" s="13">
        <v>2</v>
      </c>
      <c r="D295" s="13">
        <v>1</v>
      </c>
      <c r="E295" s="13">
        <v>2</v>
      </c>
    </row>
    <row r="296" spans="1:5" x14ac:dyDescent="0.3">
      <c r="A296" s="13" t="s">
        <v>1</v>
      </c>
      <c r="B296" s="13" t="s">
        <v>231</v>
      </c>
      <c r="C296" s="13">
        <v>8</v>
      </c>
      <c r="D296" s="13">
        <v>1</v>
      </c>
      <c r="E296" s="13">
        <v>13</v>
      </c>
    </row>
    <row r="297" spans="1:5" x14ac:dyDescent="0.3">
      <c r="A297" s="13" t="s">
        <v>1</v>
      </c>
      <c r="B297" s="13" t="s">
        <v>191</v>
      </c>
      <c r="C297" s="13">
        <v>2</v>
      </c>
      <c r="D297" s="13">
        <v>1</v>
      </c>
      <c r="E297" s="13">
        <v>2</v>
      </c>
    </row>
    <row r="298" spans="1:5" x14ac:dyDescent="0.3">
      <c r="A298" s="13" t="s">
        <v>1</v>
      </c>
      <c r="B298" s="13" t="s">
        <v>67</v>
      </c>
      <c r="C298" s="13">
        <v>3</v>
      </c>
      <c r="D298" s="13">
        <v>1</v>
      </c>
      <c r="E298" s="13">
        <v>3</v>
      </c>
    </row>
    <row r="299" spans="1:5" x14ac:dyDescent="0.3">
      <c r="A299" s="13" t="s">
        <v>1</v>
      </c>
      <c r="B299" s="13" t="s">
        <v>1440</v>
      </c>
      <c r="C299" s="13">
        <v>1</v>
      </c>
      <c r="D299" s="13">
        <v>1</v>
      </c>
      <c r="E299" s="13">
        <v>2</v>
      </c>
    </row>
    <row r="300" spans="1:5" x14ac:dyDescent="0.3">
      <c r="A300" s="13" t="s">
        <v>1</v>
      </c>
      <c r="B300" s="13" t="s">
        <v>55</v>
      </c>
      <c r="C300" s="13">
        <v>8</v>
      </c>
      <c r="D300" s="13">
        <v>1</v>
      </c>
      <c r="E300" s="13">
        <v>10</v>
      </c>
    </row>
    <row r="301" spans="1:5" x14ac:dyDescent="0.3">
      <c r="A301" s="13" t="s">
        <v>1</v>
      </c>
      <c r="B301" s="13" t="s">
        <v>1111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1146</v>
      </c>
      <c r="C302" s="13">
        <v>1</v>
      </c>
      <c r="D302" s="13">
        <v>1</v>
      </c>
      <c r="E302" s="13"/>
    </row>
    <row r="303" spans="1:5" x14ac:dyDescent="0.3">
      <c r="A303" s="13" t="s">
        <v>1</v>
      </c>
      <c r="B303" s="13" t="s">
        <v>1895</v>
      </c>
      <c r="C303" s="13">
        <v>1</v>
      </c>
      <c r="D303" s="13">
        <v>3</v>
      </c>
      <c r="E303" s="13"/>
    </row>
    <row r="304" spans="1:5" x14ac:dyDescent="0.3">
      <c r="A304" s="13" t="s">
        <v>1</v>
      </c>
      <c r="B304" s="13" t="s">
        <v>442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545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2218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1177</v>
      </c>
      <c r="C307" s="13">
        <v>1</v>
      </c>
      <c r="D307" s="13">
        <v>2</v>
      </c>
      <c r="E307" s="13"/>
    </row>
    <row r="308" spans="1:5" x14ac:dyDescent="0.3">
      <c r="A308" s="13" t="s">
        <v>1</v>
      </c>
      <c r="B308" s="13" t="s">
        <v>869</v>
      </c>
      <c r="C308" s="13">
        <v>1</v>
      </c>
      <c r="D308" s="13">
        <v>1</v>
      </c>
      <c r="E308" s="13"/>
    </row>
    <row r="309" spans="1:5" x14ac:dyDescent="0.3">
      <c r="A309" s="13" t="s">
        <v>1</v>
      </c>
      <c r="B309" s="13" t="s">
        <v>1726</v>
      </c>
      <c r="C309" s="13">
        <v>1</v>
      </c>
      <c r="D309" s="13">
        <v>1</v>
      </c>
      <c r="E309" s="13"/>
    </row>
    <row r="310" spans="1:5" x14ac:dyDescent="0.3">
      <c r="A310" s="13" t="s">
        <v>1</v>
      </c>
      <c r="B310" s="13" t="s">
        <v>1027</v>
      </c>
      <c r="C310" s="13">
        <v>1</v>
      </c>
      <c r="D310" s="13">
        <v>1</v>
      </c>
      <c r="E310" s="13"/>
    </row>
    <row r="311" spans="1:5" x14ac:dyDescent="0.3">
      <c r="A311" s="13" t="s">
        <v>1</v>
      </c>
      <c r="B311" s="13" t="s">
        <v>1468</v>
      </c>
      <c r="C311" s="13">
        <v>1</v>
      </c>
      <c r="D311" s="13">
        <v>1</v>
      </c>
      <c r="E311" s="13"/>
    </row>
    <row r="312" spans="1:5" x14ac:dyDescent="0.3">
      <c r="A312" s="13" t="s">
        <v>1</v>
      </c>
      <c r="B312" s="13" t="s">
        <v>1450</v>
      </c>
      <c r="C312" s="13">
        <v>1</v>
      </c>
      <c r="D312" s="13">
        <v>1</v>
      </c>
      <c r="E312" s="13"/>
    </row>
    <row r="313" spans="1:5" x14ac:dyDescent="0.3">
      <c r="A313" s="13" t="s">
        <v>1</v>
      </c>
      <c r="B313" s="13" t="s">
        <v>1788</v>
      </c>
      <c r="C313" s="13">
        <v>2</v>
      </c>
      <c r="D313" s="13">
        <v>1</v>
      </c>
      <c r="E313" s="13">
        <v>3</v>
      </c>
    </row>
    <row r="314" spans="1:5" x14ac:dyDescent="0.3">
      <c r="A314" s="13" t="s">
        <v>1</v>
      </c>
      <c r="B314" s="13" t="s">
        <v>720</v>
      </c>
      <c r="C314" s="13">
        <v>1</v>
      </c>
      <c r="D314" s="13">
        <v>1</v>
      </c>
      <c r="E314" s="13"/>
    </row>
    <row r="315" spans="1:5" x14ac:dyDescent="0.3">
      <c r="A315" s="13" t="s">
        <v>1</v>
      </c>
      <c r="B315" s="13" t="s">
        <v>722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804</v>
      </c>
      <c r="C316" s="13">
        <v>2</v>
      </c>
      <c r="D316" s="13">
        <v>1</v>
      </c>
      <c r="E316" s="13">
        <v>4</v>
      </c>
    </row>
    <row r="317" spans="1:5" x14ac:dyDescent="0.3">
      <c r="A317" s="13" t="s">
        <v>1</v>
      </c>
      <c r="B317" s="13" t="s">
        <v>2219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1394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1527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964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0</v>
      </c>
      <c r="B321" s="13" t="s">
        <v>343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0</v>
      </c>
      <c r="B322" s="13" t="s">
        <v>239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0</v>
      </c>
      <c r="B323" s="13" t="s">
        <v>551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0</v>
      </c>
      <c r="B324" s="13" t="s">
        <v>586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0</v>
      </c>
      <c r="B325" s="13" t="s">
        <v>372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0</v>
      </c>
      <c r="B326" s="13" t="s">
        <v>670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0</v>
      </c>
      <c r="B327" s="13" t="s">
        <v>493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0</v>
      </c>
      <c r="B328" s="13" t="s">
        <v>267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0</v>
      </c>
      <c r="B329" s="13" t="s">
        <v>208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0</v>
      </c>
      <c r="B330" s="13" t="s">
        <v>80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0</v>
      </c>
      <c r="B331" s="13" t="s">
        <v>211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0</v>
      </c>
      <c r="B332" s="13" t="s">
        <v>386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0</v>
      </c>
      <c r="B333" s="13" t="s">
        <v>728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0</v>
      </c>
      <c r="B334" s="13" t="s">
        <v>147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0</v>
      </c>
      <c r="B335" s="13" t="s">
        <v>87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0</v>
      </c>
      <c r="B336" s="13" t="s">
        <v>90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0</v>
      </c>
      <c r="B337" s="13" t="s">
        <v>1184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0</v>
      </c>
      <c r="B338" s="13" t="s">
        <v>91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0</v>
      </c>
      <c r="B339" s="13" t="s">
        <v>612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0</v>
      </c>
      <c r="B340" s="13" t="s">
        <v>449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0</v>
      </c>
      <c r="B341" s="13" t="s">
        <v>152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0</v>
      </c>
      <c r="B342" s="13" t="s">
        <v>356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0</v>
      </c>
      <c r="B343" s="13" t="s">
        <v>61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0</v>
      </c>
      <c r="B344" s="13" t="s">
        <v>1849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0</v>
      </c>
      <c r="B345" s="13" t="s">
        <v>2093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0</v>
      </c>
      <c r="B346" s="13" t="s">
        <v>2148</v>
      </c>
      <c r="C346" s="13">
        <v>2</v>
      </c>
      <c r="D346" s="13">
        <v>1</v>
      </c>
      <c r="E346" s="13">
        <v>2</v>
      </c>
    </row>
    <row r="347" spans="1:5" x14ac:dyDescent="0.3">
      <c r="A347" s="13" t="s">
        <v>0</v>
      </c>
      <c r="B347" s="13" t="s">
        <v>2179</v>
      </c>
      <c r="C347" s="13">
        <v>4</v>
      </c>
      <c r="D347" s="13">
        <v>1</v>
      </c>
      <c r="E347" s="13">
        <v>5</v>
      </c>
    </row>
    <row r="348" spans="1:5" x14ac:dyDescent="0.3">
      <c r="A348" s="13" t="s">
        <v>0</v>
      </c>
      <c r="B348" s="13" t="s">
        <v>1625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0</v>
      </c>
      <c r="B349" s="13" t="s">
        <v>155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0</v>
      </c>
      <c r="B350" s="13" t="s">
        <v>427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0</v>
      </c>
      <c r="B351" s="13" t="s">
        <v>559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0</v>
      </c>
      <c r="B352" s="13" t="s">
        <v>49</v>
      </c>
      <c r="C352" s="13">
        <v>1</v>
      </c>
      <c r="D352" s="13">
        <v>1</v>
      </c>
      <c r="E352" s="13">
        <v>2</v>
      </c>
    </row>
    <row r="353" spans="1:5" x14ac:dyDescent="0.3">
      <c r="A353" s="13" t="s">
        <v>0</v>
      </c>
      <c r="B353" s="13" t="s">
        <v>1032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614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0</v>
      </c>
      <c r="B355" s="13" t="s">
        <v>1342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2220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560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1447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681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1659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2221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2222</v>
      </c>
      <c r="C362" s="13">
        <v>1</v>
      </c>
      <c r="D362" s="13">
        <v>1</v>
      </c>
      <c r="E362" s="13">
        <v>2</v>
      </c>
    </row>
    <row r="363" spans="1:5" x14ac:dyDescent="0.3">
      <c r="A363" s="13" t="s">
        <v>0</v>
      </c>
      <c r="B363" s="13" t="s">
        <v>733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565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2145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108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1028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109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167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1411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1806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512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2223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44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2224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1107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521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431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523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360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525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326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1101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196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631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632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121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531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2214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335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1829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336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953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63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411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1110</v>
      </c>
      <c r="C396" s="13">
        <v>1</v>
      </c>
      <c r="D396" s="13">
        <v>1</v>
      </c>
      <c r="E396" s="13">
        <v>2</v>
      </c>
    </row>
    <row r="397" spans="1:5" x14ac:dyDescent="0.3">
      <c r="A397" s="13" t="s">
        <v>0</v>
      </c>
      <c r="B397" s="13" t="s">
        <v>713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976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339</v>
      </c>
      <c r="C399" s="13">
        <v>2</v>
      </c>
      <c r="D399" s="13">
        <v>1</v>
      </c>
      <c r="E399" s="13">
        <v>2</v>
      </c>
    </row>
    <row r="400" spans="1:5" x14ac:dyDescent="0.3">
      <c r="A400" s="13" t="s">
        <v>0</v>
      </c>
      <c r="B400" s="13" t="s">
        <v>744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126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780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130</v>
      </c>
      <c r="C403" s="13">
        <v>1</v>
      </c>
      <c r="D403" s="13">
        <v>1</v>
      </c>
      <c r="E403" s="13">
        <v>2</v>
      </c>
    </row>
    <row r="404" spans="1:5" x14ac:dyDescent="0.3">
      <c r="A404" s="13" t="s">
        <v>0</v>
      </c>
      <c r="B404" s="13" t="s">
        <v>958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1144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64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295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190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232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54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56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1732</v>
      </c>
      <c r="C412" s="13">
        <v>1</v>
      </c>
      <c r="D412" s="13">
        <v>1</v>
      </c>
      <c r="E412" s="13">
        <v>2</v>
      </c>
    </row>
    <row r="413" spans="1:5" x14ac:dyDescent="0.3">
      <c r="A413" s="13" t="s">
        <v>0</v>
      </c>
      <c r="B413" s="13" t="s">
        <v>2225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259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2226</v>
      </c>
      <c r="C415" s="13">
        <v>1</v>
      </c>
      <c r="D415" s="13">
        <v>1</v>
      </c>
      <c r="E415" s="13"/>
    </row>
    <row r="416" spans="1:5" x14ac:dyDescent="0.3">
      <c r="A416" s="13" t="s">
        <v>0</v>
      </c>
      <c r="B416" s="13" t="s">
        <v>1468</v>
      </c>
      <c r="C416" s="13">
        <v>1</v>
      </c>
      <c r="D416" s="13">
        <v>2</v>
      </c>
      <c r="E416" s="13"/>
    </row>
    <row r="417" spans="1:5" x14ac:dyDescent="0.3">
      <c r="A417" s="13" t="s">
        <v>0</v>
      </c>
      <c r="B417" s="13" t="s">
        <v>2227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2122</v>
      </c>
      <c r="C418" s="13">
        <v>1</v>
      </c>
      <c r="D418" s="13">
        <v>1</v>
      </c>
      <c r="E418" s="13">
        <v>2</v>
      </c>
    </row>
    <row r="419" spans="1:5" x14ac:dyDescent="0.3">
      <c r="A419" s="13" t="s">
        <v>0</v>
      </c>
      <c r="B419" s="13" t="s">
        <v>1379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721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2228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2143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873</v>
      </c>
      <c r="C423" s="13">
        <v>1</v>
      </c>
      <c r="D423" s="13">
        <v>1</v>
      </c>
      <c r="E423" s="13"/>
    </row>
    <row r="424" spans="1:5" x14ac:dyDescent="0.3">
      <c r="A424" s="13" t="s">
        <v>0</v>
      </c>
      <c r="B424" s="13" t="s">
        <v>2172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418</v>
      </c>
      <c r="C425" s="13">
        <v>1</v>
      </c>
      <c r="D425" s="13">
        <v>1</v>
      </c>
      <c r="E425" s="13"/>
    </row>
    <row r="426" spans="1:5" x14ac:dyDescent="0.3">
      <c r="A426" s="13" t="s">
        <v>0</v>
      </c>
      <c r="B426" s="13" t="s">
        <v>32</v>
      </c>
      <c r="C426" s="13">
        <v>2</v>
      </c>
      <c r="D426" s="13">
        <v>1</v>
      </c>
      <c r="E426" s="13">
        <v>2</v>
      </c>
    </row>
    <row r="427" spans="1:5" x14ac:dyDescent="0.3">
      <c r="A427" s="13" t="s">
        <v>2</v>
      </c>
      <c r="B427" s="13" t="s">
        <v>30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2</v>
      </c>
      <c r="B428" s="13" t="s">
        <v>145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2</v>
      </c>
      <c r="B429" s="13" t="s">
        <v>1033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2</v>
      </c>
      <c r="B430" s="13" t="s">
        <v>275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1</v>
      </c>
      <c r="B431" s="13" t="s">
        <v>486</v>
      </c>
      <c r="C431" s="13">
        <v>2</v>
      </c>
      <c r="D431" s="13">
        <v>0</v>
      </c>
      <c r="E431" s="13">
        <v>1</v>
      </c>
    </row>
    <row r="432" spans="1:5" x14ac:dyDescent="0.3">
      <c r="A432" s="13" t="s">
        <v>1</v>
      </c>
      <c r="B432" s="13" t="s">
        <v>1744</v>
      </c>
      <c r="C432" s="13">
        <v>2</v>
      </c>
      <c r="D432" s="13">
        <v>0</v>
      </c>
      <c r="E432" s="13">
        <v>2</v>
      </c>
    </row>
    <row r="433" spans="1:5" x14ac:dyDescent="0.3">
      <c r="A433" s="13" t="s">
        <v>1</v>
      </c>
      <c r="B433" s="13" t="s">
        <v>368</v>
      </c>
      <c r="C433" s="13">
        <v>1</v>
      </c>
      <c r="D433" s="13">
        <v>0</v>
      </c>
      <c r="E433" s="13">
        <v>1</v>
      </c>
    </row>
    <row r="434" spans="1:5" x14ac:dyDescent="0.3">
      <c r="A434" s="13" t="s">
        <v>1</v>
      </c>
      <c r="B434" s="13" t="s">
        <v>199</v>
      </c>
      <c r="C434" s="13">
        <v>1</v>
      </c>
      <c r="D434" s="13">
        <v>0</v>
      </c>
      <c r="E434" s="13">
        <v>1</v>
      </c>
    </row>
    <row r="435" spans="1:5" x14ac:dyDescent="0.3">
      <c r="A435" s="13" t="s">
        <v>1</v>
      </c>
      <c r="B435" s="13" t="s">
        <v>200</v>
      </c>
      <c r="C435" s="13">
        <v>1</v>
      </c>
      <c r="D435" s="13">
        <v>0</v>
      </c>
      <c r="E435" s="13">
        <v>1</v>
      </c>
    </row>
    <row r="436" spans="1:5" x14ac:dyDescent="0.3">
      <c r="A436" s="13" t="s">
        <v>1</v>
      </c>
      <c r="B436" s="13" t="s">
        <v>1405</v>
      </c>
      <c r="C436" s="13">
        <v>1</v>
      </c>
      <c r="D436" s="13">
        <v>0</v>
      </c>
      <c r="E436" s="13">
        <v>2</v>
      </c>
    </row>
    <row r="437" spans="1:5" x14ac:dyDescent="0.3">
      <c r="A437" s="13" t="s">
        <v>1</v>
      </c>
      <c r="B437" s="13" t="s">
        <v>1982</v>
      </c>
      <c r="C437" s="13">
        <v>1</v>
      </c>
      <c r="D437" s="13">
        <v>0</v>
      </c>
      <c r="E437" s="13">
        <v>1</v>
      </c>
    </row>
    <row r="438" spans="1:5" x14ac:dyDescent="0.3">
      <c r="A438" s="13" t="s">
        <v>1</v>
      </c>
      <c r="B438" s="13" t="s">
        <v>444</v>
      </c>
      <c r="C438" s="13">
        <v>1</v>
      </c>
      <c r="D438" s="13">
        <v>0</v>
      </c>
      <c r="E438" s="13">
        <v>1</v>
      </c>
    </row>
    <row r="439" spans="1:5" x14ac:dyDescent="0.3">
      <c r="A439" s="13" t="s">
        <v>1</v>
      </c>
      <c r="B439" s="13" t="s">
        <v>1455</v>
      </c>
      <c r="C439" s="13">
        <v>1</v>
      </c>
      <c r="D439" s="13">
        <v>0</v>
      </c>
      <c r="E439" s="13">
        <v>1</v>
      </c>
    </row>
    <row r="440" spans="1:5" x14ac:dyDescent="0.3">
      <c r="A440" s="13" t="s">
        <v>1</v>
      </c>
      <c r="B440" s="13" t="s">
        <v>589</v>
      </c>
      <c r="C440" s="13">
        <v>1</v>
      </c>
      <c r="D440" s="13">
        <v>0</v>
      </c>
      <c r="E440" s="13">
        <v>1</v>
      </c>
    </row>
    <row r="441" spans="1:5" x14ac:dyDescent="0.3">
      <c r="A441" s="13" t="s">
        <v>1</v>
      </c>
      <c r="B441" s="13" t="s">
        <v>140</v>
      </c>
      <c r="C441" s="13">
        <v>1</v>
      </c>
      <c r="D441" s="13">
        <v>0</v>
      </c>
      <c r="E441" s="13">
        <v>0</v>
      </c>
    </row>
    <row r="442" spans="1:5" x14ac:dyDescent="0.3">
      <c r="A442" s="13" t="s">
        <v>1</v>
      </c>
      <c r="B442" s="13" t="s">
        <v>206</v>
      </c>
      <c r="C442" s="13">
        <v>1</v>
      </c>
      <c r="D442" s="13">
        <v>0</v>
      </c>
      <c r="E442" s="13">
        <v>1</v>
      </c>
    </row>
    <row r="443" spans="1:5" x14ac:dyDescent="0.3">
      <c r="A443" s="13" t="s">
        <v>1</v>
      </c>
      <c r="B443" s="13" t="s">
        <v>597</v>
      </c>
      <c r="C443" s="13">
        <v>1</v>
      </c>
      <c r="D443" s="13">
        <v>0</v>
      </c>
      <c r="E443" s="13">
        <v>2</v>
      </c>
    </row>
    <row r="444" spans="1:5" x14ac:dyDescent="0.3">
      <c r="A444" s="13" t="s">
        <v>1</v>
      </c>
      <c r="B444" s="13" t="s">
        <v>1517</v>
      </c>
      <c r="C444" s="13">
        <v>1</v>
      </c>
      <c r="D444" s="13">
        <v>0</v>
      </c>
      <c r="E444" s="13">
        <v>1</v>
      </c>
    </row>
    <row r="445" spans="1:5" x14ac:dyDescent="0.3">
      <c r="A445" s="13" t="s">
        <v>1</v>
      </c>
      <c r="B445" s="13" t="s">
        <v>557</v>
      </c>
      <c r="C445" s="13">
        <v>1</v>
      </c>
      <c r="D445" s="13">
        <v>0</v>
      </c>
      <c r="E445" s="13">
        <v>1</v>
      </c>
    </row>
    <row r="446" spans="1:5" x14ac:dyDescent="0.3">
      <c r="A446" s="13" t="s">
        <v>1</v>
      </c>
      <c r="B446" s="13" t="s">
        <v>813</v>
      </c>
      <c r="C446" s="13">
        <v>1</v>
      </c>
      <c r="D446" s="13">
        <v>0</v>
      </c>
      <c r="E446" s="13">
        <v>1</v>
      </c>
    </row>
    <row r="447" spans="1:5" x14ac:dyDescent="0.3">
      <c r="A447" s="13" t="s">
        <v>1</v>
      </c>
      <c r="B447" s="13" t="s">
        <v>1208</v>
      </c>
      <c r="C447" s="13">
        <v>1</v>
      </c>
      <c r="D447" s="13">
        <v>0</v>
      </c>
      <c r="E447" s="13">
        <v>1</v>
      </c>
    </row>
    <row r="448" spans="1:5" x14ac:dyDescent="0.3">
      <c r="A448" s="13" t="s">
        <v>1</v>
      </c>
      <c r="B448" s="13" t="s">
        <v>210</v>
      </c>
      <c r="C448" s="13">
        <v>1</v>
      </c>
      <c r="D448" s="13">
        <v>0</v>
      </c>
      <c r="E448" s="13">
        <v>1</v>
      </c>
    </row>
    <row r="449" spans="1:5" x14ac:dyDescent="0.3">
      <c r="A449" s="13" t="s">
        <v>1</v>
      </c>
      <c r="B449" s="13" t="s">
        <v>673</v>
      </c>
      <c r="C449" s="13">
        <v>1</v>
      </c>
      <c r="D449" s="13">
        <v>0</v>
      </c>
      <c r="E449" s="13">
        <v>1</v>
      </c>
    </row>
    <row r="450" spans="1:5" x14ac:dyDescent="0.3">
      <c r="A450" s="13" t="s">
        <v>1</v>
      </c>
      <c r="B450" s="13" t="s">
        <v>81</v>
      </c>
      <c r="C450" s="13">
        <v>1</v>
      </c>
      <c r="D450" s="13">
        <v>0</v>
      </c>
      <c r="E450" s="13">
        <v>1</v>
      </c>
    </row>
    <row r="451" spans="1:5" x14ac:dyDescent="0.3">
      <c r="A451" s="13" t="s">
        <v>1</v>
      </c>
      <c r="B451" s="13" t="s">
        <v>84</v>
      </c>
      <c r="C451" s="13">
        <v>1</v>
      </c>
      <c r="D451" s="13">
        <v>0</v>
      </c>
      <c r="E451" s="13">
        <v>1</v>
      </c>
    </row>
    <row r="452" spans="1:5" x14ac:dyDescent="0.3">
      <c r="A452" s="13" t="s">
        <v>1</v>
      </c>
      <c r="B452" s="13" t="s">
        <v>1382</v>
      </c>
      <c r="C452" s="13">
        <v>1</v>
      </c>
      <c r="D452" s="13">
        <v>0</v>
      </c>
      <c r="E452" s="13">
        <v>1</v>
      </c>
    </row>
    <row r="453" spans="1:5" x14ac:dyDescent="0.3">
      <c r="A453" s="13" t="s">
        <v>1</v>
      </c>
      <c r="B453" s="13" t="s">
        <v>599</v>
      </c>
      <c r="C453" s="13">
        <v>1</v>
      </c>
      <c r="D453" s="13">
        <v>0</v>
      </c>
      <c r="E453" s="13">
        <v>1</v>
      </c>
    </row>
    <row r="454" spans="1:5" x14ac:dyDescent="0.3">
      <c r="A454" s="13" t="s">
        <v>1</v>
      </c>
      <c r="B454" s="13" t="s">
        <v>386</v>
      </c>
      <c r="C454" s="13">
        <v>1</v>
      </c>
      <c r="D454" s="13">
        <v>0</v>
      </c>
      <c r="E454" s="13">
        <v>1</v>
      </c>
    </row>
    <row r="455" spans="1:5" x14ac:dyDescent="0.3">
      <c r="A455" s="13" t="s">
        <v>1</v>
      </c>
      <c r="B455" s="13" t="s">
        <v>601</v>
      </c>
      <c r="C455" s="13">
        <v>1</v>
      </c>
      <c r="D455" s="13">
        <v>0</v>
      </c>
      <c r="E455" s="13">
        <v>0</v>
      </c>
    </row>
    <row r="456" spans="1:5" x14ac:dyDescent="0.3">
      <c r="A456" s="13" t="s">
        <v>1</v>
      </c>
      <c r="B456" s="13" t="s">
        <v>1019</v>
      </c>
      <c r="C456" s="13">
        <v>1</v>
      </c>
      <c r="D456" s="13">
        <v>0</v>
      </c>
      <c r="E456" s="13">
        <v>1</v>
      </c>
    </row>
    <row r="457" spans="1:5" x14ac:dyDescent="0.3">
      <c r="A457" s="13" t="s">
        <v>1</v>
      </c>
      <c r="B457" s="13" t="s">
        <v>147</v>
      </c>
      <c r="C457" s="13">
        <v>1</v>
      </c>
      <c r="D457" s="13">
        <v>0</v>
      </c>
      <c r="E457" s="13">
        <v>1</v>
      </c>
    </row>
    <row r="458" spans="1:5" x14ac:dyDescent="0.3">
      <c r="A458" s="13" t="s">
        <v>1</v>
      </c>
      <c r="B458" s="13" t="s">
        <v>464</v>
      </c>
      <c r="C458" s="13">
        <v>1</v>
      </c>
      <c r="D458" s="13">
        <v>0</v>
      </c>
      <c r="E458" s="13">
        <v>1</v>
      </c>
    </row>
    <row r="459" spans="1:5" x14ac:dyDescent="0.3">
      <c r="A459" s="13" t="s">
        <v>1</v>
      </c>
      <c r="B459" s="13" t="s">
        <v>884</v>
      </c>
      <c r="C459" s="13">
        <v>1</v>
      </c>
      <c r="D459" s="13">
        <v>0</v>
      </c>
      <c r="E459" s="13">
        <v>1</v>
      </c>
    </row>
    <row r="460" spans="1:5" x14ac:dyDescent="0.3">
      <c r="A460" s="13" t="s">
        <v>1</v>
      </c>
      <c r="B460" s="13" t="s">
        <v>502</v>
      </c>
      <c r="C460" s="13">
        <v>1</v>
      </c>
      <c r="D460" s="13">
        <v>0</v>
      </c>
      <c r="E460" s="13">
        <v>1</v>
      </c>
    </row>
    <row r="461" spans="1:5" x14ac:dyDescent="0.3">
      <c r="A461" s="13" t="s">
        <v>1</v>
      </c>
      <c r="B461" s="13" t="s">
        <v>212</v>
      </c>
      <c r="C461" s="13">
        <v>1</v>
      </c>
      <c r="D461" s="13">
        <v>0</v>
      </c>
      <c r="E461" s="13">
        <v>1</v>
      </c>
    </row>
    <row r="462" spans="1:5" x14ac:dyDescent="0.3">
      <c r="A462" s="13" t="s">
        <v>1</v>
      </c>
      <c r="B462" s="13" t="s">
        <v>914</v>
      </c>
      <c r="C462" s="13">
        <v>2</v>
      </c>
      <c r="D462" s="13">
        <v>0</v>
      </c>
      <c r="E462" s="13">
        <v>3</v>
      </c>
    </row>
    <row r="463" spans="1:5" x14ac:dyDescent="0.3">
      <c r="A463" s="13" t="s">
        <v>1</v>
      </c>
      <c r="B463" s="13" t="s">
        <v>89</v>
      </c>
      <c r="C463" s="13">
        <v>1</v>
      </c>
      <c r="D463" s="13">
        <v>0</v>
      </c>
      <c r="E463" s="13">
        <v>0</v>
      </c>
    </row>
    <row r="464" spans="1:5" x14ac:dyDescent="0.3">
      <c r="A464" s="13" t="s">
        <v>1</v>
      </c>
      <c r="B464" s="13" t="s">
        <v>465</v>
      </c>
      <c r="C464" s="13">
        <v>1</v>
      </c>
      <c r="D464" s="13">
        <v>0</v>
      </c>
      <c r="E464" s="13">
        <v>1</v>
      </c>
    </row>
    <row r="465" spans="1:5" x14ac:dyDescent="0.3">
      <c r="A465" s="13" t="s">
        <v>1</v>
      </c>
      <c r="B465" s="13" t="s">
        <v>213</v>
      </c>
      <c r="C465" s="13">
        <v>1</v>
      </c>
      <c r="D465" s="13">
        <v>0</v>
      </c>
      <c r="E465" s="13">
        <v>1</v>
      </c>
    </row>
    <row r="466" spans="1:5" x14ac:dyDescent="0.3">
      <c r="A466" s="13" t="s">
        <v>1</v>
      </c>
      <c r="B466" s="13" t="s">
        <v>214</v>
      </c>
      <c r="C466" s="13">
        <v>1</v>
      </c>
      <c r="D466" s="13">
        <v>0</v>
      </c>
      <c r="E466" s="13">
        <v>1</v>
      </c>
    </row>
    <row r="467" spans="1:5" x14ac:dyDescent="0.3">
      <c r="A467" s="13" t="s">
        <v>1</v>
      </c>
      <c r="B467" s="13" t="s">
        <v>149</v>
      </c>
      <c r="C467" s="13">
        <v>2</v>
      </c>
      <c r="D467" s="13">
        <v>0</v>
      </c>
      <c r="E467" s="13">
        <v>2</v>
      </c>
    </row>
    <row r="468" spans="1:5" x14ac:dyDescent="0.3">
      <c r="A468" s="13" t="s">
        <v>1</v>
      </c>
      <c r="B468" s="13" t="s">
        <v>215</v>
      </c>
      <c r="C468" s="13">
        <v>2</v>
      </c>
      <c r="D468" s="13">
        <v>0</v>
      </c>
      <c r="E468" s="13">
        <v>2</v>
      </c>
    </row>
    <row r="469" spans="1:5" x14ac:dyDescent="0.3">
      <c r="A469" s="13" t="s">
        <v>1</v>
      </c>
      <c r="B469" s="13" t="s">
        <v>1848</v>
      </c>
      <c r="C469" s="13">
        <v>1</v>
      </c>
      <c r="D469" s="13">
        <v>0</v>
      </c>
      <c r="E469" s="13">
        <v>1</v>
      </c>
    </row>
    <row r="470" spans="1:5" x14ac:dyDescent="0.3">
      <c r="A470" s="13" t="s">
        <v>1</v>
      </c>
      <c r="B470" s="13" t="s">
        <v>818</v>
      </c>
      <c r="C470" s="13">
        <v>2</v>
      </c>
      <c r="D470" s="13">
        <v>0</v>
      </c>
      <c r="E470" s="13">
        <v>2</v>
      </c>
    </row>
    <row r="471" spans="1:5" x14ac:dyDescent="0.3">
      <c r="A471" s="13" t="s">
        <v>1</v>
      </c>
      <c r="B471" s="13" t="s">
        <v>150</v>
      </c>
      <c r="C471" s="13">
        <v>1</v>
      </c>
      <c r="D471" s="13">
        <v>0</v>
      </c>
      <c r="E471" s="13">
        <v>0</v>
      </c>
    </row>
    <row r="472" spans="1:5" x14ac:dyDescent="0.3">
      <c r="A472" s="13" t="s">
        <v>1</v>
      </c>
      <c r="B472" s="13" t="s">
        <v>424</v>
      </c>
      <c r="C472" s="13">
        <v>1</v>
      </c>
      <c r="D472" s="13">
        <v>0</v>
      </c>
      <c r="E472" s="13">
        <v>2</v>
      </c>
    </row>
    <row r="473" spans="1:5" x14ac:dyDescent="0.3">
      <c r="A473" s="13" t="s">
        <v>1</v>
      </c>
      <c r="B473" s="13" t="s">
        <v>1162</v>
      </c>
      <c r="C473" s="13">
        <v>1</v>
      </c>
      <c r="D473" s="13">
        <v>0</v>
      </c>
      <c r="E473" s="13">
        <v>1</v>
      </c>
    </row>
    <row r="474" spans="1:5" x14ac:dyDescent="0.3">
      <c r="A474" s="13" t="s">
        <v>1</v>
      </c>
      <c r="B474" s="13" t="s">
        <v>611</v>
      </c>
      <c r="C474" s="13">
        <v>1</v>
      </c>
      <c r="D474" s="13">
        <v>0</v>
      </c>
      <c r="E474" s="13">
        <v>1</v>
      </c>
    </row>
    <row r="475" spans="1:5" x14ac:dyDescent="0.3">
      <c r="A475" s="13" t="s">
        <v>1</v>
      </c>
      <c r="B475" s="13" t="s">
        <v>254</v>
      </c>
      <c r="C475" s="13">
        <v>1</v>
      </c>
      <c r="D475" s="13">
        <v>0</v>
      </c>
      <c r="E475" s="13">
        <v>0</v>
      </c>
    </row>
    <row r="476" spans="1:5" x14ac:dyDescent="0.3">
      <c r="A476" s="13" t="s">
        <v>1</v>
      </c>
      <c r="B476" s="13" t="s">
        <v>41</v>
      </c>
      <c r="C476" s="13">
        <v>1</v>
      </c>
      <c r="D476" s="13">
        <v>0</v>
      </c>
      <c r="E476" s="13">
        <v>1</v>
      </c>
    </row>
    <row r="477" spans="1:5" x14ac:dyDescent="0.3">
      <c r="A477" s="13" t="s">
        <v>1</v>
      </c>
      <c r="B477" s="13" t="s">
        <v>152</v>
      </c>
      <c r="C477" s="13">
        <v>1</v>
      </c>
      <c r="D477" s="13">
        <v>0</v>
      </c>
      <c r="E477" s="13">
        <v>1</v>
      </c>
    </row>
    <row r="478" spans="1:5" x14ac:dyDescent="0.3">
      <c r="A478" s="13" t="s">
        <v>1</v>
      </c>
      <c r="B478" s="13" t="s">
        <v>1521</v>
      </c>
      <c r="C478" s="13">
        <v>2</v>
      </c>
      <c r="D478" s="13">
        <v>0</v>
      </c>
      <c r="E478" s="13">
        <v>2</v>
      </c>
    </row>
    <row r="479" spans="1:5" x14ac:dyDescent="0.3">
      <c r="A479" s="13" t="s">
        <v>1</v>
      </c>
      <c r="B479" s="13" t="s">
        <v>1601</v>
      </c>
      <c r="C479" s="13">
        <v>1</v>
      </c>
      <c r="D479" s="13">
        <v>0</v>
      </c>
      <c r="E479" s="13">
        <v>1</v>
      </c>
    </row>
    <row r="480" spans="1:5" x14ac:dyDescent="0.3">
      <c r="A480" s="13" t="s">
        <v>1</v>
      </c>
      <c r="B480" s="13" t="s">
        <v>1651</v>
      </c>
      <c r="C480" s="13">
        <v>1</v>
      </c>
      <c r="D480" s="13">
        <v>0</v>
      </c>
      <c r="E480" s="13">
        <v>2</v>
      </c>
    </row>
    <row r="481" spans="1:5" x14ac:dyDescent="0.3">
      <c r="A481" s="13" t="s">
        <v>1</v>
      </c>
      <c r="B481" s="13" t="s">
        <v>1654</v>
      </c>
      <c r="C481" s="13">
        <v>1</v>
      </c>
      <c r="D481" s="13">
        <v>0</v>
      </c>
      <c r="E481" s="13">
        <v>1</v>
      </c>
    </row>
    <row r="482" spans="1:5" x14ac:dyDescent="0.3">
      <c r="A482" s="13" t="s">
        <v>1</v>
      </c>
      <c r="B482" s="13" t="s">
        <v>1655</v>
      </c>
      <c r="C482" s="13">
        <v>1</v>
      </c>
      <c r="D482" s="13">
        <v>0</v>
      </c>
      <c r="E482" s="13">
        <v>1</v>
      </c>
    </row>
    <row r="483" spans="1:5" x14ac:dyDescent="0.3">
      <c r="A483" s="13" t="s">
        <v>1</v>
      </c>
      <c r="B483" s="13" t="s">
        <v>1664</v>
      </c>
      <c r="C483" s="13">
        <v>1</v>
      </c>
      <c r="D483" s="13">
        <v>0</v>
      </c>
      <c r="E483" s="13">
        <v>1</v>
      </c>
    </row>
    <row r="484" spans="1:5" x14ac:dyDescent="0.3">
      <c r="A484" s="13" t="s">
        <v>1</v>
      </c>
      <c r="B484" s="13" t="s">
        <v>1671</v>
      </c>
      <c r="C484" s="13">
        <v>1</v>
      </c>
      <c r="D484" s="13">
        <v>0</v>
      </c>
      <c r="E484" s="13">
        <v>1</v>
      </c>
    </row>
    <row r="485" spans="1:5" x14ac:dyDescent="0.3">
      <c r="A485" s="13" t="s">
        <v>1</v>
      </c>
      <c r="B485" s="13" t="s">
        <v>1854</v>
      </c>
      <c r="C485" s="13">
        <v>1</v>
      </c>
      <c r="D485" s="13">
        <v>0</v>
      </c>
      <c r="E485" s="13">
        <v>1</v>
      </c>
    </row>
    <row r="486" spans="1:5" x14ac:dyDescent="0.3">
      <c r="A486" s="13" t="s">
        <v>1</v>
      </c>
      <c r="B486" s="13" t="s">
        <v>1926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1886</v>
      </c>
      <c r="C487" s="13">
        <v>1</v>
      </c>
      <c r="D487" s="13">
        <v>0</v>
      </c>
      <c r="E487" s="13">
        <v>0</v>
      </c>
    </row>
    <row r="488" spans="1:5" x14ac:dyDescent="0.3">
      <c r="A488" s="13" t="s">
        <v>1</v>
      </c>
      <c r="B488" s="13" t="s">
        <v>1918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1906</v>
      </c>
      <c r="C489" s="13">
        <v>1</v>
      </c>
      <c r="D489" s="13">
        <v>0</v>
      </c>
      <c r="E489" s="13">
        <v>1</v>
      </c>
    </row>
    <row r="490" spans="1:5" x14ac:dyDescent="0.3">
      <c r="A490" s="13" t="s">
        <v>1</v>
      </c>
      <c r="B490" s="13" t="s">
        <v>1907</v>
      </c>
      <c r="C490" s="13">
        <v>1</v>
      </c>
      <c r="D490" s="13">
        <v>0</v>
      </c>
      <c r="E490" s="13">
        <v>3</v>
      </c>
    </row>
    <row r="491" spans="1:5" x14ac:dyDescent="0.3">
      <c r="A491" s="13" t="s">
        <v>1</v>
      </c>
      <c r="B491" s="13" t="s">
        <v>1900</v>
      </c>
      <c r="C491" s="13">
        <v>2</v>
      </c>
      <c r="D491" s="13">
        <v>0</v>
      </c>
      <c r="E491" s="13">
        <v>1</v>
      </c>
    </row>
    <row r="492" spans="1:5" x14ac:dyDescent="0.3">
      <c r="A492" s="13" t="s">
        <v>1</v>
      </c>
      <c r="B492" s="13" t="s">
        <v>1960</v>
      </c>
      <c r="C492" s="13">
        <v>4</v>
      </c>
      <c r="D492" s="13">
        <v>0</v>
      </c>
      <c r="E492" s="13">
        <v>4</v>
      </c>
    </row>
    <row r="493" spans="1:5" x14ac:dyDescent="0.3">
      <c r="A493" s="13" t="s">
        <v>1</v>
      </c>
      <c r="B493" s="13" t="s">
        <v>1989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2126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2138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2148</v>
      </c>
      <c r="C496" s="13">
        <v>4</v>
      </c>
      <c r="D496" s="13">
        <v>0</v>
      </c>
      <c r="E496" s="13">
        <v>5</v>
      </c>
    </row>
    <row r="497" spans="1:5" x14ac:dyDescent="0.3">
      <c r="A497" s="13" t="s">
        <v>1</v>
      </c>
      <c r="B497" s="13" t="s">
        <v>2156</v>
      </c>
      <c r="C497" s="13">
        <v>1</v>
      </c>
      <c r="D497" s="13">
        <v>0</v>
      </c>
      <c r="E497" s="13">
        <v>2</v>
      </c>
    </row>
    <row r="498" spans="1:5" x14ac:dyDescent="0.3">
      <c r="A498" s="13" t="s">
        <v>1</v>
      </c>
      <c r="B498" s="13" t="s">
        <v>2179</v>
      </c>
      <c r="C498" s="13">
        <v>3</v>
      </c>
      <c r="D498" s="13">
        <v>0</v>
      </c>
      <c r="E498" s="13">
        <v>4</v>
      </c>
    </row>
    <row r="499" spans="1:5" x14ac:dyDescent="0.3">
      <c r="A499" s="13" t="s">
        <v>1</v>
      </c>
      <c r="B499" s="13" t="s">
        <v>2229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426</v>
      </c>
      <c r="C500" s="13">
        <v>1</v>
      </c>
      <c r="D500" s="13">
        <v>0</v>
      </c>
      <c r="E500" s="13">
        <v>1</v>
      </c>
    </row>
    <row r="501" spans="1:5" x14ac:dyDescent="0.3">
      <c r="A501" s="13" t="s">
        <v>1</v>
      </c>
      <c r="B501" s="13" t="s">
        <v>2193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1034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428</v>
      </c>
      <c r="C503" s="13">
        <v>2</v>
      </c>
      <c r="D503" s="13">
        <v>0</v>
      </c>
      <c r="E503" s="13">
        <v>2</v>
      </c>
    </row>
    <row r="504" spans="1:5" x14ac:dyDescent="0.3">
      <c r="A504" s="13" t="s">
        <v>1</v>
      </c>
      <c r="B504" s="13" t="s">
        <v>764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1055</v>
      </c>
      <c r="C505" s="13">
        <v>1</v>
      </c>
      <c r="D505" s="13">
        <v>0</v>
      </c>
      <c r="E505" s="13">
        <v>0</v>
      </c>
    </row>
    <row r="506" spans="1:5" x14ac:dyDescent="0.3">
      <c r="A506" s="13" t="s">
        <v>1</v>
      </c>
      <c r="B506" s="13" t="s">
        <v>1114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1353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277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2062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1392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1172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1257</v>
      </c>
      <c r="C512" s="13">
        <v>1</v>
      </c>
      <c r="D512" s="13">
        <v>0</v>
      </c>
      <c r="E512" s="13">
        <v>1</v>
      </c>
    </row>
    <row r="513" spans="1:5" x14ac:dyDescent="0.3">
      <c r="A513" s="13" t="s">
        <v>1</v>
      </c>
      <c r="B513" s="13" t="s">
        <v>619</v>
      </c>
      <c r="C513" s="13">
        <v>2</v>
      </c>
      <c r="D513" s="13">
        <v>0</v>
      </c>
      <c r="E513" s="13">
        <v>3</v>
      </c>
    </row>
    <row r="514" spans="1:5" x14ac:dyDescent="0.3">
      <c r="A514" s="13" t="s">
        <v>1</v>
      </c>
      <c r="B514" s="13" t="s">
        <v>110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920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451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2230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432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696</v>
      </c>
      <c r="C519" s="13">
        <v>1</v>
      </c>
      <c r="D519" s="13">
        <v>0</v>
      </c>
      <c r="E519" s="13">
        <v>1</v>
      </c>
    </row>
    <row r="520" spans="1:5" x14ac:dyDescent="0.3">
      <c r="A520" s="13" t="s">
        <v>1</v>
      </c>
      <c r="B520" s="13" t="s">
        <v>738</v>
      </c>
      <c r="C520" s="13">
        <v>1</v>
      </c>
      <c r="D520" s="13">
        <v>0</v>
      </c>
      <c r="E520" s="13">
        <v>1</v>
      </c>
    </row>
    <row r="521" spans="1:5" x14ac:dyDescent="0.3">
      <c r="A521" s="13" t="s">
        <v>1</v>
      </c>
      <c r="B521" s="13" t="s">
        <v>947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627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1599</v>
      </c>
      <c r="C523" s="13">
        <v>1</v>
      </c>
      <c r="D523" s="13">
        <v>0</v>
      </c>
      <c r="E523" s="13">
        <v>2</v>
      </c>
    </row>
    <row r="524" spans="1:5" x14ac:dyDescent="0.3">
      <c r="A524" s="13" t="s">
        <v>1</v>
      </c>
      <c r="B524" s="13" t="s">
        <v>361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334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1602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122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406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705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410</v>
      </c>
      <c r="C530" s="13">
        <v>2</v>
      </c>
      <c r="D530" s="13">
        <v>0</v>
      </c>
      <c r="E530" s="13">
        <v>2</v>
      </c>
    </row>
    <row r="531" spans="1:5" x14ac:dyDescent="0.3">
      <c r="A531" s="13" t="s">
        <v>1</v>
      </c>
      <c r="B531" s="13" t="s">
        <v>336</v>
      </c>
      <c r="C531" s="13">
        <v>1</v>
      </c>
      <c r="D531" s="13">
        <v>0</v>
      </c>
      <c r="E531" s="13">
        <v>0</v>
      </c>
    </row>
    <row r="532" spans="1:5" x14ac:dyDescent="0.3">
      <c r="A532" s="13" t="s">
        <v>1</v>
      </c>
      <c r="B532" s="13" t="s">
        <v>1840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412</v>
      </c>
      <c r="C533" s="13">
        <v>1</v>
      </c>
      <c r="D533" s="13">
        <v>0</v>
      </c>
      <c r="E533" s="13">
        <v>2</v>
      </c>
    </row>
    <row r="534" spans="1:5" x14ac:dyDescent="0.3">
      <c r="A534" s="13" t="s">
        <v>1</v>
      </c>
      <c r="B534" s="13" t="s">
        <v>1702</v>
      </c>
      <c r="C534" s="13">
        <v>2</v>
      </c>
      <c r="D534" s="13">
        <v>0</v>
      </c>
      <c r="E534" s="13">
        <v>2</v>
      </c>
    </row>
    <row r="535" spans="1:5" x14ac:dyDescent="0.3">
      <c r="A535" s="13" t="s">
        <v>1</v>
      </c>
      <c r="B535" s="13" t="s">
        <v>2201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2231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2140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1143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416</v>
      </c>
      <c r="C539" s="13">
        <v>2</v>
      </c>
      <c r="D539" s="13">
        <v>0</v>
      </c>
      <c r="E539" s="13">
        <v>3</v>
      </c>
    </row>
    <row r="540" spans="1:5" x14ac:dyDescent="0.3">
      <c r="A540" s="13" t="s">
        <v>1</v>
      </c>
      <c r="B540" s="13" t="s">
        <v>866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438</v>
      </c>
      <c r="C541" s="13">
        <v>1</v>
      </c>
      <c r="D541" s="13">
        <v>0</v>
      </c>
      <c r="E541" s="13">
        <v>2</v>
      </c>
    </row>
    <row r="542" spans="1:5" x14ac:dyDescent="0.3">
      <c r="A542" s="13" t="s">
        <v>1</v>
      </c>
      <c r="B542" s="13" t="s">
        <v>130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782</v>
      </c>
      <c r="C543" s="13">
        <v>1</v>
      </c>
      <c r="D543" s="13">
        <v>0</v>
      </c>
      <c r="E543" s="13">
        <v>3</v>
      </c>
    </row>
    <row r="544" spans="1:5" x14ac:dyDescent="0.3">
      <c r="A544" s="13" t="s">
        <v>1</v>
      </c>
      <c r="B544" s="13" t="s">
        <v>1153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1012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1381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1219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1048</v>
      </c>
      <c r="C548" s="13">
        <v>1</v>
      </c>
      <c r="D548" s="13">
        <v>0</v>
      </c>
      <c r="E548" s="13">
        <v>2</v>
      </c>
    </row>
    <row r="549" spans="1:5" x14ac:dyDescent="0.3">
      <c r="A549" s="13" t="s">
        <v>1</v>
      </c>
      <c r="B549" s="13" t="s">
        <v>296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785</v>
      </c>
      <c r="C550" s="13">
        <v>2</v>
      </c>
      <c r="D550" s="13">
        <v>0</v>
      </c>
      <c r="E550" s="13">
        <v>2</v>
      </c>
    </row>
    <row r="551" spans="1:5" x14ac:dyDescent="0.3">
      <c r="A551" s="13" t="s">
        <v>1</v>
      </c>
      <c r="B551" s="13" t="s">
        <v>1050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666</v>
      </c>
      <c r="C552" s="13">
        <v>1</v>
      </c>
      <c r="D552" s="13">
        <v>0</v>
      </c>
      <c r="E552" s="13">
        <v>2</v>
      </c>
    </row>
    <row r="553" spans="1:5" x14ac:dyDescent="0.3">
      <c r="A553" s="13" t="s">
        <v>1</v>
      </c>
      <c r="B553" s="13" t="s">
        <v>370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66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232</v>
      </c>
      <c r="C555" s="13">
        <v>2</v>
      </c>
      <c r="D555" s="13">
        <v>0</v>
      </c>
      <c r="E555" s="13">
        <v>2</v>
      </c>
    </row>
    <row r="556" spans="1:5" x14ac:dyDescent="0.3">
      <c r="A556" s="13" t="s">
        <v>1</v>
      </c>
      <c r="B556" s="13" t="s">
        <v>192</v>
      </c>
      <c r="C556" s="13">
        <v>15</v>
      </c>
      <c r="D556" s="13">
        <v>0</v>
      </c>
      <c r="E556" s="13">
        <v>19</v>
      </c>
    </row>
    <row r="557" spans="1:5" x14ac:dyDescent="0.3">
      <c r="A557" s="13" t="s">
        <v>1</v>
      </c>
      <c r="B557" s="13" t="s">
        <v>234</v>
      </c>
      <c r="C557" s="13">
        <v>3</v>
      </c>
      <c r="D557" s="13">
        <v>0</v>
      </c>
      <c r="E557" s="13">
        <v>6</v>
      </c>
    </row>
    <row r="558" spans="1:5" x14ac:dyDescent="0.3">
      <c r="A558" s="13" t="s">
        <v>1</v>
      </c>
      <c r="B558" s="13" t="s">
        <v>235</v>
      </c>
      <c r="C558" s="13">
        <v>4</v>
      </c>
      <c r="D558" s="13">
        <v>0</v>
      </c>
      <c r="E558" s="13">
        <v>4</v>
      </c>
    </row>
    <row r="559" spans="1:5" x14ac:dyDescent="0.3">
      <c r="A559" s="13" t="s">
        <v>1</v>
      </c>
      <c r="B559" s="13" t="s">
        <v>639</v>
      </c>
      <c r="C559" s="13">
        <v>2</v>
      </c>
      <c r="D559" s="13">
        <v>0</v>
      </c>
      <c r="E559" s="13">
        <v>3</v>
      </c>
    </row>
    <row r="560" spans="1:5" x14ac:dyDescent="0.3">
      <c r="A560" s="13" t="s">
        <v>1</v>
      </c>
      <c r="B560" s="13" t="s">
        <v>236</v>
      </c>
      <c r="C560" s="13">
        <v>8</v>
      </c>
      <c r="D560" s="13">
        <v>0</v>
      </c>
      <c r="E560" s="13">
        <v>11</v>
      </c>
    </row>
    <row r="561" spans="1:5" x14ac:dyDescent="0.3">
      <c r="A561" s="13" t="s">
        <v>1</v>
      </c>
      <c r="B561" s="13" t="s">
        <v>640</v>
      </c>
      <c r="C561" s="13">
        <v>2</v>
      </c>
      <c r="D561" s="13">
        <v>0</v>
      </c>
      <c r="E561" s="13">
        <v>2</v>
      </c>
    </row>
    <row r="562" spans="1:5" x14ac:dyDescent="0.3">
      <c r="A562" s="13" t="s">
        <v>1</v>
      </c>
      <c r="B562" s="13" t="s">
        <v>371</v>
      </c>
      <c r="C562" s="13">
        <v>8</v>
      </c>
      <c r="D562" s="13">
        <v>0</v>
      </c>
      <c r="E562" s="13">
        <v>16</v>
      </c>
    </row>
    <row r="563" spans="1:5" x14ac:dyDescent="0.3">
      <c r="A563" s="13" t="s">
        <v>1</v>
      </c>
      <c r="B563" s="13" t="s">
        <v>366</v>
      </c>
      <c r="C563" s="13">
        <v>3</v>
      </c>
      <c r="D563" s="13">
        <v>0</v>
      </c>
      <c r="E563" s="13">
        <v>3</v>
      </c>
    </row>
    <row r="564" spans="1:5" x14ac:dyDescent="0.3">
      <c r="A564" s="13" t="s">
        <v>1</v>
      </c>
      <c r="B564" s="13" t="s">
        <v>461</v>
      </c>
      <c r="C564" s="13">
        <v>2</v>
      </c>
      <c r="D564" s="13">
        <v>0</v>
      </c>
      <c r="E564" s="13">
        <v>2</v>
      </c>
    </row>
    <row r="565" spans="1:5" x14ac:dyDescent="0.3">
      <c r="A565" s="13" t="s">
        <v>1</v>
      </c>
      <c r="B565" s="13" t="s">
        <v>1842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2232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2233</v>
      </c>
      <c r="C567" s="13">
        <v>0</v>
      </c>
      <c r="D567" s="13">
        <v>1</v>
      </c>
      <c r="E567" s="13"/>
    </row>
    <row r="568" spans="1:5" x14ac:dyDescent="0.3">
      <c r="A568" s="13" t="s">
        <v>1</v>
      </c>
      <c r="B568" s="13" t="s">
        <v>1739</v>
      </c>
      <c r="C568" s="13">
        <v>1</v>
      </c>
      <c r="D568" s="13">
        <v>0</v>
      </c>
      <c r="E568" s="13">
        <v>2</v>
      </c>
    </row>
    <row r="569" spans="1:5" x14ac:dyDescent="0.3">
      <c r="A569" s="13" t="s">
        <v>1</v>
      </c>
      <c r="B569" s="13" t="s">
        <v>1333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2137</v>
      </c>
      <c r="C570" s="13">
        <v>1</v>
      </c>
      <c r="D570" s="13">
        <v>0</v>
      </c>
      <c r="E570" s="13">
        <v>2</v>
      </c>
    </row>
    <row r="571" spans="1:5" x14ac:dyDescent="0.3">
      <c r="A571" s="13" t="s">
        <v>1</v>
      </c>
      <c r="B571" s="13" t="s">
        <v>1859</v>
      </c>
      <c r="C571" s="13">
        <v>1</v>
      </c>
      <c r="D571" s="13">
        <v>0</v>
      </c>
      <c r="E571" s="13">
        <v>0</v>
      </c>
    </row>
    <row r="572" spans="1:5" x14ac:dyDescent="0.3">
      <c r="A572" s="13" t="s">
        <v>1</v>
      </c>
      <c r="B572" s="13" t="s">
        <v>2234</v>
      </c>
      <c r="C572" s="13">
        <v>1</v>
      </c>
      <c r="D572" s="13">
        <v>0</v>
      </c>
      <c r="E572" s="13">
        <v>2</v>
      </c>
    </row>
    <row r="573" spans="1:5" x14ac:dyDescent="0.3">
      <c r="A573" s="13" t="s">
        <v>1</v>
      </c>
      <c r="B573" s="13" t="s">
        <v>2235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2236</v>
      </c>
      <c r="C574" s="13">
        <v>0</v>
      </c>
      <c r="D574" s="13">
        <v>2</v>
      </c>
      <c r="E574" s="13"/>
    </row>
    <row r="575" spans="1:5" x14ac:dyDescent="0.3">
      <c r="A575" s="13" t="s">
        <v>1</v>
      </c>
      <c r="B575" s="13" t="s">
        <v>2237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68</v>
      </c>
      <c r="C576" s="13">
        <v>1</v>
      </c>
      <c r="D576" s="13">
        <v>0</v>
      </c>
      <c r="E576" s="13">
        <v>0</v>
      </c>
    </row>
    <row r="577" spans="1:5" x14ac:dyDescent="0.3">
      <c r="A577" s="13" t="s">
        <v>1</v>
      </c>
      <c r="B577" s="13" t="s">
        <v>644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0</v>
      </c>
      <c r="B578" s="13" t="s">
        <v>202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0</v>
      </c>
      <c r="B579" s="13" t="s">
        <v>48</v>
      </c>
      <c r="C579" s="13">
        <v>1</v>
      </c>
      <c r="D579" s="13">
        <v>0</v>
      </c>
      <c r="E579" s="13">
        <v>6</v>
      </c>
    </row>
    <row r="580" spans="1:5" x14ac:dyDescent="0.3">
      <c r="A580" s="13" t="s">
        <v>0</v>
      </c>
      <c r="B580" s="13" t="s">
        <v>447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0</v>
      </c>
      <c r="B581" s="13" t="s">
        <v>78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0</v>
      </c>
      <c r="B582" s="13" t="s">
        <v>151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0</v>
      </c>
      <c r="B583" s="13" t="s">
        <v>42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0</v>
      </c>
      <c r="B584" s="13" t="s">
        <v>1664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0</v>
      </c>
      <c r="B585" s="13" t="s">
        <v>1663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0</v>
      </c>
      <c r="B586" s="13" t="s">
        <v>1988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0</v>
      </c>
      <c r="B587" s="13" t="s">
        <v>2149</v>
      </c>
      <c r="C587" s="13">
        <v>2</v>
      </c>
      <c r="D587" s="13">
        <v>0</v>
      </c>
      <c r="E587" s="13">
        <v>2</v>
      </c>
    </row>
    <row r="588" spans="1:5" x14ac:dyDescent="0.3">
      <c r="A588" s="13" t="s">
        <v>0</v>
      </c>
      <c r="B588" s="13" t="s">
        <v>2156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0</v>
      </c>
      <c r="B589" s="13" t="s">
        <v>1172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0</v>
      </c>
      <c r="B590" s="13" t="s">
        <v>1099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0</v>
      </c>
      <c r="B591" s="13" t="s">
        <v>333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0</v>
      </c>
      <c r="B592" s="13" t="s">
        <v>2160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0</v>
      </c>
      <c r="B593" s="13" t="s">
        <v>234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0</v>
      </c>
      <c r="B594" s="13" t="s">
        <v>366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0</v>
      </c>
      <c r="B595" s="13" t="s">
        <v>461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0</v>
      </c>
      <c r="B596" s="13" t="s">
        <v>135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0</v>
      </c>
      <c r="B597" s="13" t="s">
        <v>1051</v>
      </c>
      <c r="C597" s="13">
        <v>1</v>
      </c>
      <c r="D597" s="13">
        <v>0</v>
      </c>
      <c r="E597" s="13">
        <v>2</v>
      </c>
    </row>
    <row r="598" spans="1:5" x14ac:dyDescent="0.3">
      <c r="A598" s="13" t="s">
        <v>0</v>
      </c>
      <c r="B598" s="13" t="s">
        <v>913</v>
      </c>
      <c r="C598" s="13">
        <v>1</v>
      </c>
      <c r="D598" s="13">
        <v>0</v>
      </c>
      <c r="E598" s="13">
        <v>1</v>
      </c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69662-B2F3-4C0E-8A2A-3589C0DE2E3C}">
  <sheetPr codeName="Sheet33"/>
  <dimension ref="A1:M620"/>
  <sheetViews>
    <sheetView workbookViewId="0">
      <selection activeCell="A2" sqref="A2:E536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37</v>
      </c>
      <c r="C2" s="13">
        <v>54</v>
      </c>
      <c r="D2" s="13">
        <v>52</v>
      </c>
      <c r="E2" s="13">
        <v>56</v>
      </c>
    </row>
    <row r="3" spans="1:13" customFormat="1" x14ac:dyDescent="0.3">
      <c r="A3" s="13" t="s">
        <v>1</v>
      </c>
      <c r="B3" s="13" t="s">
        <v>135</v>
      </c>
      <c r="C3" s="13">
        <v>64</v>
      </c>
      <c r="D3" s="13">
        <v>48</v>
      </c>
      <c r="E3" s="13">
        <v>81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80</v>
      </c>
      <c r="D4" s="13">
        <v>34</v>
      </c>
      <c r="E4" s="13">
        <v>143</v>
      </c>
      <c r="G4" s="19" t="s">
        <v>8</v>
      </c>
      <c r="H4" s="15">
        <f>H13+H14</f>
        <v>852</v>
      </c>
      <c r="I4" s="16">
        <f>H4/H$6</f>
        <v>0.71177944862155385</v>
      </c>
      <c r="J4" s="15">
        <f>I13+I14</f>
        <v>511</v>
      </c>
      <c r="K4" s="16">
        <f>J4/J$6</f>
        <v>0.64765525982256023</v>
      </c>
      <c r="L4" s="15">
        <f>J13+J14</f>
        <v>1014</v>
      </c>
      <c r="M4" s="25">
        <f>L4/L$6</f>
        <v>0.72170818505338075</v>
      </c>
    </row>
    <row r="5" spans="1:13" customFormat="1" x14ac:dyDescent="0.3">
      <c r="A5" s="13" t="s">
        <v>1</v>
      </c>
      <c r="B5" s="13" t="s">
        <v>37</v>
      </c>
      <c r="C5" s="13">
        <v>38</v>
      </c>
      <c r="D5" s="13">
        <v>28</v>
      </c>
      <c r="E5" s="13">
        <v>40</v>
      </c>
      <c r="G5" s="19" t="s">
        <v>10</v>
      </c>
      <c r="H5" s="15">
        <f>H15+H16</f>
        <v>345</v>
      </c>
      <c r="I5" s="16">
        <f>H5/H$6</f>
        <v>0.2882205513784461</v>
      </c>
      <c r="J5" s="15">
        <f>I15+I16</f>
        <v>278</v>
      </c>
      <c r="K5" s="16">
        <f>J5/J$6</f>
        <v>0.35234474017743977</v>
      </c>
      <c r="L5" s="15">
        <f>J15+J16</f>
        <v>391</v>
      </c>
      <c r="M5" s="25">
        <f>L5/L$6</f>
        <v>0.2782918149466192</v>
      </c>
    </row>
    <row r="6" spans="1:13" customFormat="1" ht="17.25" thickBot="1" x14ac:dyDescent="0.35">
      <c r="A6" s="13" t="s">
        <v>1</v>
      </c>
      <c r="B6" s="13" t="s">
        <v>2203</v>
      </c>
      <c r="C6" s="13">
        <v>56</v>
      </c>
      <c r="D6" s="13">
        <v>24</v>
      </c>
      <c r="E6" s="13">
        <v>75</v>
      </c>
      <c r="G6" s="22"/>
      <c r="H6" s="26">
        <f>SUM(H4:H5)</f>
        <v>1197</v>
      </c>
      <c r="I6" s="27">
        <f>I4+I5</f>
        <v>1</v>
      </c>
      <c r="J6" s="26">
        <f>SUM(J4:J5)</f>
        <v>789</v>
      </c>
      <c r="K6" s="27">
        <f>K4+K5</f>
        <v>1</v>
      </c>
      <c r="L6" s="26">
        <f>SUM(L4:L5)</f>
        <v>1405</v>
      </c>
      <c r="M6" s="28">
        <f>M4+M5</f>
        <v>1</v>
      </c>
    </row>
    <row r="7" spans="1:13" customFormat="1" x14ac:dyDescent="0.3">
      <c r="A7" s="13" t="s">
        <v>0</v>
      </c>
      <c r="B7" s="13" t="s">
        <v>29</v>
      </c>
      <c r="C7" s="13">
        <v>14</v>
      </c>
      <c r="D7" s="13">
        <v>13</v>
      </c>
      <c r="E7" s="13">
        <v>15</v>
      </c>
    </row>
    <row r="8" spans="1:13" customFormat="1" x14ac:dyDescent="0.3">
      <c r="A8" s="13" t="s">
        <v>0</v>
      </c>
      <c r="B8" s="13" t="s">
        <v>2203</v>
      </c>
      <c r="C8" s="13">
        <v>15</v>
      </c>
      <c r="D8" s="13">
        <v>12</v>
      </c>
      <c r="E8" s="13">
        <v>15</v>
      </c>
    </row>
    <row r="9" spans="1:13" customFormat="1" x14ac:dyDescent="0.3">
      <c r="A9" s="13" t="s">
        <v>1</v>
      </c>
      <c r="B9" s="13" t="s">
        <v>354</v>
      </c>
      <c r="C9" s="13">
        <v>13</v>
      </c>
      <c r="D9" s="13">
        <v>10</v>
      </c>
      <c r="E9" s="13">
        <v>13</v>
      </c>
    </row>
    <row r="10" spans="1:13" customFormat="1" ht="17.25" thickBot="1" x14ac:dyDescent="0.35">
      <c r="A10" s="13" t="s">
        <v>1</v>
      </c>
      <c r="B10" s="13" t="s">
        <v>145</v>
      </c>
      <c r="C10" s="13">
        <v>8</v>
      </c>
      <c r="D10" s="13">
        <v>8</v>
      </c>
      <c r="E10" s="13">
        <v>9</v>
      </c>
    </row>
    <row r="11" spans="1:13" x14ac:dyDescent="0.3">
      <c r="A11" s="13" t="s">
        <v>1</v>
      </c>
      <c r="B11" s="13" t="s">
        <v>1948</v>
      </c>
      <c r="C11" s="13">
        <v>14</v>
      </c>
      <c r="D11" s="13">
        <v>8</v>
      </c>
      <c r="E11" s="13">
        <v>15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47</v>
      </c>
      <c r="C12" s="13">
        <v>8</v>
      </c>
      <c r="D12" s="13">
        <v>7</v>
      </c>
      <c r="E12" s="13">
        <v>9</v>
      </c>
      <c r="G12" s="19"/>
      <c r="H12" s="17">
        <f t="shared" ref="H12:J12" si="0">SUM(H13:H16)</f>
        <v>1197</v>
      </c>
      <c r="I12" s="17">
        <f t="shared" si="0"/>
        <v>789</v>
      </c>
      <c r="J12" s="20">
        <f t="shared" si="0"/>
        <v>1405</v>
      </c>
    </row>
    <row r="13" spans="1:13" x14ac:dyDescent="0.3">
      <c r="A13" s="13" t="s">
        <v>1</v>
      </c>
      <c r="B13" s="13" t="s">
        <v>120</v>
      </c>
      <c r="C13" s="13">
        <v>7</v>
      </c>
      <c r="D13" s="13">
        <v>7</v>
      </c>
      <c r="E13" s="13">
        <v>8</v>
      </c>
      <c r="G13" s="19" t="s">
        <v>7</v>
      </c>
      <c r="H13" s="18">
        <f t="shared" ref="H13:J16" si="1">SUMIF($A$2:$A$9999,$G13,C$2:C$9999)</f>
        <v>852</v>
      </c>
      <c r="I13" s="18">
        <f t="shared" si="1"/>
        <v>511</v>
      </c>
      <c r="J13" s="21">
        <f t="shared" si="1"/>
        <v>1014</v>
      </c>
    </row>
    <row r="14" spans="1:13" x14ac:dyDescent="0.3">
      <c r="A14" s="13" t="s">
        <v>0</v>
      </c>
      <c r="B14" s="13" t="s">
        <v>31</v>
      </c>
      <c r="C14" s="13">
        <v>7</v>
      </c>
      <c r="D14" s="13">
        <v>7</v>
      </c>
      <c r="E14" s="13">
        <v>7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272</v>
      </c>
      <c r="C15" s="13">
        <v>6</v>
      </c>
      <c r="D15" s="13">
        <v>6</v>
      </c>
      <c r="E15" s="13">
        <v>6</v>
      </c>
      <c r="G15" s="19" t="s">
        <v>11</v>
      </c>
      <c r="H15" s="18">
        <f t="shared" si="1"/>
        <v>334</v>
      </c>
      <c r="I15" s="18">
        <f t="shared" si="1"/>
        <v>272</v>
      </c>
      <c r="J15" s="21">
        <f t="shared" si="1"/>
        <v>376</v>
      </c>
    </row>
    <row r="16" spans="1:13" ht="17.25" thickBot="1" x14ac:dyDescent="0.35">
      <c r="A16" s="13" t="s">
        <v>1</v>
      </c>
      <c r="B16" s="13" t="s">
        <v>61</v>
      </c>
      <c r="C16" s="13">
        <v>6</v>
      </c>
      <c r="D16" s="13">
        <v>6</v>
      </c>
      <c r="E16" s="13">
        <v>7</v>
      </c>
      <c r="G16" s="22" t="s">
        <v>12</v>
      </c>
      <c r="H16" s="23">
        <f t="shared" si="1"/>
        <v>11</v>
      </c>
      <c r="I16" s="23">
        <f t="shared" si="1"/>
        <v>6</v>
      </c>
      <c r="J16" s="24">
        <f t="shared" si="1"/>
        <v>15</v>
      </c>
    </row>
    <row r="17" spans="1:5" x14ac:dyDescent="0.3">
      <c r="A17" s="13" t="s">
        <v>0</v>
      </c>
      <c r="B17" s="13" t="s">
        <v>354</v>
      </c>
      <c r="C17" s="13">
        <v>6</v>
      </c>
      <c r="D17" s="13">
        <v>6</v>
      </c>
      <c r="E17" s="13">
        <v>6</v>
      </c>
    </row>
    <row r="18" spans="1:5" x14ac:dyDescent="0.3">
      <c r="A18" s="13" t="s">
        <v>0</v>
      </c>
      <c r="B18" s="13" t="s">
        <v>60</v>
      </c>
      <c r="C18" s="13">
        <v>6</v>
      </c>
      <c r="D18" s="13">
        <v>6</v>
      </c>
      <c r="E18" s="13">
        <v>6</v>
      </c>
    </row>
    <row r="19" spans="1:5" x14ac:dyDescent="0.3">
      <c r="A19" s="13" t="s">
        <v>1</v>
      </c>
      <c r="B19" s="13" t="s">
        <v>1674</v>
      </c>
      <c r="C19" s="13">
        <v>9</v>
      </c>
      <c r="D19" s="13">
        <v>5</v>
      </c>
      <c r="E19" s="13">
        <v>9</v>
      </c>
    </row>
    <row r="20" spans="1:5" x14ac:dyDescent="0.3">
      <c r="A20" s="13" t="s">
        <v>1</v>
      </c>
      <c r="B20" s="13" t="s">
        <v>29</v>
      </c>
      <c r="C20" s="13">
        <v>5</v>
      </c>
      <c r="D20" s="13">
        <v>5</v>
      </c>
      <c r="E20" s="13">
        <v>6</v>
      </c>
    </row>
    <row r="21" spans="1:5" x14ac:dyDescent="0.3">
      <c r="A21" s="13" t="s">
        <v>1</v>
      </c>
      <c r="B21" s="13" t="s">
        <v>32</v>
      </c>
      <c r="C21" s="13">
        <v>11</v>
      </c>
      <c r="D21" s="13">
        <v>5</v>
      </c>
      <c r="E21" s="13">
        <v>21</v>
      </c>
    </row>
    <row r="22" spans="1:5" x14ac:dyDescent="0.3">
      <c r="A22" s="13" t="s">
        <v>0</v>
      </c>
      <c r="B22" s="13" t="s">
        <v>30</v>
      </c>
      <c r="C22" s="13">
        <v>9</v>
      </c>
      <c r="D22" s="13">
        <v>5</v>
      </c>
      <c r="E22" s="13">
        <v>15</v>
      </c>
    </row>
    <row r="23" spans="1:5" x14ac:dyDescent="0.3">
      <c r="A23" s="13" t="s">
        <v>0</v>
      </c>
      <c r="B23" s="13" t="s">
        <v>47</v>
      </c>
      <c r="C23" s="13">
        <v>5</v>
      </c>
      <c r="D23" s="13">
        <v>5</v>
      </c>
      <c r="E23" s="13">
        <v>5</v>
      </c>
    </row>
    <row r="24" spans="1:5" x14ac:dyDescent="0.3">
      <c r="A24" s="13" t="s">
        <v>0</v>
      </c>
      <c r="B24" s="13" t="s">
        <v>1948</v>
      </c>
      <c r="C24" s="13">
        <v>6</v>
      </c>
      <c r="D24" s="13">
        <v>5</v>
      </c>
      <c r="E24" s="13">
        <v>6</v>
      </c>
    </row>
    <row r="25" spans="1:5" x14ac:dyDescent="0.3">
      <c r="A25" s="13" t="s">
        <v>0</v>
      </c>
      <c r="B25" s="13" t="s">
        <v>1342</v>
      </c>
      <c r="C25" s="13">
        <v>5</v>
      </c>
      <c r="D25" s="13">
        <v>5</v>
      </c>
      <c r="E25" s="13">
        <v>5</v>
      </c>
    </row>
    <row r="26" spans="1:5" x14ac:dyDescent="0.3">
      <c r="A26" s="13" t="s">
        <v>0</v>
      </c>
      <c r="B26" s="13" t="s">
        <v>39</v>
      </c>
      <c r="C26" s="13">
        <v>5</v>
      </c>
      <c r="D26" s="13">
        <v>5</v>
      </c>
      <c r="E26" s="13">
        <v>7</v>
      </c>
    </row>
    <row r="27" spans="1:5" x14ac:dyDescent="0.3">
      <c r="A27" s="13" t="s">
        <v>1</v>
      </c>
      <c r="B27" s="13" t="s">
        <v>48</v>
      </c>
      <c r="C27" s="13">
        <v>6</v>
      </c>
      <c r="D27" s="13">
        <v>4</v>
      </c>
      <c r="E27" s="13">
        <v>6</v>
      </c>
    </row>
    <row r="28" spans="1:5" x14ac:dyDescent="0.3">
      <c r="A28" s="13" t="s">
        <v>1</v>
      </c>
      <c r="B28" s="13" t="s">
        <v>500</v>
      </c>
      <c r="C28" s="13">
        <v>4</v>
      </c>
      <c r="D28" s="13">
        <v>4</v>
      </c>
      <c r="E28" s="13">
        <v>4</v>
      </c>
    </row>
    <row r="29" spans="1:5" x14ac:dyDescent="0.3">
      <c r="A29" s="13" t="s">
        <v>1</v>
      </c>
      <c r="B29" s="13" t="s">
        <v>1741</v>
      </c>
      <c r="C29" s="13">
        <v>4</v>
      </c>
      <c r="D29" s="13">
        <v>4</v>
      </c>
      <c r="E29" s="13">
        <v>5</v>
      </c>
    </row>
    <row r="30" spans="1:5" x14ac:dyDescent="0.3">
      <c r="A30" s="13" t="s">
        <v>1</v>
      </c>
      <c r="B30" s="13" t="s">
        <v>648</v>
      </c>
      <c r="C30" s="13">
        <v>4</v>
      </c>
      <c r="D30" s="13">
        <v>4</v>
      </c>
      <c r="E30" s="13">
        <v>4</v>
      </c>
    </row>
    <row r="31" spans="1:5" x14ac:dyDescent="0.3">
      <c r="A31" s="13" t="s">
        <v>1</v>
      </c>
      <c r="B31" s="13" t="s">
        <v>71</v>
      </c>
      <c r="C31" s="13">
        <v>3</v>
      </c>
      <c r="D31" s="13">
        <v>3</v>
      </c>
      <c r="E31" s="13">
        <v>4</v>
      </c>
    </row>
    <row r="32" spans="1:5" x14ac:dyDescent="0.3">
      <c r="A32" s="13" t="s">
        <v>1</v>
      </c>
      <c r="B32" s="13" t="s">
        <v>351</v>
      </c>
      <c r="C32" s="13">
        <v>5</v>
      </c>
      <c r="D32" s="13">
        <v>3</v>
      </c>
      <c r="E32" s="13">
        <v>5</v>
      </c>
    </row>
    <row r="33" spans="1:5" x14ac:dyDescent="0.3">
      <c r="A33" s="13" t="s">
        <v>1</v>
      </c>
      <c r="B33" s="13" t="s">
        <v>41</v>
      </c>
      <c r="C33" s="13">
        <v>5</v>
      </c>
      <c r="D33" s="13">
        <v>3</v>
      </c>
      <c r="E33" s="13">
        <v>6</v>
      </c>
    </row>
    <row r="34" spans="1:5" x14ac:dyDescent="0.3">
      <c r="A34" s="13" t="s">
        <v>1</v>
      </c>
      <c r="B34" s="13" t="s">
        <v>94</v>
      </c>
      <c r="C34" s="13">
        <v>6</v>
      </c>
      <c r="D34" s="13">
        <v>3</v>
      </c>
      <c r="E34" s="13">
        <v>7</v>
      </c>
    </row>
    <row r="35" spans="1:5" x14ac:dyDescent="0.3">
      <c r="A35" s="13" t="s">
        <v>1</v>
      </c>
      <c r="B35" s="13" t="s">
        <v>471</v>
      </c>
      <c r="C35" s="13">
        <v>3</v>
      </c>
      <c r="D35" s="13">
        <v>3</v>
      </c>
      <c r="E35" s="13">
        <v>3</v>
      </c>
    </row>
    <row r="36" spans="1:5" x14ac:dyDescent="0.3">
      <c r="A36" s="13" t="s">
        <v>1</v>
      </c>
      <c r="B36" s="13" t="s">
        <v>1663</v>
      </c>
      <c r="C36" s="13">
        <v>5</v>
      </c>
      <c r="D36" s="13">
        <v>3</v>
      </c>
      <c r="E36" s="13">
        <v>6</v>
      </c>
    </row>
    <row r="37" spans="1:5" x14ac:dyDescent="0.3">
      <c r="A37" s="13" t="s">
        <v>1</v>
      </c>
      <c r="B37" s="13" t="s">
        <v>1885</v>
      </c>
      <c r="C37" s="13">
        <v>3</v>
      </c>
      <c r="D37" s="13">
        <v>3</v>
      </c>
      <c r="E37" s="13">
        <v>3</v>
      </c>
    </row>
    <row r="38" spans="1:5" x14ac:dyDescent="0.3">
      <c r="A38" s="13" t="s">
        <v>1</v>
      </c>
      <c r="B38" s="13" t="s">
        <v>822</v>
      </c>
      <c r="C38" s="13">
        <v>3</v>
      </c>
      <c r="D38" s="13">
        <v>3</v>
      </c>
      <c r="E38" s="13">
        <v>3</v>
      </c>
    </row>
    <row r="39" spans="1:5" x14ac:dyDescent="0.3">
      <c r="A39" s="13" t="s">
        <v>1</v>
      </c>
      <c r="B39" s="13" t="s">
        <v>111</v>
      </c>
      <c r="C39" s="13">
        <v>5</v>
      </c>
      <c r="D39" s="13">
        <v>3</v>
      </c>
      <c r="E39" s="13">
        <v>5</v>
      </c>
    </row>
    <row r="40" spans="1:5" x14ac:dyDescent="0.3">
      <c r="A40" s="13" t="s">
        <v>1</v>
      </c>
      <c r="B40" s="13" t="s">
        <v>175</v>
      </c>
      <c r="C40" s="13">
        <v>3</v>
      </c>
      <c r="D40" s="13">
        <v>3</v>
      </c>
      <c r="E40" s="13">
        <v>3</v>
      </c>
    </row>
    <row r="41" spans="1:5" x14ac:dyDescent="0.3">
      <c r="A41" s="13" t="s">
        <v>1</v>
      </c>
      <c r="B41" s="13" t="s">
        <v>31</v>
      </c>
      <c r="C41" s="13">
        <v>3</v>
      </c>
      <c r="D41" s="13">
        <v>3</v>
      </c>
      <c r="E41" s="13">
        <v>3</v>
      </c>
    </row>
    <row r="42" spans="1:5" x14ac:dyDescent="0.3">
      <c r="A42" s="13" t="s">
        <v>1</v>
      </c>
      <c r="B42" s="13" t="s">
        <v>2238</v>
      </c>
      <c r="C42" s="13">
        <v>3</v>
      </c>
      <c r="D42" s="13">
        <v>5</v>
      </c>
      <c r="E42" s="13"/>
    </row>
    <row r="43" spans="1:5" x14ac:dyDescent="0.3">
      <c r="A43" s="13" t="s">
        <v>0</v>
      </c>
      <c r="B43" s="13" t="s">
        <v>2179</v>
      </c>
      <c r="C43" s="13">
        <v>3</v>
      </c>
      <c r="D43" s="13">
        <v>3</v>
      </c>
      <c r="E43" s="13">
        <v>3</v>
      </c>
    </row>
    <row r="44" spans="1:5" x14ac:dyDescent="0.3">
      <c r="A44" s="13" t="s">
        <v>0</v>
      </c>
      <c r="B44" s="13" t="s">
        <v>120</v>
      </c>
      <c r="C44" s="13">
        <v>4</v>
      </c>
      <c r="D44" s="13">
        <v>3</v>
      </c>
      <c r="E44" s="13">
        <v>5</v>
      </c>
    </row>
    <row r="45" spans="1:5" x14ac:dyDescent="0.3">
      <c r="A45" s="13" t="s">
        <v>0</v>
      </c>
      <c r="B45" s="13" t="s">
        <v>295</v>
      </c>
      <c r="C45" s="13">
        <v>3</v>
      </c>
      <c r="D45" s="13">
        <v>3</v>
      </c>
      <c r="E45" s="13">
        <v>3</v>
      </c>
    </row>
    <row r="46" spans="1:5" x14ac:dyDescent="0.3">
      <c r="A46" s="13" t="s">
        <v>0</v>
      </c>
      <c r="B46" s="13" t="s">
        <v>191</v>
      </c>
      <c r="C46" s="13">
        <v>3</v>
      </c>
      <c r="D46" s="13">
        <v>3</v>
      </c>
      <c r="E46" s="13">
        <v>3</v>
      </c>
    </row>
    <row r="47" spans="1:5" x14ac:dyDescent="0.3">
      <c r="A47" s="13" t="s">
        <v>1</v>
      </c>
      <c r="B47" s="13" t="s">
        <v>36</v>
      </c>
      <c r="C47" s="13">
        <v>3</v>
      </c>
      <c r="D47" s="13">
        <v>2</v>
      </c>
      <c r="E47" s="13">
        <v>3</v>
      </c>
    </row>
    <row r="48" spans="1:5" x14ac:dyDescent="0.3">
      <c r="A48" s="13" t="s">
        <v>1</v>
      </c>
      <c r="B48" s="13" t="s">
        <v>33</v>
      </c>
      <c r="C48" s="13">
        <v>3</v>
      </c>
      <c r="D48" s="13">
        <v>2</v>
      </c>
      <c r="E48" s="13">
        <v>3</v>
      </c>
    </row>
    <row r="49" spans="1:5" x14ac:dyDescent="0.3">
      <c r="A49" s="13" t="s">
        <v>1</v>
      </c>
      <c r="B49" s="13" t="s">
        <v>1253</v>
      </c>
      <c r="C49" s="13">
        <v>2</v>
      </c>
      <c r="D49" s="13">
        <v>2</v>
      </c>
      <c r="E49" s="13">
        <v>3</v>
      </c>
    </row>
    <row r="50" spans="1:5" x14ac:dyDescent="0.3">
      <c r="A50" s="13" t="s">
        <v>1</v>
      </c>
      <c r="B50" s="13" t="s">
        <v>345</v>
      </c>
      <c r="C50" s="13">
        <v>2</v>
      </c>
      <c r="D50" s="13">
        <v>2</v>
      </c>
      <c r="E50" s="13">
        <v>3</v>
      </c>
    </row>
    <row r="51" spans="1:5" x14ac:dyDescent="0.3">
      <c r="A51" s="13" t="s">
        <v>1</v>
      </c>
      <c r="B51" s="13" t="s">
        <v>59</v>
      </c>
      <c r="C51" s="13">
        <v>2</v>
      </c>
      <c r="D51" s="13">
        <v>2</v>
      </c>
      <c r="E51" s="13">
        <v>2</v>
      </c>
    </row>
    <row r="52" spans="1:5" x14ac:dyDescent="0.3">
      <c r="A52" s="13" t="s">
        <v>1</v>
      </c>
      <c r="B52" s="13" t="s">
        <v>40</v>
      </c>
      <c r="C52" s="13">
        <v>2</v>
      </c>
      <c r="D52" s="13">
        <v>2</v>
      </c>
      <c r="E52" s="13">
        <v>2</v>
      </c>
    </row>
    <row r="53" spans="1:5" x14ac:dyDescent="0.3">
      <c r="A53" s="13" t="s">
        <v>1</v>
      </c>
      <c r="B53" s="13" t="s">
        <v>796</v>
      </c>
      <c r="C53" s="13">
        <v>2</v>
      </c>
      <c r="D53" s="13">
        <v>2</v>
      </c>
      <c r="E53" s="13">
        <v>2</v>
      </c>
    </row>
    <row r="54" spans="1:5" x14ac:dyDescent="0.3">
      <c r="A54" s="13" t="s">
        <v>1</v>
      </c>
      <c r="B54" s="13" t="s">
        <v>83</v>
      </c>
      <c r="C54" s="13">
        <v>2</v>
      </c>
      <c r="D54" s="13">
        <v>2</v>
      </c>
      <c r="E54" s="13">
        <v>2</v>
      </c>
    </row>
    <row r="55" spans="1:5" x14ac:dyDescent="0.3">
      <c r="A55" s="13" t="s">
        <v>1</v>
      </c>
      <c r="B55" s="13" t="s">
        <v>727</v>
      </c>
      <c r="C55" s="13">
        <v>2</v>
      </c>
      <c r="D55" s="13">
        <v>2</v>
      </c>
      <c r="E55" s="13">
        <v>2</v>
      </c>
    </row>
    <row r="56" spans="1:5" x14ac:dyDescent="0.3">
      <c r="A56" s="13" t="s">
        <v>1</v>
      </c>
      <c r="B56" s="13" t="s">
        <v>148</v>
      </c>
      <c r="C56" s="13">
        <v>2</v>
      </c>
      <c r="D56" s="13">
        <v>2</v>
      </c>
      <c r="E56" s="13">
        <v>2</v>
      </c>
    </row>
    <row r="57" spans="1:5" x14ac:dyDescent="0.3">
      <c r="A57" s="13" t="s">
        <v>1</v>
      </c>
      <c r="B57" s="13" t="s">
        <v>87</v>
      </c>
      <c r="C57" s="13">
        <v>2</v>
      </c>
      <c r="D57" s="13">
        <v>2</v>
      </c>
      <c r="E57" s="13">
        <v>2</v>
      </c>
    </row>
    <row r="58" spans="1:5" x14ac:dyDescent="0.3">
      <c r="A58" s="13" t="s">
        <v>1</v>
      </c>
      <c r="B58" s="13" t="s">
        <v>150</v>
      </c>
      <c r="C58" s="13">
        <v>3</v>
      </c>
      <c r="D58" s="13">
        <v>2</v>
      </c>
      <c r="E58" s="13">
        <v>3</v>
      </c>
    </row>
    <row r="59" spans="1:5" x14ac:dyDescent="0.3">
      <c r="A59" s="13" t="s">
        <v>1</v>
      </c>
      <c r="B59" s="13" t="s">
        <v>42</v>
      </c>
      <c r="C59" s="13">
        <v>2</v>
      </c>
      <c r="D59" s="13">
        <v>2</v>
      </c>
      <c r="E59" s="13">
        <v>3</v>
      </c>
    </row>
    <row r="60" spans="1:5" x14ac:dyDescent="0.3">
      <c r="A60" s="13" t="s">
        <v>1</v>
      </c>
      <c r="B60" s="13" t="s">
        <v>1485</v>
      </c>
      <c r="C60" s="13">
        <v>2</v>
      </c>
      <c r="D60" s="13">
        <v>2</v>
      </c>
      <c r="E60" s="13">
        <v>2</v>
      </c>
    </row>
    <row r="61" spans="1:5" x14ac:dyDescent="0.3">
      <c r="A61" s="13" t="s">
        <v>1</v>
      </c>
      <c r="B61" s="13" t="s">
        <v>1570</v>
      </c>
      <c r="C61" s="13">
        <v>2</v>
      </c>
      <c r="D61" s="13">
        <v>2</v>
      </c>
      <c r="E61" s="13">
        <v>2</v>
      </c>
    </row>
    <row r="62" spans="1:5" x14ac:dyDescent="0.3">
      <c r="A62" s="13" t="s">
        <v>1</v>
      </c>
      <c r="B62" s="13" t="s">
        <v>2093</v>
      </c>
      <c r="C62" s="13">
        <v>2</v>
      </c>
      <c r="D62" s="13">
        <v>2</v>
      </c>
      <c r="E62" s="13">
        <v>2</v>
      </c>
    </row>
    <row r="63" spans="1:5" x14ac:dyDescent="0.3">
      <c r="A63" s="13" t="s">
        <v>1</v>
      </c>
      <c r="B63" s="13" t="s">
        <v>2156</v>
      </c>
      <c r="C63" s="13">
        <v>8</v>
      </c>
      <c r="D63" s="13">
        <v>2</v>
      </c>
      <c r="E63" s="13">
        <v>8</v>
      </c>
    </row>
    <row r="64" spans="1:5" x14ac:dyDescent="0.3">
      <c r="A64" s="13" t="s">
        <v>1</v>
      </c>
      <c r="B64" s="13" t="s">
        <v>505</v>
      </c>
      <c r="C64" s="13">
        <v>3</v>
      </c>
      <c r="D64" s="13">
        <v>2</v>
      </c>
      <c r="E64" s="13">
        <v>3</v>
      </c>
    </row>
    <row r="65" spans="1:5" x14ac:dyDescent="0.3">
      <c r="A65" s="13" t="s">
        <v>1</v>
      </c>
      <c r="B65" s="13" t="s">
        <v>506</v>
      </c>
      <c r="C65" s="13">
        <v>2</v>
      </c>
      <c r="D65" s="13">
        <v>2</v>
      </c>
      <c r="E65" s="13">
        <v>2</v>
      </c>
    </row>
    <row r="66" spans="1:5" x14ac:dyDescent="0.3">
      <c r="A66" s="13" t="s">
        <v>1</v>
      </c>
      <c r="B66" s="13" t="s">
        <v>95</v>
      </c>
      <c r="C66" s="13">
        <v>2</v>
      </c>
      <c r="D66" s="13">
        <v>2</v>
      </c>
      <c r="E66" s="13">
        <v>2</v>
      </c>
    </row>
    <row r="67" spans="1:5" x14ac:dyDescent="0.3">
      <c r="A67" s="13" t="s">
        <v>1</v>
      </c>
      <c r="B67" s="13" t="s">
        <v>156</v>
      </c>
      <c r="C67" s="13">
        <v>5</v>
      </c>
      <c r="D67" s="13">
        <v>2</v>
      </c>
      <c r="E67" s="13">
        <v>5</v>
      </c>
    </row>
    <row r="68" spans="1:5" x14ac:dyDescent="0.3">
      <c r="A68" s="13" t="s">
        <v>1</v>
      </c>
      <c r="B68" s="13" t="s">
        <v>160</v>
      </c>
      <c r="C68" s="13">
        <v>2</v>
      </c>
      <c r="D68" s="13">
        <v>2</v>
      </c>
      <c r="E68" s="13">
        <v>2</v>
      </c>
    </row>
    <row r="69" spans="1:5" x14ac:dyDescent="0.3">
      <c r="A69" s="13" t="s">
        <v>1</v>
      </c>
      <c r="B69" s="13" t="s">
        <v>102</v>
      </c>
      <c r="C69" s="13">
        <v>2</v>
      </c>
      <c r="D69" s="13">
        <v>2</v>
      </c>
      <c r="E69" s="13">
        <v>2</v>
      </c>
    </row>
    <row r="70" spans="1:5" x14ac:dyDescent="0.3">
      <c r="A70" s="13" t="s">
        <v>1</v>
      </c>
      <c r="B70" s="13" t="s">
        <v>195</v>
      </c>
      <c r="C70" s="13">
        <v>3</v>
      </c>
      <c r="D70" s="13">
        <v>2</v>
      </c>
      <c r="E70" s="13">
        <v>2</v>
      </c>
    </row>
    <row r="71" spans="1:5" x14ac:dyDescent="0.3">
      <c r="A71" s="13" t="s">
        <v>1</v>
      </c>
      <c r="B71" s="13" t="s">
        <v>279</v>
      </c>
      <c r="C71" s="13">
        <v>3</v>
      </c>
      <c r="D71" s="13">
        <v>2</v>
      </c>
      <c r="E71" s="13">
        <v>3</v>
      </c>
    </row>
    <row r="72" spans="1:5" x14ac:dyDescent="0.3">
      <c r="A72" s="13" t="s">
        <v>1</v>
      </c>
      <c r="B72" s="13" t="s">
        <v>315</v>
      </c>
      <c r="C72" s="13">
        <v>2</v>
      </c>
      <c r="D72" s="13">
        <v>2</v>
      </c>
      <c r="E72" s="13">
        <v>3</v>
      </c>
    </row>
    <row r="73" spans="1:5" x14ac:dyDescent="0.3">
      <c r="A73" s="13" t="s">
        <v>1</v>
      </c>
      <c r="B73" s="13" t="s">
        <v>45</v>
      </c>
      <c r="C73" s="13">
        <v>2</v>
      </c>
      <c r="D73" s="13">
        <v>2</v>
      </c>
      <c r="E73" s="13">
        <v>2</v>
      </c>
    </row>
    <row r="74" spans="1:5" x14ac:dyDescent="0.3">
      <c r="A74" s="13" t="s">
        <v>1</v>
      </c>
      <c r="B74" s="13" t="s">
        <v>320</v>
      </c>
      <c r="C74" s="13">
        <v>3</v>
      </c>
      <c r="D74" s="13">
        <v>2</v>
      </c>
      <c r="E74" s="13">
        <v>4</v>
      </c>
    </row>
    <row r="75" spans="1:5" x14ac:dyDescent="0.3">
      <c r="A75" s="13" t="s">
        <v>1</v>
      </c>
      <c r="B75" s="13" t="s">
        <v>838</v>
      </c>
      <c r="C75" s="13">
        <v>2</v>
      </c>
      <c r="D75" s="13">
        <v>2</v>
      </c>
      <c r="E75" s="13">
        <v>3</v>
      </c>
    </row>
    <row r="76" spans="1:5" x14ac:dyDescent="0.3">
      <c r="A76" s="13" t="s">
        <v>1</v>
      </c>
      <c r="B76" s="13" t="s">
        <v>958</v>
      </c>
      <c r="C76" s="13">
        <v>2</v>
      </c>
      <c r="D76" s="13">
        <v>2</v>
      </c>
      <c r="E76" s="13">
        <v>2</v>
      </c>
    </row>
    <row r="77" spans="1:5" x14ac:dyDescent="0.3">
      <c r="A77" s="13" t="s">
        <v>1</v>
      </c>
      <c r="B77" s="13" t="s">
        <v>38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132</v>
      </c>
      <c r="C78" s="13">
        <v>2</v>
      </c>
      <c r="D78" s="13">
        <v>2</v>
      </c>
      <c r="E78" s="13">
        <v>3</v>
      </c>
    </row>
    <row r="79" spans="1:5" x14ac:dyDescent="0.3">
      <c r="A79" s="13" t="s">
        <v>1</v>
      </c>
      <c r="B79" s="13" t="s">
        <v>797</v>
      </c>
      <c r="C79" s="13">
        <v>3</v>
      </c>
      <c r="D79" s="13">
        <v>2</v>
      </c>
      <c r="E79" s="13">
        <v>3</v>
      </c>
    </row>
    <row r="80" spans="1:5" x14ac:dyDescent="0.3">
      <c r="A80" s="13" t="s">
        <v>1</v>
      </c>
      <c r="B80" s="13" t="s">
        <v>2239</v>
      </c>
      <c r="C80" s="13">
        <v>2</v>
      </c>
      <c r="D80" s="13">
        <v>2</v>
      </c>
      <c r="E80" s="13">
        <v>3</v>
      </c>
    </row>
    <row r="81" spans="1:5" x14ac:dyDescent="0.3">
      <c r="A81" s="13" t="s">
        <v>0</v>
      </c>
      <c r="B81" s="13" t="s">
        <v>61</v>
      </c>
      <c r="C81" s="13">
        <v>2</v>
      </c>
      <c r="D81" s="13">
        <v>2</v>
      </c>
      <c r="E81" s="13">
        <v>4</v>
      </c>
    </row>
    <row r="82" spans="1:5" x14ac:dyDescent="0.3">
      <c r="A82" s="13" t="s">
        <v>0</v>
      </c>
      <c r="B82" s="13" t="s">
        <v>94</v>
      </c>
      <c r="C82" s="13">
        <v>2</v>
      </c>
      <c r="D82" s="13">
        <v>2</v>
      </c>
      <c r="E82" s="13">
        <v>2</v>
      </c>
    </row>
    <row r="83" spans="1:5" x14ac:dyDescent="0.3">
      <c r="A83" s="13" t="s">
        <v>0</v>
      </c>
      <c r="B83" s="13" t="s">
        <v>1471</v>
      </c>
      <c r="C83" s="13">
        <v>2</v>
      </c>
      <c r="D83" s="13">
        <v>2</v>
      </c>
      <c r="E83" s="13">
        <v>2</v>
      </c>
    </row>
    <row r="84" spans="1:5" x14ac:dyDescent="0.3">
      <c r="A84" s="13" t="s">
        <v>0</v>
      </c>
      <c r="B84" s="13" t="s">
        <v>1674</v>
      </c>
      <c r="C84" s="13">
        <v>2</v>
      </c>
      <c r="D84" s="13">
        <v>2</v>
      </c>
      <c r="E84" s="13">
        <v>2</v>
      </c>
    </row>
    <row r="85" spans="1:5" x14ac:dyDescent="0.3">
      <c r="A85" s="13" t="s">
        <v>0</v>
      </c>
      <c r="B85" s="13" t="s">
        <v>1741</v>
      </c>
      <c r="C85" s="13">
        <v>2</v>
      </c>
      <c r="D85" s="13">
        <v>2</v>
      </c>
      <c r="E85" s="13">
        <v>2</v>
      </c>
    </row>
    <row r="86" spans="1:5" x14ac:dyDescent="0.3">
      <c r="A86" s="13" t="s">
        <v>0</v>
      </c>
      <c r="B86" s="13" t="s">
        <v>1882</v>
      </c>
      <c r="C86" s="13">
        <v>3</v>
      </c>
      <c r="D86" s="13">
        <v>2</v>
      </c>
      <c r="E86" s="13">
        <v>3</v>
      </c>
    </row>
    <row r="87" spans="1:5" x14ac:dyDescent="0.3">
      <c r="A87" s="13" t="s">
        <v>0</v>
      </c>
      <c r="B87" s="13" t="s">
        <v>730</v>
      </c>
      <c r="C87" s="13">
        <v>2</v>
      </c>
      <c r="D87" s="13">
        <v>2</v>
      </c>
      <c r="E87" s="13">
        <v>2</v>
      </c>
    </row>
    <row r="88" spans="1:5" x14ac:dyDescent="0.3">
      <c r="A88" s="13" t="s">
        <v>0</v>
      </c>
      <c r="B88" s="13" t="s">
        <v>28</v>
      </c>
      <c r="C88" s="13">
        <v>2</v>
      </c>
      <c r="D88" s="13">
        <v>2</v>
      </c>
      <c r="E88" s="13">
        <v>2</v>
      </c>
    </row>
    <row r="89" spans="1:5" x14ac:dyDescent="0.3">
      <c r="A89" s="13" t="s">
        <v>0</v>
      </c>
      <c r="B89" s="13" t="s">
        <v>2240</v>
      </c>
      <c r="C89" s="13">
        <v>2</v>
      </c>
      <c r="D89" s="13">
        <v>2</v>
      </c>
      <c r="E89" s="13">
        <v>2</v>
      </c>
    </row>
    <row r="90" spans="1:5" x14ac:dyDescent="0.3">
      <c r="A90" s="13" t="s">
        <v>0</v>
      </c>
      <c r="B90" s="13" t="s">
        <v>736</v>
      </c>
      <c r="C90" s="13">
        <v>2</v>
      </c>
      <c r="D90" s="13">
        <v>2</v>
      </c>
      <c r="E90" s="13">
        <v>2</v>
      </c>
    </row>
    <row r="91" spans="1:5" x14ac:dyDescent="0.3">
      <c r="A91" s="13" t="s">
        <v>0</v>
      </c>
      <c r="B91" s="13" t="s">
        <v>287</v>
      </c>
      <c r="C91" s="13">
        <v>2</v>
      </c>
      <c r="D91" s="13">
        <v>2</v>
      </c>
      <c r="E91" s="13">
        <v>2</v>
      </c>
    </row>
    <row r="92" spans="1:5" x14ac:dyDescent="0.3">
      <c r="A92" s="13" t="s">
        <v>0</v>
      </c>
      <c r="B92" s="13" t="s">
        <v>572</v>
      </c>
      <c r="C92" s="13">
        <v>2</v>
      </c>
      <c r="D92" s="13">
        <v>2</v>
      </c>
      <c r="E92" s="13">
        <v>2</v>
      </c>
    </row>
    <row r="93" spans="1:5" x14ac:dyDescent="0.3">
      <c r="A93" s="13" t="s">
        <v>0</v>
      </c>
      <c r="B93" s="13" t="s">
        <v>123</v>
      </c>
      <c r="C93" s="13">
        <v>2</v>
      </c>
      <c r="D93" s="13">
        <v>2</v>
      </c>
      <c r="E93" s="13">
        <v>3</v>
      </c>
    </row>
    <row r="94" spans="1:5" x14ac:dyDescent="0.3">
      <c r="A94" s="13" t="s">
        <v>0</v>
      </c>
      <c r="B94" s="13" t="s">
        <v>575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807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343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924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1350</v>
      </c>
      <c r="C98" s="13">
        <v>1</v>
      </c>
      <c r="D98" s="13">
        <v>1</v>
      </c>
      <c r="E98" s="13">
        <v>1</v>
      </c>
    </row>
    <row r="99" spans="1:5" x14ac:dyDescent="0.3">
      <c r="A99" s="13" t="s">
        <v>1</v>
      </c>
      <c r="B99" s="13" t="s">
        <v>2241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368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299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240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261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138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584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982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73</v>
      </c>
      <c r="C107" s="13">
        <v>3</v>
      </c>
      <c r="D107" s="13">
        <v>1</v>
      </c>
      <c r="E107" s="13">
        <v>4</v>
      </c>
    </row>
    <row r="108" spans="1:5" x14ac:dyDescent="0.3">
      <c r="A108" s="13" t="s">
        <v>1</v>
      </c>
      <c r="B108" s="13" t="s">
        <v>203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670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2088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810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381</v>
      </c>
      <c r="C112" s="13">
        <v>2</v>
      </c>
      <c r="D112" s="13">
        <v>1</v>
      </c>
      <c r="E112" s="13">
        <v>2</v>
      </c>
    </row>
    <row r="113" spans="1:5" x14ac:dyDescent="0.3">
      <c r="A113" s="13" t="s">
        <v>1</v>
      </c>
      <c r="B113" s="13" t="s">
        <v>671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264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1090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267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853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77</v>
      </c>
      <c r="C118" s="13">
        <v>2</v>
      </c>
      <c r="D118" s="13">
        <v>1</v>
      </c>
      <c r="E118" s="13">
        <v>2</v>
      </c>
    </row>
    <row r="119" spans="1:5" x14ac:dyDescent="0.3">
      <c r="A119" s="13" t="s">
        <v>1</v>
      </c>
      <c r="B119" s="13" t="s">
        <v>34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813</v>
      </c>
      <c r="C120" s="13">
        <v>1</v>
      </c>
      <c r="D120" s="13">
        <v>1</v>
      </c>
      <c r="E120" s="13">
        <v>2</v>
      </c>
    </row>
    <row r="121" spans="1:5" x14ac:dyDescent="0.3">
      <c r="A121" s="13" t="s">
        <v>1</v>
      </c>
      <c r="B121" s="13" t="s">
        <v>268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1208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269</v>
      </c>
      <c r="C123" s="13">
        <v>1</v>
      </c>
      <c r="D123" s="13">
        <v>1</v>
      </c>
      <c r="E123" s="13">
        <v>2</v>
      </c>
    </row>
    <row r="124" spans="1:5" x14ac:dyDescent="0.3">
      <c r="A124" s="13" t="s">
        <v>1</v>
      </c>
      <c r="B124" s="13" t="s">
        <v>210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211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82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84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147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149</v>
      </c>
      <c r="C129" s="13">
        <v>2</v>
      </c>
      <c r="D129" s="13">
        <v>1</v>
      </c>
      <c r="E129" s="13">
        <v>2</v>
      </c>
    </row>
    <row r="130" spans="1:5" x14ac:dyDescent="0.3">
      <c r="A130" s="13" t="s">
        <v>1</v>
      </c>
      <c r="B130" s="13" t="s">
        <v>215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610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1171</v>
      </c>
      <c r="C132" s="13">
        <v>1</v>
      </c>
      <c r="D132" s="13">
        <v>1</v>
      </c>
      <c r="E132" s="13">
        <v>2</v>
      </c>
    </row>
    <row r="133" spans="1:5" x14ac:dyDescent="0.3">
      <c r="A133" s="13" t="s">
        <v>1</v>
      </c>
      <c r="B133" s="13" t="s">
        <v>151</v>
      </c>
      <c r="C133" s="13">
        <v>2</v>
      </c>
      <c r="D133" s="13">
        <v>1</v>
      </c>
      <c r="E133" s="13">
        <v>2</v>
      </c>
    </row>
    <row r="134" spans="1:5" x14ac:dyDescent="0.3">
      <c r="A134" s="13" t="s">
        <v>1</v>
      </c>
      <c r="B134" s="13" t="s">
        <v>611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352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503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93</v>
      </c>
      <c r="C137" s="13">
        <v>2</v>
      </c>
      <c r="D137" s="13">
        <v>1</v>
      </c>
      <c r="E137" s="13">
        <v>2</v>
      </c>
    </row>
    <row r="138" spans="1:5" x14ac:dyDescent="0.3">
      <c r="A138" s="13" t="s">
        <v>1</v>
      </c>
      <c r="B138" s="13" t="s">
        <v>653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1492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1645</v>
      </c>
      <c r="C140" s="13">
        <v>3</v>
      </c>
      <c r="D140" s="13">
        <v>1</v>
      </c>
      <c r="E140" s="13">
        <v>3</v>
      </c>
    </row>
    <row r="141" spans="1:5" x14ac:dyDescent="0.3">
      <c r="A141" s="13" t="s">
        <v>1</v>
      </c>
      <c r="B141" s="13" t="s">
        <v>1834</v>
      </c>
      <c r="C141" s="13">
        <v>1</v>
      </c>
      <c r="D141" s="13">
        <v>1</v>
      </c>
      <c r="E141" s="13">
        <v>2</v>
      </c>
    </row>
    <row r="142" spans="1:5" x14ac:dyDescent="0.3">
      <c r="A142" s="13" t="s">
        <v>1</v>
      </c>
      <c r="B142" s="13" t="s">
        <v>1849</v>
      </c>
      <c r="C142" s="13">
        <v>2</v>
      </c>
      <c r="D142" s="13">
        <v>1</v>
      </c>
      <c r="E142" s="13">
        <v>3</v>
      </c>
    </row>
    <row r="143" spans="1:5" x14ac:dyDescent="0.3">
      <c r="A143" s="13" t="s">
        <v>1</v>
      </c>
      <c r="B143" s="13" t="s">
        <v>1968</v>
      </c>
      <c r="C143" s="13">
        <v>1</v>
      </c>
      <c r="D143" s="13">
        <v>1</v>
      </c>
      <c r="E143" s="13"/>
    </row>
    <row r="144" spans="1:5" x14ac:dyDescent="0.3">
      <c r="A144" s="13" t="s">
        <v>1</v>
      </c>
      <c r="B144" s="13" t="s">
        <v>1888</v>
      </c>
      <c r="C144" s="13">
        <v>3</v>
      </c>
      <c r="D144" s="13">
        <v>1</v>
      </c>
      <c r="E144" s="13">
        <v>3</v>
      </c>
    </row>
    <row r="145" spans="1:5" x14ac:dyDescent="0.3">
      <c r="A145" s="13" t="s">
        <v>1</v>
      </c>
      <c r="B145" s="13" t="s">
        <v>1899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1988</v>
      </c>
      <c r="C146" s="13">
        <v>4</v>
      </c>
      <c r="D146" s="13">
        <v>1</v>
      </c>
      <c r="E146" s="13">
        <v>4</v>
      </c>
    </row>
    <row r="147" spans="1:5" x14ac:dyDescent="0.3">
      <c r="A147" s="13" t="s">
        <v>1</v>
      </c>
      <c r="B147" s="13" t="s">
        <v>1883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1989</v>
      </c>
      <c r="C148" s="13">
        <v>2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2069</v>
      </c>
      <c r="C149" s="13">
        <v>3</v>
      </c>
      <c r="D149" s="13">
        <v>1</v>
      </c>
      <c r="E149" s="13">
        <v>3</v>
      </c>
    </row>
    <row r="150" spans="1:5" x14ac:dyDescent="0.3">
      <c r="A150" s="13" t="s">
        <v>1</v>
      </c>
      <c r="B150" s="13" t="s">
        <v>2164</v>
      </c>
      <c r="C150" s="13">
        <v>2</v>
      </c>
      <c r="D150" s="13">
        <v>1</v>
      </c>
      <c r="E150" s="13">
        <v>2</v>
      </c>
    </row>
    <row r="151" spans="1:5" x14ac:dyDescent="0.3">
      <c r="A151" s="13" t="s">
        <v>1</v>
      </c>
      <c r="B151" s="13" t="s">
        <v>155</v>
      </c>
      <c r="C151" s="13">
        <v>2</v>
      </c>
      <c r="D151" s="13">
        <v>1</v>
      </c>
      <c r="E151" s="13">
        <v>2</v>
      </c>
    </row>
    <row r="152" spans="1:5" x14ac:dyDescent="0.3">
      <c r="A152" s="13" t="s">
        <v>1</v>
      </c>
      <c r="B152" s="13" t="s">
        <v>820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49</v>
      </c>
      <c r="C153" s="13">
        <v>1</v>
      </c>
      <c r="D153" s="13">
        <v>1</v>
      </c>
      <c r="E153" s="13">
        <v>3</v>
      </c>
    </row>
    <row r="154" spans="1:5" x14ac:dyDescent="0.3">
      <c r="A154" s="13" t="s">
        <v>1</v>
      </c>
      <c r="B154" s="13" t="s">
        <v>507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1179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1420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476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274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508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890</v>
      </c>
      <c r="C160" s="13">
        <v>3</v>
      </c>
      <c r="D160" s="13">
        <v>1</v>
      </c>
      <c r="E160" s="13">
        <v>6</v>
      </c>
    </row>
    <row r="161" spans="1:5" x14ac:dyDescent="0.3">
      <c r="A161" s="13" t="s">
        <v>1</v>
      </c>
      <c r="B161" s="13" t="s">
        <v>679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97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1034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428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391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1993</v>
      </c>
      <c r="C166" s="13">
        <v>1</v>
      </c>
      <c r="D166" s="13">
        <v>1</v>
      </c>
      <c r="E166" s="13">
        <v>2</v>
      </c>
    </row>
    <row r="167" spans="1:5" x14ac:dyDescent="0.3">
      <c r="A167" s="13" t="s">
        <v>1</v>
      </c>
      <c r="B167" s="13" t="s">
        <v>681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161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682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104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105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2242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43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1777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2243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163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164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429</v>
      </c>
      <c r="C178" s="13">
        <v>3</v>
      </c>
      <c r="D178" s="13">
        <v>1</v>
      </c>
      <c r="E178" s="13">
        <v>4</v>
      </c>
    </row>
    <row r="179" spans="1:5" x14ac:dyDescent="0.3">
      <c r="A179" s="13" t="s">
        <v>1</v>
      </c>
      <c r="B179" s="13" t="s">
        <v>565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394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1028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619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2244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397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112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512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281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44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1807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2245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515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1438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1998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1214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1235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2246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1811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113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971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1259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569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319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374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571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737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1189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401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360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525</v>
      </c>
      <c r="C209" s="13">
        <v>2</v>
      </c>
      <c r="D209" s="13">
        <v>1</v>
      </c>
      <c r="E209" s="13">
        <v>2</v>
      </c>
    </row>
    <row r="210" spans="1:5" x14ac:dyDescent="0.3">
      <c r="A210" s="13" t="s">
        <v>1</v>
      </c>
      <c r="B210" s="13" t="s">
        <v>1087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1099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402</v>
      </c>
      <c r="C212" s="13">
        <v>2</v>
      </c>
      <c r="D212" s="13">
        <v>1</v>
      </c>
      <c r="E212" s="13">
        <v>2</v>
      </c>
    </row>
    <row r="213" spans="1:5" x14ac:dyDescent="0.3">
      <c r="A213" s="13" t="s">
        <v>1</v>
      </c>
      <c r="B213" s="13" t="s">
        <v>115</v>
      </c>
      <c r="C213" s="13">
        <v>2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770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1101</v>
      </c>
      <c r="C215" s="13">
        <v>2</v>
      </c>
      <c r="D215" s="13">
        <v>1</v>
      </c>
      <c r="E215" s="13">
        <v>2</v>
      </c>
    </row>
    <row r="216" spans="1:5" x14ac:dyDescent="0.3">
      <c r="A216" s="13" t="s">
        <v>1</v>
      </c>
      <c r="B216" s="13" t="s">
        <v>172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479</v>
      </c>
      <c r="C217" s="13">
        <v>2</v>
      </c>
      <c r="D217" s="13">
        <v>1</v>
      </c>
      <c r="E217" s="13">
        <v>2</v>
      </c>
    </row>
    <row r="218" spans="1:5" x14ac:dyDescent="0.3">
      <c r="A218" s="13" t="s">
        <v>1</v>
      </c>
      <c r="B218" s="13" t="s">
        <v>1285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331</v>
      </c>
      <c r="C219" s="13">
        <v>2</v>
      </c>
      <c r="D219" s="13">
        <v>1</v>
      </c>
      <c r="E219" s="13">
        <v>2</v>
      </c>
    </row>
    <row r="220" spans="1:5" x14ac:dyDescent="0.3">
      <c r="A220" s="13" t="s">
        <v>1</v>
      </c>
      <c r="B220" s="13" t="s">
        <v>700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196</v>
      </c>
      <c r="C221" s="13">
        <v>3</v>
      </c>
      <c r="D221" s="13">
        <v>1</v>
      </c>
      <c r="E221" s="13">
        <v>3</v>
      </c>
    </row>
    <row r="222" spans="1:5" x14ac:dyDescent="0.3">
      <c r="A222" s="13" t="s">
        <v>1</v>
      </c>
      <c r="B222" s="13" t="s">
        <v>631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632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46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2247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531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2248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533</v>
      </c>
      <c r="C228" s="13">
        <v>2</v>
      </c>
      <c r="D228" s="13">
        <v>1</v>
      </c>
      <c r="E228" s="13">
        <v>2</v>
      </c>
    </row>
    <row r="229" spans="1:5" x14ac:dyDescent="0.3">
      <c r="A229" s="13" t="s">
        <v>1</v>
      </c>
      <c r="B229" s="13" t="s">
        <v>663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2249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953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1275</v>
      </c>
      <c r="C232" s="13">
        <v>1</v>
      </c>
      <c r="D232" s="13">
        <v>1</v>
      </c>
      <c r="E232" s="13">
        <v>3</v>
      </c>
    </row>
    <row r="233" spans="1:5" x14ac:dyDescent="0.3">
      <c r="A233" s="13" t="s">
        <v>1</v>
      </c>
      <c r="B233" s="13" t="s">
        <v>63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709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2250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905</v>
      </c>
      <c r="C236" s="13">
        <v>2</v>
      </c>
      <c r="D236" s="13">
        <v>1</v>
      </c>
      <c r="E236" s="13">
        <v>2</v>
      </c>
    </row>
    <row r="237" spans="1:5" x14ac:dyDescent="0.3">
      <c r="A237" s="13" t="s">
        <v>1</v>
      </c>
      <c r="B237" s="13" t="s">
        <v>1951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182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2251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52</v>
      </c>
      <c r="C240" s="13">
        <v>2</v>
      </c>
      <c r="D240" s="13">
        <v>1</v>
      </c>
      <c r="E240" s="13">
        <v>3</v>
      </c>
    </row>
    <row r="241" spans="1:5" x14ac:dyDescent="0.3">
      <c r="A241" s="13" t="s">
        <v>1</v>
      </c>
      <c r="B241" s="13" t="s">
        <v>126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127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2252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714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482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483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64</v>
      </c>
      <c r="C247" s="13">
        <v>2</v>
      </c>
      <c r="D247" s="13">
        <v>1</v>
      </c>
      <c r="E247" s="13">
        <v>2</v>
      </c>
    </row>
    <row r="248" spans="1:5" x14ac:dyDescent="0.3">
      <c r="A248" s="13" t="s">
        <v>1</v>
      </c>
      <c r="B248" s="13" t="s">
        <v>295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716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1219</v>
      </c>
      <c r="C250" s="13">
        <v>2</v>
      </c>
      <c r="D250" s="13">
        <v>1</v>
      </c>
      <c r="E250" s="13">
        <v>2</v>
      </c>
    </row>
    <row r="251" spans="1:5" x14ac:dyDescent="0.3">
      <c r="A251" s="13" t="s">
        <v>1</v>
      </c>
      <c r="B251" s="13" t="s">
        <v>868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296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53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190</v>
      </c>
      <c r="C254" s="13">
        <v>2</v>
      </c>
      <c r="D254" s="13">
        <v>1</v>
      </c>
      <c r="E254" s="13">
        <v>2</v>
      </c>
    </row>
    <row r="255" spans="1:5" x14ac:dyDescent="0.3">
      <c r="A255" s="13" t="s">
        <v>1</v>
      </c>
      <c r="B255" s="13" t="s">
        <v>191</v>
      </c>
      <c r="C255" s="13">
        <v>6</v>
      </c>
      <c r="D255" s="13">
        <v>1</v>
      </c>
      <c r="E255" s="13">
        <v>14</v>
      </c>
    </row>
    <row r="256" spans="1:5" x14ac:dyDescent="0.3">
      <c r="A256" s="13" t="s">
        <v>1</v>
      </c>
      <c r="B256" s="13" t="s">
        <v>66</v>
      </c>
      <c r="C256" s="13">
        <v>1</v>
      </c>
      <c r="D256" s="13">
        <v>1</v>
      </c>
      <c r="E256" s="13">
        <v>2</v>
      </c>
    </row>
    <row r="257" spans="1:5" x14ac:dyDescent="0.3">
      <c r="A257" s="13" t="s">
        <v>1</v>
      </c>
      <c r="B257" s="13" t="s">
        <v>460</v>
      </c>
      <c r="C257" s="13">
        <v>1</v>
      </c>
      <c r="D257" s="13">
        <v>1</v>
      </c>
      <c r="E257" s="13">
        <v>2</v>
      </c>
    </row>
    <row r="258" spans="1:5" x14ac:dyDescent="0.3">
      <c r="A258" s="13" t="s">
        <v>1</v>
      </c>
      <c r="B258" s="13" t="s">
        <v>39</v>
      </c>
      <c r="C258" s="13">
        <v>7</v>
      </c>
      <c r="D258" s="13">
        <v>1</v>
      </c>
      <c r="E258" s="13">
        <v>10</v>
      </c>
    </row>
    <row r="259" spans="1:5" x14ac:dyDescent="0.3">
      <c r="A259" s="13" t="s">
        <v>1</v>
      </c>
      <c r="B259" s="13" t="s">
        <v>55</v>
      </c>
      <c r="C259" s="13">
        <v>4</v>
      </c>
      <c r="D259" s="13">
        <v>1</v>
      </c>
      <c r="E259" s="13">
        <v>6</v>
      </c>
    </row>
    <row r="260" spans="1:5" x14ac:dyDescent="0.3">
      <c r="A260" s="13" t="s">
        <v>1</v>
      </c>
      <c r="B260" s="13" t="s">
        <v>236</v>
      </c>
      <c r="C260" s="13">
        <v>2</v>
      </c>
      <c r="D260" s="13">
        <v>1</v>
      </c>
      <c r="E260" s="13">
        <v>2</v>
      </c>
    </row>
    <row r="261" spans="1:5" x14ac:dyDescent="0.3">
      <c r="A261" s="13" t="s">
        <v>1</v>
      </c>
      <c r="B261" s="13" t="s">
        <v>56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2253</v>
      </c>
      <c r="C262" s="13">
        <v>1</v>
      </c>
      <c r="D262" s="13">
        <v>1</v>
      </c>
      <c r="E262" s="13"/>
    </row>
    <row r="263" spans="1:5" x14ac:dyDescent="0.3">
      <c r="A263" s="13" t="s">
        <v>1</v>
      </c>
      <c r="B263" s="13" t="s">
        <v>1563</v>
      </c>
      <c r="C263" s="13">
        <v>1</v>
      </c>
      <c r="D263" s="13">
        <v>1</v>
      </c>
      <c r="E263" s="13"/>
    </row>
    <row r="264" spans="1:5" x14ac:dyDescent="0.3">
      <c r="A264" s="13" t="s">
        <v>1</v>
      </c>
      <c r="B264" s="13" t="s">
        <v>259</v>
      </c>
      <c r="C264" s="13">
        <v>1</v>
      </c>
      <c r="D264" s="13">
        <v>1</v>
      </c>
      <c r="E264" s="13">
        <v>2</v>
      </c>
    </row>
    <row r="265" spans="1:5" x14ac:dyDescent="0.3">
      <c r="A265" s="13" t="s">
        <v>1</v>
      </c>
      <c r="B265" s="13" t="s">
        <v>1279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2067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2254</v>
      </c>
      <c r="C267" s="13">
        <v>1</v>
      </c>
      <c r="D267" s="13">
        <v>1</v>
      </c>
      <c r="E267" s="13"/>
    </row>
    <row r="268" spans="1:5" x14ac:dyDescent="0.3">
      <c r="A268" s="13" t="s">
        <v>1</v>
      </c>
      <c r="B268" s="13" t="s">
        <v>2255</v>
      </c>
      <c r="C268" s="13">
        <v>1</v>
      </c>
      <c r="D268" s="13">
        <v>1</v>
      </c>
      <c r="E268" s="13"/>
    </row>
    <row r="269" spans="1:5" x14ac:dyDescent="0.3">
      <c r="A269" s="13" t="s">
        <v>1</v>
      </c>
      <c r="B269" s="13" t="s">
        <v>804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2256</v>
      </c>
      <c r="C270" s="13">
        <v>1</v>
      </c>
      <c r="D270" s="13">
        <v>1</v>
      </c>
      <c r="E270" s="13">
        <v>3</v>
      </c>
    </row>
    <row r="271" spans="1:5" x14ac:dyDescent="0.3">
      <c r="A271" s="13" t="s">
        <v>1</v>
      </c>
      <c r="B271" s="13" t="s">
        <v>2257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418</v>
      </c>
      <c r="C272" s="13">
        <v>1</v>
      </c>
      <c r="D272" s="13">
        <v>1</v>
      </c>
      <c r="E272" s="13"/>
    </row>
    <row r="273" spans="1:5" x14ac:dyDescent="0.3">
      <c r="A273" s="13" t="s">
        <v>0</v>
      </c>
      <c r="B273" s="13" t="s">
        <v>261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0</v>
      </c>
      <c r="B274" s="13" t="s">
        <v>373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0</v>
      </c>
      <c r="B275" s="13" t="s">
        <v>33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0</v>
      </c>
      <c r="B276" s="13" t="s">
        <v>48</v>
      </c>
      <c r="C276" s="13">
        <v>2</v>
      </c>
      <c r="D276" s="13">
        <v>1</v>
      </c>
      <c r="E276" s="13">
        <v>2</v>
      </c>
    </row>
    <row r="277" spans="1:5" x14ac:dyDescent="0.3">
      <c r="A277" s="13" t="s">
        <v>0</v>
      </c>
      <c r="B277" s="13" t="s">
        <v>203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0</v>
      </c>
      <c r="B278" s="13" t="s">
        <v>670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0</v>
      </c>
      <c r="B279" s="13" t="s">
        <v>591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0</v>
      </c>
      <c r="B280" s="13" t="s">
        <v>420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0</v>
      </c>
      <c r="B281" s="13" t="s">
        <v>75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0</v>
      </c>
      <c r="B282" s="13" t="s">
        <v>790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0</v>
      </c>
      <c r="B283" s="13" t="s">
        <v>206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0</v>
      </c>
      <c r="B284" s="13" t="s">
        <v>142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0</v>
      </c>
      <c r="B285" s="13" t="s">
        <v>474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0</v>
      </c>
      <c r="B286" s="13" t="s">
        <v>498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0</v>
      </c>
      <c r="B287" s="13" t="s">
        <v>207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0</v>
      </c>
      <c r="B288" s="13" t="s">
        <v>34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0</v>
      </c>
      <c r="B289" s="13" t="s">
        <v>463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0</v>
      </c>
      <c r="B290" s="13" t="s">
        <v>269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0</v>
      </c>
      <c r="B291" s="13" t="s">
        <v>796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0</v>
      </c>
      <c r="B292" s="13" t="s">
        <v>209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0</v>
      </c>
      <c r="B293" s="13" t="s">
        <v>81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0</v>
      </c>
      <c r="B294" s="13" t="s">
        <v>304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0</v>
      </c>
      <c r="B295" s="13" t="s">
        <v>144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0</v>
      </c>
      <c r="B296" s="13" t="s">
        <v>1383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0</v>
      </c>
      <c r="B297" s="13" t="s">
        <v>145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0</v>
      </c>
      <c r="B298" s="13" t="s">
        <v>147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0</v>
      </c>
      <c r="B299" s="13" t="s">
        <v>1503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0</v>
      </c>
      <c r="B300" s="13" t="s">
        <v>148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0</v>
      </c>
      <c r="B301" s="13" t="s">
        <v>212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0</v>
      </c>
      <c r="B302" s="13" t="s">
        <v>1211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0</v>
      </c>
      <c r="B303" s="13" t="s">
        <v>465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0</v>
      </c>
      <c r="B304" s="13" t="s">
        <v>215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0</v>
      </c>
      <c r="B305" s="13" t="s">
        <v>993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0</v>
      </c>
      <c r="B306" s="13" t="s">
        <v>150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0</v>
      </c>
      <c r="B307" s="13" t="s">
        <v>356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0</v>
      </c>
      <c r="B308" s="13" t="s">
        <v>1370</v>
      </c>
      <c r="C308" s="13">
        <v>1</v>
      </c>
      <c r="D308" s="13">
        <v>1</v>
      </c>
      <c r="E308" s="13">
        <v>2</v>
      </c>
    </row>
    <row r="309" spans="1:5" x14ac:dyDescent="0.3">
      <c r="A309" s="13" t="s">
        <v>0</v>
      </c>
      <c r="B309" s="13" t="s">
        <v>1483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0</v>
      </c>
      <c r="B310" s="13" t="s">
        <v>1631</v>
      </c>
      <c r="C310" s="13">
        <v>2</v>
      </c>
      <c r="D310" s="13">
        <v>1</v>
      </c>
      <c r="E310" s="13">
        <v>2</v>
      </c>
    </row>
    <row r="311" spans="1:5" x14ac:dyDescent="0.3">
      <c r="A311" s="13" t="s">
        <v>0</v>
      </c>
      <c r="B311" s="13" t="s">
        <v>1663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0</v>
      </c>
      <c r="B312" s="13" t="s">
        <v>1988</v>
      </c>
      <c r="C312" s="13">
        <v>4</v>
      </c>
      <c r="D312" s="13">
        <v>1</v>
      </c>
      <c r="E312" s="13">
        <v>4</v>
      </c>
    </row>
    <row r="313" spans="1:5" x14ac:dyDescent="0.3">
      <c r="A313" s="13" t="s">
        <v>0</v>
      </c>
      <c r="B313" s="13" t="s">
        <v>1989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0</v>
      </c>
      <c r="B314" s="13" t="s">
        <v>678</v>
      </c>
      <c r="C314" s="13">
        <v>1</v>
      </c>
      <c r="D314" s="13">
        <v>1</v>
      </c>
      <c r="E314" s="13">
        <v>2</v>
      </c>
    </row>
    <row r="315" spans="1:5" x14ac:dyDescent="0.3">
      <c r="A315" s="13" t="s">
        <v>0</v>
      </c>
      <c r="B315" s="13" t="s">
        <v>248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0</v>
      </c>
      <c r="B316" s="13" t="s">
        <v>476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0</v>
      </c>
      <c r="B317" s="13" t="s">
        <v>509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0</v>
      </c>
      <c r="B318" s="13" t="s">
        <v>1034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0</v>
      </c>
      <c r="B319" s="13" t="s">
        <v>1232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0</v>
      </c>
      <c r="B320" s="13" t="s">
        <v>392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0</v>
      </c>
      <c r="B321" s="13" t="s">
        <v>936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0</v>
      </c>
      <c r="B322" s="13" t="s">
        <v>937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0</v>
      </c>
      <c r="B323" s="13" t="s">
        <v>342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0</v>
      </c>
      <c r="B324" s="13" t="s">
        <v>732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0</v>
      </c>
      <c r="B325" s="13" t="s">
        <v>2258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0</v>
      </c>
      <c r="B326" s="13" t="s">
        <v>511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0</v>
      </c>
      <c r="B327" s="13" t="s">
        <v>822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0</v>
      </c>
      <c r="B328" s="13" t="s">
        <v>429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0</v>
      </c>
      <c r="B329" s="13" t="s">
        <v>565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0</v>
      </c>
      <c r="B330" s="13" t="s">
        <v>250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0</v>
      </c>
      <c r="B331" s="13" t="s">
        <v>195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0</v>
      </c>
      <c r="B332" s="13" t="s">
        <v>684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0</v>
      </c>
      <c r="B333" s="13" t="s">
        <v>109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0</v>
      </c>
      <c r="B334" s="13" t="s">
        <v>167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0</v>
      </c>
      <c r="B335" s="13" t="s">
        <v>168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0</v>
      </c>
      <c r="B336" s="13" t="s">
        <v>111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0</v>
      </c>
      <c r="B337" s="13" t="s">
        <v>51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0</v>
      </c>
      <c r="B338" s="13" t="s">
        <v>44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0</v>
      </c>
      <c r="B339" s="13" t="s">
        <v>314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0</v>
      </c>
      <c r="B340" s="13" t="s">
        <v>1234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0</v>
      </c>
      <c r="B341" s="13" t="s">
        <v>430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0</v>
      </c>
      <c r="B342" s="13" t="s">
        <v>1376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0</v>
      </c>
      <c r="B343" s="13" t="s">
        <v>686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0</v>
      </c>
      <c r="B344" s="13" t="s">
        <v>516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0</v>
      </c>
      <c r="B345" s="13" t="s">
        <v>113</v>
      </c>
      <c r="C345" s="13">
        <v>1</v>
      </c>
      <c r="D345" s="13">
        <v>1</v>
      </c>
      <c r="E345" s="13">
        <v>2</v>
      </c>
    </row>
    <row r="346" spans="1:5" x14ac:dyDescent="0.3">
      <c r="A346" s="13" t="s">
        <v>0</v>
      </c>
      <c r="B346" s="13" t="s">
        <v>2259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0</v>
      </c>
      <c r="B347" s="13" t="s">
        <v>571</v>
      </c>
      <c r="C347" s="13">
        <v>1</v>
      </c>
      <c r="D347" s="13">
        <v>1</v>
      </c>
      <c r="E347" s="13">
        <v>2</v>
      </c>
    </row>
    <row r="348" spans="1:5" x14ac:dyDescent="0.3">
      <c r="A348" s="13" t="s">
        <v>0</v>
      </c>
      <c r="B348" s="13" t="s">
        <v>737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0</v>
      </c>
      <c r="B349" s="13" t="s">
        <v>523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0</v>
      </c>
      <c r="B350" s="13" t="s">
        <v>1137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0</v>
      </c>
      <c r="B351" s="13" t="s">
        <v>401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0</v>
      </c>
      <c r="B352" s="13" t="s">
        <v>697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0</v>
      </c>
      <c r="B353" s="13" t="s">
        <v>2260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115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0</v>
      </c>
      <c r="B355" s="13" t="s">
        <v>2261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901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196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631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62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122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335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435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63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1879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124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467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537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339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126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2202</v>
      </c>
      <c r="C370" s="13">
        <v>1</v>
      </c>
      <c r="D370" s="13">
        <v>1</v>
      </c>
      <c r="E370" s="13">
        <v>2</v>
      </c>
    </row>
    <row r="371" spans="1:5" x14ac:dyDescent="0.3">
      <c r="A371" s="13" t="s">
        <v>0</v>
      </c>
      <c r="B371" s="13" t="s">
        <v>38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1381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1059</v>
      </c>
      <c r="C373" s="13">
        <v>1</v>
      </c>
      <c r="D373" s="13">
        <v>1</v>
      </c>
      <c r="E373" s="13">
        <v>5</v>
      </c>
    </row>
    <row r="374" spans="1:5" x14ac:dyDescent="0.3">
      <c r="A374" s="13" t="s">
        <v>0</v>
      </c>
      <c r="B374" s="13" t="s">
        <v>785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190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1206</v>
      </c>
      <c r="C376" s="13">
        <v>1</v>
      </c>
      <c r="D376" s="13">
        <v>1</v>
      </c>
      <c r="E376" s="13">
        <v>2</v>
      </c>
    </row>
    <row r="377" spans="1:5" x14ac:dyDescent="0.3">
      <c r="A377" s="13" t="s">
        <v>0</v>
      </c>
      <c r="B377" s="13" t="s">
        <v>235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1111</v>
      </c>
      <c r="C378" s="13">
        <v>1</v>
      </c>
      <c r="D378" s="13">
        <v>1</v>
      </c>
      <c r="E378" s="13">
        <v>2</v>
      </c>
    </row>
    <row r="379" spans="1:5" x14ac:dyDescent="0.3">
      <c r="A379" s="13" t="s">
        <v>0</v>
      </c>
      <c r="B379" s="13" t="s">
        <v>442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2262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1947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722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2263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2</v>
      </c>
      <c r="B384" s="13" t="s">
        <v>34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2</v>
      </c>
      <c r="B385" s="13" t="s">
        <v>83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2</v>
      </c>
      <c r="B386" s="13" t="s">
        <v>1723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2</v>
      </c>
      <c r="B387" s="13" t="s">
        <v>1186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2</v>
      </c>
      <c r="B388" s="13" t="s">
        <v>195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2</v>
      </c>
      <c r="B389" s="13" t="s">
        <v>31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1</v>
      </c>
      <c r="B390" s="13" t="s">
        <v>926</v>
      </c>
      <c r="C390" s="13">
        <v>1</v>
      </c>
      <c r="D390" s="13">
        <v>0</v>
      </c>
      <c r="E390" s="13">
        <v>1</v>
      </c>
    </row>
    <row r="391" spans="1:5" x14ac:dyDescent="0.3">
      <c r="A391" s="13" t="s">
        <v>1</v>
      </c>
      <c r="B391" s="13" t="s">
        <v>137</v>
      </c>
      <c r="C391" s="13">
        <v>1</v>
      </c>
      <c r="D391" s="13">
        <v>0</v>
      </c>
      <c r="E391" s="13">
        <v>1</v>
      </c>
    </row>
    <row r="392" spans="1:5" x14ac:dyDescent="0.3">
      <c r="A392" s="13" t="s">
        <v>1</v>
      </c>
      <c r="B392" s="13" t="s">
        <v>1487</v>
      </c>
      <c r="C392" s="13">
        <v>1</v>
      </c>
      <c r="D392" s="13">
        <v>0</v>
      </c>
      <c r="E392" s="13">
        <v>1</v>
      </c>
    </row>
    <row r="393" spans="1:5" x14ac:dyDescent="0.3">
      <c r="A393" s="13" t="s">
        <v>1</v>
      </c>
      <c r="B393" s="13" t="s">
        <v>443</v>
      </c>
      <c r="C393" s="13">
        <v>1</v>
      </c>
      <c r="D393" s="13">
        <v>0</v>
      </c>
      <c r="E393" s="13">
        <v>1</v>
      </c>
    </row>
    <row r="394" spans="1:5" x14ac:dyDescent="0.3">
      <c r="A394" s="13" t="s">
        <v>1</v>
      </c>
      <c r="B394" s="13" t="s">
        <v>2264</v>
      </c>
      <c r="C394" s="13">
        <v>1</v>
      </c>
      <c r="D394" s="13">
        <v>0</v>
      </c>
      <c r="E394" s="13">
        <v>1</v>
      </c>
    </row>
    <row r="395" spans="1:5" x14ac:dyDescent="0.3">
      <c r="A395" s="13" t="s">
        <v>1</v>
      </c>
      <c r="B395" s="13" t="s">
        <v>419</v>
      </c>
      <c r="C395" s="13">
        <v>1</v>
      </c>
      <c r="D395" s="13">
        <v>0</v>
      </c>
      <c r="E395" s="13">
        <v>1</v>
      </c>
    </row>
    <row r="396" spans="1:5" x14ac:dyDescent="0.3">
      <c r="A396" s="13" t="s">
        <v>1</v>
      </c>
      <c r="B396" s="13" t="s">
        <v>444</v>
      </c>
      <c r="C396" s="13">
        <v>1</v>
      </c>
      <c r="D396" s="13">
        <v>0</v>
      </c>
      <c r="E396" s="13">
        <v>0</v>
      </c>
    </row>
    <row r="397" spans="1:5" x14ac:dyDescent="0.3">
      <c r="A397" s="13" t="s">
        <v>1</v>
      </c>
      <c r="B397" s="13" t="s">
        <v>445</v>
      </c>
      <c r="C397" s="13">
        <v>1</v>
      </c>
      <c r="D397" s="13">
        <v>0</v>
      </c>
      <c r="E397" s="13">
        <v>1</v>
      </c>
    </row>
    <row r="398" spans="1:5" x14ac:dyDescent="0.3">
      <c r="A398" s="13" t="s">
        <v>1</v>
      </c>
      <c r="B398" s="13" t="s">
        <v>657</v>
      </c>
      <c r="C398" s="13">
        <v>1</v>
      </c>
      <c r="D398" s="13">
        <v>0</v>
      </c>
      <c r="E398" s="13">
        <v>1</v>
      </c>
    </row>
    <row r="399" spans="1:5" x14ac:dyDescent="0.3">
      <c r="A399" s="13" t="s">
        <v>1</v>
      </c>
      <c r="B399" s="13" t="s">
        <v>375</v>
      </c>
      <c r="C399" s="13">
        <v>1</v>
      </c>
      <c r="D399" s="13">
        <v>0</v>
      </c>
      <c r="E399" s="13">
        <v>1</v>
      </c>
    </row>
    <row r="400" spans="1:5" x14ac:dyDescent="0.3">
      <c r="A400" s="13" t="s">
        <v>1</v>
      </c>
      <c r="B400" s="13" t="s">
        <v>808</v>
      </c>
      <c r="C400" s="13">
        <v>1</v>
      </c>
      <c r="D400" s="13">
        <v>0</v>
      </c>
      <c r="E400" s="13">
        <v>1</v>
      </c>
    </row>
    <row r="401" spans="1:5" x14ac:dyDescent="0.3">
      <c r="A401" s="13" t="s">
        <v>1</v>
      </c>
      <c r="B401" s="13" t="s">
        <v>591</v>
      </c>
      <c r="C401" s="13">
        <v>1</v>
      </c>
      <c r="D401" s="13">
        <v>0</v>
      </c>
      <c r="E401" s="13">
        <v>2</v>
      </c>
    </row>
    <row r="402" spans="1:5" x14ac:dyDescent="0.3">
      <c r="A402" s="13" t="s">
        <v>1</v>
      </c>
      <c r="B402" s="13" t="s">
        <v>592</v>
      </c>
      <c r="C402" s="13">
        <v>1</v>
      </c>
      <c r="D402" s="13">
        <v>0</v>
      </c>
      <c r="E402" s="13">
        <v>1</v>
      </c>
    </row>
    <row r="403" spans="1:5" x14ac:dyDescent="0.3">
      <c r="A403" s="13" t="s">
        <v>1</v>
      </c>
      <c r="B403" s="13" t="s">
        <v>205</v>
      </c>
      <c r="C403" s="13">
        <v>1</v>
      </c>
      <c r="D403" s="13">
        <v>0</v>
      </c>
      <c r="E403" s="13">
        <v>1</v>
      </c>
    </row>
    <row r="404" spans="1:5" x14ac:dyDescent="0.3">
      <c r="A404" s="13" t="s">
        <v>1</v>
      </c>
      <c r="B404" s="13" t="s">
        <v>420</v>
      </c>
      <c r="C404" s="13">
        <v>1</v>
      </c>
      <c r="D404" s="13">
        <v>0</v>
      </c>
      <c r="E404" s="13">
        <v>1</v>
      </c>
    </row>
    <row r="405" spans="1:5" x14ac:dyDescent="0.3">
      <c r="A405" s="13" t="s">
        <v>1</v>
      </c>
      <c r="B405" s="13" t="s">
        <v>1334</v>
      </c>
      <c r="C405" s="13">
        <v>1</v>
      </c>
      <c r="D405" s="13">
        <v>0</v>
      </c>
      <c r="E405" s="13">
        <v>0</v>
      </c>
    </row>
    <row r="406" spans="1:5" x14ac:dyDescent="0.3">
      <c r="A406" s="13" t="s">
        <v>1</v>
      </c>
      <c r="B406" s="13" t="s">
        <v>75</v>
      </c>
      <c r="C406" s="13">
        <v>1</v>
      </c>
      <c r="D406" s="13">
        <v>0</v>
      </c>
      <c r="E406" s="13">
        <v>1</v>
      </c>
    </row>
    <row r="407" spans="1:5" x14ac:dyDescent="0.3">
      <c r="A407" s="13" t="s">
        <v>1</v>
      </c>
      <c r="B407" s="13" t="s">
        <v>556</v>
      </c>
      <c r="C407" s="13">
        <v>1</v>
      </c>
      <c r="D407" s="13">
        <v>0</v>
      </c>
      <c r="E407" s="13">
        <v>1</v>
      </c>
    </row>
    <row r="408" spans="1:5" x14ac:dyDescent="0.3">
      <c r="A408" s="13" t="s">
        <v>1</v>
      </c>
      <c r="B408" s="13" t="s">
        <v>143</v>
      </c>
      <c r="C408" s="13">
        <v>1</v>
      </c>
      <c r="D408" s="13">
        <v>0</v>
      </c>
      <c r="E408" s="13">
        <v>1</v>
      </c>
    </row>
    <row r="409" spans="1:5" x14ac:dyDescent="0.3">
      <c r="A409" s="13" t="s">
        <v>1</v>
      </c>
      <c r="B409" s="13" t="s">
        <v>348</v>
      </c>
      <c r="C409" s="13">
        <v>1</v>
      </c>
      <c r="D409" s="13">
        <v>0</v>
      </c>
      <c r="E409" s="13">
        <v>1</v>
      </c>
    </row>
    <row r="410" spans="1:5" x14ac:dyDescent="0.3">
      <c r="A410" s="13" t="s">
        <v>1</v>
      </c>
      <c r="B410" s="13" t="s">
        <v>384</v>
      </c>
      <c r="C410" s="13">
        <v>1</v>
      </c>
      <c r="D410" s="13">
        <v>0</v>
      </c>
      <c r="E410" s="13">
        <v>1</v>
      </c>
    </row>
    <row r="411" spans="1:5" x14ac:dyDescent="0.3">
      <c r="A411" s="13" t="s">
        <v>1</v>
      </c>
      <c r="B411" s="13" t="s">
        <v>855</v>
      </c>
      <c r="C411" s="13">
        <v>1</v>
      </c>
      <c r="D411" s="13">
        <v>0</v>
      </c>
      <c r="E411" s="13">
        <v>0</v>
      </c>
    </row>
    <row r="412" spans="1:5" x14ac:dyDescent="0.3">
      <c r="A412" s="13" t="s">
        <v>1</v>
      </c>
      <c r="B412" s="13" t="s">
        <v>209</v>
      </c>
      <c r="C412" s="13">
        <v>1</v>
      </c>
      <c r="D412" s="13">
        <v>0</v>
      </c>
      <c r="E412" s="13">
        <v>1</v>
      </c>
    </row>
    <row r="413" spans="1:5" x14ac:dyDescent="0.3">
      <c r="A413" s="13" t="s">
        <v>1</v>
      </c>
      <c r="B413" s="13" t="s">
        <v>304</v>
      </c>
      <c r="C413" s="13">
        <v>1</v>
      </c>
      <c r="D413" s="13">
        <v>0</v>
      </c>
      <c r="E413" s="13">
        <v>1</v>
      </c>
    </row>
    <row r="414" spans="1:5" x14ac:dyDescent="0.3">
      <c r="A414" s="13" t="s">
        <v>1</v>
      </c>
      <c r="B414" s="13" t="s">
        <v>501</v>
      </c>
      <c r="C414" s="13">
        <v>1</v>
      </c>
      <c r="D414" s="13">
        <v>0</v>
      </c>
      <c r="E414" s="13">
        <v>1</v>
      </c>
    </row>
    <row r="415" spans="1:5" x14ac:dyDescent="0.3">
      <c r="A415" s="13" t="s">
        <v>1</v>
      </c>
      <c r="B415" s="13" t="s">
        <v>270</v>
      </c>
      <c r="C415" s="13">
        <v>1</v>
      </c>
      <c r="D415" s="13">
        <v>0</v>
      </c>
      <c r="E415" s="13">
        <v>1</v>
      </c>
    </row>
    <row r="416" spans="1:5" x14ac:dyDescent="0.3">
      <c r="A416" s="13" t="s">
        <v>1</v>
      </c>
      <c r="B416" s="13" t="s">
        <v>1382</v>
      </c>
      <c r="C416" s="13">
        <v>1</v>
      </c>
      <c r="D416" s="13">
        <v>0</v>
      </c>
      <c r="E416" s="13">
        <v>0</v>
      </c>
    </row>
    <row r="417" spans="1:5" x14ac:dyDescent="0.3">
      <c r="A417" s="13" t="s">
        <v>1</v>
      </c>
      <c r="B417" s="13" t="s">
        <v>349</v>
      </c>
      <c r="C417" s="13">
        <v>2</v>
      </c>
      <c r="D417" s="13">
        <v>0</v>
      </c>
      <c r="E417" s="13">
        <v>2</v>
      </c>
    </row>
    <row r="418" spans="1:5" x14ac:dyDescent="0.3">
      <c r="A418" s="13" t="s">
        <v>1</v>
      </c>
      <c r="B418" s="13" t="s">
        <v>1019</v>
      </c>
      <c r="C418" s="13">
        <v>1</v>
      </c>
      <c r="D418" s="13">
        <v>0</v>
      </c>
      <c r="E418" s="13">
        <v>0</v>
      </c>
    </row>
    <row r="419" spans="1:5" x14ac:dyDescent="0.3">
      <c r="A419" s="13" t="s">
        <v>1</v>
      </c>
      <c r="B419" s="13" t="s">
        <v>882</v>
      </c>
      <c r="C419" s="13">
        <v>1</v>
      </c>
      <c r="D419" s="13">
        <v>0</v>
      </c>
      <c r="E419" s="13">
        <v>1</v>
      </c>
    </row>
    <row r="420" spans="1:5" x14ac:dyDescent="0.3">
      <c r="A420" s="13" t="s">
        <v>1</v>
      </c>
      <c r="B420" s="13" t="s">
        <v>1384</v>
      </c>
      <c r="C420" s="13">
        <v>1</v>
      </c>
      <c r="D420" s="13">
        <v>0</v>
      </c>
      <c r="E420" s="13">
        <v>1</v>
      </c>
    </row>
    <row r="421" spans="1:5" x14ac:dyDescent="0.3">
      <c r="A421" s="13" t="s">
        <v>1</v>
      </c>
      <c r="B421" s="13" t="s">
        <v>884</v>
      </c>
      <c r="C421" s="13">
        <v>1</v>
      </c>
      <c r="D421" s="13">
        <v>0</v>
      </c>
      <c r="E421" s="13">
        <v>0</v>
      </c>
    </row>
    <row r="422" spans="1:5" x14ac:dyDescent="0.3">
      <c r="A422" s="13" t="s">
        <v>1</v>
      </c>
      <c r="B422" s="13" t="s">
        <v>603</v>
      </c>
      <c r="C422" s="13">
        <v>1</v>
      </c>
      <c r="D422" s="13">
        <v>0</v>
      </c>
      <c r="E422" s="13">
        <v>1</v>
      </c>
    </row>
    <row r="423" spans="1:5" x14ac:dyDescent="0.3">
      <c r="A423" s="13" t="s">
        <v>1</v>
      </c>
      <c r="B423" s="13" t="s">
        <v>88</v>
      </c>
      <c r="C423" s="13">
        <v>1</v>
      </c>
      <c r="D423" s="13">
        <v>0</v>
      </c>
      <c r="E423" s="13">
        <v>0</v>
      </c>
    </row>
    <row r="424" spans="1:5" x14ac:dyDescent="0.3">
      <c r="A424" s="13" t="s">
        <v>1</v>
      </c>
      <c r="B424" s="13" t="s">
        <v>244</v>
      </c>
      <c r="C424" s="13">
        <v>1</v>
      </c>
      <c r="D424" s="13">
        <v>0</v>
      </c>
      <c r="E424" s="13">
        <v>1</v>
      </c>
    </row>
    <row r="425" spans="1:5" x14ac:dyDescent="0.3">
      <c r="A425" s="13" t="s">
        <v>1</v>
      </c>
      <c r="B425" s="13" t="s">
        <v>993</v>
      </c>
      <c r="C425" s="13">
        <v>1</v>
      </c>
      <c r="D425" s="13">
        <v>0</v>
      </c>
      <c r="E425" s="13">
        <v>1</v>
      </c>
    </row>
    <row r="426" spans="1:5" x14ac:dyDescent="0.3">
      <c r="A426" s="13" t="s">
        <v>1</v>
      </c>
      <c r="B426" s="13" t="s">
        <v>218</v>
      </c>
      <c r="C426" s="13">
        <v>1</v>
      </c>
      <c r="D426" s="13">
        <v>0</v>
      </c>
      <c r="E426" s="13">
        <v>2</v>
      </c>
    </row>
    <row r="427" spans="1:5" x14ac:dyDescent="0.3">
      <c r="A427" s="13" t="s">
        <v>1</v>
      </c>
      <c r="B427" s="13" t="s">
        <v>888</v>
      </c>
      <c r="C427" s="13">
        <v>3</v>
      </c>
      <c r="D427" s="13">
        <v>0</v>
      </c>
      <c r="E427" s="13">
        <v>5</v>
      </c>
    </row>
    <row r="428" spans="1:5" x14ac:dyDescent="0.3">
      <c r="A428" s="13" t="s">
        <v>1</v>
      </c>
      <c r="B428" s="13" t="s">
        <v>1621</v>
      </c>
      <c r="C428" s="13">
        <v>1</v>
      </c>
      <c r="D428" s="13">
        <v>0</v>
      </c>
      <c r="E428" s="13">
        <v>1</v>
      </c>
    </row>
    <row r="429" spans="1:5" x14ac:dyDescent="0.3">
      <c r="A429" s="13" t="s">
        <v>1</v>
      </c>
      <c r="B429" s="13" t="s">
        <v>1651</v>
      </c>
      <c r="C429" s="13">
        <v>1</v>
      </c>
      <c r="D429" s="13">
        <v>0</v>
      </c>
      <c r="E429" s="13">
        <v>1</v>
      </c>
    </row>
    <row r="430" spans="1:5" x14ac:dyDescent="0.3">
      <c r="A430" s="13" t="s">
        <v>1</v>
      </c>
      <c r="B430" s="13" t="s">
        <v>1884</v>
      </c>
      <c r="C430" s="13">
        <v>2</v>
      </c>
      <c r="D430" s="13">
        <v>0</v>
      </c>
      <c r="E430" s="13">
        <v>2</v>
      </c>
    </row>
    <row r="431" spans="1:5" x14ac:dyDescent="0.3">
      <c r="A431" s="13" t="s">
        <v>1</v>
      </c>
      <c r="B431" s="13" t="s">
        <v>2149</v>
      </c>
      <c r="C431" s="13">
        <v>2</v>
      </c>
      <c r="D431" s="13">
        <v>0</v>
      </c>
      <c r="E431" s="13">
        <v>2</v>
      </c>
    </row>
    <row r="432" spans="1:5" x14ac:dyDescent="0.3">
      <c r="A432" s="13" t="s">
        <v>1</v>
      </c>
      <c r="B432" s="13" t="s">
        <v>2148</v>
      </c>
      <c r="C432" s="13">
        <v>3</v>
      </c>
      <c r="D432" s="13">
        <v>0</v>
      </c>
      <c r="E432" s="13">
        <v>5</v>
      </c>
    </row>
    <row r="433" spans="1:5" x14ac:dyDescent="0.3">
      <c r="A433" s="13" t="s">
        <v>1</v>
      </c>
      <c r="B433" s="13" t="s">
        <v>2162</v>
      </c>
      <c r="C433" s="13">
        <v>7</v>
      </c>
      <c r="D433" s="13">
        <v>0</v>
      </c>
      <c r="E433" s="13">
        <v>7</v>
      </c>
    </row>
    <row r="434" spans="1:5" x14ac:dyDescent="0.3">
      <c r="A434" s="13" t="s">
        <v>1</v>
      </c>
      <c r="B434" s="13" t="s">
        <v>2179</v>
      </c>
      <c r="C434" s="13">
        <v>1</v>
      </c>
      <c r="D434" s="13">
        <v>0</v>
      </c>
      <c r="E434" s="13">
        <v>1</v>
      </c>
    </row>
    <row r="435" spans="1:5" x14ac:dyDescent="0.3">
      <c r="A435" s="13" t="s">
        <v>1</v>
      </c>
      <c r="B435" s="13" t="s">
        <v>2229</v>
      </c>
      <c r="C435" s="13">
        <v>1</v>
      </c>
      <c r="D435" s="13">
        <v>0</v>
      </c>
      <c r="E435" s="13">
        <v>1</v>
      </c>
    </row>
    <row r="436" spans="1:5" x14ac:dyDescent="0.3">
      <c r="A436" s="13" t="s">
        <v>1</v>
      </c>
      <c r="B436" s="13" t="s">
        <v>248</v>
      </c>
      <c r="C436" s="13">
        <v>3</v>
      </c>
      <c r="D436" s="13">
        <v>0</v>
      </c>
      <c r="E436" s="13">
        <v>5</v>
      </c>
    </row>
    <row r="437" spans="1:5" x14ac:dyDescent="0.3">
      <c r="A437" s="13" t="s">
        <v>1</v>
      </c>
      <c r="B437" s="13" t="s">
        <v>221</v>
      </c>
      <c r="C437" s="13">
        <v>1</v>
      </c>
      <c r="D437" s="13">
        <v>0</v>
      </c>
      <c r="E437" s="13">
        <v>0</v>
      </c>
    </row>
    <row r="438" spans="1:5" x14ac:dyDescent="0.3">
      <c r="A438" s="13" t="s">
        <v>1</v>
      </c>
      <c r="B438" s="13" t="s">
        <v>101</v>
      </c>
      <c r="C438" s="13">
        <v>1</v>
      </c>
      <c r="D438" s="13">
        <v>0</v>
      </c>
      <c r="E438" s="13">
        <v>1</v>
      </c>
    </row>
    <row r="439" spans="1:5" x14ac:dyDescent="0.3">
      <c r="A439" s="13" t="s">
        <v>1</v>
      </c>
      <c r="B439" s="13" t="s">
        <v>1556</v>
      </c>
      <c r="C439" s="13">
        <v>1</v>
      </c>
      <c r="D439" s="13">
        <v>0</v>
      </c>
      <c r="E439" s="13">
        <v>1</v>
      </c>
    </row>
    <row r="440" spans="1:5" x14ac:dyDescent="0.3">
      <c r="A440" s="13" t="s">
        <v>1</v>
      </c>
      <c r="B440" s="13" t="s">
        <v>2240</v>
      </c>
      <c r="C440" s="13">
        <v>1</v>
      </c>
      <c r="D440" s="13">
        <v>0</v>
      </c>
      <c r="E440" s="13">
        <v>1</v>
      </c>
    </row>
    <row r="441" spans="1:5" x14ac:dyDescent="0.3">
      <c r="A441" s="13" t="s">
        <v>1</v>
      </c>
      <c r="B441" s="13" t="s">
        <v>1817</v>
      </c>
      <c r="C441" s="13">
        <v>1</v>
      </c>
      <c r="D441" s="13">
        <v>0</v>
      </c>
      <c r="E441" s="13">
        <v>0</v>
      </c>
    </row>
    <row r="442" spans="1:5" x14ac:dyDescent="0.3">
      <c r="A442" s="13" t="s">
        <v>1</v>
      </c>
      <c r="B442" s="13" t="s">
        <v>276</v>
      </c>
      <c r="C442" s="13">
        <v>1</v>
      </c>
      <c r="D442" s="13">
        <v>0</v>
      </c>
      <c r="E442" s="13">
        <v>0</v>
      </c>
    </row>
    <row r="443" spans="1:5" x14ac:dyDescent="0.3">
      <c r="A443" s="13" t="s">
        <v>1</v>
      </c>
      <c r="B443" s="13" t="s">
        <v>395</v>
      </c>
      <c r="C443" s="13">
        <v>1</v>
      </c>
      <c r="D443" s="13">
        <v>0</v>
      </c>
      <c r="E443" s="13">
        <v>0</v>
      </c>
    </row>
    <row r="444" spans="1:5" x14ac:dyDescent="0.3">
      <c r="A444" s="13" t="s">
        <v>1</v>
      </c>
      <c r="B444" s="13" t="s">
        <v>1257</v>
      </c>
      <c r="C444" s="13">
        <v>1</v>
      </c>
      <c r="D444" s="13">
        <v>0</v>
      </c>
      <c r="E444" s="13">
        <v>0</v>
      </c>
    </row>
    <row r="445" spans="1:5" x14ac:dyDescent="0.3">
      <c r="A445" s="13" t="s">
        <v>1</v>
      </c>
      <c r="B445" s="13" t="s">
        <v>2265</v>
      </c>
      <c r="C445" s="13">
        <v>1</v>
      </c>
      <c r="D445" s="13">
        <v>0</v>
      </c>
      <c r="E445" s="13">
        <v>1</v>
      </c>
    </row>
    <row r="446" spans="1:5" x14ac:dyDescent="0.3">
      <c r="A446" s="13" t="s">
        <v>1</v>
      </c>
      <c r="B446" s="13" t="s">
        <v>1330</v>
      </c>
      <c r="C446" s="13">
        <v>1</v>
      </c>
      <c r="D446" s="13">
        <v>0</v>
      </c>
      <c r="E446" s="13">
        <v>1</v>
      </c>
    </row>
    <row r="447" spans="1:5" x14ac:dyDescent="0.3">
      <c r="A447" s="13" t="s">
        <v>1</v>
      </c>
      <c r="B447" s="13" t="s">
        <v>2266</v>
      </c>
      <c r="C447" s="13">
        <v>1</v>
      </c>
      <c r="D447" s="13">
        <v>0</v>
      </c>
      <c r="E447" s="13">
        <v>1</v>
      </c>
    </row>
    <row r="448" spans="1:5" x14ac:dyDescent="0.3">
      <c r="A448" s="13" t="s">
        <v>1</v>
      </c>
      <c r="B448" s="13" t="s">
        <v>1335</v>
      </c>
      <c r="C448" s="13">
        <v>1</v>
      </c>
      <c r="D448" s="13">
        <v>0</v>
      </c>
      <c r="E448" s="13">
        <v>1</v>
      </c>
    </row>
    <row r="449" spans="1:5" x14ac:dyDescent="0.3">
      <c r="A449" s="13" t="s">
        <v>1</v>
      </c>
      <c r="B449" s="13" t="s">
        <v>316</v>
      </c>
      <c r="C449" s="13">
        <v>1</v>
      </c>
      <c r="D449" s="13">
        <v>0</v>
      </c>
      <c r="E449" s="13">
        <v>1</v>
      </c>
    </row>
    <row r="450" spans="1:5" x14ac:dyDescent="0.3">
      <c r="A450" s="13" t="s">
        <v>1</v>
      </c>
      <c r="B450" s="13" t="s">
        <v>1585</v>
      </c>
      <c r="C450" s="13">
        <v>2</v>
      </c>
      <c r="D450" s="13">
        <v>0</v>
      </c>
      <c r="E450" s="13">
        <v>2</v>
      </c>
    </row>
    <row r="451" spans="1:5" x14ac:dyDescent="0.3">
      <c r="A451" s="13" t="s">
        <v>1</v>
      </c>
      <c r="B451" s="13" t="s">
        <v>832</v>
      </c>
      <c r="C451" s="13">
        <v>3</v>
      </c>
      <c r="D451" s="13">
        <v>0</v>
      </c>
      <c r="E451" s="13">
        <v>3</v>
      </c>
    </row>
    <row r="452" spans="1:5" x14ac:dyDescent="0.3">
      <c r="A452" s="13" t="s">
        <v>1</v>
      </c>
      <c r="B452" s="13" t="s">
        <v>2267</v>
      </c>
      <c r="C452" s="13">
        <v>1</v>
      </c>
      <c r="D452" s="13">
        <v>0</v>
      </c>
      <c r="E452" s="13">
        <v>1</v>
      </c>
    </row>
    <row r="453" spans="1:5" x14ac:dyDescent="0.3">
      <c r="A453" s="13" t="s">
        <v>1</v>
      </c>
      <c r="B453" s="13" t="s">
        <v>1008</v>
      </c>
      <c r="C453" s="13">
        <v>1</v>
      </c>
      <c r="D453" s="13">
        <v>0</v>
      </c>
      <c r="E453" s="13">
        <v>2</v>
      </c>
    </row>
    <row r="454" spans="1:5" x14ac:dyDescent="0.3">
      <c r="A454" s="13" t="s">
        <v>1</v>
      </c>
      <c r="B454" s="13" t="s">
        <v>528</v>
      </c>
      <c r="C454" s="13">
        <v>1</v>
      </c>
      <c r="D454" s="13">
        <v>0</v>
      </c>
      <c r="E454" s="13">
        <v>1</v>
      </c>
    </row>
    <row r="455" spans="1:5" x14ac:dyDescent="0.3">
      <c r="A455" s="13" t="s">
        <v>1</v>
      </c>
      <c r="B455" s="13" t="s">
        <v>121</v>
      </c>
      <c r="C455" s="13">
        <v>1</v>
      </c>
      <c r="D455" s="13">
        <v>0</v>
      </c>
      <c r="E455" s="13">
        <v>1</v>
      </c>
    </row>
    <row r="456" spans="1:5" x14ac:dyDescent="0.3">
      <c r="A456" s="13" t="s">
        <v>1</v>
      </c>
      <c r="B456" s="13" t="s">
        <v>1042</v>
      </c>
      <c r="C456" s="13">
        <v>1</v>
      </c>
      <c r="D456" s="13">
        <v>0</v>
      </c>
      <c r="E456" s="13">
        <v>1</v>
      </c>
    </row>
    <row r="457" spans="1:5" x14ac:dyDescent="0.3">
      <c r="A457" s="13" t="s">
        <v>1</v>
      </c>
      <c r="B457" s="13" t="s">
        <v>410</v>
      </c>
      <c r="C457" s="13">
        <v>1</v>
      </c>
      <c r="D457" s="13">
        <v>0</v>
      </c>
      <c r="E457" s="13">
        <v>1</v>
      </c>
    </row>
    <row r="458" spans="1:5" x14ac:dyDescent="0.3">
      <c r="A458" s="13" t="s">
        <v>1</v>
      </c>
      <c r="B458" s="13" t="s">
        <v>1511</v>
      </c>
      <c r="C458" s="13">
        <v>1</v>
      </c>
      <c r="D458" s="13">
        <v>0</v>
      </c>
      <c r="E458" s="13">
        <v>1</v>
      </c>
    </row>
    <row r="459" spans="1:5" x14ac:dyDescent="0.3">
      <c r="A459" s="13" t="s">
        <v>1</v>
      </c>
      <c r="B459" s="13" t="s">
        <v>124</v>
      </c>
      <c r="C459" s="13">
        <v>1</v>
      </c>
      <c r="D459" s="13">
        <v>0</v>
      </c>
      <c r="E459" s="13">
        <v>0</v>
      </c>
    </row>
    <row r="460" spans="1:5" x14ac:dyDescent="0.3">
      <c r="A460" s="13" t="s">
        <v>1</v>
      </c>
      <c r="B460" s="13" t="s">
        <v>2231</v>
      </c>
      <c r="C460" s="13">
        <v>1</v>
      </c>
      <c r="D460" s="13">
        <v>0</v>
      </c>
      <c r="E460" s="13">
        <v>1</v>
      </c>
    </row>
    <row r="461" spans="1:5" x14ac:dyDescent="0.3">
      <c r="A461" s="13" t="s">
        <v>1</v>
      </c>
      <c r="B461" s="13" t="s">
        <v>2045</v>
      </c>
      <c r="C461" s="13">
        <v>1</v>
      </c>
      <c r="D461" s="13">
        <v>0</v>
      </c>
      <c r="E461" s="13">
        <v>1</v>
      </c>
    </row>
    <row r="462" spans="1:5" x14ac:dyDescent="0.3">
      <c r="A462" s="13" t="s">
        <v>1</v>
      </c>
      <c r="B462" s="13" t="s">
        <v>457</v>
      </c>
      <c r="C462" s="13">
        <v>1</v>
      </c>
      <c r="D462" s="13">
        <v>0</v>
      </c>
      <c r="E462" s="13">
        <v>1</v>
      </c>
    </row>
    <row r="463" spans="1:5" x14ac:dyDescent="0.3">
      <c r="A463" s="13" t="s">
        <v>1</v>
      </c>
      <c r="B463" s="13" t="s">
        <v>416</v>
      </c>
      <c r="C463" s="13">
        <v>1</v>
      </c>
      <c r="D463" s="13">
        <v>0</v>
      </c>
      <c r="E463" s="13">
        <v>0</v>
      </c>
    </row>
    <row r="464" spans="1:5" x14ac:dyDescent="0.3">
      <c r="A464" s="13" t="s">
        <v>1</v>
      </c>
      <c r="B464" s="13" t="s">
        <v>484</v>
      </c>
      <c r="C464" s="13">
        <v>1</v>
      </c>
      <c r="D464" s="13">
        <v>0</v>
      </c>
      <c r="E464" s="13">
        <v>1</v>
      </c>
    </row>
    <row r="465" spans="1:5" x14ac:dyDescent="0.3">
      <c r="A465" s="13" t="s">
        <v>1</v>
      </c>
      <c r="B465" s="13" t="s">
        <v>1050</v>
      </c>
      <c r="C465" s="13">
        <v>1</v>
      </c>
      <c r="D465" s="13">
        <v>0</v>
      </c>
      <c r="E465" s="13">
        <v>0</v>
      </c>
    </row>
    <row r="466" spans="1:5" x14ac:dyDescent="0.3">
      <c r="A466" s="13" t="s">
        <v>1</v>
      </c>
      <c r="B466" s="13" t="s">
        <v>231</v>
      </c>
      <c r="C466" s="13">
        <v>7</v>
      </c>
      <c r="D466" s="13">
        <v>0</v>
      </c>
      <c r="E466" s="13">
        <v>9</v>
      </c>
    </row>
    <row r="467" spans="1:5" x14ac:dyDescent="0.3">
      <c r="A467" s="13" t="s">
        <v>1</v>
      </c>
      <c r="B467" s="13" t="s">
        <v>370</v>
      </c>
      <c r="C467" s="13">
        <v>1</v>
      </c>
      <c r="D467" s="13">
        <v>0</v>
      </c>
      <c r="E467" s="13">
        <v>1</v>
      </c>
    </row>
    <row r="468" spans="1:5" x14ac:dyDescent="0.3">
      <c r="A468" s="13" t="s">
        <v>1</v>
      </c>
      <c r="B468" s="13" t="s">
        <v>232</v>
      </c>
      <c r="C468" s="13">
        <v>1</v>
      </c>
      <c r="D468" s="13">
        <v>0</v>
      </c>
      <c r="E468" s="13">
        <v>1</v>
      </c>
    </row>
    <row r="469" spans="1:5" x14ac:dyDescent="0.3">
      <c r="A469" s="13" t="s">
        <v>1</v>
      </c>
      <c r="B469" s="13" t="s">
        <v>67</v>
      </c>
      <c r="C469" s="13">
        <v>2</v>
      </c>
      <c r="D469" s="13">
        <v>0</v>
      </c>
      <c r="E469" s="13">
        <v>4</v>
      </c>
    </row>
    <row r="470" spans="1:5" x14ac:dyDescent="0.3">
      <c r="A470" s="13" t="s">
        <v>1</v>
      </c>
      <c r="B470" s="13" t="s">
        <v>192</v>
      </c>
      <c r="C470" s="13">
        <v>11</v>
      </c>
      <c r="D470" s="13">
        <v>0</v>
      </c>
      <c r="E470" s="13">
        <v>13</v>
      </c>
    </row>
    <row r="471" spans="1:5" x14ac:dyDescent="0.3">
      <c r="A471" s="13" t="s">
        <v>1</v>
      </c>
      <c r="B471" s="13" t="s">
        <v>54</v>
      </c>
      <c r="C471" s="13">
        <v>6</v>
      </c>
      <c r="D471" s="13">
        <v>0</v>
      </c>
      <c r="E471" s="13">
        <v>11</v>
      </c>
    </row>
    <row r="472" spans="1:5" x14ac:dyDescent="0.3">
      <c r="A472" s="13" t="s">
        <v>1</v>
      </c>
      <c r="B472" s="13" t="s">
        <v>234</v>
      </c>
      <c r="C472" s="13">
        <v>2</v>
      </c>
      <c r="D472" s="13">
        <v>0</v>
      </c>
      <c r="E472" s="13">
        <v>1</v>
      </c>
    </row>
    <row r="473" spans="1:5" x14ac:dyDescent="0.3">
      <c r="A473" s="13" t="s">
        <v>1</v>
      </c>
      <c r="B473" s="13" t="s">
        <v>1605</v>
      </c>
      <c r="C473" s="13">
        <v>1</v>
      </c>
      <c r="D473" s="13">
        <v>0</v>
      </c>
      <c r="E473" s="13">
        <v>1</v>
      </c>
    </row>
    <row r="474" spans="1:5" x14ac:dyDescent="0.3">
      <c r="A474" s="13" t="s">
        <v>1</v>
      </c>
      <c r="B474" s="13" t="s">
        <v>235</v>
      </c>
      <c r="C474" s="13">
        <v>3</v>
      </c>
      <c r="D474" s="13">
        <v>0</v>
      </c>
      <c r="E474" s="13">
        <v>3</v>
      </c>
    </row>
    <row r="475" spans="1:5" x14ac:dyDescent="0.3">
      <c r="A475" s="13" t="s">
        <v>1</v>
      </c>
      <c r="B475" s="13" t="s">
        <v>640</v>
      </c>
      <c r="C475" s="13">
        <v>3</v>
      </c>
      <c r="D475" s="13">
        <v>0</v>
      </c>
      <c r="E475" s="13">
        <v>3</v>
      </c>
    </row>
    <row r="476" spans="1:5" x14ac:dyDescent="0.3">
      <c r="A476" s="13" t="s">
        <v>1</v>
      </c>
      <c r="B476" s="13" t="s">
        <v>371</v>
      </c>
      <c r="C476" s="13">
        <v>2</v>
      </c>
      <c r="D476" s="13">
        <v>0</v>
      </c>
      <c r="E476" s="13">
        <v>4</v>
      </c>
    </row>
    <row r="477" spans="1:5" x14ac:dyDescent="0.3">
      <c r="A477" s="13" t="s">
        <v>1</v>
      </c>
      <c r="B477" s="13" t="s">
        <v>366</v>
      </c>
      <c r="C477" s="13">
        <v>1</v>
      </c>
      <c r="D477" s="13">
        <v>0</v>
      </c>
      <c r="E477" s="13">
        <v>1</v>
      </c>
    </row>
    <row r="478" spans="1:5" x14ac:dyDescent="0.3">
      <c r="A478" s="13" t="s">
        <v>1</v>
      </c>
      <c r="B478" s="13" t="s">
        <v>461</v>
      </c>
      <c r="C478" s="13">
        <v>1</v>
      </c>
      <c r="D478" s="13">
        <v>0</v>
      </c>
      <c r="E478" s="13">
        <v>1</v>
      </c>
    </row>
    <row r="479" spans="1:5" x14ac:dyDescent="0.3">
      <c r="A479" s="13" t="s">
        <v>1</v>
      </c>
      <c r="B479" s="13" t="s">
        <v>1051</v>
      </c>
      <c r="C479" s="13">
        <v>1</v>
      </c>
      <c r="D479" s="13">
        <v>0</v>
      </c>
      <c r="E479" s="13">
        <v>3</v>
      </c>
    </row>
    <row r="480" spans="1:5" x14ac:dyDescent="0.3">
      <c r="A480" s="13" t="s">
        <v>1</v>
      </c>
      <c r="B480" s="13" t="s">
        <v>1589</v>
      </c>
      <c r="C480" s="13">
        <v>1</v>
      </c>
      <c r="D480" s="13">
        <v>0</v>
      </c>
      <c r="E480" s="13">
        <v>2</v>
      </c>
    </row>
    <row r="481" spans="1:5" x14ac:dyDescent="0.3">
      <c r="A481" s="13" t="s">
        <v>1</v>
      </c>
      <c r="B481" s="13" t="s">
        <v>2268</v>
      </c>
      <c r="C481" s="13">
        <v>0</v>
      </c>
      <c r="D481" s="13">
        <v>3</v>
      </c>
      <c r="E481" s="13"/>
    </row>
    <row r="482" spans="1:5" x14ac:dyDescent="0.3">
      <c r="A482" s="13" t="s">
        <v>1</v>
      </c>
      <c r="B482" s="13" t="s">
        <v>1822</v>
      </c>
      <c r="C482" s="13">
        <v>0</v>
      </c>
      <c r="D482" s="13">
        <v>1</v>
      </c>
      <c r="E482" s="13"/>
    </row>
    <row r="483" spans="1:5" x14ac:dyDescent="0.3">
      <c r="A483" s="13" t="s">
        <v>1</v>
      </c>
      <c r="B483" s="13" t="s">
        <v>1623</v>
      </c>
      <c r="C483" s="13">
        <v>0</v>
      </c>
      <c r="D483" s="13">
        <v>1</v>
      </c>
      <c r="E483" s="13"/>
    </row>
    <row r="484" spans="1:5" x14ac:dyDescent="0.3">
      <c r="A484" s="13" t="s">
        <v>1</v>
      </c>
      <c r="B484" s="13" t="s">
        <v>641</v>
      </c>
      <c r="C484" s="13">
        <v>0</v>
      </c>
      <c r="D484" s="13">
        <v>1</v>
      </c>
      <c r="E484" s="13"/>
    </row>
    <row r="485" spans="1:5" x14ac:dyDescent="0.3">
      <c r="A485" s="13" t="s">
        <v>1</v>
      </c>
      <c r="B485" s="13" t="s">
        <v>2269</v>
      </c>
      <c r="C485" s="13">
        <v>0</v>
      </c>
      <c r="D485" s="13">
        <v>1</v>
      </c>
      <c r="E485" s="13"/>
    </row>
    <row r="486" spans="1:5" x14ac:dyDescent="0.3">
      <c r="A486" s="13" t="s">
        <v>1</v>
      </c>
      <c r="B486" s="13" t="s">
        <v>1360</v>
      </c>
      <c r="C486" s="13">
        <v>1</v>
      </c>
      <c r="D486" s="13">
        <v>0</v>
      </c>
      <c r="E486" s="13">
        <v>2</v>
      </c>
    </row>
    <row r="487" spans="1:5" x14ac:dyDescent="0.3">
      <c r="A487" s="13" t="s">
        <v>1</v>
      </c>
      <c r="B487" s="13" t="s">
        <v>1955</v>
      </c>
      <c r="C487" s="13">
        <v>1</v>
      </c>
      <c r="D487" s="13">
        <v>0</v>
      </c>
      <c r="E487" s="13">
        <v>1</v>
      </c>
    </row>
    <row r="488" spans="1:5" x14ac:dyDescent="0.3">
      <c r="A488" s="13" t="s">
        <v>1</v>
      </c>
      <c r="B488" s="13" t="s">
        <v>1394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2023</v>
      </c>
      <c r="C489" s="13">
        <v>1</v>
      </c>
      <c r="D489" s="13">
        <v>0</v>
      </c>
      <c r="E489" s="13">
        <v>1</v>
      </c>
    </row>
    <row r="490" spans="1:5" x14ac:dyDescent="0.3">
      <c r="A490" s="13" t="s">
        <v>1</v>
      </c>
      <c r="B490" s="13" t="s">
        <v>2270</v>
      </c>
      <c r="C490" s="13">
        <v>0</v>
      </c>
      <c r="D490" s="13">
        <v>2</v>
      </c>
      <c r="E490" s="13"/>
    </row>
    <row r="491" spans="1:5" x14ac:dyDescent="0.3">
      <c r="A491" s="13" t="s">
        <v>1</v>
      </c>
      <c r="B491" s="13" t="s">
        <v>873</v>
      </c>
      <c r="C491" s="13">
        <v>0</v>
      </c>
      <c r="D491" s="13">
        <v>1</v>
      </c>
      <c r="E491" s="13"/>
    </row>
    <row r="492" spans="1:5" x14ac:dyDescent="0.3">
      <c r="A492" s="13" t="s">
        <v>1</v>
      </c>
      <c r="B492" s="13" t="s">
        <v>2271</v>
      </c>
      <c r="C492" s="13">
        <v>1</v>
      </c>
      <c r="D492" s="13">
        <v>0</v>
      </c>
      <c r="E492" s="13">
        <v>1</v>
      </c>
    </row>
    <row r="493" spans="1:5" x14ac:dyDescent="0.3">
      <c r="A493" s="13" t="s">
        <v>1</v>
      </c>
      <c r="B493" s="13" t="s">
        <v>68</v>
      </c>
      <c r="C493" s="13">
        <v>2</v>
      </c>
      <c r="D493" s="13">
        <v>0</v>
      </c>
      <c r="E493" s="13">
        <v>2</v>
      </c>
    </row>
    <row r="494" spans="1:5" x14ac:dyDescent="0.3">
      <c r="A494" s="13" t="s">
        <v>1</v>
      </c>
      <c r="B494" s="13" t="s">
        <v>644</v>
      </c>
      <c r="C494" s="13">
        <v>2</v>
      </c>
      <c r="D494" s="13">
        <v>0</v>
      </c>
      <c r="E494" s="13">
        <v>2</v>
      </c>
    </row>
    <row r="495" spans="1:5" x14ac:dyDescent="0.3">
      <c r="A495" s="13" t="s">
        <v>0</v>
      </c>
      <c r="B495" s="13" t="s">
        <v>263</v>
      </c>
      <c r="C495" s="13">
        <v>1</v>
      </c>
      <c r="D495" s="13">
        <v>0</v>
      </c>
      <c r="E495" s="13">
        <v>3</v>
      </c>
    </row>
    <row r="496" spans="1:5" x14ac:dyDescent="0.3">
      <c r="A496" s="13" t="s">
        <v>0</v>
      </c>
      <c r="B496" s="13" t="s">
        <v>77</v>
      </c>
      <c r="C496" s="13">
        <v>1</v>
      </c>
      <c r="D496" s="13">
        <v>0</v>
      </c>
      <c r="E496" s="13">
        <v>1</v>
      </c>
    </row>
    <row r="497" spans="1:5" x14ac:dyDescent="0.3">
      <c r="A497" s="13" t="s">
        <v>0</v>
      </c>
      <c r="B497" s="13" t="s">
        <v>83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0</v>
      </c>
      <c r="B498" s="13" t="s">
        <v>351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0</v>
      </c>
      <c r="B499" s="13" t="s">
        <v>818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0</v>
      </c>
      <c r="B500" s="13" t="s">
        <v>449</v>
      </c>
      <c r="C500" s="13">
        <v>1</v>
      </c>
      <c r="D500" s="13">
        <v>0</v>
      </c>
      <c r="E500" s="13">
        <v>1</v>
      </c>
    </row>
    <row r="501" spans="1:5" x14ac:dyDescent="0.3">
      <c r="A501" s="13" t="s">
        <v>0</v>
      </c>
      <c r="B501" s="13" t="s">
        <v>152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0</v>
      </c>
      <c r="B502" s="13" t="s">
        <v>1601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0</v>
      </c>
      <c r="B503" s="13" t="s">
        <v>1849</v>
      </c>
      <c r="C503" s="13">
        <v>1</v>
      </c>
      <c r="D503" s="13">
        <v>0</v>
      </c>
      <c r="E503" s="13">
        <v>1</v>
      </c>
    </row>
    <row r="504" spans="1:5" x14ac:dyDescent="0.3">
      <c r="A504" s="13" t="s">
        <v>0</v>
      </c>
      <c r="B504" s="13" t="s">
        <v>1990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0</v>
      </c>
      <c r="B505" s="13" t="s">
        <v>1969</v>
      </c>
      <c r="C505" s="13">
        <v>1</v>
      </c>
      <c r="D505" s="13">
        <v>0</v>
      </c>
      <c r="E505" s="13">
        <v>1</v>
      </c>
    </row>
    <row r="506" spans="1:5" x14ac:dyDescent="0.3">
      <c r="A506" s="13" t="s">
        <v>0</v>
      </c>
      <c r="B506" s="13" t="s">
        <v>2069</v>
      </c>
      <c r="C506" s="13">
        <v>2</v>
      </c>
      <c r="D506" s="13">
        <v>0</v>
      </c>
      <c r="E506" s="13">
        <v>2</v>
      </c>
    </row>
    <row r="507" spans="1:5" x14ac:dyDescent="0.3">
      <c r="A507" s="13" t="s">
        <v>0</v>
      </c>
      <c r="B507" s="13" t="s">
        <v>2149</v>
      </c>
      <c r="C507" s="13">
        <v>2</v>
      </c>
      <c r="D507" s="13">
        <v>0</v>
      </c>
      <c r="E507" s="13">
        <v>2</v>
      </c>
    </row>
    <row r="508" spans="1:5" x14ac:dyDescent="0.3">
      <c r="A508" s="13" t="s">
        <v>0</v>
      </c>
      <c r="B508" s="13" t="s">
        <v>2156</v>
      </c>
      <c r="C508" s="13">
        <v>1</v>
      </c>
      <c r="D508" s="13">
        <v>0</v>
      </c>
      <c r="E508" s="13">
        <v>2</v>
      </c>
    </row>
    <row r="509" spans="1:5" x14ac:dyDescent="0.3">
      <c r="A509" s="13" t="s">
        <v>0</v>
      </c>
      <c r="B509" s="13" t="s">
        <v>2164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0</v>
      </c>
      <c r="B510" s="13" t="s">
        <v>2272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0</v>
      </c>
      <c r="B511" s="13" t="s">
        <v>2220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0</v>
      </c>
      <c r="B512" s="13" t="s">
        <v>428</v>
      </c>
      <c r="C512" s="13">
        <v>1</v>
      </c>
      <c r="D512" s="13">
        <v>0</v>
      </c>
      <c r="E512" s="13">
        <v>1</v>
      </c>
    </row>
    <row r="513" spans="1:5" x14ac:dyDescent="0.3">
      <c r="A513" s="13" t="s">
        <v>0</v>
      </c>
      <c r="B513" s="13" t="s">
        <v>101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0</v>
      </c>
      <c r="B514" s="13" t="s">
        <v>161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0</v>
      </c>
      <c r="B515" s="13" t="s">
        <v>393</v>
      </c>
      <c r="C515" s="13">
        <v>1</v>
      </c>
      <c r="D515" s="13">
        <v>0</v>
      </c>
      <c r="E515" s="13">
        <v>3</v>
      </c>
    </row>
    <row r="516" spans="1:5" x14ac:dyDescent="0.3">
      <c r="A516" s="13" t="s">
        <v>0</v>
      </c>
      <c r="B516" s="13" t="s">
        <v>2273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0</v>
      </c>
      <c r="B517" s="13" t="s">
        <v>579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0</v>
      </c>
      <c r="B518" s="13" t="s">
        <v>223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0</v>
      </c>
      <c r="B519" s="13" t="s">
        <v>1502</v>
      </c>
      <c r="C519" s="13">
        <v>1</v>
      </c>
      <c r="D519" s="13">
        <v>0</v>
      </c>
      <c r="E519" s="13">
        <v>1</v>
      </c>
    </row>
    <row r="520" spans="1:5" x14ac:dyDescent="0.3">
      <c r="A520" s="13" t="s">
        <v>0</v>
      </c>
      <c r="B520" s="13" t="s">
        <v>782</v>
      </c>
      <c r="C520" s="13">
        <v>1</v>
      </c>
      <c r="D520" s="13">
        <v>0</v>
      </c>
      <c r="E520" s="13">
        <v>1</v>
      </c>
    </row>
    <row r="521" spans="1:5" x14ac:dyDescent="0.3">
      <c r="A521" s="13" t="s">
        <v>0</v>
      </c>
      <c r="B521" s="13" t="s">
        <v>230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0</v>
      </c>
      <c r="B522" s="13" t="s">
        <v>192</v>
      </c>
      <c r="C522" s="13">
        <v>4</v>
      </c>
      <c r="D522" s="13">
        <v>0</v>
      </c>
      <c r="E522" s="13">
        <v>7</v>
      </c>
    </row>
    <row r="523" spans="1:5" x14ac:dyDescent="0.3">
      <c r="A523" s="13" t="s">
        <v>0</v>
      </c>
      <c r="B523" s="13" t="s">
        <v>54</v>
      </c>
      <c r="C523" s="13">
        <v>2</v>
      </c>
      <c r="D523" s="13">
        <v>0</v>
      </c>
      <c r="E523" s="13">
        <v>2</v>
      </c>
    </row>
    <row r="524" spans="1:5" x14ac:dyDescent="0.3">
      <c r="A524" s="13" t="s">
        <v>0</v>
      </c>
      <c r="B524" s="13" t="s">
        <v>639</v>
      </c>
      <c r="C524" s="13">
        <v>1</v>
      </c>
      <c r="D524" s="13">
        <v>0</v>
      </c>
      <c r="E524" s="13">
        <v>3</v>
      </c>
    </row>
    <row r="525" spans="1:5" x14ac:dyDescent="0.3">
      <c r="A525" s="13" t="s">
        <v>0</v>
      </c>
      <c r="B525" s="13" t="s">
        <v>55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0</v>
      </c>
      <c r="B526" s="13" t="s">
        <v>236</v>
      </c>
      <c r="C526" s="13">
        <v>1</v>
      </c>
      <c r="D526" s="13">
        <v>0</v>
      </c>
      <c r="E526" s="13">
        <v>3</v>
      </c>
    </row>
    <row r="527" spans="1:5" x14ac:dyDescent="0.3">
      <c r="A527" s="13" t="s">
        <v>0</v>
      </c>
      <c r="B527" s="13" t="s">
        <v>640</v>
      </c>
      <c r="C527" s="13">
        <v>1</v>
      </c>
      <c r="D527" s="13">
        <v>0</v>
      </c>
      <c r="E527" s="13">
        <v>2</v>
      </c>
    </row>
    <row r="528" spans="1:5" x14ac:dyDescent="0.3">
      <c r="A528" s="13" t="s">
        <v>0</v>
      </c>
      <c r="B528" s="13" t="s">
        <v>371</v>
      </c>
      <c r="C528" s="13">
        <v>2</v>
      </c>
      <c r="D528" s="13">
        <v>0</v>
      </c>
      <c r="E528" s="13">
        <v>2</v>
      </c>
    </row>
    <row r="529" spans="1:5" x14ac:dyDescent="0.3">
      <c r="A529" s="13" t="s">
        <v>0</v>
      </c>
      <c r="B529" s="13" t="s">
        <v>2274</v>
      </c>
      <c r="C529" s="13">
        <v>1</v>
      </c>
      <c r="D529" s="13">
        <v>0</v>
      </c>
      <c r="E529" s="13">
        <v>2</v>
      </c>
    </row>
    <row r="530" spans="1:5" x14ac:dyDescent="0.3">
      <c r="A530" s="13" t="s">
        <v>0</v>
      </c>
      <c r="B530" s="13" t="s">
        <v>1470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0</v>
      </c>
      <c r="B531" s="13" t="s">
        <v>32</v>
      </c>
      <c r="C531" s="13">
        <v>1</v>
      </c>
      <c r="D531" s="13">
        <v>0</v>
      </c>
      <c r="E531" s="13">
        <v>3</v>
      </c>
    </row>
    <row r="532" spans="1:5" x14ac:dyDescent="0.3">
      <c r="A532" s="13" t="s">
        <v>2</v>
      </c>
      <c r="B532" s="13" t="s">
        <v>41</v>
      </c>
      <c r="C532" s="13">
        <v>1</v>
      </c>
      <c r="D532" s="13">
        <v>0</v>
      </c>
      <c r="E532" s="13">
        <v>2</v>
      </c>
    </row>
    <row r="533" spans="1:5" x14ac:dyDescent="0.3">
      <c r="A533" s="13" t="s">
        <v>2</v>
      </c>
      <c r="B533" s="13" t="s">
        <v>2148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2</v>
      </c>
      <c r="B534" s="13" t="s">
        <v>2203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2</v>
      </c>
      <c r="B535" s="13" t="s">
        <v>39</v>
      </c>
      <c r="C535" s="13">
        <v>1</v>
      </c>
      <c r="D535" s="13">
        <v>0</v>
      </c>
      <c r="E535" s="13">
        <v>2</v>
      </c>
    </row>
    <row r="536" spans="1:5" x14ac:dyDescent="0.3">
      <c r="A536" s="13" t="s">
        <v>2</v>
      </c>
      <c r="B536" s="13" t="s">
        <v>32</v>
      </c>
      <c r="C536" s="13">
        <v>1</v>
      </c>
      <c r="D536" s="13">
        <v>0</v>
      </c>
      <c r="E536" s="13">
        <v>3</v>
      </c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12B9-53FA-430B-8330-F905F8349F57}">
  <sheetPr codeName="Sheet34"/>
  <dimension ref="A1:M620"/>
  <sheetViews>
    <sheetView workbookViewId="0">
      <selection activeCell="A2" sqref="A2:E299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48</v>
      </c>
      <c r="D2" s="13">
        <v>48</v>
      </c>
      <c r="E2" s="13">
        <v>48</v>
      </c>
    </row>
    <row r="3" spans="1:13" customFormat="1" x14ac:dyDescent="0.3">
      <c r="A3" s="13" t="s">
        <v>0</v>
      </c>
      <c r="B3" s="13" t="s">
        <v>37</v>
      </c>
      <c r="C3" s="13">
        <v>24</v>
      </c>
      <c r="D3" s="13">
        <v>23</v>
      </c>
      <c r="E3" s="13">
        <v>27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29</v>
      </c>
      <c r="C4" s="13">
        <v>21</v>
      </c>
      <c r="D4" s="13">
        <v>20</v>
      </c>
      <c r="E4" s="13">
        <v>22</v>
      </c>
      <c r="G4" s="19" t="s">
        <v>8</v>
      </c>
      <c r="H4" s="15">
        <f>H13+H14</f>
        <v>276</v>
      </c>
      <c r="I4" s="16">
        <f>H4/H$6</f>
        <v>0.49819494584837543</v>
      </c>
      <c r="J4" s="15">
        <f>I13+I14</f>
        <v>195</v>
      </c>
      <c r="K4" s="16">
        <f>J4/J$6</f>
        <v>0.45034642032332561</v>
      </c>
      <c r="L4" s="15">
        <f>J13+J14</f>
        <v>298</v>
      </c>
      <c r="M4" s="25">
        <f>L4/L$6</f>
        <v>0.49666666666666665</v>
      </c>
    </row>
    <row r="5" spans="1:13" customFormat="1" x14ac:dyDescent="0.3">
      <c r="A5" s="13" t="s">
        <v>0</v>
      </c>
      <c r="B5" s="13" t="s">
        <v>31</v>
      </c>
      <c r="C5" s="13">
        <v>10</v>
      </c>
      <c r="D5" s="13">
        <v>10</v>
      </c>
      <c r="E5" s="13">
        <v>13</v>
      </c>
      <c r="G5" s="19" t="s">
        <v>10</v>
      </c>
      <c r="H5" s="15">
        <f>H15+H16</f>
        <v>278</v>
      </c>
      <c r="I5" s="16">
        <f>H5/H$6</f>
        <v>0.50180505415162457</v>
      </c>
      <c r="J5" s="15">
        <f>I15+I16</f>
        <v>238</v>
      </c>
      <c r="K5" s="16">
        <f>J5/J$6</f>
        <v>0.54965357967667439</v>
      </c>
      <c r="L5" s="15">
        <f>J15+J16</f>
        <v>302</v>
      </c>
      <c r="M5" s="25">
        <f>L5/L$6</f>
        <v>0.5033333333333333</v>
      </c>
    </row>
    <row r="6" spans="1:13" customFormat="1" ht="17.25" thickBot="1" x14ac:dyDescent="0.35">
      <c r="A6" s="13" t="s">
        <v>1</v>
      </c>
      <c r="B6" s="13" t="s">
        <v>30</v>
      </c>
      <c r="C6" s="13">
        <v>13</v>
      </c>
      <c r="D6" s="13">
        <v>9</v>
      </c>
      <c r="E6" s="13">
        <v>13</v>
      </c>
      <c r="G6" s="22"/>
      <c r="H6" s="26">
        <f>SUM(H4:H5)</f>
        <v>554</v>
      </c>
      <c r="I6" s="27">
        <f>I4+I5</f>
        <v>1</v>
      </c>
      <c r="J6" s="26">
        <f>SUM(J4:J5)</f>
        <v>433</v>
      </c>
      <c r="K6" s="27">
        <f>K4+K5</f>
        <v>1</v>
      </c>
      <c r="L6" s="26">
        <f>SUM(L4:L5)</f>
        <v>600</v>
      </c>
      <c r="M6" s="28">
        <f>M4+M5</f>
        <v>1</v>
      </c>
    </row>
    <row r="7" spans="1:13" customFormat="1" x14ac:dyDescent="0.3">
      <c r="A7" s="13" t="s">
        <v>0</v>
      </c>
      <c r="B7" s="13" t="s">
        <v>354</v>
      </c>
      <c r="C7" s="13">
        <v>8</v>
      </c>
      <c r="D7" s="13">
        <v>8</v>
      </c>
      <c r="E7" s="13">
        <v>8</v>
      </c>
    </row>
    <row r="8" spans="1:13" customFormat="1" x14ac:dyDescent="0.3">
      <c r="A8" s="13" t="s">
        <v>0</v>
      </c>
      <c r="B8" s="13" t="s">
        <v>120</v>
      </c>
      <c r="C8" s="13">
        <v>8</v>
      </c>
      <c r="D8" s="13">
        <v>8</v>
      </c>
      <c r="E8" s="13">
        <v>9</v>
      </c>
    </row>
    <row r="9" spans="1:13" customFormat="1" x14ac:dyDescent="0.3">
      <c r="A9" s="13" t="s">
        <v>1</v>
      </c>
      <c r="B9" s="13" t="s">
        <v>354</v>
      </c>
      <c r="C9" s="13">
        <v>9</v>
      </c>
      <c r="D9" s="13">
        <v>7</v>
      </c>
      <c r="E9" s="13">
        <v>9</v>
      </c>
    </row>
    <row r="10" spans="1:13" customFormat="1" ht="17.25" thickBot="1" x14ac:dyDescent="0.35">
      <c r="A10" s="13" t="s">
        <v>1</v>
      </c>
      <c r="B10" s="13" t="s">
        <v>120</v>
      </c>
      <c r="C10" s="13">
        <v>8</v>
      </c>
      <c r="D10" s="13">
        <v>7</v>
      </c>
      <c r="E10" s="13">
        <v>8</v>
      </c>
    </row>
    <row r="11" spans="1:13" x14ac:dyDescent="0.3">
      <c r="A11" s="13" t="s">
        <v>1</v>
      </c>
      <c r="B11" s="13" t="s">
        <v>37</v>
      </c>
      <c r="C11" s="13">
        <v>7</v>
      </c>
      <c r="D11" s="13">
        <v>7</v>
      </c>
      <c r="E11" s="13">
        <v>7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1741</v>
      </c>
      <c r="C12" s="13">
        <v>7</v>
      </c>
      <c r="D12" s="13">
        <v>7</v>
      </c>
      <c r="E12" s="13">
        <v>7</v>
      </c>
      <c r="G12" s="19"/>
      <c r="H12" s="17">
        <f t="shared" ref="H12:J12" si="0">SUM(H13:H16)</f>
        <v>554</v>
      </c>
      <c r="I12" s="17">
        <f t="shared" si="0"/>
        <v>433</v>
      </c>
      <c r="J12" s="20">
        <f t="shared" si="0"/>
        <v>600</v>
      </c>
    </row>
    <row r="13" spans="1:13" x14ac:dyDescent="0.3">
      <c r="A13" s="13" t="s">
        <v>1</v>
      </c>
      <c r="B13" s="13" t="s">
        <v>29</v>
      </c>
      <c r="C13" s="13">
        <v>6</v>
      </c>
      <c r="D13" s="13">
        <v>6</v>
      </c>
      <c r="E13" s="13">
        <v>6</v>
      </c>
      <c r="G13" s="19" t="s">
        <v>7</v>
      </c>
      <c r="H13" s="18">
        <f t="shared" ref="H13:J16" si="1">SUMIF($A$2:$A$9999,$G13,C$2:C$9999)</f>
        <v>276</v>
      </c>
      <c r="I13" s="18">
        <f t="shared" si="1"/>
        <v>195</v>
      </c>
      <c r="J13" s="21">
        <f t="shared" si="1"/>
        <v>298</v>
      </c>
    </row>
    <row r="14" spans="1:13" x14ac:dyDescent="0.3">
      <c r="A14" s="13" t="s">
        <v>0</v>
      </c>
      <c r="B14" s="13" t="s">
        <v>30</v>
      </c>
      <c r="C14" s="13">
        <v>8</v>
      </c>
      <c r="D14" s="13">
        <v>5</v>
      </c>
      <c r="E14" s="13">
        <v>11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0</v>
      </c>
      <c r="B15" s="13" t="s">
        <v>47</v>
      </c>
      <c r="C15" s="13">
        <v>5</v>
      </c>
      <c r="D15" s="13">
        <v>5</v>
      </c>
      <c r="E15" s="13">
        <v>5</v>
      </c>
      <c r="G15" s="19" t="s">
        <v>11</v>
      </c>
      <c r="H15" s="18">
        <f t="shared" si="1"/>
        <v>269</v>
      </c>
      <c r="I15" s="18">
        <f t="shared" si="1"/>
        <v>231</v>
      </c>
      <c r="J15" s="21">
        <f t="shared" si="1"/>
        <v>292</v>
      </c>
    </row>
    <row r="16" spans="1:13" ht="17.25" thickBot="1" x14ac:dyDescent="0.35">
      <c r="A16" s="13" t="s">
        <v>0</v>
      </c>
      <c r="B16" s="13" t="s">
        <v>121</v>
      </c>
      <c r="C16" s="13">
        <v>5</v>
      </c>
      <c r="D16" s="13">
        <v>5</v>
      </c>
      <c r="E16" s="13">
        <v>5</v>
      </c>
      <c r="G16" s="22" t="s">
        <v>12</v>
      </c>
      <c r="H16" s="23">
        <f t="shared" si="1"/>
        <v>9</v>
      </c>
      <c r="I16" s="23">
        <f t="shared" si="1"/>
        <v>7</v>
      </c>
      <c r="J16" s="24">
        <f t="shared" si="1"/>
        <v>10</v>
      </c>
    </row>
    <row r="17" spans="1:5" x14ac:dyDescent="0.3">
      <c r="A17" s="13" t="s">
        <v>1</v>
      </c>
      <c r="B17" s="13" t="s">
        <v>48</v>
      </c>
      <c r="C17" s="13">
        <v>4</v>
      </c>
      <c r="D17" s="13">
        <v>4</v>
      </c>
      <c r="E17" s="13">
        <v>4</v>
      </c>
    </row>
    <row r="18" spans="1:5" x14ac:dyDescent="0.3">
      <c r="A18" s="13" t="s">
        <v>1</v>
      </c>
      <c r="B18" s="13" t="s">
        <v>145</v>
      </c>
      <c r="C18" s="13">
        <v>4</v>
      </c>
      <c r="D18" s="13">
        <v>4</v>
      </c>
      <c r="E18" s="13">
        <v>4</v>
      </c>
    </row>
    <row r="19" spans="1:5" x14ac:dyDescent="0.3">
      <c r="A19" s="13" t="s">
        <v>1</v>
      </c>
      <c r="B19" s="13" t="s">
        <v>61</v>
      </c>
      <c r="C19" s="13">
        <v>4</v>
      </c>
      <c r="D19" s="13">
        <v>4</v>
      </c>
      <c r="E19" s="13">
        <v>6</v>
      </c>
    </row>
    <row r="20" spans="1:5" x14ac:dyDescent="0.3">
      <c r="A20" s="13" t="s">
        <v>1</v>
      </c>
      <c r="B20" s="13" t="s">
        <v>32</v>
      </c>
      <c r="C20" s="13">
        <v>5</v>
      </c>
      <c r="D20" s="13">
        <v>4</v>
      </c>
      <c r="E20" s="13">
        <v>8</v>
      </c>
    </row>
    <row r="21" spans="1:5" x14ac:dyDescent="0.3">
      <c r="A21" s="13" t="s">
        <v>0</v>
      </c>
      <c r="B21" s="13" t="s">
        <v>61</v>
      </c>
      <c r="C21" s="13">
        <v>4</v>
      </c>
      <c r="D21" s="13">
        <v>4</v>
      </c>
      <c r="E21" s="13">
        <v>4</v>
      </c>
    </row>
    <row r="22" spans="1:5" x14ac:dyDescent="0.3">
      <c r="A22" s="13" t="s">
        <v>0</v>
      </c>
      <c r="B22" s="13" t="s">
        <v>2203</v>
      </c>
      <c r="C22" s="13">
        <v>6</v>
      </c>
      <c r="D22" s="13">
        <v>4</v>
      </c>
      <c r="E22" s="13">
        <v>6</v>
      </c>
    </row>
    <row r="23" spans="1:5" x14ac:dyDescent="0.3">
      <c r="A23" s="13" t="s">
        <v>1</v>
      </c>
      <c r="B23" s="13" t="s">
        <v>1948</v>
      </c>
      <c r="C23" s="13">
        <v>6</v>
      </c>
      <c r="D23" s="13">
        <v>3</v>
      </c>
      <c r="E23" s="13">
        <v>6</v>
      </c>
    </row>
    <row r="24" spans="1:5" x14ac:dyDescent="0.3">
      <c r="A24" s="13" t="s">
        <v>1</v>
      </c>
      <c r="B24" s="13" t="s">
        <v>51</v>
      </c>
      <c r="C24" s="13">
        <v>4</v>
      </c>
      <c r="D24" s="13">
        <v>3</v>
      </c>
      <c r="E24" s="13">
        <v>4</v>
      </c>
    </row>
    <row r="25" spans="1:5" x14ac:dyDescent="0.3">
      <c r="A25" s="13" t="s">
        <v>0</v>
      </c>
      <c r="B25" s="13" t="s">
        <v>203</v>
      </c>
      <c r="C25" s="13">
        <v>3</v>
      </c>
      <c r="D25" s="13">
        <v>3</v>
      </c>
      <c r="E25" s="13">
        <v>3</v>
      </c>
    </row>
    <row r="26" spans="1:5" x14ac:dyDescent="0.3">
      <c r="A26" s="13" t="s">
        <v>0</v>
      </c>
      <c r="B26" s="13" t="s">
        <v>474</v>
      </c>
      <c r="C26" s="13">
        <v>3</v>
      </c>
      <c r="D26" s="13">
        <v>3</v>
      </c>
      <c r="E26" s="13">
        <v>3</v>
      </c>
    </row>
    <row r="27" spans="1:5" x14ac:dyDescent="0.3">
      <c r="A27" s="13" t="s">
        <v>0</v>
      </c>
      <c r="B27" s="13" t="s">
        <v>60</v>
      </c>
      <c r="C27" s="13">
        <v>3</v>
      </c>
      <c r="D27" s="13">
        <v>3</v>
      </c>
      <c r="E27" s="13">
        <v>3</v>
      </c>
    </row>
    <row r="28" spans="1:5" x14ac:dyDescent="0.3">
      <c r="A28" s="13" t="s">
        <v>0</v>
      </c>
      <c r="B28" s="13" t="s">
        <v>507</v>
      </c>
      <c r="C28" s="13">
        <v>3</v>
      </c>
      <c r="D28" s="13">
        <v>3</v>
      </c>
      <c r="E28" s="13">
        <v>3</v>
      </c>
    </row>
    <row r="29" spans="1:5" x14ac:dyDescent="0.3">
      <c r="A29" s="13" t="s">
        <v>0</v>
      </c>
      <c r="B29" s="13" t="s">
        <v>1342</v>
      </c>
      <c r="C29" s="13">
        <v>3</v>
      </c>
      <c r="D29" s="13">
        <v>3</v>
      </c>
      <c r="E29" s="13">
        <v>4</v>
      </c>
    </row>
    <row r="30" spans="1:5" x14ac:dyDescent="0.3">
      <c r="A30" s="13" t="s">
        <v>0</v>
      </c>
      <c r="B30" s="13" t="s">
        <v>66</v>
      </c>
      <c r="C30" s="13">
        <v>3</v>
      </c>
      <c r="D30" s="13">
        <v>3</v>
      </c>
      <c r="E30" s="13">
        <v>4</v>
      </c>
    </row>
    <row r="31" spans="1:5" x14ac:dyDescent="0.3">
      <c r="A31" s="13" t="s">
        <v>1</v>
      </c>
      <c r="B31" s="13" t="s">
        <v>1741</v>
      </c>
      <c r="C31" s="13">
        <v>2</v>
      </c>
      <c r="D31" s="13">
        <v>2</v>
      </c>
      <c r="E31" s="13">
        <v>2</v>
      </c>
    </row>
    <row r="32" spans="1:5" x14ac:dyDescent="0.3">
      <c r="A32" s="13" t="s">
        <v>1</v>
      </c>
      <c r="B32" s="13" t="s">
        <v>1888</v>
      </c>
      <c r="C32" s="13">
        <v>2</v>
      </c>
      <c r="D32" s="13">
        <v>2</v>
      </c>
      <c r="E32" s="13">
        <v>2</v>
      </c>
    </row>
    <row r="33" spans="1:5" x14ac:dyDescent="0.3">
      <c r="A33" s="13" t="s">
        <v>1</v>
      </c>
      <c r="B33" s="13" t="s">
        <v>1988</v>
      </c>
      <c r="C33" s="13">
        <v>5</v>
      </c>
      <c r="D33" s="13">
        <v>2</v>
      </c>
      <c r="E33" s="13">
        <v>5</v>
      </c>
    </row>
    <row r="34" spans="1:5" x14ac:dyDescent="0.3">
      <c r="A34" s="13" t="s">
        <v>1</v>
      </c>
      <c r="B34" s="13" t="s">
        <v>111</v>
      </c>
      <c r="C34" s="13">
        <v>2</v>
      </c>
      <c r="D34" s="13">
        <v>2</v>
      </c>
      <c r="E34" s="13">
        <v>2</v>
      </c>
    </row>
    <row r="35" spans="1:5" x14ac:dyDescent="0.3">
      <c r="A35" s="13" t="s">
        <v>1</v>
      </c>
      <c r="B35" s="13" t="s">
        <v>895</v>
      </c>
      <c r="C35" s="13">
        <v>2</v>
      </c>
      <c r="D35" s="13">
        <v>2</v>
      </c>
      <c r="E35" s="13">
        <v>2</v>
      </c>
    </row>
    <row r="36" spans="1:5" x14ac:dyDescent="0.3">
      <c r="A36" s="13" t="s">
        <v>1</v>
      </c>
      <c r="B36" s="13" t="s">
        <v>326</v>
      </c>
      <c r="C36" s="13">
        <v>2</v>
      </c>
      <c r="D36" s="13">
        <v>2</v>
      </c>
      <c r="E36" s="13">
        <v>2</v>
      </c>
    </row>
    <row r="37" spans="1:5" x14ac:dyDescent="0.3">
      <c r="A37" s="13" t="s">
        <v>1</v>
      </c>
      <c r="B37" s="13" t="s">
        <v>31</v>
      </c>
      <c r="C37" s="13">
        <v>2</v>
      </c>
      <c r="D37" s="13">
        <v>2</v>
      </c>
      <c r="E37" s="13">
        <v>2</v>
      </c>
    </row>
    <row r="38" spans="1:5" x14ac:dyDescent="0.3">
      <c r="A38" s="13" t="s">
        <v>1</v>
      </c>
      <c r="B38" s="13" t="s">
        <v>191</v>
      </c>
      <c r="C38" s="13">
        <v>3</v>
      </c>
      <c r="D38" s="13">
        <v>2</v>
      </c>
      <c r="E38" s="13">
        <v>3</v>
      </c>
    </row>
    <row r="39" spans="1:5" x14ac:dyDescent="0.3">
      <c r="A39" s="13" t="s">
        <v>0</v>
      </c>
      <c r="B39" s="13" t="s">
        <v>382</v>
      </c>
      <c r="C39" s="13">
        <v>2</v>
      </c>
      <c r="D39" s="13">
        <v>2</v>
      </c>
      <c r="E39" s="13">
        <v>2</v>
      </c>
    </row>
    <row r="40" spans="1:5" x14ac:dyDescent="0.3">
      <c r="A40" s="13" t="s">
        <v>0</v>
      </c>
      <c r="B40" s="13" t="s">
        <v>34</v>
      </c>
      <c r="C40" s="13">
        <v>2</v>
      </c>
      <c r="D40" s="13">
        <v>2</v>
      </c>
      <c r="E40" s="13">
        <v>2</v>
      </c>
    </row>
    <row r="41" spans="1:5" x14ac:dyDescent="0.3">
      <c r="A41" s="13" t="s">
        <v>0</v>
      </c>
      <c r="B41" s="13" t="s">
        <v>260</v>
      </c>
      <c r="C41" s="13">
        <v>2</v>
      </c>
      <c r="D41" s="13">
        <v>2</v>
      </c>
      <c r="E41" s="13">
        <v>2</v>
      </c>
    </row>
    <row r="42" spans="1:5" x14ac:dyDescent="0.3">
      <c r="A42" s="13" t="s">
        <v>0</v>
      </c>
      <c r="B42" s="13" t="s">
        <v>41</v>
      </c>
      <c r="C42" s="13">
        <v>2</v>
      </c>
      <c r="D42" s="13">
        <v>2</v>
      </c>
      <c r="E42" s="13">
        <v>2</v>
      </c>
    </row>
    <row r="43" spans="1:5" x14ac:dyDescent="0.3">
      <c r="A43" s="13" t="s">
        <v>0</v>
      </c>
      <c r="B43" s="13" t="s">
        <v>94</v>
      </c>
      <c r="C43" s="13">
        <v>2</v>
      </c>
      <c r="D43" s="13">
        <v>2</v>
      </c>
      <c r="E43" s="13">
        <v>2</v>
      </c>
    </row>
    <row r="44" spans="1:5" x14ac:dyDescent="0.3">
      <c r="A44" s="13" t="s">
        <v>0</v>
      </c>
      <c r="B44" s="13" t="s">
        <v>164</v>
      </c>
      <c r="C44" s="13">
        <v>2</v>
      </c>
      <c r="D44" s="13">
        <v>2</v>
      </c>
      <c r="E44" s="13">
        <v>2</v>
      </c>
    </row>
    <row r="45" spans="1:5" x14ac:dyDescent="0.3">
      <c r="A45" s="13" t="s">
        <v>0</v>
      </c>
      <c r="B45" s="13" t="s">
        <v>580</v>
      </c>
      <c r="C45" s="13">
        <v>2</v>
      </c>
      <c r="D45" s="13">
        <v>2</v>
      </c>
      <c r="E45" s="13">
        <v>2</v>
      </c>
    </row>
    <row r="46" spans="1:5" x14ac:dyDescent="0.3">
      <c r="A46" s="13" t="s">
        <v>0</v>
      </c>
      <c r="B46" s="13" t="s">
        <v>62</v>
      </c>
      <c r="C46" s="13">
        <v>2</v>
      </c>
      <c r="D46" s="13">
        <v>2</v>
      </c>
      <c r="E46" s="13">
        <v>2</v>
      </c>
    </row>
    <row r="47" spans="1:5" x14ac:dyDescent="0.3">
      <c r="A47" s="13" t="s">
        <v>2</v>
      </c>
      <c r="B47" s="13" t="s">
        <v>47</v>
      </c>
      <c r="C47" s="13">
        <v>2</v>
      </c>
      <c r="D47" s="13">
        <v>2</v>
      </c>
      <c r="E47" s="13">
        <v>2</v>
      </c>
    </row>
    <row r="48" spans="1:5" x14ac:dyDescent="0.3">
      <c r="A48" s="13" t="s">
        <v>1</v>
      </c>
      <c r="B48" s="13" t="s">
        <v>485</v>
      </c>
      <c r="C48" s="13">
        <v>1</v>
      </c>
      <c r="D48" s="13">
        <v>1</v>
      </c>
      <c r="E48" s="13">
        <v>1</v>
      </c>
    </row>
    <row r="49" spans="1:5" x14ac:dyDescent="0.3">
      <c r="A49" s="13" t="s">
        <v>1</v>
      </c>
      <c r="B49" s="13" t="s">
        <v>36</v>
      </c>
      <c r="C49" s="13">
        <v>1</v>
      </c>
      <c r="D49" s="13">
        <v>1</v>
      </c>
      <c r="E49" s="13">
        <v>1</v>
      </c>
    </row>
    <row r="50" spans="1:5" x14ac:dyDescent="0.3">
      <c r="A50" s="13" t="s">
        <v>1</v>
      </c>
      <c r="B50" s="13" t="s">
        <v>373</v>
      </c>
      <c r="C50" s="13">
        <v>1</v>
      </c>
      <c r="D50" s="13">
        <v>1</v>
      </c>
      <c r="E50" s="13">
        <v>1</v>
      </c>
    </row>
    <row r="51" spans="1:5" x14ac:dyDescent="0.3">
      <c r="A51" s="13" t="s">
        <v>1</v>
      </c>
      <c r="B51" s="13" t="s">
        <v>808</v>
      </c>
      <c r="C51" s="13">
        <v>1</v>
      </c>
      <c r="D51" s="13">
        <v>1</v>
      </c>
      <c r="E51" s="13">
        <v>1</v>
      </c>
    </row>
    <row r="52" spans="1:5" x14ac:dyDescent="0.3">
      <c r="A52" s="13" t="s">
        <v>1</v>
      </c>
      <c r="B52" s="13" t="s">
        <v>263</v>
      </c>
      <c r="C52" s="13">
        <v>1</v>
      </c>
      <c r="D52" s="13">
        <v>1</v>
      </c>
      <c r="E52" s="13">
        <v>1</v>
      </c>
    </row>
    <row r="53" spans="1:5" x14ac:dyDescent="0.3">
      <c r="A53" s="13" t="s">
        <v>1</v>
      </c>
      <c r="B53" s="13" t="s">
        <v>446</v>
      </c>
      <c r="C53" s="13">
        <v>2</v>
      </c>
      <c r="D53" s="13">
        <v>1</v>
      </c>
      <c r="E53" s="13">
        <v>3</v>
      </c>
    </row>
    <row r="54" spans="1:5" x14ac:dyDescent="0.3">
      <c r="A54" s="13" t="s">
        <v>1</v>
      </c>
      <c r="B54" s="13" t="s">
        <v>420</v>
      </c>
      <c r="C54" s="13">
        <v>1</v>
      </c>
      <c r="D54" s="13">
        <v>1</v>
      </c>
      <c r="E54" s="13">
        <v>1</v>
      </c>
    </row>
    <row r="55" spans="1:5" x14ac:dyDescent="0.3">
      <c r="A55" s="13" t="s">
        <v>1</v>
      </c>
      <c r="B55" s="13" t="s">
        <v>499</v>
      </c>
      <c r="C55" s="13">
        <v>1</v>
      </c>
      <c r="D55" s="13">
        <v>1</v>
      </c>
      <c r="E55" s="13">
        <v>1</v>
      </c>
    </row>
    <row r="56" spans="1:5" x14ac:dyDescent="0.3">
      <c r="A56" s="13" t="s">
        <v>1</v>
      </c>
      <c r="B56" s="13" t="s">
        <v>77</v>
      </c>
      <c r="C56" s="13">
        <v>1</v>
      </c>
      <c r="D56" s="13">
        <v>1</v>
      </c>
      <c r="E56" s="13">
        <v>1</v>
      </c>
    </row>
    <row r="57" spans="1:5" x14ac:dyDescent="0.3">
      <c r="A57" s="13" t="s">
        <v>1</v>
      </c>
      <c r="B57" s="13" t="s">
        <v>1517</v>
      </c>
      <c r="C57" s="13">
        <v>1</v>
      </c>
      <c r="D57" s="13">
        <v>1</v>
      </c>
      <c r="E57" s="13">
        <v>1</v>
      </c>
    </row>
    <row r="58" spans="1:5" x14ac:dyDescent="0.3">
      <c r="A58" s="13" t="s">
        <v>1</v>
      </c>
      <c r="B58" s="13" t="s">
        <v>260</v>
      </c>
      <c r="C58" s="13">
        <v>1</v>
      </c>
      <c r="D58" s="13">
        <v>1</v>
      </c>
      <c r="E58" s="13">
        <v>1</v>
      </c>
    </row>
    <row r="59" spans="1:5" x14ac:dyDescent="0.3">
      <c r="A59" s="13" t="s">
        <v>1</v>
      </c>
      <c r="B59" s="13" t="s">
        <v>1513</v>
      </c>
      <c r="C59" s="13">
        <v>1</v>
      </c>
      <c r="D59" s="13">
        <v>1</v>
      </c>
      <c r="E59" s="13">
        <v>1</v>
      </c>
    </row>
    <row r="60" spans="1:5" x14ac:dyDescent="0.3">
      <c r="A60" s="13" t="s">
        <v>1</v>
      </c>
      <c r="B60" s="13" t="s">
        <v>464</v>
      </c>
      <c r="C60" s="13">
        <v>1</v>
      </c>
      <c r="D60" s="13">
        <v>1</v>
      </c>
      <c r="E60" s="13">
        <v>2</v>
      </c>
    </row>
    <row r="61" spans="1:5" x14ac:dyDescent="0.3">
      <c r="A61" s="13" t="s">
        <v>1</v>
      </c>
      <c r="B61" s="13" t="s">
        <v>148</v>
      </c>
      <c r="C61" s="13">
        <v>1</v>
      </c>
      <c r="D61" s="13">
        <v>1</v>
      </c>
      <c r="E61" s="13">
        <v>1</v>
      </c>
    </row>
    <row r="62" spans="1:5" x14ac:dyDescent="0.3">
      <c r="A62" s="13" t="s">
        <v>1</v>
      </c>
      <c r="B62" s="13" t="s">
        <v>272</v>
      </c>
      <c r="C62" s="13">
        <v>1</v>
      </c>
      <c r="D62" s="13">
        <v>1</v>
      </c>
      <c r="E62" s="13">
        <v>1</v>
      </c>
    </row>
    <row r="63" spans="1:5" x14ac:dyDescent="0.3">
      <c r="A63" s="13" t="s">
        <v>1</v>
      </c>
      <c r="B63" s="13" t="s">
        <v>151</v>
      </c>
      <c r="C63" s="13">
        <v>1</v>
      </c>
      <c r="D63" s="13">
        <v>1</v>
      </c>
      <c r="E63" s="13">
        <v>1</v>
      </c>
    </row>
    <row r="64" spans="1:5" x14ac:dyDescent="0.3">
      <c r="A64" s="13" t="s">
        <v>1</v>
      </c>
      <c r="B64" s="13" t="s">
        <v>611</v>
      </c>
      <c r="C64" s="13">
        <v>1</v>
      </c>
      <c r="D64" s="13">
        <v>1</v>
      </c>
      <c r="E64" s="13">
        <v>1</v>
      </c>
    </row>
    <row r="65" spans="1:5" x14ac:dyDescent="0.3">
      <c r="A65" s="13" t="s">
        <v>1</v>
      </c>
      <c r="B65" s="13" t="s">
        <v>42</v>
      </c>
      <c r="C65" s="13">
        <v>1</v>
      </c>
      <c r="D65" s="13">
        <v>1</v>
      </c>
      <c r="E65" s="13">
        <v>1</v>
      </c>
    </row>
    <row r="66" spans="1:5" x14ac:dyDescent="0.3">
      <c r="A66" s="13" t="s">
        <v>1</v>
      </c>
      <c r="B66" s="13" t="s">
        <v>93</v>
      </c>
      <c r="C66" s="13">
        <v>1</v>
      </c>
      <c r="D66" s="13">
        <v>1</v>
      </c>
      <c r="E66" s="13">
        <v>2</v>
      </c>
    </row>
    <row r="67" spans="1:5" x14ac:dyDescent="0.3">
      <c r="A67" s="13" t="s">
        <v>1</v>
      </c>
      <c r="B67" s="13" t="s">
        <v>94</v>
      </c>
      <c r="C67" s="13">
        <v>2</v>
      </c>
      <c r="D67" s="13">
        <v>1</v>
      </c>
      <c r="E67" s="13">
        <v>2</v>
      </c>
    </row>
    <row r="68" spans="1:5" x14ac:dyDescent="0.3">
      <c r="A68" s="13" t="s">
        <v>1</v>
      </c>
      <c r="B68" s="13" t="s">
        <v>471</v>
      </c>
      <c r="C68" s="13">
        <v>3</v>
      </c>
      <c r="D68" s="13">
        <v>1</v>
      </c>
      <c r="E68" s="13">
        <v>3</v>
      </c>
    </row>
    <row r="69" spans="1:5" x14ac:dyDescent="0.3">
      <c r="A69" s="13" t="s">
        <v>1</v>
      </c>
      <c r="B69" s="13" t="s">
        <v>1570</v>
      </c>
      <c r="C69" s="13">
        <v>1</v>
      </c>
      <c r="D69" s="13">
        <v>1</v>
      </c>
      <c r="E69" s="13">
        <v>1</v>
      </c>
    </row>
    <row r="70" spans="1:5" x14ac:dyDescent="0.3">
      <c r="A70" s="13" t="s">
        <v>1</v>
      </c>
      <c r="B70" s="13" t="s">
        <v>1663</v>
      </c>
      <c r="C70" s="13">
        <v>4</v>
      </c>
      <c r="D70" s="13">
        <v>1</v>
      </c>
      <c r="E70" s="13">
        <v>7</v>
      </c>
    </row>
    <row r="71" spans="1:5" x14ac:dyDescent="0.3">
      <c r="A71" s="13" t="s">
        <v>1</v>
      </c>
      <c r="B71" s="13" t="s">
        <v>1674</v>
      </c>
      <c r="C71" s="13">
        <v>2</v>
      </c>
      <c r="D71" s="13">
        <v>1</v>
      </c>
      <c r="E71" s="13">
        <v>3</v>
      </c>
    </row>
    <row r="72" spans="1:5" x14ac:dyDescent="0.3">
      <c r="A72" s="13" t="s">
        <v>1</v>
      </c>
      <c r="B72" s="13" t="s">
        <v>1849</v>
      </c>
      <c r="C72" s="13">
        <v>1</v>
      </c>
      <c r="D72" s="13">
        <v>1</v>
      </c>
      <c r="E72" s="13">
        <v>1</v>
      </c>
    </row>
    <row r="73" spans="1:5" x14ac:dyDescent="0.3">
      <c r="A73" s="13" t="s">
        <v>1</v>
      </c>
      <c r="B73" s="13" t="s">
        <v>1900</v>
      </c>
      <c r="C73" s="13">
        <v>1</v>
      </c>
      <c r="D73" s="13">
        <v>1</v>
      </c>
      <c r="E73" s="13">
        <v>1</v>
      </c>
    </row>
    <row r="74" spans="1:5" x14ac:dyDescent="0.3">
      <c r="A74" s="13" t="s">
        <v>1</v>
      </c>
      <c r="B74" s="13" t="s">
        <v>2069</v>
      </c>
      <c r="C74" s="13">
        <v>1</v>
      </c>
      <c r="D74" s="13">
        <v>1</v>
      </c>
      <c r="E74" s="13">
        <v>1</v>
      </c>
    </row>
    <row r="75" spans="1:5" x14ac:dyDescent="0.3">
      <c r="A75" s="13" t="s">
        <v>1</v>
      </c>
      <c r="B75" s="13" t="s">
        <v>155</v>
      </c>
      <c r="C75" s="13">
        <v>1</v>
      </c>
      <c r="D75" s="13">
        <v>1</v>
      </c>
      <c r="E75" s="13">
        <v>1</v>
      </c>
    </row>
    <row r="76" spans="1:5" x14ac:dyDescent="0.3">
      <c r="A76" s="13" t="s">
        <v>1</v>
      </c>
      <c r="B76" s="13" t="s">
        <v>49</v>
      </c>
      <c r="C76" s="13">
        <v>1</v>
      </c>
      <c r="D76" s="13">
        <v>1</v>
      </c>
      <c r="E76" s="13">
        <v>1</v>
      </c>
    </row>
    <row r="77" spans="1:5" x14ac:dyDescent="0.3">
      <c r="A77" s="13" t="s">
        <v>1</v>
      </c>
      <c r="B77" s="13" t="s">
        <v>1179</v>
      </c>
      <c r="C77" s="13">
        <v>1</v>
      </c>
      <c r="D77" s="13">
        <v>1</v>
      </c>
      <c r="E77" s="13">
        <v>2</v>
      </c>
    </row>
    <row r="78" spans="1:5" x14ac:dyDescent="0.3">
      <c r="A78" s="13" t="s">
        <v>1</v>
      </c>
      <c r="B78" s="13" t="s">
        <v>932</v>
      </c>
      <c r="C78" s="13">
        <v>1</v>
      </c>
      <c r="D78" s="13">
        <v>1</v>
      </c>
      <c r="E78" s="13">
        <v>1</v>
      </c>
    </row>
    <row r="79" spans="1:5" x14ac:dyDescent="0.3">
      <c r="A79" s="13" t="s">
        <v>1</v>
      </c>
      <c r="B79" s="13" t="s">
        <v>1877</v>
      </c>
      <c r="C79" s="13">
        <v>1</v>
      </c>
      <c r="D79" s="13">
        <v>1</v>
      </c>
      <c r="E79" s="13">
        <v>1</v>
      </c>
    </row>
    <row r="80" spans="1:5" x14ac:dyDescent="0.3">
      <c r="A80" s="13" t="s">
        <v>1</v>
      </c>
      <c r="B80" s="13" t="s">
        <v>1053</v>
      </c>
      <c r="C80" s="13">
        <v>1</v>
      </c>
      <c r="D80" s="13">
        <v>1</v>
      </c>
      <c r="E80" s="13">
        <v>1</v>
      </c>
    </row>
    <row r="81" spans="1:5" x14ac:dyDescent="0.3">
      <c r="A81" s="13" t="s">
        <v>1</v>
      </c>
      <c r="B81" s="13" t="s">
        <v>428</v>
      </c>
      <c r="C81" s="13">
        <v>1</v>
      </c>
      <c r="D81" s="13">
        <v>1</v>
      </c>
      <c r="E81" s="13">
        <v>1</v>
      </c>
    </row>
    <row r="82" spans="1:5" x14ac:dyDescent="0.3">
      <c r="A82" s="13" t="s">
        <v>1</v>
      </c>
      <c r="B82" s="13" t="s">
        <v>564</v>
      </c>
      <c r="C82" s="13">
        <v>1</v>
      </c>
      <c r="D82" s="13">
        <v>1</v>
      </c>
      <c r="E82" s="13">
        <v>1</v>
      </c>
    </row>
    <row r="83" spans="1:5" x14ac:dyDescent="0.3">
      <c r="A83" s="13" t="s">
        <v>1</v>
      </c>
      <c r="B83" s="13" t="s">
        <v>1327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105</v>
      </c>
      <c r="C84" s="13">
        <v>1</v>
      </c>
      <c r="D84" s="13">
        <v>1</v>
      </c>
      <c r="E84" s="13">
        <v>1</v>
      </c>
    </row>
    <row r="85" spans="1:5" x14ac:dyDescent="0.3">
      <c r="A85" s="13" t="s">
        <v>1</v>
      </c>
      <c r="B85" s="13" t="s">
        <v>163</v>
      </c>
      <c r="C85" s="13">
        <v>1</v>
      </c>
      <c r="D85" s="13">
        <v>1</v>
      </c>
      <c r="E85" s="13">
        <v>2</v>
      </c>
    </row>
    <row r="86" spans="1:5" x14ac:dyDescent="0.3">
      <c r="A86" s="13" t="s">
        <v>1</v>
      </c>
      <c r="B86" s="13" t="s">
        <v>195</v>
      </c>
      <c r="C86" s="13">
        <v>1</v>
      </c>
      <c r="D86" s="13">
        <v>1</v>
      </c>
      <c r="E86" s="13">
        <v>1</v>
      </c>
    </row>
    <row r="87" spans="1:5" x14ac:dyDescent="0.3">
      <c r="A87" s="13" t="s">
        <v>1</v>
      </c>
      <c r="B87" s="13" t="s">
        <v>1172</v>
      </c>
      <c r="C87" s="13">
        <v>1</v>
      </c>
      <c r="D87" s="13">
        <v>1</v>
      </c>
      <c r="E87" s="13">
        <v>1</v>
      </c>
    </row>
    <row r="88" spans="1:5" x14ac:dyDescent="0.3">
      <c r="A88" s="13" t="s">
        <v>1</v>
      </c>
      <c r="B88" s="13" t="s">
        <v>168</v>
      </c>
      <c r="C88" s="13">
        <v>1</v>
      </c>
      <c r="D88" s="13">
        <v>1</v>
      </c>
      <c r="E88" s="13">
        <v>1</v>
      </c>
    </row>
    <row r="89" spans="1:5" x14ac:dyDescent="0.3">
      <c r="A89" s="13" t="s">
        <v>1</v>
      </c>
      <c r="B89" s="13" t="s">
        <v>824</v>
      </c>
      <c r="C89" s="13">
        <v>1</v>
      </c>
      <c r="D89" s="13">
        <v>1</v>
      </c>
      <c r="E89" s="13">
        <v>1</v>
      </c>
    </row>
    <row r="90" spans="1:5" x14ac:dyDescent="0.3">
      <c r="A90" s="13" t="s">
        <v>1</v>
      </c>
      <c r="B90" s="13" t="s">
        <v>281</v>
      </c>
      <c r="C90" s="13">
        <v>1</v>
      </c>
      <c r="D90" s="13">
        <v>1</v>
      </c>
      <c r="E90" s="13">
        <v>1</v>
      </c>
    </row>
    <row r="91" spans="1:5" x14ac:dyDescent="0.3">
      <c r="A91" s="13" t="s">
        <v>1</v>
      </c>
      <c r="B91" s="13" t="s">
        <v>44</v>
      </c>
      <c r="C91" s="13">
        <v>1</v>
      </c>
      <c r="D91" s="13">
        <v>1</v>
      </c>
      <c r="E91" s="13">
        <v>1</v>
      </c>
    </row>
    <row r="92" spans="1:5" x14ac:dyDescent="0.3">
      <c r="A92" s="13" t="s">
        <v>1</v>
      </c>
      <c r="B92" s="13" t="s">
        <v>317</v>
      </c>
      <c r="C92" s="13">
        <v>1</v>
      </c>
      <c r="D92" s="13">
        <v>1</v>
      </c>
      <c r="E92" s="13">
        <v>3</v>
      </c>
    </row>
    <row r="93" spans="1:5" x14ac:dyDescent="0.3">
      <c r="A93" s="13" t="s">
        <v>1</v>
      </c>
      <c r="B93" s="13" t="s">
        <v>970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45</v>
      </c>
      <c r="C94" s="13">
        <v>1</v>
      </c>
      <c r="D94" s="13">
        <v>1</v>
      </c>
      <c r="E94" s="13">
        <v>1</v>
      </c>
    </row>
    <row r="95" spans="1:5" x14ac:dyDescent="0.3">
      <c r="A95" s="13" t="s">
        <v>1</v>
      </c>
      <c r="B95" s="13" t="s">
        <v>320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2275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737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694</v>
      </c>
      <c r="C98" s="13">
        <v>1</v>
      </c>
      <c r="D98" s="13">
        <v>1</v>
      </c>
      <c r="E98" s="13">
        <v>1</v>
      </c>
    </row>
    <row r="99" spans="1:5" x14ac:dyDescent="0.3">
      <c r="A99" s="13" t="s">
        <v>1</v>
      </c>
      <c r="B99" s="13" t="s">
        <v>432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2276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121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174</v>
      </c>
      <c r="C102" s="13">
        <v>1</v>
      </c>
      <c r="D102" s="13">
        <v>1</v>
      </c>
      <c r="E102" s="13">
        <v>2</v>
      </c>
    </row>
    <row r="103" spans="1:5" x14ac:dyDescent="0.3">
      <c r="A103" s="13" t="s">
        <v>1</v>
      </c>
      <c r="B103" s="13" t="s">
        <v>415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129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253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38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483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1218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295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132</v>
      </c>
      <c r="C110" s="13">
        <v>2</v>
      </c>
      <c r="D110" s="13">
        <v>1</v>
      </c>
      <c r="E110" s="13">
        <v>5</v>
      </c>
    </row>
    <row r="111" spans="1:5" x14ac:dyDescent="0.3">
      <c r="A111" s="13" t="s">
        <v>1</v>
      </c>
      <c r="B111" s="13" t="s">
        <v>1264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190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365</v>
      </c>
      <c r="C113" s="13">
        <v>2</v>
      </c>
      <c r="D113" s="13">
        <v>1</v>
      </c>
      <c r="E113" s="13">
        <v>2</v>
      </c>
    </row>
    <row r="114" spans="1:5" x14ac:dyDescent="0.3">
      <c r="A114" s="13" t="s">
        <v>1</v>
      </c>
      <c r="B114" s="13" t="s">
        <v>54</v>
      </c>
      <c r="C114" s="13">
        <v>2</v>
      </c>
      <c r="D114" s="13">
        <v>1</v>
      </c>
      <c r="E114" s="13">
        <v>3</v>
      </c>
    </row>
    <row r="115" spans="1:5" x14ac:dyDescent="0.3">
      <c r="A115" s="13" t="s">
        <v>1</v>
      </c>
      <c r="B115" s="13" t="s">
        <v>1177</v>
      </c>
      <c r="C115" s="13">
        <v>1</v>
      </c>
      <c r="D115" s="13">
        <v>3</v>
      </c>
      <c r="E115" s="13"/>
    </row>
    <row r="116" spans="1:5" x14ac:dyDescent="0.3">
      <c r="A116" s="13" t="s">
        <v>1</v>
      </c>
      <c r="B116" s="13" t="s">
        <v>1934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1512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804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0</v>
      </c>
      <c r="B119" s="13" t="s">
        <v>343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0</v>
      </c>
      <c r="B120" s="13" t="s">
        <v>36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0</v>
      </c>
      <c r="B121" s="13" t="s">
        <v>300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0</v>
      </c>
      <c r="B122" s="13" t="s">
        <v>261</v>
      </c>
      <c r="C122" s="13">
        <v>2</v>
      </c>
      <c r="D122" s="13">
        <v>1</v>
      </c>
      <c r="E122" s="13">
        <v>3</v>
      </c>
    </row>
    <row r="123" spans="1:5" x14ac:dyDescent="0.3">
      <c r="A123" s="13" t="s">
        <v>0</v>
      </c>
      <c r="B123" s="13" t="s">
        <v>1287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0</v>
      </c>
      <c r="B124" s="13" t="s">
        <v>587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0</v>
      </c>
      <c r="B125" s="13" t="s">
        <v>493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0</v>
      </c>
      <c r="B126" s="13" t="s">
        <v>40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0</v>
      </c>
      <c r="B127" s="13" t="s">
        <v>1695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0</v>
      </c>
      <c r="B128" s="13" t="s">
        <v>304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0</v>
      </c>
      <c r="B129" s="13" t="s">
        <v>83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0</v>
      </c>
      <c r="B130" s="13" t="s">
        <v>147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0</v>
      </c>
      <c r="B131" s="13" t="s">
        <v>464</v>
      </c>
      <c r="C131" s="13">
        <v>2</v>
      </c>
      <c r="D131" s="13">
        <v>1</v>
      </c>
      <c r="E131" s="13">
        <v>2</v>
      </c>
    </row>
    <row r="132" spans="1:5" x14ac:dyDescent="0.3">
      <c r="A132" s="13" t="s">
        <v>0</v>
      </c>
      <c r="B132" s="13" t="s">
        <v>2011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0</v>
      </c>
      <c r="B133" s="13" t="s">
        <v>351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0</v>
      </c>
      <c r="B134" s="13" t="s">
        <v>87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0</v>
      </c>
      <c r="B135" s="13" t="s">
        <v>676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0</v>
      </c>
      <c r="B136" s="13" t="s">
        <v>217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0</v>
      </c>
      <c r="B137" s="13" t="s">
        <v>152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0</v>
      </c>
      <c r="B138" s="13" t="s">
        <v>42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0</v>
      </c>
      <c r="B139" s="13" t="s">
        <v>356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0</v>
      </c>
      <c r="B140" s="13" t="s">
        <v>93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0</v>
      </c>
      <c r="B141" s="13" t="s">
        <v>471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0</v>
      </c>
      <c r="B142" s="13" t="s">
        <v>1505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0</v>
      </c>
      <c r="B143" s="13" t="s">
        <v>1655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0</v>
      </c>
      <c r="B144" s="13" t="s">
        <v>1674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0</v>
      </c>
      <c r="B145" s="13" t="s">
        <v>1833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0</v>
      </c>
      <c r="B146" s="13" t="s">
        <v>1881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0</v>
      </c>
      <c r="B147" s="13" t="s">
        <v>1900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0</v>
      </c>
      <c r="B148" s="13" t="s">
        <v>1882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0</v>
      </c>
      <c r="B149" s="13" t="s">
        <v>1948</v>
      </c>
      <c r="C149" s="13">
        <v>1</v>
      </c>
      <c r="D149" s="13">
        <v>1</v>
      </c>
      <c r="E149" s="13">
        <v>2</v>
      </c>
    </row>
    <row r="150" spans="1:5" x14ac:dyDescent="0.3">
      <c r="A150" s="13" t="s">
        <v>0</v>
      </c>
      <c r="B150" s="13" t="s">
        <v>2277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0</v>
      </c>
      <c r="B151" s="13" t="s">
        <v>273</v>
      </c>
      <c r="C151" s="13">
        <v>1</v>
      </c>
      <c r="D151" s="13">
        <v>1</v>
      </c>
      <c r="E151" s="13">
        <v>2</v>
      </c>
    </row>
    <row r="152" spans="1:5" x14ac:dyDescent="0.3">
      <c r="A152" s="13" t="s">
        <v>0</v>
      </c>
      <c r="B152" s="13" t="s">
        <v>678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0</v>
      </c>
      <c r="B153" s="13" t="s">
        <v>155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0</v>
      </c>
      <c r="B154" s="13" t="s">
        <v>1992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0</v>
      </c>
      <c r="B155" s="13" t="s">
        <v>614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0</v>
      </c>
      <c r="B156" s="13" t="s">
        <v>476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0</v>
      </c>
      <c r="B157" s="13" t="s">
        <v>98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0</v>
      </c>
      <c r="B158" s="13" t="s">
        <v>795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0</v>
      </c>
      <c r="B159" s="13" t="s">
        <v>1034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0</v>
      </c>
      <c r="B160" s="13" t="s">
        <v>157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0</v>
      </c>
      <c r="B161" s="13" t="s">
        <v>159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0</v>
      </c>
      <c r="B162" s="13" t="s">
        <v>936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0</v>
      </c>
      <c r="B163" s="13" t="s">
        <v>102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0</v>
      </c>
      <c r="B164" s="13" t="s">
        <v>161</v>
      </c>
      <c r="C164" s="13">
        <v>2</v>
      </c>
      <c r="D164" s="13">
        <v>1</v>
      </c>
      <c r="E164" s="13">
        <v>2</v>
      </c>
    </row>
    <row r="165" spans="1:5" x14ac:dyDescent="0.3">
      <c r="A165" s="13" t="s">
        <v>0</v>
      </c>
      <c r="B165" s="13" t="s">
        <v>313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0</v>
      </c>
      <c r="B166" s="13" t="s">
        <v>1094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0</v>
      </c>
      <c r="B167" s="13" t="s">
        <v>615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0</v>
      </c>
      <c r="B168" s="13" t="s">
        <v>733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0</v>
      </c>
      <c r="B169" s="13" t="s">
        <v>2278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0</v>
      </c>
      <c r="B170" s="13" t="s">
        <v>2279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0</v>
      </c>
      <c r="B171" s="13" t="s">
        <v>822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0</v>
      </c>
      <c r="B172" s="13" t="s">
        <v>195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0</v>
      </c>
      <c r="B173" s="13" t="s">
        <v>1028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0</v>
      </c>
      <c r="B174" s="13" t="s">
        <v>278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0</v>
      </c>
      <c r="B175" s="13" t="s">
        <v>111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0</v>
      </c>
      <c r="B176" s="13" t="s">
        <v>51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0</v>
      </c>
      <c r="B177" s="13" t="s">
        <v>516</v>
      </c>
      <c r="C177" s="13">
        <v>1</v>
      </c>
      <c r="D177" s="13">
        <v>1</v>
      </c>
      <c r="E177" s="13">
        <v>2</v>
      </c>
    </row>
    <row r="178" spans="1:5" x14ac:dyDescent="0.3">
      <c r="A178" s="13" t="s">
        <v>0</v>
      </c>
      <c r="B178" s="13" t="s">
        <v>971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0</v>
      </c>
      <c r="B179" s="13" t="s">
        <v>45</v>
      </c>
      <c r="C179" s="13">
        <v>1</v>
      </c>
      <c r="D179" s="13">
        <v>1</v>
      </c>
      <c r="E179" s="13">
        <v>2</v>
      </c>
    </row>
    <row r="180" spans="1:5" x14ac:dyDescent="0.3">
      <c r="A180" s="13" t="s">
        <v>0</v>
      </c>
      <c r="B180" s="13" t="s">
        <v>358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0</v>
      </c>
      <c r="B181" s="13" t="s">
        <v>737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0</v>
      </c>
      <c r="B182" s="13" t="s">
        <v>523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0</v>
      </c>
      <c r="B183" s="13" t="s">
        <v>287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0</v>
      </c>
      <c r="B184" s="13" t="s">
        <v>1399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0</v>
      </c>
      <c r="B185" s="13" t="s">
        <v>1467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0</v>
      </c>
      <c r="B186" s="13" t="s">
        <v>326</v>
      </c>
      <c r="C186" s="13">
        <v>1</v>
      </c>
      <c r="D186" s="13">
        <v>1</v>
      </c>
      <c r="E186" s="13">
        <v>2</v>
      </c>
    </row>
    <row r="187" spans="1:5" x14ac:dyDescent="0.3">
      <c r="A187" s="13" t="s">
        <v>0</v>
      </c>
      <c r="B187" s="13" t="s">
        <v>115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2280</v>
      </c>
      <c r="C188" s="13">
        <v>1</v>
      </c>
      <c r="D188" s="13">
        <v>1</v>
      </c>
      <c r="E188" s="13">
        <v>2</v>
      </c>
    </row>
    <row r="189" spans="1:5" x14ac:dyDescent="0.3">
      <c r="A189" s="13" t="s">
        <v>0</v>
      </c>
      <c r="B189" s="13" t="s">
        <v>1422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0</v>
      </c>
      <c r="B190" s="13" t="s">
        <v>629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0</v>
      </c>
      <c r="B191" s="13" t="s">
        <v>2281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0</v>
      </c>
      <c r="B192" s="13" t="s">
        <v>376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0</v>
      </c>
      <c r="B193" s="13" t="s">
        <v>2044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0</v>
      </c>
      <c r="B194" s="13" t="s">
        <v>252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0</v>
      </c>
      <c r="B195" s="13" t="s">
        <v>196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0</v>
      </c>
      <c r="B196" s="13" t="s">
        <v>122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46</v>
      </c>
      <c r="C197" s="13">
        <v>2</v>
      </c>
      <c r="D197" s="13">
        <v>1</v>
      </c>
      <c r="E197" s="13">
        <v>3</v>
      </c>
    </row>
    <row r="198" spans="1:5" x14ac:dyDescent="0.3">
      <c r="A198" s="13" t="s">
        <v>0</v>
      </c>
      <c r="B198" s="13" t="s">
        <v>1092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63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2182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178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905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906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182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130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1933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1050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67</v>
      </c>
      <c r="C208" s="13">
        <v>1</v>
      </c>
      <c r="D208" s="13">
        <v>1</v>
      </c>
      <c r="E208" s="13">
        <v>3</v>
      </c>
    </row>
    <row r="209" spans="1:5" x14ac:dyDescent="0.3">
      <c r="A209" s="13" t="s">
        <v>0</v>
      </c>
      <c r="B209" s="13" t="s">
        <v>1959</v>
      </c>
      <c r="C209" s="13">
        <v>1</v>
      </c>
      <c r="D209" s="13">
        <v>1</v>
      </c>
      <c r="E209" s="13"/>
    </row>
    <row r="210" spans="1:5" x14ac:dyDescent="0.3">
      <c r="A210" s="13" t="s">
        <v>0</v>
      </c>
      <c r="B210" s="13" t="s">
        <v>963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2282</v>
      </c>
      <c r="C211" s="13">
        <v>1</v>
      </c>
      <c r="D211" s="13">
        <v>1</v>
      </c>
      <c r="E211" s="13"/>
    </row>
    <row r="212" spans="1:5" x14ac:dyDescent="0.3">
      <c r="A212" s="13" t="s">
        <v>0</v>
      </c>
      <c r="B212" s="13" t="s">
        <v>367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723</v>
      </c>
      <c r="C213" s="13">
        <v>2</v>
      </c>
      <c r="D213" s="13">
        <v>1</v>
      </c>
      <c r="E213" s="13">
        <v>2</v>
      </c>
    </row>
    <row r="214" spans="1:5" x14ac:dyDescent="0.3">
      <c r="A214" s="13" t="s">
        <v>0</v>
      </c>
      <c r="B214" s="13" t="s">
        <v>2283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2284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32</v>
      </c>
      <c r="C216" s="13">
        <v>4</v>
      </c>
      <c r="D216" s="13">
        <v>1</v>
      </c>
      <c r="E216" s="13">
        <v>4</v>
      </c>
    </row>
    <row r="217" spans="1:5" x14ac:dyDescent="0.3">
      <c r="A217" s="13" t="s">
        <v>2</v>
      </c>
      <c r="B217" s="13" t="s">
        <v>30</v>
      </c>
      <c r="C217" s="13">
        <v>1</v>
      </c>
      <c r="D217" s="13">
        <v>1</v>
      </c>
      <c r="E217" s="13">
        <v>2</v>
      </c>
    </row>
    <row r="218" spans="1:5" x14ac:dyDescent="0.3">
      <c r="A218" s="13" t="s">
        <v>2</v>
      </c>
      <c r="B218" s="13" t="s">
        <v>345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2</v>
      </c>
      <c r="B219" s="13" t="s">
        <v>61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2</v>
      </c>
      <c r="B220" s="13" t="s">
        <v>258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2</v>
      </c>
      <c r="B221" s="13" t="s">
        <v>1036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551</v>
      </c>
      <c r="C222" s="13">
        <v>1</v>
      </c>
      <c r="D222" s="13">
        <v>0</v>
      </c>
      <c r="E222" s="13">
        <v>1</v>
      </c>
    </row>
    <row r="223" spans="1:5" x14ac:dyDescent="0.3">
      <c r="A223" s="13" t="s">
        <v>1</v>
      </c>
      <c r="B223" s="13" t="s">
        <v>379</v>
      </c>
      <c r="C223" s="13">
        <v>1</v>
      </c>
      <c r="D223" s="13">
        <v>0</v>
      </c>
      <c r="E223" s="13">
        <v>1</v>
      </c>
    </row>
    <row r="224" spans="1:5" x14ac:dyDescent="0.3">
      <c r="A224" s="13" t="s">
        <v>1</v>
      </c>
      <c r="B224" s="13" t="s">
        <v>261</v>
      </c>
      <c r="C224" s="13">
        <v>1</v>
      </c>
      <c r="D224" s="13">
        <v>0</v>
      </c>
      <c r="E224" s="13">
        <v>2</v>
      </c>
    </row>
    <row r="225" spans="1:5" x14ac:dyDescent="0.3">
      <c r="A225" s="13" t="s">
        <v>1</v>
      </c>
      <c r="B225" s="13" t="s">
        <v>553</v>
      </c>
      <c r="C225" s="13">
        <v>1</v>
      </c>
      <c r="D225" s="13">
        <v>0</v>
      </c>
      <c r="E225" s="13">
        <v>1</v>
      </c>
    </row>
    <row r="226" spans="1:5" x14ac:dyDescent="0.3">
      <c r="A226" s="13" t="s">
        <v>1</v>
      </c>
      <c r="B226" s="13" t="s">
        <v>2008</v>
      </c>
      <c r="C226" s="13">
        <v>1</v>
      </c>
      <c r="D226" s="13">
        <v>0</v>
      </c>
      <c r="E226" s="13">
        <v>1</v>
      </c>
    </row>
    <row r="227" spans="1:5" x14ac:dyDescent="0.3">
      <c r="A227" s="13" t="s">
        <v>1</v>
      </c>
      <c r="B227" s="13" t="s">
        <v>586</v>
      </c>
      <c r="C227" s="13">
        <v>1</v>
      </c>
      <c r="D227" s="13">
        <v>0</v>
      </c>
      <c r="E227" s="13">
        <v>1</v>
      </c>
    </row>
    <row r="228" spans="1:5" x14ac:dyDescent="0.3">
      <c r="A228" s="13" t="s">
        <v>1</v>
      </c>
      <c r="B228" s="13" t="s">
        <v>589</v>
      </c>
      <c r="C228" s="13">
        <v>1</v>
      </c>
      <c r="D228" s="13">
        <v>0</v>
      </c>
      <c r="E228" s="13">
        <v>1</v>
      </c>
    </row>
    <row r="229" spans="1:5" x14ac:dyDescent="0.3">
      <c r="A229" s="13" t="s">
        <v>1</v>
      </c>
      <c r="B229" s="13" t="s">
        <v>241</v>
      </c>
      <c r="C229" s="13">
        <v>1</v>
      </c>
      <c r="D229" s="13">
        <v>0</v>
      </c>
      <c r="E229" s="13">
        <v>1</v>
      </c>
    </row>
    <row r="230" spans="1:5" x14ac:dyDescent="0.3">
      <c r="A230" s="13" t="s">
        <v>1</v>
      </c>
      <c r="B230" s="13" t="s">
        <v>71</v>
      </c>
      <c r="C230" s="13">
        <v>1</v>
      </c>
      <c r="D230" s="13">
        <v>0</v>
      </c>
      <c r="E230" s="13">
        <v>1</v>
      </c>
    </row>
    <row r="231" spans="1:5" x14ac:dyDescent="0.3">
      <c r="A231" s="13" t="s">
        <v>1</v>
      </c>
      <c r="B231" s="13" t="s">
        <v>139</v>
      </c>
      <c r="C231" s="13">
        <v>1</v>
      </c>
      <c r="D231" s="13">
        <v>0</v>
      </c>
      <c r="E231" s="13">
        <v>1</v>
      </c>
    </row>
    <row r="232" spans="1:5" x14ac:dyDescent="0.3">
      <c r="A232" s="13" t="s">
        <v>1</v>
      </c>
      <c r="B232" s="13" t="s">
        <v>375</v>
      </c>
      <c r="C232" s="13">
        <v>1</v>
      </c>
      <c r="D232" s="13">
        <v>0</v>
      </c>
      <c r="E232" s="13">
        <v>1</v>
      </c>
    </row>
    <row r="233" spans="1:5" x14ac:dyDescent="0.3">
      <c r="A233" s="13" t="s">
        <v>1</v>
      </c>
      <c r="B233" s="13" t="s">
        <v>1592</v>
      </c>
      <c r="C233" s="13">
        <v>1</v>
      </c>
      <c r="D233" s="13">
        <v>0</v>
      </c>
      <c r="E233" s="13">
        <v>1</v>
      </c>
    </row>
    <row r="234" spans="1:5" x14ac:dyDescent="0.3">
      <c r="A234" s="13" t="s">
        <v>1</v>
      </c>
      <c r="B234" s="13" t="s">
        <v>1091</v>
      </c>
      <c r="C234" s="13">
        <v>1</v>
      </c>
      <c r="D234" s="13">
        <v>0</v>
      </c>
      <c r="E234" s="13">
        <v>1</v>
      </c>
    </row>
    <row r="235" spans="1:5" x14ac:dyDescent="0.3">
      <c r="A235" s="13" t="s">
        <v>1</v>
      </c>
      <c r="B235" s="13" t="s">
        <v>143</v>
      </c>
      <c r="C235" s="13">
        <v>1</v>
      </c>
      <c r="D235" s="13">
        <v>0</v>
      </c>
      <c r="E235" s="13">
        <v>1</v>
      </c>
    </row>
    <row r="236" spans="1:5" x14ac:dyDescent="0.3">
      <c r="A236" s="13" t="s">
        <v>1</v>
      </c>
      <c r="B236" s="13" t="s">
        <v>1547</v>
      </c>
      <c r="C236" s="13">
        <v>1</v>
      </c>
      <c r="D236" s="13">
        <v>0</v>
      </c>
      <c r="E236" s="13">
        <v>1</v>
      </c>
    </row>
    <row r="237" spans="1:5" x14ac:dyDescent="0.3">
      <c r="A237" s="13" t="s">
        <v>1</v>
      </c>
      <c r="B237" s="13" t="s">
        <v>791</v>
      </c>
      <c r="C237" s="13">
        <v>1</v>
      </c>
      <c r="D237" s="13">
        <v>0</v>
      </c>
      <c r="E237" s="13">
        <v>1</v>
      </c>
    </row>
    <row r="238" spans="1:5" x14ac:dyDescent="0.3">
      <c r="A238" s="13" t="s">
        <v>1</v>
      </c>
      <c r="B238" s="13" t="s">
        <v>85</v>
      </c>
      <c r="C238" s="13">
        <v>1</v>
      </c>
      <c r="D238" s="13">
        <v>0</v>
      </c>
      <c r="E238" s="13">
        <v>1</v>
      </c>
    </row>
    <row r="239" spans="1:5" x14ac:dyDescent="0.3">
      <c r="A239" s="13" t="s">
        <v>1</v>
      </c>
      <c r="B239" s="13" t="s">
        <v>606</v>
      </c>
      <c r="C239" s="13">
        <v>1</v>
      </c>
      <c r="D239" s="13">
        <v>0</v>
      </c>
      <c r="E239" s="13">
        <v>1</v>
      </c>
    </row>
    <row r="240" spans="1:5" x14ac:dyDescent="0.3">
      <c r="A240" s="13" t="s">
        <v>1</v>
      </c>
      <c r="B240" s="13" t="s">
        <v>215</v>
      </c>
      <c r="C240" s="13">
        <v>1</v>
      </c>
      <c r="D240" s="13">
        <v>0</v>
      </c>
      <c r="E240" s="13">
        <v>1</v>
      </c>
    </row>
    <row r="241" spans="1:5" x14ac:dyDescent="0.3">
      <c r="A241" s="13" t="s">
        <v>1</v>
      </c>
      <c r="B241" s="13" t="s">
        <v>610</v>
      </c>
      <c r="C241" s="13">
        <v>1</v>
      </c>
      <c r="D241" s="13">
        <v>0</v>
      </c>
      <c r="E241" s="13">
        <v>0</v>
      </c>
    </row>
    <row r="242" spans="1:5" x14ac:dyDescent="0.3">
      <c r="A242" s="13" t="s">
        <v>1</v>
      </c>
      <c r="B242" s="13" t="s">
        <v>646</v>
      </c>
      <c r="C242" s="13">
        <v>1</v>
      </c>
      <c r="D242" s="13">
        <v>0</v>
      </c>
      <c r="E242" s="13">
        <v>1</v>
      </c>
    </row>
    <row r="243" spans="1:5" x14ac:dyDescent="0.3">
      <c r="A243" s="13" t="s">
        <v>1</v>
      </c>
      <c r="B243" s="13" t="s">
        <v>153</v>
      </c>
      <c r="C243" s="13">
        <v>1</v>
      </c>
      <c r="D243" s="13">
        <v>0</v>
      </c>
      <c r="E243" s="13">
        <v>1</v>
      </c>
    </row>
    <row r="244" spans="1:5" x14ac:dyDescent="0.3">
      <c r="A244" s="13" t="s">
        <v>1</v>
      </c>
      <c r="B244" s="13" t="s">
        <v>1370</v>
      </c>
      <c r="C244" s="13">
        <v>1</v>
      </c>
      <c r="D244" s="13">
        <v>0</v>
      </c>
      <c r="E244" s="13">
        <v>1</v>
      </c>
    </row>
    <row r="245" spans="1:5" x14ac:dyDescent="0.3">
      <c r="A245" s="13" t="s">
        <v>1</v>
      </c>
      <c r="B245" s="13" t="s">
        <v>1833</v>
      </c>
      <c r="C245" s="13">
        <v>1</v>
      </c>
      <c r="D245" s="13">
        <v>0</v>
      </c>
      <c r="E245" s="13">
        <v>1</v>
      </c>
    </row>
    <row r="246" spans="1:5" x14ac:dyDescent="0.3">
      <c r="A246" s="13" t="s">
        <v>1</v>
      </c>
      <c r="B246" s="13" t="s">
        <v>1885</v>
      </c>
      <c r="C246" s="13">
        <v>1</v>
      </c>
      <c r="D246" s="13">
        <v>0</v>
      </c>
      <c r="E246" s="13">
        <v>1</v>
      </c>
    </row>
    <row r="247" spans="1:5" x14ac:dyDescent="0.3">
      <c r="A247" s="13" t="s">
        <v>1</v>
      </c>
      <c r="B247" s="13" t="s">
        <v>1881</v>
      </c>
      <c r="C247" s="13">
        <v>2</v>
      </c>
      <c r="D247" s="13">
        <v>0</v>
      </c>
      <c r="E247" s="13">
        <v>2</v>
      </c>
    </row>
    <row r="248" spans="1:5" x14ac:dyDescent="0.3">
      <c r="A248" s="13" t="s">
        <v>1</v>
      </c>
      <c r="B248" s="13" t="s">
        <v>2162</v>
      </c>
      <c r="C248" s="13">
        <v>1</v>
      </c>
      <c r="D248" s="13">
        <v>0</v>
      </c>
      <c r="E248" s="13">
        <v>1</v>
      </c>
    </row>
    <row r="249" spans="1:5" x14ac:dyDescent="0.3">
      <c r="A249" s="13" t="s">
        <v>1</v>
      </c>
      <c r="B249" s="13" t="s">
        <v>2203</v>
      </c>
      <c r="C249" s="13">
        <v>1</v>
      </c>
      <c r="D249" s="13">
        <v>0</v>
      </c>
      <c r="E249" s="13">
        <v>1</v>
      </c>
    </row>
    <row r="250" spans="1:5" x14ac:dyDescent="0.3">
      <c r="A250" s="13" t="s">
        <v>1</v>
      </c>
      <c r="B250" s="13" t="s">
        <v>1033</v>
      </c>
      <c r="C250" s="13">
        <v>1</v>
      </c>
      <c r="D250" s="13">
        <v>0</v>
      </c>
      <c r="E250" s="13">
        <v>1</v>
      </c>
    </row>
    <row r="251" spans="1:5" x14ac:dyDescent="0.3">
      <c r="A251" s="13" t="s">
        <v>1</v>
      </c>
      <c r="B251" s="13" t="s">
        <v>1762</v>
      </c>
      <c r="C251" s="13">
        <v>1</v>
      </c>
      <c r="D251" s="13">
        <v>0</v>
      </c>
      <c r="E251" s="13">
        <v>1</v>
      </c>
    </row>
    <row r="252" spans="1:5" x14ac:dyDescent="0.3">
      <c r="A252" s="13" t="s">
        <v>1</v>
      </c>
      <c r="B252" s="13" t="s">
        <v>1453</v>
      </c>
      <c r="C252" s="13">
        <v>1</v>
      </c>
      <c r="D252" s="13">
        <v>0</v>
      </c>
      <c r="E252" s="13">
        <v>2</v>
      </c>
    </row>
    <row r="253" spans="1:5" x14ac:dyDescent="0.3">
      <c r="A253" s="13" t="s">
        <v>1</v>
      </c>
      <c r="B253" s="13" t="s">
        <v>161</v>
      </c>
      <c r="C253" s="13">
        <v>1</v>
      </c>
      <c r="D253" s="13">
        <v>0</v>
      </c>
      <c r="E253" s="13">
        <v>1</v>
      </c>
    </row>
    <row r="254" spans="1:5" x14ac:dyDescent="0.3">
      <c r="A254" s="13" t="s">
        <v>1</v>
      </c>
      <c r="B254" s="13" t="s">
        <v>1084</v>
      </c>
      <c r="C254" s="13">
        <v>1</v>
      </c>
      <c r="D254" s="13">
        <v>0</v>
      </c>
      <c r="E254" s="13">
        <v>1</v>
      </c>
    </row>
    <row r="255" spans="1:5" x14ac:dyDescent="0.3">
      <c r="A255" s="13" t="s">
        <v>1</v>
      </c>
      <c r="B255" s="13" t="s">
        <v>1071</v>
      </c>
      <c r="C255" s="13">
        <v>1</v>
      </c>
      <c r="D255" s="13">
        <v>0</v>
      </c>
      <c r="E255" s="13">
        <v>1</v>
      </c>
    </row>
    <row r="256" spans="1:5" x14ac:dyDescent="0.3">
      <c r="A256" s="13" t="s">
        <v>1</v>
      </c>
      <c r="B256" s="13" t="s">
        <v>472</v>
      </c>
      <c r="C256" s="13">
        <v>1</v>
      </c>
      <c r="D256" s="13">
        <v>0</v>
      </c>
      <c r="E256" s="13">
        <v>1</v>
      </c>
    </row>
    <row r="257" spans="1:5" x14ac:dyDescent="0.3">
      <c r="A257" s="13" t="s">
        <v>1</v>
      </c>
      <c r="B257" s="13" t="s">
        <v>512</v>
      </c>
      <c r="C257" s="13">
        <v>1</v>
      </c>
      <c r="D257" s="13">
        <v>0</v>
      </c>
      <c r="E257" s="13">
        <v>0</v>
      </c>
    </row>
    <row r="258" spans="1:5" x14ac:dyDescent="0.3">
      <c r="A258" s="13" t="s">
        <v>1</v>
      </c>
      <c r="B258" s="13" t="s">
        <v>477</v>
      </c>
      <c r="C258" s="13">
        <v>1</v>
      </c>
      <c r="D258" s="13">
        <v>0</v>
      </c>
      <c r="E258" s="13">
        <v>1</v>
      </c>
    </row>
    <row r="259" spans="1:5" x14ac:dyDescent="0.3">
      <c r="A259" s="13" t="s">
        <v>1</v>
      </c>
      <c r="B259" s="13" t="s">
        <v>358</v>
      </c>
      <c r="C259" s="13">
        <v>1</v>
      </c>
      <c r="D259" s="13">
        <v>0</v>
      </c>
      <c r="E259" s="13">
        <v>1</v>
      </c>
    </row>
    <row r="260" spans="1:5" x14ac:dyDescent="0.3">
      <c r="A260" s="13" t="s">
        <v>1</v>
      </c>
      <c r="B260" s="13" t="s">
        <v>571</v>
      </c>
      <c r="C260" s="13">
        <v>1</v>
      </c>
      <c r="D260" s="13">
        <v>0</v>
      </c>
      <c r="E260" s="13">
        <v>1</v>
      </c>
    </row>
    <row r="261" spans="1:5" x14ac:dyDescent="0.3">
      <c r="A261" s="13" t="s">
        <v>1</v>
      </c>
      <c r="B261" s="13" t="s">
        <v>403</v>
      </c>
      <c r="C261" s="13">
        <v>1</v>
      </c>
      <c r="D261" s="13">
        <v>0</v>
      </c>
      <c r="E261" s="13">
        <v>1</v>
      </c>
    </row>
    <row r="262" spans="1:5" x14ac:dyDescent="0.3">
      <c r="A262" s="13" t="s">
        <v>1</v>
      </c>
      <c r="B262" s="13" t="s">
        <v>434</v>
      </c>
      <c r="C262" s="13">
        <v>1</v>
      </c>
      <c r="D262" s="13">
        <v>0</v>
      </c>
      <c r="E262" s="13">
        <v>1</v>
      </c>
    </row>
    <row r="263" spans="1:5" x14ac:dyDescent="0.3">
      <c r="A263" s="13" t="s">
        <v>1</v>
      </c>
      <c r="B263" s="13" t="s">
        <v>1338</v>
      </c>
      <c r="C263" s="13">
        <v>1</v>
      </c>
      <c r="D263" s="13">
        <v>0</v>
      </c>
      <c r="E263" s="13">
        <v>1</v>
      </c>
    </row>
    <row r="264" spans="1:5" x14ac:dyDescent="0.3">
      <c r="A264" s="13" t="s">
        <v>1</v>
      </c>
      <c r="B264" s="13" t="s">
        <v>334</v>
      </c>
      <c r="C264" s="13">
        <v>1</v>
      </c>
      <c r="D264" s="13">
        <v>0</v>
      </c>
      <c r="E264" s="13">
        <v>1</v>
      </c>
    </row>
    <row r="265" spans="1:5" x14ac:dyDescent="0.3">
      <c r="A265" s="13" t="s">
        <v>1</v>
      </c>
      <c r="B265" s="13" t="s">
        <v>661</v>
      </c>
      <c r="C265" s="13">
        <v>1</v>
      </c>
      <c r="D265" s="13">
        <v>0</v>
      </c>
      <c r="E265" s="13">
        <v>1</v>
      </c>
    </row>
    <row r="266" spans="1:5" x14ac:dyDescent="0.3">
      <c r="A266" s="13" t="s">
        <v>1</v>
      </c>
      <c r="B266" s="13" t="s">
        <v>668</v>
      </c>
      <c r="C266" s="13">
        <v>1</v>
      </c>
      <c r="D266" s="13">
        <v>0</v>
      </c>
      <c r="E266" s="13">
        <v>1</v>
      </c>
    </row>
    <row r="267" spans="1:5" x14ac:dyDescent="0.3">
      <c r="A267" s="13" t="s">
        <v>1</v>
      </c>
      <c r="B267" s="13" t="s">
        <v>2045</v>
      </c>
      <c r="C267" s="13">
        <v>1</v>
      </c>
      <c r="D267" s="13">
        <v>0</v>
      </c>
      <c r="E267" s="13">
        <v>0</v>
      </c>
    </row>
    <row r="268" spans="1:5" x14ac:dyDescent="0.3">
      <c r="A268" s="13" t="s">
        <v>1</v>
      </c>
      <c r="B268" s="13" t="s">
        <v>255</v>
      </c>
      <c r="C268" s="13">
        <v>1</v>
      </c>
      <c r="D268" s="13">
        <v>0</v>
      </c>
      <c r="E268" s="13">
        <v>1</v>
      </c>
    </row>
    <row r="269" spans="1:5" x14ac:dyDescent="0.3">
      <c r="A269" s="13" t="s">
        <v>1</v>
      </c>
      <c r="B269" s="13" t="s">
        <v>125</v>
      </c>
      <c r="C269" s="13">
        <v>1</v>
      </c>
      <c r="D269" s="13">
        <v>0</v>
      </c>
      <c r="E269" s="13">
        <v>1</v>
      </c>
    </row>
    <row r="270" spans="1:5" x14ac:dyDescent="0.3">
      <c r="A270" s="13" t="s">
        <v>1</v>
      </c>
      <c r="B270" s="13" t="s">
        <v>782</v>
      </c>
      <c r="C270" s="13">
        <v>1</v>
      </c>
      <c r="D270" s="13">
        <v>0</v>
      </c>
      <c r="E270" s="13">
        <v>1</v>
      </c>
    </row>
    <row r="271" spans="1:5" x14ac:dyDescent="0.3">
      <c r="A271" s="13" t="s">
        <v>1</v>
      </c>
      <c r="B271" s="13" t="s">
        <v>231</v>
      </c>
      <c r="C271" s="13">
        <v>1</v>
      </c>
      <c r="D271" s="13">
        <v>0</v>
      </c>
      <c r="E271" s="13">
        <v>1</v>
      </c>
    </row>
    <row r="272" spans="1:5" x14ac:dyDescent="0.3">
      <c r="A272" s="13" t="s">
        <v>1</v>
      </c>
      <c r="B272" s="13" t="s">
        <v>66</v>
      </c>
      <c r="C272" s="13">
        <v>2</v>
      </c>
      <c r="D272" s="13">
        <v>0</v>
      </c>
      <c r="E272" s="13">
        <v>5</v>
      </c>
    </row>
    <row r="273" spans="1:5" x14ac:dyDescent="0.3">
      <c r="A273" s="13" t="s">
        <v>1</v>
      </c>
      <c r="B273" s="13" t="s">
        <v>67</v>
      </c>
      <c r="C273" s="13">
        <v>1</v>
      </c>
      <c r="D273" s="13">
        <v>0</v>
      </c>
      <c r="E273" s="13">
        <v>1</v>
      </c>
    </row>
    <row r="274" spans="1:5" x14ac:dyDescent="0.3">
      <c r="A274" s="13" t="s">
        <v>1</v>
      </c>
      <c r="B274" s="13" t="s">
        <v>192</v>
      </c>
      <c r="C274" s="13">
        <v>1</v>
      </c>
      <c r="D274" s="13">
        <v>0</v>
      </c>
      <c r="E274" s="13">
        <v>1</v>
      </c>
    </row>
    <row r="275" spans="1:5" x14ac:dyDescent="0.3">
      <c r="A275" s="13" t="s">
        <v>1</v>
      </c>
      <c r="B275" s="13" t="s">
        <v>55</v>
      </c>
      <c r="C275" s="13">
        <v>1</v>
      </c>
      <c r="D275" s="13">
        <v>0</v>
      </c>
      <c r="E275" s="13">
        <v>1</v>
      </c>
    </row>
    <row r="276" spans="1:5" x14ac:dyDescent="0.3">
      <c r="A276" s="13" t="s">
        <v>0</v>
      </c>
      <c r="B276" s="13" t="s">
        <v>78</v>
      </c>
      <c r="C276" s="13">
        <v>1</v>
      </c>
      <c r="D276" s="13">
        <v>0</v>
      </c>
      <c r="E276" s="13">
        <v>1</v>
      </c>
    </row>
    <row r="277" spans="1:5" x14ac:dyDescent="0.3">
      <c r="A277" s="13" t="s">
        <v>0</v>
      </c>
      <c r="B277" s="13" t="s">
        <v>1654</v>
      </c>
      <c r="C277" s="13">
        <v>1</v>
      </c>
      <c r="D277" s="13">
        <v>0</v>
      </c>
      <c r="E277" s="13">
        <v>1</v>
      </c>
    </row>
    <row r="278" spans="1:5" x14ac:dyDescent="0.3">
      <c r="A278" s="13" t="s">
        <v>0</v>
      </c>
      <c r="B278" s="13" t="s">
        <v>1988</v>
      </c>
      <c r="C278" s="13">
        <v>1</v>
      </c>
      <c r="D278" s="13">
        <v>0</v>
      </c>
      <c r="E278" s="13">
        <v>1</v>
      </c>
    </row>
    <row r="279" spans="1:5" x14ac:dyDescent="0.3">
      <c r="A279" s="13" t="s">
        <v>0</v>
      </c>
      <c r="B279" s="13" t="s">
        <v>1969</v>
      </c>
      <c r="C279" s="13">
        <v>1</v>
      </c>
      <c r="D279" s="13">
        <v>0</v>
      </c>
      <c r="E279" s="13">
        <v>1</v>
      </c>
    </row>
    <row r="280" spans="1:5" x14ac:dyDescent="0.3">
      <c r="A280" s="13" t="s">
        <v>0</v>
      </c>
      <c r="B280" s="13" t="s">
        <v>2069</v>
      </c>
      <c r="C280" s="13">
        <v>1</v>
      </c>
      <c r="D280" s="13">
        <v>0</v>
      </c>
      <c r="E280" s="13">
        <v>1</v>
      </c>
    </row>
    <row r="281" spans="1:5" x14ac:dyDescent="0.3">
      <c r="A281" s="13" t="s">
        <v>0</v>
      </c>
      <c r="B281" s="13" t="s">
        <v>2126</v>
      </c>
      <c r="C281" s="13">
        <v>1</v>
      </c>
      <c r="D281" s="13">
        <v>0</v>
      </c>
      <c r="E281" s="13">
        <v>1</v>
      </c>
    </row>
    <row r="282" spans="1:5" x14ac:dyDescent="0.3">
      <c r="A282" s="13" t="s">
        <v>0</v>
      </c>
      <c r="B282" s="13" t="s">
        <v>2149</v>
      </c>
      <c r="C282" s="13">
        <v>2</v>
      </c>
      <c r="D282" s="13">
        <v>0</v>
      </c>
      <c r="E282" s="13">
        <v>2</v>
      </c>
    </row>
    <row r="283" spans="1:5" x14ac:dyDescent="0.3">
      <c r="A283" s="13" t="s">
        <v>0</v>
      </c>
      <c r="B283" s="13" t="s">
        <v>2179</v>
      </c>
      <c r="C283" s="13">
        <v>1</v>
      </c>
      <c r="D283" s="13">
        <v>0</v>
      </c>
      <c r="E283" s="13">
        <v>1</v>
      </c>
    </row>
    <row r="284" spans="1:5" x14ac:dyDescent="0.3">
      <c r="A284" s="13" t="s">
        <v>0</v>
      </c>
      <c r="B284" s="13" t="s">
        <v>2229</v>
      </c>
      <c r="C284" s="13">
        <v>1</v>
      </c>
      <c r="D284" s="13">
        <v>0</v>
      </c>
      <c r="E284" s="13">
        <v>1</v>
      </c>
    </row>
    <row r="285" spans="1:5" x14ac:dyDescent="0.3">
      <c r="A285" s="13" t="s">
        <v>0</v>
      </c>
      <c r="B285" s="13" t="s">
        <v>1420</v>
      </c>
      <c r="C285" s="13">
        <v>1</v>
      </c>
      <c r="D285" s="13">
        <v>0</v>
      </c>
      <c r="E285" s="13">
        <v>1</v>
      </c>
    </row>
    <row r="286" spans="1:5" x14ac:dyDescent="0.3">
      <c r="A286" s="13" t="s">
        <v>0</v>
      </c>
      <c r="B286" s="13" t="s">
        <v>2285</v>
      </c>
      <c r="C286" s="13">
        <v>1</v>
      </c>
      <c r="D286" s="13">
        <v>0</v>
      </c>
      <c r="E286" s="13">
        <v>1</v>
      </c>
    </row>
    <row r="287" spans="1:5" x14ac:dyDescent="0.3">
      <c r="A287" s="13" t="s">
        <v>0</v>
      </c>
      <c r="B287" s="13" t="s">
        <v>1785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0</v>
      </c>
      <c r="B288" s="13" t="s">
        <v>123</v>
      </c>
      <c r="C288" s="13">
        <v>1</v>
      </c>
      <c r="D288" s="13">
        <v>0</v>
      </c>
      <c r="E288" s="13">
        <v>1</v>
      </c>
    </row>
    <row r="289" spans="1:5" x14ac:dyDescent="0.3">
      <c r="A289" s="13" t="s">
        <v>0</v>
      </c>
      <c r="B289" s="13" t="s">
        <v>1642</v>
      </c>
      <c r="C289" s="13">
        <v>1</v>
      </c>
      <c r="D289" s="13">
        <v>0</v>
      </c>
      <c r="E289" s="13">
        <v>1</v>
      </c>
    </row>
    <row r="290" spans="1:5" x14ac:dyDescent="0.3">
      <c r="A290" s="13" t="s">
        <v>0</v>
      </c>
      <c r="B290" s="13" t="s">
        <v>538</v>
      </c>
      <c r="C290" s="13">
        <v>1</v>
      </c>
      <c r="D290" s="13">
        <v>0</v>
      </c>
      <c r="E290" s="13">
        <v>1</v>
      </c>
    </row>
    <row r="291" spans="1:5" x14ac:dyDescent="0.3">
      <c r="A291" s="13" t="s">
        <v>0</v>
      </c>
      <c r="B291" s="13" t="s">
        <v>1476</v>
      </c>
      <c r="C291" s="13">
        <v>1</v>
      </c>
      <c r="D291" s="13">
        <v>0</v>
      </c>
      <c r="E291" s="13">
        <v>1</v>
      </c>
    </row>
    <row r="292" spans="1:5" x14ac:dyDescent="0.3">
      <c r="A292" s="13" t="s">
        <v>0</v>
      </c>
      <c r="B292" s="13" t="s">
        <v>231</v>
      </c>
      <c r="C292" s="13">
        <v>1</v>
      </c>
      <c r="D292" s="13">
        <v>0</v>
      </c>
      <c r="E292" s="13">
        <v>2</v>
      </c>
    </row>
    <row r="293" spans="1:5" x14ac:dyDescent="0.3">
      <c r="A293" s="13" t="s">
        <v>0</v>
      </c>
      <c r="B293" s="13" t="s">
        <v>191</v>
      </c>
      <c r="C293" s="13">
        <v>1</v>
      </c>
      <c r="D293" s="13">
        <v>0</v>
      </c>
      <c r="E293" s="13">
        <v>1</v>
      </c>
    </row>
    <row r="294" spans="1:5" x14ac:dyDescent="0.3">
      <c r="A294" s="13" t="s">
        <v>0</v>
      </c>
      <c r="B294" s="13" t="s">
        <v>54</v>
      </c>
      <c r="C294" s="13">
        <v>1</v>
      </c>
      <c r="D294" s="13">
        <v>0</v>
      </c>
      <c r="E294" s="13">
        <v>1</v>
      </c>
    </row>
    <row r="295" spans="1:5" x14ac:dyDescent="0.3">
      <c r="A295" s="13" t="s">
        <v>0</v>
      </c>
      <c r="B295" s="13" t="s">
        <v>235</v>
      </c>
      <c r="C295" s="13">
        <v>1</v>
      </c>
      <c r="D295" s="13">
        <v>0</v>
      </c>
      <c r="E295" s="13">
        <v>1</v>
      </c>
    </row>
    <row r="296" spans="1:5" x14ac:dyDescent="0.3">
      <c r="A296" s="13" t="s">
        <v>0</v>
      </c>
      <c r="B296" s="13" t="s">
        <v>55</v>
      </c>
      <c r="C296" s="13">
        <v>1</v>
      </c>
      <c r="D296" s="13">
        <v>0</v>
      </c>
      <c r="E296" s="13">
        <v>2</v>
      </c>
    </row>
    <row r="297" spans="1:5" x14ac:dyDescent="0.3">
      <c r="A297" s="13" t="s">
        <v>0</v>
      </c>
      <c r="B297" s="13" t="s">
        <v>2092</v>
      </c>
      <c r="C297" s="13">
        <v>1</v>
      </c>
      <c r="D297" s="13">
        <v>0</v>
      </c>
      <c r="E297" s="13">
        <v>1</v>
      </c>
    </row>
    <row r="298" spans="1:5" x14ac:dyDescent="0.3">
      <c r="A298" s="13" t="s">
        <v>2</v>
      </c>
      <c r="B298" s="13" t="s">
        <v>2162</v>
      </c>
      <c r="C298" s="13">
        <v>1</v>
      </c>
      <c r="D298" s="13">
        <v>0</v>
      </c>
      <c r="E298" s="13">
        <v>1</v>
      </c>
    </row>
    <row r="299" spans="1:5" x14ac:dyDescent="0.3">
      <c r="A299" s="13" t="s">
        <v>2</v>
      </c>
      <c r="B299" s="13" t="s">
        <v>128</v>
      </c>
      <c r="C299" s="13">
        <v>1</v>
      </c>
      <c r="D299" s="13">
        <v>0</v>
      </c>
      <c r="E299" s="13">
        <v>1</v>
      </c>
    </row>
    <row r="300" spans="1:5" x14ac:dyDescent="0.3">
      <c r="A300" s="13"/>
      <c r="B300" s="13"/>
      <c r="C300" s="13"/>
      <c r="D300" s="13"/>
      <c r="E300" s="13"/>
    </row>
    <row r="301" spans="1:5" x14ac:dyDescent="0.3">
      <c r="A301" s="13"/>
      <c r="B301" s="13"/>
      <c r="C301" s="13"/>
      <c r="D301" s="13"/>
      <c r="E301" s="13"/>
    </row>
    <row r="302" spans="1:5" x14ac:dyDescent="0.3">
      <c r="A302" s="13"/>
      <c r="B302" s="13"/>
      <c r="C302" s="13"/>
      <c r="D302" s="13"/>
      <c r="E302" s="13"/>
    </row>
    <row r="303" spans="1:5" x14ac:dyDescent="0.3">
      <c r="A303" s="13"/>
      <c r="B303" s="13"/>
      <c r="C303" s="13"/>
      <c r="D303" s="13"/>
      <c r="E303" s="13"/>
    </row>
    <row r="304" spans="1:5" x14ac:dyDescent="0.3">
      <c r="A304" s="13"/>
      <c r="B304" s="13"/>
      <c r="C304" s="13"/>
      <c r="D304" s="13"/>
      <c r="E304" s="13"/>
    </row>
    <row r="305" spans="1:5" x14ac:dyDescent="0.3">
      <c r="A305" s="13"/>
      <c r="B305" s="13"/>
      <c r="C305" s="13"/>
      <c r="D305" s="13"/>
      <c r="E305" s="13"/>
    </row>
    <row r="306" spans="1:5" x14ac:dyDescent="0.3">
      <c r="A306" s="13"/>
      <c r="B306" s="13"/>
      <c r="C306" s="13"/>
      <c r="D306" s="13"/>
      <c r="E306" s="13"/>
    </row>
    <row r="307" spans="1:5" x14ac:dyDescent="0.3">
      <c r="A307" s="13"/>
      <c r="B307" s="13"/>
      <c r="C307" s="13"/>
      <c r="D307" s="13"/>
      <c r="E307" s="13"/>
    </row>
    <row r="308" spans="1:5" x14ac:dyDescent="0.3">
      <c r="A308" s="13"/>
      <c r="B308" s="13"/>
      <c r="C308" s="13"/>
      <c r="D308" s="13"/>
      <c r="E308" s="13"/>
    </row>
    <row r="309" spans="1:5" x14ac:dyDescent="0.3">
      <c r="A309" s="13"/>
      <c r="B309" s="13"/>
      <c r="C309" s="13"/>
      <c r="D309" s="13"/>
      <c r="E309" s="13"/>
    </row>
    <row r="310" spans="1:5" x14ac:dyDescent="0.3">
      <c r="A310" s="13"/>
      <c r="B310" s="13"/>
      <c r="C310" s="13"/>
      <c r="D310" s="13"/>
      <c r="E310" s="13"/>
    </row>
    <row r="311" spans="1:5" x14ac:dyDescent="0.3">
      <c r="A311" s="13"/>
      <c r="B311" s="13"/>
      <c r="C311" s="13"/>
      <c r="D311" s="13"/>
      <c r="E311" s="13"/>
    </row>
    <row r="312" spans="1:5" x14ac:dyDescent="0.3">
      <c r="A312" s="13"/>
      <c r="B312" s="13"/>
      <c r="C312" s="13"/>
      <c r="D312" s="13"/>
      <c r="E312" s="13"/>
    </row>
    <row r="313" spans="1:5" x14ac:dyDescent="0.3">
      <c r="A313" s="13"/>
      <c r="B313" s="13"/>
      <c r="C313" s="13"/>
      <c r="D313" s="13"/>
      <c r="E313" s="13"/>
    </row>
    <row r="314" spans="1:5" x14ac:dyDescent="0.3">
      <c r="A314" s="13"/>
      <c r="B314" s="13"/>
      <c r="C314" s="13"/>
      <c r="D314" s="13"/>
      <c r="E314" s="13"/>
    </row>
    <row r="315" spans="1:5" x14ac:dyDescent="0.3">
      <c r="A315" s="13"/>
      <c r="B315" s="13"/>
      <c r="C315" s="13"/>
      <c r="D315" s="13"/>
      <c r="E315" s="13"/>
    </row>
    <row r="316" spans="1:5" x14ac:dyDescent="0.3">
      <c r="A316" s="13"/>
      <c r="B316" s="13"/>
      <c r="C316" s="13"/>
      <c r="D316" s="13"/>
      <c r="E316" s="13"/>
    </row>
    <row r="317" spans="1:5" x14ac:dyDescent="0.3">
      <c r="A317" s="13"/>
      <c r="B317" s="13"/>
      <c r="C317" s="13"/>
      <c r="D317" s="13"/>
      <c r="E317" s="13"/>
    </row>
    <row r="318" spans="1:5" x14ac:dyDescent="0.3">
      <c r="A318" s="13"/>
      <c r="B318" s="13"/>
      <c r="C318" s="13"/>
      <c r="D318" s="13"/>
      <c r="E318" s="13"/>
    </row>
    <row r="319" spans="1:5" x14ac:dyDescent="0.3">
      <c r="A319" s="13"/>
      <c r="B319" s="13"/>
      <c r="C319" s="13"/>
      <c r="D319" s="13"/>
      <c r="E319" s="13"/>
    </row>
    <row r="320" spans="1:5" x14ac:dyDescent="0.3">
      <c r="A320" s="13"/>
      <c r="B320" s="13"/>
      <c r="C320" s="13"/>
      <c r="D320" s="13"/>
      <c r="E320" s="13"/>
    </row>
    <row r="321" spans="1:5" x14ac:dyDescent="0.3">
      <c r="A321" s="13"/>
      <c r="B321" s="13"/>
      <c r="C321" s="13"/>
      <c r="D321" s="13"/>
      <c r="E321" s="13"/>
    </row>
    <row r="322" spans="1:5" x14ac:dyDescent="0.3">
      <c r="A322" s="13"/>
      <c r="B322" s="13"/>
      <c r="C322" s="13"/>
      <c r="D322" s="13"/>
      <c r="E322" s="13"/>
    </row>
    <row r="323" spans="1:5" x14ac:dyDescent="0.3">
      <c r="A323" s="13"/>
      <c r="B323" s="13"/>
      <c r="C323" s="13"/>
      <c r="D323" s="13"/>
      <c r="E323" s="13"/>
    </row>
    <row r="324" spans="1:5" x14ac:dyDescent="0.3">
      <c r="A324" s="13"/>
      <c r="B324" s="13"/>
      <c r="C324" s="13"/>
      <c r="D324" s="13"/>
      <c r="E324" s="13"/>
    </row>
    <row r="325" spans="1:5" x14ac:dyDescent="0.3">
      <c r="A325" s="13"/>
      <c r="B325" s="13"/>
      <c r="C325" s="13"/>
      <c r="D325" s="13"/>
      <c r="E325" s="13"/>
    </row>
    <row r="326" spans="1:5" x14ac:dyDescent="0.3">
      <c r="A326" s="13"/>
      <c r="B326" s="13"/>
      <c r="C326" s="13"/>
      <c r="D326" s="13"/>
      <c r="E326" s="13"/>
    </row>
    <row r="327" spans="1:5" x14ac:dyDescent="0.3">
      <c r="A327" s="13"/>
      <c r="B327" s="13"/>
      <c r="C327" s="13"/>
      <c r="D327" s="13"/>
      <c r="E327" s="13"/>
    </row>
    <row r="328" spans="1:5" x14ac:dyDescent="0.3">
      <c r="A328" s="13"/>
      <c r="B328" s="13"/>
      <c r="C328" s="13"/>
      <c r="D328" s="13"/>
      <c r="E328" s="13"/>
    </row>
    <row r="329" spans="1:5" x14ac:dyDescent="0.3">
      <c r="A329" s="13"/>
      <c r="B329" s="13"/>
      <c r="C329" s="13"/>
      <c r="D329" s="13"/>
      <c r="E329" s="13"/>
    </row>
    <row r="330" spans="1:5" x14ac:dyDescent="0.3">
      <c r="A330" s="13"/>
      <c r="B330" s="13"/>
      <c r="C330" s="13"/>
      <c r="D330" s="13"/>
      <c r="E330" s="13"/>
    </row>
    <row r="331" spans="1:5" x14ac:dyDescent="0.3">
      <c r="A331" s="13"/>
      <c r="B331" s="13"/>
      <c r="C331" s="13"/>
      <c r="D331" s="13"/>
      <c r="E331" s="13"/>
    </row>
    <row r="332" spans="1:5" x14ac:dyDescent="0.3">
      <c r="A332" s="13"/>
      <c r="B332" s="13"/>
      <c r="C332" s="13"/>
      <c r="D332" s="13"/>
      <c r="E332" s="13"/>
    </row>
    <row r="333" spans="1:5" x14ac:dyDescent="0.3">
      <c r="A333" s="13"/>
      <c r="B333" s="13"/>
      <c r="C333" s="13"/>
      <c r="D333" s="13"/>
      <c r="E333" s="13"/>
    </row>
    <row r="334" spans="1:5" x14ac:dyDescent="0.3">
      <c r="A334" s="13"/>
      <c r="B334" s="13"/>
      <c r="C334" s="13"/>
      <c r="D334" s="13"/>
      <c r="E334" s="13"/>
    </row>
    <row r="335" spans="1:5" x14ac:dyDescent="0.3">
      <c r="A335" s="13"/>
      <c r="B335" s="13"/>
      <c r="C335" s="13"/>
      <c r="D335" s="13"/>
      <c r="E335" s="13"/>
    </row>
    <row r="336" spans="1:5" x14ac:dyDescent="0.3">
      <c r="A336" s="13"/>
      <c r="B336" s="13"/>
      <c r="C336" s="13"/>
      <c r="D336" s="13"/>
      <c r="E336" s="13"/>
    </row>
    <row r="337" spans="1:5" x14ac:dyDescent="0.3">
      <c r="A337" s="13"/>
      <c r="B337" s="13"/>
      <c r="C337" s="13"/>
      <c r="D337" s="13"/>
      <c r="E337" s="13"/>
    </row>
    <row r="338" spans="1:5" x14ac:dyDescent="0.3">
      <c r="A338" s="13"/>
      <c r="B338" s="13"/>
      <c r="C338" s="13"/>
      <c r="D338" s="13"/>
      <c r="E338" s="13"/>
    </row>
    <row r="339" spans="1:5" x14ac:dyDescent="0.3">
      <c r="A339" s="13"/>
      <c r="B339" s="13"/>
      <c r="C339" s="13"/>
      <c r="D339" s="13"/>
      <c r="E339" s="13"/>
    </row>
    <row r="340" spans="1:5" x14ac:dyDescent="0.3">
      <c r="A340" s="13"/>
      <c r="B340" s="13"/>
      <c r="C340" s="13"/>
      <c r="D340" s="13"/>
      <c r="E340" s="13"/>
    </row>
    <row r="341" spans="1:5" x14ac:dyDescent="0.3">
      <c r="A341" s="13"/>
      <c r="B341" s="13"/>
      <c r="C341" s="13"/>
      <c r="D341" s="13"/>
      <c r="E341" s="13"/>
    </row>
    <row r="342" spans="1:5" x14ac:dyDescent="0.3">
      <c r="A342" s="13"/>
      <c r="B342" s="13"/>
      <c r="C342" s="13"/>
      <c r="D342" s="13"/>
      <c r="E342" s="13"/>
    </row>
    <row r="343" spans="1:5" x14ac:dyDescent="0.3">
      <c r="A343" s="13"/>
      <c r="B343" s="13"/>
      <c r="C343" s="13"/>
      <c r="D343" s="13"/>
      <c r="E343" s="13"/>
    </row>
    <row r="344" spans="1:5" x14ac:dyDescent="0.3">
      <c r="A344" s="13"/>
      <c r="B344" s="13"/>
      <c r="C344" s="13"/>
      <c r="D344" s="13"/>
      <c r="E344" s="13"/>
    </row>
    <row r="345" spans="1:5" x14ac:dyDescent="0.3">
      <c r="A345" s="13"/>
      <c r="B345" s="13"/>
      <c r="C345" s="13"/>
      <c r="D345" s="13"/>
      <c r="E345" s="13"/>
    </row>
    <row r="346" spans="1:5" x14ac:dyDescent="0.3">
      <c r="A346" s="13"/>
      <c r="B346" s="13"/>
      <c r="C346" s="13"/>
      <c r="D346" s="13"/>
      <c r="E346" s="13"/>
    </row>
    <row r="347" spans="1:5" x14ac:dyDescent="0.3">
      <c r="A347" s="13"/>
      <c r="B347" s="13"/>
      <c r="C347" s="13"/>
      <c r="D347" s="13"/>
      <c r="E347" s="13"/>
    </row>
    <row r="348" spans="1:5" x14ac:dyDescent="0.3">
      <c r="A348" s="13"/>
      <c r="B348" s="13"/>
      <c r="C348" s="13"/>
      <c r="D348" s="13"/>
      <c r="E348" s="13"/>
    </row>
    <row r="349" spans="1:5" x14ac:dyDescent="0.3">
      <c r="A349" s="13"/>
      <c r="B349" s="13"/>
      <c r="C349" s="13"/>
      <c r="D349" s="13"/>
      <c r="E349" s="13"/>
    </row>
    <row r="350" spans="1:5" x14ac:dyDescent="0.3">
      <c r="A350" s="13"/>
      <c r="B350" s="13"/>
      <c r="C350" s="13"/>
      <c r="D350" s="13"/>
      <c r="E350" s="13"/>
    </row>
    <row r="351" spans="1:5" x14ac:dyDescent="0.3">
      <c r="A351" s="13"/>
      <c r="B351" s="13"/>
      <c r="C351" s="13"/>
      <c r="D351" s="13"/>
      <c r="E351" s="13"/>
    </row>
    <row r="352" spans="1:5" x14ac:dyDescent="0.3">
      <c r="A352" s="13"/>
      <c r="B352" s="13"/>
      <c r="C352" s="13"/>
      <c r="D352" s="13"/>
      <c r="E352" s="13"/>
    </row>
    <row r="353" spans="1:5" x14ac:dyDescent="0.3">
      <c r="A353" s="13"/>
      <c r="B353" s="13"/>
      <c r="C353" s="13"/>
      <c r="D353" s="13"/>
      <c r="E353" s="13"/>
    </row>
    <row r="354" spans="1:5" x14ac:dyDescent="0.3">
      <c r="A354" s="13"/>
      <c r="B354" s="13"/>
      <c r="C354" s="13"/>
      <c r="D354" s="13"/>
      <c r="E354" s="13"/>
    </row>
    <row r="355" spans="1:5" x14ac:dyDescent="0.3">
      <c r="A355" s="13"/>
      <c r="B355" s="13"/>
      <c r="C355" s="13"/>
      <c r="D355" s="13"/>
      <c r="E355" s="13"/>
    </row>
    <row r="356" spans="1:5" x14ac:dyDescent="0.3">
      <c r="A356" s="13"/>
      <c r="B356" s="13"/>
      <c r="C356" s="13"/>
      <c r="D356" s="13"/>
      <c r="E356" s="13"/>
    </row>
    <row r="357" spans="1:5" x14ac:dyDescent="0.3">
      <c r="A357" s="13"/>
      <c r="B357" s="13"/>
      <c r="C357" s="13"/>
      <c r="D357" s="13"/>
      <c r="E357" s="13"/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968F1-62CA-422A-ACCA-D315753DC53D}">
  <sheetPr codeName="Sheet35"/>
  <dimension ref="A1:M620"/>
  <sheetViews>
    <sheetView workbookViewId="0">
      <selection activeCell="A2" sqref="A2:E354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1067</v>
      </c>
      <c r="C2" s="13">
        <v>55</v>
      </c>
      <c r="D2" s="13">
        <v>53</v>
      </c>
      <c r="E2" s="13">
        <v>57</v>
      </c>
    </row>
    <row r="3" spans="1:13" customFormat="1" x14ac:dyDescent="0.3">
      <c r="A3" s="13" t="s">
        <v>1</v>
      </c>
      <c r="B3" s="13" t="s">
        <v>135</v>
      </c>
      <c r="C3" s="13">
        <v>53</v>
      </c>
      <c r="D3" s="13">
        <v>48</v>
      </c>
      <c r="E3" s="13">
        <v>54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60</v>
      </c>
      <c r="C4" s="13">
        <v>39</v>
      </c>
      <c r="D4" s="13">
        <v>39</v>
      </c>
      <c r="E4" s="13">
        <v>39</v>
      </c>
      <c r="G4" s="19" t="s">
        <v>8</v>
      </c>
      <c r="H4" s="15">
        <f>H13+H14</f>
        <v>366</v>
      </c>
      <c r="I4" s="16">
        <f>H4/H$6</f>
        <v>0.50343878954607979</v>
      </c>
      <c r="J4" s="15">
        <f>I13+I14</f>
        <v>250</v>
      </c>
      <c r="K4" s="16">
        <f>J4/J$6</f>
        <v>0.44014084507042256</v>
      </c>
      <c r="L4" s="15">
        <f>J13+J14</f>
        <v>400</v>
      </c>
      <c r="M4" s="25">
        <f>L4/L$6</f>
        <v>0.51150895140664965</v>
      </c>
    </row>
    <row r="5" spans="1:13" customFormat="1" x14ac:dyDescent="0.3">
      <c r="A5" s="13" t="s">
        <v>0</v>
      </c>
      <c r="B5" s="13" t="s">
        <v>29</v>
      </c>
      <c r="C5" s="13">
        <v>22</v>
      </c>
      <c r="D5" s="13">
        <v>21</v>
      </c>
      <c r="E5" s="13">
        <v>23</v>
      </c>
      <c r="G5" s="19" t="s">
        <v>10</v>
      </c>
      <c r="H5" s="15">
        <f>H15+H16</f>
        <v>361</v>
      </c>
      <c r="I5" s="16">
        <f>H5/H$6</f>
        <v>0.49656121045392021</v>
      </c>
      <c r="J5" s="15">
        <f>I15+I16</f>
        <v>318</v>
      </c>
      <c r="K5" s="16">
        <f>J5/J$6</f>
        <v>0.5598591549295775</v>
      </c>
      <c r="L5" s="15">
        <f>J15+J16</f>
        <v>382</v>
      </c>
      <c r="M5" s="25">
        <f>L5/L$6</f>
        <v>0.48849104859335041</v>
      </c>
    </row>
    <row r="6" spans="1:13" customFormat="1" ht="17.25" thickBot="1" x14ac:dyDescent="0.35">
      <c r="A6" s="13" t="s">
        <v>1</v>
      </c>
      <c r="B6" s="13" t="s">
        <v>30</v>
      </c>
      <c r="C6" s="13">
        <v>26</v>
      </c>
      <c r="D6" s="13">
        <v>15</v>
      </c>
      <c r="E6" s="13">
        <v>36</v>
      </c>
      <c r="G6" s="22"/>
      <c r="H6" s="26">
        <f>SUM(H4:H5)</f>
        <v>727</v>
      </c>
      <c r="I6" s="27">
        <f>I4+I5</f>
        <v>1</v>
      </c>
      <c r="J6" s="26">
        <f>SUM(J4:J5)</f>
        <v>568</v>
      </c>
      <c r="K6" s="27">
        <f>K4+K5</f>
        <v>1</v>
      </c>
      <c r="L6" s="26">
        <f>SUM(L4:L5)</f>
        <v>782</v>
      </c>
      <c r="M6" s="28">
        <f>M4+M5</f>
        <v>1</v>
      </c>
    </row>
    <row r="7" spans="1:13" customFormat="1" x14ac:dyDescent="0.3">
      <c r="A7" s="13" t="s">
        <v>0</v>
      </c>
      <c r="B7" s="13" t="s">
        <v>31</v>
      </c>
      <c r="C7" s="13">
        <v>12</v>
      </c>
      <c r="D7" s="13">
        <v>11</v>
      </c>
      <c r="E7" s="13">
        <v>13</v>
      </c>
    </row>
    <row r="8" spans="1:13" customFormat="1" x14ac:dyDescent="0.3">
      <c r="A8" s="13" t="s">
        <v>1</v>
      </c>
      <c r="B8" s="13" t="s">
        <v>1741</v>
      </c>
      <c r="C8" s="13">
        <v>9</v>
      </c>
      <c r="D8" s="13">
        <v>9</v>
      </c>
      <c r="E8" s="13">
        <v>11</v>
      </c>
    </row>
    <row r="9" spans="1:13" customFormat="1" x14ac:dyDescent="0.3">
      <c r="A9" s="13" t="s">
        <v>0</v>
      </c>
      <c r="B9" s="13" t="s">
        <v>37</v>
      </c>
      <c r="C9" s="13">
        <v>9</v>
      </c>
      <c r="D9" s="13">
        <v>9</v>
      </c>
      <c r="E9" s="13">
        <v>10</v>
      </c>
    </row>
    <row r="10" spans="1:13" customFormat="1" ht="17.25" thickBot="1" x14ac:dyDescent="0.35">
      <c r="A10" s="13" t="s">
        <v>1</v>
      </c>
      <c r="B10" s="13" t="s">
        <v>354</v>
      </c>
      <c r="C10" s="13">
        <v>7</v>
      </c>
      <c r="D10" s="13">
        <v>6</v>
      </c>
      <c r="E10" s="13">
        <v>6</v>
      </c>
    </row>
    <row r="11" spans="1:13" x14ac:dyDescent="0.3">
      <c r="A11" s="13" t="s">
        <v>1</v>
      </c>
      <c r="B11" s="13" t="s">
        <v>1067</v>
      </c>
      <c r="C11" s="13">
        <v>7</v>
      </c>
      <c r="D11" s="13">
        <v>6</v>
      </c>
      <c r="E11" s="13">
        <v>8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1948</v>
      </c>
      <c r="C12" s="13">
        <v>8</v>
      </c>
      <c r="D12" s="13">
        <v>6</v>
      </c>
      <c r="E12" s="13">
        <v>7</v>
      </c>
      <c r="G12" s="19"/>
      <c r="H12" s="17">
        <f t="shared" ref="H12:J12" si="0">SUM(H13:H16)</f>
        <v>727</v>
      </c>
      <c r="I12" s="17">
        <f t="shared" si="0"/>
        <v>568</v>
      </c>
      <c r="J12" s="20">
        <f t="shared" si="0"/>
        <v>782</v>
      </c>
    </row>
    <row r="13" spans="1:13" x14ac:dyDescent="0.3">
      <c r="A13" s="13" t="s">
        <v>0</v>
      </c>
      <c r="B13" s="13" t="s">
        <v>61</v>
      </c>
      <c r="C13" s="13">
        <v>6</v>
      </c>
      <c r="D13" s="13">
        <v>6</v>
      </c>
      <c r="E13" s="13">
        <v>7</v>
      </c>
      <c r="G13" s="19" t="s">
        <v>7</v>
      </c>
      <c r="H13" s="18">
        <f t="shared" ref="H13:J16" si="1">SUMIF($A$2:$A$9999,$G13,C$2:C$9999)</f>
        <v>366</v>
      </c>
      <c r="I13" s="18">
        <f t="shared" si="1"/>
        <v>250</v>
      </c>
      <c r="J13" s="21">
        <f t="shared" si="1"/>
        <v>400</v>
      </c>
    </row>
    <row r="14" spans="1:13" x14ac:dyDescent="0.3">
      <c r="A14" s="13" t="s">
        <v>1</v>
      </c>
      <c r="B14" s="13" t="s">
        <v>120</v>
      </c>
      <c r="C14" s="13">
        <v>6</v>
      </c>
      <c r="D14" s="13">
        <v>5</v>
      </c>
      <c r="E14" s="13">
        <v>5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31</v>
      </c>
      <c r="C15" s="13">
        <v>5</v>
      </c>
      <c r="D15" s="13">
        <v>5</v>
      </c>
      <c r="E15" s="13">
        <v>5</v>
      </c>
      <c r="G15" s="19" t="s">
        <v>11</v>
      </c>
      <c r="H15" s="18">
        <f t="shared" si="1"/>
        <v>348</v>
      </c>
      <c r="I15" s="18">
        <f t="shared" si="1"/>
        <v>305</v>
      </c>
      <c r="J15" s="21">
        <f t="shared" si="1"/>
        <v>370</v>
      </c>
    </row>
    <row r="16" spans="1:13" ht="17.25" thickBot="1" x14ac:dyDescent="0.35">
      <c r="A16" s="13" t="s">
        <v>0</v>
      </c>
      <c r="B16" s="13" t="s">
        <v>34</v>
      </c>
      <c r="C16" s="13">
        <v>5</v>
      </c>
      <c r="D16" s="13">
        <v>5</v>
      </c>
      <c r="E16" s="13">
        <v>6</v>
      </c>
      <c r="G16" s="22" t="s">
        <v>12</v>
      </c>
      <c r="H16" s="23">
        <f t="shared" si="1"/>
        <v>13</v>
      </c>
      <c r="I16" s="23">
        <f t="shared" si="1"/>
        <v>13</v>
      </c>
      <c r="J16" s="24">
        <f t="shared" si="1"/>
        <v>12</v>
      </c>
    </row>
    <row r="17" spans="1:5" x14ac:dyDescent="0.3">
      <c r="A17" s="13" t="s">
        <v>0</v>
      </c>
      <c r="B17" s="13" t="s">
        <v>94</v>
      </c>
      <c r="C17" s="13">
        <v>6</v>
      </c>
      <c r="D17" s="13">
        <v>5</v>
      </c>
      <c r="E17" s="13">
        <v>7</v>
      </c>
    </row>
    <row r="18" spans="1:5" x14ac:dyDescent="0.3">
      <c r="A18" s="13" t="s">
        <v>1</v>
      </c>
      <c r="B18" s="13" t="s">
        <v>29</v>
      </c>
      <c r="C18" s="13">
        <v>4</v>
      </c>
      <c r="D18" s="13">
        <v>4</v>
      </c>
      <c r="E18" s="13">
        <v>6</v>
      </c>
    </row>
    <row r="19" spans="1:5" x14ac:dyDescent="0.3">
      <c r="A19" s="13" t="s">
        <v>0</v>
      </c>
      <c r="B19" s="13" t="s">
        <v>47</v>
      </c>
      <c r="C19" s="13">
        <v>4</v>
      </c>
      <c r="D19" s="13">
        <v>4</v>
      </c>
      <c r="E19" s="13">
        <v>4</v>
      </c>
    </row>
    <row r="20" spans="1:5" x14ac:dyDescent="0.3">
      <c r="A20" s="13" t="s">
        <v>0</v>
      </c>
      <c r="B20" s="13" t="s">
        <v>1741</v>
      </c>
      <c r="C20" s="13">
        <v>4</v>
      </c>
      <c r="D20" s="13">
        <v>4</v>
      </c>
      <c r="E20" s="13">
        <v>4</v>
      </c>
    </row>
    <row r="21" spans="1:5" x14ac:dyDescent="0.3">
      <c r="A21" s="13" t="s">
        <v>0</v>
      </c>
      <c r="B21" s="13" t="s">
        <v>159</v>
      </c>
      <c r="C21" s="13">
        <v>4</v>
      </c>
      <c r="D21" s="13">
        <v>4</v>
      </c>
      <c r="E21" s="13">
        <v>5</v>
      </c>
    </row>
    <row r="22" spans="1:5" x14ac:dyDescent="0.3">
      <c r="A22" s="13" t="s">
        <v>0</v>
      </c>
      <c r="B22" s="13" t="s">
        <v>120</v>
      </c>
      <c r="C22" s="13">
        <v>4</v>
      </c>
      <c r="D22" s="13">
        <v>4</v>
      </c>
      <c r="E22" s="13">
        <v>5</v>
      </c>
    </row>
    <row r="23" spans="1:5" x14ac:dyDescent="0.3">
      <c r="A23" s="13" t="s">
        <v>1</v>
      </c>
      <c r="B23" s="13" t="s">
        <v>87</v>
      </c>
      <c r="C23" s="13">
        <v>3</v>
      </c>
      <c r="D23" s="13">
        <v>3</v>
      </c>
      <c r="E23" s="13">
        <v>3</v>
      </c>
    </row>
    <row r="24" spans="1:5" x14ac:dyDescent="0.3">
      <c r="A24" s="13" t="s">
        <v>1</v>
      </c>
      <c r="B24" s="13" t="s">
        <v>151</v>
      </c>
      <c r="C24" s="13">
        <v>3</v>
      </c>
      <c r="D24" s="13">
        <v>3</v>
      </c>
      <c r="E24" s="13">
        <v>3</v>
      </c>
    </row>
    <row r="25" spans="1:5" x14ac:dyDescent="0.3">
      <c r="A25" s="13" t="s">
        <v>1</v>
      </c>
      <c r="B25" s="13" t="s">
        <v>1663</v>
      </c>
      <c r="C25" s="13">
        <v>3</v>
      </c>
      <c r="D25" s="13">
        <v>3</v>
      </c>
      <c r="E25" s="13">
        <v>3</v>
      </c>
    </row>
    <row r="26" spans="1:5" x14ac:dyDescent="0.3">
      <c r="A26" s="13" t="s">
        <v>1</v>
      </c>
      <c r="B26" s="13" t="s">
        <v>111</v>
      </c>
      <c r="C26" s="13">
        <v>3</v>
      </c>
      <c r="D26" s="13">
        <v>3</v>
      </c>
      <c r="E26" s="13">
        <v>3</v>
      </c>
    </row>
    <row r="27" spans="1:5" x14ac:dyDescent="0.3">
      <c r="A27" s="13" t="s">
        <v>1</v>
      </c>
      <c r="B27" s="13" t="s">
        <v>121</v>
      </c>
      <c r="C27" s="13">
        <v>3</v>
      </c>
      <c r="D27" s="13">
        <v>3</v>
      </c>
      <c r="E27" s="13">
        <v>3</v>
      </c>
    </row>
    <row r="28" spans="1:5" x14ac:dyDescent="0.3">
      <c r="A28" s="13" t="s">
        <v>1</v>
      </c>
      <c r="B28" s="13" t="s">
        <v>37</v>
      </c>
      <c r="C28" s="13">
        <v>5</v>
      </c>
      <c r="D28" s="13">
        <v>3</v>
      </c>
      <c r="E28" s="13">
        <v>4</v>
      </c>
    </row>
    <row r="29" spans="1:5" x14ac:dyDescent="0.3">
      <c r="A29" s="13" t="s">
        <v>1</v>
      </c>
      <c r="B29" s="13" t="s">
        <v>32</v>
      </c>
      <c r="C29" s="13">
        <v>3</v>
      </c>
      <c r="D29" s="13">
        <v>3</v>
      </c>
      <c r="E29" s="13">
        <v>6</v>
      </c>
    </row>
    <row r="30" spans="1:5" x14ac:dyDescent="0.3">
      <c r="A30" s="13" t="s">
        <v>0</v>
      </c>
      <c r="B30" s="13" t="s">
        <v>30</v>
      </c>
      <c r="C30" s="13">
        <v>3</v>
      </c>
      <c r="D30" s="13">
        <v>3</v>
      </c>
      <c r="E30" s="13">
        <v>3</v>
      </c>
    </row>
    <row r="31" spans="1:5" x14ac:dyDescent="0.3">
      <c r="A31" s="13" t="s">
        <v>0</v>
      </c>
      <c r="B31" s="13" t="s">
        <v>87</v>
      </c>
      <c r="C31" s="13">
        <v>3</v>
      </c>
      <c r="D31" s="13">
        <v>3</v>
      </c>
      <c r="E31" s="13">
        <v>3</v>
      </c>
    </row>
    <row r="32" spans="1:5" x14ac:dyDescent="0.3">
      <c r="A32" s="13" t="s">
        <v>0</v>
      </c>
      <c r="B32" s="13" t="s">
        <v>354</v>
      </c>
      <c r="C32" s="13">
        <v>3</v>
      </c>
      <c r="D32" s="13">
        <v>3</v>
      </c>
      <c r="E32" s="13">
        <v>3</v>
      </c>
    </row>
    <row r="33" spans="1:5" x14ac:dyDescent="0.3">
      <c r="A33" s="13" t="s">
        <v>0</v>
      </c>
      <c r="B33" s="13" t="s">
        <v>1948</v>
      </c>
      <c r="C33" s="13">
        <v>4</v>
      </c>
      <c r="D33" s="13">
        <v>3</v>
      </c>
      <c r="E33" s="13">
        <v>5</v>
      </c>
    </row>
    <row r="34" spans="1:5" x14ac:dyDescent="0.3">
      <c r="A34" s="13" t="s">
        <v>0</v>
      </c>
      <c r="B34" s="13" t="s">
        <v>2179</v>
      </c>
      <c r="C34" s="13">
        <v>3</v>
      </c>
      <c r="D34" s="13">
        <v>3</v>
      </c>
      <c r="E34" s="13">
        <v>3</v>
      </c>
    </row>
    <row r="35" spans="1:5" x14ac:dyDescent="0.3">
      <c r="A35" s="13" t="s">
        <v>0</v>
      </c>
      <c r="B35" s="13" t="s">
        <v>51</v>
      </c>
      <c r="C35" s="13">
        <v>4</v>
      </c>
      <c r="D35" s="13">
        <v>3</v>
      </c>
      <c r="E35" s="13">
        <v>3</v>
      </c>
    </row>
    <row r="36" spans="1:5" x14ac:dyDescent="0.3">
      <c r="A36" s="13" t="s">
        <v>0</v>
      </c>
      <c r="B36" s="13" t="s">
        <v>523</v>
      </c>
      <c r="C36" s="13">
        <v>3</v>
      </c>
      <c r="D36" s="13">
        <v>3</v>
      </c>
      <c r="E36" s="13">
        <v>3</v>
      </c>
    </row>
    <row r="37" spans="1:5" x14ac:dyDescent="0.3">
      <c r="A37" s="13" t="s">
        <v>0</v>
      </c>
      <c r="B37" s="13" t="s">
        <v>196</v>
      </c>
      <c r="C37" s="13">
        <v>3</v>
      </c>
      <c r="D37" s="13">
        <v>3</v>
      </c>
      <c r="E37" s="13">
        <v>3</v>
      </c>
    </row>
    <row r="38" spans="1:5" x14ac:dyDescent="0.3">
      <c r="A38" s="13" t="s">
        <v>0</v>
      </c>
      <c r="B38" s="13" t="s">
        <v>39</v>
      </c>
      <c r="C38" s="13">
        <v>4</v>
      </c>
      <c r="D38" s="13">
        <v>3</v>
      </c>
      <c r="E38" s="13">
        <v>5</v>
      </c>
    </row>
    <row r="39" spans="1:5" x14ac:dyDescent="0.3">
      <c r="A39" s="13" t="s">
        <v>1</v>
      </c>
      <c r="B39" s="13" t="s">
        <v>48</v>
      </c>
      <c r="C39" s="13">
        <v>4</v>
      </c>
      <c r="D39" s="13">
        <v>2</v>
      </c>
      <c r="E39" s="13">
        <v>4</v>
      </c>
    </row>
    <row r="40" spans="1:5" x14ac:dyDescent="0.3">
      <c r="A40" s="13" t="s">
        <v>1</v>
      </c>
      <c r="B40" s="13" t="s">
        <v>264</v>
      </c>
      <c r="C40" s="13">
        <v>2</v>
      </c>
      <c r="D40" s="13">
        <v>2</v>
      </c>
      <c r="E40" s="13">
        <v>2</v>
      </c>
    </row>
    <row r="41" spans="1:5" x14ac:dyDescent="0.3">
      <c r="A41" s="13" t="s">
        <v>1</v>
      </c>
      <c r="B41" s="13" t="s">
        <v>77</v>
      </c>
      <c r="C41" s="13">
        <v>4</v>
      </c>
      <c r="D41" s="13">
        <v>2</v>
      </c>
      <c r="E41" s="13">
        <v>5</v>
      </c>
    </row>
    <row r="42" spans="1:5" x14ac:dyDescent="0.3">
      <c r="A42" s="13" t="s">
        <v>1</v>
      </c>
      <c r="B42" s="13" t="s">
        <v>84</v>
      </c>
      <c r="C42" s="13">
        <v>2</v>
      </c>
      <c r="D42" s="13">
        <v>2</v>
      </c>
      <c r="E42" s="13">
        <v>2</v>
      </c>
    </row>
    <row r="43" spans="1:5" x14ac:dyDescent="0.3">
      <c r="A43" s="13" t="s">
        <v>1</v>
      </c>
      <c r="B43" s="13" t="s">
        <v>612</v>
      </c>
      <c r="C43" s="13">
        <v>2</v>
      </c>
      <c r="D43" s="13">
        <v>2</v>
      </c>
      <c r="E43" s="13">
        <v>2</v>
      </c>
    </row>
    <row r="44" spans="1:5" x14ac:dyDescent="0.3">
      <c r="A44" s="13" t="s">
        <v>1</v>
      </c>
      <c r="B44" s="13" t="s">
        <v>1988</v>
      </c>
      <c r="C44" s="13">
        <v>5</v>
      </c>
      <c r="D44" s="13">
        <v>2</v>
      </c>
      <c r="E44" s="13">
        <v>6</v>
      </c>
    </row>
    <row r="45" spans="1:5" x14ac:dyDescent="0.3">
      <c r="A45" s="13" t="s">
        <v>1</v>
      </c>
      <c r="B45" s="13" t="s">
        <v>195</v>
      </c>
      <c r="C45" s="13">
        <v>2</v>
      </c>
      <c r="D45" s="13">
        <v>2</v>
      </c>
      <c r="E45" s="13">
        <v>2</v>
      </c>
    </row>
    <row r="46" spans="1:5" x14ac:dyDescent="0.3">
      <c r="A46" s="13" t="s">
        <v>1</v>
      </c>
      <c r="B46" s="13" t="s">
        <v>126</v>
      </c>
      <c r="C46" s="13">
        <v>2</v>
      </c>
      <c r="D46" s="13">
        <v>2</v>
      </c>
      <c r="E46" s="13">
        <v>2</v>
      </c>
    </row>
    <row r="47" spans="1:5" x14ac:dyDescent="0.3">
      <c r="A47" s="13" t="s">
        <v>1</v>
      </c>
      <c r="B47" s="13" t="s">
        <v>55</v>
      </c>
      <c r="C47" s="13">
        <v>4</v>
      </c>
      <c r="D47" s="13">
        <v>2</v>
      </c>
      <c r="E47" s="13">
        <v>4</v>
      </c>
    </row>
    <row r="48" spans="1:5" x14ac:dyDescent="0.3">
      <c r="A48" s="13" t="s">
        <v>1</v>
      </c>
      <c r="B48" s="13" t="s">
        <v>56</v>
      </c>
      <c r="C48" s="13">
        <v>2</v>
      </c>
      <c r="D48" s="13">
        <v>2</v>
      </c>
      <c r="E48" s="13">
        <v>2</v>
      </c>
    </row>
    <row r="49" spans="1:5" x14ac:dyDescent="0.3">
      <c r="A49" s="13" t="s">
        <v>0</v>
      </c>
      <c r="B49" s="13" t="s">
        <v>81</v>
      </c>
      <c r="C49" s="13">
        <v>2</v>
      </c>
      <c r="D49" s="13">
        <v>2</v>
      </c>
      <c r="E49" s="13">
        <v>2</v>
      </c>
    </row>
    <row r="50" spans="1:5" x14ac:dyDescent="0.3">
      <c r="A50" s="13" t="s">
        <v>0</v>
      </c>
      <c r="B50" s="13" t="s">
        <v>145</v>
      </c>
      <c r="C50" s="13">
        <v>2</v>
      </c>
      <c r="D50" s="13">
        <v>2</v>
      </c>
      <c r="E50" s="13">
        <v>2</v>
      </c>
    </row>
    <row r="51" spans="1:5" x14ac:dyDescent="0.3">
      <c r="A51" s="13" t="s">
        <v>0</v>
      </c>
      <c r="B51" s="13" t="s">
        <v>93</v>
      </c>
      <c r="C51" s="13">
        <v>2</v>
      </c>
      <c r="D51" s="13">
        <v>2</v>
      </c>
      <c r="E51" s="13">
        <v>2</v>
      </c>
    </row>
    <row r="52" spans="1:5" x14ac:dyDescent="0.3">
      <c r="A52" s="13" t="s">
        <v>0</v>
      </c>
      <c r="B52" s="13" t="s">
        <v>1645</v>
      </c>
      <c r="C52" s="13">
        <v>2</v>
      </c>
      <c r="D52" s="13">
        <v>2</v>
      </c>
      <c r="E52" s="13">
        <v>2</v>
      </c>
    </row>
    <row r="53" spans="1:5" x14ac:dyDescent="0.3">
      <c r="A53" s="13" t="s">
        <v>0</v>
      </c>
      <c r="B53" s="13" t="s">
        <v>1663</v>
      </c>
      <c r="C53" s="13">
        <v>2</v>
      </c>
      <c r="D53" s="13">
        <v>2</v>
      </c>
      <c r="E53" s="13">
        <v>2</v>
      </c>
    </row>
    <row r="54" spans="1:5" x14ac:dyDescent="0.3">
      <c r="A54" s="13" t="s">
        <v>0</v>
      </c>
      <c r="B54" s="13" t="s">
        <v>1882</v>
      </c>
      <c r="C54" s="13">
        <v>3</v>
      </c>
      <c r="D54" s="13">
        <v>2</v>
      </c>
      <c r="E54" s="13">
        <v>4</v>
      </c>
    </row>
    <row r="55" spans="1:5" x14ac:dyDescent="0.3">
      <c r="A55" s="13" t="s">
        <v>0</v>
      </c>
      <c r="B55" s="13" t="s">
        <v>156</v>
      </c>
      <c r="C55" s="13">
        <v>2</v>
      </c>
      <c r="D55" s="13">
        <v>2</v>
      </c>
      <c r="E55" s="13">
        <v>2</v>
      </c>
    </row>
    <row r="56" spans="1:5" x14ac:dyDescent="0.3">
      <c r="A56" s="13" t="s">
        <v>0</v>
      </c>
      <c r="B56" s="13" t="s">
        <v>374</v>
      </c>
      <c r="C56" s="13">
        <v>2</v>
      </c>
      <c r="D56" s="13">
        <v>2</v>
      </c>
      <c r="E56" s="13">
        <v>2</v>
      </c>
    </row>
    <row r="57" spans="1:5" x14ac:dyDescent="0.3">
      <c r="A57" s="13" t="s">
        <v>0</v>
      </c>
      <c r="B57" s="13" t="s">
        <v>692</v>
      </c>
      <c r="C57" s="13">
        <v>2</v>
      </c>
      <c r="D57" s="13">
        <v>2</v>
      </c>
      <c r="E57" s="13">
        <v>2</v>
      </c>
    </row>
    <row r="58" spans="1:5" x14ac:dyDescent="0.3">
      <c r="A58" s="13" t="s">
        <v>0</v>
      </c>
      <c r="B58" s="13" t="s">
        <v>62</v>
      </c>
      <c r="C58" s="13">
        <v>3</v>
      </c>
      <c r="D58" s="13">
        <v>2</v>
      </c>
      <c r="E58" s="13">
        <v>3</v>
      </c>
    </row>
    <row r="59" spans="1:5" x14ac:dyDescent="0.3">
      <c r="A59" s="13" t="s">
        <v>0</v>
      </c>
      <c r="B59" s="13" t="s">
        <v>121</v>
      </c>
      <c r="C59" s="13">
        <v>2</v>
      </c>
      <c r="D59" s="13">
        <v>2</v>
      </c>
      <c r="E59" s="13">
        <v>2</v>
      </c>
    </row>
    <row r="60" spans="1:5" x14ac:dyDescent="0.3">
      <c r="A60" s="13" t="s">
        <v>0</v>
      </c>
      <c r="B60" s="13" t="s">
        <v>661</v>
      </c>
      <c r="C60" s="13">
        <v>2</v>
      </c>
      <c r="D60" s="13">
        <v>2</v>
      </c>
      <c r="E60" s="13">
        <v>2</v>
      </c>
    </row>
    <row r="61" spans="1:5" x14ac:dyDescent="0.3">
      <c r="A61" s="13" t="s">
        <v>0</v>
      </c>
      <c r="B61" s="13" t="s">
        <v>339</v>
      </c>
      <c r="C61" s="13">
        <v>2</v>
      </c>
      <c r="D61" s="13">
        <v>2</v>
      </c>
      <c r="E61" s="13">
        <v>2</v>
      </c>
    </row>
    <row r="62" spans="1:5" x14ac:dyDescent="0.3">
      <c r="A62" s="13" t="s">
        <v>0</v>
      </c>
      <c r="B62" s="13" t="s">
        <v>64</v>
      </c>
      <c r="C62" s="13">
        <v>2</v>
      </c>
      <c r="D62" s="13">
        <v>2</v>
      </c>
      <c r="E62" s="13">
        <v>2</v>
      </c>
    </row>
    <row r="63" spans="1:5" x14ac:dyDescent="0.3">
      <c r="A63" s="13" t="s">
        <v>0</v>
      </c>
      <c r="B63" s="13" t="s">
        <v>66</v>
      </c>
      <c r="C63" s="13">
        <v>2</v>
      </c>
      <c r="D63" s="13">
        <v>2</v>
      </c>
      <c r="E63" s="13">
        <v>3</v>
      </c>
    </row>
    <row r="64" spans="1:5" x14ac:dyDescent="0.3">
      <c r="A64" s="13" t="s">
        <v>1</v>
      </c>
      <c r="B64" s="13" t="s">
        <v>2286</v>
      </c>
      <c r="C64" s="13">
        <v>1</v>
      </c>
      <c r="D64" s="13">
        <v>1</v>
      </c>
      <c r="E64" s="13">
        <v>1</v>
      </c>
    </row>
    <row r="65" spans="1:5" x14ac:dyDescent="0.3">
      <c r="A65" s="13" t="s">
        <v>1</v>
      </c>
      <c r="B65" s="13" t="s">
        <v>473</v>
      </c>
      <c r="C65" s="13">
        <v>1</v>
      </c>
      <c r="D65" s="13">
        <v>1</v>
      </c>
      <c r="E65" s="13">
        <v>1</v>
      </c>
    </row>
    <row r="66" spans="1:5" x14ac:dyDescent="0.3">
      <c r="A66" s="13" t="s">
        <v>1</v>
      </c>
      <c r="B66" s="13" t="s">
        <v>300</v>
      </c>
      <c r="C66" s="13">
        <v>1</v>
      </c>
      <c r="D66" s="13">
        <v>1</v>
      </c>
      <c r="E66" s="13">
        <v>2</v>
      </c>
    </row>
    <row r="67" spans="1:5" x14ac:dyDescent="0.3">
      <c r="A67" s="13" t="s">
        <v>1</v>
      </c>
      <c r="B67" s="13" t="s">
        <v>70</v>
      </c>
      <c r="C67" s="13">
        <v>1</v>
      </c>
      <c r="D67" s="13">
        <v>1</v>
      </c>
      <c r="E67" s="13">
        <v>1</v>
      </c>
    </row>
    <row r="68" spans="1:5" x14ac:dyDescent="0.3">
      <c r="A68" s="13" t="s">
        <v>1</v>
      </c>
      <c r="B68" s="13" t="s">
        <v>373</v>
      </c>
      <c r="C68" s="13">
        <v>1</v>
      </c>
      <c r="D68" s="13">
        <v>1</v>
      </c>
      <c r="E68" s="13">
        <v>1</v>
      </c>
    </row>
    <row r="69" spans="1:5" x14ac:dyDescent="0.3">
      <c r="A69" s="13" t="s">
        <v>1</v>
      </c>
      <c r="B69" s="13" t="s">
        <v>555</v>
      </c>
      <c r="C69" s="13">
        <v>1</v>
      </c>
      <c r="D69" s="13">
        <v>1</v>
      </c>
      <c r="E69" s="13">
        <v>1</v>
      </c>
    </row>
    <row r="70" spans="1:5" x14ac:dyDescent="0.3">
      <c r="A70" s="13" t="s">
        <v>1</v>
      </c>
      <c r="B70" s="13" t="s">
        <v>445</v>
      </c>
      <c r="C70" s="13">
        <v>1</v>
      </c>
      <c r="D70" s="13">
        <v>1</v>
      </c>
      <c r="E70" s="13">
        <v>1</v>
      </c>
    </row>
    <row r="71" spans="1:5" x14ac:dyDescent="0.3">
      <c r="A71" s="13" t="s">
        <v>1</v>
      </c>
      <c r="B71" s="13" t="s">
        <v>492</v>
      </c>
      <c r="C71" s="13">
        <v>1</v>
      </c>
      <c r="D71" s="13">
        <v>1</v>
      </c>
      <c r="E71" s="13">
        <v>1</v>
      </c>
    </row>
    <row r="72" spans="1:5" x14ac:dyDescent="0.3">
      <c r="A72" s="13" t="s">
        <v>1</v>
      </c>
      <c r="B72" s="13" t="s">
        <v>263</v>
      </c>
      <c r="C72" s="13">
        <v>1</v>
      </c>
      <c r="D72" s="13">
        <v>1</v>
      </c>
      <c r="E72" s="13">
        <v>1</v>
      </c>
    </row>
    <row r="73" spans="1:5" x14ac:dyDescent="0.3">
      <c r="A73" s="13" t="s">
        <v>1</v>
      </c>
      <c r="B73" s="13" t="s">
        <v>474</v>
      </c>
      <c r="C73" s="13">
        <v>1</v>
      </c>
      <c r="D73" s="13">
        <v>1</v>
      </c>
      <c r="E73" s="13">
        <v>1</v>
      </c>
    </row>
    <row r="74" spans="1:5" x14ac:dyDescent="0.3">
      <c r="A74" s="13" t="s">
        <v>1</v>
      </c>
      <c r="B74" s="13" t="s">
        <v>2287</v>
      </c>
      <c r="C74" s="13">
        <v>1</v>
      </c>
      <c r="D74" s="13">
        <v>1</v>
      </c>
      <c r="E74" s="13">
        <v>1</v>
      </c>
    </row>
    <row r="75" spans="1:5" x14ac:dyDescent="0.3">
      <c r="A75" s="13" t="s">
        <v>1</v>
      </c>
      <c r="B75" s="13" t="s">
        <v>813</v>
      </c>
      <c r="C75" s="13">
        <v>1</v>
      </c>
      <c r="D75" s="13">
        <v>1</v>
      </c>
      <c r="E75" s="13">
        <v>1</v>
      </c>
    </row>
    <row r="76" spans="1:5" x14ac:dyDescent="0.3">
      <c r="A76" s="13" t="s">
        <v>1</v>
      </c>
      <c r="B76" s="13" t="s">
        <v>796</v>
      </c>
      <c r="C76" s="13">
        <v>1</v>
      </c>
      <c r="D76" s="13">
        <v>1</v>
      </c>
      <c r="E76" s="13">
        <v>1</v>
      </c>
    </row>
    <row r="77" spans="1:5" x14ac:dyDescent="0.3">
      <c r="A77" s="13" t="s">
        <v>1</v>
      </c>
      <c r="B77" s="13" t="s">
        <v>1180</v>
      </c>
      <c r="C77" s="13">
        <v>1</v>
      </c>
      <c r="D77" s="13">
        <v>1</v>
      </c>
      <c r="E77" s="13">
        <v>2</v>
      </c>
    </row>
    <row r="78" spans="1:5" x14ac:dyDescent="0.3">
      <c r="A78" s="13" t="s">
        <v>1</v>
      </c>
      <c r="B78" s="13" t="s">
        <v>83</v>
      </c>
      <c r="C78" s="13">
        <v>1</v>
      </c>
      <c r="D78" s="13">
        <v>1</v>
      </c>
      <c r="E78" s="13">
        <v>1</v>
      </c>
    </row>
    <row r="79" spans="1:5" x14ac:dyDescent="0.3">
      <c r="A79" s="13" t="s">
        <v>1</v>
      </c>
      <c r="B79" s="13" t="s">
        <v>385</v>
      </c>
      <c r="C79" s="13">
        <v>1</v>
      </c>
      <c r="D79" s="13">
        <v>1</v>
      </c>
      <c r="E79" s="13">
        <v>1</v>
      </c>
    </row>
    <row r="80" spans="1:5" x14ac:dyDescent="0.3">
      <c r="A80" s="13" t="s">
        <v>1</v>
      </c>
      <c r="B80" s="13" t="s">
        <v>2288</v>
      </c>
      <c r="C80" s="13">
        <v>1</v>
      </c>
      <c r="D80" s="13">
        <v>1</v>
      </c>
      <c r="E80" s="13">
        <v>1</v>
      </c>
    </row>
    <row r="81" spans="1:5" x14ac:dyDescent="0.3">
      <c r="A81" s="13" t="s">
        <v>1</v>
      </c>
      <c r="B81" s="13" t="s">
        <v>257</v>
      </c>
      <c r="C81" s="13">
        <v>1</v>
      </c>
      <c r="D81" s="13">
        <v>1</v>
      </c>
      <c r="E81" s="13">
        <v>1</v>
      </c>
    </row>
    <row r="82" spans="1:5" x14ac:dyDescent="0.3">
      <c r="A82" s="13" t="s">
        <v>1</v>
      </c>
      <c r="B82" s="13" t="s">
        <v>1288</v>
      </c>
      <c r="C82" s="13">
        <v>1</v>
      </c>
      <c r="D82" s="13">
        <v>1</v>
      </c>
      <c r="E82" s="13">
        <v>1</v>
      </c>
    </row>
    <row r="83" spans="1:5" x14ac:dyDescent="0.3">
      <c r="A83" s="13" t="s">
        <v>1</v>
      </c>
      <c r="B83" s="13" t="s">
        <v>145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148</v>
      </c>
      <c r="C84" s="13">
        <v>1</v>
      </c>
      <c r="D84" s="13">
        <v>1</v>
      </c>
      <c r="E84" s="13">
        <v>1</v>
      </c>
    </row>
    <row r="85" spans="1:5" x14ac:dyDescent="0.3">
      <c r="A85" s="13" t="s">
        <v>1</v>
      </c>
      <c r="B85" s="13" t="s">
        <v>272</v>
      </c>
      <c r="C85" s="13">
        <v>2</v>
      </c>
      <c r="D85" s="13">
        <v>1</v>
      </c>
      <c r="E85" s="13">
        <v>2</v>
      </c>
    </row>
    <row r="86" spans="1:5" x14ac:dyDescent="0.3">
      <c r="A86" s="13" t="s">
        <v>1</v>
      </c>
      <c r="B86" s="13" t="s">
        <v>353</v>
      </c>
      <c r="C86" s="13">
        <v>1</v>
      </c>
      <c r="D86" s="13">
        <v>1</v>
      </c>
      <c r="E86" s="13">
        <v>1</v>
      </c>
    </row>
    <row r="87" spans="1:5" x14ac:dyDescent="0.3">
      <c r="A87" s="13" t="s">
        <v>1</v>
      </c>
      <c r="B87" s="13" t="s">
        <v>60</v>
      </c>
      <c r="C87" s="13">
        <v>1</v>
      </c>
      <c r="D87" s="13">
        <v>1</v>
      </c>
      <c r="E87" s="13">
        <v>1</v>
      </c>
    </row>
    <row r="88" spans="1:5" x14ac:dyDescent="0.3">
      <c r="A88" s="13" t="s">
        <v>1</v>
      </c>
      <c r="B88" s="13" t="s">
        <v>471</v>
      </c>
      <c r="C88" s="13">
        <v>2</v>
      </c>
      <c r="D88" s="13">
        <v>1</v>
      </c>
      <c r="E88" s="13">
        <v>3</v>
      </c>
    </row>
    <row r="89" spans="1:5" x14ac:dyDescent="0.3">
      <c r="A89" s="13" t="s">
        <v>1</v>
      </c>
      <c r="B89" s="13" t="s">
        <v>653</v>
      </c>
      <c r="C89" s="13">
        <v>1</v>
      </c>
      <c r="D89" s="13">
        <v>1</v>
      </c>
      <c r="E89" s="13">
        <v>1</v>
      </c>
    </row>
    <row r="90" spans="1:5" x14ac:dyDescent="0.3">
      <c r="A90" s="13" t="s">
        <v>1</v>
      </c>
      <c r="B90" s="13" t="s">
        <v>1570</v>
      </c>
      <c r="C90" s="13">
        <v>1</v>
      </c>
      <c r="D90" s="13">
        <v>1</v>
      </c>
      <c r="E90" s="13">
        <v>1</v>
      </c>
    </row>
    <row r="91" spans="1:5" x14ac:dyDescent="0.3">
      <c r="A91" s="13" t="s">
        <v>1</v>
      </c>
      <c r="B91" s="13" t="s">
        <v>1645</v>
      </c>
      <c r="C91" s="13">
        <v>1</v>
      </c>
      <c r="D91" s="13">
        <v>1</v>
      </c>
      <c r="E91" s="13">
        <v>5</v>
      </c>
    </row>
    <row r="92" spans="1:5" x14ac:dyDescent="0.3">
      <c r="A92" s="13" t="s">
        <v>1</v>
      </c>
      <c r="B92" s="13" t="s">
        <v>1674</v>
      </c>
      <c r="C92" s="13">
        <v>1</v>
      </c>
      <c r="D92" s="13">
        <v>1</v>
      </c>
      <c r="E92" s="13">
        <v>1</v>
      </c>
    </row>
    <row r="93" spans="1:5" x14ac:dyDescent="0.3">
      <c r="A93" s="13" t="s">
        <v>1</v>
      </c>
      <c r="B93" s="13" t="s">
        <v>1849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2203</v>
      </c>
      <c r="C94" s="13">
        <v>6</v>
      </c>
      <c r="D94" s="13">
        <v>1</v>
      </c>
      <c r="E94" s="13">
        <v>6</v>
      </c>
    </row>
    <row r="95" spans="1:5" x14ac:dyDescent="0.3">
      <c r="A95" s="13" t="s">
        <v>1</v>
      </c>
      <c r="B95" s="13" t="s">
        <v>154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506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155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476</v>
      </c>
      <c r="C98" s="13">
        <v>1</v>
      </c>
      <c r="D98" s="13">
        <v>1</v>
      </c>
      <c r="E98" s="13">
        <v>1</v>
      </c>
    </row>
    <row r="99" spans="1:5" x14ac:dyDescent="0.3">
      <c r="A99" s="13" t="s">
        <v>1</v>
      </c>
      <c r="B99" s="13" t="s">
        <v>1342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258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342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732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2289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104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2290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1690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1312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616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394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109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168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2291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279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824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281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1107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1542</v>
      </c>
      <c r="C117" s="13">
        <v>1</v>
      </c>
      <c r="D117" s="13">
        <v>1</v>
      </c>
      <c r="E117" s="13">
        <v>2</v>
      </c>
    </row>
    <row r="118" spans="1:5" x14ac:dyDescent="0.3">
      <c r="A118" s="13" t="s">
        <v>1</v>
      </c>
      <c r="B118" s="13" t="s">
        <v>45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2292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453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1260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571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286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523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572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1190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403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433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771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118</v>
      </c>
      <c r="C130" s="13">
        <v>2</v>
      </c>
      <c r="D130" s="13">
        <v>1</v>
      </c>
      <c r="E130" s="13">
        <v>3</v>
      </c>
    </row>
    <row r="131" spans="1:5" x14ac:dyDescent="0.3">
      <c r="A131" s="13" t="s">
        <v>1</v>
      </c>
      <c r="B131" s="13" t="s">
        <v>196</v>
      </c>
      <c r="C131" s="13">
        <v>2</v>
      </c>
      <c r="D131" s="13">
        <v>1</v>
      </c>
      <c r="E131" s="13">
        <v>2</v>
      </c>
    </row>
    <row r="132" spans="1:5" x14ac:dyDescent="0.3">
      <c r="A132" s="13" t="s">
        <v>1</v>
      </c>
      <c r="B132" s="13" t="s">
        <v>1975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661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838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174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175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2293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705</v>
      </c>
      <c r="C138" s="13">
        <v>2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290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63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2294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414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1941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1693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416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538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1347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1307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441</v>
      </c>
      <c r="C149" s="13">
        <v>1</v>
      </c>
      <c r="D149" s="13">
        <v>1</v>
      </c>
      <c r="E149" s="13">
        <v>2</v>
      </c>
    </row>
    <row r="150" spans="1:5" x14ac:dyDescent="0.3">
      <c r="A150" s="13" t="s">
        <v>1</v>
      </c>
      <c r="B150" s="13" t="s">
        <v>53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189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190</v>
      </c>
      <c r="C152" s="13">
        <v>1</v>
      </c>
      <c r="D152" s="13">
        <v>1</v>
      </c>
      <c r="E152" s="13">
        <v>4</v>
      </c>
    </row>
    <row r="153" spans="1:5" x14ac:dyDescent="0.3">
      <c r="A153" s="13" t="s">
        <v>1</v>
      </c>
      <c r="B153" s="13" t="s">
        <v>1206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191</v>
      </c>
      <c r="C154" s="13">
        <v>3</v>
      </c>
      <c r="D154" s="13">
        <v>1</v>
      </c>
      <c r="E154" s="13">
        <v>3</v>
      </c>
    </row>
    <row r="155" spans="1:5" x14ac:dyDescent="0.3">
      <c r="A155" s="13" t="s">
        <v>1</v>
      </c>
      <c r="B155" s="13" t="s">
        <v>365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67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54</v>
      </c>
      <c r="C157" s="13">
        <v>3</v>
      </c>
      <c r="D157" s="13">
        <v>1</v>
      </c>
      <c r="E157" s="13">
        <v>4</v>
      </c>
    </row>
    <row r="158" spans="1:5" x14ac:dyDescent="0.3">
      <c r="A158" s="13" t="s">
        <v>1</v>
      </c>
      <c r="B158" s="13" t="s">
        <v>1418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259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2173</v>
      </c>
      <c r="C160" s="13">
        <v>1</v>
      </c>
      <c r="D160" s="13">
        <v>1</v>
      </c>
      <c r="E160" s="13"/>
    </row>
    <row r="161" spans="1:5" x14ac:dyDescent="0.3">
      <c r="A161" s="13" t="s">
        <v>1</v>
      </c>
      <c r="B161" s="13" t="s">
        <v>1726</v>
      </c>
      <c r="C161" s="13">
        <v>1</v>
      </c>
      <c r="D161" s="13">
        <v>1</v>
      </c>
      <c r="E161" s="13"/>
    </row>
    <row r="162" spans="1:5" x14ac:dyDescent="0.3">
      <c r="A162" s="13" t="s">
        <v>1</v>
      </c>
      <c r="B162" s="13" t="s">
        <v>1247</v>
      </c>
      <c r="C162" s="13">
        <v>1</v>
      </c>
      <c r="D162" s="13">
        <v>1</v>
      </c>
      <c r="E162" s="13"/>
    </row>
    <row r="163" spans="1:5" x14ac:dyDescent="0.3">
      <c r="A163" s="13" t="s">
        <v>1</v>
      </c>
      <c r="B163" s="13" t="s">
        <v>1841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1653</v>
      </c>
      <c r="C164" s="13">
        <v>1</v>
      </c>
      <c r="D164" s="13">
        <v>2</v>
      </c>
      <c r="E164" s="13"/>
    </row>
    <row r="165" spans="1:5" x14ac:dyDescent="0.3">
      <c r="A165" s="13" t="s">
        <v>1</v>
      </c>
      <c r="B165" s="13" t="s">
        <v>1434</v>
      </c>
      <c r="C165" s="13">
        <v>1</v>
      </c>
      <c r="D165" s="13">
        <v>1</v>
      </c>
      <c r="E165" s="13"/>
    </row>
    <row r="166" spans="1:5" x14ac:dyDescent="0.3">
      <c r="A166" s="13" t="s">
        <v>1</v>
      </c>
      <c r="B166" s="13" t="s">
        <v>1394</v>
      </c>
      <c r="C166" s="13">
        <v>1</v>
      </c>
      <c r="D166" s="13">
        <v>1</v>
      </c>
      <c r="E166" s="13">
        <v>2</v>
      </c>
    </row>
    <row r="167" spans="1:5" x14ac:dyDescent="0.3">
      <c r="A167" s="13" t="s">
        <v>1</v>
      </c>
      <c r="B167" s="13" t="s">
        <v>1546</v>
      </c>
      <c r="C167" s="13">
        <v>1</v>
      </c>
      <c r="D167" s="13">
        <v>1</v>
      </c>
      <c r="E167" s="13"/>
    </row>
    <row r="168" spans="1:5" x14ac:dyDescent="0.3">
      <c r="A168" s="13" t="s">
        <v>0</v>
      </c>
      <c r="B168" s="13" t="s">
        <v>71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0</v>
      </c>
      <c r="B169" s="13" t="s">
        <v>139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0</v>
      </c>
      <c r="B170" s="13" t="s">
        <v>1227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0</v>
      </c>
      <c r="B171" s="13" t="s">
        <v>463</v>
      </c>
      <c r="C171" s="13">
        <v>2</v>
      </c>
      <c r="D171" s="13">
        <v>1</v>
      </c>
      <c r="E171" s="13">
        <v>2</v>
      </c>
    </row>
    <row r="172" spans="1:5" x14ac:dyDescent="0.3">
      <c r="A172" s="13" t="s">
        <v>0</v>
      </c>
      <c r="B172" s="13" t="s">
        <v>40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0</v>
      </c>
      <c r="B173" s="13" t="s">
        <v>260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0</v>
      </c>
      <c r="B174" s="13" t="s">
        <v>2003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0</v>
      </c>
      <c r="B175" s="13" t="s">
        <v>147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0</v>
      </c>
      <c r="B176" s="13" t="s">
        <v>215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0</v>
      </c>
      <c r="B177" s="13" t="s">
        <v>272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0</v>
      </c>
      <c r="B178" s="13" t="s">
        <v>150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0</v>
      </c>
      <c r="B179" s="13" t="s">
        <v>424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0</v>
      </c>
      <c r="B180" s="13" t="s">
        <v>612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0</v>
      </c>
      <c r="B181" s="13" t="s">
        <v>152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0</v>
      </c>
      <c r="B182" s="13" t="s">
        <v>1370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0</v>
      </c>
      <c r="B183" s="13" t="s">
        <v>1485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0</v>
      </c>
      <c r="B184" s="13" t="s">
        <v>1881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0</v>
      </c>
      <c r="B185" s="13" t="s">
        <v>1988</v>
      </c>
      <c r="C185" s="13">
        <v>2</v>
      </c>
      <c r="D185" s="13">
        <v>1</v>
      </c>
      <c r="E185" s="13">
        <v>2</v>
      </c>
    </row>
    <row r="186" spans="1:5" x14ac:dyDescent="0.3">
      <c r="A186" s="13" t="s">
        <v>0</v>
      </c>
      <c r="B186" s="13" t="s">
        <v>2203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0</v>
      </c>
      <c r="B187" s="13" t="s">
        <v>1629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155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0</v>
      </c>
      <c r="B189" s="13" t="s">
        <v>427</v>
      </c>
      <c r="C189" s="13">
        <v>1</v>
      </c>
      <c r="D189" s="13">
        <v>1</v>
      </c>
      <c r="E189" s="13">
        <v>2</v>
      </c>
    </row>
    <row r="190" spans="1:5" x14ac:dyDescent="0.3">
      <c r="A190" s="13" t="s">
        <v>0</v>
      </c>
      <c r="B190" s="13" t="s">
        <v>476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0</v>
      </c>
      <c r="B191" s="13" t="s">
        <v>509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0</v>
      </c>
      <c r="B192" s="13" t="s">
        <v>1342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0</v>
      </c>
      <c r="B193" s="13" t="s">
        <v>98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0</v>
      </c>
      <c r="B194" s="13" t="s">
        <v>258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0</v>
      </c>
      <c r="B195" s="13" t="s">
        <v>1867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0</v>
      </c>
      <c r="B196" s="13" t="s">
        <v>730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1457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2295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937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28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858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2290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164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2296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566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108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619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109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2297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1584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513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44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171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1355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1580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45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0</v>
      </c>
      <c r="B217" s="13" t="s">
        <v>1414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1862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572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1087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1240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227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1722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252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0</v>
      </c>
      <c r="B225" s="13" t="s">
        <v>122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0</v>
      </c>
      <c r="B226" s="13" t="s">
        <v>175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0</v>
      </c>
      <c r="B227" s="13" t="s">
        <v>1705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0</v>
      </c>
      <c r="B228" s="13" t="s">
        <v>2293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0</v>
      </c>
      <c r="B229" s="13" t="s">
        <v>63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0</v>
      </c>
      <c r="B230" s="13" t="s">
        <v>1439</v>
      </c>
      <c r="C230" s="13">
        <v>1</v>
      </c>
      <c r="D230" s="13">
        <v>1</v>
      </c>
      <c r="E230" s="13">
        <v>2</v>
      </c>
    </row>
    <row r="231" spans="1:5" x14ac:dyDescent="0.3">
      <c r="A231" s="13" t="s">
        <v>0</v>
      </c>
      <c r="B231" s="13" t="s">
        <v>1347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0</v>
      </c>
      <c r="B232" s="13" t="s">
        <v>126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0</v>
      </c>
      <c r="B233" s="13" t="s">
        <v>130</v>
      </c>
      <c r="C233" s="13">
        <v>1</v>
      </c>
      <c r="D233" s="13">
        <v>1</v>
      </c>
      <c r="E233" s="13">
        <v>2</v>
      </c>
    </row>
    <row r="234" spans="1:5" x14ac:dyDescent="0.3">
      <c r="A234" s="13" t="s">
        <v>0</v>
      </c>
      <c r="B234" s="13" t="s">
        <v>958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0</v>
      </c>
      <c r="B235" s="13" t="s">
        <v>1144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0</v>
      </c>
      <c r="B236" s="13" t="s">
        <v>482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0</v>
      </c>
      <c r="B237" s="13" t="s">
        <v>1307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0</v>
      </c>
      <c r="B238" s="13" t="s">
        <v>340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0</v>
      </c>
      <c r="B239" s="13" t="s">
        <v>295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0</v>
      </c>
      <c r="B240" s="13" t="s">
        <v>1145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0</v>
      </c>
      <c r="B241" s="13" t="s">
        <v>191</v>
      </c>
      <c r="C241" s="13">
        <v>2</v>
      </c>
      <c r="D241" s="13">
        <v>1</v>
      </c>
      <c r="E241" s="13">
        <v>2</v>
      </c>
    </row>
    <row r="242" spans="1:5" x14ac:dyDescent="0.3">
      <c r="A242" s="13" t="s">
        <v>0</v>
      </c>
      <c r="B242" s="13" t="s">
        <v>1418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0</v>
      </c>
      <c r="B243" s="13" t="s">
        <v>1959</v>
      </c>
      <c r="C243" s="13">
        <v>1</v>
      </c>
      <c r="D243" s="13">
        <v>1</v>
      </c>
      <c r="E243" s="13"/>
    </row>
    <row r="244" spans="1:5" x14ac:dyDescent="0.3">
      <c r="A244" s="13" t="s">
        <v>0</v>
      </c>
      <c r="B244" s="13" t="s">
        <v>1428</v>
      </c>
      <c r="C244" s="13">
        <v>1</v>
      </c>
      <c r="D244" s="13">
        <v>1</v>
      </c>
      <c r="E244" s="13"/>
    </row>
    <row r="245" spans="1:5" x14ac:dyDescent="0.3">
      <c r="A245" s="13" t="s">
        <v>0</v>
      </c>
      <c r="B245" s="13" t="s">
        <v>1783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0</v>
      </c>
      <c r="B246" s="13" t="s">
        <v>468</v>
      </c>
      <c r="C246" s="13">
        <v>1</v>
      </c>
      <c r="D246" s="13">
        <v>3</v>
      </c>
      <c r="E246" s="13"/>
    </row>
    <row r="247" spans="1:5" x14ac:dyDescent="0.3">
      <c r="A247" s="13" t="s">
        <v>0</v>
      </c>
      <c r="B247" s="13" t="s">
        <v>2298</v>
      </c>
      <c r="C247" s="13">
        <v>1</v>
      </c>
      <c r="D247" s="13">
        <v>1</v>
      </c>
      <c r="E247" s="13"/>
    </row>
    <row r="248" spans="1:5" x14ac:dyDescent="0.3">
      <c r="A248" s="13" t="s">
        <v>2</v>
      </c>
      <c r="B248" s="13" t="s">
        <v>47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2</v>
      </c>
      <c r="B249" s="13" t="s">
        <v>60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2</v>
      </c>
      <c r="B250" s="13" t="s">
        <v>1067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2</v>
      </c>
      <c r="B251" s="13" t="s">
        <v>1885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2</v>
      </c>
      <c r="B252" s="13" t="s">
        <v>1948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2</v>
      </c>
      <c r="B253" s="13" t="s">
        <v>1342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2</v>
      </c>
      <c r="B254" s="13" t="s">
        <v>101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2</v>
      </c>
      <c r="B255" s="13" t="s">
        <v>567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2</v>
      </c>
      <c r="B256" s="13" t="s">
        <v>579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2</v>
      </c>
      <c r="B257" s="13" t="s">
        <v>568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2</v>
      </c>
      <c r="B258" s="13" t="s">
        <v>178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2</v>
      </c>
      <c r="B259" s="13" t="s">
        <v>664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2</v>
      </c>
      <c r="B260" s="13" t="s">
        <v>2282</v>
      </c>
      <c r="C260" s="13">
        <v>1</v>
      </c>
      <c r="D260" s="13">
        <v>1</v>
      </c>
      <c r="E260" s="13"/>
    </row>
    <row r="261" spans="1:5" x14ac:dyDescent="0.3">
      <c r="A261" s="13" t="s">
        <v>1</v>
      </c>
      <c r="B261" s="13" t="s">
        <v>2026</v>
      </c>
      <c r="C261" s="13">
        <v>1</v>
      </c>
      <c r="D261" s="13">
        <v>0</v>
      </c>
      <c r="E261" s="13">
        <v>1</v>
      </c>
    </row>
    <row r="262" spans="1:5" x14ac:dyDescent="0.3">
      <c r="A262" s="13" t="s">
        <v>1</v>
      </c>
      <c r="B262" s="13" t="s">
        <v>137</v>
      </c>
      <c r="C262" s="13">
        <v>1</v>
      </c>
      <c r="D262" s="13">
        <v>0</v>
      </c>
      <c r="E262" s="13">
        <v>1</v>
      </c>
    </row>
    <row r="263" spans="1:5" x14ac:dyDescent="0.3">
      <c r="A263" s="13" t="s">
        <v>1</v>
      </c>
      <c r="B263" s="13" t="s">
        <v>47</v>
      </c>
      <c r="C263" s="13">
        <v>1</v>
      </c>
      <c r="D263" s="13">
        <v>0</v>
      </c>
      <c r="E263" s="13">
        <v>1</v>
      </c>
    </row>
    <row r="264" spans="1:5" x14ac:dyDescent="0.3">
      <c r="A264" s="13" t="s">
        <v>1</v>
      </c>
      <c r="B264" s="13" t="s">
        <v>1466</v>
      </c>
      <c r="C264" s="13">
        <v>1</v>
      </c>
      <c r="D264" s="13">
        <v>0</v>
      </c>
      <c r="E264" s="13">
        <v>2</v>
      </c>
    </row>
    <row r="265" spans="1:5" x14ac:dyDescent="0.3">
      <c r="A265" s="13" t="s">
        <v>1</v>
      </c>
      <c r="B265" s="13" t="s">
        <v>261</v>
      </c>
      <c r="C265" s="13">
        <v>1</v>
      </c>
      <c r="D265" s="13">
        <v>0</v>
      </c>
      <c r="E265" s="13">
        <v>1</v>
      </c>
    </row>
    <row r="266" spans="1:5" x14ac:dyDescent="0.3">
      <c r="A266" s="13" t="s">
        <v>1</v>
      </c>
      <c r="B266" s="13" t="s">
        <v>1287</v>
      </c>
      <c r="C266" s="13">
        <v>1</v>
      </c>
      <c r="D266" s="13">
        <v>0</v>
      </c>
      <c r="E266" s="13">
        <v>1</v>
      </c>
    </row>
    <row r="267" spans="1:5" x14ac:dyDescent="0.3">
      <c r="A267" s="13" t="s">
        <v>1</v>
      </c>
      <c r="B267" s="13" t="s">
        <v>71</v>
      </c>
      <c r="C267" s="13">
        <v>1</v>
      </c>
      <c r="D267" s="13">
        <v>0</v>
      </c>
      <c r="E267" s="13">
        <v>1</v>
      </c>
    </row>
    <row r="268" spans="1:5" x14ac:dyDescent="0.3">
      <c r="A268" s="13" t="s">
        <v>1</v>
      </c>
      <c r="B268" s="13" t="s">
        <v>33</v>
      </c>
      <c r="C268" s="13">
        <v>2</v>
      </c>
      <c r="D268" s="13">
        <v>0</v>
      </c>
      <c r="E268" s="13">
        <v>2</v>
      </c>
    </row>
    <row r="269" spans="1:5" x14ac:dyDescent="0.3">
      <c r="A269" s="13" t="s">
        <v>1</v>
      </c>
      <c r="B269" s="13" t="s">
        <v>1362</v>
      </c>
      <c r="C269" s="13">
        <v>1</v>
      </c>
      <c r="D269" s="13">
        <v>0</v>
      </c>
      <c r="E269" s="13">
        <v>1</v>
      </c>
    </row>
    <row r="270" spans="1:5" x14ac:dyDescent="0.3">
      <c r="A270" s="13" t="s">
        <v>1</v>
      </c>
      <c r="B270" s="13" t="s">
        <v>78</v>
      </c>
      <c r="C270" s="13">
        <v>1</v>
      </c>
      <c r="D270" s="13">
        <v>0</v>
      </c>
      <c r="E270" s="13">
        <v>1</v>
      </c>
    </row>
    <row r="271" spans="1:5" x14ac:dyDescent="0.3">
      <c r="A271" s="13" t="s">
        <v>1</v>
      </c>
      <c r="B271" s="13" t="s">
        <v>1280</v>
      </c>
      <c r="C271" s="13">
        <v>1</v>
      </c>
      <c r="D271" s="13">
        <v>0</v>
      </c>
      <c r="E271" s="13">
        <v>1</v>
      </c>
    </row>
    <row r="272" spans="1:5" x14ac:dyDescent="0.3">
      <c r="A272" s="13" t="s">
        <v>1</v>
      </c>
      <c r="B272" s="13" t="s">
        <v>40</v>
      </c>
      <c r="C272" s="13">
        <v>1</v>
      </c>
      <c r="D272" s="13">
        <v>0</v>
      </c>
      <c r="E272" s="13">
        <v>1</v>
      </c>
    </row>
    <row r="273" spans="1:5" x14ac:dyDescent="0.3">
      <c r="A273" s="13" t="s">
        <v>1</v>
      </c>
      <c r="B273" s="13" t="s">
        <v>1513</v>
      </c>
      <c r="C273" s="13">
        <v>1</v>
      </c>
      <c r="D273" s="13">
        <v>0</v>
      </c>
      <c r="E273" s="13">
        <v>1</v>
      </c>
    </row>
    <row r="274" spans="1:5" x14ac:dyDescent="0.3">
      <c r="A274" s="13" t="s">
        <v>1</v>
      </c>
      <c r="B274" s="13" t="s">
        <v>304</v>
      </c>
      <c r="C274" s="13">
        <v>1</v>
      </c>
      <c r="D274" s="13">
        <v>0</v>
      </c>
      <c r="E274" s="13">
        <v>4</v>
      </c>
    </row>
    <row r="275" spans="1:5" x14ac:dyDescent="0.3">
      <c r="A275" s="13" t="s">
        <v>1</v>
      </c>
      <c r="B275" s="13" t="s">
        <v>1229</v>
      </c>
      <c r="C275" s="13">
        <v>1</v>
      </c>
      <c r="D275" s="13">
        <v>0</v>
      </c>
      <c r="E275" s="13">
        <v>1</v>
      </c>
    </row>
    <row r="276" spans="1:5" x14ac:dyDescent="0.3">
      <c r="A276" s="13" t="s">
        <v>1</v>
      </c>
      <c r="B276" s="13" t="s">
        <v>816</v>
      </c>
      <c r="C276" s="13">
        <v>1</v>
      </c>
      <c r="D276" s="13">
        <v>0</v>
      </c>
      <c r="E276" s="13">
        <v>2</v>
      </c>
    </row>
    <row r="277" spans="1:5" x14ac:dyDescent="0.3">
      <c r="A277" s="13" t="s">
        <v>1</v>
      </c>
      <c r="B277" s="13" t="s">
        <v>1210</v>
      </c>
      <c r="C277" s="13">
        <v>1</v>
      </c>
      <c r="D277" s="13">
        <v>0</v>
      </c>
      <c r="E277" s="13">
        <v>1</v>
      </c>
    </row>
    <row r="278" spans="1:5" x14ac:dyDescent="0.3">
      <c r="A278" s="13" t="s">
        <v>1</v>
      </c>
      <c r="B278" s="13" t="s">
        <v>149</v>
      </c>
      <c r="C278" s="13">
        <v>1</v>
      </c>
      <c r="D278" s="13">
        <v>0</v>
      </c>
      <c r="E278" s="13">
        <v>1</v>
      </c>
    </row>
    <row r="279" spans="1:5" x14ac:dyDescent="0.3">
      <c r="A279" s="13" t="s">
        <v>1</v>
      </c>
      <c r="B279" s="13" t="s">
        <v>254</v>
      </c>
      <c r="C279" s="13">
        <v>1</v>
      </c>
      <c r="D279" s="13">
        <v>0</v>
      </c>
      <c r="E279" s="13">
        <v>1</v>
      </c>
    </row>
    <row r="280" spans="1:5" x14ac:dyDescent="0.3">
      <c r="A280" s="13" t="s">
        <v>1</v>
      </c>
      <c r="B280" s="13" t="s">
        <v>153</v>
      </c>
      <c r="C280" s="13">
        <v>1</v>
      </c>
      <c r="D280" s="13">
        <v>0</v>
      </c>
      <c r="E280" s="13">
        <v>1</v>
      </c>
    </row>
    <row r="281" spans="1:5" x14ac:dyDescent="0.3">
      <c r="A281" s="13" t="s">
        <v>1</v>
      </c>
      <c r="B281" s="13" t="s">
        <v>61</v>
      </c>
      <c r="C281" s="13">
        <v>1</v>
      </c>
      <c r="D281" s="13">
        <v>0</v>
      </c>
      <c r="E281" s="13">
        <v>2</v>
      </c>
    </row>
    <row r="282" spans="1:5" x14ac:dyDescent="0.3">
      <c r="A282" s="13" t="s">
        <v>1</v>
      </c>
      <c r="B282" s="13" t="s">
        <v>1518</v>
      </c>
      <c r="C282" s="13">
        <v>1</v>
      </c>
      <c r="D282" s="13">
        <v>0</v>
      </c>
      <c r="E282" s="13">
        <v>1</v>
      </c>
    </row>
    <row r="283" spans="1:5" x14ac:dyDescent="0.3">
      <c r="A283" s="13" t="s">
        <v>1</v>
      </c>
      <c r="B283" s="13" t="s">
        <v>1852</v>
      </c>
      <c r="C283" s="13">
        <v>1</v>
      </c>
      <c r="D283" s="13">
        <v>0</v>
      </c>
      <c r="E283" s="13">
        <v>1</v>
      </c>
    </row>
    <row r="284" spans="1:5" x14ac:dyDescent="0.3">
      <c r="A284" s="13" t="s">
        <v>1</v>
      </c>
      <c r="B284" s="13" t="s">
        <v>1930</v>
      </c>
      <c r="C284" s="13">
        <v>1</v>
      </c>
      <c r="D284" s="13">
        <v>0</v>
      </c>
      <c r="E284" s="13">
        <v>1</v>
      </c>
    </row>
    <row r="285" spans="1:5" x14ac:dyDescent="0.3">
      <c r="A285" s="13" t="s">
        <v>1</v>
      </c>
      <c r="B285" s="13" t="s">
        <v>1960</v>
      </c>
      <c r="C285" s="13">
        <v>1</v>
      </c>
      <c r="D285" s="13">
        <v>0</v>
      </c>
      <c r="E285" s="13">
        <v>1</v>
      </c>
    </row>
    <row r="286" spans="1:5" x14ac:dyDescent="0.3">
      <c r="A286" s="13" t="s">
        <v>1</v>
      </c>
      <c r="B286" s="13" t="s">
        <v>2093</v>
      </c>
      <c r="C286" s="13">
        <v>1</v>
      </c>
      <c r="D286" s="13">
        <v>0</v>
      </c>
      <c r="E286" s="13">
        <v>1</v>
      </c>
    </row>
    <row r="287" spans="1:5" x14ac:dyDescent="0.3">
      <c r="A287" s="13" t="s">
        <v>1</v>
      </c>
      <c r="B287" s="13" t="s">
        <v>2179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1</v>
      </c>
      <c r="B288" s="13" t="s">
        <v>890</v>
      </c>
      <c r="C288" s="13">
        <v>1</v>
      </c>
      <c r="D288" s="13">
        <v>0</v>
      </c>
      <c r="E288" s="13">
        <v>1</v>
      </c>
    </row>
    <row r="289" spans="1:5" x14ac:dyDescent="0.3">
      <c r="A289" s="13" t="s">
        <v>1</v>
      </c>
      <c r="B289" s="13" t="s">
        <v>97</v>
      </c>
      <c r="C289" s="13">
        <v>1</v>
      </c>
      <c r="D289" s="13">
        <v>0</v>
      </c>
      <c r="E289" s="13">
        <v>0</v>
      </c>
    </row>
    <row r="290" spans="1:5" x14ac:dyDescent="0.3">
      <c r="A290" s="13" t="s">
        <v>1</v>
      </c>
      <c r="B290" s="13" t="s">
        <v>1311</v>
      </c>
      <c r="C290" s="13">
        <v>1</v>
      </c>
      <c r="D290" s="13">
        <v>0</v>
      </c>
      <c r="E290" s="13">
        <v>1</v>
      </c>
    </row>
    <row r="291" spans="1:5" x14ac:dyDescent="0.3">
      <c r="A291" s="13" t="s">
        <v>1</v>
      </c>
      <c r="B291" s="13" t="s">
        <v>2299</v>
      </c>
      <c r="C291" s="13">
        <v>1</v>
      </c>
      <c r="D291" s="13">
        <v>0</v>
      </c>
      <c r="E291" s="13">
        <v>1</v>
      </c>
    </row>
    <row r="292" spans="1:5" x14ac:dyDescent="0.3">
      <c r="A292" s="13" t="s">
        <v>1</v>
      </c>
      <c r="B292" s="13" t="s">
        <v>1095</v>
      </c>
      <c r="C292" s="13">
        <v>1</v>
      </c>
      <c r="D292" s="13">
        <v>0</v>
      </c>
      <c r="E292" s="13">
        <v>1</v>
      </c>
    </row>
    <row r="293" spans="1:5" x14ac:dyDescent="0.3">
      <c r="A293" s="13" t="s">
        <v>1</v>
      </c>
      <c r="B293" s="13" t="s">
        <v>861</v>
      </c>
      <c r="C293" s="13">
        <v>1</v>
      </c>
      <c r="D293" s="13">
        <v>0</v>
      </c>
      <c r="E293" s="13">
        <v>1</v>
      </c>
    </row>
    <row r="294" spans="1:5" x14ac:dyDescent="0.3">
      <c r="A294" s="13" t="s">
        <v>1</v>
      </c>
      <c r="B294" s="13" t="s">
        <v>620</v>
      </c>
      <c r="C294" s="13">
        <v>1</v>
      </c>
      <c r="D294" s="13">
        <v>0</v>
      </c>
      <c r="E294" s="13">
        <v>1</v>
      </c>
    </row>
    <row r="295" spans="1:5" x14ac:dyDescent="0.3">
      <c r="A295" s="13" t="s">
        <v>1</v>
      </c>
      <c r="B295" s="13" t="s">
        <v>51</v>
      </c>
      <c r="C295" s="13">
        <v>2</v>
      </c>
      <c r="D295" s="13">
        <v>0</v>
      </c>
      <c r="E295" s="13">
        <v>1</v>
      </c>
    </row>
    <row r="296" spans="1:5" x14ac:dyDescent="0.3">
      <c r="A296" s="13" t="s">
        <v>1</v>
      </c>
      <c r="B296" s="13" t="s">
        <v>1649</v>
      </c>
      <c r="C296" s="13">
        <v>1</v>
      </c>
      <c r="D296" s="13">
        <v>0</v>
      </c>
      <c r="E296" s="13">
        <v>1</v>
      </c>
    </row>
    <row r="297" spans="1:5" x14ac:dyDescent="0.3">
      <c r="A297" s="13" t="s">
        <v>1</v>
      </c>
      <c r="B297" s="13" t="s">
        <v>2300</v>
      </c>
      <c r="C297" s="13">
        <v>1</v>
      </c>
      <c r="D297" s="13">
        <v>0</v>
      </c>
      <c r="E297" s="13">
        <v>1</v>
      </c>
    </row>
    <row r="298" spans="1:5" x14ac:dyDescent="0.3">
      <c r="A298" s="13" t="s">
        <v>1</v>
      </c>
      <c r="B298" s="13" t="s">
        <v>1376</v>
      </c>
      <c r="C298" s="13">
        <v>1</v>
      </c>
      <c r="D298" s="13">
        <v>0</v>
      </c>
      <c r="E298" s="13">
        <v>1</v>
      </c>
    </row>
    <row r="299" spans="1:5" x14ac:dyDescent="0.3">
      <c r="A299" s="13" t="s">
        <v>1</v>
      </c>
      <c r="B299" s="13" t="s">
        <v>516</v>
      </c>
      <c r="C299" s="13">
        <v>1</v>
      </c>
      <c r="D299" s="13">
        <v>0</v>
      </c>
      <c r="E299" s="13">
        <v>1</v>
      </c>
    </row>
    <row r="300" spans="1:5" x14ac:dyDescent="0.3">
      <c r="A300" s="13" t="s">
        <v>1</v>
      </c>
      <c r="B300" s="13" t="s">
        <v>520</v>
      </c>
      <c r="C300" s="13">
        <v>1</v>
      </c>
      <c r="D300" s="13">
        <v>0</v>
      </c>
      <c r="E300" s="13">
        <v>1</v>
      </c>
    </row>
    <row r="301" spans="1:5" x14ac:dyDescent="0.3">
      <c r="A301" s="13" t="s">
        <v>1</v>
      </c>
      <c r="B301" s="13" t="s">
        <v>2096</v>
      </c>
      <c r="C301" s="13">
        <v>1</v>
      </c>
      <c r="D301" s="13">
        <v>0</v>
      </c>
      <c r="E301" s="13">
        <v>1</v>
      </c>
    </row>
    <row r="302" spans="1:5" x14ac:dyDescent="0.3">
      <c r="A302" s="13" t="s">
        <v>1</v>
      </c>
      <c r="B302" s="13" t="s">
        <v>2082</v>
      </c>
      <c r="C302" s="13">
        <v>1</v>
      </c>
      <c r="D302" s="13">
        <v>0</v>
      </c>
      <c r="E302" s="13">
        <v>1</v>
      </c>
    </row>
    <row r="303" spans="1:5" x14ac:dyDescent="0.3">
      <c r="A303" s="13" t="s">
        <v>1</v>
      </c>
      <c r="B303" s="13" t="s">
        <v>2054</v>
      </c>
      <c r="C303" s="13">
        <v>1</v>
      </c>
      <c r="D303" s="13">
        <v>0</v>
      </c>
      <c r="E303" s="13">
        <v>2</v>
      </c>
    </row>
    <row r="304" spans="1:5" x14ac:dyDescent="0.3">
      <c r="A304" s="13" t="s">
        <v>1</v>
      </c>
      <c r="B304" s="13" t="s">
        <v>2301</v>
      </c>
      <c r="C304" s="13">
        <v>1</v>
      </c>
      <c r="D304" s="13">
        <v>0</v>
      </c>
      <c r="E304" s="13">
        <v>1</v>
      </c>
    </row>
    <row r="305" spans="1:5" x14ac:dyDescent="0.3">
      <c r="A305" s="13" t="s">
        <v>1</v>
      </c>
      <c r="B305" s="13" t="s">
        <v>1077</v>
      </c>
      <c r="C305" s="13">
        <v>1</v>
      </c>
      <c r="D305" s="13">
        <v>0</v>
      </c>
      <c r="E305" s="13">
        <v>2</v>
      </c>
    </row>
    <row r="306" spans="1:5" x14ac:dyDescent="0.3">
      <c r="A306" s="13" t="s">
        <v>1</v>
      </c>
      <c r="B306" s="13" t="s">
        <v>2302</v>
      </c>
      <c r="C306" s="13">
        <v>1</v>
      </c>
      <c r="D306" s="13">
        <v>0</v>
      </c>
      <c r="E306" s="13">
        <v>1</v>
      </c>
    </row>
    <row r="307" spans="1:5" x14ac:dyDescent="0.3">
      <c r="A307" s="13" t="s">
        <v>1</v>
      </c>
      <c r="B307" s="13" t="s">
        <v>38</v>
      </c>
      <c r="C307" s="13">
        <v>1</v>
      </c>
      <c r="D307" s="13">
        <v>0</v>
      </c>
      <c r="E307" s="13">
        <v>1</v>
      </c>
    </row>
    <row r="308" spans="1:5" x14ac:dyDescent="0.3">
      <c r="A308" s="13" t="s">
        <v>1</v>
      </c>
      <c r="B308" s="13" t="s">
        <v>483</v>
      </c>
      <c r="C308" s="13">
        <v>1</v>
      </c>
      <c r="D308" s="13">
        <v>0</v>
      </c>
      <c r="E308" s="13">
        <v>0</v>
      </c>
    </row>
    <row r="309" spans="1:5" x14ac:dyDescent="0.3">
      <c r="A309" s="13" t="s">
        <v>1</v>
      </c>
      <c r="B309" s="13" t="s">
        <v>1218</v>
      </c>
      <c r="C309" s="13">
        <v>1</v>
      </c>
      <c r="D309" s="13">
        <v>0</v>
      </c>
      <c r="E309" s="13">
        <v>0</v>
      </c>
    </row>
    <row r="310" spans="1:5" x14ac:dyDescent="0.3">
      <c r="A310" s="13" t="s">
        <v>1</v>
      </c>
      <c r="B310" s="13" t="s">
        <v>2160</v>
      </c>
      <c r="C310" s="13">
        <v>1</v>
      </c>
      <c r="D310" s="13">
        <v>0</v>
      </c>
      <c r="E310" s="13">
        <v>2</v>
      </c>
    </row>
    <row r="311" spans="1:5" x14ac:dyDescent="0.3">
      <c r="A311" s="13" t="s">
        <v>1</v>
      </c>
      <c r="B311" s="13" t="s">
        <v>1060</v>
      </c>
      <c r="C311" s="13">
        <v>1</v>
      </c>
      <c r="D311" s="13">
        <v>0</v>
      </c>
      <c r="E311" s="13">
        <v>1</v>
      </c>
    </row>
    <row r="312" spans="1:5" x14ac:dyDescent="0.3">
      <c r="A312" s="13" t="s">
        <v>1</v>
      </c>
      <c r="B312" s="13" t="s">
        <v>370</v>
      </c>
      <c r="C312" s="13">
        <v>1</v>
      </c>
      <c r="D312" s="13">
        <v>0</v>
      </c>
      <c r="E312" s="13">
        <v>1</v>
      </c>
    </row>
    <row r="313" spans="1:5" x14ac:dyDescent="0.3">
      <c r="A313" s="13" t="s">
        <v>1</v>
      </c>
      <c r="B313" s="13" t="s">
        <v>232</v>
      </c>
      <c r="C313" s="13">
        <v>2</v>
      </c>
      <c r="D313" s="13">
        <v>0</v>
      </c>
      <c r="E313" s="13">
        <v>2</v>
      </c>
    </row>
    <row r="314" spans="1:5" x14ac:dyDescent="0.3">
      <c r="A314" s="13" t="s">
        <v>1</v>
      </c>
      <c r="B314" s="13" t="s">
        <v>192</v>
      </c>
      <c r="C314" s="13">
        <v>4</v>
      </c>
      <c r="D314" s="13">
        <v>0</v>
      </c>
      <c r="E314" s="13">
        <v>8</v>
      </c>
    </row>
    <row r="315" spans="1:5" x14ac:dyDescent="0.3">
      <c r="A315" s="13" t="s">
        <v>1</v>
      </c>
      <c r="B315" s="13" t="s">
        <v>39</v>
      </c>
      <c r="C315" s="13">
        <v>3</v>
      </c>
      <c r="D315" s="13">
        <v>0</v>
      </c>
      <c r="E315" s="13">
        <v>3</v>
      </c>
    </row>
    <row r="316" spans="1:5" x14ac:dyDescent="0.3">
      <c r="A316" s="13" t="s">
        <v>1</v>
      </c>
      <c r="B316" s="13" t="s">
        <v>235</v>
      </c>
      <c r="C316" s="13">
        <v>2</v>
      </c>
      <c r="D316" s="13">
        <v>0</v>
      </c>
      <c r="E316" s="13">
        <v>3</v>
      </c>
    </row>
    <row r="317" spans="1:5" x14ac:dyDescent="0.3">
      <c r="A317" s="13" t="s">
        <v>1</v>
      </c>
      <c r="B317" s="13" t="s">
        <v>236</v>
      </c>
      <c r="C317" s="13">
        <v>1</v>
      </c>
      <c r="D317" s="13">
        <v>0</v>
      </c>
      <c r="E317" s="13">
        <v>1</v>
      </c>
    </row>
    <row r="318" spans="1:5" x14ac:dyDescent="0.3">
      <c r="A318" s="13" t="s">
        <v>1</v>
      </c>
      <c r="B318" s="13" t="s">
        <v>371</v>
      </c>
      <c r="C318" s="13">
        <v>1</v>
      </c>
      <c r="D318" s="13">
        <v>0</v>
      </c>
      <c r="E318" s="13">
        <v>1</v>
      </c>
    </row>
    <row r="319" spans="1:5" x14ac:dyDescent="0.3">
      <c r="A319" s="13" t="s">
        <v>1</v>
      </c>
      <c r="B319" s="13" t="s">
        <v>1111</v>
      </c>
      <c r="C319" s="13">
        <v>1</v>
      </c>
      <c r="D319" s="13">
        <v>0</v>
      </c>
      <c r="E319" s="13">
        <v>0</v>
      </c>
    </row>
    <row r="320" spans="1:5" x14ac:dyDescent="0.3">
      <c r="A320" s="13" t="s">
        <v>1</v>
      </c>
      <c r="B320" s="13" t="s">
        <v>2303</v>
      </c>
      <c r="C320" s="13">
        <v>1</v>
      </c>
      <c r="D320" s="13">
        <v>0</v>
      </c>
      <c r="E320" s="13">
        <v>1</v>
      </c>
    </row>
    <row r="321" spans="1:5" x14ac:dyDescent="0.3">
      <c r="A321" s="13" t="s">
        <v>1</v>
      </c>
      <c r="B321" s="13" t="s">
        <v>2304</v>
      </c>
      <c r="C321" s="13">
        <v>1</v>
      </c>
      <c r="D321" s="13">
        <v>0</v>
      </c>
      <c r="E321" s="13">
        <v>1</v>
      </c>
    </row>
    <row r="322" spans="1:5" x14ac:dyDescent="0.3">
      <c r="A322" s="13" t="s">
        <v>1</v>
      </c>
      <c r="B322" s="13" t="s">
        <v>68</v>
      </c>
      <c r="C322" s="13">
        <v>1</v>
      </c>
      <c r="D322" s="13">
        <v>0</v>
      </c>
      <c r="E322" s="13">
        <v>1</v>
      </c>
    </row>
    <row r="323" spans="1:5" x14ac:dyDescent="0.3">
      <c r="A323" s="13" t="s">
        <v>0</v>
      </c>
      <c r="B323" s="13" t="s">
        <v>261</v>
      </c>
      <c r="C323" s="13">
        <v>1</v>
      </c>
      <c r="D323" s="13">
        <v>0</v>
      </c>
      <c r="E323" s="13">
        <v>1</v>
      </c>
    </row>
    <row r="324" spans="1:5" x14ac:dyDescent="0.3">
      <c r="A324" s="13" t="s">
        <v>0</v>
      </c>
      <c r="B324" s="13" t="s">
        <v>553</v>
      </c>
      <c r="C324" s="13">
        <v>1</v>
      </c>
      <c r="D324" s="13">
        <v>0</v>
      </c>
      <c r="E324" s="13">
        <v>1</v>
      </c>
    </row>
    <row r="325" spans="1:5" x14ac:dyDescent="0.3">
      <c r="A325" s="13" t="s">
        <v>0</v>
      </c>
      <c r="B325" s="13" t="s">
        <v>373</v>
      </c>
      <c r="C325" s="13">
        <v>1</v>
      </c>
      <c r="D325" s="13">
        <v>0</v>
      </c>
      <c r="E325" s="13">
        <v>1</v>
      </c>
    </row>
    <row r="326" spans="1:5" x14ac:dyDescent="0.3">
      <c r="A326" s="13" t="s">
        <v>0</v>
      </c>
      <c r="B326" s="13" t="s">
        <v>78</v>
      </c>
      <c r="C326" s="13">
        <v>1</v>
      </c>
      <c r="D326" s="13">
        <v>0</v>
      </c>
      <c r="E326" s="13">
        <v>1</v>
      </c>
    </row>
    <row r="327" spans="1:5" x14ac:dyDescent="0.3">
      <c r="A327" s="13" t="s">
        <v>0</v>
      </c>
      <c r="B327" s="13" t="s">
        <v>83</v>
      </c>
      <c r="C327" s="13">
        <v>1</v>
      </c>
      <c r="D327" s="13">
        <v>0</v>
      </c>
      <c r="E327" s="13">
        <v>1</v>
      </c>
    </row>
    <row r="328" spans="1:5" x14ac:dyDescent="0.3">
      <c r="A328" s="13" t="s">
        <v>0</v>
      </c>
      <c r="B328" s="13" t="s">
        <v>91</v>
      </c>
      <c r="C328" s="13">
        <v>1</v>
      </c>
      <c r="D328" s="13">
        <v>0</v>
      </c>
      <c r="E328" s="13">
        <v>1</v>
      </c>
    </row>
    <row r="329" spans="1:5" x14ac:dyDescent="0.3">
      <c r="A329" s="13" t="s">
        <v>0</v>
      </c>
      <c r="B329" s="13" t="s">
        <v>1505</v>
      </c>
      <c r="C329" s="13">
        <v>1</v>
      </c>
      <c r="D329" s="13">
        <v>0</v>
      </c>
      <c r="E329" s="13">
        <v>1</v>
      </c>
    </row>
    <row r="330" spans="1:5" x14ac:dyDescent="0.3">
      <c r="A330" s="13" t="s">
        <v>0</v>
      </c>
      <c r="B330" s="13" t="s">
        <v>1518</v>
      </c>
      <c r="C330" s="13">
        <v>1</v>
      </c>
      <c r="D330" s="13">
        <v>0</v>
      </c>
      <c r="E330" s="13">
        <v>1</v>
      </c>
    </row>
    <row r="331" spans="1:5" x14ac:dyDescent="0.3">
      <c r="A331" s="13" t="s">
        <v>0</v>
      </c>
      <c r="B331" s="13" t="s">
        <v>1655</v>
      </c>
      <c r="C331" s="13">
        <v>1</v>
      </c>
      <c r="D331" s="13">
        <v>0</v>
      </c>
      <c r="E331" s="13">
        <v>1</v>
      </c>
    </row>
    <row r="332" spans="1:5" x14ac:dyDescent="0.3">
      <c r="A332" s="13" t="s">
        <v>0</v>
      </c>
      <c r="B332" s="13" t="s">
        <v>1664</v>
      </c>
      <c r="C332" s="13">
        <v>1</v>
      </c>
      <c r="D332" s="13">
        <v>0</v>
      </c>
      <c r="E332" s="13">
        <v>1</v>
      </c>
    </row>
    <row r="333" spans="1:5" x14ac:dyDescent="0.3">
      <c r="A333" s="13" t="s">
        <v>0</v>
      </c>
      <c r="B333" s="13" t="s">
        <v>1885</v>
      </c>
      <c r="C333" s="13">
        <v>1</v>
      </c>
      <c r="D333" s="13">
        <v>0</v>
      </c>
      <c r="E333" s="13">
        <v>1</v>
      </c>
    </row>
    <row r="334" spans="1:5" x14ac:dyDescent="0.3">
      <c r="A334" s="13" t="s">
        <v>0</v>
      </c>
      <c r="B334" s="13" t="s">
        <v>1884</v>
      </c>
      <c r="C334" s="13">
        <v>1</v>
      </c>
      <c r="D334" s="13">
        <v>0</v>
      </c>
      <c r="E334" s="13">
        <v>1</v>
      </c>
    </row>
    <row r="335" spans="1:5" x14ac:dyDescent="0.3">
      <c r="A335" s="13" t="s">
        <v>0</v>
      </c>
      <c r="B335" s="13" t="s">
        <v>1900</v>
      </c>
      <c r="C335" s="13">
        <v>1</v>
      </c>
      <c r="D335" s="13">
        <v>0</v>
      </c>
      <c r="E335" s="13">
        <v>1</v>
      </c>
    </row>
    <row r="336" spans="1:5" x14ac:dyDescent="0.3">
      <c r="A336" s="13" t="s">
        <v>0</v>
      </c>
      <c r="B336" s="13" t="s">
        <v>2148</v>
      </c>
      <c r="C336" s="13">
        <v>3</v>
      </c>
      <c r="D336" s="13">
        <v>0</v>
      </c>
      <c r="E336" s="13">
        <v>3</v>
      </c>
    </row>
    <row r="337" spans="1:5" x14ac:dyDescent="0.3">
      <c r="A337" s="13" t="s">
        <v>0</v>
      </c>
      <c r="B337" s="13" t="s">
        <v>2164</v>
      </c>
      <c r="C337" s="13">
        <v>1</v>
      </c>
      <c r="D337" s="13">
        <v>0</v>
      </c>
      <c r="E337" s="13">
        <v>1</v>
      </c>
    </row>
    <row r="338" spans="1:5" x14ac:dyDescent="0.3">
      <c r="A338" s="13" t="s">
        <v>0</v>
      </c>
      <c r="B338" s="13" t="s">
        <v>2272</v>
      </c>
      <c r="C338" s="13">
        <v>1</v>
      </c>
      <c r="D338" s="13">
        <v>0</v>
      </c>
      <c r="E338" s="13">
        <v>4</v>
      </c>
    </row>
    <row r="339" spans="1:5" x14ac:dyDescent="0.3">
      <c r="A339" s="13" t="s">
        <v>0</v>
      </c>
      <c r="B339" s="13" t="s">
        <v>560</v>
      </c>
      <c r="C339" s="13">
        <v>1</v>
      </c>
      <c r="D339" s="13">
        <v>0</v>
      </c>
      <c r="E339" s="13">
        <v>1</v>
      </c>
    </row>
    <row r="340" spans="1:5" x14ac:dyDescent="0.3">
      <c r="A340" s="13" t="s">
        <v>0</v>
      </c>
      <c r="B340" s="13" t="s">
        <v>1385</v>
      </c>
      <c r="C340" s="13">
        <v>1</v>
      </c>
      <c r="D340" s="13">
        <v>0</v>
      </c>
      <c r="E340" s="13">
        <v>2</v>
      </c>
    </row>
    <row r="341" spans="1:5" x14ac:dyDescent="0.3">
      <c r="A341" s="13" t="s">
        <v>0</v>
      </c>
      <c r="B341" s="13" t="s">
        <v>1176</v>
      </c>
      <c r="C341" s="13">
        <v>1</v>
      </c>
      <c r="D341" s="13">
        <v>0</v>
      </c>
      <c r="E341" s="13">
        <v>1</v>
      </c>
    </row>
    <row r="342" spans="1:5" x14ac:dyDescent="0.3">
      <c r="A342" s="13" t="s">
        <v>0</v>
      </c>
      <c r="B342" s="13" t="s">
        <v>428</v>
      </c>
      <c r="C342" s="13">
        <v>1</v>
      </c>
      <c r="D342" s="13">
        <v>0</v>
      </c>
      <c r="E342" s="13">
        <v>1</v>
      </c>
    </row>
    <row r="343" spans="1:5" x14ac:dyDescent="0.3">
      <c r="A343" s="13" t="s">
        <v>0</v>
      </c>
      <c r="B343" s="13" t="s">
        <v>105</v>
      </c>
      <c r="C343" s="13">
        <v>1</v>
      </c>
      <c r="D343" s="13">
        <v>0</v>
      </c>
      <c r="E343" s="13">
        <v>1</v>
      </c>
    </row>
    <row r="344" spans="1:5" x14ac:dyDescent="0.3">
      <c r="A344" s="13" t="s">
        <v>0</v>
      </c>
      <c r="B344" s="13" t="s">
        <v>1028</v>
      </c>
      <c r="C344" s="13">
        <v>1</v>
      </c>
      <c r="D344" s="13">
        <v>0</v>
      </c>
      <c r="E344" s="13">
        <v>3</v>
      </c>
    </row>
    <row r="345" spans="1:5" x14ac:dyDescent="0.3">
      <c r="A345" s="13" t="s">
        <v>0</v>
      </c>
      <c r="B345" s="13" t="s">
        <v>315</v>
      </c>
      <c r="C345" s="13">
        <v>1</v>
      </c>
      <c r="D345" s="13">
        <v>0</v>
      </c>
      <c r="E345" s="13">
        <v>1</v>
      </c>
    </row>
    <row r="346" spans="1:5" x14ac:dyDescent="0.3">
      <c r="A346" s="13" t="s">
        <v>0</v>
      </c>
      <c r="B346" s="13" t="s">
        <v>516</v>
      </c>
      <c r="C346" s="13">
        <v>1</v>
      </c>
      <c r="D346" s="13">
        <v>0</v>
      </c>
      <c r="E346" s="13">
        <v>3</v>
      </c>
    </row>
    <row r="347" spans="1:5" x14ac:dyDescent="0.3">
      <c r="A347" s="13" t="s">
        <v>0</v>
      </c>
      <c r="B347" s="13" t="s">
        <v>895</v>
      </c>
      <c r="C347" s="13">
        <v>1</v>
      </c>
      <c r="D347" s="13">
        <v>0</v>
      </c>
      <c r="E347" s="13">
        <v>1</v>
      </c>
    </row>
    <row r="348" spans="1:5" x14ac:dyDescent="0.3">
      <c r="A348" s="13" t="s">
        <v>0</v>
      </c>
      <c r="B348" s="13" t="s">
        <v>132</v>
      </c>
      <c r="C348" s="13">
        <v>1</v>
      </c>
      <c r="D348" s="13">
        <v>0</v>
      </c>
      <c r="E348" s="13">
        <v>1</v>
      </c>
    </row>
    <row r="349" spans="1:5" x14ac:dyDescent="0.3">
      <c r="A349" s="13" t="s">
        <v>0</v>
      </c>
      <c r="B349" s="13" t="s">
        <v>192</v>
      </c>
      <c r="C349" s="13">
        <v>1</v>
      </c>
      <c r="D349" s="13">
        <v>0</v>
      </c>
      <c r="E349" s="13">
        <v>1</v>
      </c>
    </row>
    <row r="350" spans="1:5" x14ac:dyDescent="0.3">
      <c r="A350" s="13" t="s">
        <v>0</v>
      </c>
      <c r="B350" s="13" t="s">
        <v>233</v>
      </c>
      <c r="C350" s="13">
        <v>1</v>
      </c>
      <c r="D350" s="13">
        <v>0</v>
      </c>
      <c r="E350" s="13">
        <v>2</v>
      </c>
    </row>
    <row r="351" spans="1:5" x14ac:dyDescent="0.3">
      <c r="A351" s="13" t="s">
        <v>0</v>
      </c>
      <c r="B351" s="13" t="s">
        <v>54</v>
      </c>
      <c r="C351" s="13">
        <v>1</v>
      </c>
      <c r="D351" s="13">
        <v>0</v>
      </c>
      <c r="E351" s="13">
        <v>1</v>
      </c>
    </row>
    <row r="352" spans="1:5" x14ac:dyDescent="0.3">
      <c r="A352" s="13" t="s">
        <v>0</v>
      </c>
      <c r="B352" s="13" t="s">
        <v>235</v>
      </c>
      <c r="C352" s="13">
        <v>1</v>
      </c>
      <c r="D352" s="13">
        <v>0</v>
      </c>
      <c r="E352" s="13">
        <v>1</v>
      </c>
    </row>
    <row r="353" spans="1:5" x14ac:dyDescent="0.3">
      <c r="A353" s="13" t="s">
        <v>0</v>
      </c>
      <c r="B353" s="13" t="s">
        <v>1703</v>
      </c>
      <c r="C353" s="13">
        <v>0</v>
      </c>
      <c r="D353" s="13">
        <v>1</v>
      </c>
      <c r="E353" s="13"/>
    </row>
    <row r="354" spans="1:5" x14ac:dyDescent="0.3">
      <c r="A354" s="13" t="s">
        <v>0</v>
      </c>
      <c r="B354" s="13" t="s">
        <v>32</v>
      </c>
      <c r="C354" s="13">
        <v>1</v>
      </c>
      <c r="D354" s="13">
        <v>0</v>
      </c>
      <c r="E354" s="13">
        <v>2</v>
      </c>
    </row>
    <row r="355" spans="1:5" x14ac:dyDescent="0.3">
      <c r="A355" s="13"/>
      <c r="B355" s="13"/>
      <c r="C355" s="13"/>
      <c r="D355" s="13"/>
      <c r="E355" s="13"/>
    </row>
    <row r="356" spans="1:5" x14ac:dyDescent="0.3">
      <c r="A356" s="13"/>
      <c r="B356" s="13"/>
      <c r="C356" s="13"/>
      <c r="D356" s="13"/>
      <c r="E356" s="13"/>
    </row>
    <row r="357" spans="1:5" x14ac:dyDescent="0.3">
      <c r="A357" s="13"/>
      <c r="B357" s="13"/>
      <c r="C357" s="13"/>
      <c r="D357" s="13"/>
      <c r="E357" s="13"/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CDA3C-F300-46DE-88B9-94AE2C14D141}">
  <sheetPr codeName="Sheet36"/>
  <dimension ref="A1:M620"/>
  <sheetViews>
    <sheetView workbookViewId="0">
      <selection activeCell="A2" sqref="A2:E577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1067</v>
      </c>
      <c r="C2" s="13">
        <v>78</v>
      </c>
      <c r="D2" s="13">
        <v>76</v>
      </c>
      <c r="E2" s="13">
        <v>84</v>
      </c>
    </row>
    <row r="3" spans="1:13" customFormat="1" x14ac:dyDescent="0.3">
      <c r="A3" s="13" t="s">
        <v>1</v>
      </c>
      <c r="B3" s="13" t="s">
        <v>135</v>
      </c>
      <c r="C3" s="13">
        <v>69</v>
      </c>
      <c r="D3" s="13">
        <v>47</v>
      </c>
      <c r="E3" s="13">
        <v>78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37</v>
      </c>
      <c r="C4" s="13">
        <v>40</v>
      </c>
      <c r="D4" s="13">
        <v>36</v>
      </c>
      <c r="E4" s="13">
        <v>42</v>
      </c>
      <c r="G4" s="19" t="s">
        <v>8</v>
      </c>
      <c r="H4" s="15">
        <f>H13+H14</f>
        <v>1023</v>
      </c>
      <c r="I4" s="16">
        <f>H4/H$6</f>
        <v>0.7286324786324786</v>
      </c>
      <c r="J4" s="15">
        <f>I13+I14</f>
        <v>544</v>
      </c>
      <c r="K4" s="16">
        <f>J4/J$6</f>
        <v>0.62385321100917435</v>
      </c>
      <c r="L4" s="15">
        <f>J13+J14</f>
        <v>1237</v>
      </c>
      <c r="M4" s="25">
        <f>L4/L$6</f>
        <v>0.74607961399276235</v>
      </c>
    </row>
    <row r="5" spans="1:13" customFormat="1" x14ac:dyDescent="0.3">
      <c r="A5" s="13" t="s">
        <v>0</v>
      </c>
      <c r="B5" s="13" t="s">
        <v>29</v>
      </c>
      <c r="C5" s="13">
        <v>32</v>
      </c>
      <c r="D5" s="13">
        <v>28</v>
      </c>
      <c r="E5" s="13">
        <v>33</v>
      </c>
      <c r="G5" s="19" t="s">
        <v>10</v>
      </c>
      <c r="H5" s="15">
        <f>H15+H16</f>
        <v>381</v>
      </c>
      <c r="I5" s="16">
        <f>H5/H$6</f>
        <v>0.27136752136752135</v>
      </c>
      <c r="J5" s="15">
        <f>I15+I16</f>
        <v>328</v>
      </c>
      <c r="K5" s="16">
        <f>J5/J$6</f>
        <v>0.37614678899082571</v>
      </c>
      <c r="L5" s="15">
        <f>J15+J16</f>
        <v>421</v>
      </c>
      <c r="M5" s="25">
        <f>L5/L$6</f>
        <v>0.25392038600723765</v>
      </c>
    </row>
    <row r="6" spans="1:13" customFormat="1" ht="17.25" thickBot="1" x14ac:dyDescent="0.35">
      <c r="A6" s="13" t="s">
        <v>1</v>
      </c>
      <c r="B6" s="13" t="s">
        <v>30</v>
      </c>
      <c r="C6" s="13">
        <v>76</v>
      </c>
      <c r="D6" s="13">
        <v>23</v>
      </c>
      <c r="E6" s="13">
        <v>140</v>
      </c>
      <c r="G6" s="22"/>
      <c r="H6" s="26">
        <f>SUM(H4:H5)</f>
        <v>1404</v>
      </c>
      <c r="I6" s="27">
        <f>I4+I5</f>
        <v>1</v>
      </c>
      <c r="J6" s="26">
        <f>SUM(J4:J5)</f>
        <v>872</v>
      </c>
      <c r="K6" s="27">
        <f>K4+K5</f>
        <v>1</v>
      </c>
      <c r="L6" s="26">
        <f>SUM(L4:L5)</f>
        <v>1658</v>
      </c>
      <c r="M6" s="28">
        <f>M4+M5</f>
        <v>1</v>
      </c>
    </row>
    <row r="7" spans="1:13" customFormat="1" x14ac:dyDescent="0.3">
      <c r="A7" s="13" t="s">
        <v>0</v>
      </c>
      <c r="B7" s="13" t="s">
        <v>37</v>
      </c>
      <c r="C7" s="13">
        <v>23</v>
      </c>
      <c r="D7" s="13">
        <v>22</v>
      </c>
      <c r="E7" s="13">
        <v>23</v>
      </c>
    </row>
    <row r="8" spans="1:13" customFormat="1" x14ac:dyDescent="0.3">
      <c r="A8" s="13" t="s">
        <v>1</v>
      </c>
      <c r="B8" s="13" t="s">
        <v>1067</v>
      </c>
      <c r="C8" s="13">
        <v>19</v>
      </c>
      <c r="D8" s="13">
        <v>18</v>
      </c>
      <c r="E8" s="13">
        <v>20</v>
      </c>
    </row>
    <row r="9" spans="1:13" customFormat="1" x14ac:dyDescent="0.3">
      <c r="A9" s="13" t="s">
        <v>1</v>
      </c>
      <c r="B9" s="13" t="s">
        <v>48</v>
      </c>
      <c r="C9" s="13">
        <v>13</v>
      </c>
      <c r="D9" s="13">
        <v>11</v>
      </c>
      <c r="E9" s="13">
        <v>13</v>
      </c>
    </row>
    <row r="10" spans="1:13" customFormat="1" ht="17.25" thickBot="1" x14ac:dyDescent="0.35">
      <c r="A10" s="13" t="s">
        <v>1</v>
      </c>
      <c r="B10" s="13" t="s">
        <v>354</v>
      </c>
      <c r="C10" s="13">
        <v>15</v>
      </c>
      <c r="D10" s="13">
        <v>9</v>
      </c>
      <c r="E10" s="13">
        <v>17</v>
      </c>
    </row>
    <row r="11" spans="1:13" x14ac:dyDescent="0.3">
      <c r="A11" s="13" t="s">
        <v>1</v>
      </c>
      <c r="B11" s="13" t="s">
        <v>1948</v>
      </c>
      <c r="C11" s="13">
        <v>12</v>
      </c>
      <c r="D11" s="13">
        <v>9</v>
      </c>
      <c r="E11" s="13">
        <v>11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1741</v>
      </c>
      <c r="C12" s="13">
        <v>9</v>
      </c>
      <c r="D12" s="13">
        <v>8</v>
      </c>
      <c r="E12" s="13">
        <v>9</v>
      </c>
      <c r="G12" s="19"/>
      <c r="H12" s="17">
        <f t="shared" ref="H12:J12" si="0">SUM(H13:H16)</f>
        <v>1404</v>
      </c>
      <c r="I12" s="17">
        <f t="shared" si="0"/>
        <v>872</v>
      </c>
      <c r="J12" s="20">
        <f t="shared" si="0"/>
        <v>1658</v>
      </c>
    </row>
    <row r="13" spans="1:13" x14ac:dyDescent="0.3">
      <c r="A13" s="13" t="s">
        <v>1</v>
      </c>
      <c r="B13" s="13" t="s">
        <v>33</v>
      </c>
      <c r="C13" s="13">
        <v>7</v>
      </c>
      <c r="D13" s="13">
        <v>7</v>
      </c>
      <c r="E13" s="13">
        <v>8</v>
      </c>
      <c r="G13" s="19" t="s">
        <v>7</v>
      </c>
      <c r="H13" s="18">
        <f t="shared" ref="H13:J16" si="1">SUMIF($A$2:$A$9999,$G13,C$2:C$9999)</f>
        <v>1023</v>
      </c>
      <c r="I13" s="18">
        <f t="shared" si="1"/>
        <v>544</v>
      </c>
      <c r="J13" s="21">
        <f t="shared" si="1"/>
        <v>1237</v>
      </c>
    </row>
    <row r="14" spans="1:13" x14ac:dyDescent="0.3">
      <c r="A14" s="13" t="s">
        <v>0</v>
      </c>
      <c r="B14" s="13" t="s">
        <v>1948</v>
      </c>
      <c r="C14" s="13">
        <v>9</v>
      </c>
      <c r="D14" s="13">
        <v>7</v>
      </c>
      <c r="E14" s="13">
        <v>13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0</v>
      </c>
      <c r="B15" s="13" t="s">
        <v>30</v>
      </c>
      <c r="C15" s="13">
        <v>14</v>
      </c>
      <c r="D15" s="13">
        <v>6</v>
      </c>
      <c r="E15" s="13">
        <v>25</v>
      </c>
      <c r="G15" s="19" t="s">
        <v>11</v>
      </c>
      <c r="H15" s="18">
        <f t="shared" si="1"/>
        <v>368</v>
      </c>
      <c r="I15" s="18">
        <f t="shared" si="1"/>
        <v>317</v>
      </c>
      <c r="J15" s="21">
        <f t="shared" si="1"/>
        <v>408</v>
      </c>
    </row>
    <row r="16" spans="1:13" ht="17.25" thickBot="1" x14ac:dyDescent="0.35">
      <c r="A16" s="13" t="s">
        <v>1</v>
      </c>
      <c r="B16" s="13" t="s">
        <v>148</v>
      </c>
      <c r="C16" s="13">
        <v>7</v>
      </c>
      <c r="D16" s="13">
        <v>5</v>
      </c>
      <c r="E16" s="13">
        <v>8</v>
      </c>
      <c r="G16" s="22" t="s">
        <v>12</v>
      </c>
      <c r="H16" s="23">
        <f t="shared" si="1"/>
        <v>13</v>
      </c>
      <c r="I16" s="23">
        <f t="shared" si="1"/>
        <v>11</v>
      </c>
      <c r="J16" s="24">
        <f t="shared" si="1"/>
        <v>13</v>
      </c>
    </row>
    <row r="17" spans="1:5" x14ac:dyDescent="0.3">
      <c r="A17" s="13" t="s">
        <v>1</v>
      </c>
      <c r="B17" s="13" t="s">
        <v>151</v>
      </c>
      <c r="C17" s="13">
        <v>11</v>
      </c>
      <c r="D17" s="13">
        <v>5</v>
      </c>
      <c r="E17" s="13">
        <v>17</v>
      </c>
    </row>
    <row r="18" spans="1:5" x14ac:dyDescent="0.3">
      <c r="A18" s="13" t="s">
        <v>0</v>
      </c>
      <c r="B18" s="13" t="s">
        <v>47</v>
      </c>
      <c r="C18" s="13">
        <v>5</v>
      </c>
      <c r="D18" s="13">
        <v>5</v>
      </c>
      <c r="E18" s="13">
        <v>5</v>
      </c>
    </row>
    <row r="19" spans="1:5" x14ac:dyDescent="0.3">
      <c r="A19" s="13" t="s">
        <v>0</v>
      </c>
      <c r="B19" s="13" t="s">
        <v>31</v>
      </c>
      <c r="C19" s="13">
        <v>6</v>
      </c>
      <c r="D19" s="13">
        <v>5</v>
      </c>
      <c r="E19" s="13">
        <v>6</v>
      </c>
    </row>
    <row r="20" spans="1:5" x14ac:dyDescent="0.3">
      <c r="A20" s="13" t="s">
        <v>1</v>
      </c>
      <c r="B20" s="13" t="s">
        <v>145</v>
      </c>
      <c r="C20" s="13">
        <v>4</v>
      </c>
      <c r="D20" s="13">
        <v>4</v>
      </c>
      <c r="E20" s="13">
        <v>4</v>
      </c>
    </row>
    <row r="21" spans="1:5" x14ac:dyDescent="0.3">
      <c r="A21" s="13" t="s">
        <v>1</v>
      </c>
      <c r="B21" s="13" t="s">
        <v>61</v>
      </c>
      <c r="C21" s="13">
        <v>4</v>
      </c>
      <c r="D21" s="13">
        <v>4</v>
      </c>
      <c r="E21" s="13">
        <v>5</v>
      </c>
    </row>
    <row r="22" spans="1:5" x14ac:dyDescent="0.3">
      <c r="A22" s="13" t="s">
        <v>1</v>
      </c>
      <c r="B22" s="13" t="s">
        <v>471</v>
      </c>
      <c r="C22" s="13">
        <v>11</v>
      </c>
      <c r="D22" s="13">
        <v>4</v>
      </c>
      <c r="E22" s="13">
        <v>15</v>
      </c>
    </row>
    <row r="23" spans="1:5" x14ac:dyDescent="0.3">
      <c r="A23" s="13" t="s">
        <v>1</v>
      </c>
      <c r="B23" s="13" t="s">
        <v>1663</v>
      </c>
      <c r="C23" s="13">
        <v>8</v>
      </c>
      <c r="D23" s="13">
        <v>4</v>
      </c>
      <c r="E23" s="13">
        <v>12</v>
      </c>
    </row>
    <row r="24" spans="1:5" x14ac:dyDescent="0.3">
      <c r="A24" s="13" t="s">
        <v>1</v>
      </c>
      <c r="B24" s="13" t="s">
        <v>2203</v>
      </c>
      <c r="C24" s="13">
        <v>22</v>
      </c>
      <c r="D24" s="13">
        <v>4</v>
      </c>
      <c r="E24" s="13">
        <v>28</v>
      </c>
    </row>
    <row r="25" spans="1:5" x14ac:dyDescent="0.3">
      <c r="A25" s="13" t="s">
        <v>1</v>
      </c>
      <c r="B25" s="13" t="s">
        <v>195</v>
      </c>
      <c r="C25" s="13">
        <v>4</v>
      </c>
      <c r="D25" s="13">
        <v>4</v>
      </c>
      <c r="E25" s="13">
        <v>4</v>
      </c>
    </row>
    <row r="26" spans="1:5" x14ac:dyDescent="0.3">
      <c r="A26" s="13" t="s">
        <v>1</v>
      </c>
      <c r="B26" s="13" t="s">
        <v>196</v>
      </c>
      <c r="C26" s="13">
        <v>5</v>
      </c>
      <c r="D26" s="13">
        <v>4</v>
      </c>
      <c r="E26" s="13">
        <v>6</v>
      </c>
    </row>
    <row r="27" spans="1:5" x14ac:dyDescent="0.3">
      <c r="A27" s="13" t="s">
        <v>1</v>
      </c>
      <c r="B27" s="13" t="s">
        <v>661</v>
      </c>
      <c r="C27" s="13">
        <v>4</v>
      </c>
      <c r="D27" s="13">
        <v>4</v>
      </c>
      <c r="E27" s="13">
        <v>4</v>
      </c>
    </row>
    <row r="28" spans="1:5" x14ac:dyDescent="0.3">
      <c r="A28" s="13" t="s">
        <v>1</v>
      </c>
      <c r="B28" s="13" t="s">
        <v>132</v>
      </c>
      <c r="C28" s="13">
        <v>5</v>
      </c>
      <c r="D28" s="13">
        <v>4</v>
      </c>
      <c r="E28" s="13">
        <v>5</v>
      </c>
    </row>
    <row r="29" spans="1:5" x14ac:dyDescent="0.3">
      <c r="A29" s="13" t="s">
        <v>0</v>
      </c>
      <c r="B29" s="13" t="s">
        <v>60</v>
      </c>
      <c r="C29" s="13">
        <v>4</v>
      </c>
      <c r="D29" s="13">
        <v>4</v>
      </c>
      <c r="E29" s="13">
        <v>4</v>
      </c>
    </row>
    <row r="30" spans="1:5" x14ac:dyDescent="0.3">
      <c r="A30" s="13" t="s">
        <v>0</v>
      </c>
      <c r="B30" s="13" t="s">
        <v>1741</v>
      </c>
      <c r="C30" s="13">
        <v>4</v>
      </c>
      <c r="D30" s="13">
        <v>4</v>
      </c>
      <c r="E30" s="13">
        <v>4</v>
      </c>
    </row>
    <row r="31" spans="1:5" x14ac:dyDescent="0.3">
      <c r="A31" s="13" t="s">
        <v>0</v>
      </c>
      <c r="B31" s="13" t="s">
        <v>1882</v>
      </c>
      <c r="C31" s="13">
        <v>4</v>
      </c>
      <c r="D31" s="13">
        <v>4</v>
      </c>
      <c r="E31" s="13">
        <v>5</v>
      </c>
    </row>
    <row r="32" spans="1:5" x14ac:dyDescent="0.3">
      <c r="A32" s="13" t="s">
        <v>0</v>
      </c>
      <c r="B32" s="13" t="s">
        <v>130</v>
      </c>
      <c r="C32" s="13">
        <v>4</v>
      </c>
      <c r="D32" s="13">
        <v>4</v>
      </c>
      <c r="E32" s="13">
        <v>4</v>
      </c>
    </row>
    <row r="33" spans="1:5" x14ac:dyDescent="0.3">
      <c r="A33" s="13" t="s">
        <v>1</v>
      </c>
      <c r="B33" s="13" t="s">
        <v>47</v>
      </c>
      <c r="C33" s="13">
        <v>5</v>
      </c>
      <c r="D33" s="13">
        <v>3</v>
      </c>
      <c r="E33" s="13">
        <v>6</v>
      </c>
    </row>
    <row r="34" spans="1:5" x14ac:dyDescent="0.3">
      <c r="A34" s="13" t="s">
        <v>1</v>
      </c>
      <c r="B34" s="13" t="s">
        <v>83</v>
      </c>
      <c r="C34" s="13">
        <v>6</v>
      </c>
      <c r="D34" s="13">
        <v>3</v>
      </c>
      <c r="E34" s="13">
        <v>6</v>
      </c>
    </row>
    <row r="35" spans="1:5" x14ac:dyDescent="0.3">
      <c r="A35" s="13" t="s">
        <v>1</v>
      </c>
      <c r="B35" s="13" t="s">
        <v>272</v>
      </c>
      <c r="C35" s="13">
        <v>6</v>
      </c>
      <c r="D35" s="13">
        <v>3</v>
      </c>
      <c r="E35" s="13">
        <v>5</v>
      </c>
    </row>
    <row r="36" spans="1:5" x14ac:dyDescent="0.3">
      <c r="A36" s="13" t="s">
        <v>1</v>
      </c>
      <c r="B36" s="13" t="s">
        <v>93</v>
      </c>
      <c r="C36" s="13">
        <v>5</v>
      </c>
      <c r="D36" s="13">
        <v>3</v>
      </c>
      <c r="E36" s="13">
        <v>6</v>
      </c>
    </row>
    <row r="37" spans="1:5" x14ac:dyDescent="0.3">
      <c r="A37" s="13" t="s">
        <v>1</v>
      </c>
      <c r="B37" s="13" t="s">
        <v>1988</v>
      </c>
      <c r="C37" s="13">
        <v>11</v>
      </c>
      <c r="D37" s="13">
        <v>3</v>
      </c>
      <c r="E37" s="13">
        <v>14</v>
      </c>
    </row>
    <row r="38" spans="1:5" x14ac:dyDescent="0.3">
      <c r="A38" s="13" t="s">
        <v>1</v>
      </c>
      <c r="B38" s="13" t="s">
        <v>507</v>
      </c>
      <c r="C38" s="13">
        <v>5</v>
      </c>
      <c r="D38" s="13">
        <v>3</v>
      </c>
      <c r="E38" s="13">
        <v>5</v>
      </c>
    </row>
    <row r="39" spans="1:5" x14ac:dyDescent="0.3">
      <c r="A39" s="13" t="s">
        <v>1</v>
      </c>
      <c r="B39" s="13" t="s">
        <v>29</v>
      </c>
      <c r="C39" s="13">
        <v>3</v>
      </c>
      <c r="D39" s="13">
        <v>3</v>
      </c>
      <c r="E39" s="13">
        <v>3</v>
      </c>
    </row>
    <row r="40" spans="1:5" x14ac:dyDescent="0.3">
      <c r="A40" s="13" t="s">
        <v>1</v>
      </c>
      <c r="B40" s="13" t="s">
        <v>319</v>
      </c>
      <c r="C40" s="13">
        <v>3</v>
      </c>
      <c r="D40" s="13">
        <v>3</v>
      </c>
      <c r="E40" s="13">
        <v>3</v>
      </c>
    </row>
    <row r="41" spans="1:5" x14ac:dyDescent="0.3">
      <c r="A41" s="13" t="s">
        <v>1</v>
      </c>
      <c r="B41" s="13" t="s">
        <v>631</v>
      </c>
      <c r="C41" s="13">
        <v>4</v>
      </c>
      <c r="D41" s="13">
        <v>3</v>
      </c>
      <c r="E41" s="13">
        <v>4</v>
      </c>
    </row>
    <row r="42" spans="1:5" x14ac:dyDescent="0.3">
      <c r="A42" s="13" t="s">
        <v>1</v>
      </c>
      <c r="B42" s="13" t="s">
        <v>174</v>
      </c>
      <c r="C42" s="13">
        <v>4</v>
      </c>
      <c r="D42" s="13">
        <v>3</v>
      </c>
      <c r="E42" s="13">
        <v>5</v>
      </c>
    </row>
    <row r="43" spans="1:5" x14ac:dyDescent="0.3">
      <c r="A43" s="13" t="s">
        <v>1</v>
      </c>
      <c r="B43" s="13" t="s">
        <v>124</v>
      </c>
      <c r="C43" s="13">
        <v>3</v>
      </c>
      <c r="D43" s="13">
        <v>3</v>
      </c>
      <c r="E43" s="13">
        <v>3</v>
      </c>
    </row>
    <row r="44" spans="1:5" x14ac:dyDescent="0.3">
      <c r="A44" s="13" t="s">
        <v>1</v>
      </c>
      <c r="B44" s="13" t="s">
        <v>296</v>
      </c>
      <c r="C44" s="13">
        <v>4</v>
      </c>
      <c r="D44" s="13">
        <v>3</v>
      </c>
      <c r="E44" s="13">
        <v>4</v>
      </c>
    </row>
    <row r="45" spans="1:5" x14ac:dyDescent="0.3">
      <c r="A45" s="13" t="s">
        <v>1</v>
      </c>
      <c r="B45" s="13" t="s">
        <v>66</v>
      </c>
      <c r="C45" s="13">
        <v>9</v>
      </c>
      <c r="D45" s="13">
        <v>3</v>
      </c>
      <c r="E45" s="13">
        <v>16</v>
      </c>
    </row>
    <row r="46" spans="1:5" x14ac:dyDescent="0.3">
      <c r="A46" s="13" t="s">
        <v>1</v>
      </c>
      <c r="B46" s="13" t="s">
        <v>32</v>
      </c>
      <c r="C46" s="13">
        <v>8</v>
      </c>
      <c r="D46" s="13">
        <v>3</v>
      </c>
      <c r="E46" s="13">
        <v>10</v>
      </c>
    </row>
    <row r="47" spans="1:5" x14ac:dyDescent="0.3">
      <c r="A47" s="13" t="s">
        <v>0</v>
      </c>
      <c r="B47" s="13" t="s">
        <v>34</v>
      </c>
      <c r="C47" s="13">
        <v>3</v>
      </c>
      <c r="D47" s="13">
        <v>3</v>
      </c>
      <c r="E47" s="13">
        <v>3</v>
      </c>
    </row>
    <row r="48" spans="1:5" x14ac:dyDescent="0.3">
      <c r="A48" s="13" t="s">
        <v>0</v>
      </c>
      <c r="B48" s="13" t="s">
        <v>354</v>
      </c>
      <c r="C48" s="13">
        <v>3</v>
      </c>
      <c r="D48" s="13">
        <v>3</v>
      </c>
      <c r="E48" s="13">
        <v>3</v>
      </c>
    </row>
    <row r="49" spans="1:5" x14ac:dyDescent="0.3">
      <c r="A49" s="13" t="s">
        <v>0</v>
      </c>
      <c r="B49" s="13" t="s">
        <v>1342</v>
      </c>
      <c r="C49" s="13">
        <v>3</v>
      </c>
      <c r="D49" s="13">
        <v>3</v>
      </c>
      <c r="E49" s="13">
        <v>3</v>
      </c>
    </row>
    <row r="50" spans="1:5" x14ac:dyDescent="0.3">
      <c r="A50" s="13" t="s">
        <v>0</v>
      </c>
      <c r="B50" s="13" t="s">
        <v>164</v>
      </c>
      <c r="C50" s="13">
        <v>3</v>
      </c>
      <c r="D50" s="13">
        <v>3</v>
      </c>
      <c r="E50" s="13">
        <v>3</v>
      </c>
    </row>
    <row r="51" spans="1:5" x14ac:dyDescent="0.3">
      <c r="A51" s="13" t="s">
        <v>0</v>
      </c>
      <c r="B51" s="13" t="s">
        <v>120</v>
      </c>
      <c r="C51" s="13">
        <v>3</v>
      </c>
      <c r="D51" s="13">
        <v>3</v>
      </c>
      <c r="E51" s="13">
        <v>3</v>
      </c>
    </row>
    <row r="52" spans="1:5" x14ac:dyDescent="0.3">
      <c r="A52" s="13" t="s">
        <v>0</v>
      </c>
      <c r="B52" s="13" t="s">
        <v>39</v>
      </c>
      <c r="C52" s="13">
        <v>4</v>
      </c>
      <c r="D52" s="13">
        <v>3</v>
      </c>
      <c r="E52" s="13">
        <v>7</v>
      </c>
    </row>
    <row r="53" spans="1:5" x14ac:dyDescent="0.3">
      <c r="A53" s="13" t="s">
        <v>1</v>
      </c>
      <c r="B53" s="13" t="s">
        <v>486</v>
      </c>
      <c r="C53" s="13">
        <v>3</v>
      </c>
      <c r="D53" s="13">
        <v>2</v>
      </c>
      <c r="E53" s="13">
        <v>5</v>
      </c>
    </row>
    <row r="54" spans="1:5" x14ac:dyDescent="0.3">
      <c r="A54" s="13" t="s">
        <v>1</v>
      </c>
      <c r="B54" s="13" t="s">
        <v>344</v>
      </c>
      <c r="C54" s="13">
        <v>2</v>
      </c>
      <c r="D54" s="13">
        <v>2</v>
      </c>
      <c r="E54" s="13">
        <v>2</v>
      </c>
    </row>
    <row r="55" spans="1:5" x14ac:dyDescent="0.3">
      <c r="A55" s="13" t="s">
        <v>1</v>
      </c>
      <c r="B55" s="13" t="s">
        <v>490</v>
      </c>
      <c r="C55" s="13">
        <v>2</v>
      </c>
      <c r="D55" s="13">
        <v>2</v>
      </c>
      <c r="E55" s="13">
        <v>2</v>
      </c>
    </row>
    <row r="56" spans="1:5" x14ac:dyDescent="0.3">
      <c r="A56" s="13" t="s">
        <v>1</v>
      </c>
      <c r="B56" s="13" t="s">
        <v>206</v>
      </c>
      <c r="C56" s="13">
        <v>2</v>
      </c>
      <c r="D56" s="13">
        <v>2</v>
      </c>
      <c r="E56" s="13">
        <v>2</v>
      </c>
    </row>
    <row r="57" spans="1:5" x14ac:dyDescent="0.3">
      <c r="A57" s="13" t="s">
        <v>1</v>
      </c>
      <c r="B57" s="13" t="s">
        <v>77</v>
      </c>
      <c r="C57" s="13">
        <v>2</v>
      </c>
      <c r="D57" s="13">
        <v>2</v>
      </c>
      <c r="E57" s="13">
        <v>2</v>
      </c>
    </row>
    <row r="58" spans="1:5" x14ac:dyDescent="0.3">
      <c r="A58" s="13" t="s">
        <v>1</v>
      </c>
      <c r="B58" s="13" t="s">
        <v>270</v>
      </c>
      <c r="C58" s="13">
        <v>2</v>
      </c>
      <c r="D58" s="13">
        <v>2</v>
      </c>
      <c r="E58" s="13">
        <v>2</v>
      </c>
    </row>
    <row r="59" spans="1:5" x14ac:dyDescent="0.3">
      <c r="A59" s="13" t="s">
        <v>1</v>
      </c>
      <c r="B59" s="13" t="s">
        <v>86</v>
      </c>
      <c r="C59" s="13">
        <v>2</v>
      </c>
      <c r="D59" s="13">
        <v>2</v>
      </c>
      <c r="E59" s="13">
        <v>5</v>
      </c>
    </row>
    <row r="60" spans="1:5" x14ac:dyDescent="0.3">
      <c r="A60" s="13" t="s">
        <v>1</v>
      </c>
      <c r="B60" s="13" t="s">
        <v>87</v>
      </c>
      <c r="C60" s="13">
        <v>2</v>
      </c>
      <c r="D60" s="13">
        <v>2</v>
      </c>
      <c r="E60" s="13">
        <v>2</v>
      </c>
    </row>
    <row r="61" spans="1:5" x14ac:dyDescent="0.3">
      <c r="A61" s="13" t="s">
        <v>1</v>
      </c>
      <c r="B61" s="13" t="s">
        <v>605</v>
      </c>
      <c r="C61" s="13">
        <v>2</v>
      </c>
      <c r="D61" s="13">
        <v>2</v>
      </c>
      <c r="E61" s="13">
        <v>2</v>
      </c>
    </row>
    <row r="62" spans="1:5" x14ac:dyDescent="0.3">
      <c r="A62" s="13" t="s">
        <v>1</v>
      </c>
      <c r="B62" s="13" t="s">
        <v>914</v>
      </c>
      <c r="C62" s="13">
        <v>2</v>
      </c>
      <c r="D62" s="13">
        <v>2</v>
      </c>
      <c r="E62" s="13">
        <v>2</v>
      </c>
    </row>
    <row r="63" spans="1:5" x14ac:dyDescent="0.3">
      <c r="A63" s="13" t="s">
        <v>1</v>
      </c>
      <c r="B63" s="13" t="s">
        <v>353</v>
      </c>
      <c r="C63" s="13">
        <v>2</v>
      </c>
      <c r="D63" s="13">
        <v>2</v>
      </c>
      <c r="E63" s="13">
        <v>2</v>
      </c>
    </row>
    <row r="64" spans="1:5" x14ac:dyDescent="0.3">
      <c r="A64" s="13" t="s">
        <v>1</v>
      </c>
      <c r="B64" s="13" t="s">
        <v>152</v>
      </c>
      <c r="C64" s="13">
        <v>2</v>
      </c>
      <c r="D64" s="13">
        <v>2</v>
      </c>
      <c r="E64" s="13">
        <v>2</v>
      </c>
    </row>
    <row r="65" spans="1:5" x14ac:dyDescent="0.3">
      <c r="A65" s="13" t="s">
        <v>1</v>
      </c>
      <c r="B65" s="13" t="s">
        <v>60</v>
      </c>
      <c r="C65" s="13">
        <v>2</v>
      </c>
      <c r="D65" s="13">
        <v>2</v>
      </c>
      <c r="E65" s="13">
        <v>2</v>
      </c>
    </row>
    <row r="66" spans="1:5" x14ac:dyDescent="0.3">
      <c r="A66" s="13" t="s">
        <v>1</v>
      </c>
      <c r="B66" s="13" t="s">
        <v>94</v>
      </c>
      <c r="C66" s="13">
        <v>6</v>
      </c>
      <c r="D66" s="13">
        <v>2</v>
      </c>
      <c r="E66" s="13">
        <v>8</v>
      </c>
    </row>
    <row r="67" spans="1:5" x14ac:dyDescent="0.3">
      <c r="A67" s="13" t="s">
        <v>1</v>
      </c>
      <c r="B67" s="13" t="s">
        <v>1471</v>
      </c>
      <c r="C67" s="13">
        <v>4</v>
      </c>
      <c r="D67" s="13">
        <v>2</v>
      </c>
      <c r="E67" s="13">
        <v>5</v>
      </c>
    </row>
    <row r="68" spans="1:5" x14ac:dyDescent="0.3">
      <c r="A68" s="13" t="s">
        <v>1</v>
      </c>
      <c r="B68" s="13" t="s">
        <v>1570</v>
      </c>
      <c r="C68" s="13">
        <v>2</v>
      </c>
      <c r="D68" s="13">
        <v>2</v>
      </c>
      <c r="E68" s="13">
        <v>3</v>
      </c>
    </row>
    <row r="69" spans="1:5" x14ac:dyDescent="0.3">
      <c r="A69" s="13" t="s">
        <v>1</v>
      </c>
      <c r="B69" s="13" t="s">
        <v>1885</v>
      </c>
      <c r="C69" s="13">
        <v>11</v>
      </c>
      <c r="D69" s="13">
        <v>2</v>
      </c>
      <c r="E69" s="13">
        <v>14</v>
      </c>
    </row>
    <row r="70" spans="1:5" x14ac:dyDescent="0.3">
      <c r="A70" s="13" t="s">
        <v>1</v>
      </c>
      <c r="B70" s="13" t="s">
        <v>1882</v>
      </c>
      <c r="C70" s="13">
        <v>3</v>
      </c>
      <c r="D70" s="13">
        <v>2</v>
      </c>
      <c r="E70" s="13">
        <v>3</v>
      </c>
    </row>
    <row r="71" spans="1:5" x14ac:dyDescent="0.3">
      <c r="A71" s="13" t="s">
        <v>1</v>
      </c>
      <c r="B71" s="13" t="s">
        <v>2093</v>
      </c>
      <c r="C71" s="13">
        <v>6</v>
      </c>
      <c r="D71" s="13">
        <v>2</v>
      </c>
      <c r="E71" s="13">
        <v>9</v>
      </c>
    </row>
    <row r="72" spans="1:5" x14ac:dyDescent="0.3">
      <c r="A72" s="13" t="s">
        <v>1</v>
      </c>
      <c r="B72" s="13" t="s">
        <v>506</v>
      </c>
      <c r="C72" s="13">
        <v>2</v>
      </c>
      <c r="D72" s="13">
        <v>2</v>
      </c>
      <c r="E72" s="13">
        <v>2</v>
      </c>
    </row>
    <row r="73" spans="1:5" x14ac:dyDescent="0.3">
      <c r="A73" s="13" t="s">
        <v>1</v>
      </c>
      <c r="B73" s="13" t="s">
        <v>155</v>
      </c>
      <c r="C73" s="13">
        <v>2</v>
      </c>
      <c r="D73" s="13">
        <v>2</v>
      </c>
      <c r="E73" s="13">
        <v>2</v>
      </c>
    </row>
    <row r="74" spans="1:5" x14ac:dyDescent="0.3">
      <c r="A74" s="13" t="s">
        <v>1</v>
      </c>
      <c r="B74" s="13" t="s">
        <v>1342</v>
      </c>
      <c r="C74" s="13">
        <v>2</v>
      </c>
      <c r="D74" s="13">
        <v>2</v>
      </c>
      <c r="E74" s="13">
        <v>2</v>
      </c>
    </row>
    <row r="75" spans="1:5" x14ac:dyDescent="0.3">
      <c r="A75" s="13" t="s">
        <v>1</v>
      </c>
      <c r="B75" s="13" t="s">
        <v>934</v>
      </c>
      <c r="C75" s="13">
        <v>2</v>
      </c>
      <c r="D75" s="13">
        <v>2</v>
      </c>
      <c r="E75" s="13">
        <v>2</v>
      </c>
    </row>
    <row r="76" spans="1:5" x14ac:dyDescent="0.3">
      <c r="A76" s="13" t="s">
        <v>1</v>
      </c>
      <c r="B76" s="13" t="s">
        <v>101</v>
      </c>
      <c r="C76" s="13">
        <v>4</v>
      </c>
      <c r="D76" s="13">
        <v>2</v>
      </c>
      <c r="E76" s="13">
        <v>4</v>
      </c>
    </row>
    <row r="77" spans="1:5" x14ac:dyDescent="0.3">
      <c r="A77" s="13" t="s">
        <v>1</v>
      </c>
      <c r="B77" s="13" t="s">
        <v>1327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109</v>
      </c>
      <c r="C78" s="13">
        <v>2</v>
      </c>
      <c r="D78" s="13">
        <v>2</v>
      </c>
      <c r="E78" s="13">
        <v>2</v>
      </c>
    </row>
    <row r="79" spans="1:5" x14ac:dyDescent="0.3">
      <c r="A79" s="13" t="s">
        <v>1</v>
      </c>
      <c r="B79" s="13" t="s">
        <v>279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281</v>
      </c>
      <c r="C80" s="13">
        <v>2</v>
      </c>
      <c r="D80" s="13">
        <v>2</v>
      </c>
      <c r="E80" s="13">
        <v>2</v>
      </c>
    </row>
    <row r="81" spans="1:5" x14ac:dyDescent="0.3">
      <c r="A81" s="13" t="s">
        <v>1</v>
      </c>
      <c r="B81" s="13" t="s">
        <v>170</v>
      </c>
      <c r="C81" s="13">
        <v>2</v>
      </c>
      <c r="D81" s="13">
        <v>2</v>
      </c>
      <c r="E81" s="13">
        <v>2</v>
      </c>
    </row>
    <row r="82" spans="1:5" x14ac:dyDescent="0.3">
      <c r="A82" s="13" t="s">
        <v>1</v>
      </c>
      <c r="B82" s="13" t="s">
        <v>315</v>
      </c>
      <c r="C82" s="13">
        <v>2</v>
      </c>
      <c r="D82" s="13">
        <v>2</v>
      </c>
      <c r="E82" s="13">
        <v>3</v>
      </c>
    </row>
    <row r="83" spans="1:5" x14ac:dyDescent="0.3">
      <c r="A83" s="13" t="s">
        <v>1</v>
      </c>
      <c r="B83" s="13" t="s">
        <v>45</v>
      </c>
      <c r="C83" s="13">
        <v>2</v>
      </c>
      <c r="D83" s="13">
        <v>2</v>
      </c>
      <c r="E83" s="13">
        <v>2</v>
      </c>
    </row>
    <row r="84" spans="1:5" x14ac:dyDescent="0.3">
      <c r="A84" s="13" t="s">
        <v>1</v>
      </c>
      <c r="B84" s="13" t="s">
        <v>374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1099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120</v>
      </c>
      <c r="C86" s="13">
        <v>2</v>
      </c>
      <c r="D86" s="13">
        <v>2</v>
      </c>
      <c r="E86" s="13">
        <v>2</v>
      </c>
    </row>
    <row r="87" spans="1:5" x14ac:dyDescent="0.3">
      <c r="A87" s="13" t="s">
        <v>1</v>
      </c>
      <c r="B87" s="13" t="s">
        <v>121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407</v>
      </c>
      <c r="C88" s="13">
        <v>2</v>
      </c>
      <c r="D88" s="13">
        <v>2</v>
      </c>
      <c r="E88" s="13">
        <v>2</v>
      </c>
    </row>
    <row r="89" spans="1:5" x14ac:dyDescent="0.3">
      <c r="A89" s="13" t="s">
        <v>1</v>
      </c>
      <c r="B89" s="13" t="s">
        <v>63</v>
      </c>
      <c r="C89" s="13">
        <v>2</v>
      </c>
      <c r="D89" s="13">
        <v>2</v>
      </c>
      <c r="E89" s="13">
        <v>2</v>
      </c>
    </row>
    <row r="90" spans="1:5" x14ac:dyDescent="0.3">
      <c r="A90" s="13" t="s">
        <v>1</v>
      </c>
      <c r="B90" s="13" t="s">
        <v>255</v>
      </c>
      <c r="C90" s="13">
        <v>2</v>
      </c>
      <c r="D90" s="13">
        <v>2</v>
      </c>
      <c r="E90" s="13">
        <v>2</v>
      </c>
    </row>
    <row r="91" spans="1:5" x14ac:dyDescent="0.3">
      <c r="A91" s="13" t="s">
        <v>1</v>
      </c>
      <c r="B91" s="13" t="s">
        <v>958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31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483</v>
      </c>
      <c r="C93" s="13">
        <v>5</v>
      </c>
      <c r="D93" s="13">
        <v>2</v>
      </c>
      <c r="E93" s="13">
        <v>5</v>
      </c>
    </row>
    <row r="94" spans="1:5" x14ac:dyDescent="0.3">
      <c r="A94" s="13" t="s">
        <v>1</v>
      </c>
      <c r="B94" s="13" t="s">
        <v>188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797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191</v>
      </c>
      <c r="C96" s="13">
        <v>9</v>
      </c>
      <c r="D96" s="13">
        <v>2</v>
      </c>
      <c r="E96" s="13">
        <v>17</v>
      </c>
    </row>
    <row r="97" spans="1:5" x14ac:dyDescent="0.3">
      <c r="A97" s="13" t="s">
        <v>1</v>
      </c>
      <c r="B97" s="13" t="s">
        <v>365</v>
      </c>
      <c r="C97" s="13">
        <v>3</v>
      </c>
      <c r="D97" s="13">
        <v>2</v>
      </c>
      <c r="E97" s="13">
        <v>4</v>
      </c>
    </row>
    <row r="98" spans="1:5" x14ac:dyDescent="0.3">
      <c r="A98" s="13" t="s">
        <v>1</v>
      </c>
      <c r="B98" s="13" t="s">
        <v>722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1326</v>
      </c>
      <c r="C99" s="13">
        <v>2</v>
      </c>
      <c r="D99" s="13">
        <v>2</v>
      </c>
      <c r="E99" s="13">
        <v>3</v>
      </c>
    </row>
    <row r="100" spans="1:5" x14ac:dyDescent="0.3">
      <c r="A100" s="13" t="s">
        <v>0</v>
      </c>
      <c r="B100" s="13" t="s">
        <v>553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0</v>
      </c>
      <c r="B101" s="13" t="s">
        <v>263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0</v>
      </c>
      <c r="B102" s="13" t="s">
        <v>446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0</v>
      </c>
      <c r="B103" s="13" t="s">
        <v>80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0</v>
      </c>
      <c r="B104" s="13" t="s">
        <v>87</v>
      </c>
      <c r="C104" s="13">
        <v>2</v>
      </c>
      <c r="D104" s="13">
        <v>2</v>
      </c>
      <c r="E104" s="13">
        <v>3</v>
      </c>
    </row>
    <row r="105" spans="1:5" x14ac:dyDescent="0.3">
      <c r="A105" s="13" t="s">
        <v>0</v>
      </c>
      <c r="B105" s="13" t="s">
        <v>272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0</v>
      </c>
      <c r="B106" s="13" t="s">
        <v>61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0</v>
      </c>
      <c r="B107" s="13" t="s">
        <v>94</v>
      </c>
      <c r="C107" s="13">
        <v>5</v>
      </c>
      <c r="D107" s="13">
        <v>2</v>
      </c>
      <c r="E107" s="13">
        <v>4</v>
      </c>
    </row>
    <row r="108" spans="1:5" x14ac:dyDescent="0.3">
      <c r="A108" s="13" t="s">
        <v>0</v>
      </c>
      <c r="B108" s="13" t="s">
        <v>1663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0</v>
      </c>
      <c r="B109" s="13" t="s">
        <v>1674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0</v>
      </c>
      <c r="B110" s="13" t="s">
        <v>28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0</v>
      </c>
      <c r="B111" s="13" t="s">
        <v>341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0</v>
      </c>
      <c r="B112" s="13" t="s">
        <v>51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0</v>
      </c>
      <c r="B113" s="13" t="s">
        <v>431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0</v>
      </c>
      <c r="B114" s="13" t="s">
        <v>339</v>
      </c>
      <c r="C114" s="13">
        <v>2</v>
      </c>
      <c r="D114" s="13">
        <v>2</v>
      </c>
      <c r="E114" s="13">
        <v>2</v>
      </c>
    </row>
    <row r="115" spans="1:5" x14ac:dyDescent="0.3">
      <c r="A115" s="13" t="s">
        <v>0</v>
      </c>
      <c r="B115" s="13" t="s">
        <v>191</v>
      </c>
      <c r="C115" s="13">
        <v>3</v>
      </c>
      <c r="D115" s="13">
        <v>2</v>
      </c>
      <c r="E115" s="13">
        <v>2</v>
      </c>
    </row>
    <row r="116" spans="1:5" x14ac:dyDescent="0.3">
      <c r="A116" s="13" t="s">
        <v>0</v>
      </c>
      <c r="B116" s="13" t="s">
        <v>365</v>
      </c>
      <c r="C116" s="13">
        <v>3</v>
      </c>
      <c r="D116" s="13">
        <v>2</v>
      </c>
      <c r="E116" s="13">
        <v>3</v>
      </c>
    </row>
    <row r="117" spans="1:5" x14ac:dyDescent="0.3">
      <c r="A117" s="13" t="s">
        <v>0</v>
      </c>
      <c r="B117" s="13" t="s">
        <v>67</v>
      </c>
      <c r="C117" s="13">
        <v>3</v>
      </c>
      <c r="D117" s="13">
        <v>2</v>
      </c>
      <c r="E117" s="13">
        <v>7</v>
      </c>
    </row>
    <row r="118" spans="1:5" x14ac:dyDescent="0.3">
      <c r="A118" s="13" t="s">
        <v>1</v>
      </c>
      <c r="B118" s="13" t="s">
        <v>485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199</v>
      </c>
      <c r="C119" s="13">
        <v>3</v>
      </c>
      <c r="D119" s="13">
        <v>1</v>
      </c>
      <c r="E119" s="13">
        <v>4</v>
      </c>
    </row>
    <row r="120" spans="1:5" x14ac:dyDescent="0.3">
      <c r="A120" s="13" t="s">
        <v>1</v>
      </c>
      <c r="B120" s="13" t="s">
        <v>967</v>
      </c>
      <c r="C120" s="13">
        <v>1</v>
      </c>
      <c r="D120" s="13">
        <v>1</v>
      </c>
      <c r="E120" s="13">
        <v>2</v>
      </c>
    </row>
    <row r="121" spans="1:5" x14ac:dyDescent="0.3">
      <c r="A121" s="13" t="s">
        <v>1</v>
      </c>
      <c r="B121" s="13" t="s">
        <v>1155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2305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553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669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241</v>
      </c>
      <c r="C125" s="13">
        <v>1</v>
      </c>
      <c r="D125" s="13">
        <v>1</v>
      </c>
      <c r="E125" s="13">
        <v>2</v>
      </c>
    </row>
    <row r="126" spans="1:5" x14ac:dyDescent="0.3">
      <c r="A126" s="13" t="s">
        <v>1</v>
      </c>
      <c r="B126" s="13" t="s">
        <v>57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375</v>
      </c>
      <c r="C127" s="13">
        <v>2</v>
      </c>
      <c r="D127" s="13">
        <v>1</v>
      </c>
      <c r="E127" s="13">
        <v>2</v>
      </c>
    </row>
    <row r="128" spans="1:5" x14ac:dyDescent="0.3">
      <c r="A128" s="13" t="s">
        <v>1</v>
      </c>
      <c r="B128" s="13" t="s">
        <v>203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753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808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670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852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382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474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345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499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59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812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1280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34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557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269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814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1695</v>
      </c>
      <c r="C144" s="13">
        <v>2</v>
      </c>
      <c r="D144" s="13">
        <v>1</v>
      </c>
      <c r="E144" s="13">
        <v>2</v>
      </c>
    </row>
    <row r="145" spans="1:5" x14ac:dyDescent="0.3">
      <c r="A145" s="13" t="s">
        <v>1</v>
      </c>
      <c r="B145" s="13" t="s">
        <v>211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1830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84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385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349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882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1288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147</v>
      </c>
      <c r="C152" s="13">
        <v>4</v>
      </c>
      <c r="D152" s="13">
        <v>1</v>
      </c>
      <c r="E152" s="13">
        <v>4</v>
      </c>
    </row>
    <row r="153" spans="1:5" x14ac:dyDescent="0.3">
      <c r="A153" s="13" t="s">
        <v>1</v>
      </c>
      <c r="B153" s="13" t="s">
        <v>212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2306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149</v>
      </c>
      <c r="C155" s="13">
        <v>2</v>
      </c>
      <c r="D155" s="13">
        <v>1</v>
      </c>
      <c r="E155" s="13">
        <v>2</v>
      </c>
    </row>
    <row r="156" spans="1:5" x14ac:dyDescent="0.3">
      <c r="A156" s="13" t="s">
        <v>1</v>
      </c>
      <c r="B156" s="13" t="s">
        <v>90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215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91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1171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612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503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856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1485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1505</v>
      </c>
      <c r="C164" s="13">
        <v>2</v>
      </c>
      <c r="D164" s="13">
        <v>1</v>
      </c>
      <c r="E164" s="13">
        <v>2</v>
      </c>
    </row>
    <row r="165" spans="1:5" x14ac:dyDescent="0.3">
      <c r="A165" s="13" t="s">
        <v>1</v>
      </c>
      <c r="B165" s="13" t="s">
        <v>1621</v>
      </c>
      <c r="C165" s="13">
        <v>2</v>
      </c>
      <c r="D165" s="13">
        <v>1</v>
      </c>
      <c r="E165" s="13">
        <v>3</v>
      </c>
    </row>
    <row r="166" spans="1:5" x14ac:dyDescent="0.3">
      <c r="A166" s="13" t="s">
        <v>1</v>
      </c>
      <c r="B166" s="13" t="s">
        <v>1645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1674</v>
      </c>
      <c r="C167" s="13">
        <v>3</v>
      </c>
      <c r="D167" s="13">
        <v>1</v>
      </c>
      <c r="E167" s="13">
        <v>3</v>
      </c>
    </row>
    <row r="168" spans="1:5" x14ac:dyDescent="0.3">
      <c r="A168" s="13" t="s">
        <v>1</v>
      </c>
      <c r="B168" s="13" t="s">
        <v>1738</v>
      </c>
      <c r="C168" s="13">
        <v>1</v>
      </c>
      <c r="D168" s="13">
        <v>1</v>
      </c>
      <c r="E168" s="13">
        <v>2</v>
      </c>
    </row>
    <row r="169" spans="1:5" x14ac:dyDescent="0.3">
      <c r="A169" s="13" t="s">
        <v>1</v>
      </c>
      <c r="B169" s="13" t="s">
        <v>1886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1881</v>
      </c>
      <c r="C170" s="13">
        <v>2</v>
      </c>
      <c r="D170" s="13">
        <v>1</v>
      </c>
      <c r="E170" s="13">
        <v>2</v>
      </c>
    </row>
    <row r="171" spans="1:5" x14ac:dyDescent="0.3">
      <c r="A171" s="13" t="s">
        <v>1</v>
      </c>
      <c r="B171" s="13" t="s">
        <v>2069</v>
      </c>
      <c r="C171" s="13">
        <v>7</v>
      </c>
      <c r="D171" s="13">
        <v>1</v>
      </c>
      <c r="E171" s="13">
        <v>7</v>
      </c>
    </row>
    <row r="172" spans="1:5" x14ac:dyDescent="0.3">
      <c r="A172" s="13" t="s">
        <v>1</v>
      </c>
      <c r="B172" s="13" t="s">
        <v>2179</v>
      </c>
      <c r="C172" s="13">
        <v>1</v>
      </c>
      <c r="D172" s="13">
        <v>1</v>
      </c>
      <c r="E172" s="13">
        <v>2</v>
      </c>
    </row>
    <row r="173" spans="1:5" x14ac:dyDescent="0.3">
      <c r="A173" s="13" t="s">
        <v>1</v>
      </c>
      <c r="B173" s="13" t="s">
        <v>426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505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559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2307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49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1032</v>
      </c>
      <c r="C178" s="13">
        <v>2</v>
      </c>
      <c r="D178" s="13">
        <v>1</v>
      </c>
      <c r="E178" s="13">
        <v>3</v>
      </c>
    </row>
    <row r="179" spans="1:5" x14ac:dyDescent="0.3">
      <c r="A179" s="13" t="s">
        <v>1</v>
      </c>
      <c r="B179" s="13" t="s">
        <v>1179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1352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889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508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1033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258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560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510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795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1034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1176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731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1127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935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159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160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969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937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28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100</v>
      </c>
      <c r="C198" s="13">
        <v>1</v>
      </c>
      <c r="D198" s="13">
        <v>1</v>
      </c>
      <c r="E198" s="13">
        <v>2</v>
      </c>
    </row>
    <row r="199" spans="1:5" x14ac:dyDescent="0.3">
      <c r="A199" s="13" t="s">
        <v>1</v>
      </c>
      <c r="B199" s="13" t="s">
        <v>161</v>
      </c>
      <c r="C199" s="13">
        <v>3</v>
      </c>
      <c r="D199" s="13">
        <v>1</v>
      </c>
      <c r="E199" s="13">
        <v>3</v>
      </c>
    </row>
    <row r="200" spans="1:5" x14ac:dyDescent="0.3">
      <c r="A200" s="13" t="s">
        <v>1</v>
      </c>
      <c r="B200" s="13" t="s">
        <v>732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104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105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1233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1095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163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938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2308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164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2309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1003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1353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50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2310</v>
      </c>
      <c r="C213" s="13">
        <v>1</v>
      </c>
      <c r="D213" s="13">
        <v>1</v>
      </c>
      <c r="E213" s="13">
        <v>2</v>
      </c>
    </row>
    <row r="214" spans="1:5" x14ac:dyDescent="0.3">
      <c r="A214" s="13" t="s">
        <v>1</v>
      </c>
      <c r="B214" s="13" t="s">
        <v>395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1486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167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1004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472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1800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111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824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51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2311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451</v>
      </c>
      <c r="C224" s="13">
        <v>2</v>
      </c>
      <c r="D224" s="13">
        <v>1</v>
      </c>
      <c r="E224" s="13">
        <v>2</v>
      </c>
    </row>
    <row r="225" spans="1:5" x14ac:dyDescent="0.3">
      <c r="A225" s="13" t="s">
        <v>1</v>
      </c>
      <c r="B225" s="13" t="s">
        <v>1107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517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1236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1005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1080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2312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282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320</v>
      </c>
      <c r="C232" s="13">
        <v>1</v>
      </c>
      <c r="D232" s="13">
        <v>1</v>
      </c>
      <c r="E232" s="13">
        <v>2</v>
      </c>
    </row>
    <row r="233" spans="1:5" x14ac:dyDescent="0.3">
      <c r="A233" s="13" t="s">
        <v>1</v>
      </c>
      <c r="B233" s="13" t="s">
        <v>2313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1534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225</v>
      </c>
      <c r="C235" s="13">
        <v>2</v>
      </c>
      <c r="D235" s="13">
        <v>1</v>
      </c>
      <c r="E235" s="13">
        <v>3</v>
      </c>
    </row>
    <row r="236" spans="1:5" x14ac:dyDescent="0.3">
      <c r="A236" s="13" t="s">
        <v>1</v>
      </c>
      <c r="B236" s="13" t="s">
        <v>523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287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226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359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325</v>
      </c>
      <c r="C240" s="13">
        <v>2</v>
      </c>
      <c r="D240" s="13">
        <v>1</v>
      </c>
      <c r="E240" s="13">
        <v>2</v>
      </c>
    </row>
    <row r="241" spans="1:5" x14ac:dyDescent="0.3">
      <c r="A241" s="13" t="s">
        <v>1</v>
      </c>
      <c r="B241" s="13" t="s">
        <v>1087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402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172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329</v>
      </c>
      <c r="C244" s="13">
        <v>1</v>
      </c>
      <c r="D244" s="13">
        <v>1</v>
      </c>
      <c r="E244" s="13">
        <v>2</v>
      </c>
    </row>
    <row r="245" spans="1:5" x14ac:dyDescent="0.3">
      <c r="A245" s="13" t="s">
        <v>1</v>
      </c>
      <c r="B245" s="13" t="s">
        <v>405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2314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361</v>
      </c>
      <c r="C247" s="13">
        <v>2</v>
      </c>
      <c r="D247" s="13">
        <v>1</v>
      </c>
      <c r="E247" s="13">
        <v>2</v>
      </c>
    </row>
    <row r="248" spans="1:5" x14ac:dyDescent="0.3">
      <c r="A248" s="13" t="s">
        <v>1</v>
      </c>
      <c r="B248" s="13" t="s">
        <v>699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700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334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2315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2316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406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1705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1092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751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575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841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1787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435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336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953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1043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709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1559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844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1110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293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1011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957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294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664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713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907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52</v>
      </c>
      <c r="C275" s="13">
        <v>4</v>
      </c>
      <c r="D275" s="13">
        <v>1</v>
      </c>
      <c r="E275" s="13">
        <v>4</v>
      </c>
    </row>
    <row r="276" spans="1:5" x14ac:dyDescent="0.3">
      <c r="A276" s="13" t="s">
        <v>1</v>
      </c>
      <c r="B276" s="13" t="s">
        <v>197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253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38</v>
      </c>
      <c r="C278" s="13">
        <v>3</v>
      </c>
      <c r="D278" s="13">
        <v>1</v>
      </c>
      <c r="E278" s="13">
        <v>3</v>
      </c>
    </row>
    <row r="279" spans="1:5" x14ac:dyDescent="0.3">
      <c r="A279" s="13" t="s">
        <v>1</v>
      </c>
      <c r="B279" s="13" t="s">
        <v>2317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64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1537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802</v>
      </c>
      <c r="C282" s="13">
        <v>1</v>
      </c>
      <c r="D282" s="13">
        <v>1</v>
      </c>
      <c r="E282" s="13">
        <v>2</v>
      </c>
    </row>
    <row r="283" spans="1:5" x14ac:dyDescent="0.3">
      <c r="A283" s="13" t="s">
        <v>1</v>
      </c>
      <c r="B283" s="13" t="s">
        <v>1490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1219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484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960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2318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54</v>
      </c>
      <c r="C288" s="13">
        <v>6</v>
      </c>
      <c r="D288" s="13">
        <v>1</v>
      </c>
      <c r="E288" s="13">
        <v>6</v>
      </c>
    </row>
    <row r="289" spans="1:5" x14ac:dyDescent="0.3">
      <c r="A289" s="13" t="s">
        <v>1</v>
      </c>
      <c r="B289" s="13" t="s">
        <v>236</v>
      </c>
      <c r="C289" s="13">
        <v>12</v>
      </c>
      <c r="D289" s="13">
        <v>1</v>
      </c>
      <c r="E289" s="13">
        <v>19</v>
      </c>
    </row>
    <row r="290" spans="1:5" x14ac:dyDescent="0.3">
      <c r="A290" s="13" t="s">
        <v>1</v>
      </c>
      <c r="B290" s="13" t="s">
        <v>56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1745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2319</v>
      </c>
      <c r="C292" s="13">
        <v>1</v>
      </c>
      <c r="D292" s="13">
        <v>1</v>
      </c>
      <c r="E292" s="13">
        <v>2</v>
      </c>
    </row>
    <row r="293" spans="1:5" x14ac:dyDescent="0.3">
      <c r="A293" s="13" t="s">
        <v>1</v>
      </c>
      <c r="B293" s="13" t="s">
        <v>1759</v>
      </c>
      <c r="C293" s="13">
        <v>1</v>
      </c>
      <c r="D293" s="13">
        <v>1</v>
      </c>
      <c r="E293" s="13">
        <v>2</v>
      </c>
    </row>
    <row r="294" spans="1:5" x14ac:dyDescent="0.3">
      <c r="A294" s="13" t="s">
        <v>1</v>
      </c>
      <c r="B294" s="13" t="s">
        <v>442</v>
      </c>
      <c r="C294" s="13">
        <v>1</v>
      </c>
      <c r="D294" s="13">
        <v>1</v>
      </c>
      <c r="E294" s="13">
        <v>4</v>
      </c>
    </row>
    <row r="295" spans="1:5" x14ac:dyDescent="0.3">
      <c r="A295" s="13" t="s">
        <v>1</v>
      </c>
      <c r="B295" s="13" t="s">
        <v>2218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1563</v>
      </c>
      <c r="C296" s="13">
        <v>1</v>
      </c>
      <c r="D296" s="13">
        <v>1</v>
      </c>
      <c r="E296" s="13"/>
    </row>
    <row r="297" spans="1:5" x14ac:dyDescent="0.3">
      <c r="A297" s="13" t="s">
        <v>1</v>
      </c>
      <c r="B297" s="13" t="s">
        <v>1792</v>
      </c>
      <c r="C297" s="13">
        <v>1</v>
      </c>
      <c r="D297" s="13">
        <v>1</v>
      </c>
      <c r="E297" s="13"/>
    </row>
    <row r="298" spans="1:5" x14ac:dyDescent="0.3">
      <c r="A298" s="13" t="s">
        <v>1</v>
      </c>
      <c r="B298" s="13" t="s">
        <v>869</v>
      </c>
      <c r="C298" s="13">
        <v>1</v>
      </c>
      <c r="D298" s="13">
        <v>1</v>
      </c>
      <c r="E298" s="13"/>
    </row>
    <row r="299" spans="1:5" x14ac:dyDescent="0.3">
      <c r="A299" s="13" t="s">
        <v>1</v>
      </c>
      <c r="B299" s="13" t="s">
        <v>2320</v>
      </c>
      <c r="C299" s="13">
        <v>1</v>
      </c>
      <c r="D299" s="13">
        <v>2</v>
      </c>
      <c r="E299" s="13"/>
    </row>
    <row r="300" spans="1:5" x14ac:dyDescent="0.3">
      <c r="A300" s="13" t="s">
        <v>1</v>
      </c>
      <c r="B300" s="13" t="s">
        <v>1477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1433</v>
      </c>
      <c r="C301" s="13">
        <v>1</v>
      </c>
      <c r="D301" s="13">
        <v>1</v>
      </c>
      <c r="E301" s="13"/>
    </row>
    <row r="302" spans="1:5" x14ac:dyDescent="0.3">
      <c r="A302" s="13" t="s">
        <v>1</v>
      </c>
      <c r="B302" s="13" t="s">
        <v>1247</v>
      </c>
      <c r="C302" s="13">
        <v>1</v>
      </c>
      <c r="D302" s="13">
        <v>1</v>
      </c>
      <c r="E302" s="13"/>
    </row>
    <row r="303" spans="1:5" x14ac:dyDescent="0.3">
      <c r="A303" s="13" t="s">
        <v>1</v>
      </c>
      <c r="B303" s="13" t="s">
        <v>643</v>
      </c>
      <c r="C303" s="13">
        <v>1</v>
      </c>
      <c r="D303" s="13">
        <v>2</v>
      </c>
      <c r="E303" s="13"/>
    </row>
    <row r="304" spans="1:5" x14ac:dyDescent="0.3">
      <c r="A304" s="13" t="s">
        <v>1</v>
      </c>
      <c r="B304" s="13" t="s">
        <v>804</v>
      </c>
      <c r="C304" s="13">
        <v>1</v>
      </c>
      <c r="D304" s="13">
        <v>1</v>
      </c>
      <c r="E304" s="13">
        <v>2</v>
      </c>
    </row>
    <row r="305" spans="1:5" x14ac:dyDescent="0.3">
      <c r="A305" s="13" t="s">
        <v>1</v>
      </c>
      <c r="B305" s="13" t="s">
        <v>548</v>
      </c>
      <c r="C305" s="13">
        <v>1</v>
      </c>
      <c r="D305" s="13">
        <v>1</v>
      </c>
      <c r="E305" s="13"/>
    </row>
    <row r="306" spans="1:5" x14ac:dyDescent="0.3">
      <c r="A306" s="13" t="s">
        <v>1</v>
      </c>
      <c r="B306" s="13" t="s">
        <v>1493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418</v>
      </c>
      <c r="C307" s="13">
        <v>1</v>
      </c>
      <c r="D307" s="13">
        <v>1</v>
      </c>
      <c r="E307" s="13"/>
    </row>
    <row r="308" spans="1:5" x14ac:dyDescent="0.3">
      <c r="A308" s="13" t="s">
        <v>0</v>
      </c>
      <c r="B308" s="13" t="s">
        <v>373</v>
      </c>
      <c r="C308" s="13">
        <v>2</v>
      </c>
      <c r="D308" s="13">
        <v>1</v>
      </c>
      <c r="E308" s="13">
        <v>3</v>
      </c>
    </row>
    <row r="309" spans="1:5" x14ac:dyDescent="0.3">
      <c r="A309" s="13" t="s">
        <v>0</v>
      </c>
      <c r="B309" s="13" t="s">
        <v>57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0</v>
      </c>
      <c r="B310" s="13" t="s">
        <v>203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0</v>
      </c>
      <c r="B311" s="13" t="s">
        <v>852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0</v>
      </c>
      <c r="B312" s="13" t="s">
        <v>264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0</v>
      </c>
      <c r="B313" s="13" t="s">
        <v>474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0</v>
      </c>
      <c r="B314" s="13" t="s">
        <v>1090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0</v>
      </c>
      <c r="B315" s="13" t="s">
        <v>143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0</v>
      </c>
      <c r="B316" s="13" t="s">
        <v>345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0</v>
      </c>
      <c r="B317" s="13" t="s">
        <v>77</v>
      </c>
      <c r="C317" s="13">
        <v>4</v>
      </c>
      <c r="D317" s="13">
        <v>1</v>
      </c>
      <c r="E317" s="13">
        <v>7</v>
      </c>
    </row>
    <row r="318" spans="1:5" x14ac:dyDescent="0.3">
      <c r="A318" s="13" t="s">
        <v>0</v>
      </c>
      <c r="B318" s="13" t="s">
        <v>1208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0</v>
      </c>
      <c r="B319" s="13" t="s">
        <v>81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0</v>
      </c>
      <c r="B320" s="13" t="s">
        <v>271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0</v>
      </c>
      <c r="B321" s="13" t="s">
        <v>728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0</v>
      </c>
      <c r="B322" s="13" t="s">
        <v>147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0</v>
      </c>
      <c r="B323" s="13" t="s">
        <v>465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0</v>
      </c>
      <c r="B324" s="13" t="s">
        <v>149</v>
      </c>
      <c r="C324" s="13">
        <v>2</v>
      </c>
      <c r="D324" s="13">
        <v>1</v>
      </c>
      <c r="E324" s="13">
        <v>2</v>
      </c>
    </row>
    <row r="325" spans="1:5" x14ac:dyDescent="0.3">
      <c r="A325" s="13" t="s">
        <v>0</v>
      </c>
      <c r="B325" s="13" t="s">
        <v>91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0</v>
      </c>
      <c r="B326" s="13" t="s">
        <v>151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0</v>
      </c>
      <c r="B327" s="13" t="s">
        <v>92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0</v>
      </c>
      <c r="B328" s="13" t="s">
        <v>1570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0</v>
      </c>
      <c r="B329" s="13" t="s">
        <v>1655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0</v>
      </c>
      <c r="B330" s="13" t="s">
        <v>1988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0</v>
      </c>
      <c r="B331" s="13" t="s">
        <v>1969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0</v>
      </c>
      <c r="B332" s="13" t="s">
        <v>2093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0</v>
      </c>
      <c r="B333" s="13" t="s">
        <v>2179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0</v>
      </c>
      <c r="B334" s="13" t="s">
        <v>1083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0</v>
      </c>
      <c r="B335" s="13" t="s">
        <v>968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0</v>
      </c>
      <c r="B336" s="13" t="s">
        <v>819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0</v>
      </c>
      <c r="B337" s="13" t="s">
        <v>427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0</v>
      </c>
      <c r="B338" s="13" t="s">
        <v>2321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0</v>
      </c>
      <c r="B339" s="13" t="s">
        <v>35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0</v>
      </c>
      <c r="B340" s="13" t="s">
        <v>476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0</v>
      </c>
      <c r="B341" s="13" t="s">
        <v>889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0</v>
      </c>
      <c r="B342" s="13" t="s">
        <v>99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0</v>
      </c>
      <c r="B343" s="13" t="s">
        <v>1034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0</v>
      </c>
      <c r="B344" s="13" t="s">
        <v>156</v>
      </c>
      <c r="C344" s="13">
        <v>1</v>
      </c>
      <c r="D344" s="13">
        <v>1</v>
      </c>
      <c r="E344" s="13">
        <v>2</v>
      </c>
    </row>
    <row r="345" spans="1:5" x14ac:dyDescent="0.3">
      <c r="A345" s="13" t="s">
        <v>0</v>
      </c>
      <c r="B345" s="13" t="s">
        <v>391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0</v>
      </c>
      <c r="B346" s="13" t="s">
        <v>157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0</v>
      </c>
      <c r="B347" s="13" t="s">
        <v>1069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0</v>
      </c>
      <c r="B348" s="13" t="s">
        <v>159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0</v>
      </c>
      <c r="B349" s="13" t="s">
        <v>160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0</v>
      </c>
      <c r="B350" s="13" t="s">
        <v>564</v>
      </c>
      <c r="C350" s="13">
        <v>1</v>
      </c>
      <c r="D350" s="13">
        <v>1</v>
      </c>
      <c r="E350" s="13">
        <v>3</v>
      </c>
    </row>
    <row r="351" spans="1:5" x14ac:dyDescent="0.3">
      <c r="A351" s="13" t="s">
        <v>0</v>
      </c>
      <c r="B351" s="13" t="s">
        <v>732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0</v>
      </c>
      <c r="B352" s="13" t="s">
        <v>104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0</v>
      </c>
      <c r="B353" s="13" t="s">
        <v>615</v>
      </c>
      <c r="C353" s="13">
        <v>2</v>
      </c>
      <c r="D353" s="13">
        <v>1</v>
      </c>
      <c r="E353" s="13">
        <v>2</v>
      </c>
    </row>
    <row r="354" spans="1:5" x14ac:dyDescent="0.3">
      <c r="A354" s="13" t="s">
        <v>0</v>
      </c>
      <c r="B354" s="13" t="s">
        <v>163</v>
      </c>
      <c r="C354" s="13">
        <v>1</v>
      </c>
      <c r="D354" s="13">
        <v>1</v>
      </c>
      <c r="E354" s="13">
        <v>3</v>
      </c>
    </row>
    <row r="355" spans="1:5" x14ac:dyDescent="0.3">
      <c r="A355" s="13" t="s">
        <v>0</v>
      </c>
      <c r="B355" s="13" t="s">
        <v>1186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1172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109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279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2322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44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170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224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690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374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2323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571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285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432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1100</v>
      </c>
      <c r="C369" s="13">
        <v>1</v>
      </c>
      <c r="D369" s="13">
        <v>1</v>
      </c>
      <c r="E369" s="13">
        <v>2</v>
      </c>
    </row>
    <row r="370" spans="1:5" x14ac:dyDescent="0.3">
      <c r="A370" s="13" t="s">
        <v>0</v>
      </c>
      <c r="B370" s="13" t="s">
        <v>172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1150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2324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1285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1109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196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631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62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122</v>
      </c>
      <c r="C378" s="13">
        <v>2</v>
      </c>
      <c r="D378" s="13">
        <v>1</v>
      </c>
      <c r="E378" s="13">
        <v>2</v>
      </c>
    </row>
    <row r="379" spans="1:5" x14ac:dyDescent="0.3">
      <c r="A379" s="13" t="s">
        <v>0</v>
      </c>
      <c r="B379" s="13" t="s">
        <v>46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531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576</v>
      </c>
      <c r="C381" s="13">
        <v>1</v>
      </c>
      <c r="D381" s="13">
        <v>1</v>
      </c>
      <c r="E381" s="13">
        <v>3</v>
      </c>
    </row>
    <row r="382" spans="1:5" x14ac:dyDescent="0.3">
      <c r="A382" s="13" t="s">
        <v>0</v>
      </c>
      <c r="B382" s="13" t="s">
        <v>1676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1346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2182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2325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633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124</v>
      </c>
      <c r="C387" s="13">
        <v>2</v>
      </c>
      <c r="D387" s="13">
        <v>1</v>
      </c>
      <c r="E387" s="13">
        <v>2</v>
      </c>
    </row>
    <row r="388" spans="1:5" x14ac:dyDescent="0.3">
      <c r="A388" s="13" t="s">
        <v>0</v>
      </c>
      <c r="B388" s="13" t="s">
        <v>293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467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1552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537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181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126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129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417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1307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296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2326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134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66</v>
      </c>
      <c r="C400" s="13">
        <v>2</v>
      </c>
      <c r="D400" s="13">
        <v>1</v>
      </c>
      <c r="E400" s="13">
        <v>2</v>
      </c>
    </row>
    <row r="401" spans="1:5" x14ac:dyDescent="0.3">
      <c r="A401" s="13" t="s">
        <v>0</v>
      </c>
      <c r="B401" s="13" t="s">
        <v>1860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2327</v>
      </c>
      <c r="C402" s="13">
        <v>1</v>
      </c>
      <c r="D402" s="13">
        <v>1</v>
      </c>
      <c r="E402" s="13"/>
    </row>
    <row r="403" spans="1:5" x14ac:dyDescent="0.3">
      <c r="A403" s="13" t="s">
        <v>0</v>
      </c>
      <c r="B403" s="13" t="s">
        <v>2199</v>
      </c>
      <c r="C403" s="13">
        <v>1</v>
      </c>
      <c r="D403" s="13">
        <v>1</v>
      </c>
      <c r="E403" s="13"/>
    </row>
    <row r="404" spans="1:5" x14ac:dyDescent="0.3">
      <c r="A404" s="13" t="s">
        <v>0</v>
      </c>
      <c r="B404" s="13" t="s">
        <v>2328</v>
      </c>
      <c r="C404" s="13">
        <v>1</v>
      </c>
      <c r="D404" s="13">
        <v>1</v>
      </c>
      <c r="E404" s="13"/>
    </row>
    <row r="405" spans="1:5" x14ac:dyDescent="0.3">
      <c r="A405" s="13" t="s">
        <v>2</v>
      </c>
      <c r="B405" s="13" t="s">
        <v>344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2</v>
      </c>
      <c r="B406" s="13" t="s">
        <v>34</v>
      </c>
      <c r="C406" s="13">
        <v>1</v>
      </c>
      <c r="D406" s="13">
        <v>1</v>
      </c>
      <c r="E406" s="13">
        <v>2</v>
      </c>
    </row>
    <row r="407" spans="1:5" x14ac:dyDescent="0.3">
      <c r="A407" s="13" t="s">
        <v>2</v>
      </c>
      <c r="B407" s="13" t="s">
        <v>80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2</v>
      </c>
      <c r="B408" s="13" t="s">
        <v>354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2</v>
      </c>
      <c r="B409" s="13" t="s">
        <v>60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2</v>
      </c>
      <c r="B410" s="13" t="s">
        <v>1471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2</v>
      </c>
      <c r="B411" s="13" t="s">
        <v>28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2</v>
      </c>
      <c r="B412" s="13" t="s">
        <v>567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2</v>
      </c>
      <c r="B413" s="13" t="s">
        <v>37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2</v>
      </c>
      <c r="B414" s="13" t="s">
        <v>715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2</v>
      </c>
      <c r="B415" s="13" t="s">
        <v>716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1</v>
      </c>
      <c r="B416" s="13" t="s">
        <v>137</v>
      </c>
      <c r="C416" s="13">
        <v>1</v>
      </c>
      <c r="D416" s="13">
        <v>0</v>
      </c>
      <c r="E416" s="13">
        <v>2</v>
      </c>
    </row>
    <row r="417" spans="1:5" x14ac:dyDescent="0.3">
      <c r="A417" s="13" t="s">
        <v>1</v>
      </c>
      <c r="B417" s="13" t="s">
        <v>1350</v>
      </c>
      <c r="C417" s="13">
        <v>1</v>
      </c>
      <c r="D417" s="13">
        <v>0</v>
      </c>
      <c r="E417" s="13">
        <v>1</v>
      </c>
    </row>
    <row r="418" spans="1:5" x14ac:dyDescent="0.3">
      <c r="A418" s="13" t="s">
        <v>1</v>
      </c>
      <c r="B418" s="13" t="s">
        <v>443</v>
      </c>
      <c r="C418" s="13">
        <v>1</v>
      </c>
      <c r="D418" s="13">
        <v>0</v>
      </c>
      <c r="E418" s="13">
        <v>1</v>
      </c>
    </row>
    <row r="419" spans="1:5" x14ac:dyDescent="0.3">
      <c r="A419" s="13" t="s">
        <v>1</v>
      </c>
      <c r="B419" s="13" t="s">
        <v>300</v>
      </c>
      <c r="C419" s="13">
        <v>1</v>
      </c>
      <c r="D419" s="13">
        <v>0</v>
      </c>
      <c r="E419" s="13">
        <v>1</v>
      </c>
    </row>
    <row r="420" spans="1:5" x14ac:dyDescent="0.3">
      <c r="A420" s="13" t="s">
        <v>1</v>
      </c>
      <c r="B420" s="13" t="s">
        <v>200</v>
      </c>
      <c r="C420" s="13">
        <v>1</v>
      </c>
      <c r="D420" s="13">
        <v>0</v>
      </c>
      <c r="E420" s="13">
        <v>1</v>
      </c>
    </row>
    <row r="421" spans="1:5" x14ac:dyDescent="0.3">
      <c r="A421" s="13" t="s">
        <v>1</v>
      </c>
      <c r="B421" s="13" t="s">
        <v>1251</v>
      </c>
      <c r="C421" s="13">
        <v>1</v>
      </c>
      <c r="D421" s="13">
        <v>0</v>
      </c>
      <c r="E421" s="13">
        <v>1</v>
      </c>
    </row>
    <row r="422" spans="1:5" x14ac:dyDescent="0.3">
      <c r="A422" s="13" t="s">
        <v>1</v>
      </c>
      <c r="B422" s="13" t="s">
        <v>489</v>
      </c>
      <c r="C422" s="13">
        <v>1</v>
      </c>
      <c r="D422" s="13">
        <v>0</v>
      </c>
      <c r="E422" s="13">
        <v>1</v>
      </c>
    </row>
    <row r="423" spans="1:5" x14ac:dyDescent="0.3">
      <c r="A423" s="13" t="s">
        <v>1</v>
      </c>
      <c r="B423" s="13" t="s">
        <v>1252</v>
      </c>
      <c r="C423" s="13">
        <v>1</v>
      </c>
      <c r="D423" s="13">
        <v>0</v>
      </c>
      <c r="E423" s="13">
        <v>1</v>
      </c>
    </row>
    <row r="424" spans="1:5" x14ac:dyDescent="0.3">
      <c r="A424" s="13" t="s">
        <v>1</v>
      </c>
      <c r="B424" s="13" t="s">
        <v>752</v>
      </c>
      <c r="C424" s="13">
        <v>1</v>
      </c>
      <c r="D424" s="13">
        <v>0</v>
      </c>
      <c r="E424" s="13">
        <v>1</v>
      </c>
    </row>
    <row r="425" spans="1:5" x14ac:dyDescent="0.3">
      <c r="A425" s="13" t="s">
        <v>1</v>
      </c>
      <c r="B425" s="13" t="s">
        <v>470</v>
      </c>
      <c r="C425" s="13">
        <v>1</v>
      </c>
      <c r="D425" s="13">
        <v>0</v>
      </c>
      <c r="E425" s="13">
        <v>1</v>
      </c>
    </row>
    <row r="426" spans="1:5" x14ac:dyDescent="0.3">
      <c r="A426" s="13" t="s">
        <v>1</v>
      </c>
      <c r="B426" s="13" t="s">
        <v>73</v>
      </c>
      <c r="C426" s="13">
        <v>7</v>
      </c>
      <c r="D426" s="13">
        <v>0</v>
      </c>
      <c r="E426" s="13">
        <v>9</v>
      </c>
    </row>
    <row r="427" spans="1:5" x14ac:dyDescent="0.3">
      <c r="A427" s="13" t="s">
        <v>1</v>
      </c>
      <c r="B427" s="13" t="s">
        <v>657</v>
      </c>
      <c r="C427" s="13">
        <v>1</v>
      </c>
      <c r="D427" s="13">
        <v>0</v>
      </c>
      <c r="E427" s="13">
        <v>1</v>
      </c>
    </row>
    <row r="428" spans="1:5" x14ac:dyDescent="0.3">
      <c r="A428" s="13" t="s">
        <v>1</v>
      </c>
      <c r="B428" s="13" t="s">
        <v>876</v>
      </c>
      <c r="C428" s="13">
        <v>1</v>
      </c>
      <c r="D428" s="13">
        <v>0</v>
      </c>
      <c r="E428" s="13">
        <v>1</v>
      </c>
    </row>
    <row r="429" spans="1:5" x14ac:dyDescent="0.3">
      <c r="A429" s="13" t="s">
        <v>1</v>
      </c>
      <c r="B429" s="13" t="s">
        <v>446</v>
      </c>
      <c r="C429" s="13">
        <v>1</v>
      </c>
      <c r="D429" s="13">
        <v>0</v>
      </c>
      <c r="E429" s="13">
        <v>1</v>
      </c>
    </row>
    <row r="430" spans="1:5" x14ac:dyDescent="0.3">
      <c r="A430" s="13" t="s">
        <v>1</v>
      </c>
      <c r="B430" s="13" t="s">
        <v>1253</v>
      </c>
      <c r="C430" s="13">
        <v>1</v>
      </c>
      <c r="D430" s="13">
        <v>0</v>
      </c>
      <c r="E430" s="13">
        <v>2</v>
      </c>
    </row>
    <row r="431" spans="1:5" x14ac:dyDescent="0.3">
      <c r="A431" s="13" t="s">
        <v>1</v>
      </c>
      <c r="B431" s="13" t="s">
        <v>265</v>
      </c>
      <c r="C431" s="13">
        <v>1</v>
      </c>
      <c r="D431" s="13">
        <v>0</v>
      </c>
      <c r="E431" s="13">
        <v>1</v>
      </c>
    </row>
    <row r="432" spans="1:5" x14ac:dyDescent="0.3">
      <c r="A432" s="13" t="s">
        <v>1</v>
      </c>
      <c r="B432" s="13" t="s">
        <v>556</v>
      </c>
      <c r="C432" s="13">
        <v>1</v>
      </c>
      <c r="D432" s="13">
        <v>0</v>
      </c>
      <c r="E432" s="13">
        <v>1</v>
      </c>
    </row>
    <row r="433" spans="1:5" x14ac:dyDescent="0.3">
      <c r="A433" s="13" t="s">
        <v>1</v>
      </c>
      <c r="B433" s="13" t="s">
        <v>1266</v>
      </c>
      <c r="C433" s="13">
        <v>1</v>
      </c>
      <c r="D433" s="13">
        <v>0</v>
      </c>
      <c r="E433" s="13">
        <v>2</v>
      </c>
    </row>
    <row r="434" spans="1:5" x14ac:dyDescent="0.3">
      <c r="A434" s="13" t="s">
        <v>1</v>
      </c>
      <c r="B434" s="13" t="s">
        <v>76</v>
      </c>
      <c r="C434" s="13">
        <v>1</v>
      </c>
      <c r="D434" s="13">
        <v>0</v>
      </c>
      <c r="E434" s="13">
        <v>1</v>
      </c>
    </row>
    <row r="435" spans="1:5" x14ac:dyDescent="0.3">
      <c r="A435" s="13" t="s">
        <v>1</v>
      </c>
      <c r="B435" s="13" t="s">
        <v>78</v>
      </c>
      <c r="C435" s="13">
        <v>1</v>
      </c>
      <c r="D435" s="13">
        <v>0</v>
      </c>
      <c r="E435" s="13">
        <v>0</v>
      </c>
    </row>
    <row r="436" spans="1:5" x14ac:dyDescent="0.3">
      <c r="A436" s="13" t="s">
        <v>1</v>
      </c>
      <c r="B436" s="13" t="s">
        <v>208</v>
      </c>
      <c r="C436" s="13">
        <v>1</v>
      </c>
      <c r="D436" s="13">
        <v>0</v>
      </c>
      <c r="E436" s="13">
        <v>1</v>
      </c>
    </row>
    <row r="437" spans="1:5" x14ac:dyDescent="0.3">
      <c r="A437" s="13" t="s">
        <v>1</v>
      </c>
      <c r="B437" s="13" t="s">
        <v>268</v>
      </c>
      <c r="C437" s="13">
        <v>1</v>
      </c>
      <c r="D437" s="13">
        <v>0</v>
      </c>
      <c r="E437" s="13">
        <v>1</v>
      </c>
    </row>
    <row r="438" spans="1:5" x14ac:dyDescent="0.3">
      <c r="A438" s="13" t="s">
        <v>1</v>
      </c>
      <c r="B438" s="13" t="s">
        <v>80</v>
      </c>
      <c r="C438" s="13">
        <v>1</v>
      </c>
      <c r="D438" s="13">
        <v>0</v>
      </c>
      <c r="E438" s="13">
        <v>1</v>
      </c>
    </row>
    <row r="439" spans="1:5" x14ac:dyDescent="0.3">
      <c r="A439" s="13" t="s">
        <v>1</v>
      </c>
      <c r="B439" s="13" t="s">
        <v>855</v>
      </c>
      <c r="C439" s="13">
        <v>1</v>
      </c>
      <c r="D439" s="13">
        <v>0</v>
      </c>
      <c r="E439" s="13">
        <v>1</v>
      </c>
    </row>
    <row r="440" spans="1:5" x14ac:dyDescent="0.3">
      <c r="A440" s="13" t="s">
        <v>1</v>
      </c>
      <c r="B440" s="13" t="s">
        <v>796</v>
      </c>
      <c r="C440" s="13">
        <v>1</v>
      </c>
      <c r="D440" s="13">
        <v>0</v>
      </c>
      <c r="E440" s="13">
        <v>1</v>
      </c>
    </row>
    <row r="441" spans="1:5" x14ac:dyDescent="0.3">
      <c r="A441" s="13" t="s">
        <v>1</v>
      </c>
      <c r="B441" s="13" t="s">
        <v>210</v>
      </c>
      <c r="C441" s="13">
        <v>1</v>
      </c>
      <c r="D441" s="13">
        <v>0</v>
      </c>
      <c r="E441" s="13">
        <v>1</v>
      </c>
    </row>
    <row r="442" spans="1:5" x14ac:dyDescent="0.3">
      <c r="A442" s="13" t="s">
        <v>1</v>
      </c>
      <c r="B442" s="13" t="s">
        <v>304</v>
      </c>
      <c r="C442" s="13">
        <v>1</v>
      </c>
      <c r="D442" s="13">
        <v>0</v>
      </c>
      <c r="E442" s="13">
        <v>2</v>
      </c>
    </row>
    <row r="443" spans="1:5" x14ac:dyDescent="0.3">
      <c r="A443" s="13" t="s">
        <v>1</v>
      </c>
      <c r="B443" s="13" t="s">
        <v>144</v>
      </c>
      <c r="C443" s="13">
        <v>1</v>
      </c>
      <c r="D443" s="13">
        <v>0</v>
      </c>
      <c r="E443" s="13">
        <v>1</v>
      </c>
    </row>
    <row r="444" spans="1:5" x14ac:dyDescent="0.3">
      <c r="A444" s="13" t="s">
        <v>1</v>
      </c>
      <c r="B444" s="13" t="s">
        <v>501</v>
      </c>
      <c r="C444" s="13">
        <v>1</v>
      </c>
      <c r="D444" s="13">
        <v>0</v>
      </c>
      <c r="E444" s="13">
        <v>1</v>
      </c>
    </row>
    <row r="445" spans="1:5" x14ac:dyDescent="0.3">
      <c r="A445" s="13" t="s">
        <v>1</v>
      </c>
      <c r="B445" s="13" t="s">
        <v>305</v>
      </c>
      <c r="C445" s="13">
        <v>1</v>
      </c>
      <c r="D445" s="13">
        <v>0</v>
      </c>
      <c r="E445" s="13">
        <v>1</v>
      </c>
    </row>
    <row r="446" spans="1:5" x14ac:dyDescent="0.3">
      <c r="A446" s="13" t="s">
        <v>1</v>
      </c>
      <c r="B446" s="13" t="s">
        <v>1031</v>
      </c>
      <c r="C446" s="13">
        <v>1</v>
      </c>
      <c r="D446" s="13">
        <v>0</v>
      </c>
      <c r="E446" s="13">
        <v>1</v>
      </c>
    </row>
    <row r="447" spans="1:5" x14ac:dyDescent="0.3">
      <c r="A447" s="13" t="s">
        <v>1</v>
      </c>
      <c r="B447" s="13" t="s">
        <v>351</v>
      </c>
      <c r="C447" s="13">
        <v>3</v>
      </c>
      <c r="D447" s="13">
        <v>0</v>
      </c>
      <c r="E447" s="13">
        <v>3</v>
      </c>
    </row>
    <row r="448" spans="1:5" x14ac:dyDescent="0.3">
      <c r="A448" s="13" t="s">
        <v>1</v>
      </c>
      <c r="B448" s="13" t="s">
        <v>502</v>
      </c>
      <c r="C448" s="13">
        <v>1</v>
      </c>
      <c r="D448" s="13">
        <v>0</v>
      </c>
      <c r="E448" s="13">
        <v>1</v>
      </c>
    </row>
    <row r="449" spans="1:5" x14ac:dyDescent="0.3">
      <c r="A449" s="13" t="s">
        <v>1</v>
      </c>
      <c r="B449" s="13" t="s">
        <v>991</v>
      </c>
      <c r="C449" s="13">
        <v>1</v>
      </c>
      <c r="D449" s="13">
        <v>0</v>
      </c>
      <c r="E449" s="13">
        <v>1</v>
      </c>
    </row>
    <row r="450" spans="1:5" x14ac:dyDescent="0.3">
      <c r="A450" s="13" t="s">
        <v>1</v>
      </c>
      <c r="B450" s="13" t="s">
        <v>213</v>
      </c>
      <c r="C450" s="13">
        <v>1</v>
      </c>
      <c r="D450" s="13">
        <v>0</v>
      </c>
      <c r="E450" s="13">
        <v>1</v>
      </c>
    </row>
    <row r="451" spans="1:5" x14ac:dyDescent="0.3">
      <c r="A451" s="13" t="s">
        <v>1</v>
      </c>
      <c r="B451" s="13" t="s">
        <v>872</v>
      </c>
      <c r="C451" s="13">
        <v>1</v>
      </c>
      <c r="D451" s="13">
        <v>0</v>
      </c>
      <c r="E451" s="13">
        <v>1</v>
      </c>
    </row>
    <row r="452" spans="1:5" x14ac:dyDescent="0.3">
      <c r="A452" s="13" t="s">
        <v>1</v>
      </c>
      <c r="B452" s="13" t="s">
        <v>607</v>
      </c>
      <c r="C452" s="13">
        <v>1</v>
      </c>
      <c r="D452" s="13">
        <v>0</v>
      </c>
      <c r="E452" s="13">
        <v>1</v>
      </c>
    </row>
    <row r="453" spans="1:5" x14ac:dyDescent="0.3">
      <c r="A453" s="13" t="s">
        <v>1</v>
      </c>
      <c r="B453" s="13" t="s">
        <v>608</v>
      </c>
      <c r="C453" s="13">
        <v>1</v>
      </c>
      <c r="D453" s="13">
        <v>0</v>
      </c>
      <c r="E453" s="13">
        <v>2</v>
      </c>
    </row>
    <row r="454" spans="1:5" x14ac:dyDescent="0.3">
      <c r="A454" s="13" t="s">
        <v>1</v>
      </c>
      <c r="B454" s="13" t="s">
        <v>1184</v>
      </c>
      <c r="C454" s="13">
        <v>1</v>
      </c>
      <c r="D454" s="13">
        <v>0</v>
      </c>
      <c r="E454" s="13">
        <v>1</v>
      </c>
    </row>
    <row r="455" spans="1:5" x14ac:dyDescent="0.3">
      <c r="A455" s="13" t="s">
        <v>1</v>
      </c>
      <c r="B455" s="13" t="s">
        <v>218</v>
      </c>
      <c r="C455" s="13">
        <v>1</v>
      </c>
      <c r="D455" s="13">
        <v>0</v>
      </c>
      <c r="E455" s="13">
        <v>1</v>
      </c>
    </row>
    <row r="456" spans="1:5" x14ac:dyDescent="0.3">
      <c r="A456" s="13" t="s">
        <v>1</v>
      </c>
      <c r="B456" s="13" t="s">
        <v>254</v>
      </c>
      <c r="C456" s="13">
        <v>2</v>
      </c>
      <c r="D456" s="13">
        <v>0</v>
      </c>
      <c r="E456" s="13">
        <v>2</v>
      </c>
    </row>
    <row r="457" spans="1:5" x14ac:dyDescent="0.3">
      <c r="A457" s="13" t="s">
        <v>1</v>
      </c>
      <c r="B457" s="13" t="s">
        <v>41</v>
      </c>
      <c r="C457" s="13">
        <v>1</v>
      </c>
      <c r="D457" s="13">
        <v>0</v>
      </c>
      <c r="E457" s="13">
        <v>2</v>
      </c>
    </row>
    <row r="458" spans="1:5" x14ac:dyDescent="0.3">
      <c r="A458" s="13" t="s">
        <v>1</v>
      </c>
      <c r="B458" s="13" t="s">
        <v>761</v>
      </c>
      <c r="C458" s="13">
        <v>1</v>
      </c>
      <c r="D458" s="13">
        <v>0</v>
      </c>
      <c r="E458" s="13">
        <v>1</v>
      </c>
    </row>
    <row r="459" spans="1:5" x14ac:dyDescent="0.3">
      <c r="A459" s="13" t="s">
        <v>1</v>
      </c>
      <c r="B459" s="13" t="s">
        <v>42</v>
      </c>
      <c r="C459" s="13">
        <v>1</v>
      </c>
      <c r="D459" s="13">
        <v>0</v>
      </c>
      <c r="E459" s="13">
        <v>1</v>
      </c>
    </row>
    <row r="460" spans="1:5" x14ac:dyDescent="0.3">
      <c r="A460" s="13" t="s">
        <v>1</v>
      </c>
      <c r="B460" s="13" t="s">
        <v>153</v>
      </c>
      <c r="C460" s="13">
        <v>2</v>
      </c>
      <c r="D460" s="13">
        <v>0</v>
      </c>
      <c r="E460" s="13">
        <v>2</v>
      </c>
    </row>
    <row r="461" spans="1:5" x14ac:dyDescent="0.3">
      <c r="A461" s="13" t="s">
        <v>1</v>
      </c>
      <c r="B461" s="13" t="s">
        <v>653</v>
      </c>
      <c r="C461" s="13">
        <v>1</v>
      </c>
      <c r="D461" s="13">
        <v>0</v>
      </c>
      <c r="E461" s="13">
        <v>1</v>
      </c>
    </row>
    <row r="462" spans="1:5" x14ac:dyDescent="0.3">
      <c r="A462" s="13" t="s">
        <v>1</v>
      </c>
      <c r="B462" s="13" t="s">
        <v>1484</v>
      </c>
      <c r="C462" s="13">
        <v>1</v>
      </c>
      <c r="D462" s="13">
        <v>0</v>
      </c>
      <c r="E462" s="13">
        <v>1</v>
      </c>
    </row>
    <row r="463" spans="1:5" x14ac:dyDescent="0.3">
      <c r="A463" s="13" t="s">
        <v>1</v>
      </c>
      <c r="B463" s="13" t="s">
        <v>1521</v>
      </c>
      <c r="C463" s="13">
        <v>1</v>
      </c>
      <c r="D463" s="13">
        <v>0</v>
      </c>
      <c r="E463" s="13">
        <v>1</v>
      </c>
    </row>
    <row r="464" spans="1:5" x14ac:dyDescent="0.3">
      <c r="A464" s="13" t="s">
        <v>1</v>
      </c>
      <c r="B464" s="13" t="s">
        <v>1518</v>
      </c>
      <c r="C464" s="13">
        <v>1</v>
      </c>
      <c r="D464" s="13">
        <v>0</v>
      </c>
      <c r="E464" s="13">
        <v>0</v>
      </c>
    </row>
    <row r="465" spans="1:5" x14ac:dyDescent="0.3">
      <c r="A465" s="13" t="s">
        <v>1</v>
      </c>
      <c r="B465" s="13" t="s">
        <v>1655</v>
      </c>
      <c r="C465" s="13">
        <v>1</v>
      </c>
      <c r="D465" s="13">
        <v>0</v>
      </c>
      <c r="E465" s="13">
        <v>1</v>
      </c>
    </row>
    <row r="466" spans="1:5" x14ac:dyDescent="0.3">
      <c r="A466" s="13" t="s">
        <v>1</v>
      </c>
      <c r="B466" s="13" t="s">
        <v>1696</v>
      </c>
      <c r="C466" s="13">
        <v>1</v>
      </c>
      <c r="D466" s="13">
        <v>0</v>
      </c>
      <c r="E466" s="13">
        <v>1</v>
      </c>
    </row>
    <row r="467" spans="1:5" x14ac:dyDescent="0.3">
      <c r="A467" s="13" t="s">
        <v>1</v>
      </c>
      <c r="B467" s="13" t="s">
        <v>1852</v>
      </c>
      <c r="C467" s="13">
        <v>3</v>
      </c>
      <c r="D467" s="13">
        <v>0</v>
      </c>
      <c r="E467" s="13">
        <v>3</v>
      </c>
    </row>
    <row r="468" spans="1:5" x14ac:dyDescent="0.3">
      <c r="A468" s="13" t="s">
        <v>1</v>
      </c>
      <c r="B468" s="13" t="s">
        <v>1849</v>
      </c>
      <c r="C468" s="13">
        <v>1</v>
      </c>
      <c r="D468" s="13">
        <v>0</v>
      </c>
      <c r="E468" s="13">
        <v>1</v>
      </c>
    </row>
    <row r="469" spans="1:5" x14ac:dyDescent="0.3">
      <c r="A469" s="13" t="s">
        <v>1</v>
      </c>
      <c r="B469" s="13" t="s">
        <v>1926</v>
      </c>
      <c r="C469" s="13">
        <v>1</v>
      </c>
      <c r="D469" s="13">
        <v>0</v>
      </c>
      <c r="E469" s="13">
        <v>2</v>
      </c>
    </row>
    <row r="470" spans="1:5" x14ac:dyDescent="0.3">
      <c r="A470" s="13" t="s">
        <v>1</v>
      </c>
      <c r="B470" s="13" t="s">
        <v>1968</v>
      </c>
      <c r="C470" s="13">
        <v>0</v>
      </c>
      <c r="D470" s="13">
        <v>1</v>
      </c>
      <c r="E470" s="13"/>
    </row>
    <row r="471" spans="1:5" x14ac:dyDescent="0.3">
      <c r="A471" s="13" t="s">
        <v>1</v>
      </c>
      <c r="B471" s="13" t="s">
        <v>1888</v>
      </c>
      <c r="C471" s="13">
        <v>2</v>
      </c>
      <c r="D471" s="13">
        <v>0</v>
      </c>
      <c r="E471" s="13">
        <v>2</v>
      </c>
    </row>
    <row r="472" spans="1:5" x14ac:dyDescent="0.3">
      <c r="A472" s="13" t="s">
        <v>1</v>
      </c>
      <c r="B472" s="13" t="s">
        <v>1900</v>
      </c>
      <c r="C472" s="13">
        <v>3</v>
      </c>
      <c r="D472" s="13">
        <v>0</v>
      </c>
      <c r="E472" s="13">
        <v>3</v>
      </c>
    </row>
    <row r="473" spans="1:5" x14ac:dyDescent="0.3">
      <c r="A473" s="13" t="s">
        <v>1</v>
      </c>
      <c r="B473" s="13" t="s">
        <v>1960</v>
      </c>
      <c r="C473" s="13">
        <v>4</v>
      </c>
      <c r="D473" s="13">
        <v>0</v>
      </c>
      <c r="E473" s="13">
        <v>4</v>
      </c>
    </row>
    <row r="474" spans="1:5" x14ac:dyDescent="0.3">
      <c r="A474" s="13" t="s">
        <v>1</v>
      </c>
      <c r="B474" s="13" t="s">
        <v>1969</v>
      </c>
      <c r="C474" s="13">
        <v>1</v>
      </c>
      <c r="D474" s="13">
        <v>0</v>
      </c>
      <c r="E474" s="13">
        <v>1</v>
      </c>
    </row>
    <row r="475" spans="1:5" x14ac:dyDescent="0.3">
      <c r="A475" s="13" t="s">
        <v>1</v>
      </c>
      <c r="B475" s="13" t="s">
        <v>1989</v>
      </c>
      <c r="C475" s="13">
        <v>1</v>
      </c>
      <c r="D475" s="13">
        <v>0</v>
      </c>
      <c r="E475" s="13">
        <v>2</v>
      </c>
    </row>
    <row r="476" spans="1:5" x14ac:dyDescent="0.3">
      <c r="A476" s="13" t="s">
        <v>1</v>
      </c>
      <c r="B476" s="13" t="s">
        <v>2018</v>
      </c>
      <c r="C476" s="13">
        <v>1</v>
      </c>
      <c r="D476" s="13">
        <v>0</v>
      </c>
      <c r="E476" s="13">
        <v>1</v>
      </c>
    </row>
    <row r="477" spans="1:5" x14ac:dyDescent="0.3">
      <c r="A477" s="13" t="s">
        <v>1</v>
      </c>
      <c r="B477" s="13" t="s">
        <v>2148</v>
      </c>
      <c r="C477" s="13">
        <v>4</v>
      </c>
      <c r="D477" s="13">
        <v>0</v>
      </c>
      <c r="E477" s="13">
        <v>5</v>
      </c>
    </row>
    <row r="478" spans="1:5" x14ac:dyDescent="0.3">
      <c r="A478" s="13" t="s">
        <v>1</v>
      </c>
      <c r="B478" s="13" t="s">
        <v>2156</v>
      </c>
      <c r="C478" s="13">
        <v>2</v>
      </c>
      <c r="D478" s="13">
        <v>0</v>
      </c>
      <c r="E478" s="13">
        <v>2</v>
      </c>
    </row>
    <row r="479" spans="1:5" x14ac:dyDescent="0.3">
      <c r="A479" s="13" t="s">
        <v>1</v>
      </c>
      <c r="B479" s="13" t="s">
        <v>2162</v>
      </c>
      <c r="C479" s="13">
        <v>3</v>
      </c>
      <c r="D479" s="13">
        <v>0</v>
      </c>
      <c r="E479" s="13">
        <v>4</v>
      </c>
    </row>
    <row r="480" spans="1:5" x14ac:dyDescent="0.3">
      <c r="A480" s="13" t="s">
        <v>1</v>
      </c>
      <c r="B480" s="13" t="s">
        <v>2164</v>
      </c>
      <c r="C480" s="13">
        <v>3</v>
      </c>
      <c r="D480" s="13">
        <v>0</v>
      </c>
      <c r="E480" s="13">
        <v>3</v>
      </c>
    </row>
    <row r="481" spans="1:5" x14ac:dyDescent="0.3">
      <c r="A481" s="13" t="s">
        <v>1</v>
      </c>
      <c r="B481" s="13" t="s">
        <v>2229</v>
      </c>
      <c r="C481" s="13">
        <v>1</v>
      </c>
      <c r="D481" s="13">
        <v>0</v>
      </c>
      <c r="E481" s="13">
        <v>1</v>
      </c>
    </row>
    <row r="482" spans="1:5" x14ac:dyDescent="0.3">
      <c r="A482" s="13" t="s">
        <v>1</v>
      </c>
      <c r="B482" s="13" t="s">
        <v>890</v>
      </c>
      <c r="C482" s="13">
        <v>1</v>
      </c>
      <c r="D482" s="13">
        <v>0</v>
      </c>
      <c r="E482" s="13">
        <v>1</v>
      </c>
    </row>
    <row r="483" spans="1:5" x14ac:dyDescent="0.3">
      <c r="A483" s="13" t="s">
        <v>1</v>
      </c>
      <c r="B483" s="13" t="s">
        <v>1970</v>
      </c>
      <c r="C483" s="13">
        <v>1</v>
      </c>
      <c r="D483" s="13">
        <v>0</v>
      </c>
      <c r="E483" s="13">
        <v>1</v>
      </c>
    </row>
    <row r="484" spans="1:5" x14ac:dyDescent="0.3">
      <c r="A484" s="13" t="s">
        <v>1</v>
      </c>
      <c r="B484" s="13" t="s">
        <v>428</v>
      </c>
      <c r="C484" s="13">
        <v>1</v>
      </c>
      <c r="D484" s="13">
        <v>0</v>
      </c>
      <c r="E484" s="13">
        <v>0</v>
      </c>
    </row>
    <row r="485" spans="1:5" x14ac:dyDescent="0.3">
      <c r="A485" s="13" t="s">
        <v>1</v>
      </c>
      <c r="B485" s="13" t="s">
        <v>1993</v>
      </c>
      <c r="C485" s="13">
        <v>1</v>
      </c>
      <c r="D485" s="13">
        <v>0</v>
      </c>
      <c r="E485" s="13">
        <v>1</v>
      </c>
    </row>
    <row r="486" spans="1:5" x14ac:dyDescent="0.3">
      <c r="A486" s="13" t="s">
        <v>1</v>
      </c>
      <c r="B486" s="13" t="s">
        <v>1105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1113</v>
      </c>
      <c r="C487" s="13">
        <v>1</v>
      </c>
      <c r="D487" s="13">
        <v>0</v>
      </c>
      <c r="E487" s="13">
        <v>1</v>
      </c>
    </row>
    <row r="488" spans="1:5" x14ac:dyDescent="0.3">
      <c r="A488" s="13" t="s">
        <v>1</v>
      </c>
      <c r="B488" s="13" t="s">
        <v>1579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2329</v>
      </c>
      <c r="C489" s="13">
        <v>1</v>
      </c>
      <c r="D489" s="13">
        <v>0</v>
      </c>
      <c r="E489" s="13">
        <v>1</v>
      </c>
    </row>
    <row r="490" spans="1:5" x14ac:dyDescent="0.3">
      <c r="A490" s="13" t="s">
        <v>1</v>
      </c>
      <c r="B490" s="13" t="s">
        <v>165</v>
      </c>
      <c r="C490" s="13">
        <v>1</v>
      </c>
      <c r="D490" s="13">
        <v>0</v>
      </c>
      <c r="E490" s="13">
        <v>1</v>
      </c>
    </row>
    <row r="491" spans="1:5" x14ac:dyDescent="0.3">
      <c r="A491" s="13" t="s">
        <v>1</v>
      </c>
      <c r="B491" s="13" t="s">
        <v>2330</v>
      </c>
      <c r="C491" s="13">
        <v>1</v>
      </c>
      <c r="D491" s="13">
        <v>0</v>
      </c>
      <c r="E491" s="13">
        <v>1</v>
      </c>
    </row>
    <row r="492" spans="1:5" x14ac:dyDescent="0.3">
      <c r="A492" s="13" t="s">
        <v>1</v>
      </c>
      <c r="B492" s="13" t="s">
        <v>108</v>
      </c>
      <c r="C492" s="13">
        <v>1</v>
      </c>
      <c r="D492" s="13">
        <v>0</v>
      </c>
      <c r="E492" s="13">
        <v>1</v>
      </c>
    </row>
    <row r="493" spans="1:5" x14ac:dyDescent="0.3">
      <c r="A493" s="13" t="s">
        <v>1</v>
      </c>
      <c r="B493" s="13" t="s">
        <v>1028</v>
      </c>
      <c r="C493" s="13">
        <v>1</v>
      </c>
      <c r="D493" s="13">
        <v>0</v>
      </c>
      <c r="E493" s="13">
        <v>2</v>
      </c>
    </row>
    <row r="494" spans="1:5" x14ac:dyDescent="0.3">
      <c r="A494" s="13" t="s">
        <v>1</v>
      </c>
      <c r="B494" s="13" t="s">
        <v>2100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399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827</v>
      </c>
      <c r="C496" s="13">
        <v>1</v>
      </c>
      <c r="D496" s="13">
        <v>0</v>
      </c>
      <c r="E496" s="13">
        <v>2</v>
      </c>
    </row>
    <row r="497" spans="1:5" x14ac:dyDescent="0.3">
      <c r="A497" s="13" t="s">
        <v>1</v>
      </c>
      <c r="B497" s="13" t="s">
        <v>1135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1793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1594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2096</v>
      </c>
      <c r="C500" s="13">
        <v>1</v>
      </c>
      <c r="D500" s="13">
        <v>0</v>
      </c>
      <c r="E500" s="13">
        <v>2</v>
      </c>
    </row>
    <row r="501" spans="1:5" x14ac:dyDescent="0.3">
      <c r="A501" s="13" t="s">
        <v>1</v>
      </c>
      <c r="B501" s="13" t="s">
        <v>569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453</v>
      </c>
      <c r="C502" s="13">
        <v>1</v>
      </c>
      <c r="D502" s="13">
        <v>0</v>
      </c>
      <c r="E502" s="13">
        <v>0</v>
      </c>
    </row>
    <row r="503" spans="1:5" x14ac:dyDescent="0.3">
      <c r="A503" s="13" t="s">
        <v>1</v>
      </c>
      <c r="B503" s="13" t="s">
        <v>737</v>
      </c>
      <c r="C503" s="13">
        <v>1</v>
      </c>
      <c r="D503" s="13">
        <v>0</v>
      </c>
      <c r="E503" s="13">
        <v>1</v>
      </c>
    </row>
    <row r="504" spans="1:5" x14ac:dyDescent="0.3">
      <c r="A504" s="13" t="s">
        <v>1</v>
      </c>
      <c r="B504" s="13" t="s">
        <v>431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525</v>
      </c>
      <c r="C505" s="13">
        <v>1</v>
      </c>
      <c r="D505" s="13">
        <v>0</v>
      </c>
      <c r="E505" s="13">
        <v>1</v>
      </c>
    </row>
    <row r="506" spans="1:5" x14ac:dyDescent="0.3">
      <c r="A506" s="13" t="s">
        <v>1</v>
      </c>
      <c r="B506" s="13" t="s">
        <v>2109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1239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115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2163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2077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289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404</v>
      </c>
      <c r="C512" s="13">
        <v>1</v>
      </c>
      <c r="D512" s="13">
        <v>0</v>
      </c>
      <c r="E512" s="13">
        <v>2</v>
      </c>
    </row>
    <row r="513" spans="1:5" x14ac:dyDescent="0.3">
      <c r="A513" s="13" t="s">
        <v>1</v>
      </c>
      <c r="B513" s="13" t="s">
        <v>1244</v>
      </c>
      <c r="C513" s="13">
        <v>1</v>
      </c>
      <c r="D513" s="13">
        <v>0</v>
      </c>
      <c r="E513" s="13">
        <v>2</v>
      </c>
    </row>
    <row r="514" spans="1:5" x14ac:dyDescent="0.3">
      <c r="A514" s="13" t="s">
        <v>1</v>
      </c>
      <c r="B514" s="13" t="s">
        <v>1507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1305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175</v>
      </c>
      <c r="C516" s="13">
        <v>1</v>
      </c>
      <c r="D516" s="13">
        <v>0</v>
      </c>
      <c r="E516" s="13">
        <v>0</v>
      </c>
    </row>
    <row r="517" spans="1:5" x14ac:dyDescent="0.3">
      <c r="A517" s="13" t="s">
        <v>1</v>
      </c>
      <c r="B517" s="13" t="s">
        <v>2293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1314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662</v>
      </c>
      <c r="C519" s="13">
        <v>1</v>
      </c>
      <c r="D519" s="13">
        <v>0</v>
      </c>
      <c r="E519" s="13">
        <v>1</v>
      </c>
    </row>
    <row r="520" spans="1:5" x14ac:dyDescent="0.3">
      <c r="A520" s="13" t="s">
        <v>1</v>
      </c>
      <c r="B520" s="13" t="s">
        <v>1430</v>
      </c>
      <c r="C520" s="13">
        <v>1</v>
      </c>
      <c r="D520" s="13">
        <v>0</v>
      </c>
      <c r="E520" s="13">
        <v>2</v>
      </c>
    </row>
    <row r="521" spans="1:5" x14ac:dyDescent="0.3">
      <c r="A521" s="13" t="s">
        <v>1</v>
      </c>
      <c r="B521" s="13" t="s">
        <v>806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1489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2331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1596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415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456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779</v>
      </c>
      <c r="C527" s="13">
        <v>1</v>
      </c>
      <c r="D527" s="13">
        <v>0</v>
      </c>
      <c r="E527" s="13">
        <v>2</v>
      </c>
    </row>
    <row r="528" spans="1:5" x14ac:dyDescent="0.3">
      <c r="A528" s="13" t="s">
        <v>1</v>
      </c>
      <c r="B528" s="13" t="s">
        <v>184</v>
      </c>
      <c r="C528" s="13">
        <v>2</v>
      </c>
      <c r="D528" s="13">
        <v>0</v>
      </c>
      <c r="E528" s="13">
        <v>2</v>
      </c>
    </row>
    <row r="529" spans="1:5" x14ac:dyDescent="0.3">
      <c r="A529" s="13" t="s">
        <v>1</v>
      </c>
      <c r="B529" s="13" t="s">
        <v>746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867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2060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868</v>
      </c>
      <c r="C532" s="13">
        <v>1</v>
      </c>
      <c r="D532" s="13">
        <v>0</v>
      </c>
      <c r="E532" s="13">
        <v>2</v>
      </c>
    </row>
    <row r="533" spans="1:5" x14ac:dyDescent="0.3">
      <c r="A533" s="13" t="s">
        <v>1</v>
      </c>
      <c r="B533" s="13" t="s">
        <v>1648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190</v>
      </c>
      <c r="C534" s="13">
        <v>2</v>
      </c>
      <c r="D534" s="13">
        <v>0</v>
      </c>
      <c r="E534" s="13">
        <v>2</v>
      </c>
    </row>
    <row r="535" spans="1:5" x14ac:dyDescent="0.3">
      <c r="A535" s="13" t="s">
        <v>1</v>
      </c>
      <c r="B535" s="13" t="s">
        <v>231</v>
      </c>
      <c r="C535" s="13">
        <v>7</v>
      </c>
      <c r="D535" s="13">
        <v>0</v>
      </c>
      <c r="E535" s="13">
        <v>8</v>
      </c>
    </row>
    <row r="536" spans="1:5" x14ac:dyDescent="0.3">
      <c r="A536" s="13" t="s">
        <v>1</v>
      </c>
      <c r="B536" s="13" t="s">
        <v>370</v>
      </c>
      <c r="C536" s="13">
        <v>1</v>
      </c>
      <c r="D536" s="13">
        <v>0</v>
      </c>
      <c r="E536" s="13">
        <v>6</v>
      </c>
    </row>
    <row r="537" spans="1:5" x14ac:dyDescent="0.3">
      <c r="A537" s="13" t="s">
        <v>1</v>
      </c>
      <c r="B537" s="13" t="s">
        <v>232</v>
      </c>
      <c r="C537" s="13">
        <v>6</v>
      </c>
      <c r="D537" s="13">
        <v>0</v>
      </c>
      <c r="E537" s="13">
        <v>16</v>
      </c>
    </row>
    <row r="538" spans="1:5" x14ac:dyDescent="0.3">
      <c r="A538" s="13" t="s">
        <v>1</v>
      </c>
      <c r="B538" s="13" t="s">
        <v>460</v>
      </c>
      <c r="C538" s="13">
        <v>1</v>
      </c>
      <c r="D538" s="13">
        <v>0</v>
      </c>
      <c r="E538" s="13">
        <v>2</v>
      </c>
    </row>
    <row r="539" spans="1:5" x14ac:dyDescent="0.3">
      <c r="A539" s="13" t="s">
        <v>1</v>
      </c>
      <c r="B539" s="13" t="s">
        <v>67</v>
      </c>
      <c r="C539" s="13">
        <v>2</v>
      </c>
      <c r="D539" s="13">
        <v>0</v>
      </c>
      <c r="E539" s="13">
        <v>2</v>
      </c>
    </row>
    <row r="540" spans="1:5" x14ac:dyDescent="0.3">
      <c r="A540" s="13" t="s">
        <v>1</v>
      </c>
      <c r="B540" s="13" t="s">
        <v>192</v>
      </c>
      <c r="C540" s="13">
        <v>9</v>
      </c>
      <c r="D540" s="13">
        <v>0</v>
      </c>
      <c r="E540" s="13">
        <v>10</v>
      </c>
    </row>
    <row r="541" spans="1:5" x14ac:dyDescent="0.3">
      <c r="A541" s="13" t="s">
        <v>1</v>
      </c>
      <c r="B541" s="13" t="s">
        <v>39</v>
      </c>
      <c r="C541" s="13">
        <v>14</v>
      </c>
      <c r="D541" s="13">
        <v>0</v>
      </c>
      <c r="E541" s="13">
        <v>23</v>
      </c>
    </row>
    <row r="542" spans="1:5" x14ac:dyDescent="0.3">
      <c r="A542" s="13" t="s">
        <v>1</v>
      </c>
      <c r="B542" s="13" t="s">
        <v>233</v>
      </c>
      <c r="C542" s="13">
        <v>1</v>
      </c>
      <c r="D542" s="13">
        <v>0</v>
      </c>
      <c r="E542" s="13">
        <v>3</v>
      </c>
    </row>
    <row r="543" spans="1:5" x14ac:dyDescent="0.3">
      <c r="A543" s="13" t="s">
        <v>1</v>
      </c>
      <c r="B543" s="13" t="s">
        <v>234</v>
      </c>
      <c r="C543" s="13">
        <v>8</v>
      </c>
      <c r="D543" s="13">
        <v>0</v>
      </c>
      <c r="E543" s="13">
        <v>10</v>
      </c>
    </row>
    <row r="544" spans="1:5" x14ac:dyDescent="0.3">
      <c r="A544" s="13" t="s">
        <v>1</v>
      </c>
      <c r="B544" s="13" t="s">
        <v>2332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235</v>
      </c>
      <c r="C545" s="13">
        <v>4</v>
      </c>
      <c r="D545" s="13">
        <v>0</v>
      </c>
      <c r="E545" s="13">
        <v>4</v>
      </c>
    </row>
    <row r="546" spans="1:5" x14ac:dyDescent="0.3">
      <c r="A546" s="13" t="s">
        <v>1</v>
      </c>
      <c r="B546" s="13" t="s">
        <v>639</v>
      </c>
      <c r="C546" s="13">
        <v>6</v>
      </c>
      <c r="D546" s="13">
        <v>0</v>
      </c>
      <c r="E546" s="13">
        <v>7</v>
      </c>
    </row>
    <row r="547" spans="1:5" x14ac:dyDescent="0.3">
      <c r="A547" s="13" t="s">
        <v>1</v>
      </c>
      <c r="B547" s="13" t="s">
        <v>55</v>
      </c>
      <c r="C547" s="13">
        <v>6</v>
      </c>
      <c r="D547" s="13">
        <v>0</v>
      </c>
      <c r="E547" s="13">
        <v>8</v>
      </c>
    </row>
    <row r="548" spans="1:5" x14ac:dyDescent="0.3">
      <c r="A548" s="13" t="s">
        <v>1</v>
      </c>
      <c r="B548" s="13" t="s">
        <v>640</v>
      </c>
      <c r="C548" s="13">
        <v>3</v>
      </c>
      <c r="D548" s="13">
        <v>0</v>
      </c>
      <c r="E548" s="13">
        <v>4</v>
      </c>
    </row>
    <row r="549" spans="1:5" x14ac:dyDescent="0.3">
      <c r="A549" s="13" t="s">
        <v>1</v>
      </c>
      <c r="B549" s="13" t="s">
        <v>371</v>
      </c>
      <c r="C549" s="13">
        <v>8</v>
      </c>
      <c r="D549" s="13">
        <v>0</v>
      </c>
      <c r="E549" s="13">
        <v>9</v>
      </c>
    </row>
    <row r="550" spans="1:5" x14ac:dyDescent="0.3">
      <c r="A550" s="13" t="s">
        <v>1</v>
      </c>
      <c r="B550" s="13" t="s">
        <v>366</v>
      </c>
      <c r="C550" s="13">
        <v>2</v>
      </c>
      <c r="D550" s="13">
        <v>0</v>
      </c>
      <c r="E550" s="13">
        <v>2</v>
      </c>
    </row>
    <row r="551" spans="1:5" x14ac:dyDescent="0.3">
      <c r="A551" s="13" t="s">
        <v>1</v>
      </c>
      <c r="B551" s="13" t="s">
        <v>461</v>
      </c>
      <c r="C551" s="13">
        <v>2</v>
      </c>
      <c r="D551" s="13">
        <v>0</v>
      </c>
      <c r="E551" s="13">
        <v>3</v>
      </c>
    </row>
    <row r="552" spans="1:5" x14ac:dyDescent="0.3">
      <c r="A552" s="13" t="s">
        <v>1</v>
      </c>
      <c r="B552" s="13" t="s">
        <v>2333</v>
      </c>
      <c r="C552" s="13">
        <v>1</v>
      </c>
      <c r="D552" s="13">
        <v>0</v>
      </c>
      <c r="E552" s="13">
        <v>2</v>
      </c>
    </row>
    <row r="553" spans="1:5" x14ac:dyDescent="0.3">
      <c r="A553" s="13" t="s">
        <v>1</v>
      </c>
      <c r="B553" s="13" t="s">
        <v>1170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546</v>
      </c>
      <c r="C554" s="13">
        <v>0</v>
      </c>
      <c r="D554" s="13">
        <v>1</v>
      </c>
      <c r="E554" s="13"/>
    </row>
    <row r="555" spans="1:5" x14ac:dyDescent="0.3">
      <c r="A555" s="13" t="s">
        <v>1</v>
      </c>
      <c r="B555" s="13" t="s">
        <v>1589</v>
      </c>
      <c r="C555" s="13">
        <v>1</v>
      </c>
      <c r="D555" s="13">
        <v>0</v>
      </c>
      <c r="E555" s="13">
        <v>2</v>
      </c>
    </row>
    <row r="556" spans="1:5" x14ac:dyDescent="0.3">
      <c r="A556" s="13" t="s">
        <v>1</v>
      </c>
      <c r="B556" s="13" t="s">
        <v>1873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1637</v>
      </c>
      <c r="C557" s="13">
        <v>1</v>
      </c>
      <c r="D557" s="13">
        <v>0</v>
      </c>
      <c r="E557" s="13">
        <v>2</v>
      </c>
    </row>
    <row r="558" spans="1:5" x14ac:dyDescent="0.3">
      <c r="A558" s="13" t="s">
        <v>1</v>
      </c>
      <c r="B558" s="13" t="s">
        <v>850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68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644</v>
      </c>
      <c r="C560" s="13">
        <v>3</v>
      </c>
      <c r="D560" s="13">
        <v>0</v>
      </c>
      <c r="E560" s="13">
        <v>4</v>
      </c>
    </row>
    <row r="561" spans="1:5" x14ac:dyDescent="0.3">
      <c r="A561" s="13" t="s">
        <v>0</v>
      </c>
      <c r="B561" s="13" t="s">
        <v>48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0</v>
      </c>
      <c r="B562" s="13" t="s">
        <v>93</v>
      </c>
      <c r="C562" s="13">
        <v>1</v>
      </c>
      <c r="D562" s="13">
        <v>0</v>
      </c>
      <c r="E562" s="13">
        <v>2</v>
      </c>
    </row>
    <row r="563" spans="1:5" x14ac:dyDescent="0.3">
      <c r="A563" s="13" t="s">
        <v>0</v>
      </c>
      <c r="B563" s="13" t="s">
        <v>1567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0</v>
      </c>
      <c r="B564" s="13" t="s">
        <v>1738</v>
      </c>
      <c r="C564" s="13">
        <v>2</v>
      </c>
      <c r="D564" s="13">
        <v>0</v>
      </c>
      <c r="E564" s="13">
        <v>2</v>
      </c>
    </row>
    <row r="565" spans="1:5" x14ac:dyDescent="0.3">
      <c r="A565" s="13" t="s">
        <v>0</v>
      </c>
      <c r="B565" s="13" t="s">
        <v>2162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0</v>
      </c>
      <c r="B566" s="13" t="s">
        <v>102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0</v>
      </c>
      <c r="B567" s="13" t="s">
        <v>315</v>
      </c>
      <c r="C567" s="13">
        <v>1</v>
      </c>
      <c r="D567" s="13">
        <v>0</v>
      </c>
      <c r="E567" s="13">
        <v>0</v>
      </c>
    </row>
    <row r="568" spans="1:5" x14ac:dyDescent="0.3">
      <c r="A568" s="13" t="s">
        <v>0</v>
      </c>
      <c r="B568" s="13" t="s">
        <v>580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0</v>
      </c>
      <c r="B569" s="13" t="s">
        <v>905</v>
      </c>
      <c r="C569" s="13">
        <v>1</v>
      </c>
      <c r="D569" s="13">
        <v>0</v>
      </c>
      <c r="E569" s="13">
        <v>2</v>
      </c>
    </row>
    <row r="570" spans="1:5" x14ac:dyDescent="0.3">
      <c r="A570" s="13" t="s">
        <v>0</v>
      </c>
      <c r="B570" s="13" t="s">
        <v>1144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0</v>
      </c>
      <c r="B571" s="13" t="s">
        <v>132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0</v>
      </c>
      <c r="B572" s="13" t="s">
        <v>192</v>
      </c>
      <c r="C572" s="13">
        <v>2</v>
      </c>
      <c r="D572" s="13">
        <v>0</v>
      </c>
      <c r="E572" s="13">
        <v>3</v>
      </c>
    </row>
    <row r="573" spans="1:5" x14ac:dyDescent="0.3">
      <c r="A573" s="13" t="s">
        <v>0</v>
      </c>
      <c r="B573" s="13" t="s">
        <v>371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0</v>
      </c>
      <c r="B574" s="13" t="s">
        <v>2334</v>
      </c>
      <c r="C574" s="13">
        <v>0</v>
      </c>
      <c r="D574" s="13">
        <v>1</v>
      </c>
      <c r="E574" s="13"/>
    </row>
    <row r="575" spans="1:5" x14ac:dyDescent="0.3">
      <c r="A575" s="13" t="s">
        <v>0</v>
      </c>
      <c r="B575" s="13" t="s">
        <v>32</v>
      </c>
      <c r="C575" s="13">
        <v>3</v>
      </c>
      <c r="D575" s="13">
        <v>0</v>
      </c>
      <c r="E575" s="13">
        <v>3</v>
      </c>
    </row>
    <row r="576" spans="1:5" x14ac:dyDescent="0.3">
      <c r="A576" s="13" t="s">
        <v>2</v>
      </c>
      <c r="B576" s="13" t="s">
        <v>1033</v>
      </c>
      <c r="C576" s="13">
        <v>1</v>
      </c>
      <c r="D576" s="13">
        <v>0</v>
      </c>
      <c r="E576" s="13">
        <v>0</v>
      </c>
    </row>
    <row r="577" spans="1:5" x14ac:dyDescent="0.3">
      <c r="A577" s="13" t="s">
        <v>2</v>
      </c>
      <c r="B577" s="13" t="s">
        <v>115</v>
      </c>
      <c r="C577" s="13">
        <v>1</v>
      </c>
      <c r="D577" s="13">
        <v>0</v>
      </c>
      <c r="E577" s="13">
        <v>1</v>
      </c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3539A-3C67-4F71-9121-2E50EC3B7283}">
  <sheetPr codeName="Sheet37"/>
  <dimension ref="A1:M710"/>
  <sheetViews>
    <sheetView workbookViewId="0">
      <selection activeCell="A2" sqref="A2:E710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62</v>
      </c>
      <c r="D2" s="13">
        <v>47</v>
      </c>
      <c r="E2" s="13">
        <v>65</v>
      </c>
    </row>
    <row r="3" spans="1:13" customFormat="1" x14ac:dyDescent="0.3">
      <c r="A3" s="13" t="s">
        <v>0</v>
      </c>
      <c r="B3" s="13" t="s">
        <v>1067</v>
      </c>
      <c r="C3" s="13">
        <v>40</v>
      </c>
      <c r="D3" s="13">
        <v>38</v>
      </c>
      <c r="E3" s="13">
        <v>42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85</v>
      </c>
      <c r="D4" s="13">
        <v>30</v>
      </c>
      <c r="E4" s="13">
        <v>187</v>
      </c>
      <c r="G4" s="19" t="s">
        <v>8</v>
      </c>
      <c r="H4" s="15">
        <f>H13+H14</f>
        <v>1185</v>
      </c>
      <c r="I4" s="16">
        <f>H4/H$6</f>
        <v>0.72878228782287824</v>
      </c>
      <c r="J4" s="15">
        <f>I13+I14</f>
        <v>605</v>
      </c>
      <c r="K4" s="16">
        <f>J4/J$6</f>
        <v>0.62824506749740394</v>
      </c>
      <c r="L4" s="15">
        <f>J13+J14</f>
        <v>1483</v>
      </c>
      <c r="M4" s="25">
        <f>L4/L$6</f>
        <v>0.73525037183936537</v>
      </c>
    </row>
    <row r="5" spans="1:13" customFormat="1" x14ac:dyDescent="0.3">
      <c r="A5" s="13" t="s">
        <v>1</v>
      </c>
      <c r="B5" s="13" t="s">
        <v>37</v>
      </c>
      <c r="C5" s="13">
        <v>29</v>
      </c>
      <c r="D5" s="13">
        <v>24</v>
      </c>
      <c r="E5" s="13">
        <v>31</v>
      </c>
      <c r="G5" s="19" t="s">
        <v>10</v>
      </c>
      <c r="H5" s="15">
        <f>H15+H16</f>
        <v>441</v>
      </c>
      <c r="I5" s="16">
        <f>H5/H$6</f>
        <v>0.27121771217712176</v>
      </c>
      <c r="J5" s="15">
        <f>I15+I16</f>
        <v>358</v>
      </c>
      <c r="K5" s="16">
        <f>J5/J$6</f>
        <v>0.37175493250259606</v>
      </c>
      <c r="L5" s="15">
        <f>J15+J16</f>
        <v>534</v>
      </c>
      <c r="M5" s="25">
        <f>L5/L$6</f>
        <v>0.26474962816063463</v>
      </c>
    </row>
    <row r="6" spans="1:13" customFormat="1" ht="17.25" thickBot="1" x14ac:dyDescent="0.35">
      <c r="A6" s="13" t="s">
        <v>0</v>
      </c>
      <c r="B6" s="13" t="s">
        <v>151</v>
      </c>
      <c r="C6" s="13">
        <v>26</v>
      </c>
      <c r="D6" s="13">
        <v>23</v>
      </c>
      <c r="E6" s="13">
        <v>26</v>
      </c>
      <c r="G6" s="22"/>
      <c r="H6" s="26">
        <f>SUM(H4:H5)</f>
        <v>1626</v>
      </c>
      <c r="I6" s="27">
        <f>I4+I5</f>
        <v>1</v>
      </c>
      <c r="J6" s="26">
        <f>SUM(J4:J5)</f>
        <v>963</v>
      </c>
      <c r="K6" s="27">
        <f>K4+K5</f>
        <v>1</v>
      </c>
      <c r="L6" s="26">
        <f>SUM(L4:L5)</f>
        <v>2017</v>
      </c>
      <c r="M6" s="28">
        <f>M4+M5</f>
        <v>1</v>
      </c>
    </row>
    <row r="7" spans="1:13" customFormat="1" x14ac:dyDescent="0.3">
      <c r="A7" s="13" t="s">
        <v>0</v>
      </c>
      <c r="B7" s="13" t="s">
        <v>37</v>
      </c>
      <c r="C7" s="13">
        <v>20</v>
      </c>
      <c r="D7" s="13">
        <v>20</v>
      </c>
      <c r="E7" s="13">
        <v>21</v>
      </c>
    </row>
    <row r="8" spans="1:13" customFormat="1" x14ac:dyDescent="0.3">
      <c r="A8" s="13" t="s">
        <v>0</v>
      </c>
      <c r="B8" s="13" t="s">
        <v>29</v>
      </c>
      <c r="C8" s="13">
        <v>20</v>
      </c>
      <c r="D8" s="13">
        <v>19</v>
      </c>
      <c r="E8" s="13">
        <v>21</v>
      </c>
    </row>
    <row r="9" spans="1:13" customFormat="1" x14ac:dyDescent="0.3">
      <c r="A9" s="13" t="s">
        <v>1</v>
      </c>
      <c r="B9" s="13" t="s">
        <v>1067</v>
      </c>
      <c r="C9" s="13">
        <v>19</v>
      </c>
      <c r="D9" s="13">
        <v>16</v>
      </c>
      <c r="E9" s="13">
        <v>20</v>
      </c>
    </row>
    <row r="10" spans="1:13" customFormat="1" ht="17.25" thickBot="1" x14ac:dyDescent="0.35">
      <c r="A10" s="13" t="s">
        <v>1</v>
      </c>
      <c r="B10" s="13" t="s">
        <v>354</v>
      </c>
      <c r="C10" s="13">
        <v>20</v>
      </c>
      <c r="D10" s="13">
        <v>12</v>
      </c>
      <c r="E10" s="13">
        <v>19</v>
      </c>
    </row>
    <row r="11" spans="1:13" x14ac:dyDescent="0.3">
      <c r="A11" s="13" t="s">
        <v>1</v>
      </c>
      <c r="B11" s="13" t="s">
        <v>2203</v>
      </c>
      <c r="C11" s="13">
        <v>20</v>
      </c>
      <c r="D11" s="13">
        <v>10</v>
      </c>
      <c r="E11" s="13">
        <v>26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31</v>
      </c>
      <c r="C12" s="13">
        <v>10</v>
      </c>
      <c r="D12" s="13">
        <v>10</v>
      </c>
      <c r="E12" s="13">
        <v>12</v>
      </c>
      <c r="G12" s="19"/>
      <c r="H12" s="17">
        <f t="shared" ref="H12:J12" si="0">SUM(H13:H16)</f>
        <v>1626</v>
      </c>
      <c r="I12" s="17">
        <f t="shared" si="0"/>
        <v>963</v>
      </c>
      <c r="J12" s="20">
        <f t="shared" si="0"/>
        <v>2017</v>
      </c>
    </row>
    <row r="13" spans="1:13" x14ac:dyDescent="0.3">
      <c r="A13" s="13" t="s">
        <v>0</v>
      </c>
      <c r="B13" s="13" t="s">
        <v>1741</v>
      </c>
      <c r="C13" s="13">
        <v>9</v>
      </c>
      <c r="D13" s="13">
        <v>9</v>
      </c>
      <c r="E13" s="13">
        <v>9</v>
      </c>
      <c r="G13" s="19" t="s">
        <v>7</v>
      </c>
      <c r="H13" s="18">
        <f t="shared" ref="H13:J16" si="1">SUMIF($A$2:$A$9999,$G13,C$2:C$9999)</f>
        <v>1185</v>
      </c>
      <c r="I13" s="18">
        <f t="shared" si="1"/>
        <v>605</v>
      </c>
      <c r="J13" s="21">
        <f t="shared" si="1"/>
        <v>1483</v>
      </c>
    </row>
    <row r="14" spans="1:13" x14ac:dyDescent="0.3">
      <c r="A14" s="13" t="s">
        <v>1</v>
      </c>
      <c r="B14" s="13" t="s">
        <v>148</v>
      </c>
      <c r="C14" s="13">
        <v>8</v>
      </c>
      <c r="D14" s="13">
        <v>8</v>
      </c>
      <c r="E14" s="13">
        <v>8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47</v>
      </c>
      <c r="C15" s="13">
        <v>13</v>
      </c>
      <c r="D15" s="13">
        <v>7</v>
      </c>
      <c r="E15" s="13">
        <v>15</v>
      </c>
      <c r="G15" s="19" t="s">
        <v>11</v>
      </c>
      <c r="H15" s="18">
        <f t="shared" si="1"/>
        <v>428</v>
      </c>
      <c r="I15" s="18">
        <f t="shared" si="1"/>
        <v>348</v>
      </c>
      <c r="J15" s="21">
        <f t="shared" si="1"/>
        <v>520</v>
      </c>
    </row>
    <row r="16" spans="1:13" ht="17.25" thickBot="1" x14ac:dyDescent="0.35">
      <c r="A16" s="13" t="s">
        <v>1</v>
      </c>
      <c r="B16" s="13" t="s">
        <v>272</v>
      </c>
      <c r="C16" s="13">
        <v>8</v>
      </c>
      <c r="D16" s="13">
        <v>7</v>
      </c>
      <c r="E16" s="13">
        <v>9</v>
      </c>
      <c r="G16" s="22" t="s">
        <v>12</v>
      </c>
      <c r="H16" s="23">
        <f t="shared" si="1"/>
        <v>13</v>
      </c>
      <c r="I16" s="23">
        <f t="shared" si="1"/>
        <v>10</v>
      </c>
      <c r="J16" s="24">
        <f t="shared" si="1"/>
        <v>14</v>
      </c>
    </row>
    <row r="17" spans="1:5" x14ac:dyDescent="0.3">
      <c r="A17" s="13" t="s">
        <v>1</v>
      </c>
      <c r="B17" s="13" t="s">
        <v>151</v>
      </c>
      <c r="C17" s="13">
        <v>9</v>
      </c>
      <c r="D17" s="13">
        <v>7</v>
      </c>
      <c r="E17" s="13">
        <v>8</v>
      </c>
    </row>
    <row r="18" spans="1:5" x14ac:dyDescent="0.3">
      <c r="A18" s="13" t="s">
        <v>0</v>
      </c>
      <c r="B18" s="13" t="s">
        <v>30</v>
      </c>
      <c r="C18" s="13">
        <v>13</v>
      </c>
      <c r="D18" s="13">
        <v>7</v>
      </c>
      <c r="E18" s="13">
        <v>20</v>
      </c>
    </row>
    <row r="19" spans="1:5" x14ac:dyDescent="0.3">
      <c r="A19" s="13" t="s">
        <v>0</v>
      </c>
      <c r="B19" s="13" t="s">
        <v>60</v>
      </c>
      <c r="C19" s="13">
        <v>7</v>
      </c>
      <c r="D19" s="13">
        <v>7</v>
      </c>
      <c r="E19" s="13">
        <v>9</v>
      </c>
    </row>
    <row r="20" spans="1:5" x14ac:dyDescent="0.3">
      <c r="A20" s="13" t="s">
        <v>1</v>
      </c>
      <c r="B20" s="13" t="s">
        <v>87</v>
      </c>
      <c r="C20" s="13">
        <v>6</v>
      </c>
      <c r="D20" s="13">
        <v>6</v>
      </c>
      <c r="E20" s="13">
        <v>7</v>
      </c>
    </row>
    <row r="21" spans="1:5" x14ac:dyDescent="0.3">
      <c r="A21" s="13" t="s">
        <v>1</v>
      </c>
      <c r="B21" s="13" t="s">
        <v>1741</v>
      </c>
      <c r="C21" s="13">
        <v>6</v>
      </c>
      <c r="D21" s="13">
        <v>6</v>
      </c>
      <c r="E21" s="13">
        <v>6</v>
      </c>
    </row>
    <row r="22" spans="1:5" x14ac:dyDescent="0.3">
      <c r="A22" s="13" t="s">
        <v>1</v>
      </c>
      <c r="B22" s="13" t="s">
        <v>653</v>
      </c>
      <c r="C22" s="13">
        <v>10</v>
      </c>
      <c r="D22" s="13">
        <v>5</v>
      </c>
      <c r="E22" s="13">
        <v>10</v>
      </c>
    </row>
    <row r="23" spans="1:5" x14ac:dyDescent="0.3">
      <c r="A23" s="13" t="s">
        <v>1</v>
      </c>
      <c r="B23" s="13" t="s">
        <v>1849</v>
      </c>
      <c r="C23" s="13">
        <v>8</v>
      </c>
      <c r="D23" s="13">
        <v>5</v>
      </c>
      <c r="E23" s="13">
        <v>7</v>
      </c>
    </row>
    <row r="24" spans="1:5" x14ac:dyDescent="0.3">
      <c r="A24" s="13" t="s">
        <v>0</v>
      </c>
      <c r="B24" s="13" t="s">
        <v>47</v>
      </c>
      <c r="C24" s="13">
        <v>5</v>
      </c>
      <c r="D24" s="13">
        <v>5</v>
      </c>
      <c r="E24" s="13">
        <v>5</v>
      </c>
    </row>
    <row r="25" spans="1:5" x14ac:dyDescent="0.3">
      <c r="A25" s="13" t="s">
        <v>0</v>
      </c>
      <c r="B25" s="13" t="s">
        <v>354</v>
      </c>
      <c r="C25" s="13">
        <v>6</v>
      </c>
      <c r="D25" s="13">
        <v>5</v>
      </c>
      <c r="E25" s="13">
        <v>6</v>
      </c>
    </row>
    <row r="26" spans="1:5" x14ac:dyDescent="0.3">
      <c r="A26" s="13" t="s">
        <v>0</v>
      </c>
      <c r="B26" s="13" t="s">
        <v>61</v>
      </c>
      <c r="C26" s="13">
        <v>5</v>
      </c>
      <c r="D26" s="13">
        <v>5</v>
      </c>
      <c r="E26" s="13">
        <v>5</v>
      </c>
    </row>
    <row r="27" spans="1:5" x14ac:dyDescent="0.3">
      <c r="A27" s="13" t="s">
        <v>0</v>
      </c>
      <c r="B27" s="13" t="s">
        <v>471</v>
      </c>
      <c r="C27" s="13">
        <v>6</v>
      </c>
      <c r="D27" s="13">
        <v>5</v>
      </c>
      <c r="E27" s="13">
        <v>6</v>
      </c>
    </row>
    <row r="28" spans="1:5" x14ac:dyDescent="0.3">
      <c r="A28" s="13" t="s">
        <v>0</v>
      </c>
      <c r="B28" s="13" t="s">
        <v>2203</v>
      </c>
      <c r="C28" s="13">
        <v>6</v>
      </c>
      <c r="D28" s="13">
        <v>5</v>
      </c>
      <c r="E28" s="13">
        <v>6</v>
      </c>
    </row>
    <row r="29" spans="1:5" x14ac:dyDescent="0.3">
      <c r="A29" s="13" t="s">
        <v>1</v>
      </c>
      <c r="B29" s="13" t="s">
        <v>33</v>
      </c>
      <c r="C29" s="13">
        <v>7</v>
      </c>
      <c r="D29" s="13">
        <v>4</v>
      </c>
      <c r="E29" s="13">
        <v>7</v>
      </c>
    </row>
    <row r="30" spans="1:5" x14ac:dyDescent="0.3">
      <c r="A30" s="13" t="s">
        <v>1</v>
      </c>
      <c r="B30" s="13" t="s">
        <v>77</v>
      </c>
      <c r="C30" s="13">
        <v>4</v>
      </c>
      <c r="D30" s="13">
        <v>4</v>
      </c>
      <c r="E30" s="13">
        <v>4</v>
      </c>
    </row>
    <row r="31" spans="1:5" x14ac:dyDescent="0.3">
      <c r="A31" s="13" t="s">
        <v>1</v>
      </c>
      <c r="B31" s="13" t="s">
        <v>145</v>
      </c>
      <c r="C31" s="13">
        <v>4</v>
      </c>
      <c r="D31" s="13">
        <v>4</v>
      </c>
      <c r="E31" s="13">
        <v>4</v>
      </c>
    </row>
    <row r="32" spans="1:5" x14ac:dyDescent="0.3">
      <c r="A32" s="13" t="s">
        <v>1</v>
      </c>
      <c r="B32" s="13" t="s">
        <v>351</v>
      </c>
      <c r="C32" s="13">
        <v>6</v>
      </c>
      <c r="D32" s="13">
        <v>4</v>
      </c>
      <c r="E32" s="13">
        <v>6</v>
      </c>
    </row>
    <row r="33" spans="1:5" x14ac:dyDescent="0.3">
      <c r="A33" s="13" t="s">
        <v>1</v>
      </c>
      <c r="B33" s="13" t="s">
        <v>94</v>
      </c>
      <c r="C33" s="13">
        <v>13</v>
      </c>
      <c r="D33" s="13">
        <v>4</v>
      </c>
      <c r="E33" s="13">
        <v>18</v>
      </c>
    </row>
    <row r="34" spans="1:5" x14ac:dyDescent="0.3">
      <c r="A34" s="13" t="s">
        <v>1</v>
      </c>
      <c r="B34" s="13" t="s">
        <v>471</v>
      </c>
      <c r="C34" s="13">
        <v>11</v>
      </c>
      <c r="D34" s="13">
        <v>4</v>
      </c>
      <c r="E34" s="13">
        <v>17</v>
      </c>
    </row>
    <row r="35" spans="1:5" x14ac:dyDescent="0.3">
      <c r="A35" s="13" t="s">
        <v>1</v>
      </c>
      <c r="B35" s="13" t="s">
        <v>1663</v>
      </c>
      <c r="C35" s="13">
        <v>4</v>
      </c>
      <c r="D35" s="13">
        <v>4</v>
      </c>
      <c r="E35" s="13">
        <v>4</v>
      </c>
    </row>
    <row r="36" spans="1:5" x14ac:dyDescent="0.3">
      <c r="A36" s="13" t="s">
        <v>1</v>
      </c>
      <c r="B36" s="13" t="s">
        <v>1674</v>
      </c>
      <c r="C36" s="13">
        <v>4</v>
      </c>
      <c r="D36" s="13">
        <v>4</v>
      </c>
      <c r="E36" s="13">
        <v>4</v>
      </c>
    </row>
    <row r="37" spans="1:5" x14ac:dyDescent="0.3">
      <c r="A37" s="13" t="s">
        <v>1</v>
      </c>
      <c r="B37" s="13" t="s">
        <v>1988</v>
      </c>
      <c r="C37" s="13">
        <v>10</v>
      </c>
      <c r="D37" s="13">
        <v>4</v>
      </c>
      <c r="E37" s="13">
        <v>10</v>
      </c>
    </row>
    <row r="38" spans="1:5" x14ac:dyDescent="0.3">
      <c r="A38" s="13" t="s">
        <v>1</v>
      </c>
      <c r="B38" s="13" t="s">
        <v>195</v>
      </c>
      <c r="C38" s="13">
        <v>4</v>
      </c>
      <c r="D38" s="13">
        <v>4</v>
      </c>
      <c r="E38" s="13">
        <v>4</v>
      </c>
    </row>
    <row r="39" spans="1:5" x14ac:dyDescent="0.3">
      <c r="A39" s="13" t="s">
        <v>1</v>
      </c>
      <c r="B39" s="13" t="s">
        <v>111</v>
      </c>
      <c r="C39" s="13">
        <v>4</v>
      </c>
      <c r="D39" s="13">
        <v>4</v>
      </c>
      <c r="E39" s="13">
        <v>4</v>
      </c>
    </row>
    <row r="40" spans="1:5" x14ac:dyDescent="0.3">
      <c r="A40" s="13" t="s">
        <v>1</v>
      </c>
      <c r="B40" s="13" t="s">
        <v>51</v>
      </c>
      <c r="C40" s="13">
        <v>5</v>
      </c>
      <c r="D40" s="13">
        <v>4</v>
      </c>
      <c r="E40" s="13">
        <v>6</v>
      </c>
    </row>
    <row r="41" spans="1:5" x14ac:dyDescent="0.3">
      <c r="A41" s="13" t="s">
        <v>1</v>
      </c>
      <c r="B41" s="13" t="s">
        <v>31</v>
      </c>
      <c r="C41" s="13">
        <v>4</v>
      </c>
      <c r="D41" s="13">
        <v>4</v>
      </c>
      <c r="E41" s="13">
        <v>4</v>
      </c>
    </row>
    <row r="42" spans="1:5" x14ac:dyDescent="0.3">
      <c r="A42" s="13" t="s">
        <v>1</v>
      </c>
      <c r="B42" s="13" t="s">
        <v>66</v>
      </c>
      <c r="C42" s="13">
        <v>7</v>
      </c>
      <c r="D42" s="13">
        <v>4</v>
      </c>
      <c r="E42" s="13">
        <v>15</v>
      </c>
    </row>
    <row r="43" spans="1:5" x14ac:dyDescent="0.3">
      <c r="A43" s="13" t="s">
        <v>1</v>
      </c>
      <c r="B43" s="13" t="s">
        <v>39</v>
      </c>
      <c r="C43" s="13">
        <v>13</v>
      </c>
      <c r="D43" s="13">
        <v>4</v>
      </c>
      <c r="E43" s="13">
        <v>17</v>
      </c>
    </row>
    <row r="44" spans="1:5" x14ac:dyDescent="0.3">
      <c r="A44" s="13" t="s">
        <v>0</v>
      </c>
      <c r="B44" s="13" t="s">
        <v>1674</v>
      </c>
      <c r="C44" s="13">
        <v>4</v>
      </c>
      <c r="D44" s="13">
        <v>4</v>
      </c>
      <c r="E44" s="13">
        <v>4</v>
      </c>
    </row>
    <row r="45" spans="1:5" x14ac:dyDescent="0.3">
      <c r="A45" s="13" t="s">
        <v>1</v>
      </c>
      <c r="B45" s="13" t="s">
        <v>34</v>
      </c>
      <c r="C45" s="13">
        <v>3</v>
      </c>
      <c r="D45" s="13">
        <v>3</v>
      </c>
      <c r="E45" s="13">
        <v>4</v>
      </c>
    </row>
    <row r="46" spans="1:5" x14ac:dyDescent="0.3">
      <c r="A46" s="13" t="s">
        <v>1</v>
      </c>
      <c r="B46" s="13" t="s">
        <v>304</v>
      </c>
      <c r="C46" s="13">
        <v>3</v>
      </c>
      <c r="D46" s="13">
        <v>3</v>
      </c>
      <c r="E46" s="13">
        <v>3</v>
      </c>
    </row>
    <row r="47" spans="1:5" x14ac:dyDescent="0.3">
      <c r="A47" s="13" t="s">
        <v>1</v>
      </c>
      <c r="B47" s="13" t="s">
        <v>500</v>
      </c>
      <c r="C47" s="13">
        <v>3</v>
      </c>
      <c r="D47" s="13">
        <v>3</v>
      </c>
      <c r="E47" s="13">
        <v>3</v>
      </c>
    </row>
    <row r="48" spans="1:5" x14ac:dyDescent="0.3">
      <c r="A48" s="13" t="s">
        <v>1</v>
      </c>
      <c r="B48" s="13" t="s">
        <v>147</v>
      </c>
      <c r="C48" s="13">
        <v>4</v>
      </c>
      <c r="D48" s="13">
        <v>3</v>
      </c>
      <c r="E48" s="13">
        <v>5</v>
      </c>
    </row>
    <row r="49" spans="1:5" x14ac:dyDescent="0.3">
      <c r="A49" s="13" t="s">
        <v>1</v>
      </c>
      <c r="B49" s="13" t="s">
        <v>150</v>
      </c>
      <c r="C49" s="13">
        <v>4</v>
      </c>
      <c r="D49" s="13">
        <v>3</v>
      </c>
      <c r="E49" s="13">
        <v>5</v>
      </c>
    </row>
    <row r="50" spans="1:5" x14ac:dyDescent="0.3">
      <c r="A50" s="13" t="s">
        <v>1</v>
      </c>
      <c r="B50" s="13" t="s">
        <v>93</v>
      </c>
      <c r="C50" s="13">
        <v>4</v>
      </c>
      <c r="D50" s="13">
        <v>3</v>
      </c>
      <c r="E50" s="13">
        <v>4</v>
      </c>
    </row>
    <row r="51" spans="1:5" x14ac:dyDescent="0.3">
      <c r="A51" s="13" t="s">
        <v>1</v>
      </c>
      <c r="B51" s="13" t="s">
        <v>61</v>
      </c>
      <c r="C51" s="13">
        <v>3</v>
      </c>
      <c r="D51" s="13">
        <v>3</v>
      </c>
      <c r="E51" s="13">
        <v>3</v>
      </c>
    </row>
    <row r="52" spans="1:5" x14ac:dyDescent="0.3">
      <c r="A52" s="13" t="s">
        <v>1</v>
      </c>
      <c r="B52" s="13" t="s">
        <v>1948</v>
      </c>
      <c r="C52" s="13">
        <v>5</v>
      </c>
      <c r="D52" s="13">
        <v>3</v>
      </c>
      <c r="E52" s="13">
        <v>5</v>
      </c>
    </row>
    <row r="53" spans="1:5" x14ac:dyDescent="0.3">
      <c r="A53" s="13" t="s">
        <v>1</v>
      </c>
      <c r="B53" s="13" t="s">
        <v>188</v>
      </c>
      <c r="C53" s="13">
        <v>3</v>
      </c>
      <c r="D53" s="13">
        <v>3</v>
      </c>
      <c r="E53" s="13">
        <v>3</v>
      </c>
    </row>
    <row r="54" spans="1:5" x14ac:dyDescent="0.3">
      <c r="A54" s="13" t="s">
        <v>1</v>
      </c>
      <c r="B54" s="13" t="s">
        <v>132</v>
      </c>
      <c r="C54" s="13">
        <v>5</v>
      </c>
      <c r="D54" s="13">
        <v>3</v>
      </c>
      <c r="E54" s="13">
        <v>7</v>
      </c>
    </row>
    <row r="55" spans="1:5" x14ac:dyDescent="0.3">
      <c r="A55" s="13" t="s">
        <v>1</v>
      </c>
      <c r="B55" s="13" t="s">
        <v>32</v>
      </c>
      <c r="C55" s="13">
        <v>10</v>
      </c>
      <c r="D55" s="13">
        <v>3</v>
      </c>
      <c r="E55" s="13">
        <v>20</v>
      </c>
    </row>
    <row r="56" spans="1:5" x14ac:dyDescent="0.3">
      <c r="A56" s="13" t="s">
        <v>0</v>
      </c>
      <c r="B56" s="13" t="s">
        <v>36</v>
      </c>
      <c r="C56" s="13">
        <v>3</v>
      </c>
      <c r="D56" s="13">
        <v>3</v>
      </c>
      <c r="E56" s="13">
        <v>4</v>
      </c>
    </row>
    <row r="57" spans="1:5" x14ac:dyDescent="0.3">
      <c r="A57" s="13" t="s">
        <v>0</v>
      </c>
      <c r="B57" s="13" t="s">
        <v>94</v>
      </c>
      <c r="C57" s="13">
        <v>4</v>
      </c>
      <c r="D57" s="13">
        <v>3</v>
      </c>
      <c r="E57" s="13">
        <v>6</v>
      </c>
    </row>
    <row r="58" spans="1:5" x14ac:dyDescent="0.3">
      <c r="A58" s="13" t="s">
        <v>0</v>
      </c>
      <c r="B58" s="13" t="s">
        <v>1471</v>
      </c>
      <c r="C58" s="13">
        <v>3</v>
      </c>
      <c r="D58" s="13">
        <v>3</v>
      </c>
      <c r="E58" s="13">
        <v>3</v>
      </c>
    </row>
    <row r="59" spans="1:5" x14ac:dyDescent="0.3">
      <c r="A59" s="13" t="s">
        <v>0</v>
      </c>
      <c r="B59" s="13" t="s">
        <v>1948</v>
      </c>
      <c r="C59" s="13">
        <v>4</v>
      </c>
      <c r="D59" s="13">
        <v>3</v>
      </c>
      <c r="E59" s="13">
        <v>4</v>
      </c>
    </row>
    <row r="60" spans="1:5" x14ac:dyDescent="0.3">
      <c r="A60" s="13" t="s">
        <v>0</v>
      </c>
      <c r="B60" s="13" t="s">
        <v>2335</v>
      </c>
      <c r="C60" s="13">
        <v>8</v>
      </c>
      <c r="D60" s="13">
        <v>3</v>
      </c>
      <c r="E60" s="13">
        <v>15</v>
      </c>
    </row>
    <row r="61" spans="1:5" x14ac:dyDescent="0.3">
      <c r="A61" s="13" t="s">
        <v>0</v>
      </c>
      <c r="B61" s="13" t="s">
        <v>2045</v>
      </c>
      <c r="C61" s="13">
        <v>3</v>
      </c>
      <c r="D61" s="13">
        <v>3</v>
      </c>
      <c r="E61" s="13">
        <v>3</v>
      </c>
    </row>
    <row r="62" spans="1:5" x14ac:dyDescent="0.3">
      <c r="A62" s="13" t="s">
        <v>0</v>
      </c>
      <c r="B62" s="13" t="s">
        <v>295</v>
      </c>
      <c r="C62" s="13">
        <v>3</v>
      </c>
      <c r="D62" s="13">
        <v>3</v>
      </c>
      <c r="E62" s="13">
        <v>3</v>
      </c>
    </row>
    <row r="63" spans="1:5" x14ac:dyDescent="0.3">
      <c r="A63" s="13" t="s">
        <v>0</v>
      </c>
      <c r="B63" s="13" t="s">
        <v>2336</v>
      </c>
      <c r="C63" s="13">
        <v>3</v>
      </c>
      <c r="D63" s="13">
        <v>8</v>
      </c>
      <c r="E63" s="13"/>
    </row>
    <row r="64" spans="1:5" x14ac:dyDescent="0.3">
      <c r="A64" s="13" t="s">
        <v>1</v>
      </c>
      <c r="B64" s="13" t="s">
        <v>377</v>
      </c>
      <c r="C64" s="13">
        <v>2</v>
      </c>
      <c r="D64" s="13">
        <v>2</v>
      </c>
      <c r="E64" s="13">
        <v>2</v>
      </c>
    </row>
    <row r="65" spans="1:5" x14ac:dyDescent="0.3">
      <c r="A65" s="13" t="s">
        <v>1</v>
      </c>
      <c r="B65" s="13" t="s">
        <v>36</v>
      </c>
      <c r="C65" s="13">
        <v>3</v>
      </c>
      <c r="D65" s="13">
        <v>2</v>
      </c>
      <c r="E65" s="13">
        <v>3</v>
      </c>
    </row>
    <row r="66" spans="1:5" x14ac:dyDescent="0.3">
      <c r="A66" s="13" t="s">
        <v>1</v>
      </c>
      <c r="B66" s="13" t="s">
        <v>48</v>
      </c>
      <c r="C66" s="13">
        <v>2</v>
      </c>
      <c r="D66" s="13">
        <v>2</v>
      </c>
      <c r="E66" s="13">
        <v>2</v>
      </c>
    </row>
    <row r="67" spans="1:5" x14ac:dyDescent="0.3">
      <c r="A67" s="13" t="s">
        <v>1</v>
      </c>
      <c r="B67" s="13" t="s">
        <v>90</v>
      </c>
      <c r="C67" s="13">
        <v>3</v>
      </c>
      <c r="D67" s="13">
        <v>2</v>
      </c>
      <c r="E67" s="13">
        <v>5</v>
      </c>
    </row>
    <row r="68" spans="1:5" x14ac:dyDescent="0.3">
      <c r="A68" s="13" t="s">
        <v>1</v>
      </c>
      <c r="B68" s="13" t="s">
        <v>60</v>
      </c>
      <c r="C68" s="13">
        <v>3</v>
      </c>
      <c r="D68" s="13">
        <v>2</v>
      </c>
      <c r="E68" s="13">
        <v>2</v>
      </c>
    </row>
    <row r="69" spans="1:5" x14ac:dyDescent="0.3">
      <c r="A69" s="13" t="s">
        <v>1</v>
      </c>
      <c r="B69" s="13" t="s">
        <v>42</v>
      </c>
      <c r="C69" s="13">
        <v>3</v>
      </c>
      <c r="D69" s="13">
        <v>2</v>
      </c>
      <c r="E69" s="13">
        <v>4</v>
      </c>
    </row>
    <row r="70" spans="1:5" x14ac:dyDescent="0.3">
      <c r="A70" s="13" t="s">
        <v>1</v>
      </c>
      <c r="B70" s="13" t="s">
        <v>1505</v>
      </c>
      <c r="C70" s="13">
        <v>2</v>
      </c>
      <c r="D70" s="13">
        <v>2</v>
      </c>
      <c r="E70" s="13">
        <v>2</v>
      </c>
    </row>
    <row r="71" spans="1:5" x14ac:dyDescent="0.3">
      <c r="A71" s="13" t="s">
        <v>1</v>
      </c>
      <c r="B71" s="13" t="s">
        <v>1570</v>
      </c>
      <c r="C71" s="13">
        <v>2</v>
      </c>
      <c r="D71" s="13">
        <v>2</v>
      </c>
      <c r="E71" s="13">
        <v>2</v>
      </c>
    </row>
    <row r="72" spans="1:5" x14ac:dyDescent="0.3">
      <c r="A72" s="13" t="s">
        <v>1</v>
      </c>
      <c r="B72" s="13" t="s">
        <v>1885</v>
      </c>
      <c r="C72" s="13">
        <v>4</v>
      </c>
      <c r="D72" s="13">
        <v>2</v>
      </c>
      <c r="E72" s="13">
        <v>4</v>
      </c>
    </row>
    <row r="73" spans="1:5" x14ac:dyDescent="0.3">
      <c r="A73" s="13" t="s">
        <v>1</v>
      </c>
      <c r="B73" s="13" t="s">
        <v>2093</v>
      </c>
      <c r="C73" s="13">
        <v>9</v>
      </c>
      <c r="D73" s="13">
        <v>2</v>
      </c>
      <c r="E73" s="13">
        <v>11</v>
      </c>
    </row>
    <row r="74" spans="1:5" x14ac:dyDescent="0.3">
      <c r="A74" s="13" t="s">
        <v>1</v>
      </c>
      <c r="B74" s="13" t="s">
        <v>2335</v>
      </c>
      <c r="C74" s="13">
        <v>16</v>
      </c>
      <c r="D74" s="13">
        <v>2</v>
      </c>
      <c r="E74" s="13">
        <v>25</v>
      </c>
    </row>
    <row r="75" spans="1:5" x14ac:dyDescent="0.3">
      <c r="A75" s="13" t="s">
        <v>1</v>
      </c>
      <c r="B75" s="13" t="s">
        <v>155</v>
      </c>
      <c r="C75" s="13">
        <v>2</v>
      </c>
      <c r="D75" s="13">
        <v>2</v>
      </c>
      <c r="E75" s="13">
        <v>2</v>
      </c>
    </row>
    <row r="76" spans="1:5" x14ac:dyDescent="0.3">
      <c r="A76" s="13" t="s">
        <v>1</v>
      </c>
      <c r="B76" s="13" t="s">
        <v>1342</v>
      </c>
      <c r="C76" s="13">
        <v>2</v>
      </c>
      <c r="D76" s="13">
        <v>2</v>
      </c>
      <c r="E76" s="13">
        <v>2</v>
      </c>
    </row>
    <row r="77" spans="1:5" x14ac:dyDescent="0.3">
      <c r="A77" s="13" t="s">
        <v>1</v>
      </c>
      <c r="B77" s="13" t="s">
        <v>563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161</v>
      </c>
      <c r="C78" s="13">
        <v>4</v>
      </c>
      <c r="D78" s="13">
        <v>2</v>
      </c>
      <c r="E78" s="13">
        <v>5</v>
      </c>
    </row>
    <row r="79" spans="1:5" x14ac:dyDescent="0.3">
      <c r="A79" s="13" t="s">
        <v>1</v>
      </c>
      <c r="B79" s="13" t="s">
        <v>513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45</v>
      </c>
      <c r="C80" s="13">
        <v>2</v>
      </c>
      <c r="D80" s="13">
        <v>2</v>
      </c>
      <c r="E80" s="13">
        <v>2</v>
      </c>
    </row>
    <row r="81" spans="1:5" x14ac:dyDescent="0.3">
      <c r="A81" s="13" t="s">
        <v>1</v>
      </c>
      <c r="B81" s="13" t="s">
        <v>1085</v>
      </c>
      <c r="C81" s="13">
        <v>2</v>
      </c>
      <c r="D81" s="13">
        <v>2</v>
      </c>
      <c r="E81" s="13">
        <v>3</v>
      </c>
    </row>
    <row r="82" spans="1:5" x14ac:dyDescent="0.3">
      <c r="A82" s="13" t="s">
        <v>1</v>
      </c>
      <c r="B82" s="13" t="s">
        <v>1677</v>
      </c>
      <c r="C82" s="13">
        <v>2</v>
      </c>
      <c r="D82" s="13">
        <v>2</v>
      </c>
      <c r="E82" s="13">
        <v>2</v>
      </c>
    </row>
    <row r="83" spans="1:5" x14ac:dyDescent="0.3">
      <c r="A83" s="13" t="s">
        <v>1</v>
      </c>
      <c r="B83" s="13" t="s">
        <v>321</v>
      </c>
      <c r="C83" s="13">
        <v>2</v>
      </c>
      <c r="D83" s="13">
        <v>2</v>
      </c>
      <c r="E83" s="13">
        <v>2</v>
      </c>
    </row>
    <row r="84" spans="1:5" x14ac:dyDescent="0.3">
      <c r="A84" s="13" t="s">
        <v>1</v>
      </c>
      <c r="B84" s="13" t="s">
        <v>1038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172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479</v>
      </c>
      <c r="C86" s="13">
        <v>2</v>
      </c>
      <c r="D86" s="13">
        <v>2</v>
      </c>
      <c r="E86" s="13">
        <v>2</v>
      </c>
    </row>
    <row r="87" spans="1:5" x14ac:dyDescent="0.3">
      <c r="A87" s="13" t="s">
        <v>1</v>
      </c>
      <c r="B87" s="13" t="s">
        <v>119</v>
      </c>
      <c r="C87" s="13">
        <v>2</v>
      </c>
      <c r="D87" s="13">
        <v>2</v>
      </c>
      <c r="E87" s="13">
        <v>3</v>
      </c>
    </row>
    <row r="88" spans="1:5" x14ac:dyDescent="0.3">
      <c r="A88" s="13" t="s">
        <v>1</v>
      </c>
      <c r="B88" s="13" t="s">
        <v>196</v>
      </c>
      <c r="C88" s="13">
        <v>2</v>
      </c>
      <c r="D88" s="13">
        <v>2</v>
      </c>
      <c r="E88" s="13">
        <v>2</v>
      </c>
    </row>
    <row r="89" spans="1:5" x14ac:dyDescent="0.3">
      <c r="A89" s="13" t="s">
        <v>1</v>
      </c>
      <c r="B89" s="13" t="s">
        <v>631</v>
      </c>
      <c r="C89" s="13">
        <v>2</v>
      </c>
      <c r="D89" s="13">
        <v>2</v>
      </c>
      <c r="E89" s="13">
        <v>2</v>
      </c>
    </row>
    <row r="90" spans="1:5" x14ac:dyDescent="0.3">
      <c r="A90" s="13" t="s">
        <v>1</v>
      </c>
      <c r="B90" s="13" t="s">
        <v>123</v>
      </c>
      <c r="C90" s="13">
        <v>2</v>
      </c>
      <c r="D90" s="13">
        <v>2</v>
      </c>
      <c r="E90" s="13">
        <v>3</v>
      </c>
    </row>
    <row r="91" spans="1:5" x14ac:dyDescent="0.3">
      <c r="A91" s="13" t="s">
        <v>1</v>
      </c>
      <c r="B91" s="13" t="s">
        <v>575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63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294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2045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1058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197</v>
      </c>
      <c r="C96" s="13">
        <v>2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483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1219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484</v>
      </c>
      <c r="C99" s="13">
        <v>2</v>
      </c>
      <c r="D99" s="13">
        <v>2</v>
      </c>
      <c r="E99" s="13">
        <v>3</v>
      </c>
    </row>
    <row r="100" spans="1:5" x14ac:dyDescent="0.3">
      <c r="A100" s="13" t="s">
        <v>1</v>
      </c>
      <c r="B100" s="13" t="s">
        <v>191</v>
      </c>
      <c r="C100" s="13">
        <v>6</v>
      </c>
      <c r="D100" s="13">
        <v>2</v>
      </c>
      <c r="E100" s="13">
        <v>8</v>
      </c>
    </row>
    <row r="101" spans="1:5" x14ac:dyDescent="0.3">
      <c r="A101" s="13" t="s">
        <v>1</v>
      </c>
      <c r="B101" s="13" t="s">
        <v>67</v>
      </c>
      <c r="C101" s="13">
        <v>3</v>
      </c>
      <c r="D101" s="13">
        <v>2</v>
      </c>
      <c r="E101" s="13">
        <v>3</v>
      </c>
    </row>
    <row r="102" spans="1:5" x14ac:dyDescent="0.3">
      <c r="A102" s="13" t="s">
        <v>1</v>
      </c>
      <c r="B102" s="13" t="s">
        <v>56</v>
      </c>
      <c r="C102" s="13">
        <v>3</v>
      </c>
      <c r="D102" s="13">
        <v>2</v>
      </c>
      <c r="E102" s="13">
        <v>4</v>
      </c>
    </row>
    <row r="103" spans="1:5" x14ac:dyDescent="0.3">
      <c r="A103" s="13" t="s">
        <v>1</v>
      </c>
      <c r="B103" s="13" t="s">
        <v>1177</v>
      </c>
      <c r="C103" s="13">
        <v>2</v>
      </c>
      <c r="D103" s="13">
        <v>2</v>
      </c>
      <c r="E103" s="13"/>
    </row>
    <row r="104" spans="1:5" x14ac:dyDescent="0.3">
      <c r="A104" s="13" t="s">
        <v>1</v>
      </c>
      <c r="B104" s="13" t="s">
        <v>721</v>
      </c>
      <c r="C104" s="13">
        <v>2</v>
      </c>
      <c r="D104" s="13">
        <v>2</v>
      </c>
      <c r="E104" s="13">
        <v>3</v>
      </c>
    </row>
    <row r="105" spans="1:5" x14ac:dyDescent="0.3">
      <c r="A105" s="13" t="s">
        <v>1</v>
      </c>
      <c r="B105" s="13" t="s">
        <v>2337</v>
      </c>
      <c r="C105" s="13">
        <v>2</v>
      </c>
      <c r="D105" s="13">
        <v>2</v>
      </c>
      <c r="E105" s="13"/>
    </row>
    <row r="106" spans="1:5" x14ac:dyDescent="0.3">
      <c r="A106" s="13" t="s">
        <v>0</v>
      </c>
      <c r="B106" s="13" t="s">
        <v>373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0</v>
      </c>
      <c r="B107" s="13" t="s">
        <v>48</v>
      </c>
      <c r="C107" s="13">
        <v>3</v>
      </c>
      <c r="D107" s="13">
        <v>2</v>
      </c>
      <c r="E107" s="13">
        <v>4</v>
      </c>
    </row>
    <row r="108" spans="1:5" x14ac:dyDescent="0.3">
      <c r="A108" s="13" t="s">
        <v>0</v>
      </c>
      <c r="B108" s="13" t="s">
        <v>34</v>
      </c>
      <c r="C108" s="13">
        <v>3</v>
      </c>
      <c r="D108" s="13">
        <v>2</v>
      </c>
      <c r="E108" s="13">
        <v>5</v>
      </c>
    </row>
    <row r="109" spans="1:5" x14ac:dyDescent="0.3">
      <c r="A109" s="13" t="s">
        <v>0</v>
      </c>
      <c r="B109" s="13" t="s">
        <v>148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0</v>
      </c>
      <c r="B110" s="13" t="s">
        <v>87</v>
      </c>
      <c r="C110" s="13">
        <v>2</v>
      </c>
      <c r="D110" s="13">
        <v>2</v>
      </c>
      <c r="E110" s="13">
        <v>3</v>
      </c>
    </row>
    <row r="111" spans="1:5" x14ac:dyDescent="0.3">
      <c r="A111" s="13" t="s">
        <v>0</v>
      </c>
      <c r="B111" s="13" t="s">
        <v>42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0</v>
      </c>
      <c r="B112" s="13" t="s">
        <v>1505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0</v>
      </c>
      <c r="B113" s="13" t="s">
        <v>1663</v>
      </c>
      <c r="C113" s="13">
        <v>3</v>
      </c>
      <c r="D113" s="13">
        <v>2</v>
      </c>
      <c r="E113" s="13">
        <v>3</v>
      </c>
    </row>
    <row r="114" spans="1:5" x14ac:dyDescent="0.3">
      <c r="A114" s="13" t="s">
        <v>0</v>
      </c>
      <c r="B114" s="13" t="s">
        <v>1884</v>
      </c>
      <c r="C114" s="13">
        <v>2</v>
      </c>
      <c r="D114" s="13">
        <v>2</v>
      </c>
      <c r="E114" s="13">
        <v>3</v>
      </c>
    </row>
    <row r="115" spans="1:5" x14ac:dyDescent="0.3">
      <c r="A115" s="13" t="s">
        <v>0</v>
      </c>
      <c r="B115" s="13" t="s">
        <v>2148</v>
      </c>
      <c r="C115" s="13">
        <v>2</v>
      </c>
      <c r="D115" s="13">
        <v>2</v>
      </c>
      <c r="E115" s="13">
        <v>2</v>
      </c>
    </row>
    <row r="116" spans="1:5" x14ac:dyDescent="0.3">
      <c r="A116" s="13" t="s">
        <v>0</v>
      </c>
      <c r="B116" s="13" t="s">
        <v>2179</v>
      </c>
      <c r="C116" s="13">
        <v>3</v>
      </c>
      <c r="D116" s="13">
        <v>2</v>
      </c>
      <c r="E116" s="13">
        <v>4</v>
      </c>
    </row>
    <row r="117" spans="1:5" x14ac:dyDescent="0.3">
      <c r="A117" s="13" t="s">
        <v>0</v>
      </c>
      <c r="B117" s="13" t="s">
        <v>156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0</v>
      </c>
      <c r="B118" s="13" t="s">
        <v>161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0</v>
      </c>
      <c r="B119" s="13" t="s">
        <v>2168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0</v>
      </c>
      <c r="B120" s="13" t="s">
        <v>168</v>
      </c>
      <c r="C120" s="13">
        <v>2</v>
      </c>
      <c r="D120" s="13">
        <v>2</v>
      </c>
      <c r="E120" s="13">
        <v>2</v>
      </c>
    </row>
    <row r="121" spans="1:5" x14ac:dyDescent="0.3">
      <c r="A121" s="13" t="s">
        <v>0</v>
      </c>
      <c r="B121" s="13" t="s">
        <v>51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0</v>
      </c>
      <c r="B122" s="13" t="s">
        <v>45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374</v>
      </c>
      <c r="C123" s="13">
        <v>3</v>
      </c>
      <c r="D123" s="13">
        <v>2</v>
      </c>
      <c r="E123" s="13">
        <v>2</v>
      </c>
    </row>
    <row r="124" spans="1:5" x14ac:dyDescent="0.3">
      <c r="A124" s="13" t="s">
        <v>0</v>
      </c>
      <c r="B124" s="13" t="s">
        <v>120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66</v>
      </c>
      <c r="C125" s="13">
        <v>2</v>
      </c>
      <c r="D125" s="13">
        <v>2</v>
      </c>
      <c r="E125" s="13">
        <v>16</v>
      </c>
    </row>
    <row r="126" spans="1:5" x14ac:dyDescent="0.3">
      <c r="A126" s="13" t="s">
        <v>0</v>
      </c>
      <c r="B126" s="13" t="s">
        <v>67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0</v>
      </c>
      <c r="B127" s="13" t="s">
        <v>39</v>
      </c>
      <c r="C127" s="13">
        <v>2</v>
      </c>
      <c r="D127" s="13">
        <v>2</v>
      </c>
      <c r="E127" s="13">
        <v>4</v>
      </c>
    </row>
    <row r="128" spans="1:5" x14ac:dyDescent="0.3">
      <c r="A128" s="13" t="s">
        <v>0</v>
      </c>
      <c r="B128" s="13" t="s">
        <v>68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2</v>
      </c>
      <c r="B129" s="13" t="s">
        <v>1067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2</v>
      </c>
      <c r="B130" s="13" t="s">
        <v>37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2</v>
      </c>
      <c r="B131" s="13" t="s">
        <v>123</v>
      </c>
      <c r="C131" s="13">
        <v>2</v>
      </c>
      <c r="D131" s="13">
        <v>2</v>
      </c>
      <c r="E131" s="13">
        <v>3</v>
      </c>
    </row>
    <row r="132" spans="1:5" x14ac:dyDescent="0.3">
      <c r="A132" s="13" t="s">
        <v>1</v>
      </c>
      <c r="B132" s="13" t="s">
        <v>473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1350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485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1372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1063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2039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239</v>
      </c>
      <c r="C138" s="13">
        <v>1</v>
      </c>
      <c r="D138" s="13">
        <v>1</v>
      </c>
      <c r="E138" s="13">
        <v>2</v>
      </c>
    </row>
    <row r="139" spans="1:5" x14ac:dyDescent="0.3">
      <c r="A139" s="13" t="s">
        <v>1</v>
      </c>
      <c r="B139" s="13" t="s">
        <v>1156</v>
      </c>
      <c r="C139" s="13">
        <v>2</v>
      </c>
      <c r="D139" s="13">
        <v>1</v>
      </c>
      <c r="E139" s="13">
        <v>2</v>
      </c>
    </row>
    <row r="140" spans="1:5" x14ac:dyDescent="0.3">
      <c r="A140" s="13" t="s">
        <v>1</v>
      </c>
      <c r="B140" s="13" t="s">
        <v>489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583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982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585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588</v>
      </c>
      <c r="C144" s="13">
        <v>2</v>
      </c>
      <c r="D144" s="13">
        <v>1</v>
      </c>
      <c r="E144" s="13">
        <v>2</v>
      </c>
    </row>
    <row r="145" spans="1:5" x14ac:dyDescent="0.3">
      <c r="A145" s="13" t="s">
        <v>1</v>
      </c>
      <c r="B145" s="13" t="s">
        <v>590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73</v>
      </c>
      <c r="C146" s="13">
        <v>3</v>
      </c>
      <c r="D146" s="13">
        <v>1</v>
      </c>
      <c r="E146" s="13">
        <v>3</v>
      </c>
    </row>
    <row r="147" spans="1:5" x14ac:dyDescent="0.3">
      <c r="A147" s="13" t="s">
        <v>1</v>
      </c>
      <c r="B147" s="13" t="s">
        <v>753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58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140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852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1079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74</v>
      </c>
      <c r="C152" s="13">
        <v>1</v>
      </c>
      <c r="D152" s="13">
        <v>1</v>
      </c>
      <c r="E152" s="13">
        <v>2</v>
      </c>
    </row>
    <row r="153" spans="1:5" x14ac:dyDescent="0.3">
      <c r="A153" s="13" t="s">
        <v>1</v>
      </c>
      <c r="B153" s="13" t="s">
        <v>382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206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76</v>
      </c>
      <c r="C155" s="13">
        <v>1</v>
      </c>
      <c r="D155" s="13">
        <v>1</v>
      </c>
      <c r="E155" s="13">
        <v>2</v>
      </c>
    </row>
    <row r="156" spans="1:5" x14ac:dyDescent="0.3">
      <c r="A156" s="13" t="s">
        <v>1</v>
      </c>
      <c r="B156" s="13" t="s">
        <v>1227</v>
      </c>
      <c r="C156" s="13">
        <v>1</v>
      </c>
      <c r="D156" s="13">
        <v>1</v>
      </c>
      <c r="E156" s="13">
        <v>2</v>
      </c>
    </row>
    <row r="157" spans="1:5" x14ac:dyDescent="0.3">
      <c r="A157" s="13" t="s">
        <v>1</v>
      </c>
      <c r="B157" s="13" t="s">
        <v>266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59</v>
      </c>
      <c r="C158" s="13">
        <v>3</v>
      </c>
      <c r="D158" s="13">
        <v>1</v>
      </c>
      <c r="E158" s="13">
        <v>5</v>
      </c>
    </row>
    <row r="159" spans="1:5" x14ac:dyDescent="0.3">
      <c r="A159" s="13" t="s">
        <v>1</v>
      </c>
      <c r="B159" s="13" t="s">
        <v>207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347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983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756</v>
      </c>
      <c r="C162" s="13">
        <v>1</v>
      </c>
      <c r="D162" s="13">
        <v>1</v>
      </c>
      <c r="E162" s="13">
        <v>3</v>
      </c>
    </row>
    <row r="163" spans="1:5" x14ac:dyDescent="0.3">
      <c r="A163" s="13" t="s">
        <v>1</v>
      </c>
      <c r="B163" s="13" t="s">
        <v>79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813</v>
      </c>
      <c r="C164" s="13">
        <v>2</v>
      </c>
      <c r="D164" s="13">
        <v>1</v>
      </c>
      <c r="E164" s="13">
        <v>2</v>
      </c>
    </row>
    <row r="165" spans="1:5" x14ac:dyDescent="0.3">
      <c r="A165" s="13" t="s">
        <v>1</v>
      </c>
      <c r="B165" s="13" t="s">
        <v>1208</v>
      </c>
      <c r="C165" s="13">
        <v>1</v>
      </c>
      <c r="D165" s="13">
        <v>1</v>
      </c>
      <c r="E165" s="13">
        <v>2</v>
      </c>
    </row>
    <row r="166" spans="1:5" x14ac:dyDescent="0.3">
      <c r="A166" s="13" t="s">
        <v>1</v>
      </c>
      <c r="B166" s="13" t="s">
        <v>269</v>
      </c>
      <c r="C166" s="13">
        <v>2</v>
      </c>
      <c r="D166" s="13">
        <v>1</v>
      </c>
      <c r="E166" s="13">
        <v>3</v>
      </c>
    </row>
    <row r="167" spans="1:5" x14ac:dyDescent="0.3">
      <c r="A167" s="13" t="s">
        <v>1</v>
      </c>
      <c r="B167" s="13" t="s">
        <v>40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1180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209</v>
      </c>
      <c r="C169" s="13">
        <v>1</v>
      </c>
      <c r="D169" s="13">
        <v>1</v>
      </c>
      <c r="E169" s="13">
        <v>4</v>
      </c>
    </row>
    <row r="170" spans="1:5" x14ac:dyDescent="0.3">
      <c r="A170" s="13" t="s">
        <v>1</v>
      </c>
      <c r="B170" s="13" t="s">
        <v>81</v>
      </c>
      <c r="C170" s="13">
        <v>2</v>
      </c>
      <c r="D170" s="13">
        <v>1</v>
      </c>
      <c r="E170" s="13">
        <v>2</v>
      </c>
    </row>
    <row r="171" spans="1:5" x14ac:dyDescent="0.3">
      <c r="A171" s="13" t="s">
        <v>1</v>
      </c>
      <c r="B171" s="13" t="s">
        <v>815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270</v>
      </c>
      <c r="C172" s="13">
        <v>3</v>
      </c>
      <c r="D172" s="13">
        <v>1</v>
      </c>
      <c r="E172" s="13">
        <v>3</v>
      </c>
    </row>
    <row r="173" spans="1:5" x14ac:dyDescent="0.3">
      <c r="A173" s="13" t="s">
        <v>1</v>
      </c>
      <c r="B173" s="13" t="s">
        <v>84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1019</v>
      </c>
      <c r="C174" s="13">
        <v>1</v>
      </c>
      <c r="D174" s="13">
        <v>1</v>
      </c>
      <c r="E174" s="13">
        <v>2</v>
      </c>
    </row>
    <row r="175" spans="1:5" x14ac:dyDescent="0.3">
      <c r="A175" s="13" t="s">
        <v>1</v>
      </c>
      <c r="B175" s="13" t="s">
        <v>931</v>
      </c>
      <c r="C175" s="13">
        <v>1</v>
      </c>
      <c r="D175" s="13">
        <v>1</v>
      </c>
      <c r="E175" s="13">
        <v>3</v>
      </c>
    </row>
    <row r="176" spans="1:5" x14ac:dyDescent="0.3">
      <c r="A176" s="13" t="s">
        <v>1</v>
      </c>
      <c r="B176" s="13" t="s">
        <v>881</v>
      </c>
      <c r="C176" s="13">
        <v>3</v>
      </c>
      <c r="D176" s="13">
        <v>1</v>
      </c>
      <c r="E176" s="13">
        <v>3</v>
      </c>
    </row>
    <row r="177" spans="1:5" x14ac:dyDescent="0.3">
      <c r="A177" s="13" t="s">
        <v>1</v>
      </c>
      <c r="B177" s="13" t="s">
        <v>257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86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602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1160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212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1211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88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89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606</v>
      </c>
      <c r="C185" s="13">
        <v>2</v>
      </c>
      <c r="D185" s="13">
        <v>1</v>
      </c>
      <c r="E185" s="13">
        <v>2</v>
      </c>
    </row>
    <row r="186" spans="1:5" x14ac:dyDescent="0.3">
      <c r="A186" s="13" t="s">
        <v>1</v>
      </c>
      <c r="B186" s="13" t="s">
        <v>872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216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424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761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1065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1521</v>
      </c>
      <c r="C191" s="13">
        <v>2</v>
      </c>
      <c r="D191" s="13">
        <v>1</v>
      </c>
      <c r="E191" s="13">
        <v>2</v>
      </c>
    </row>
    <row r="192" spans="1:5" x14ac:dyDescent="0.3">
      <c r="A192" s="13" t="s">
        <v>1</v>
      </c>
      <c r="B192" s="13" t="s">
        <v>1621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1631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1654</v>
      </c>
      <c r="C194" s="13">
        <v>2</v>
      </c>
      <c r="D194" s="13">
        <v>1</v>
      </c>
      <c r="E194" s="13">
        <v>2</v>
      </c>
    </row>
    <row r="195" spans="1:5" x14ac:dyDescent="0.3">
      <c r="A195" s="13" t="s">
        <v>1</v>
      </c>
      <c r="B195" s="13" t="s">
        <v>1696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1852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2338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1884</v>
      </c>
      <c r="C198" s="13">
        <v>2</v>
      </c>
      <c r="D198" s="13">
        <v>1</v>
      </c>
      <c r="E198" s="13">
        <v>2</v>
      </c>
    </row>
    <row r="199" spans="1:5" x14ac:dyDescent="0.3">
      <c r="A199" s="13" t="s">
        <v>1</v>
      </c>
      <c r="B199" s="13" t="s">
        <v>1910</v>
      </c>
      <c r="C199" s="13">
        <v>2</v>
      </c>
      <c r="D199" s="13">
        <v>1</v>
      </c>
      <c r="E199" s="13">
        <v>2</v>
      </c>
    </row>
    <row r="200" spans="1:5" x14ac:dyDescent="0.3">
      <c r="A200" s="13" t="s">
        <v>1</v>
      </c>
      <c r="B200" s="13" t="s">
        <v>1882</v>
      </c>
      <c r="C200" s="13">
        <v>6</v>
      </c>
      <c r="D200" s="13">
        <v>1</v>
      </c>
      <c r="E200" s="13">
        <v>6</v>
      </c>
    </row>
    <row r="201" spans="1:5" x14ac:dyDescent="0.3">
      <c r="A201" s="13" t="s">
        <v>1</v>
      </c>
      <c r="B201" s="13" t="s">
        <v>1969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2149</v>
      </c>
      <c r="C202" s="13">
        <v>2</v>
      </c>
      <c r="D202" s="13">
        <v>1</v>
      </c>
      <c r="E202" s="13">
        <v>2</v>
      </c>
    </row>
    <row r="203" spans="1:5" x14ac:dyDescent="0.3">
      <c r="A203" s="13" t="s">
        <v>1</v>
      </c>
      <c r="B203" s="13" t="s">
        <v>2156</v>
      </c>
      <c r="C203" s="13">
        <v>4</v>
      </c>
      <c r="D203" s="13">
        <v>1</v>
      </c>
      <c r="E203" s="13">
        <v>5</v>
      </c>
    </row>
    <row r="204" spans="1:5" x14ac:dyDescent="0.3">
      <c r="A204" s="13" t="s">
        <v>1</v>
      </c>
      <c r="B204" s="13" t="s">
        <v>2164</v>
      </c>
      <c r="C204" s="13">
        <v>4</v>
      </c>
      <c r="D204" s="13">
        <v>1</v>
      </c>
      <c r="E204" s="13">
        <v>4</v>
      </c>
    </row>
    <row r="205" spans="1:5" x14ac:dyDescent="0.3">
      <c r="A205" s="13" t="s">
        <v>1</v>
      </c>
      <c r="B205" s="13" t="s">
        <v>2179</v>
      </c>
      <c r="C205" s="13">
        <v>4</v>
      </c>
      <c r="D205" s="13">
        <v>1</v>
      </c>
      <c r="E205" s="13">
        <v>5</v>
      </c>
    </row>
    <row r="206" spans="1:5" x14ac:dyDescent="0.3">
      <c r="A206" s="13" t="s">
        <v>1</v>
      </c>
      <c r="B206" s="13" t="s">
        <v>2339</v>
      </c>
      <c r="C206" s="13">
        <v>10</v>
      </c>
      <c r="D206" s="13">
        <v>1</v>
      </c>
      <c r="E206" s="13">
        <v>10</v>
      </c>
    </row>
    <row r="207" spans="1:5" x14ac:dyDescent="0.3">
      <c r="A207" s="13" t="s">
        <v>1</v>
      </c>
      <c r="B207" s="13" t="s">
        <v>1083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1629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506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1104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1780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507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1179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35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1714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1341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274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889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1068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890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98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1034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1523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157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934</v>
      </c>
      <c r="C225" s="13">
        <v>2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1069</v>
      </c>
      <c r="C226" s="13">
        <v>2</v>
      </c>
      <c r="D226" s="13">
        <v>1</v>
      </c>
      <c r="E226" s="13">
        <v>2</v>
      </c>
    </row>
    <row r="227" spans="1:5" x14ac:dyDescent="0.3">
      <c r="A227" s="13" t="s">
        <v>1</v>
      </c>
      <c r="B227" s="13" t="s">
        <v>969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101</v>
      </c>
      <c r="C228" s="13">
        <v>3</v>
      </c>
      <c r="D228" s="13">
        <v>1</v>
      </c>
      <c r="E228" s="13">
        <v>3</v>
      </c>
    </row>
    <row r="229" spans="1:5" x14ac:dyDescent="0.3">
      <c r="A229" s="13" t="s">
        <v>1</v>
      </c>
      <c r="B229" s="13" t="s">
        <v>1128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1327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1311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105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763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163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822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2340</v>
      </c>
      <c r="C236" s="13">
        <v>1</v>
      </c>
      <c r="D236" s="13">
        <v>1</v>
      </c>
      <c r="E236" s="13">
        <v>2</v>
      </c>
    </row>
    <row r="237" spans="1:5" x14ac:dyDescent="0.3">
      <c r="A237" s="13" t="s">
        <v>1</v>
      </c>
      <c r="B237" s="13" t="s">
        <v>1055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1971</v>
      </c>
      <c r="C238" s="13">
        <v>1</v>
      </c>
      <c r="D238" s="13">
        <v>1</v>
      </c>
      <c r="E238" s="13">
        <v>2</v>
      </c>
    </row>
    <row r="239" spans="1:5" x14ac:dyDescent="0.3">
      <c r="A239" s="13" t="s">
        <v>1</v>
      </c>
      <c r="B239" s="13" t="s">
        <v>29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1186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276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1312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616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1519</v>
      </c>
      <c r="C244" s="13">
        <v>1</v>
      </c>
      <c r="D244" s="13">
        <v>1</v>
      </c>
      <c r="E244" s="13">
        <v>2</v>
      </c>
    </row>
    <row r="245" spans="1:5" x14ac:dyDescent="0.3">
      <c r="A245" s="13" t="s">
        <v>1</v>
      </c>
      <c r="B245" s="13" t="s">
        <v>1392</v>
      </c>
      <c r="C245" s="13">
        <v>2</v>
      </c>
      <c r="D245" s="13">
        <v>1</v>
      </c>
      <c r="E245" s="13">
        <v>2</v>
      </c>
    </row>
    <row r="246" spans="1:5" x14ac:dyDescent="0.3">
      <c r="A246" s="13" t="s">
        <v>1</v>
      </c>
      <c r="B246" s="13" t="s">
        <v>50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619</v>
      </c>
      <c r="C247" s="13">
        <v>3</v>
      </c>
      <c r="D247" s="13">
        <v>1</v>
      </c>
      <c r="E247" s="13">
        <v>3</v>
      </c>
    </row>
    <row r="248" spans="1:5" x14ac:dyDescent="0.3">
      <c r="A248" s="13" t="s">
        <v>1</v>
      </c>
      <c r="B248" s="13" t="s">
        <v>109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823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1132</v>
      </c>
      <c r="C250" s="13">
        <v>1</v>
      </c>
      <c r="D250" s="13">
        <v>1</v>
      </c>
      <c r="E250" s="13">
        <v>2</v>
      </c>
    </row>
    <row r="251" spans="1:5" x14ac:dyDescent="0.3">
      <c r="A251" s="13" t="s">
        <v>1</v>
      </c>
      <c r="B251" s="13" t="s">
        <v>472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942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279</v>
      </c>
      <c r="C253" s="13">
        <v>4</v>
      </c>
      <c r="D253" s="13">
        <v>1</v>
      </c>
      <c r="E253" s="13">
        <v>3</v>
      </c>
    </row>
    <row r="254" spans="1:5" x14ac:dyDescent="0.3">
      <c r="A254" s="13" t="s">
        <v>1</v>
      </c>
      <c r="B254" s="13" t="s">
        <v>824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579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1526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943</v>
      </c>
      <c r="C257" s="13">
        <v>1</v>
      </c>
      <c r="D257" s="13">
        <v>1</v>
      </c>
      <c r="E257" s="13">
        <v>2</v>
      </c>
    </row>
    <row r="258" spans="1:5" x14ac:dyDescent="0.3">
      <c r="A258" s="13" t="s">
        <v>1</v>
      </c>
      <c r="B258" s="13" t="s">
        <v>2341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568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1107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317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1460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688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518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113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319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1073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1302</v>
      </c>
      <c r="C268" s="13">
        <v>1</v>
      </c>
      <c r="D268" s="13">
        <v>1</v>
      </c>
      <c r="E268" s="13">
        <v>2</v>
      </c>
    </row>
    <row r="269" spans="1:5" x14ac:dyDescent="0.3">
      <c r="A269" s="13" t="s">
        <v>1</v>
      </c>
      <c r="B269" s="13" t="s">
        <v>692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523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1190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1950</v>
      </c>
      <c r="C272" s="13">
        <v>2</v>
      </c>
      <c r="D272" s="13">
        <v>1</v>
      </c>
      <c r="E272" s="13">
        <v>2</v>
      </c>
    </row>
    <row r="273" spans="1:5" x14ac:dyDescent="0.3">
      <c r="A273" s="13" t="s">
        <v>1</v>
      </c>
      <c r="B273" s="13" t="s">
        <v>525</v>
      </c>
      <c r="C273" s="13">
        <v>1</v>
      </c>
      <c r="D273" s="13">
        <v>1</v>
      </c>
      <c r="E273" s="13">
        <v>2</v>
      </c>
    </row>
    <row r="274" spans="1:5" x14ac:dyDescent="0.3">
      <c r="A274" s="13" t="s">
        <v>1</v>
      </c>
      <c r="B274" s="13" t="s">
        <v>526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1138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1087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1467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115</v>
      </c>
      <c r="C278" s="13">
        <v>2</v>
      </c>
      <c r="D278" s="13">
        <v>1</v>
      </c>
      <c r="E278" s="13">
        <v>2</v>
      </c>
    </row>
    <row r="279" spans="1:5" x14ac:dyDescent="0.3">
      <c r="A279" s="13" t="s">
        <v>1</v>
      </c>
      <c r="B279" s="13" t="s">
        <v>648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628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948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1100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528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173</v>
      </c>
      <c r="C284" s="13">
        <v>2</v>
      </c>
      <c r="D284" s="13">
        <v>1</v>
      </c>
      <c r="E284" s="13">
        <v>3</v>
      </c>
    </row>
    <row r="285" spans="1:5" x14ac:dyDescent="0.3">
      <c r="A285" s="13" t="s">
        <v>1</v>
      </c>
      <c r="B285" s="13" t="s">
        <v>1303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434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698</v>
      </c>
      <c r="C287" s="13">
        <v>1</v>
      </c>
      <c r="D287" s="13">
        <v>1</v>
      </c>
      <c r="E287" s="13">
        <v>2</v>
      </c>
    </row>
    <row r="288" spans="1:5" x14ac:dyDescent="0.3">
      <c r="A288" s="13" t="s">
        <v>1</v>
      </c>
      <c r="B288" s="13" t="s">
        <v>330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331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1323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700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334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2342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801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121</v>
      </c>
      <c r="C295" s="13">
        <v>3</v>
      </c>
      <c r="D295" s="13">
        <v>1</v>
      </c>
      <c r="E295" s="13">
        <v>3</v>
      </c>
    </row>
    <row r="296" spans="1:5" x14ac:dyDescent="0.3">
      <c r="A296" s="13" t="s">
        <v>1</v>
      </c>
      <c r="B296" s="13" t="s">
        <v>661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174</v>
      </c>
      <c r="C297" s="13">
        <v>3</v>
      </c>
      <c r="D297" s="13">
        <v>1</v>
      </c>
      <c r="E297" s="13">
        <v>3</v>
      </c>
    </row>
    <row r="298" spans="1:5" x14ac:dyDescent="0.3">
      <c r="A298" s="13" t="s">
        <v>1</v>
      </c>
      <c r="B298" s="13" t="s">
        <v>1205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751</v>
      </c>
      <c r="C299" s="13">
        <v>2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705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2154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576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410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1676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1275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974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2325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1819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844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2343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412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713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415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537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255</v>
      </c>
      <c r="C315" s="13">
        <v>2</v>
      </c>
      <c r="D315" s="13">
        <v>1</v>
      </c>
      <c r="E315" s="13">
        <v>2</v>
      </c>
    </row>
    <row r="316" spans="1:5" x14ac:dyDescent="0.3">
      <c r="A316" s="13" t="s">
        <v>1</v>
      </c>
      <c r="B316" s="13" t="s">
        <v>416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229</v>
      </c>
      <c r="C317" s="13">
        <v>2</v>
      </c>
      <c r="D317" s="13">
        <v>1</v>
      </c>
      <c r="E317" s="13">
        <v>5</v>
      </c>
    </row>
    <row r="318" spans="1:5" x14ac:dyDescent="0.3">
      <c r="A318" s="13" t="s">
        <v>1</v>
      </c>
      <c r="B318" s="13" t="s">
        <v>538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1424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126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1117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185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131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253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1218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540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295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1348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296</v>
      </c>
      <c r="C329" s="13">
        <v>2</v>
      </c>
      <c r="D329" s="13">
        <v>1</v>
      </c>
      <c r="E329" s="13">
        <v>2</v>
      </c>
    </row>
    <row r="330" spans="1:5" x14ac:dyDescent="0.3">
      <c r="A330" s="13" t="s">
        <v>1</v>
      </c>
      <c r="B330" s="13" t="s">
        <v>53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1103</v>
      </c>
      <c r="C331" s="13">
        <v>2</v>
      </c>
      <c r="D331" s="13">
        <v>1</v>
      </c>
      <c r="E331" s="13">
        <v>3</v>
      </c>
    </row>
    <row r="332" spans="1:5" x14ac:dyDescent="0.3">
      <c r="A332" s="13" t="s">
        <v>1</v>
      </c>
      <c r="B332" s="13" t="s">
        <v>190</v>
      </c>
      <c r="C332" s="13">
        <v>4</v>
      </c>
      <c r="D332" s="13">
        <v>1</v>
      </c>
      <c r="E332" s="13">
        <v>4</v>
      </c>
    </row>
    <row r="333" spans="1:5" x14ac:dyDescent="0.3">
      <c r="A333" s="13" t="s">
        <v>1</v>
      </c>
      <c r="B333" s="13" t="s">
        <v>365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55</v>
      </c>
      <c r="C334" s="13">
        <v>6</v>
      </c>
      <c r="D334" s="13">
        <v>1</v>
      </c>
      <c r="E334" s="13">
        <v>7</v>
      </c>
    </row>
    <row r="335" spans="1:5" x14ac:dyDescent="0.3">
      <c r="A335" s="13" t="s">
        <v>1</v>
      </c>
      <c r="B335" s="13" t="s">
        <v>236</v>
      </c>
      <c r="C335" s="13">
        <v>4</v>
      </c>
      <c r="D335" s="13">
        <v>1</v>
      </c>
      <c r="E335" s="13">
        <v>6</v>
      </c>
    </row>
    <row r="336" spans="1:5" x14ac:dyDescent="0.3">
      <c r="A336" s="13" t="s">
        <v>1</v>
      </c>
      <c r="B336" s="13" t="s">
        <v>1827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1</v>
      </c>
      <c r="B337" s="13" t="s">
        <v>193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1</v>
      </c>
      <c r="B338" s="13" t="s">
        <v>442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1</v>
      </c>
      <c r="B339" s="13" t="s">
        <v>2344</v>
      </c>
      <c r="C339" s="13">
        <v>1</v>
      </c>
      <c r="D339" s="13">
        <v>1</v>
      </c>
      <c r="E339" s="13"/>
    </row>
    <row r="340" spans="1:5" x14ac:dyDescent="0.3">
      <c r="A340" s="13" t="s">
        <v>1</v>
      </c>
      <c r="B340" s="13" t="s">
        <v>869</v>
      </c>
      <c r="C340" s="13">
        <v>1</v>
      </c>
      <c r="D340" s="13">
        <v>1</v>
      </c>
      <c r="E340" s="13"/>
    </row>
    <row r="341" spans="1:5" x14ac:dyDescent="0.3">
      <c r="A341" s="13" t="s">
        <v>1</v>
      </c>
      <c r="B341" s="13" t="s">
        <v>2345</v>
      </c>
      <c r="C341" s="13">
        <v>1</v>
      </c>
      <c r="D341" s="13">
        <v>3</v>
      </c>
      <c r="E341" s="13"/>
    </row>
    <row r="342" spans="1:5" x14ac:dyDescent="0.3">
      <c r="A342" s="13" t="s">
        <v>1</v>
      </c>
      <c r="B342" s="13" t="s">
        <v>749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1</v>
      </c>
      <c r="B343" s="13" t="s">
        <v>2346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1</v>
      </c>
      <c r="B344" s="13" t="s">
        <v>2084</v>
      </c>
      <c r="C344" s="13">
        <v>1</v>
      </c>
      <c r="D344" s="13">
        <v>1</v>
      </c>
      <c r="E344" s="13">
        <v>2</v>
      </c>
    </row>
    <row r="345" spans="1:5" x14ac:dyDescent="0.3">
      <c r="A345" s="13" t="s">
        <v>1</v>
      </c>
      <c r="B345" s="13" t="s">
        <v>1791</v>
      </c>
      <c r="C345" s="13">
        <v>1</v>
      </c>
      <c r="D345" s="13">
        <v>1</v>
      </c>
      <c r="E345" s="13"/>
    </row>
    <row r="346" spans="1:5" x14ac:dyDescent="0.3">
      <c r="A346" s="13" t="s">
        <v>1</v>
      </c>
      <c r="B346" s="13" t="s">
        <v>722</v>
      </c>
      <c r="C346" s="13">
        <v>1</v>
      </c>
      <c r="D346" s="13">
        <v>1</v>
      </c>
      <c r="E346" s="13">
        <v>2</v>
      </c>
    </row>
    <row r="347" spans="1:5" x14ac:dyDescent="0.3">
      <c r="A347" s="13" t="s">
        <v>1</v>
      </c>
      <c r="B347" s="13" t="s">
        <v>2228</v>
      </c>
      <c r="C347" s="13">
        <v>1</v>
      </c>
      <c r="D347" s="13">
        <v>1</v>
      </c>
      <c r="E347" s="13">
        <v>2</v>
      </c>
    </row>
    <row r="348" spans="1:5" x14ac:dyDescent="0.3">
      <c r="A348" s="13" t="s">
        <v>1</v>
      </c>
      <c r="B348" s="13" t="s">
        <v>1954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1</v>
      </c>
      <c r="B349" s="13" t="s">
        <v>2183</v>
      </c>
      <c r="C349" s="13">
        <v>1</v>
      </c>
      <c r="D349" s="13">
        <v>1</v>
      </c>
      <c r="E349" s="13"/>
    </row>
    <row r="350" spans="1:5" x14ac:dyDescent="0.3">
      <c r="A350" s="13" t="s">
        <v>1</v>
      </c>
      <c r="B350" s="13" t="s">
        <v>2347</v>
      </c>
      <c r="C350" s="13">
        <v>1</v>
      </c>
      <c r="D350" s="13">
        <v>1</v>
      </c>
      <c r="E350" s="13">
        <v>2</v>
      </c>
    </row>
    <row r="351" spans="1:5" x14ac:dyDescent="0.3">
      <c r="A351" s="13" t="s">
        <v>1</v>
      </c>
      <c r="B351" s="13" t="s">
        <v>418</v>
      </c>
      <c r="C351" s="13">
        <v>1</v>
      </c>
      <c r="D351" s="13">
        <v>1</v>
      </c>
      <c r="E351" s="13"/>
    </row>
    <row r="352" spans="1:5" x14ac:dyDescent="0.3">
      <c r="A352" s="13" t="s">
        <v>1</v>
      </c>
      <c r="B352" s="13" t="s">
        <v>2348</v>
      </c>
      <c r="C352" s="13">
        <v>10</v>
      </c>
      <c r="D352" s="13">
        <v>1</v>
      </c>
      <c r="E352" s="13">
        <v>20</v>
      </c>
    </row>
    <row r="353" spans="1:5" x14ac:dyDescent="0.3">
      <c r="A353" s="13" t="s">
        <v>1</v>
      </c>
      <c r="B353" s="13" t="s">
        <v>2349</v>
      </c>
      <c r="C353" s="13">
        <v>4</v>
      </c>
      <c r="D353" s="13">
        <v>1</v>
      </c>
      <c r="E353" s="13">
        <v>7</v>
      </c>
    </row>
    <row r="354" spans="1:5" x14ac:dyDescent="0.3">
      <c r="A354" s="13" t="s">
        <v>1</v>
      </c>
      <c r="B354" s="13" t="s">
        <v>2350</v>
      </c>
      <c r="C354" s="13">
        <v>6</v>
      </c>
      <c r="D354" s="13">
        <v>1</v>
      </c>
      <c r="E354" s="13">
        <v>8</v>
      </c>
    </row>
    <row r="355" spans="1:5" x14ac:dyDescent="0.3">
      <c r="A355" s="13" t="s">
        <v>1</v>
      </c>
      <c r="B355" s="13" t="s">
        <v>2351</v>
      </c>
      <c r="C355" s="13">
        <v>5</v>
      </c>
      <c r="D355" s="13">
        <v>1</v>
      </c>
      <c r="E355" s="13">
        <v>9</v>
      </c>
    </row>
    <row r="356" spans="1:5" x14ac:dyDescent="0.3">
      <c r="A356" s="13" t="s">
        <v>1</v>
      </c>
      <c r="B356" s="13" t="s">
        <v>2352</v>
      </c>
      <c r="C356" s="13">
        <v>4</v>
      </c>
      <c r="D356" s="13">
        <v>1</v>
      </c>
      <c r="E356" s="13">
        <v>6</v>
      </c>
    </row>
    <row r="357" spans="1:5" x14ac:dyDescent="0.3">
      <c r="A357" s="13" t="s">
        <v>1</v>
      </c>
      <c r="B357" s="13" t="s">
        <v>2353</v>
      </c>
      <c r="C357" s="13">
        <v>4</v>
      </c>
      <c r="D357" s="13">
        <v>1</v>
      </c>
      <c r="E357" s="13">
        <v>6</v>
      </c>
    </row>
    <row r="358" spans="1:5" x14ac:dyDescent="0.3">
      <c r="A358" s="13" t="s">
        <v>1</v>
      </c>
      <c r="B358" s="13" t="s">
        <v>2354</v>
      </c>
      <c r="C358" s="13">
        <v>6</v>
      </c>
      <c r="D358" s="13">
        <v>1</v>
      </c>
      <c r="E358" s="13">
        <v>9</v>
      </c>
    </row>
    <row r="359" spans="1:5" x14ac:dyDescent="0.3">
      <c r="A359" s="13" t="s">
        <v>1</v>
      </c>
      <c r="B359" s="13" t="s">
        <v>2355</v>
      </c>
      <c r="C359" s="13">
        <v>7</v>
      </c>
      <c r="D359" s="13">
        <v>1</v>
      </c>
      <c r="E359" s="13">
        <v>9</v>
      </c>
    </row>
    <row r="360" spans="1:5" x14ac:dyDescent="0.3">
      <c r="A360" s="13" t="s">
        <v>1</v>
      </c>
      <c r="B360" s="13" t="s">
        <v>1326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419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380</v>
      </c>
      <c r="C362" s="13">
        <v>1</v>
      </c>
      <c r="D362" s="13">
        <v>1</v>
      </c>
      <c r="E362" s="13">
        <v>2</v>
      </c>
    </row>
    <row r="363" spans="1:5" x14ac:dyDescent="0.3">
      <c r="A363" s="13" t="s">
        <v>0</v>
      </c>
      <c r="B363" s="13" t="s">
        <v>1853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588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203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474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78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930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1617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2048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1208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1875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796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211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271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147</v>
      </c>
      <c r="C376" s="13">
        <v>1</v>
      </c>
      <c r="D376" s="13">
        <v>1</v>
      </c>
      <c r="E376" s="13">
        <v>2</v>
      </c>
    </row>
    <row r="377" spans="1:5" x14ac:dyDescent="0.3">
      <c r="A377" s="13" t="s">
        <v>0</v>
      </c>
      <c r="B377" s="13" t="s">
        <v>464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351</v>
      </c>
      <c r="C378" s="13">
        <v>2</v>
      </c>
      <c r="D378" s="13">
        <v>1</v>
      </c>
      <c r="E378" s="13">
        <v>3</v>
      </c>
    </row>
    <row r="379" spans="1:5" x14ac:dyDescent="0.3">
      <c r="A379" s="13" t="s">
        <v>0</v>
      </c>
      <c r="B379" s="13" t="s">
        <v>676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91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41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503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613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653</v>
      </c>
      <c r="C384" s="13">
        <v>1</v>
      </c>
      <c r="D384" s="13">
        <v>1</v>
      </c>
      <c r="E384" s="13">
        <v>2</v>
      </c>
    </row>
    <row r="385" spans="1:5" x14ac:dyDescent="0.3">
      <c r="A385" s="13" t="s">
        <v>0</v>
      </c>
      <c r="B385" s="13" t="s">
        <v>1631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1865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1926</v>
      </c>
      <c r="C387" s="13">
        <v>2</v>
      </c>
      <c r="D387" s="13">
        <v>1</v>
      </c>
      <c r="E387" s="13">
        <v>3</v>
      </c>
    </row>
    <row r="388" spans="1:5" x14ac:dyDescent="0.3">
      <c r="A388" s="13" t="s">
        <v>0</v>
      </c>
      <c r="B388" s="13" t="s">
        <v>1888</v>
      </c>
      <c r="C388" s="13">
        <v>2</v>
      </c>
      <c r="D388" s="13">
        <v>1</v>
      </c>
      <c r="E388" s="13">
        <v>2</v>
      </c>
    </row>
    <row r="389" spans="1:5" x14ac:dyDescent="0.3">
      <c r="A389" s="13" t="s">
        <v>0</v>
      </c>
      <c r="B389" s="13" t="s">
        <v>1881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1988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1883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1960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2138</v>
      </c>
      <c r="C393" s="13">
        <v>2</v>
      </c>
      <c r="D393" s="13">
        <v>1</v>
      </c>
      <c r="E393" s="13">
        <v>2</v>
      </c>
    </row>
    <row r="394" spans="1:5" x14ac:dyDescent="0.3">
      <c r="A394" s="13" t="s">
        <v>0</v>
      </c>
      <c r="B394" s="13" t="s">
        <v>1083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155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388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248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1032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507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35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1714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1890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509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1342</v>
      </c>
      <c r="C404" s="13">
        <v>1</v>
      </c>
      <c r="D404" s="13">
        <v>1</v>
      </c>
      <c r="E404" s="13">
        <v>2</v>
      </c>
    </row>
    <row r="405" spans="1:5" x14ac:dyDescent="0.3">
      <c r="A405" s="13" t="s">
        <v>0</v>
      </c>
      <c r="B405" s="13" t="s">
        <v>97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258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731</v>
      </c>
      <c r="C407" s="13">
        <v>1</v>
      </c>
      <c r="D407" s="13">
        <v>1</v>
      </c>
      <c r="E407" s="13">
        <v>3</v>
      </c>
    </row>
    <row r="408" spans="1:5" x14ac:dyDescent="0.3">
      <c r="A408" s="13" t="s">
        <v>0</v>
      </c>
      <c r="B408" s="13" t="s">
        <v>159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563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392</v>
      </c>
      <c r="C410" s="13">
        <v>2</v>
      </c>
      <c r="D410" s="13">
        <v>1</v>
      </c>
      <c r="E410" s="13">
        <v>2</v>
      </c>
    </row>
    <row r="411" spans="1:5" x14ac:dyDescent="0.3">
      <c r="A411" s="13" t="s">
        <v>0</v>
      </c>
      <c r="B411" s="13" t="s">
        <v>341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310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1094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43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763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2356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429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195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109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167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1021</v>
      </c>
      <c r="C421" s="13">
        <v>1</v>
      </c>
      <c r="D421" s="13">
        <v>1</v>
      </c>
      <c r="E421" s="13">
        <v>2</v>
      </c>
    </row>
    <row r="422" spans="1:5" x14ac:dyDescent="0.3">
      <c r="A422" s="13" t="s">
        <v>0</v>
      </c>
      <c r="B422" s="13" t="s">
        <v>1774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1411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1097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397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44</v>
      </c>
      <c r="C426" s="13">
        <v>1</v>
      </c>
      <c r="D426" s="13">
        <v>1</v>
      </c>
      <c r="E426" s="13">
        <v>2</v>
      </c>
    </row>
    <row r="427" spans="1:5" x14ac:dyDescent="0.3">
      <c r="A427" s="13" t="s">
        <v>0</v>
      </c>
      <c r="B427" s="13" t="s">
        <v>735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317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223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1497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1284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1939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2357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2358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454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525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115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328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172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1139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479</v>
      </c>
      <c r="C441" s="13">
        <v>2</v>
      </c>
      <c r="D441" s="13">
        <v>1</v>
      </c>
      <c r="E441" s="13">
        <v>2</v>
      </c>
    </row>
    <row r="442" spans="1:5" x14ac:dyDescent="0.3">
      <c r="A442" s="13" t="s">
        <v>0</v>
      </c>
      <c r="B442" s="13" t="s">
        <v>1902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2359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62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123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838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175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2360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410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435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178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255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1912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339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438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1826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1144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2361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484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256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2362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0</v>
      </c>
      <c r="B462" s="13" t="s">
        <v>1060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0</v>
      </c>
      <c r="B463" s="13" t="s">
        <v>1790</v>
      </c>
      <c r="C463" s="13">
        <v>1</v>
      </c>
      <c r="D463" s="13">
        <v>1</v>
      </c>
      <c r="E463" s="13">
        <v>3</v>
      </c>
    </row>
    <row r="464" spans="1:5" x14ac:dyDescent="0.3">
      <c r="A464" s="13" t="s">
        <v>0</v>
      </c>
      <c r="B464" s="13" t="s">
        <v>869</v>
      </c>
      <c r="C464" s="13">
        <v>1</v>
      </c>
      <c r="D464" s="13">
        <v>4</v>
      </c>
      <c r="E464" s="13"/>
    </row>
    <row r="465" spans="1:5" x14ac:dyDescent="0.3">
      <c r="A465" s="13" t="s">
        <v>0</v>
      </c>
      <c r="B465" s="13" t="s">
        <v>2363</v>
      </c>
      <c r="C465" s="13">
        <v>1</v>
      </c>
      <c r="D465" s="13">
        <v>2</v>
      </c>
      <c r="E465" s="13"/>
    </row>
    <row r="466" spans="1:5" x14ac:dyDescent="0.3">
      <c r="A466" s="13" t="s">
        <v>0</v>
      </c>
      <c r="B466" s="13" t="s">
        <v>2364</v>
      </c>
      <c r="C466" s="13">
        <v>1</v>
      </c>
      <c r="D466" s="13">
        <v>1</v>
      </c>
      <c r="E466" s="13">
        <v>2</v>
      </c>
    </row>
    <row r="467" spans="1:5" x14ac:dyDescent="0.3">
      <c r="A467" s="13" t="s">
        <v>0</v>
      </c>
      <c r="B467" s="13" t="s">
        <v>963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2</v>
      </c>
      <c r="B468" s="13" t="s">
        <v>151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2</v>
      </c>
      <c r="B469" s="13" t="s">
        <v>60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2</v>
      </c>
      <c r="B470" s="13" t="s">
        <v>314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2</v>
      </c>
      <c r="B471" s="13" t="s">
        <v>196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1</v>
      </c>
      <c r="B472" s="13" t="s">
        <v>924</v>
      </c>
      <c r="C472" s="13">
        <v>1</v>
      </c>
      <c r="D472" s="13">
        <v>0</v>
      </c>
      <c r="E472" s="13">
        <v>1</v>
      </c>
    </row>
    <row r="473" spans="1:5" x14ac:dyDescent="0.3">
      <c r="A473" s="13" t="s">
        <v>1</v>
      </c>
      <c r="B473" s="13" t="s">
        <v>1744</v>
      </c>
      <c r="C473" s="13">
        <v>1</v>
      </c>
      <c r="D473" s="13">
        <v>0</v>
      </c>
      <c r="E473" s="13">
        <v>1</v>
      </c>
    </row>
    <row r="474" spans="1:5" x14ac:dyDescent="0.3">
      <c r="A474" s="13" t="s">
        <v>1</v>
      </c>
      <c r="B474" s="13" t="s">
        <v>199</v>
      </c>
      <c r="C474" s="13">
        <v>3</v>
      </c>
      <c r="D474" s="13">
        <v>0</v>
      </c>
      <c r="E474" s="13">
        <v>3</v>
      </c>
    </row>
    <row r="475" spans="1:5" x14ac:dyDescent="0.3">
      <c r="A475" s="13" t="s">
        <v>1</v>
      </c>
      <c r="B475" s="13" t="s">
        <v>419</v>
      </c>
      <c r="C475" s="13">
        <v>1</v>
      </c>
      <c r="D475" s="13">
        <v>0</v>
      </c>
      <c r="E475" s="13">
        <v>1</v>
      </c>
    </row>
    <row r="476" spans="1:5" x14ac:dyDescent="0.3">
      <c r="A476" s="13" t="s">
        <v>1</v>
      </c>
      <c r="B476" s="13" t="s">
        <v>380</v>
      </c>
      <c r="C476" s="13">
        <v>1</v>
      </c>
      <c r="D476" s="13">
        <v>0</v>
      </c>
      <c r="E476" s="13">
        <v>1</v>
      </c>
    </row>
    <row r="477" spans="1:5" x14ac:dyDescent="0.3">
      <c r="A477" s="13" t="s">
        <v>1</v>
      </c>
      <c r="B477" s="13" t="s">
        <v>444</v>
      </c>
      <c r="C477" s="13">
        <v>1</v>
      </c>
      <c r="D477" s="13">
        <v>0</v>
      </c>
      <c r="E477" s="13">
        <v>1</v>
      </c>
    </row>
    <row r="478" spans="1:5" x14ac:dyDescent="0.3">
      <c r="A478" s="13" t="s">
        <v>1</v>
      </c>
      <c r="B478" s="13" t="s">
        <v>752</v>
      </c>
      <c r="C478" s="13">
        <v>1</v>
      </c>
      <c r="D478" s="13">
        <v>0</v>
      </c>
      <c r="E478" s="13">
        <v>1</v>
      </c>
    </row>
    <row r="479" spans="1:5" x14ac:dyDescent="0.3">
      <c r="A479" s="13" t="s">
        <v>1</v>
      </c>
      <c r="B479" s="13" t="s">
        <v>470</v>
      </c>
      <c r="C479" s="13">
        <v>1</v>
      </c>
      <c r="D479" s="13">
        <v>0</v>
      </c>
      <c r="E479" s="13">
        <v>1</v>
      </c>
    </row>
    <row r="480" spans="1:5" x14ac:dyDescent="0.3">
      <c r="A480" s="13" t="s">
        <v>1</v>
      </c>
      <c r="B480" s="13" t="s">
        <v>71</v>
      </c>
      <c r="C480" s="13">
        <v>1</v>
      </c>
      <c r="D480" s="13">
        <v>0</v>
      </c>
      <c r="E480" s="13">
        <v>1</v>
      </c>
    </row>
    <row r="481" spans="1:5" x14ac:dyDescent="0.3">
      <c r="A481" s="13" t="s">
        <v>1</v>
      </c>
      <c r="B481" s="13" t="s">
        <v>445</v>
      </c>
      <c r="C481" s="13">
        <v>1</v>
      </c>
      <c r="D481" s="13">
        <v>0</v>
      </c>
      <c r="E481" s="13">
        <v>2</v>
      </c>
    </row>
    <row r="482" spans="1:5" x14ac:dyDescent="0.3">
      <c r="A482" s="13" t="s">
        <v>1</v>
      </c>
      <c r="B482" s="13" t="s">
        <v>808</v>
      </c>
      <c r="C482" s="13">
        <v>1</v>
      </c>
      <c r="D482" s="13">
        <v>0</v>
      </c>
      <c r="E482" s="13">
        <v>1</v>
      </c>
    </row>
    <row r="483" spans="1:5" x14ac:dyDescent="0.3">
      <c r="A483" s="13" t="s">
        <v>1</v>
      </c>
      <c r="B483" s="13" t="s">
        <v>446</v>
      </c>
      <c r="C483" s="13">
        <v>1</v>
      </c>
      <c r="D483" s="13">
        <v>0</v>
      </c>
      <c r="E483" s="13">
        <v>1</v>
      </c>
    </row>
    <row r="484" spans="1:5" x14ac:dyDescent="0.3">
      <c r="A484" s="13" t="s">
        <v>1</v>
      </c>
      <c r="B484" s="13" t="s">
        <v>595</v>
      </c>
      <c r="C484" s="13">
        <v>1</v>
      </c>
      <c r="D484" s="13">
        <v>0</v>
      </c>
      <c r="E484" s="13">
        <v>1</v>
      </c>
    </row>
    <row r="485" spans="1:5" x14ac:dyDescent="0.3">
      <c r="A485" s="13" t="s">
        <v>1</v>
      </c>
      <c r="B485" s="13" t="s">
        <v>474</v>
      </c>
      <c r="C485" s="13">
        <v>1</v>
      </c>
      <c r="D485" s="13">
        <v>0</v>
      </c>
      <c r="E485" s="13">
        <v>1</v>
      </c>
    </row>
    <row r="486" spans="1:5" x14ac:dyDescent="0.3">
      <c r="A486" s="13" t="s">
        <v>1</v>
      </c>
      <c r="B486" s="13" t="s">
        <v>243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2073</v>
      </c>
      <c r="C487" s="13">
        <v>1</v>
      </c>
      <c r="D487" s="13">
        <v>0</v>
      </c>
      <c r="E487" s="13">
        <v>1</v>
      </c>
    </row>
    <row r="488" spans="1:5" x14ac:dyDescent="0.3">
      <c r="A488" s="13" t="s">
        <v>1</v>
      </c>
      <c r="B488" s="13" t="s">
        <v>855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796</v>
      </c>
      <c r="C489" s="13">
        <v>1</v>
      </c>
      <c r="D489" s="13">
        <v>0</v>
      </c>
      <c r="E489" s="13">
        <v>1</v>
      </c>
    </row>
    <row r="490" spans="1:5" x14ac:dyDescent="0.3">
      <c r="A490" s="13" t="s">
        <v>1</v>
      </c>
      <c r="B490" s="13" t="s">
        <v>1513</v>
      </c>
      <c r="C490" s="13">
        <v>1</v>
      </c>
      <c r="D490" s="13">
        <v>0</v>
      </c>
      <c r="E490" s="13">
        <v>1</v>
      </c>
    </row>
    <row r="491" spans="1:5" x14ac:dyDescent="0.3">
      <c r="A491" s="13" t="s">
        <v>1</v>
      </c>
      <c r="B491" s="13" t="s">
        <v>210</v>
      </c>
      <c r="C491" s="13">
        <v>1</v>
      </c>
      <c r="D491" s="13">
        <v>0</v>
      </c>
      <c r="E491" s="13">
        <v>1</v>
      </c>
    </row>
    <row r="492" spans="1:5" x14ac:dyDescent="0.3">
      <c r="A492" s="13" t="s">
        <v>1</v>
      </c>
      <c r="B492" s="13" t="s">
        <v>211</v>
      </c>
      <c r="C492" s="13">
        <v>1</v>
      </c>
      <c r="D492" s="13">
        <v>0</v>
      </c>
      <c r="E492" s="13">
        <v>1</v>
      </c>
    </row>
    <row r="493" spans="1:5" x14ac:dyDescent="0.3">
      <c r="A493" s="13" t="s">
        <v>1</v>
      </c>
      <c r="B493" s="13" t="s">
        <v>144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1229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83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501</v>
      </c>
      <c r="C496" s="13">
        <v>2</v>
      </c>
      <c r="D496" s="13">
        <v>0</v>
      </c>
      <c r="E496" s="13">
        <v>2</v>
      </c>
    </row>
    <row r="497" spans="1:5" x14ac:dyDescent="0.3">
      <c r="A497" s="13" t="s">
        <v>1</v>
      </c>
      <c r="B497" s="13" t="s">
        <v>986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1382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385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882</v>
      </c>
      <c r="C500" s="13">
        <v>1</v>
      </c>
      <c r="D500" s="13">
        <v>0</v>
      </c>
      <c r="E500" s="13">
        <v>1</v>
      </c>
    </row>
    <row r="501" spans="1:5" x14ac:dyDescent="0.3">
      <c r="A501" s="13" t="s">
        <v>1</v>
      </c>
      <c r="B501" s="13" t="s">
        <v>305</v>
      </c>
      <c r="C501" s="13">
        <v>2</v>
      </c>
      <c r="D501" s="13">
        <v>0</v>
      </c>
      <c r="E501" s="13">
        <v>4</v>
      </c>
    </row>
    <row r="502" spans="1:5" x14ac:dyDescent="0.3">
      <c r="A502" s="13" t="s">
        <v>1</v>
      </c>
      <c r="B502" s="13" t="s">
        <v>1288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464</v>
      </c>
      <c r="C503" s="13">
        <v>1</v>
      </c>
      <c r="D503" s="13">
        <v>0</v>
      </c>
      <c r="E503" s="13">
        <v>1</v>
      </c>
    </row>
    <row r="504" spans="1:5" x14ac:dyDescent="0.3">
      <c r="A504" s="13" t="s">
        <v>1</v>
      </c>
      <c r="B504" s="13" t="s">
        <v>1978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604</v>
      </c>
      <c r="C505" s="13">
        <v>1</v>
      </c>
      <c r="D505" s="13">
        <v>0</v>
      </c>
      <c r="E505" s="13">
        <v>1</v>
      </c>
    </row>
    <row r="506" spans="1:5" x14ac:dyDescent="0.3">
      <c r="A506" s="13" t="s">
        <v>1</v>
      </c>
      <c r="B506" s="13" t="s">
        <v>991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213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215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608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818</v>
      </c>
      <c r="C510" s="13">
        <v>1</v>
      </c>
      <c r="D510" s="13">
        <v>0</v>
      </c>
      <c r="E510" s="13">
        <v>3</v>
      </c>
    </row>
    <row r="511" spans="1:5" x14ac:dyDescent="0.3">
      <c r="A511" s="13" t="s">
        <v>1</v>
      </c>
      <c r="B511" s="13" t="s">
        <v>91</v>
      </c>
      <c r="C511" s="13">
        <v>3</v>
      </c>
      <c r="D511" s="13">
        <v>0</v>
      </c>
      <c r="E511" s="13">
        <v>3</v>
      </c>
    </row>
    <row r="512" spans="1:5" x14ac:dyDescent="0.3">
      <c r="A512" s="13" t="s">
        <v>1</v>
      </c>
      <c r="B512" s="13" t="s">
        <v>610</v>
      </c>
      <c r="C512" s="13">
        <v>1</v>
      </c>
      <c r="D512" s="13">
        <v>0</v>
      </c>
      <c r="E512" s="13">
        <v>1</v>
      </c>
    </row>
    <row r="513" spans="1:5" x14ac:dyDescent="0.3">
      <c r="A513" s="13" t="s">
        <v>1</v>
      </c>
      <c r="B513" s="13" t="s">
        <v>218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611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449</v>
      </c>
      <c r="C515" s="13">
        <v>2</v>
      </c>
      <c r="D515" s="13">
        <v>0</v>
      </c>
      <c r="E515" s="13">
        <v>2</v>
      </c>
    </row>
    <row r="516" spans="1:5" x14ac:dyDescent="0.3">
      <c r="A516" s="13" t="s">
        <v>1</v>
      </c>
      <c r="B516" s="13" t="s">
        <v>2365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41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152</v>
      </c>
      <c r="C518" s="13">
        <v>3</v>
      </c>
      <c r="D518" s="13">
        <v>0</v>
      </c>
      <c r="E518" s="13">
        <v>5</v>
      </c>
    </row>
    <row r="519" spans="1:5" x14ac:dyDescent="0.3">
      <c r="A519" s="13" t="s">
        <v>1</v>
      </c>
      <c r="B519" s="13" t="s">
        <v>504</v>
      </c>
      <c r="C519" s="13">
        <v>1</v>
      </c>
      <c r="D519" s="13">
        <v>0</v>
      </c>
      <c r="E519" s="13">
        <v>1</v>
      </c>
    </row>
    <row r="520" spans="1:5" x14ac:dyDescent="0.3">
      <c r="A520" s="13" t="s">
        <v>1</v>
      </c>
      <c r="B520" s="13" t="s">
        <v>356</v>
      </c>
      <c r="C520" s="13">
        <v>1</v>
      </c>
      <c r="D520" s="13">
        <v>0</v>
      </c>
      <c r="E520" s="13">
        <v>1</v>
      </c>
    </row>
    <row r="521" spans="1:5" x14ac:dyDescent="0.3">
      <c r="A521" s="13" t="s">
        <v>1</v>
      </c>
      <c r="B521" s="13" t="s">
        <v>153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247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1020</v>
      </c>
      <c r="C523" s="13">
        <v>2</v>
      </c>
      <c r="D523" s="13">
        <v>0</v>
      </c>
      <c r="E523" s="13">
        <v>3</v>
      </c>
    </row>
    <row r="524" spans="1:5" x14ac:dyDescent="0.3">
      <c r="A524" s="13" t="s">
        <v>1</v>
      </c>
      <c r="B524" s="13" t="s">
        <v>888</v>
      </c>
      <c r="C524" s="13">
        <v>2</v>
      </c>
      <c r="D524" s="13">
        <v>0</v>
      </c>
      <c r="E524" s="13">
        <v>4</v>
      </c>
    </row>
    <row r="525" spans="1:5" x14ac:dyDescent="0.3">
      <c r="A525" s="13" t="s">
        <v>1</v>
      </c>
      <c r="B525" s="13" t="s">
        <v>1471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1485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1498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1645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1651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1655</v>
      </c>
      <c r="C530" s="13">
        <v>2</v>
      </c>
      <c r="D530" s="13">
        <v>0</v>
      </c>
      <c r="E530" s="13">
        <v>3</v>
      </c>
    </row>
    <row r="531" spans="1:5" x14ac:dyDescent="0.3">
      <c r="A531" s="13" t="s">
        <v>1</v>
      </c>
      <c r="B531" s="13" t="s">
        <v>1664</v>
      </c>
      <c r="C531" s="13">
        <v>2</v>
      </c>
      <c r="D531" s="13">
        <v>0</v>
      </c>
      <c r="E531" s="13">
        <v>3</v>
      </c>
    </row>
    <row r="532" spans="1:5" x14ac:dyDescent="0.3">
      <c r="A532" s="13" t="s">
        <v>1</v>
      </c>
      <c r="B532" s="13" t="s">
        <v>1669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1833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1834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1866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2366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1887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1886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1918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1968</v>
      </c>
      <c r="C540" s="13">
        <v>0</v>
      </c>
      <c r="D540" s="13">
        <v>1</v>
      </c>
      <c r="E540" s="13"/>
    </row>
    <row r="541" spans="1:5" x14ac:dyDescent="0.3">
      <c r="A541" s="13" t="s">
        <v>1</v>
      </c>
      <c r="B541" s="13" t="s">
        <v>1906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1888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1899</v>
      </c>
      <c r="C543" s="13">
        <v>2</v>
      </c>
      <c r="D543" s="13">
        <v>0</v>
      </c>
      <c r="E543" s="13">
        <v>2</v>
      </c>
    </row>
    <row r="544" spans="1:5" x14ac:dyDescent="0.3">
      <c r="A544" s="13" t="s">
        <v>1</v>
      </c>
      <c r="B544" s="13" t="s">
        <v>2025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1909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1900</v>
      </c>
      <c r="C546" s="13">
        <v>3</v>
      </c>
      <c r="D546" s="13">
        <v>0</v>
      </c>
      <c r="E546" s="13">
        <v>3</v>
      </c>
    </row>
    <row r="547" spans="1:5" x14ac:dyDescent="0.3">
      <c r="A547" s="13" t="s">
        <v>1</v>
      </c>
      <c r="B547" s="13" t="s">
        <v>1883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1960</v>
      </c>
      <c r="C548" s="13">
        <v>3</v>
      </c>
      <c r="D548" s="13">
        <v>0</v>
      </c>
      <c r="E548" s="13">
        <v>3</v>
      </c>
    </row>
    <row r="549" spans="1:5" x14ac:dyDescent="0.3">
      <c r="A549" s="13" t="s">
        <v>1</v>
      </c>
      <c r="B549" s="13" t="s">
        <v>1989</v>
      </c>
      <c r="C549" s="13">
        <v>3</v>
      </c>
      <c r="D549" s="13">
        <v>0</v>
      </c>
      <c r="E549" s="13">
        <v>7</v>
      </c>
    </row>
    <row r="550" spans="1:5" x14ac:dyDescent="0.3">
      <c r="A550" s="13" t="s">
        <v>1</v>
      </c>
      <c r="B550" s="13" t="s">
        <v>2018</v>
      </c>
      <c r="C550" s="13">
        <v>5</v>
      </c>
      <c r="D550" s="13">
        <v>0</v>
      </c>
      <c r="E550" s="13">
        <v>5</v>
      </c>
    </row>
    <row r="551" spans="1:5" x14ac:dyDescent="0.3">
      <c r="A551" s="13" t="s">
        <v>1</v>
      </c>
      <c r="B551" s="13" t="s">
        <v>2069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2148</v>
      </c>
      <c r="C552" s="13">
        <v>3</v>
      </c>
      <c r="D552" s="13">
        <v>0</v>
      </c>
      <c r="E552" s="13">
        <v>3</v>
      </c>
    </row>
    <row r="553" spans="1:5" x14ac:dyDescent="0.3">
      <c r="A553" s="13" t="s">
        <v>1</v>
      </c>
      <c r="B553" s="13" t="s">
        <v>2162</v>
      </c>
      <c r="C553" s="13">
        <v>4</v>
      </c>
      <c r="D553" s="13">
        <v>0</v>
      </c>
      <c r="E553" s="13">
        <v>4</v>
      </c>
    </row>
    <row r="554" spans="1:5" x14ac:dyDescent="0.3">
      <c r="A554" s="13" t="s">
        <v>1</v>
      </c>
      <c r="B554" s="13" t="s">
        <v>2166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2229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505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248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221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1437</v>
      </c>
      <c r="C559" s="13">
        <v>2</v>
      </c>
      <c r="D559" s="13">
        <v>0</v>
      </c>
      <c r="E559" s="13">
        <v>2</v>
      </c>
    </row>
    <row r="560" spans="1:5" x14ac:dyDescent="0.3">
      <c r="A560" s="13" t="s">
        <v>1</v>
      </c>
      <c r="B560" s="13" t="s">
        <v>1032</v>
      </c>
      <c r="C560" s="13">
        <v>1</v>
      </c>
      <c r="D560" s="13">
        <v>0</v>
      </c>
      <c r="E560" s="13">
        <v>2</v>
      </c>
    </row>
    <row r="561" spans="1:5" x14ac:dyDescent="0.3">
      <c r="A561" s="13" t="s">
        <v>1</v>
      </c>
      <c r="B561" s="13" t="s">
        <v>475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476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99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795</v>
      </c>
      <c r="C564" s="13">
        <v>2</v>
      </c>
      <c r="D564" s="13">
        <v>0</v>
      </c>
      <c r="E564" s="13">
        <v>2</v>
      </c>
    </row>
    <row r="565" spans="1:5" x14ac:dyDescent="0.3">
      <c r="A565" s="13" t="s">
        <v>1</v>
      </c>
      <c r="B565" s="13" t="s">
        <v>1176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156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1105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393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1387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1579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1071</v>
      </c>
      <c r="C571" s="13">
        <v>2</v>
      </c>
      <c r="D571" s="13">
        <v>0</v>
      </c>
      <c r="E571" s="13">
        <v>2</v>
      </c>
    </row>
    <row r="572" spans="1:5" x14ac:dyDescent="0.3">
      <c r="A572" s="13" t="s">
        <v>1</v>
      </c>
      <c r="B572" s="13" t="s">
        <v>2367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1525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1801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429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1165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1003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107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1271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2368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1410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862</v>
      </c>
      <c r="C582" s="13">
        <v>1</v>
      </c>
      <c r="D582" s="13">
        <v>0</v>
      </c>
      <c r="E582" s="13">
        <v>6</v>
      </c>
    </row>
    <row r="583" spans="1:5" x14ac:dyDescent="0.3">
      <c r="A583" s="13" t="s">
        <v>1</v>
      </c>
      <c r="B583" s="13" t="s">
        <v>1330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1584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281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2369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1315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315</v>
      </c>
      <c r="C588" s="13">
        <v>2</v>
      </c>
      <c r="D588" s="13">
        <v>0</v>
      </c>
      <c r="E588" s="13">
        <v>2</v>
      </c>
    </row>
    <row r="589" spans="1:5" x14ac:dyDescent="0.3">
      <c r="A589" s="13" t="s">
        <v>1</v>
      </c>
      <c r="B589" s="13" t="s">
        <v>2370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2020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1080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320</v>
      </c>
      <c r="C592" s="13">
        <v>2</v>
      </c>
      <c r="D592" s="13">
        <v>0</v>
      </c>
      <c r="E592" s="13">
        <v>3</v>
      </c>
    </row>
    <row r="593" spans="1:5" x14ac:dyDescent="0.3">
      <c r="A593" s="13" t="s">
        <v>1</v>
      </c>
      <c r="B593" s="13" t="s">
        <v>570</v>
      </c>
      <c r="C593" s="13">
        <v>1</v>
      </c>
      <c r="D593" s="13">
        <v>0</v>
      </c>
      <c r="E593" s="13">
        <v>2</v>
      </c>
    </row>
    <row r="594" spans="1:5" x14ac:dyDescent="0.3">
      <c r="A594" s="13" t="s">
        <v>1</v>
      </c>
      <c r="B594" s="13" t="s">
        <v>1569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833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286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1856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1</v>
      </c>
      <c r="B598" s="13" t="s">
        <v>2371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431</v>
      </c>
      <c r="C599" s="13">
        <v>1</v>
      </c>
      <c r="D599" s="13">
        <v>0</v>
      </c>
      <c r="E599" s="13">
        <v>0</v>
      </c>
    </row>
    <row r="600" spans="1:5" x14ac:dyDescent="0.3">
      <c r="A600" s="13" t="s">
        <v>1</v>
      </c>
      <c r="B600" s="13" t="s">
        <v>359</v>
      </c>
      <c r="C600" s="13">
        <v>1</v>
      </c>
      <c r="D600" s="13">
        <v>0</v>
      </c>
      <c r="E600" s="13">
        <v>0</v>
      </c>
    </row>
    <row r="601" spans="1:5" x14ac:dyDescent="0.3">
      <c r="A601" s="13" t="s">
        <v>1</v>
      </c>
      <c r="B601" s="13" t="s">
        <v>572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695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1008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696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1399</v>
      </c>
      <c r="C605" s="13">
        <v>1</v>
      </c>
      <c r="D605" s="13">
        <v>0</v>
      </c>
      <c r="E605" s="13">
        <v>3</v>
      </c>
    </row>
    <row r="606" spans="1:5" x14ac:dyDescent="0.3">
      <c r="A606" s="13" t="s">
        <v>1</v>
      </c>
      <c r="B606" s="13" t="s">
        <v>1691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626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652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627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918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1</v>
      </c>
      <c r="B611" s="13" t="s">
        <v>2372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837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1244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1</v>
      </c>
      <c r="B614" s="13" t="s">
        <v>252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1</v>
      </c>
      <c r="B615" s="13" t="s">
        <v>775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1</v>
      </c>
      <c r="B616" s="13" t="s">
        <v>2373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1</v>
      </c>
      <c r="B617" s="13" t="s">
        <v>2374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1092</v>
      </c>
      <c r="C618" s="13">
        <v>1</v>
      </c>
      <c r="D618" s="13">
        <v>0</v>
      </c>
      <c r="E618" s="13">
        <v>2</v>
      </c>
    </row>
    <row r="619" spans="1:5" x14ac:dyDescent="0.3">
      <c r="A619" s="13" t="s">
        <v>1</v>
      </c>
      <c r="B619" s="13" t="s">
        <v>662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1</v>
      </c>
      <c r="B620" s="13" t="s">
        <v>1430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1192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1010</v>
      </c>
      <c r="C622" s="14">
        <v>1</v>
      </c>
      <c r="D622" s="14">
        <v>0</v>
      </c>
      <c r="E622" s="14">
        <v>2</v>
      </c>
    </row>
    <row r="623" spans="1:5" x14ac:dyDescent="0.3">
      <c r="A623" s="14" t="s">
        <v>1</v>
      </c>
      <c r="B623" s="14" t="s">
        <v>650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806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1</v>
      </c>
      <c r="B625" s="14" t="s">
        <v>533</v>
      </c>
      <c r="C625" s="14">
        <v>1</v>
      </c>
      <c r="D625" s="14">
        <v>0</v>
      </c>
      <c r="E625" s="14">
        <v>2</v>
      </c>
    </row>
    <row r="626" spans="1:5" x14ac:dyDescent="0.3">
      <c r="A626" s="14" t="s">
        <v>1</v>
      </c>
      <c r="B626" s="14" t="s">
        <v>668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1</v>
      </c>
      <c r="B627" s="14" t="s">
        <v>2195</v>
      </c>
      <c r="C627" s="14">
        <v>1</v>
      </c>
      <c r="D627" s="14">
        <v>0</v>
      </c>
      <c r="E627" s="14">
        <v>1</v>
      </c>
    </row>
    <row r="628" spans="1:5" x14ac:dyDescent="0.3">
      <c r="A628" s="14" t="s">
        <v>1</v>
      </c>
      <c r="B628" s="14" t="s">
        <v>2375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1</v>
      </c>
      <c r="B629" s="14" t="s">
        <v>2376</v>
      </c>
      <c r="C629" s="14">
        <v>1</v>
      </c>
      <c r="D629" s="14">
        <v>0</v>
      </c>
      <c r="E629" s="14">
        <v>1</v>
      </c>
    </row>
    <row r="630" spans="1:5" x14ac:dyDescent="0.3">
      <c r="A630" s="14" t="s">
        <v>1</v>
      </c>
      <c r="B630" s="14" t="s">
        <v>907</v>
      </c>
      <c r="C630" s="14">
        <v>1</v>
      </c>
      <c r="D630" s="14">
        <v>0</v>
      </c>
      <c r="E630" s="14">
        <v>2</v>
      </c>
    </row>
    <row r="631" spans="1:5" x14ac:dyDescent="0.3">
      <c r="A631" s="14" t="s">
        <v>1</v>
      </c>
      <c r="B631" s="14" t="s">
        <v>52</v>
      </c>
      <c r="C631" s="14">
        <v>1</v>
      </c>
      <c r="D631" s="14">
        <v>0</v>
      </c>
      <c r="E631" s="14">
        <v>1</v>
      </c>
    </row>
    <row r="632" spans="1:5" x14ac:dyDescent="0.3">
      <c r="A632" s="14" t="s">
        <v>1</v>
      </c>
      <c r="B632" s="14" t="s">
        <v>1359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1307</v>
      </c>
      <c r="C633" s="14">
        <v>1</v>
      </c>
      <c r="D633" s="14">
        <v>0</v>
      </c>
      <c r="E633" s="14">
        <v>1</v>
      </c>
    </row>
    <row r="634" spans="1:5" x14ac:dyDescent="0.3">
      <c r="A634" s="14" t="s">
        <v>1</v>
      </c>
      <c r="B634" s="14" t="s">
        <v>541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1</v>
      </c>
      <c r="B635" s="14" t="s">
        <v>847</v>
      </c>
      <c r="C635" s="14">
        <v>1</v>
      </c>
      <c r="D635" s="14">
        <v>0</v>
      </c>
      <c r="E635" s="14">
        <v>1</v>
      </c>
    </row>
    <row r="636" spans="1:5" x14ac:dyDescent="0.3">
      <c r="A636" s="14" t="s">
        <v>1</v>
      </c>
      <c r="B636" s="14" t="s">
        <v>1431</v>
      </c>
      <c r="C636" s="14">
        <v>1</v>
      </c>
      <c r="D636" s="14">
        <v>0</v>
      </c>
      <c r="E636" s="14">
        <v>1</v>
      </c>
    </row>
    <row r="637" spans="1:5" x14ac:dyDescent="0.3">
      <c r="A637" s="14" t="s">
        <v>1</v>
      </c>
      <c r="B637" s="14" t="s">
        <v>459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1</v>
      </c>
      <c r="B638" s="14" t="s">
        <v>909</v>
      </c>
      <c r="C638" s="14">
        <v>1</v>
      </c>
      <c r="D638" s="14">
        <v>0</v>
      </c>
      <c r="E638" s="14">
        <v>1</v>
      </c>
    </row>
    <row r="639" spans="1:5" x14ac:dyDescent="0.3">
      <c r="A639" s="14" t="s">
        <v>1</v>
      </c>
      <c r="B639" s="14" t="s">
        <v>784</v>
      </c>
      <c r="C639" s="14">
        <v>1</v>
      </c>
      <c r="D639" s="14">
        <v>0</v>
      </c>
      <c r="E639" s="14">
        <v>1</v>
      </c>
    </row>
    <row r="640" spans="1:5" x14ac:dyDescent="0.3">
      <c r="A640" s="14" t="s">
        <v>1</v>
      </c>
      <c r="B640" s="14" t="s">
        <v>910</v>
      </c>
      <c r="C640" s="14">
        <v>1</v>
      </c>
      <c r="D640" s="14">
        <v>0</v>
      </c>
      <c r="E640" s="14">
        <v>1</v>
      </c>
    </row>
    <row r="641" spans="1:5" x14ac:dyDescent="0.3">
      <c r="A641" s="14" t="s">
        <v>1</v>
      </c>
      <c r="B641" s="14" t="s">
        <v>231</v>
      </c>
      <c r="C641" s="14">
        <v>7</v>
      </c>
      <c r="D641" s="14">
        <v>0</v>
      </c>
      <c r="E641" s="14">
        <v>11</v>
      </c>
    </row>
    <row r="642" spans="1:5" x14ac:dyDescent="0.3">
      <c r="A642" s="14" t="s">
        <v>1</v>
      </c>
      <c r="B642" s="14" t="s">
        <v>370</v>
      </c>
      <c r="C642" s="14">
        <v>1</v>
      </c>
      <c r="D642" s="14">
        <v>0</v>
      </c>
      <c r="E642" s="14">
        <v>1</v>
      </c>
    </row>
    <row r="643" spans="1:5" x14ac:dyDescent="0.3">
      <c r="A643" s="14" t="s">
        <v>1</v>
      </c>
      <c r="B643" s="14" t="s">
        <v>232</v>
      </c>
      <c r="C643" s="14">
        <v>6</v>
      </c>
      <c r="D643" s="14">
        <v>0</v>
      </c>
      <c r="E643" s="14">
        <v>13</v>
      </c>
    </row>
    <row r="644" spans="1:5" x14ac:dyDescent="0.3">
      <c r="A644" s="14" t="s">
        <v>1</v>
      </c>
      <c r="B644" s="14" t="s">
        <v>460</v>
      </c>
      <c r="C644" s="14">
        <v>2</v>
      </c>
      <c r="D644" s="14">
        <v>0</v>
      </c>
      <c r="E644" s="14">
        <v>2</v>
      </c>
    </row>
    <row r="645" spans="1:5" x14ac:dyDescent="0.3">
      <c r="A645" s="14" t="s">
        <v>1</v>
      </c>
      <c r="B645" s="14" t="s">
        <v>192</v>
      </c>
      <c r="C645" s="14">
        <v>13</v>
      </c>
      <c r="D645" s="14">
        <v>0</v>
      </c>
      <c r="E645" s="14">
        <v>24</v>
      </c>
    </row>
    <row r="646" spans="1:5" x14ac:dyDescent="0.3">
      <c r="A646" s="14" t="s">
        <v>1</v>
      </c>
      <c r="B646" s="14" t="s">
        <v>54</v>
      </c>
      <c r="C646" s="14">
        <v>3</v>
      </c>
      <c r="D646" s="14">
        <v>0</v>
      </c>
      <c r="E646" s="14">
        <v>4</v>
      </c>
    </row>
    <row r="647" spans="1:5" x14ac:dyDescent="0.3">
      <c r="A647" s="14" t="s">
        <v>1</v>
      </c>
      <c r="B647" s="14" t="s">
        <v>234</v>
      </c>
      <c r="C647" s="14">
        <v>6</v>
      </c>
      <c r="D647" s="14">
        <v>0</v>
      </c>
      <c r="E647" s="14">
        <v>8</v>
      </c>
    </row>
    <row r="648" spans="1:5" x14ac:dyDescent="0.3">
      <c r="A648" s="14" t="s">
        <v>1</v>
      </c>
      <c r="B648" s="14" t="s">
        <v>235</v>
      </c>
      <c r="C648" s="14">
        <v>6</v>
      </c>
      <c r="D648" s="14">
        <v>0</v>
      </c>
      <c r="E648" s="14">
        <v>8</v>
      </c>
    </row>
    <row r="649" spans="1:5" x14ac:dyDescent="0.3">
      <c r="A649" s="14" t="s">
        <v>1</v>
      </c>
      <c r="B649" s="14" t="s">
        <v>639</v>
      </c>
      <c r="C649" s="14">
        <v>2</v>
      </c>
      <c r="D649" s="14">
        <v>0</v>
      </c>
      <c r="E649" s="14">
        <v>2</v>
      </c>
    </row>
    <row r="650" spans="1:5" x14ac:dyDescent="0.3">
      <c r="A650" s="14" t="s">
        <v>1</v>
      </c>
      <c r="B650" s="14" t="s">
        <v>640</v>
      </c>
      <c r="C650" s="14">
        <v>2</v>
      </c>
      <c r="D650" s="14">
        <v>0</v>
      </c>
      <c r="E650" s="14">
        <v>2</v>
      </c>
    </row>
    <row r="651" spans="1:5" x14ac:dyDescent="0.3">
      <c r="A651" s="14" t="s">
        <v>1</v>
      </c>
      <c r="B651" s="14" t="s">
        <v>371</v>
      </c>
      <c r="C651" s="14">
        <v>3</v>
      </c>
      <c r="D651" s="14">
        <v>0</v>
      </c>
      <c r="E651" s="14">
        <v>3</v>
      </c>
    </row>
    <row r="652" spans="1:5" x14ac:dyDescent="0.3">
      <c r="A652" s="14" t="s">
        <v>1</v>
      </c>
      <c r="B652" s="14" t="s">
        <v>366</v>
      </c>
      <c r="C652" s="14">
        <v>6</v>
      </c>
      <c r="D652" s="14">
        <v>0</v>
      </c>
      <c r="E652" s="14">
        <v>12</v>
      </c>
    </row>
    <row r="653" spans="1:5" x14ac:dyDescent="0.3">
      <c r="A653" s="14" t="s">
        <v>1</v>
      </c>
      <c r="B653" s="14" t="s">
        <v>461</v>
      </c>
      <c r="C653" s="14">
        <v>6</v>
      </c>
      <c r="D653" s="14">
        <v>0</v>
      </c>
      <c r="E653" s="14">
        <v>7</v>
      </c>
    </row>
    <row r="654" spans="1:5" x14ac:dyDescent="0.3">
      <c r="A654" s="14" t="s">
        <v>1</v>
      </c>
      <c r="B654" s="14" t="s">
        <v>1196</v>
      </c>
      <c r="C654" s="14">
        <v>1</v>
      </c>
      <c r="D654" s="14">
        <v>0</v>
      </c>
      <c r="E654" s="14">
        <v>3</v>
      </c>
    </row>
    <row r="655" spans="1:5" x14ac:dyDescent="0.3">
      <c r="A655" s="14" t="s">
        <v>1</v>
      </c>
      <c r="B655" s="14" t="s">
        <v>2377</v>
      </c>
      <c r="C655" s="14">
        <v>1</v>
      </c>
      <c r="D655" s="14">
        <v>0</v>
      </c>
      <c r="E655" s="14">
        <v>1</v>
      </c>
    </row>
    <row r="656" spans="1:5" x14ac:dyDescent="0.3">
      <c r="A656" s="14" t="s">
        <v>1</v>
      </c>
      <c r="B656" s="14" t="s">
        <v>1340</v>
      </c>
      <c r="C656" s="14">
        <v>1</v>
      </c>
      <c r="D656" s="14">
        <v>0</v>
      </c>
      <c r="E656" s="14">
        <v>1</v>
      </c>
    </row>
    <row r="657" spans="1:5" x14ac:dyDescent="0.3">
      <c r="A657" s="14" t="s">
        <v>1</v>
      </c>
      <c r="B657" s="14" t="s">
        <v>1943</v>
      </c>
      <c r="C657" s="14">
        <v>1</v>
      </c>
      <c r="D657" s="14">
        <v>0</v>
      </c>
      <c r="E657" s="14">
        <v>1</v>
      </c>
    </row>
    <row r="658" spans="1:5" x14ac:dyDescent="0.3">
      <c r="A658" s="14" t="s">
        <v>1</v>
      </c>
      <c r="B658" s="14" t="s">
        <v>259</v>
      </c>
      <c r="C658" s="14">
        <v>2</v>
      </c>
      <c r="D658" s="14">
        <v>0</v>
      </c>
      <c r="E658" s="14">
        <v>5</v>
      </c>
    </row>
    <row r="659" spans="1:5" x14ac:dyDescent="0.3">
      <c r="A659" s="14" t="s">
        <v>1</v>
      </c>
      <c r="B659" s="14" t="s">
        <v>1554</v>
      </c>
      <c r="C659" s="14">
        <v>0</v>
      </c>
      <c r="D659" s="14">
        <v>1</v>
      </c>
    </row>
    <row r="660" spans="1:5" x14ac:dyDescent="0.3">
      <c r="A660" s="14" t="s">
        <v>1</v>
      </c>
      <c r="B660" s="14" t="s">
        <v>2378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1</v>
      </c>
      <c r="B661" s="14" t="s">
        <v>548</v>
      </c>
      <c r="C661" s="14">
        <v>0</v>
      </c>
      <c r="D661" s="14">
        <v>2</v>
      </c>
    </row>
    <row r="662" spans="1:5" x14ac:dyDescent="0.3">
      <c r="A662" s="14" t="s">
        <v>1</v>
      </c>
      <c r="B662" s="14" t="s">
        <v>787</v>
      </c>
      <c r="C662" s="14">
        <v>1</v>
      </c>
      <c r="D662" s="14">
        <v>0</v>
      </c>
      <c r="E662" s="14">
        <v>2</v>
      </c>
    </row>
    <row r="663" spans="1:5" x14ac:dyDescent="0.3">
      <c r="A663" s="14" t="s">
        <v>1</v>
      </c>
      <c r="B663" s="14" t="s">
        <v>725</v>
      </c>
      <c r="C663" s="14">
        <v>0</v>
      </c>
      <c r="D663" s="14">
        <v>2</v>
      </c>
    </row>
    <row r="664" spans="1:5" x14ac:dyDescent="0.3">
      <c r="A664" s="14" t="s">
        <v>1</v>
      </c>
      <c r="B664" s="14" t="s">
        <v>1221</v>
      </c>
      <c r="C664" s="14">
        <v>0</v>
      </c>
      <c r="D664" s="14">
        <v>1</v>
      </c>
    </row>
    <row r="665" spans="1:5" x14ac:dyDescent="0.3">
      <c r="A665" s="14" t="s">
        <v>1</v>
      </c>
      <c r="B665" s="14" t="s">
        <v>68</v>
      </c>
      <c r="C665" s="14">
        <v>1</v>
      </c>
      <c r="D665" s="14">
        <v>0</v>
      </c>
      <c r="E665" s="14">
        <v>2</v>
      </c>
    </row>
    <row r="666" spans="1:5" x14ac:dyDescent="0.3">
      <c r="A666" s="14" t="s">
        <v>0</v>
      </c>
      <c r="B666" s="14" t="s">
        <v>851</v>
      </c>
      <c r="C666" s="14">
        <v>1</v>
      </c>
      <c r="D666" s="14">
        <v>0</v>
      </c>
      <c r="E666" s="14">
        <v>1</v>
      </c>
    </row>
    <row r="667" spans="1:5" x14ac:dyDescent="0.3">
      <c r="A667" s="14" t="s">
        <v>0</v>
      </c>
      <c r="B667" s="14" t="s">
        <v>1018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0</v>
      </c>
      <c r="B668" s="14" t="s">
        <v>73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0</v>
      </c>
      <c r="B669" s="14" t="s">
        <v>854</v>
      </c>
      <c r="C669" s="14">
        <v>1</v>
      </c>
      <c r="D669" s="14">
        <v>0</v>
      </c>
      <c r="E669" s="14">
        <v>1</v>
      </c>
    </row>
    <row r="670" spans="1:5" x14ac:dyDescent="0.3">
      <c r="A670" s="14" t="s">
        <v>0</v>
      </c>
      <c r="B670" s="14" t="s">
        <v>1288</v>
      </c>
      <c r="C670" s="14">
        <v>1</v>
      </c>
      <c r="D670" s="14">
        <v>0</v>
      </c>
      <c r="E670" s="14">
        <v>1</v>
      </c>
    </row>
    <row r="671" spans="1:5" x14ac:dyDescent="0.3">
      <c r="A671" s="14" t="s">
        <v>0</v>
      </c>
      <c r="B671" s="14" t="s">
        <v>1184</v>
      </c>
      <c r="C671" s="14">
        <v>1</v>
      </c>
      <c r="D671" s="14">
        <v>0</v>
      </c>
      <c r="E671" s="14">
        <v>1</v>
      </c>
    </row>
    <row r="672" spans="1:5" x14ac:dyDescent="0.3">
      <c r="A672" s="14" t="s">
        <v>0</v>
      </c>
      <c r="B672" s="14" t="s">
        <v>424</v>
      </c>
      <c r="C672" s="14">
        <v>1</v>
      </c>
      <c r="D672" s="14">
        <v>0</v>
      </c>
      <c r="E672" s="14">
        <v>1</v>
      </c>
    </row>
    <row r="673" spans="1:5" x14ac:dyDescent="0.3">
      <c r="A673" s="14" t="s">
        <v>0</v>
      </c>
      <c r="B673" s="14" t="s">
        <v>152</v>
      </c>
      <c r="C673" s="14">
        <v>1</v>
      </c>
      <c r="D673" s="14">
        <v>0</v>
      </c>
      <c r="E673" s="14">
        <v>1</v>
      </c>
    </row>
    <row r="674" spans="1:5" x14ac:dyDescent="0.3">
      <c r="A674" s="14" t="s">
        <v>0</v>
      </c>
      <c r="B674" s="14" t="s">
        <v>1473</v>
      </c>
      <c r="C674" s="14">
        <v>1</v>
      </c>
      <c r="D674" s="14">
        <v>0</v>
      </c>
      <c r="E674" s="14">
        <v>1</v>
      </c>
    </row>
    <row r="675" spans="1:5" x14ac:dyDescent="0.3">
      <c r="A675" s="14" t="s">
        <v>0</v>
      </c>
      <c r="B675" s="14" t="s">
        <v>1908</v>
      </c>
      <c r="C675" s="14">
        <v>1</v>
      </c>
      <c r="D675" s="14">
        <v>0</v>
      </c>
      <c r="E675" s="14">
        <v>1</v>
      </c>
    </row>
    <row r="676" spans="1:5" x14ac:dyDescent="0.3">
      <c r="A676" s="14" t="s">
        <v>0</v>
      </c>
      <c r="B676" s="14" t="s">
        <v>1909</v>
      </c>
      <c r="C676" s="14">
        <v>1</v>
      </c>
      <c r="D676" s="14">
        <v>0</v>
      </c>
      <c r="E676" s="14">
        <v>1</v>
      </c>
    </row>
    <row r="677" spans="1:5" x14ac:dyDescent="0.3">
      <c r="A677" s="14" t="s">
        <v>0</v>
      </c>
      <c r="B677" s="14" t="s">
        <v>1900</v>
      </c>
      <c r="C677" s="14">
        <v>1</v>
      </c>
      <c r="D677" s="14">
        <v>0</v>
      </c>
      <c r="E677" s="14">
        <v>1</v>
      </c>
    </row>
    <row r="678" spans="1:5" x14ac:dyDescent="0.3">
      <c r="A678" s="14" t="s">
        <v>0</v>
      </c>
      <c r="B678" s="14" t="s">
        <v>1882</v>
      </c>
      <c r="C678" s="14">
        <v>1</v>
      </c>
      <c r="D678" s="14">
        <v>0</v>
      </c>
      <c r="E678" s="14">
        <v>2</v>
      </c>
    </row>
    <row r="679" spans="1:5" x14ac:dyDescent="0.3">
      <c r="A679" s="14" t="s">
        <v>0</v>
      </c>
      <c r="B679" s="14" t="s">
        <v>2162</v>
      </c>
      <c r="C679" s="14">
        <v>1</v>
      </c>
      <c r="D679" s="14">
        <v>0</v>
      </c>
      <c r="E679" s="14">
        <v>3</v>
      </c>
    </row>
    <row r="680" spans="1:5" x14ac:dyDescent="0.3">
      <c r="A680" s="14" t="s">
        <v>0</v>
      </c>
      <c r="B680" s="14" t="s">
        <v>2229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0</v>
      </c>
      <c r="B681" s="14" t="s">
        <v>2131</v>
      </c>
      <c r="C681" s="14">
        <v>1</v>
      </c>
      <c r="D681" s="14">
        <v>0</v>
      </c>
      <c r="E681" s="14">
        <v>1</v>
      </c>
    </row>
    <row r="682" spans="1:5" x14ac:dyDescent="0.3">
      <c r="A682" s="14" t="s">
        <v>0</v>
      </c>
      <c r="B682" s="14" t="s">
        <v>1176</v>
      </c>
      <c r="C682" s="14">
        <v>1</v>
      </c>
      <c r="D682" s="14">
        <v>0</v>
      </c>
      <c r="E682" s="14">
        <v>1</v>
      </c>
    </row>
    <row r="683" spans="1:5" x14ac:dyDescent="0.3">
      <c r="A683" s="14" t="s">
        <v>0</v>
      </c>
      <c r="B683" s="14" t="s">
        <v>101</v>
      </c>
      <c r="C683" s="14">
        <v>1</v>
      </c>
      <c r="D683" s="14">
        <v>0</v>
      </c>
      <c r="E683" s="14">
        <v>1</v>
      </c>
    </row>
    <row r="684" spans="1:5" x14ac:dyDescent="0.3">
      <c r="A684" s="14" t="s">
        <v>0</v>
      </c>
      <c r="B684" s="14" t="s">
        <v>163</v>
      </c>
      <c r="C684" s="14">
        <v>1</v>
      </c>
      <c r="D684" s="14">
        <v>0</v>
      </c>
      <c r="E684" s="14">
        <v>1</v>
      </c>
    </row>
    <row r="685" spans="1:5" x14ac:dyDescent="0.3">
      <c r="A685" s="14" t="s">
        <v>0</v>
      </c>
      <c r="B685" s="14" t="s">
        <v>1186</v>
      </c>
      <c r="C685" s="14">
        <v>1</v>
      </c>
      <c r="D685" s="14">
        <v>0</v>
      </c>
      <c r="E685" s="14">
        <v>1</v>
      </c>
    </row>
    <row r="686" spans="1:5" x14ac:dyDescent="0.3">
      <c r="A686" s="14" t="s">
        <v>0</v>
      </c>
      <c r="B686" s="14" t="s">
        <v>1114</v>
      </c>
      <c r="C686" s="14">
        <v>1</v>
      </c>
      <c r="D686" s="14">
        <v>0</v>
      </c>
      <c r="E686" s="14">
        <v>1</v>
      </c>
    </row>
    <row r="687" spans="1:5" x14ac:dyDescent="0.3">
      <c r="A687" s="14" t="s">
        <v>0</v>
      </c>
      <c r="B687" s="14" t="s">
        <v>516</v>
      </c>
      <c r="C687" s="14">
        <v>1</v>
      </c>
      <c r="D687" s="14">
        <v>0</v>
      </c>
      <c r="E687" s="14">
        <v>1</v>
      </c>
    </row>
    <row r="688" spans="1:5" x14ac:dyDescent="0.3">
      <c r="A688" s="14" t="s">
        <v>0</v>
      </c>
      <c r="B688" s="14" t="s">
        <v>2379</v>
      </c>
      <c r="C688" s="14">
        <v>1</v>
      </c>
      <c r="D688" s="14">
        <v>0</v>
      </c>
      <c r="E688" s="14">
        <v>1</v>
      </c>
    </row>
    <row r="689" spans="1:5" x14ac:dyDescent="0.3">
      <c r="A689" s="14" t="s">
        <v>0</v>
      </c>
      <c r="B689" s="14" t="s">
        <v>1569</v>
      </c>
      <c r="C689" s="14">
        <v>1</v>
      </c>
      <c r="D689" s="14">
        <v>0</v>
      </c>
      <c r="E689" s="14">
        <v>2</v>
      </c>
    </row>
    <row r="690" spans="1:5" x14ac:dyDescent="0.3">
      <c r="A690" s="14" t="s">
        <v>0</v>
      </c>
      <c r="B690" s="14" t="s">
        <v>2213</v>
      </c>
      <c r="C690" s="14">
        <v>1</v>
      </c>
      <c r="D690" s="14">
        <v>0</v>
      </c>
      <c r="E690" s="14">
        <v>1</v>
      </c>
    </row>
    <row r="691" spans="1:5" x14ac:dyDescent="0.3">
      <c r="A691" s="14" t="s">
        <v>0</v>
      </c>
      <c r="B691" s="14" t="s">
        <v>1037</v>
      </c>
      <c r="C691" s="14">
        <v>1</v>
      </c>
      <c r="D691" s="14">
        <v>0</v>
      </c>
      <c r="E691" s="14">
        <v>1</v>
      </c>
    </row>
    <row r="692" spans="1:5" x14ac:dyDescent="0.3">
      <c r="A692" s="14" t="s">
        <v>0</v>
      </c>
      <c r="B692" s="14" t="s">
        <v>2380</v>
      </c>
      <c r="C692" s="14">
        <v>1</v>
      </c>
      <c r="D692" s="14">
        <v>0</v>
      </c>
      <c r="E692" s="14">
        <v>2</v>
      </c>
    </row>
    <row r="693" spans="1:5" x14ac:dyDescent="0.3">
      <c r="A693" s="14" t="s">
        <v>0</v>
      </c>
      <c r="B693" s="14" t="s">
        <v>1349</v>
      </c>
      <c r="C693" s="14">
        <v>1</v>
      </c>
      <c r="D693" s="14">
        <v>0</v>
      </c>
      <c r="E693" s="14">
        <v>1</v>
      </c>
    </row>
    <row r="694" spans="1:5" x14ac:dyDescent="0.3">
      <c r="A694" s="14" t="s">
        <v>0</v>
      </c>
      <c r="B694" s="14" t="s">
        <v>191</v>
      </c>
      <c r="C694" s="14">
        <v>3</v>
      </c>
      <c r="D694" s="14">
        <v>0</v>
      </c>
      <c r="E694" s="14">
        <v>4</v>
      </c>
    </row>
    <row r="695" spans="1:5" x14ac:dyDescent="0.3">
      <c r="A695" s="14" t="s">
        <v>0</v>
      </c>
      <c r="B695" s="14" t="s">
        <v>461</v>
      </c>
      <c r="C695" s="14">
        <v>1</v>
      </c>
      <c r="D695" s="14">
        <v>0</v>
      </c>
      <c r="E695" s="14">
        <v>4</v>
      </c>
    </row>
    <row r="696" spans="1:5" x14ac:dyDescent="0.3">
      <c r="A696" s="14" t="s">
        <v>0</v>
      </c>
      <c r="B696" s="14" t="s">
        <v>135</v>
      </c>
      <c r="C696" s="14">
        <v>1</v>
      </c>
      <c r="D696" s="14">
        <v>0</v>
      </c>
      <c r="E696" s="14">
        <v>1</v>
      </c>
    </row>
    <row r="697" spans="1:5" x14ac:dyDescent="0.3">
      <c r="A697" s="14" t="s">
        <v>0</v>
      </c>
      <c r="B697" s="14" t="s">
        <v>1441</v>
      </c>
      <c r="C697" s="14">
        <v>1</v>
      </c>
      <c r="D697" s="14">
        <v>0</v>
      </c>
      <c r="E697" s="14">
        <v>2</v>
      </c>
    </row>
    <row r="698" spans="1:5" x14ac:dyDescent="0.3">
      <c r="A698" s="14" t="s">
        <v>0</v>
      </c>
      <c r="B698" s="14" t="s">
        <v>2348</v>
      </c>
      <c r="C698" s="14">
        <v>2</v>
      </c>
      <c r="D698" s="14">
        <v>0</v>
      </c>
      <c r="E698" s="14">
        <v>7</v>
      </c>
    </row>
    <row r="699" spans="1:5" x14ac:dyDescent="0.3">
      <c r="A699" s="14" t="s">
        <v>0</v>
      </c>
      <c r="B699" s="14" t="s">
        <v>2349</v>
      </c>
      <c r="C699" s="14">
        <v>2</v>
      </c>
      <c r="D699" s="14">
        <v>0</v>
      </c>
      <c r="E699" s="14">
        <v>5</v>
      </c>
    </row>
    <row r="700" spans="1:5" x14ac:dyDescent="0.3">
      <c r="A700" s="14" t="s">
        <v>0</v>
      </c>
      <c r="B700" s="14" t="s">
        <v>2350</v>
      </c>
      <c r="C700" s="14">
        <v>3</v>
      </c>
      <c r="D700" s="14">
        <v>0</v>
      </c>
      <c r="E700" s="14">
        <v>5</v>
      </c>
    </row>
    <row r="701" spans="1:5" x14ac:dyDescent="0.3">
      <c r="A701" s="14" t="s">
        <v>0</v>
      </c>
      <c r="B701" s="14" t="s">
        <v>2351</v>
      </c>
      <c r="C701" s="14">
        <v>3</v>
      </c>
      <c r="D701" s="14">
        <v>0</v>
      </c>
      <c r="E701" s="14">
        <v>9</v>
      </c>
    </row>
    <row r="702" spans="1:5" x14ac:dyDescent="0.3">
      <c r="A702" s="14" t="s">
        <v>0</v>
      </c>
      <c r="B702" s="14" t="s">
        <v>2352</v>
      </c>
      <c r="C702" s="14">
        <v>1</v>
      </c>
      <c r="D702" s="14">
        <v>0</v>
      </c>
      <c r="E702" s="14">
        <v>3</v>
      </c>
    </row>
    <row r="703" spans="1:5" x14ac:dyDescent="0.3">
      <c r="A703" s="14" t="s">
        <v>0</v>
      </c>
      <c r="B703" s="14" t="s">
        <v>2353</v>
      </c>
      <c r="C703" s="14">
        <v>2</v>
      </c>
      <c r="D703" s="14">
        <v>0</v>
      </c>
      <c r="E703" s="14">
        <v>5</v>
      </c>
    </row>
    <row r="704" spans="1:5" x14ac:dyDescent="0.3">
      <c r="A704" s="14" t="s">
        <v>0</v>
      </c>
      <c r="B704" s="14" t="s">
        <v>2354</v>
      </c>
      <c r="C704" s="14">
        <v>2</v>
      </c>
      <c r="D704" s="14">
        <v>0</v>
      </c>
      <c r="E704" s="14">
        <v>4</v>
      </c>
    </row>
    <row r="705" spans="1:5" x14ac:dyDescent="0.3">
      <c r="A705" s="14" t="s">
        <v>0</v>
      </c>
      <c r="B705" s="14" t="s">
        <v>2355</v>
      </c>
      <c r="C705" s="14">
        <v>2</v>
      </c>
      <c r="D705" s="14">
        <v>0</v>
      </c>
      <c r="E705" s="14">
        <v>3</v>
      </c>
    </row>
    <row r="706" spans="1:5" x14ac:dyDescent="0.3">
      <c r="A706" s="14" t="s">
        <v>0</v>
      </c>
      <c r="B706" s="14" t="s">
        <v>32</v>
      </c>
      <c r="C706" s="14">
        <v>4</v>
      </c>
      <c r="D706" s="14">
        <v>0</v>
      </c>
      <c r="E706" s="14">
        <v>8</v>
      </c>
    </row>
    <row r="707" spans="1:5" x14ac:dyDescent="0.3">
      <c r="A707" s="14" t="s">
        <v>0</v>
      </c>
      <c r="B707" s="14" t="s">
        <v>1326</v>
      </c>
      <c r="C707" s="14">
        <v>1</v>
      </c>
      <c r="D707" s="14">
        <v>0</v>
      </c>
      <c r="E707" s="14">
        <v>1</v>
      </c>
    </row>
    <row r="708" spans="1:5" x14ac:dyDescent="0.3">
      <c r="A708" s="14" t="s">
        <v>2</v>
      </c>
      <c r="B708" s="14" t="s">
        <v>148</v>
      </c>
      <c r="C708" s="14">
        <v>1</v>
      </c>
      <c r="D708" s="14">
        <v>0</v>
      </c>
      <c r="E708" s="14">
        <v>1</v>
      </c>
    </row>
    <row r="709" spans="1:5" x14ac:dyDescent="0.3">
      <c r="A709" s="14" t="s">
        <v>2</v>
      </c>
      <c r="B709" s="14" t="s">
        <v>258</v>
      </c>
      <c r="C709" s="14">
        <v>1</v>
      </c>
      <c r="D709" s="14">
        <v>0</v>
      </c>
      <c r="E709" s="14">
        <v>1</v>
      </c>
    </row>
    <row r="710" spans="1:5" x14ac:dyDescent="0.3">
      <c r="A710" s="14" t="s">
        <v>2</v>
      </c>
      <c r="B710" s="14" t="s">
        <v>115</v>
      </c>
      <c r="C710" s="14">
        <v>1</v>
      </c>
      <c r="D710" s="14">
        <v>0</v>
      </c>
      <c r="E710" s="14">
        <v>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DB2A7-E33E-47E0-BA53-6CC82DB64C11}">
  <sheetPr codeName="Sheet38"/>
  <dimension ref="A1:M688"/>
  <sheetViews>
    <sheetView workbookViewId="0">
      <selection activeCell="A2" sqref="A2:E688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1067</v>
      </c>
      <c r="C2" s="13">
        <v>64</v>
      </c>
      <c r="D2" s="13">
        <v>61</v>
      </c>
      <c r="E2" s="13">
        <v>68</v>
      </c>
    </row>
    <row r="3" spans="1:13" customFormat="1" x14ac:dyDescent="0.3">
      <c r="A3" s="13" t="s">
        <v>1</v>
      </c>
      <c r="B3" s="13" t="s">
        <v>135</v>
      </c>
      <c r="C3" s="13">
        <v>66</v>
      </c>
      <c r="D3" s="13">
        <v>48</v>
      </c>
      <c r="E3" s="13">
        <v>73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86</v>
      </c>
      <c r="D4" s="13">
        <v>38</v>
      </c>
      <c r="E4" s="13">
        <v>150</v>
      </c>
      <c r="G4" s="19" t="s">
        <v>8</v>
      </c>
      <c r="H4" s="15">
        <f>H13+H14</f>
        <v>1213</v>
      </c>
      <c r="I4" s="16">
        <f>H4/H$6</f>
        <v>0.74922791846819026</v>
      </c>
      <c r="J4" s="15">
        <f>I13+I14</f>
        <v>648</v>
      </c>
      <c r="K4" s="16">
        <f>J4/J$6</f>
        <v>0.66257668711656437</v>
      </c>
      <c r="L4" s="15">
        <f>J13+J14</f>
        <v>1416</v>
      </c>
      <c r="M4" s="25">
        <f>L4/L$6</f>
        <v>0.74920634920634921</v>
      </c>
    </row>
    <row r="5" spans="1:13" customFormat="1" x14ac:dyDescent="0.3">
      <c r="A5" s="13" t="s">
        <v>1</v>
      </c>
      <c r="B5" s="13" t="s">
        <v>37</v>
      </c>
      <c r="C5" s="13">
        <v>33</v>
      </c>
      <c r="D5" s="13">
        <v>24</v>
      </c>
      <c r="E5" s="13">
        <v>35</v>
      </c>
      <c r="G5" s="19" t="s">
        <v>10</v>
      </c>
      <c r="H5" s="15">
        <f>H15+H16</f>
        <v>406</v>
      </c>
      <c r="I5" s="16">
        <f>H5/H$6</f>
        <v>0.25077208153180974</v>
      </c>
      <c r="J5" s="15">
        <f>I15+I16</f>
        <v>330</v>
      </c>
      <c r="K5" s="16">
        <f>J5/J$6</f>
        <v>0.33742331288343558</v>
      </c>
      <c r="L5" s="15">
        <f>J15+J16</f>
        <v>474</v>
      </c>
      <c r="M5" s="25">
        <f>L5/L$6</f>
        <v>0.25079365079365079</v>
      </c>
    </row>
    <row r="6" spans="1:13" customFormat="1" ht="17.25" thickBot="1" x14ac:dyDescent="0.35">
      <c r="A6" s="13" t="s">
        <v>0</v>
      </c>
      <c r="B6" s="13" t="s">
        <v>37</v>
      </c>
      <c r="C6" s="13">
        <v>26</v>
      </c>
      <c r="D6" s="13">
        <v>23</v>
      </c>
      <c r="E6" s="13">
        <v>27</v>
      </c>
      <c r="G6" s="22"/>
      <c r="H6" s="26">
        <f>SUM(H4:H5)</f>
        <v>1619</v>
      </c>
      <c r="I6" s="27">
        <f>I4+I5</f>
        <v>1</v>
      </c>
      <c r="J6" s="26">
        <f>SUM(J4:J5)</f>
        <v>978</v>
      </c>
      <c r="K6" s="27">
        <f>K4+K5</f>
        <v>1</v>
      </c>
      <c r="L6" s="26">
        <f>SUM(L4:L5)</f>
        <v>1890</v>
      </c>
      <c r="M6" s="28">
        <f>M4+M5</f>
        <v>1</v>
      </c>
    </row>
    <row r="7" spans="1:13" customFormat="1" x14ac:dyDescent="0.3">
      <c r="A7" s="13" t="s">
        <v>1</v>
      </c>
      <c r="B7" s="13" t="s">
        <v>1067</v>
      </c>
      <c r="C7" s="13">
        <v>19</v>
      </c>
      <c r="D7" s="13">
        <v>19</v>
      </c>
      <c r="E7" s="13">
        <v>20</v>
      </c>
    </row>
    <row r="8" spans="1:13" customFormat="1" x14ac:dyDescent="0.3">
      <c r="A8" s="13" t="s">
        <v>0</v>
      </c>
      <c r="B8" s="13" t="s">
        <v>29</v>
      </c>
      <c r="C8" s="13">
        <v>15</v>
      </c>
      <c r="D8" s="13">
        <v>12</v>
      </c>
      <c r="E8" s="13">
        <v>17</v>
      </c>
    </row>
    <row r="9" spans="1:13" customFormat="1" x14ac:dyDescent="0.3">
      <c r="A9" s="13" t="s">
        <v>1</v>
      </c>
      <c r="B9" s="13" t="s">
        <v>354</v>
      </c>
      <c r="C9" s="13">
        <v>14</v>
      </c>
      <c r="D9" s="13">
        <v>10</v>
      </c>
      <c r="E9" s="13">
        <v>15</v>
      </c>
    </row>
    <row r="10" spans="1:13" customFormat="1" ht="17.25" thickBot="1" x14ac:dyDescent="0.35">
      <c r="A10" s="13" t="s">
        <v>1</v>
      </c>
      <c r="B10" s="13" t="s">
        <v>61</v>
      </c>
      <c r="C10" s="13">
        <v>11</v>
      </c>
      <c r="D10" s="13">
        <v>10</v>
      </c>
      <c r="E10" s="13">
        <v>12</v>
      </c>
    </row>
    <row r="11" spans="1:13" x14ac:dyDescent="0.3">
      <c r="A11" s="13" t="s">
        <v>0</v>
      </c>
      <c r="B11" s="13" t="s">
        <v>31</v>
      </c>
      <c r="C11" s="13">
        <v>11</v>
      </c>
      <c r="D11" s="13">
        <v>10</v>
      </c>
      <c r="E11" s="13">
        <v>12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1674</v>
      </c>
      <c r="C12" s="13">
        <v>9</v>
      </c>
      <c r="D12" s="13">
        <v>9</v>
      </c>
      <c r="E12" s="13">
        <v>13</v>
      </c>
      <c r="G12" s="19"/>
      <c r="H12" s="17">
        <f t="shared" ref="H12:J12" si="0">SUM(H13:H16)</f>
        <v>1619</v>
      </c>
      <c r="I12" s="17">
        <f t="shared" si="0"/>
        <v>978</v>
      </c>
      <c r="J12" s="20">
        <f t="shared" si="0"/>
        <v>1890</v>
      </c>
    </row>
    <row r="13" spans="1:13" x14ac:dyDescent="0.3">
      <c r="A13" s="13" t="s">
        <v>1</v>
      </c>
      <c r="B13" s="13" t="s">
        <v>1948</v>
      </c>
      <c r="C13" s="13">
        <v>11</v>
      </c>
      <c r="D13" s="13">
        <v>8</v>
      </c>
      <c r="E13" s="13">
        <v>13</v>
      </c>
      <c r="G13" s="19" t="s">
        <v>7</v>
      </c>
      <c r="H13" s="18">
        <f t="shared" ref="H13:J16" si="1">SUMIF($A$2:$A$9999,$G13,C$2:C$9999)</f>
        <v>1213</v>
      </c>
      <c r="I13" s="18">
        <f t="shared" si="1"/>
        <v>648</v>
      </c>
      <c r="J13" s="21">
        <f t="shared" si="1"/>
        <v>1416</v>
      </c>
    </row>
    <row r="14" spans="1:13" x14ac:dyDescent="0.3">
      <c r="A14" s="13" t="s">
        <v>0</v>
      </c>
      <c r="B14" s="13" t="s">
        <v>51</v>
      </c>
      <c r="C14" s="13">
        <v>9</v>
      </c>
      <c r="D14" s="13">
        <v>8</v>
      </c>
      <c r="E14" s="13">
        <v>11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31</v>
      </c>
      <c r="C15" s="13">
        <v>9</v>
      </c>
      <c r="D15" s="13">
        <v>7</v>
      </c>
      <c r="E15" s="13">
        <v>11</v>
      </c>
      <c r="G15" s="19" t="s">
        <v>11</v>
      </c>
      <c r="H15" s="18">
        <f t="shared" si="1"/>
        <v>388</v>
      </c>
      <c r="I15" s="18">
        <f t="shared" si="1"/>
        <v>317</v>
      </c>
      <c r="J15" s="21">
        <f t="shared" si="1"/>
        <v>454</v>
      </c>
    </row>
    <row r="16" spans="1:13" ht="17.25" thickBot="1" x14ac:dyDescent="0.35">
      <c r="A16" s="13" t="s">
        <v>0</v>
      </c>
      <c r="B16" s="13" t="s">
        <v>34</v>
      </c>
      <c r="C16" s="13">
        <v>8</v>
      </c>
      <c r="D16" s="13">
        <v>7</v>
      </c>
      <c r="E16" s="13">
        <v>14</v>
      </c>
      <c r="G16" s="22" t="s">
        <v>12</v>
      </c>
      <c r="H16" s="23">
        <f t="shared" si="1"/>
        <v>18</v>
      </c>
      <c r="I16" s="23">
        <f t="shared" si="1"/>
        <v>13</v>
      </c>
      <c r="J16" s="24">
        <f t="shared" si="1"/>
        <v>20</v>
      </c>
    </row>
    <row r="17" spans="1:5" x14ac:dyDescent="0.3">
      <c r="A17" s="13" t="s">
        <v>1</v>
      </c>
      <c r="B17" s="13" t="s">
        <v>493</v>
      </c>
      <c r="C17" s="13">
        <v>6</v>
      </c>
      <c r="D17" s="13">
        <v>6</v>
      </c>
      <c r="E17" s="13">
        <v>7</v>
      </c>
    </row>
    <row r="18" spans="1:5" x14ac:dyDescent="0.3">
      <c r="A18" s="13" t="s">
        <v>1</v>
      </c>
      <c r="B18" s="13" t="s">
        <v>59</v>
      </c>
      <c r="C18" s="13">
        <v>6</v>
      </c>
      <c r="D18" s="13">
        <v>6</v>
      </c>
      <c r="E18" s="13">
        <v>9</v>
      </c>
    </row>
    <row r="19" spans="1:5" x14ac:dyDescent="0.3">
      <c r="A19" s="13" t="s">
        <v>1</v>
      </c>
      <c r="B19" s="13" t="s">
        <v>87</v>
      </c>
      <c r="C19" s="13">
        <v>6</v>
      </c>
      <c r="D19" s="13">
        <v>6</v>
      </c>
      <c r="E19" s="13">
        <v>7</v>
      </c>
    </row>
    <row r="20" spans="1:5" x14ac:dyDescent="0.3">
      <c r="A20" s="13" t="s">
        <v>1</v>
      </c>
      <c r="B20" s="13" t="s">
        <v>272</v>
      </c>
      <c r="C20" s="13">
        <v>8</v>
      </c>
      <c r="D20" s="13">
        <v>6</v>
      </c>
      <c r="E20" s="13">
        <v>7</v>
      </c>
    </row>
    <row r="21" spans="1:5" x14ac:dyDescent="0.3">
      <c r="A21" s="13" t="s">
        <v>1</v>
      </c>
      <c r="B21" s="13" t="s">
        <v>2093</v>
      </c>
      <c r="C21" s="13">
        <v>7</v>
      </c>
      <c r="D21" s="13">
        <v>6</v>
      </c>
      <c r="E21" s="13">
        <v>12</v>
      </c>
    </row>
    <row r="22" spans="1:5" x14ac:dyDescent="0.3">
      <c r="A22" s="13" t="s">
        <v>1</v>
      </c>
      <c r="B22" s="13" t="s">
        <v>2335</v>
      </c>
      <c r="C22" s="13">
        <v>16</v>
      </c>
      <c r="D22" s="13">
        <v>6</v>
      </c>
      <c r="E22" s="13">
        <v>20</v>
      </c>
    </row>
    <row r="23" spans="1:5" x14ac:dyDescent="0.3">
      <c r="A23" s="13" t="s">
        <v>0</v>
      </c>
      <c r="B23" s="13" t="s">
        <v>30</v>
      </c>
      <c r="C23" s="13">
        <v>9</v>
      </c>
      <c r="D23" s="13">
        <v>6</v>
      </c>
      <c r="E23" s="13">
        <v>18</v>
      </c>
    </row>
    <row r="24" spans="1:5" x14ac:dyDescent="0.3">
      <c r="A24" s="13" t="s">
        <v>1</v>
      </c>
      <c r="B24" s="13" t="s">
        <v>41</v>
      </c>
      <c r="C24" s="13">
        <v>8</v>
      </c>
      <c r="D24" s="13">
        <v>5</v>
      </c>
      <c r="E24" s="13">
        <v>10</v>
      </c>
    </row>
    <row r="25" spans="1:5" x14ac:dyDescent="0.3">
      <c r="A25" s="13" t="s">
        <v>1</v>
      </c>
      <c r="B25" s="13" t="s">
        <v>1663</v>
      </c>
      <c r="C25" s="13">
        <v>5</v>
      </c>
      <c r="D25" s="13">
        <v>5</v>
      </c>
      <c r="E25" s="13">
        <v>7</v>
      </c>
    </row>
    <row r="26" spans="1:5" x14ac:dyDescent="0.3">
      <c r="A26" s="13" t="s">
        <v>1</v>
      </c>
      <c r="B26" s="13" t="s">
        <v>2203</v>
      </c>
      <c r="C26" s="13">
        <v>18</v>
      </c>
      <c r="D26" s="13">
        <v>5</v>
      </c>
      <c r="E26" s="13">
        <v>17</v>
      </c>
    </row>
    <row r="27" spans="1:5" x14ac:dyDescent="0.3">
      <c r="A27" s="13" t="s">
        <v>1</v>
      </c>
      <c r="B27" s="13" t="s">
        <v>315</v>
      </c>
      <c r="C27" s="13">
        <v>5</v>
      </c>
      <c r="D27" s="13">
        <v>5</v>
      </c>
      <c r="E27" s="13">
        <v>5</v>
      </c>
    </row>
    <row r="28" spans="1:5" x14ac:dyDescent="0.3">
      <c r="A28" s="13" t="s">
        <v>1</v>
      </c>
      <c r="B28" s="13" t="s">
        <v>39</v>
      </c>
      <c r="C28" s="13">
        <v>24</v>
      </c>
      <c r="D28" s="13">
        <v>5</v>
      </c>
      <c r="E28" s="13">
        <v>42</v>
      </c>
    </row>
    <row r="29" spans="1:5" x14ac:dyDescent="0.3">
      <c r="A29" s="13" t="s">
        <v>0</v>
      </c>
      <c r="B29" s="13" t="s">
        <v>47</v>
      </c>
      <c r="C29" s="13">
        <v>5</v>
      </c>
      <c r="D29" s="13">
        <v>5</v>
      </c>
      <c r="E29" s="13">
        <v>5</v>
      </c>
    </row>
    <row r="30" spans="1:5" x14ac:dyDescent="0.3">
      <c r="A30" s="13" t="s">
        <v>0</v>
      </c>
      <c r="B30" s="13" t="s">
        <v>61</v>
      </c>
      <c r="C30" s="13">
        <v>5</v>
      </c>
      <c r="D30" s="13">
        <v>5</v>
      </c>
      <c r="E30" s="13">
        <v>5</v>
      </c>
    </row>
    <row r="31" spans="1:5" x14ac:dyDescent="0.3">
      <c r="A31" s="13" t="s">
        <v>1</v>
      </c>
      <c r="B31" s="13" t="s">
        <v>48</v>
      </c>
      <c r="C31" s="13">
        <v>5</v>
      </c>
      <c r="D31" s="13">
        <v>4</v>
      </c>
      <c r="E31" s="13">
        <v>5</v>
      </c>
    </row>
    <row r="32" spans="1:5" x14ac:dyDescent="0.3">
      <c r="A32" s="13" t="s">
        <v>1</v>
      </c>
      <c r="B32" s="13" t="s">
        <v>145</v>
      </c>
      <c r="C32" s="13">
        <v>4</v>
      </c>
      <c r="D32" s="13">
        <v>4</v>
      </c>
      <c r="E32" s="13">
        <v>4</v>
      </c>
    </row>
    <row r="33" spans="1:5" x14ac:dyDescent="0.3">
      <c r="A33" s="13" t="s">
        <v>1</v>
      </c>
      <c r="B33" s="13" t="s">
        <v>147</v>
      </c>
      <c r="C33" s="13">
        <v>6</v>
      </c>
      <c r="D33" s="13">
        <v>4</v>
      </c>
      <c r="E33" s="13">
        <v>5</v>
      </c>
    </row>
    <row r="34" spans="1:5" x14ac:dyDescent="0.3">
      <c r="A34" s="13" t="s">
        <v>1</v>
      </c>
      <c r="B34" s="13" t="s">
        <v>653</v>
      </c>
      <c r="C34" s="13">
        <v>4</v>
      </c>
      <c r="D34" s="13">
        <v>4</v>
      </c>
      <c r="E34" s="13">
        <v>4</v>
      </c>
    </row>
    <row r="35" spans="1:5" x14ac:dyDescent="0.3">
      <c r="A35" s="13" t="s">
        <v>1</v>
      </c>
      <c r="B35" s="13" t="s">
        <v>1741</v>
      </c>
      <c r="C35" s="13">
        <v>6</v>
      </c>
      <c r="D35" s="13">
        <v>4</v>
      </c>
      <c r="E35" s="13">
        <v>8</v>
      </c>
    </row>
    <row r="36" spans="1:5" x14ac:dyDescent="0.3">
      <c r="A36" s="13" t="s">
        <v>1</v>
      </c>
      <c r="B36" s="13" t="s">
        <v>279</v>
      </c>
      <c r="C36" s="13">
        <v>4</v>
      </c>
      <c r="D36" s="13">
        <v>4</v>
      </c>
      <c r="E36" s="13">
        <v>4</v>
      </c>
    </row>
    <row r="37" spans="1:5" x14ac:dyDescent="0.3">
      <c r="A37" s="13" t="s">
        <v>1</v>
      </c>
      <c r="B37" s="13" t="s">
        <v>296</v>
      </c>
      <c r="C37" s="13">
        <v>6</v>
      </c>
      <c r="D37" s="13">
        <v>4</v>
      </c>
      <c r="E37" s="13">
        <v>5</v>
      </c>
    </row>
    <row r="38" spans="1:5" x14ac:dyDescent="0.3">
      <c r="A38" s="13" t="s">
        <v>0</v>
      </c>
      <c r="B38" s="13" t="s">
        <v>2335</v>
      </c>
      <c r="C38" s="13">
        <v>7</v>
      </c>
      <c r="D38" s="13">
        <v>4</v>
      </c>
      <c r="E38" s="13">
        <v>7</v>
      </c>
    </row>
    <row r="39" spans="1:5" x14ac:dyDescent="0.3">
      <c r="A39" s="13" t="s">
        <v>0</v>
      </c>
      <c r="B39" s="13" t="s">
        <v>1457</v>
      </c>
      <c r="C39" s="13">
        <v>5</v>
      </c>
      <c r="D39" s="13">
        <v>4</v>
      </c>
      <c r="E39" s="13">
        <v>7</v>
      </c>
    </row>
    <row r="40" spans="1:5" x14ac:dyDescent="0.3">
      <c r="A40" s="13" t="s">
        <v>1</v>
      </c>
      <c r="B40" s="13" t="s">
        <v>36</v>
      </c>
      <c r="C40" s="13">
        <v>3</v>
      </c>
      <c r="D40" s="13">
        <v>3</v>
      </c>
      <c r="E40" s="13">
        <v>3</v>
      </c>
    </row>
    <row r="41" spans="1:5" x14ac:dyDescent="0.3">
      <c r="A41" s="13" t="s">
        <v>1</v>
      </c>
      <c r="B41" s="13" t="s">
        <v>47</v>
      </c>
      <c r="C41" s="13">
        <v>7</v>
      </c>
      <c r="D41" s="13">
        <v>3</v>
      </c>
      <c r="E41" s="13">
        <v>7</v>
      </c>
    </row>
    <row r="42" spans="1:5" x14ac:dyDescent="0.3">
      <c r="A42" s="13" t="s">
        <v>1</v>
      </c>
      <c r="B42" s="13" t="s">
        <v>148</v>
      </c>
      <c r="C42" s="13">
        <v>4</v>
      </c>
      <c r="D42" s="13">
        <v>3</v>
      </c>
      <c r="E42" s="13">
        <v>3</v>
      </c>
    </row>
    <row r="43" spans="1:5" x14ac:dyDescent="0.3">
      <c r="A43" s="13" t="s">
        <v>1</v>
      </c>
      <c r="B43" s="13" t="s">
        <v>60</v>
      </c>
      <c r="C43" s="13">
        <v>5</v>
      </c>
      <c r="D43" s="13">
        <v>3</v>
      </c>
      <c r="E43" s="13">
        <v>5</v>
      </c>
    </row>
    <row r="44" spans="1:5" x14ac:dyDescent="0.3">
      <c r="A44" s="13" t="s">
        <v>1</v>
      </c>
      <c r="B44" s="13" t="s">
        <v>471</v>
      </c>
      <c r="C44" s="13">
        <v>6</v>
      </c>
      <c r="D44" s="13">
        <v>3</v>
      </c>
      <c r="E44" s="13">
        <v>6</v>
      </c>
    </row>
    <row r="45" spans="1:5" x14ac:dyDescent="0.3">
      <c r="A45" s="13" t="s">
        <v>1</v>
      </c>
      <c r="B45" s="13" t="s">
        <v>1849</v>
      </c>
      <c r="C45" s="13">
        <v>5</v>
      </c>
      <c r="D45" s="13">
        <v>3</v>
      </c>
      <c r="E45" s="13">
        <v>4</v>
      </c>
    </row>
    <row r="46" spans="1:5" x14ac:dyDescent="0.3">
      <c r="A46" s="13" t="s">
        <v>1</v>
      </c>
      <c r="B46" s="13" t="s">
        <v>1988</v>
      </c>
      <c r="C46" s="13">
        <v>11</v>
      </c>
      <c r="D46" s="13">
        <v>3</v>
      </c>
      <c r="E46" s="13">
        <v>10</v>
      </c>
    </row>
    <row r="47" spans="1:5" x14ac:dyDescent="0.3">
      <c r="A47" s="13" t="s">
        <v>1</v>
      </c>
      <c r="B47" s="13" t="s">
        <v>2148</v>
      </c>
      <c r="C47" s="13">
        <v>4</v>
      </c>
      <c r="D47" s="13">
        <v>3</v>
      </c>
      <c r="E47" s="13">
        <v>4</v>
      </c>
    </row>
    <row r="48" spans="1:5" x14ac:dyDescent="0.3">
      <c r="A48" s="13" t="s">
        <v>1</v>
      </c>
      <c r="B48" s="13" t="s">
        <v>505</v>
      </c>
      <c r="C48" s="13">
        <v>4</v>
      </c>
      <c r="D48" s="13">
        <v>3</v>
      </c>
      <c r="E48" s="13">
        <v>4</v>
      </c>
    </row>
    <row r="49" spans="1:5" x14ac:dyDescent="0.3">
      <c r="A49" s="13" t="s">
        <v>1</v>
      </c>
      <c r="B49" s="13" t="s">
        <v>95</v>
      </c>
      <c r="C49" s="13">
        <v>3</v>
      </c>
      <c r="D49" s="13">
        <v>3</v>
      </c>
      <c r="E49" s="13">
        <v>3</v>
      </c>
    </row>
    <row r="50" spans="1:5" x14ac:dyDescent="0.3">
      <c r="A50" s="13" t="s">
        <v>1</v>
      </c>
      <c r="B50" s="13" t="s">
        <v>1342</v>
      </c>
      <c r="C50" s="13">
        <v>3</v>
      </c>
      <c r="D50" s="13">
        <v>3</v>
      </c>
      <c r="E50" s="13">
        <v>3</v>
      </c>
    </row>
    <row r="51" spans="1:5" x14ac:dyDescent="0.3">
      <c r="A51" s="13" t="s">
        <v>1</v>
      </c>
      <c r="B51" s="13" t="s">
        <v>29</v>
      </c>
      <c r="C51" s="13">
        <v>3</v>
      </c>
      <c r="D51" s="13">
        <v>3</v>
      </c>
      <c r="E51" s="13">
        <v>3</v>
      </c>
    </row>
    <row r="52" spans="1:5" x14ac:dyDescent="0.3">
      <c r="A52" s="13" t="s">
        <v>1</v>
      </c>
      <c r="B52" s="13" t="s">
        <v>195</v>
      </c>
      <c r="C52" s="13">
        <v>3</v>
      </c>
      <c r="D52" s="13">
        <v>3</v>
      </c>
      <c r="E52" s="13">
        <v>3</v>
      </c>
    </row>
    <row r="53" spans="1:5" x14ac:dyDescent="0.3">
      <c r="A53" s="13" t="s">
        <v>1</v>
      </c>
      <c r="B53" s="13" t="s">
        <v>111</v>
      </c>
      <c r="C53" s="13">
        <v>5</v>
      </c>
      <c r="D53" s="13">
        <v>3</v>
      </c>
      <c r="E53" s="13">
        <v>6</v>
      </c>
    </row>
    <row r="54" spans="1:5" x14ac:dyDescent="0.3">
      <c r="A54" s="13" t="s">
        <v>1</v>
      </c>
      <c r="B54" s="13" t="s">
        <v>51</v>
      </c>
      <c r="C54" s="13">
        <v>3</v>
      </c>
      <c r="D54" s="13">
        <v>3</v>
      </c>
      <c r="E54" s="13">
        <v>4</v>
      </c>
    </row>
    <row r="55" spans="1:5" x14ac:dyDescent="0.3">
      <c r="A55" s="13" t="s">
        <v>1</v>
      </c>
      <c r="B55" s="13" t="s">
        <v>45</v>
      </c>
      <c r="C55" s="13">
        <v>5</v>
      </c>
      <c r="D55" s="13">
        <v>3</v>
      </c>
      <c r="E55" s="13">
        <v>5</v>
      </c>
    </row>
    <row r="56" spans="1:5" x14ac:dyDescent="0.3">
      <c r="A56" s="13" t="s">
        <v>1</v>
      </c>
      <c r="B56" s="13" t="s">
        <v>115</v>
      </c>
      <c r="C56" s="13">
        <v>3</v>
      </c>
      <c r="D56" s="13">
        <v>3</v>
      </c>
      <c r="E56" s="13">
        <v>3</v>
      </c>
    </row>
    <row r="57" spans="1:5" x14ac:dyDescent="0.3">
      <c r="A57" s="13" t="s">
        <v>1</v>
      </c>
      <c r="B57" s="13" t="s">
        <v>661</v>
      </c>
      <c r="C57" s="13">
        <v>3</v>
      </c>
      <c r="D57" s="13">
        <v>3</v>
      </c>
      <c r="E57" s="13">
        <v>3</v>
      </c>
    </row>
    <row r="58" spans="1:5" x14ac:dyDescent="0.3">
      <c r="A58" s="13" t="s">
        <v>1</v>
      </c>
      <c r="B58" s="13" t="s">
        <v>174</v>
      </c>
      <c r="C58" s="13">
        <v>3</v>
      </c>
      <c r="D58" s="13">
        <v>3</v>
      </c>
      <c r="E58" s="13">
        <v>3</v>
      </c>
    </row>
    <row r="59" spans="1:5" x14ac:dyDescent="0.3">
      <c r="A59" s="13" t="s">
        <v>1</v>
      </c>
      <c r="B59" s="13" t="s">
        <v>2083</v>
      </c>
      <c r="C59" s="13">
        <v>3</v>
      </c>
      <c r="D59" s="13">
        <v>3</v>
      </c>
      <c r="E59" s="13">
        <v>3</v>
      </c>
    </row>
    <row r="60" spans="1:5" x14ac:dyDescent="0.3">
      <c r="A60" s="13" t="s">
        <v>1</v>
      </c>
      <c r="B60" s="13" t="s">
        <v>38</v>
      </c>
      <c r="C60" s="13">
        <v>3</v>
      </c>
      <c r="D60" s="13">
        <v>3</v>
      </c>
      <c r="E60" s="13">
        <v>3</v>
      </c>
    </row>
    <row r="61" spans="1:5" x14ac:dyDescent="0.3">
      <c r="A61" s="13" t="s">
        <v>1</v>
      </c>
      <c r="B61" s="13" t="s">
        <v>66</v>
      </c>
      <c r="C61" s="13">
        <v>7</v>
      </c>
      <c r="D61" s="13">
        <v>3</v>
      </c>
      <c r="E61" s="13">
        <v>13</v>
      </c>
    </row>
    <row r="62" spans="1:5" x14ac:dyDescent="0.3">
      <c r="A62" s="13" t="s">
        <v>1</v>
      </c>
      <c r="B62" s="13" t="s">
        <v>1371</v>
      </c>
      <c r="C62" s="13">
        <v>3</v>
      </c>
      <c r="D62" s="13">
        <v>7</v>
      </c>
      <c r="E62" s="13"/>
    </row>
    <row r="63" spans="1:5" x14ac:dyDescent="0.3">
      <c r="A63" s="13" t="s">
        <v>1</v>
      </c>
      <c r="B63" s="13" t="s">
        <v>32</v>
      </c>
      <c r="C63" s="13">
        <v>8</v>
      </c>
      <c r="D63" s="13">
        <v>3</v>
      </c>
      <c r="E63" s="13">
        <v>10</v>
      </c>
    </row>
    <row r="64" spans="1:5" x14ac:dyDescent="0.3">
      <c r="A64" s="13" t="s">
        <v>0</v>
      </c>
      <c r="B64" s="13" t="s">
        <v>588</v>
      </c>
      <c r="C64" s="13">
        <v>3</v>
      </c>
      <c r="D64" s="13">
        <v>3</v>
      </c>
      <c r="E64" s="13">
        <v>6</v>
      </c>
    </row>
    <row r="65" spans="1:5" x14ac:dyDescent="0.3">
      <c r="A65" s="13" t="s">
        <v>0</v>
      </c>
      <c r="B65" s="13" t="s">
        <v>589</v>
      </c>
      <c r="C65" s="13">
        <v>3</v>
      </c>
      <c r="D65" s="13">
        <v>3</v>
      </c>
      <c r="E65" s="13">
        <v>3</v>
      </c>
    </row>
    <row r="66" spans="1:5" x14ac:dyDescent="0.3">
      <c r="A66" s="13" t="s">
        <v>0</v>
      </c>
      <c r="B66" s="13" t="s">
        <v>354</v>
      </c>
      <c r="C66" s="13">
        <v>4</v>
      </c>
      <c r="D66" s="13">
        <v>3</v>
      </c>
      <c r="E66" s="13">
        <v>4</v>
      </c>
    </row>
    <row r="67" spans="1:5" x14ac:dyDescent="0.3">
      <c r="A67" s="13" t="s">
        <v>0</v>
      </c>
      <c r="B67" s="13" t="s">
        <v>356</v>
      </c>
      <c r="C67" s="13">
        <v>3</v>
      </c>
      <c r="D67" s="13">
        <v>3</v>
      </c>
      <c r="E67" s="13">
        <v>3</v>
      </c>
    </row>
    <row r="68" spans="1:5" x14ac:dyDescent="0.3">
      <c r="A68" s="13" t="s">
        <v>0</v>
      </c>
      <c r="B68" s="13" t="s">
        <v>1741</v>
      </c>
      <c r="C68" s="13">
        <v>3</v>
      </c>
      <c r="D68" s="13">
        <v>3</v>
      </c>
      <c r="E68" s="13">
        <v>3</v>
      </c>
    </row>
    <row r="69" spans="1:5" x14ac:dyDescent="0.3">
      <c r="A69" s="13" t="s">
        <v>0</v>
      </c>
      <c r="B69" s="13" t="s">
        <v>2203</v>
      </c>
      <c r="C69" s="13">
        <v>7</v>
      </c>
      <c r="D69" s="13">
        <v>3</v>
      </c>
      <c r="E69" s="13">
        <v>9</v>
      </c>
    </row>
    <row r="70" spans="1:5" x14ac:dyDescent="0.3">
      <c r="A70" s="13" t="s">
        <v>0</v>
      </c>
      <c r="B70" s="13" t="s">
        <v>121</v>
      </c>
      <c r="C70" s="13">
        <v>3</v>
      </c>
      <c r="D70" s="13">
        <v>3</v>
      </c>
      <c r="E70" s="13">
        <v>4</v>
      </c>
    </row>
    <row r="71" spans="1:5" x14ac:dyDescent="0.3">
      <c r="A71" s="13" t="s">
        <v>0</v>
      </c>
      <c r="B71" s="13" t="s">
        <v>339</v>
      </c>
      <c r="C71" s="13">
        <v>3</v>
      </c>
      <c r="D71" s="13">
        <v>3</v>
      </c>
      <c r="E71" s="13">
        <v>4</v>
      </c>
    </row>
    <row r="72" spans="1:5" x14ac:dyDescent="0.3">
      <c r="A72" s="13" t="s">
        <v>0</v>
      </c>
      <c r="B72" s="13" t="s">
        <v>39</v>
      </c>
      <c r="C72" s="13">
        <v>3</v>
      </c>
      <c r="D72" s="13">
        <v>3</v>
      </c>
      <c r="E72" s="13">
        <v>3</v>
      </c>
    </row>
    <row r="73" spans="1:5" x14ac:dyDescent="0.3">
      <c r="A73" s="13" t="s">
        <v>2</v>
      </c>
      <c r="B73" s="13" t="s">
        <v>34</v>
      </c>
      <c r="C73" s="13">
        <v>3</v>
      </c>
      <c r="D73" s="13">
        <v>3</v>
      </c>
      <c r="E73" s="13">
        <v>3</v>
      </c>
    </row>
    <row r="74" spans="1:5" x14ac:dyDescent="0.3">
      <c r="A74" s="13" t="s">
        <v>1</v>
      </c>
      <c r="B74" s="13" t="s">
        <v>490</v>
      </c>
      <c r="C74" s="13">
        <v>2</v>
      </c>
      <c r="D74" s="13">
        <v>2</v>
      </c>
      <c r="E74" s="13">
        <v>3</v>
      </c>
    </row>
    <row r="75" spans="1:5" x14ac:dyDescent="0.3">
      <c r="A75" s="13" t="s">
        <v>1</v>
      </c>
      <c r="B75" s="13" t="s">
        <v>262</v>
      </c>
      <c r="C75" s="13">
        <v>2</v>
      </c>
      <c r="D75" s="13">
        <v>2</v>
      </c>
      <c r="E75" s="13">
        <v>2</v>
      </c>
    </row>
    <row r="76" spans="1:5" x14ac:dyDescent="0.3">
      <c r="A76" s="13" t="s">
        <v>1</v>
      </c>
      <c r="B76" s="13" t="s">
        <v>588</v>
      </c>
      <c r="C76" s="13">
        <v>2</v>
      </c>
      <c r="D76" s="13">
        <v>2</v>
      </c>
      <c r="E76" s="13">
        <v>2</v>
      </c>
    </row>
    <row r="77" spans="1:5" x14ac:dyDescent="0.3">
      <c r="A77" s="13" t="s">
        <v>1</v>
      </c>
      <c r="B77" s="13" t="s">
        <v>33</v>
      </c>
      <c r="C77" s="13">
        <v>3</v>
      </c>
      <c r="D77" s="13">
        <v>2</v>
      </c>
      <c r="E77" s="13">
        <v>3</v>
      </c>
    </row>
    <row r="78" spans="1:5" x14ac:dyDescent="0.3">
      <c r="A78" s="13" t="s">
        <v>1</v>
      </c>
      <c r="B78" s="13" t="s">
        <v>591</v>
      </c>
      <c r="C78" s="13">
        <v>2</v>
      </c>
      <c r="D78" s="13">
        <v>2</v>
      </c>
      <c r="E78" s="13">
        <v>2</v>
      </c>
    </row>
    <row r="79" spans="1:5" x14ac:dyDescent="0.3">
      <c r="A79" s="13" t="s">
        <v>1</v>
      </c>
      <c r="B79" s="13" t="s">
        <v>264</v>
      </c>
      <c r="C79" s="13">
        <v>3</v>
      </c>
      <c r="D79" s="13">
        <v>2</v>
      </c>
      <c r="E79" s="13">
        <v>3</v>
      </c>
    </row>
    <row r="80" spans="1:5" x14ac:dyDescent="0.3">
      <c r="A80" s="13" t="s">
        <v>1</v>
      </c>
      <c r="B80" s="13" t="s">
        <v>80</v>
      </c>
      <c r="C80" s="13">
        <v>2</v>
      </c>
      <c r="D80" s="13">
        <v>2</v>
      </c>
      <c r="E80" s="13">
        <v>2</v>
      </c>
    </row>
    <row r="81" spans="1:5" x14ac:dyDescent="0.3">
      <c r="A81" s="13" t="s">
        <v>1</v>
      </c>
      <c r="B81" s="13" t="s">
        <v>144</v>
      </c>
      <c r="C81" s="13">
        <v>2</v>
      </c>
      <c r="D81" s="13">
        <v>2</v>
      </c>
      <c r="E81" s="13">
        <v>2</v>
      </c>
    </row>
    <row r="82" spans="1:5" x14ac:dyDescent="0.3">
      <c r="A82" s="13" t="s">
        <v>1</v>
      </c>
      <c r="B82" s="13" t="s">
        <v>86</v>
      </c>
      <c r="C82" s="13">
        <v>3</v>
      </c>
      <c r="D82" s="13">
        <v>2</v>
      </c>
      <c r="E82" s="13">
        <v>4</v>
      </c>
    </row>
    <row r="83" spans="1:5" x14ac:dyDescent="0.3">
      <c r="A83" s="13" t="s">
        <v>1</v>
      </c>
      <c r="B83" s="13" t="s">
        <v>351</v>
      </c>
      <c r="C83" s="13">
        <v>3</v>
      </c>
      <c r="D83" s="13">
        <v>2</v>
      </c>
      <c r="E83" s="13">
        <v>3</v>
      </c>
    </row>
    <row r="84" spans="1:5" x14ac:dyDescent="0.3">
      <c r="A84" s="13" t="s">
        <v>1</v>
      </c>
      <c r="B84" s="13" t="s">
        <v>605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91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151</v>
      </c>
      <c r="C86" s="13">
        <v>6</v>
      </c>
      <c r="D86" s="13">
        <v>2</v>
      </c>
      <c r="E86" s="13">
        <v>7</v>
      </c>
    </row>
    <row r="87" spans="1:5" x14ac:dyDescent="0.3">
      <c r="A87" s="13" t="s">
        <v>1</v>
      </c>
      <c r="B87" s="13" t="s">
        <v>153</v>
      </c>
      <c r="C87" s="13">
        <v>3</v>
      </c>
      <c r="D87" s="13">
        <v>2</v>
      </c>
      <c r="E87" s="13">
        <v>4</v>
      </c>
    </row>
    <row r="88" spans="1:5" x14ac:dyDescent="0.3">
      <c r="A88" s="13" t="s">
        <v>1</v>
      </c>
      <c r="B88" s="13" t="s">
        <v>94</v>
      </c>
      <c r="C88" s="13">
        <v>6</v>
      </c>
      <c r="D88" s="13">
        <v>2</v>
      </c>
      <c r="E88" s="13">
        <v>7</v>
      </c>
    </row>
    <row r="89" spans="1:5" x14ac:dyDescent="0.3">
      <c r="A89" s="13" t="s">
        <v>1</v>
      </c>
      <c r="B89" s="13" t="s">
        <v>1483</v>
      </c>
      <c r="C89" s="13">
        <v>2</v>
      </c>
      <c r="D89" s="13">
        <v>2</v>
      </c>
      <c r="E89" s="13">
        <v>2</v>
      </c>
    </row>
    <row r="90" spans="1:5" x14ac:dyDescent="0.3">
      <c r="A90" s="13" t="s">
        <v>1</v>
      </c>
      <c r="B90" s="13" t="s">
        <v>1899</v>
      </c>
      <c r="C90" s="13">
        <v>3</v>
      </c>
      <c r="D90" s="13">
        <v>2</v>
      </c>
      <c r="E90" s="13">
        <v>2</v>
      </c>
    </row>
    <row r="91" spans="1:5" x14ac:dyDescent="0.3">
      <c r="A91" s="13" t="s">
        <v>1</v>
      </c>
      <c r="B91" s="13" t="s">
        <v>2339</v>
      </c>
      <c r="C91" s="13">
        <v>8</v>
      </c>
      <c r="D91" s="13">
        <v>2</v>
      </c>
      <c r="E91" s="13">
        <v>8</v>
      </c>
    </row>
    <row r="92" spans="1:5" x14ac:dyDescent="0.3">
      <c r="A92" s="13" t="s">
        <v>1</v>
      </c>
      <c r="B92" s="13" t="s">
        <v>274</v>
      </c>
      <c r="C92" s="13">
        <v>2</v>
      </c>
      <c r="D92" s="13">
        <v>2</v>
      </c>
      <c r="E92" s="13">
        <v>3</v>
      </c>
    </row>
    <row r="93" spans="1:5" x14ac:dyDescent="0.3">
      <c r="A93" s="13" t="s">
        <v>1</v>
      </c>
      <c r="B93" s="13" t="s">
        <v>101</v>
      </c>
      <c r="C93" s="13">
        <v>4</v>
      </c>
      <c r="D93" s="13">
        <v>2</v>
      </c>
      <c r="E93" s="13">
        <v>3</v>
      </c>
    </row>
    <row r="94" spans="1:5" x14ac:dyDescent="0.3">
      <c r="A94" s="13" t="s">
        <v>1</v>
      </c>
      <c r="B94" s="13" t="s">
        <v>104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311</v>
      </c>
      <c r="C95" s="13">
        <v>2</v>
      </c>
      <c r="D95" s="13">
        <v>2</v>
      </c>
      <c r="E95" s="13">
        <v>3</v>
      </c>
    </row>
    <row r="96" spans="1:5" x14ac:dyDescent="0.3">
      <c r="A96" s="13" t="s">
        <v>1</v>
      </c>
      <c r="B96" s="13" t="s">
        <v>394</v>
      </c>
      <c r="C96" s="13">
        <v>3</v>
      </c>
      <c r="D96" s="13">
        <v>2</v>
      </c>
      <c r="E96" s="13">
        <v>4</v>
      </c>
    </row>
    <row r="97" spans="1:5" x14ac:dyDescent="0.3">
      <c r="A97" s="13" t="s">
        <v>1</v>
      </c>
      <c r="B97" s="13" t="s">
        <v>278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317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917</v>
      </c>
      <c r="C99" s="13">
        <v>2</v>
      </c>
      <c r="D99" s="13">
        <v>2</v>
      </c>
      <c r="E99" s="13">
        <v>2</v>
      </c>
    </row>
    <row r="100" spans="1:5" x14ac:dyDescent="0.3">
      <c r="A100" s="13" t="s">
        <v>1</v>
      </c>
      <c r="B100" s="13" t="s">
        <v>454</v>
      </c>
      <c r="C100" s="13">
        <v>3</v>
      </c>
      <c r="D100" s="13">
        <v>2</v>
      </c>
      <c r="E100" s="13">
        <v>3</v>
      </c>
    </row>
    <row r="101" spans="1:5" x14ac:dyDescent="0.3">
      <c r="A101" s="13" t="s">
        <v>1</v>
      </c>
      <c r="B101" s="13" t="s">
        <v>401</v>
      </c>
      <c r="C101" s="13">
        <v>3</v>
      </c>
      <c r="D101" s="13">
        <v>2</v>
      </c>
      <c r="E101" s="13">
        <v>4</v>
      </c>
    </row>
    <row r="102" spans="1:5" x14ac:dyDescent="0.3">
      <c r="A102" s="13" t="s">
        <v>1</v>
      </c>
      <c r="B102" s="13" t="s">
        <v>289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1</v>
      </c>
      <c r="B103" s="13" t="s">
        <v>1040</v>
      </c>
      <c r="C103" s="13">
        <v>2</v>
      </c>
      <c r="D103" s="13">
        <v>2</v>
      </c>
      <c r="E103" s="13">
        <v>3</v>
      </c>
    </row>
    <row r="104" spans="1:5" x14ac:dyDescent="0.3">
      <c r="A104" s="13" t="s">
        <v>1</v>
      </c>
      <c r="B104" s="13" t="s">
        <v>631</v>
      </c>
      <c r="C104" s="13">
        <v>3</v>
      </c>
      <c r="D104" s="13">
        <v>2</v>
      </c>
      <c r="E104" s="13">
        <v>5</v>
      </c>
    </row>
    <row r="105" spans="1:5" x14ac:dyDescent="0.3">
      <c r="A105" s="13" t="s">
        <v>1</v>
      </c>
      <c r="B105" s="13" t="s">
        <v>124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1</v>
      </c>
      <c r="B106" s="13" t="s">
        <v>253</v>
      </c>
      <c r="C106" s="13">
        <v>3</v>
      </c>
      <c r="D106" s="13">
        <v>2</v>
      </c>
      <c r="E106" s="13">
        <v>3</v>
      </c>
    </row>
    <row r="107" spans="1:5" x14ac:dyDescent="0.3">
      <c r="A107" s="13" t="s">
        <v>1</v>
      </c>
      <c r="B107" s="13" t="s">
        <v>64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190</v>
      </c>
      <c r="C108" s="13">
        <v>5</v>
      </c>
      <c r="D108" s="13">
        <v>2</v>
      </c>
      <c r="E108" s="13">
        <v>5</v>
      </c>
    </row>
    <row r="109" spans="1:5" x14ac:dyDescent="0.3">
      <c r="A109" s="13" t="s">
        <v>1</v>
      </c>
      <c r="B109" s="13" t="s">
        <v>1060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1</v>
      </c>
      <c r="B110" s="13" t="s">
        <v>191</v>
      </c>
      <c r="C110" s="13">
        <v>10</v>
      </c>
      <c r="D110" s="13">
        <v>2</v>
      </c>
      <c r="E110" s="13">
        <v>11</v>
      </c>
    </row>
    <row r="111" spans="1:5" x14ac:dyDescent="0.3">
      <c r="A111" s="13" t="s">
        <v>1</v>
      </c>
      <c r="B111" s="13" t="s">
        <v>54</v>
      </c>
      <c r="C111" s="13">
        <v>9</v>
      </c>
      <c r="D111" s="13">
        <v>2</v>
      </c>
      <c r="E111" s="13">
        <v>12</v>
      </c>
    </row>
    <row r="112" spans="1:5" x14ac:dyDescent="0.3">
      <c r="A112" s="13" t="s">
        <v>1</v>
      </c>
      <c r="B112" s="13" t="s">
        <v>259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1</v>
      </c>
      <c r="B113" s="13" t="s">
        <v>1394</v>
      </c>
      <c r="C113" s="13">
        <v>2</v>
      </c>
      <c r="D113" s="13">
        <v>2</v>
      </c>
      <c r="E113" s="13">
        <v>3</v>
      </c>
    </row>
    <row r="114" spans="1:5" x14ac:dyDescent="0.3">
      <c r="A114" s="13" t="s">
        <v>0</v>
      </c>
      <c r="B114" s="13" t="s">
        <v>474</v>
      </c>
      <c r="C114" s="13">
        <v>2</v>
      </c>
      <c r="D114" s="13">
        <v>2</v>
      </c>
      <c r="E114" s="13">
        <v>2</v>
      </c>
    </row>
    <row r="115" spans="1:5" x14ac:dyDescent="0.3">
      <c r="A115" s="13" t="s">
        <v>0</v>
      </c>
      <c r="B115" s="13" t="s">
        <v>148</v>
      </c>
      <c r="C115" s="13">
        <v>3</v>
      </c>
      <c r="D115" s="13">
        <v>2</v>
      </c>
      <c r="E115" s="13">
        <v>3</v>
      </c>
    </row>
    <row r="116" spans="1:5" x14ac:dyDescent="0.3">
      <c r="A116" s="13" t="s">
        <v>0</v>
      </c>
      <c r="B116" s="13" t="s">
        <v>87</v>
      </c>
      <c r="C116" s="13">
        <v>2</v>
      </c>
      <c r="D116" s="13">
        <v>2</v>
      </c>
      <c r="E116" s="13">
        <v>2</v>
      </c>
    </row>
    <row r="117" spans="1:5" x14ac:dyDescent="0.3">
      <c r="A117" s="13" t="s">
        <v>0</v>
      </c>
      <c r="B117" s="13" t="s">
        <v>151</v>
      </c>
      <c r="C117" s="13">
        <v>2</v>
      </c>
      <c r="D117" s="13">
        <v>2</v>
      </c>
      <c r="E117" s="13">
        <v>3</v>
      </c>
    </row>
    <row r="118" spans="1:5" x14ac:dyDescent="0.3">
      <c r="A118" s="13" t="s">
        <v>0</v>
      </c>
      <c r="B118" s="13" t="s">
        <v>60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0</v>
      </c>
      <c r="B119" s="13" t="s">
        <v>42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0</v>
      </c>
      <c r="B120" s="13" t="s">
        <v>1471</v>
      </c>
      <c r="C120" s="13">
        <v>2</v>
      </c>
      <c r="D120" s="13">
        <v>2</v>
      </c>
      <c r="E120" s="13">
        <v>2</v>
      </c>
    </row>
    <row r="121" spans="1:5" x14ac:dyDescent="0.3">
      <c r="A121" s="13" t="s">
        <v>0</v>
      </c>
      <c r="B121" s="13" t="s">
        <v>1663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0</v>
      </c>
      <c r="B122" s="13" t="s">
        <v>1900</v>
      </c>
      <c r="C122" s="13">
        <v>3</v>
      </c>
      <c r="D122" s="13">
        <v>2</v>
      </c>
      <c r="E122" s="13">
        <v>3</v>
      </c>
    </row>
    <row r="123" spans="1:5" x14ac:dyDescent="0.3">
      <c r="A123" s="13" t="s">
        <v>0</v>
      </c>
      <c r="B123" s="13" t="s">
        <v>1948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0</v>
      </c>
      <c r="B124" s="13" t="s">
        <v>2093</v>
      </c>
      <c r="C124" s="13">
        <v>3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154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0</v>
      </c>
      <c r="B126" s="13" t="s">
        <v>2381</v>
      </c>
      <c r="C126" s="13">
        <v>2</v>
      </c>
      <c r="D126" s="13">
        <v>2</v>
      </c>
      <c r="E126" s="13">
        <v>3</v>
      </c>
    </row>
    <row r="127" spans="1:5" x14ac:dyDescent="0.3">
      <c r="A127" s="13" t="s">
        <v>0</v>
      </c>
      <c r="B127" s="13" t="s">
        <v>156</v>
      </c>
      <c r="C127" s="13">
        <v>2</v>
      </c>
      <c r="D127" s="13">
        <v>2</v>
      </c>
      <c r="E127" s="13">
        <v>4</v>
      </c>
    </row>
    <row r="128" spans="1:5" x14ac:dyDescent="0.3">
      <c r="A128" s="13" t="s">
        <v>0</v>
      </c>
      <c r="B128" s="13" t="s">
        <v>567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0</v>
      </c>
      <c r="B129" s="13" t="s">
        <v>1497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0</v>
      </c>
      <c r="B130" s="13" t="s">
        <v>172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0</v>
      </c>
      <c r="B131" s="13" t="s">
        <v>62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1826</v>
      </c>
      <c r="C132" s="13">
        <v>2</v>
      </c>
      <c r="D132" s="13">
        <v>2</v>
      </c>
      <c r="E132" s="13">
        <v>3</v>
      </c>
    </row>
    <row r="133" spans="1:5" x14ac:dyDescent="0.3">
      <c r="A133" s="13" t="s">
        <v>2</v>
      </c>
      <c r="B133" s="13" t="s">
        <v>1663</v>
      </c>
      <c r="C133" s="13">
        <v>2</v>
      </c>
      <c r="D133" s="13">
        <v>2</v>
      </c>
      <c r="E133" s="13">
        <v>3</v>
      </c>
    </row>
    <row r="134" spans="1:5" x14ac:dyDescent="0.3">
      <c r="A134" s="13" t="s">
        <v>1</v>
      </c>
      <c r="B134" s="13" t="s">
        <v>198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924</v>
      </c>
      <c r="C135" s="13">
        <v>1</v>
      </c>
      <c r="D135" s="13">
        <v>1</v>
      </c>
      <c r="E135" s="13">
        <v>2</v>
      </c>
    </row>
    <row r="136" spans="1:5" x14ac:dyDescent="0.3">
      <c r="A136" s="13" t="s">
        <v>1</v>
      </c>
      <c r="B136" s="13" t="s">
        <v>238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1583</v>
      </c>
      <c r="C137" s="13">
        <v>1</v>
      </c>
      <c r="D137" s="13">
        <v>1</v>
      </c>
      <c r="E137" s="13">
        <v>3</v>
      </c>
    </row>
    <row r="138" spans="1:5" x14ac:dyDescent="0.3">
      <c r="A138" s="13" t="s">
        <v>1</v>
      </c>
      <c r="B138" s="13" t="s">
        <v>2382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344</v>
      </c>
      <c r="C139" s="13">
        <v>1</v>
      </c>
      <c r="D139" s="13">
        <v>1</v>
      </c>
      <c r="E139" s="13">
        <v>2</v>
      </c>
    </row>
    <row r="140" spans="1:5" x14ac:dyDescent="0.3">
      <c r="A140" s="13" t="s">
        <v>1</v>
      </c>
      <c r="B140" s="13" t="s">
        <v>261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726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470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375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381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263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593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141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596</v>
      </c>
      <c r="C148" s="13">
        <v>1</v>
      </c>
      <c r="D148" s="13">
        <v>1</v>
      </c>
      <c r="E148" s="13">
        <v>2</v>
      </c>
    </row>
    <row r="149" spans="1:5" x14ac:dyDescent="0.3">
      <c r="A149" s="13" t="s">
        <v>1</v>
      </c>
      <c r="B149" s="13" t="s">
        <v>206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1089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1227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77</v>
      </c>
      <c r="C152" s="13">
        <v>1</v>
      </c>
      <c r="D152" s="13">
        <v>1</v>
      </c>
      <c r="E152" s="13">
        <v>2</v>
      </c>
    </row>
    <row r="153" spans="1:5" x14ac:dyDescent="0.3">
      <c r="A153" s="13" t="s">
        <v>1</v>
      </c>
      <c r="B153" s="13" t="s">
        <v>2383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243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813</v>
      </c>
      <c r="C155" s="13">
        <v>2</v>
      </c>
      <c r="D155" s="13">
        <v>1</v>
      </c>
      <c r="E155" s="13">
        <v>2</v>
      </c>
    </row>
    <row r="156" spans="1:5" x14ac:dyDescent="0.3">
      <c r="A156" s="13" t="s">
        <v>1</v>
      </c>
      <c r="B156" s="13" t="s">
        <v>2384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796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81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304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83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84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386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601</v>
      </c>
      <c r="C163" s="13">
        <v>1</v>
      </c>
      <c r="D163" s="13">
        <v>1</v>
      </c>
      <c r="E163" s="13">
        <v>2</v>
      </c>
    </row>
    <row r="164" spans="1:5" x14ac:dyDescent="0.3">
      <c r="A164" s="13" t="s">
        <v>1</v>
      </c>
      <c r="B164" s="13" t="s">
        <v>271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1751</v>
      </c>
      <c r="C165" s="13">
        <v>1</v>
      </c>
      <c r="D165" s="13">
        <v>1</v>
      </c>
      <c r="E165" s="13">
        <v>2</v>
      </c>
    </row>
    <row r="166" spans="1:5" x14ac:dyDescent="0.3">
      <c r="A166" s="13" t="s">
        <v>1</v>
      </c>
      <c r="B166" s="13" t="s">
        <v>464</v>
      </c>
      <c r="C166" s="13">
        <v>2</v>
      </c>
      <c r="D166" s="13">
        <v>1</v>
      </c>
      <c r="E166" s="13">
        <v>2</v>
      </c>
    </row>
    <row r="167" spans="1:5" x14ac:dyDescent="0.3">
      <c r="A167" s="13" t="s">
        <v>1</v>
      </c>
      <c r="B167" s="13" t="s">
        <v>212</v>
      </c>
      <c r="C167" s="13">
        <v>1</v>
      </c>
      <c r="D167" s="13">
        <v>1</v>
      </c>
      <c r="E167" s="13">
        <v>2</v>
      </c>
    </row>
    <row r="168" spans="1:5" x14ac:dyDescent="0.3">
      <c r="A168" s="13" t="s">
        <v>1</v>
      </c>
      <c r="B168" s="13" t="s">
        <v>991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1230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609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885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92</v>
      </c>
      <c r="C172" s="13">
        <v>1</v>
      </c>
      <c r="D172" s="13">
        <v>1</v>
      </c>
      <c r="E172" s="13">
        <v>2</v>
      </c>
    </row>
    <row r="173" spans="1:5" x14ac:dyDescent="0.3">
      <c r="A173" s="13" t="s">
        <v>1</v>
      </c>
      <c r="B173" s="13" t="s">
        <v>658</v>
      </c>
      <c r="C173" s="13">
        <v>2</v>
      </c>
      <c r="D173" s="13">
        <v>1</v>
      </c>
      <c r="E173" s="13">
        <v>2</v>
      </c>
    </row>
    <row r="174" spans="1:5" x14ac:dyDescent="0.3">
      <c r="A174" s="13" t="s">
        <v>1</v>
      </c>
      <c r="B174" s="13" t="s">
        <v>356</v>
      </c>
      <c r="C174" s="13">
        <v>2</v>
      </c>
      <c r="D174" s="13">
        <v>1</v>
      </c>
      <c r="E174" s="13">
        <v>2</v>
      </c>
    </row>
    <row r="175" spans="1:5" x14ac:dyDescent="0.3">
      <c r="A175" s="13" t="s">
        <v>1</v>
      </c>
      <c r="B175" s="13" t="s">
        <v>220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247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856</v>
      </c>
      <c r="C177" s="13">
        <v>2</v>
      </c>
      <c r="D177" s="13">
        <v>1</v>
      </c>
      <c r="E177" s="13">
        <v>2</v>
      </c>
    </row>
    <row r="178" spans="1:5" x14ac:dyDescent="0.3">
      <c r="A178" s="13" t="s">
        <v>1</v>
      </c>
      <c r="B178" s="13" t="s">
        <v>1370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1505</v>
      </c>
      <c r="C179" s="13">
        <v>2</v>
      </c>
      <c r="D179" s="13">
        <v>1</v>
      </c>
      <c r="E179" s="13">
        <v>2</v>
      </c>
    </row>
    <row r="180" spans="1:5" x14ac:dyDescent="0.3">
      <c r="A180" s="13" t="s">
        <v>1</v>
      </c>
      <c r="B180" s="13" t="s">
        <v>1570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1645</v>
      </c>
      <c r="C181" s="13">
        <v>3</v>
      </c>
      <c r="D181" s="13">
        <v>1</v>
      </c>
      <c r="E181" s="13">
        <v>4</v>
      </c>
    </row>
    <row r="182" spans="1:5" x14ac:dyDescent="0.3">
      <c r="A182" s="13" t="s">
        <v>1</v>
      </c>
      <c r="B182" s="13" t="s">
        <v>1654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1834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1854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1926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1886</v>
      </c>
      <c r="C186" s="13">
        <v>2</v>
      </c>
      <c r="D186" s="13">
        <v>1</v>
      </c>
      <c r="E186" s="13">
        <v>2</v>
      </c>
    </row>
    <row r="187" spans="1:5" x14ac:dyDescent="0.3">
      <c r="A187" s="13" t="s">
        <v>1</v>
      </c>
      <c r="B187" s="13" t="s">
        <v>1900</v>
      </c>
      <c r="C187" s="13">
        <v>2</v>
      </c>
      <c r="D187" s="13">
        <v>1</v>
      </c>
      <c r="E187" s="13">
        <v>2</v>
      </c>
    </row>
    <row r="188" spans="1:5" x14ac:dyDescent="0.3">
      <c r="A188" s="13" t="s">
        <v>1</v>
      </c>
      <c r="B188" s="13" t="s">
        <v>1910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1882</v>
      </c>
      <c r="C189" s="13">
        <v>3</v>
      </c>
      <c r="D189" s="13">
        <v>1</v>
      </c>
      <c r="E189" s="13">
        <v>3</v>
      </c>
    </row>
    <row r="190" spans="1:5" x14ac:dyDescent="0.3">
      <c r="A190" s="13" t="s">
        <v>1</v>
      </c>
      <c r="B190" s="13" t="s">
        <v>1960</v>
      </c>
      <c r="C190" s="13">
        <v>2</v>
      </c>
      <c r="D190" s="13">
        <v>1</v>
      </c>
      <c r="E190" s="13">
        <v>2</v>
      </c>
    </row>
    <row r="191" spans="1:5" x14ac:dyDescent="0.3">
      <c r="A191" s="13" t="s">
        <v>1</v>
      </c>
      <c r="B191" s="13" t="s">
        <v>1969</v>
      </c>
      <c r="C191" s="13">
        <v>2</v>
      </c>
      <c r="D191" s="13">
        <v>1</v>
      </c>
      <c r="E191" s="13">
        <v>2</v>
      </c>
    </row>
    <row r="192" spans="1:5" x14ac:dyDescent="0.3">
      <c r="A192" s="13" t="s">
        <v>1</v>
      </c>
      <c r="B192" s="13" t="s">
        <v>2069</v>
      </c>
      <c r="C192" s="13">
        <v>2</v>
      </c>
      <c r="D192" s="13">
        <v>1</v>
      </c>
      <c r="E192" s="13">
        <v>2</v>
      </c>
    </row>
    <row r="193" spans="1:5" x14ac:dyDescent="0.3">
      <c r="A193" s="13" t="s">
        <v>1</v>
      </c>
      <c r="B193" s="13" t="s">
        <v>2164</v>
      </c>
      <c r="C193" s="13">
        <v>6</v>
      </c>
      <c r="D193" s="13">
        <v>1</v>
      </c>
      <c r="E193" s="13">
        <v>6</v>
      </c>
    </row>
    <row r="194" spans="1:5" x14ac:dyDescent="0.3">
      <c r="A194" s="13" t="s">
        <v>1</v>
      </c>
      <c r="B194" s="13" t="s">
        <v>2179</v>
      </c>
      <c r="C194" s="13">
        <v>2</v>
      </c>
      <c r="D194" s="13">
        <v>1</v>
      </c>
      <c r="E194" s="13">
        <v>2</v>
      </c>
    </row>
    <row r="195" spans="1:5" x14ac:dyDescent="0.3">
      <c r="A195" s="13" t="s">
        <v>1</v>
      </c>
      <c r="B195" s="13" t="s">
        <v>154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273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426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819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506</v>
      </c>
      <c r="C199" s="13">
        <v>2</v>
      </c>
      <c r="D199" s="13">
        <v>1</v>
      </c>
      <c r="E199" s="13">
        <v>2</v>
      </c>
    </row>
    <row r="200" spans="1:5" x14ac:dyDescent="0.3">
      <c r="A200" s="13" t="s">
        <v>1</v>
      </c>
      <c r="B200" s="13" t="s">
        <v>387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49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2385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1590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476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890</v>
      </c>
      <c r="C205" s="13">
        <v>2</v>
      </c>
      <c r="D205" s="13">
        <v>1</v>
      </c>
      <c r="E205" s="13">
        <v>2</v>
      </c>
    </row>
    <row r="206" spans="1:5" x14ac:dyDescent="0.3">
      <c r="A206" s="13" t="s">
        <v>1</v>
      </c>
      <c r="B206" s="13" t="s">
        <v>97</v>
      </c>
      <c r="C206" s="13">
        <v>2</v>
      </c>
      <c r="D206" s="13">
        <v>1</v>
      </c>
      <c r="E206" s="13">
        <v>3</v>
      </c>
    </row>
    <row r="207" spans="1:5" x14ac:dyDescent="0.3">
      <c r="A207" s="13" t="s">
        <v>1</v>
      </c>
      <c r="B207" s="13" t="s">
        <v>1436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2386</v>
      </c>
      <c r="C208" s="13">
        <v>1</v>
      </c>
      <c r="D208" s="13">
        <v>1</v>
      </c>
      <c r="E208" s="13">
        <v>2</v>
      </c>
    </row>
    <row r="209" spans="1:5" x14ac:dyDescent="0.3">
      <c r="A209" s="13" t="s">
        <v>1</v>
      </c>
      <c r="B209" s="13" t="s">
        <v>730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428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562</v>
      </c>
      <c r="C211" s="13">
        <v>1</v>
      </c>
      <c r="D211" s="13">
        <v>1</v>
      </c>
      <c r="E211" s="13">
        <v>2</v>
      </c>
    </row>
    <row r="212" spans="1:5" x14ac:dyDescent="0.3">
      <c r="A212" s="13" t="s">
        <v>1</v>
      </c>
      <c r="B212" s="13" t="s">
        <v>1457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1345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102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161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1201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732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1311</v>
      </c>
      <c r="C218" s="13">
        <v>1</v>
      </c>
      <c r="D218" s="13">
        <v>1</v>
      </c>
      <c r="E218" s="13">
        <v>2</v>
      </c>
    </row>
    <row r="219" spans="1:5" x14ac:dyDescent="0.3">
      <c r="A219" s="13" t="s">
        <v>1</v>
      </c>
      <c r="B219" s="13" t="s">
        <v>1373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1813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1035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2029</v>
      </c>
      <c r="C222" s="13">
        <v>2</v>
      </c>
      <c r="D222" s="13">
        <v>1</v>
      </c>
      <c r="E222" s="13">
        <v>2</v>
      </c>
    </row>
    <row r="223" spans="1:5" x14ac:dyDescent="0.3">
      <c r="A223" s="13" t="s">
        <v>1</v>
      </c>
      <c r="B223" s="13" t="s">
        <v>2387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1095</v>
      </c>
      <c r="C224" s="13">
        <v>1</v>
      </c>
      <c r="D224" s="13">
        <v>1</v>
      </c>
      <c r="E224" s="13">
        <v>3</v>
      </c>
    </row>
    <row r="225" spans="1:5" x14ac:dyDescent="0.3">
      <c r="A225" s="13" t="s">
        <v>1</v>
      </c>
      <c r="B225" s="13" t="s">
        <v>2058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1499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2388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822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164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939</v>
      </c>
      <c r="C230" s="13">
        <v>2</v>
      </c>
      <c r="D230" s="13">
        <v>1</v>
      </c>
      <c r="E230" s="13">
        <v>2</v>
      </c>
    </row>
    <row r="231" spans="1:5" x14ac:dyDescent="0.3">
      <c r="A231" s="13" t="s">
        <v>1</v>
      </c>
      <c r="B231" s="13" t="s">
        <v>107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616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2389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165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50</v>
      </c>
      <c r="C235" s="13">
        <v>2</v>
      </c>
      <c r="D235" s="13">
        <v>1</v>
      </c>
      <c r="E235" s="13">
        <v>2</v>
      </c>
    </row>
    <row r="236" spans="1:5" x14ac:dyDescent="0.3">
      <c r="A236" s="13" t="s">
        <v>1</v>
      </c>
      <c r="B236" s="13" t="s">
        <v>1825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1803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1096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1028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2390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1328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1800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1680</v>
      </c>
      <c r="C243" s="13">
        <v>1</v>
      </c>
      <c r="D243" s="13">
        <v>1</v>
      </c>
      <c r="E243" s="13">
        <v>2</v>
      </c>
    </row>
    <row r="244" spans="1:5" x14ac:dyDescent="0.3">
      <c r="A244" s="13" t="s">
        <v>1</v>
      </c>
      <c r="B244" s="13" t="s">
        <v>1375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398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171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568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1107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1585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1594</v>
      </c>
      <c r="C250" s="13">
        <v>3</v>
      </c>
      <c r="D250" s="13">
        <v>1</v>
      </c>
      <c r="E250" s="13">
        <v>3</v>
      </c>
    </row>
    <row r="251" spans="1:5" x14ac:dyDescent="0.3">
      <c r="A251" s="13" t="s">
        <v>1</v>
      </c>
      <c r="B251" s="13" t="s">
        <v>1023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2391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2097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320</v>
      </c>
      <c r="C254" s="13">
        <v>1</v>
      </c>
      <c r="D254" s="13">
        <v>1</v>
      </c>
      <c r="E254" s="13">
        <v>2</v>
      </c>
    </row>
    <row r="255" spans="1:5" x14ac:dyDescent="0.3">
      <c r="A255" s="13" t="s">
        <v>1</v>
      </c>
      <c r="B255" s="13" t="s">
        <v>453</v>
      </c>
      <c r="C255" s="13">
        <v>2</v>
      </c>
      <c r="D255" s="13">
        <v>1</v>
      </c>
      <c r="E255" s="13">
        <v>3</v>
      </c>
    </row>
    <row r="256" spans="1:5" x14ac:dyDescent="0.3">
      <c r="A256" s="13" t="s">
        <v>1</v>
      </c>
      <c r="B256" s="13" t="s">
        <v>284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692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693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1356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1149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325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2392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360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1190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696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2393</v>
      </c>
      <c r="C266" s="13">
        <v>1</v>
      </c>
      <c r="D266" s="13">
        <v>1</v>
      </c>
      <c r="E266" s="13">
        <v>2</v>
      </c>
    </row>
    <row r="267" spans="1:5" x14ac:dyDescent="0.3">
      <c r="A267" s="13" t="s">
        <v>1</v>
      </c>
      <c r="B267" s="13" t="s">
        <v>2394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1093</v>
      </c>
      <c r="C268" s="13">
        <v>1</v>
      </c>
      <c r="D268" s="13">
        <v>1</v>
      </c>
      <c r="E268" s="13">
        <v>2</v>
      </c>
    </row>
    <row r="269" spans="1:5" x14ac:dyDescent="0.3">
      <c r="A269" s="13" t="s">
        <v>1</v>
      </c>
      <c r="B269" s="13" t="s">
        <v>648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2395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1038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172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329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1815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331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2187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1076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118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196</v>
      </c>
      <c r="C279" s="13">
        <v>3</v>
      </c>
      <c r="D279" s="13">
        <v>1</v>
      </c>
      <c r="E279" s="13">
        <v>3</v>
      </c>
    </row>
    <row r="280" spans="1:5" x14ac:dyDescent="0.3">
      <c r="A280" s="13" t="s">
        <v>1</v>
      </c>
      <c r="B280" s="13" t="s">
        <v>120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121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123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902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530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838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175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1092</v>
      </c>
      <c r="C287" s="13">
        <v>2</v>
      </c>
      <c r="D287" s="13">
        <v>1</v>
      </c>
      <c r="E287" s="13">
        <v>3</v>
      </c>
    </row>
    <row r="288" spans="1:5" x14ac:dyDescent="0.3">
      <c r="A288" s="13" t="s">
        <v>1</v>
      </c>
      <c r="B288" s="13" t="s">
        <v>704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705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1115</v>
      </c>
      <c r="C290" s="13">
        <v>1</v>
      </c>
      <c r="D290" s="13">
        <v>1</v>
      </c>
      <c r="E290" s="13">
        <v>4</v>
      </c>
    </row>
    <row r="291" spans="1:5" x14ac:dyDescent="0.3">
      <c r="A291" s="13" t="s">
        <v>1</v>
      </c>
      <c r="B291" s="13" t="s">
        <v>336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663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63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954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955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709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176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1195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2325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412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634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1702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778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255</v>
      </c>
      <c r="C304" s="13">
        <v>2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339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866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907</v>
      </c>
      <c r="C307" s="13">
        <v>3</v>
      </c>
      <c r="D307" s="13">
        <v>1</v>
      </c>
      <c r="E307" s="13">
        <v>3</v>
      </c>
    </row>
    <row r="308" spans="1:5" x14ac:dyDescent="0.3">
      <c r="A308" s="13" t="s">
        <v>1</v>
      </c>
      <c r="B308" s="13" t="s">
        <v>52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1102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2055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1046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958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867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187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340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1025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2361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2396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483</v>
      </c>
      <c r="C319" s="13">
        <v>5</v>
      </c>
      <c r="D319" s="13">
        <v>1</v>
      </c>
      <c r="E319" s="13">
        <v>5</v>
      </c>
    </row>
    <row r="320" spans="1:5" x14ac:dyDescent="0.3">
      <c r="A320" s="13" t="s">
        <v>1</v>
      </c>
      <c r="B320" s="13" t="s">
        <v>188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441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1490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132</v>
      </c>
      <c r="C323" s="13">
        <v>3</v>
      </c>
      <c r="D323" s="13">
        <v>1</v>
      </c>
      <c r="E323" s="13">
        <v>3</v>
      </c>
    </row>
    <row r="324" spans="1:5" x14ac:dyDescent="0.3">
      <c r="A324" s="13" t="s">
        <v>1</v>
      </c>
      <c r="B324" s="13" t="s">
        <v>484</v>
      </c>
      <c r="C324" s="13">
        <v>2</v>
      </c>
      <c r="D324" s="13">
        <v>1</v>
      </c>
      <c r="E324" s="13">
        <v>2</v>
      </c>
    </row>
    <row r="325" spans="1:5" x14ac:dyDescent="0.3">
      <c r="A325" s="13" t="s">
        <v>1</v>
      </c>
      <c r="B325" s="13" t="s">
        <v>543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53</v>
      </c>
      <c r="C326" s="13">
        <v>3</v>
      </c>
      <c r="D326" s="13">
        <v>1</v>
      </c>
      <c r="E326" s="13">
        <v>4</v>
      </c>
    </row>
    <row r="327" spans="1:5" x14ac:dyDescent="0.3">
      <c r="A327" s="13" t="s">
        <v>1</v>
      </c>
      <c r="B327" s="13" t="s">
        <v>1432</v>
      </c>
      <c r="C327" s="13">
        <v>1</v>
      </c>
      <c r="D327" s="13">
        <v>1</v>
      </c>
      <c r="E327" s="13">
        <v>2</v>
      </c>
    </row>
    <row r="328" spans="1:5" x14ac:dyDescent="0.3">
      <c r="A328" s="13" t="s">
        <v>1</v>
      </c>
      <c r="B328" s="13" t="s">
        <v>1220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134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1</v>
      </c>
      <c r="B330" s="13" t="s">
        <v>370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365</v>
      </c>
      <c r="C331" s="13">
        <v>2</v>
      </c>
      <c r="D331" s="13">
        <v>1</v>
      </c>
      <c r="E331" s="13">
        <v>2</v>
      </c>
    </row>
    <row r="332" spans="1:5" x14ac:dyDescent="0.3">
      <c r="A332" s="13" t="s">
        <v>1</v>
      </c>
      <c r="B332" s="13" t="s">
        <v>233</v>
      </c>
      <c r="C332" s="13">
        <v>2</v>
      </c>
      <c r="D332" s="13">
        <v>1</v>
      </c>
      <c r="E332" s="13">
        <v>4</v>
      </c>
    </row>
    <row r="333" spans="1:5" x14ac:dyDescent="0.3">
      <c r="A333" s="13" t="s">
        <v>1</v>
      </c>
      <c r="B333" s="13" t="s">
        <v>55</v>
      </c>
      <c r="C333" s="13">
        <v>12</v>
      </c>
      <c r="D333" s="13">
        <v>1</v>
      </c>
      <c r="E333" s="13">
        <v>16</v>
      </c>
    </row>
    <row r="334" spans="1:5" x14ac:dyDescent="0.3">
      <c r="A334" s="13" t="s">
        <v>1</v>
      </c>
      <c r="B334" s="13" t="s">
        <v>2397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786</v>
      </c>
      <c r="C335" s="13">
        <v>1</v>
      </c>
      <c r="D335" s="13">
        <v>1</v>
      </c>
      <c r="E335" s="13">
        <v>2</v>
      </c>
    </row>
    <row r="336" spans="1:5" x14ac:dyDescent="0.3">
      <c r="A336" s="13" t="s">
        <v>1</v>
      </c>
      <c r="B336" s="13" t="s">
        <v>1563</v>
      </c>
      <c r="C336" s="13">
        <v>1</v>
      </c>
      <c r="D336" s="13">
        <v>1</v>
      </c>
      <c r="E336" s="13"/>
    </row>
    <row r="337" spans="1:5" x14ac:dyDescent="0.3">
      <c r="A337" s="13" t="s">
        <v>1</v>
      </c>
      <c r="B337" s="13" t="s">
        <v>2398</v>
      </c>
      <c r="C337" s="13">
        <v>1</v>
      </c>
      <c r="D337" s="13">
        <v>2</v>
      </c>
      <c r="E337" s="13"/>
    </row>
    <row r="338" spans="1:5" x14ac:dyDescent="0.3">
      <c r="A338" s="13" t="s">
        <v>1</v>
      </c>
      <c r="B338" s="13" t="s">
        <v>1760</v>
      </c>
      <c r="C338" s="13">
        <v>1</v>
      </c>
      <c r="D338" s="13">
        <v>2</v>
      </c>
      <c r="E338" s="13"/>
    </row>
    <row r="339" spans="1:5" x14ac:dyDescent="0.3">
      <c r="A339" s="13" t="s">
        <v>1</v>
      </c>
      <c r="B339" s="13" t="s">
        <v>1667</v>
      </c>
      <c r="C339" s="13">
        <v>1</v>
      </c>
      <c r="D339" s="13">
        <v>2</v>
      </c>
      <c r="E339" s="13"/>
    </row>
    <row r="340" spans="1:5" x14ac:dyDescent="0.3">
      <c r="A340" s="13" t="s">
        <v>1</v>
      </c>
      <c r="B340" s="13" t="s">
        <v>2399</v>
      </c>
      <c r="C340" s="13">
        <v>1</v>
      </c>
      <c r="D340" s="13">
        <v>1</v>
      </c>
      <c r="E340" s="13"/>
    </row>
    <row r="341" spans="1:5" x14ac:dyDescent="0.3">
      <c r="A341" s="13" t="s">
        <v>1</v>
      </c>
      <c r="B341" s="13" t="s">
        <v>468</v>
      </c>
      <c r="C341" s="13">
        <v>1</v>
      </c>
      <c r="D341" s="13">
        <v>2</v>
      </c>
      <c r="E341" s="13"/>
    </row>
    <row r="342" spans="1:5" x14ac:dyDescent="0.3">
      <c r="A342" s="13" t="s">
        <v>1</v>
      </c>
      <c r="B342" s="13" t="s">
        <v>1841</v>
      </c>
      <c r="C342" s="13">
        <v>2</v>
      </c>
      <c r="D342" s="13">
        <v>1</v>
      </c>
      <c r="E342" s="13">
        <v>2</v>
      </c>
    </row>
    <row r="343" spans="1:5" x14ac:dyDescent="0.3">
      <c r="A343" s="13" t="s">
        <v>1</v>
      </c>
      <c r="B343" s="13" t="s">
        <v>1717</v>
      </c>
      <c r="C343" s="13">
        <v>1</v>
      </c>
      <c r="D343" s="13">
        <v>2</v>
      </c>
      <c r="E343" s="13"/>
    </row>
    <row r="344" spans="1:5" x14ac:dyDescent="0.3">
      <c r="A344" s="13" t="s">
        <v>1</v>
      </c>
      <c r="B344" s="13" t="s">
        <v>2142</v>
      </c>
      <c r="C344" s="13">
        <v>1</v>
      </c>
      <c r="D344" s="13">
        <v>2</v>
      </c>
      <c r="E344" s="13"/>
    </row>
    <row r="345" spans="1:5" x14ac:dyDescent="0.3">
      <c r="A345" s="13" t="s">
        <v>1</v>
      </c>
      <c r="B345" s="13" t="s">
        <v>2400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1</v>
      </c>
      <c r="B346" s="13" t="s">
        <v>1863</v>
      </c>
      <c r="C346" s="13">
        <v>1</v>
      </c>
      <c r="D346" s="13">
        <v>1</v>
      </c>
      <c r="E346" s="13">
        <v>5</v>
      </c>
    </row>
    <row r="347" spans="1:5" x14ac:dyDescent="0.3">
      <c r="A347" s="13" t="s">
        <v>1</v>
      </c>
      <c r="B347" s="13" t="s">
        <v>2135</v>
      </c>
      <c r="C347" s="13">
        <v>1</v>
      </c>
      <c r="D347" s="13">
        <v>1</v>
      </c>
      <c r="E347" s="13"/>
    </row>
    <row r="348" spans="1:5" x14ac:dyDescent="0.3">
      <c r="A348" s="13" t="s">
        <v>1</v>
      </c>
      <c r="B348" s="13" t="s">
        <v>298</v>
      </c>
      <c r="C348" s="13">
        <v>1</v>
      </c>
      <c r="D348" s="13">
        <v>1</v>
      </c>
      <c r="E348" s="13">
        <v>3</v>
      </c>
    </row>
    <row r="349" spans="1:5" x14ac:dyDescent="0.3">
      <c r="A349" s="13" t="s">
        <v>1</v>
      </c>
      <c r="B349" s="13" t="s">
        <v>1121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1</v>
      </c>
      <c r="B350" s="13" t="s">
        <v>964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0</v>
      </c>
      <c r="B351" s="13" t="s">
        <v>807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0</v>
      </c>
      <c r="B352" s="13" t="s">
        <v>238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0</v>
      </c>
      <c r="B353" s="13" t="s">
        <v>36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199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0</v>
      </c>
      <c r="B355" s="13" t="s">
        <v>262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73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48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375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203</v>
      </c>
      <c r="C359" s="13">
        <v>2</v>
      </c>
      <c r="D359" s="13">
        <v>1</v>
      </c>
      <c r="E359" s="13">
        <v>2</v>
      </c>
    </row>
    <row r="360" spans="1:5" x14ac:dyDescent="0.3">
      <c r="A360" s="13" t="s">
        <v>0</v>
      </c>
      <c r="B360" s="13" t="s">
        <v>670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809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58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811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206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142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143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346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77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59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812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1208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40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260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81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211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83</v>
      </c>
      <c r="C376" s="13">
        <v>2</v>
      </c>
      <c r="D376" s="13">
        <v>1</v>
      </c>
      <c r="E376" s="13">
        <v>2</v>
      </c>
    </row>
    <row r="377" spans="1:5" x14ac:dyDescent="0.3">
      <c r="A377" s="13" t="s">
        <v>0</v>
      </c>
      <c r="B377" s="13" t="s">
        <v>145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149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1183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91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194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41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94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1370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1655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1885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1884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1882</v>
      </c>
      <c r="C388" s="13">
        <v>2</v>
      </c>
      <c r="D388" s="13">
        <v>1</v>
      </c>
      <c r="E388" s="13">
        <v>2</v>
      </c>
    </row>
    <row r="389" spans="1:5" x14ac:dyDescent="0.3">
      <c r="A389" s="13" t="s">
        <v>0</v>
      </c>
      <c r="B389" s="13" t="s">
        <v>1960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2069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2148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2179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1629</v>
      </c>
      <c r="C393" s="13">
        <v>2</v>
      </c>
      <c r="D393" s="13">
        <v>1</v>
      </c>
      <c r="E393" s="13">
        <v>2</v>
      </c>
    </row>
    <row r="394" spans="1:5" x14ac:dyDescent="0.3">
      <c r="A394" s="13" t="s">
        <v>0</v>
      </c>
      <c r="B394" s="13" t="s">
        <v>95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389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1104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1032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2401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1890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509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1342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97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510</v>
      </c>
      <c r="C403" s="13">
        <v>1</v>
      </c>
      <c r="D403" s="13">
        <v>1</v>
      </c>
      <c r="E403" s="13">
        <v>2</v>
      </c>
    </row>
    <row r="404" spans="1:5" x14ac:dyDescent="0.3">
      <c r="A404" s="13" t="s">
        <v>0</v>
      </c>
      <c r="B404" s="13" t="s">
        <v>1034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159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937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28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101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102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1901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393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105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163</v>
      </c>
      <c r="C413" s="13">
        <v>2</v>
      </c>
      <c r="D413" s="13">
        <v>1</v>
      </c>
      <c r="E413" s="13">
        <v>5</v>
      </c>
    </row>
    <row r="414" spans="1:5" x14ac:dyDescent="0.3">
      <c r="A414" s="13" t="s">
        <v>0</v>
      </c>
      <c r="B414" s="13" t="s">
        <v>1055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429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395</v>
      </c>
      <c r="C416" s="13">
        <v>1</v>
      </c>
      <c r="D416" s="13">
        <v>1</v>
      </c>
      <c r="E416" s="13">
        <v>3</v>
      </c>
    </row>
    <row r="417" spans="1:5" x14ac:dyDescent="0.3">
      <c r="A417" s="13" t="s">
        <v>0</v>
      </c>
      <c r="B417" s="13" t="s">
        <v>1172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942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943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568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315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317</v>
      </c>
      <c r="C422" s="13">
        <v>1</v>
      </c>
      <c r="D422" s="13">
        <v>1</v>
      </c>
      <c r="E422" s="13">
        <v>3</v>
      </c>
    </row>
    <row r="423" spans="1:5" x14ac:dyDescent="0.3">
      <c r="A423" s="13" t="s">
        <v>0</v>
      </c>
      <c r="B423" s="13" t="s">
        <v>1594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45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320</v>
      </c>
      <c r="C425" s="13">
        <v>1</v>
      </c>
      <c r="D425" s="13">
        <v>1</v>
      </c>
      <c r="E425" s="13">
        <v>2</v>
      </c>
    </row>
    <row r="426" spans="1:5" x14ac:dyDescent="0.3">
      <c r="A426" s="13" t="s">
        <v>0</v>
      </c>
      <c r="B426" s="13" t="s">
        <v>2323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328</v>
      </c>
      <c r="C427" s="13">
        <v>1</v>
      </c>
      <c r="D427" s="13">
        <v>1</v>
      </c>
      <c r="E427" s="13">
        <v>2</v>
      </c>
    </row>
    <row r="428" spans="1:5" x14ac:dyDescent="0.3">
      <c r="A428" s="13" t="s">
        <v>0</v>
      </c>
      <c r="B428" s="13" t="s">
        <v>836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479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376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118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120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174</v>
      </c>
      <c r="C433" s="13">
        <v>1</v>
      </c>
      <c r="D433" s="13">
        <v>1</v>
      </c>
      <c r="E433" s="13">
        <v>2</v>
      </c>
    </row>
    <row r="434" spans="1:5" x14ac:dyDescent="0.3">
      <c r="A434" s="13" t="s">
        <v>0</v>
      </c>
      <c r="B434" s="13" t="s">
        <v>532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409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708</v>
      </c>
      <c r="C436" s="13">
        <v>1</v>
      </c>
      <c r="D436" s="13">
        <v>1</v>
      </c>
      <c r="E436" s="13">
        <v>2</v>
      </c>
    </row>
    <row r="437" spans="1:5" x14ac:dyDescent="0.3">
      <c r="A437" s="13" t="s">
        <v>0</v>
      </c>
      <c r="B437" s="13" t="s">
        <v>709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2107</v>
      </c>
      <c r="C438" s="13">
        <v>1</v>
      </c>
      <c r="D438" s="13">
        <v>1</v>
      </c>
      <c r="E438" s="13">
        <v>2</v>
      </c>
    </row>
    <row r="439" spans="1:5" x14ac:dyDescent="0.3">
      <c r="A439" s="13" t="s">
        <v>0</v>
      </c>
      <c r="B439" s="13" t="s">
        <v>124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2402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2331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415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52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437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417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38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2396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64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1490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459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484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66</v>
      </c>
      <c r="C452" s="13">
        <v>2</v>
      </c>
      <c r="D452" s="13">
        <v>1</v>
      </c>
      <c r="E452" s="13">
        <v>11</v>
      </c>
    </row>
    <row r="453" spans="1:5" x14ac:dyDescent="0.3">
      <c r="A453" s="13" t="s">
        <v>0</v>
      </c>
      <c r="B453" s="13" t="s">
        <v>67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2056</v>
      </c>
      <c r="C454" s="13">
        <v>1</v>
      </c>
      <c r="D454" s="13">
        <v>1</v>
      </c>
      <c r="E454" s="13">
        <v>2</v>
      </c>
    </row>
    <row r="455" spans="1:5" x14ac:dyDescent="0.3">
      <c r="A455" s="13" t="s">
        <v>0</v>
      </c>
      <c r="B455" s="13" t="s">
        <v>1198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1564</v>
      </c>
      <c r="C456" s="13">
        <v>1</v>
      </c>
      <c r="D456" s="13">
        <v>1</v>
      </c>
      <c r="E456" s="13">
        <v>2</v>
      </c>
    </row>
    <row r="457" spans="1:5" x14ac:dyDescent="0.3">
      <c r="A457" s="13" t="s">
        <v>0</v>
      </c>
      <c r="B457" s="13" t="s">
        <v>1148</v>
      </c>
      <c r="C457" s="13">
        <v>1</v>
      </c>
      <c r="D457" s="13">
        <v>1</v>
      </c>
      <c r="E457" s="13"/>
    </row>
    <row r="458" spans="1:5" x14ac:dyDescent="0.3">
      <c r="A458" s="13" t="s">
        <v>2</v>
      </c>
      <c r="B458" s="13" t="s">
        <v>30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2</v>
      </c>
      <c r="B459" s="13" t="s">
        <v>84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2</v>
      </c>
      <c r="B460" s="13" t="s">
        <v>61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2</v>
      </c>
      <c r="B461" s="13" t="s">
        <v>1067</v>
      </c>
      <c r="C461" s="13">
        <v>1</v>
      </c>
      <c r="D461" s="13">
        <v>1</v>
      </c>
      <c r="E461" s="13">
        <v>2</v>
      </c>
    </row>
    <row r="462" spans="1:5" x14ac:dyDescent="0.3">
      <c r="A462" s="13" t="s">
        <v>2</v>
      </c>
      <c r="B462" s="13" t="s">
        <v>1890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2</v>
      </c>
      <c r="B463" s="13" t="s">
        <v>311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2</v>
      </c>
      <c r="B464" s="13" t="s">
        <v>29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2</v>
      </c>
      <c r="B465" s="13" t="s">
        <v>37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1</v>
      </c>
      <c r="B466" s="13" t="s">
        <v>199</v>
      </c>
      <c r="C466" s="13">
        <v>2</v>
      </c>
      <c r="D466" s="13">
        <v>0</v>
      </c>
      <c r="E466" s="13">
        <v>4</v>
      </c>
    </row>
    <row r="467" spans="1:5" x14ac:dyDescent="0.3">
      <c r="A467" s="13" t="s">
        <v>1</v>
      </c>
      <c r="B467" s="13" t="s">
        <v>300</v>
      </c>
      <c r="C467" s="13">
        <v>1</v>
      </c>
      <c r="D467" s="13">
        <v>0</v>
      </c>
      <c r="E467" s="13">
        <v>1</v>
      </c>
    </row>
    <row r="468" spans="1:5" x14ac:dyDescent="0.3">
      <c r="A468" s="13" t="s">
        <v>1</v>
      </c>
      <c r="B468" s="13" t="s">
        <v>138</v>
      </c>
      <c r="C468" s="13">
        <v>1</v>
      </c>
      <c r="D468" s="13">
        <v>0</v>
      </c>
      <c r="E468" s="13">
        <v>1</v>
      </c>
    </row>
    <row r="469" spans="1:5" x14ac:dyDescent="0.3">
      <c r="A469" s="13" t="s">
        <v>1</v>
      </c>
      <c r="B469" s="13" t="s">
        <v>2403</v>
      </c>
      <c r="C469" s="13">
        <v>1</v>
      </c>
      <c r="D469" s="13">
        <v>0</v>
      </c>
      <c r="E469" s="13">
        <v>1</v>
      </c>
    </row>
    <row r="470" spans="1:5" x14ac:dyDescent="0.3">
      <c r="A470" s="13" t="s">
        <v>1</v>
      </c>
      <c r="B470" s="13" t="s">
        <v>380</v>
      </c>
      <c r="C470" s="13">
        <v>1</v>
      </c>
      <c r="D470" s="13">
        <v>0</v>
      </c>
      <c r="E470" s="13">
        <v>1</v>
      </c>
    </row>
    <row r="471" spans="1:5" x14ac:dyDescent="0.3">
      <c r="A471" s="13" t="s">
        <v>1</v>
      </c>
      <c r="B471" s="13" t="s">
        <v>202</v>
      </c>
      <c r="C471" s="13">
        <v>1</v>
      </c>
      <c r="D471" s="13">
        <v>0</v>
      </c>
      <c r="E471" s="13">
        <v>1</v>
      </c>
    </row>
    <row r="472" spans="1:5" x14ac:dyDescent="0.3">
      <c r="A472" s="13" t="s">
        <v>1</v>
      </c>
      <c r="B472" s="13" t="s">
        <v>982</v>
      </c>
      <c r="C472" s="13">
        <v>2</v>
      </c>
      <c r="D472" s="13">
        <v>0</v>
      </c>
      <c r="E472" s="13">
        <v>2</v>
      </c>
    </row>
    <row r="473" spans="1:5" x14ac:dyDescent="0.3">
      <c r="A473" s="13" t="s">
        <v>1</v>
      </c>
      <c r="B473" s="13" t="s">
        <v>589</v>
      </c>
      <c r="C473" s="13">
        <v>1</v>
      </c>
      <c r="D473" s="13">
        <v>0</v>
      </c>
      <c r="E473" s="13">
        <v>1</v>
      </c>
    </row>
    <row r="474" spans="1:5" x14ac:dyDescent="0.3">
      <c r="A474" s="13" t="s">
        <v>1</v>
      </c>
      <c r="B474" s="13" t="s">
        <v>57</v>
      </c>
      <c r="C474" s="13">
        <v>1</v>
      </c>
      <c r="D474" s="13">
        <v>0</v>
      </c>
      <c r="E474" s="13">
        <v>1</v>
      </c>
    </row>
    <row r="475" spans="1:5" x14ac:dyDescent="0.3">
      <c r="A475" s="13" t="s">
        <v>1</v>
      </c>
      <c r="B475" s="13" t="s">
        <v>73</v>
      </c>
      <c r="C475" s="13">
        <v>6</v>
      </c>
      <c r="D475" s="13">
        <v>0</v>
      </c>
      <c r="E475" s="13">
        <v>9</v>
      </c>
    </row>
    <row r="476" spans="1:5" x14ac:dyDescent="0.3">
      <c r="A476" s="13" t="s">
        <v>1</v>
      </c>
      <c r="B476" s="13" t="s">
        <v>139</v>
      </c>
      <c r="C476" s="13">
        <v>1</v>
      </c>
      <c r="D476" s="13">
        <v>0</v>
      </c>
      <c r="E476" s="13">
        <v>1</v>
      </c>
    </row>
    <row r="477" spans="1:5" x14ac:dyDescent="0.3">
      <c r="A477" s="13" t="s">
        <v>1</v>
      </c>
      <c r="B477" s="13" t="s">
        <v>203</v>
      </c>
      <c r="C477" s="13">
        <v>1</v>
      </c>
      <c r="D477" s="13">
        <v>0</v>
      </c>
      <c r="E477" s="13">
        <v>1</v>
      </c>
    </row>
    <row r="478" spans="1:5" x14ac:dyDescent="0.3">
      <c r="A478" s="13" t="s">
        <v>1</v>
      </c>
      <c r="B478" s="13" t="s">
        <v>496</v>
      </c>
      <c r="C478" s="13">
        <v>1</v>
      </c>
      <c r="D478" s="13">
        <v>0</v>
      </c>
      <c r="E478" s="13">
        <v>1</v>
      </c>
    </row>
    <row r="479" spans="1:5" x14ac:dyDescent="0.3">
      <c r="A479" s="13" t="s">
        <v>1</v>
      </c>
      <c r="B479" s="13" t="s">
        <v>2404</v>
      </c>
      <c r="C479" s="13">
        <v>1</v>
      </c>
      <c r="D479" s="13">
        <v>0</v>
      </c>
      <c r="E479" s="13">
        <v>1</v>
      </c>
    </row>
    <row r="480" spans="1:5" x14ac:dyDescent="0.3">
      <c r="A480" s="13" t="s">
        <v>1</v>
      </c>
      <c r="B480" s="13" t="s">
        <v>74</v>
      </c>
      <c r="C480" s="13">
        <v>1</v>
      </c>
      <c r="D480" s="13">
        <v>0</v>
      </c>
      <c r="E480" s="13">
        <v>0</v>
      </c>
    </row>
    <row r="481" spans="1:5" x14ac:dyDescent="0.3">
      <c r="A481" s="13" t="s">
        <v>1</v>
      </c>
      <c r="B481" s="13" t="s">
        <v>420</v>
      </c>
      <c r="C481" s="13">
        <v>1</v>
      </c>
      <c r="D481" s="13">
        <v>0</v>
      </c>
      <c r="E481" s="13">
        <v>1</v>
      </c>
    </row>
    <row r="482" spans="1:5" x14ac:dyDescent="0.3">
      <c r="A482" s="13" t="s">
        <v>1</v>
      </c>
      <c r="B482" s="13" t="s">
        <v>265</v>
      </c>
      <c r="C482" s="13">
        <v>1</v>
      </c>
      <c r="D482" s="13">
        <v>0</v>
      </c>
      <c r="E482" s="13">
        <v>1</v>
      </c>
    </row>
    <row r="483" spans="1:5" x14ac:dyDescent="0.3">
      <c r="A483" s="13" t="s">
        <v>1</v>
      </c>
      <c r="B483" s="13" t="s">
        <v>474</v>
      </c>
      <c r="C483" s="13">
        <v>1</v>
      </c>
      <c r="D483" s="13">
        <v>0</v>
      </c>
      <c r="E483" s="13">
        <v>1</v>
      </c>
    </row>
    <row r="484" spans="1:5" x14ac:dyDescent="0.3">
      <c r="A484" s="13" t="s">
        <v>1</v>
      </c>
      <c r="B484" s="13" t="s">
        <v>447</v>
      </c>
      <c r="C484" s="13">
        <v>2</v>
      </c>
      <c r="D484" s="13">
        <v>0</v>
      </c>
      <c r="E484" s="13">
        <v>2</v>
      </c>
    </row>
    <row r="485" spans="1:5" x14ac:dyDescent="0.3">
      <c r="A485" s="13" t="s">
        <v>1</v>
      </c>
      <c r="B485" s="13" t="s">
        <v>345</v>
      </c>
      <c r="C485" s="13">
        <v>1</v>
      </c>
      <c r="D485" s="13">
        <v>0</v>
      </c>
      <c r="E485" s="13">
        <v>1</v>
      </c>
    </row>
    <row r="486" spans="1:5" x14ac:dyDescent="0.3">
      <c r="A486" s="13" t="s">
        <v>1</v>
      </c>
      <c r="B486" s="13" t="s">
        <v>1845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2405</v>
      </c>
      <c r="C487" s="13">
        <v>1</v>
      </c>
      <c r="D487" s="13">
        <v>0</v>
      </c>
      <c r="E487" s="13">
        <v>1</v>
      </c>
    </row>
    <row r="488" spans="1:5" x14ac:dyDescent="0.3">
      <c r="A488" s="13" t="s">
        <v>1</v>
      </c>
      <c r="B488" s="13" t="s">
        <v>78</v>
      </c>
      <c r="C488" s="13">
        <v>3</v>
      </c>
      <c r="D488" s="13">
        <v>0</v>
      </c>
      <c r="E488" s="13">
        <v>3</v>
      </c>
    </row>
    <row r="489" spans="1:5" x14ac:dyDescent="0.3">
      <c r="A489" s="13" t="s">
        <v>1</v>
      </c>
      <c r="B489" s="13" t="s">
        <v>209</v>
      </c>
      <c r="C489" s="13">
        <v>1</v>
      </c>
      <c r="D489" s="13">
        <v>0</v>
      </c>
      <c r="E489" s="13">
        <v>1</v>
      </c>
    </row>
    <row r="490" spans="1:5" x14ac:dyDescent="0.3">
      <c r="A490" s="13" t="s">
        <v>1</v>
      </c>
      <c r="B490" s="13" t="s">
        <v>1729</v>
      </c>
      <c r="C490" s="13">
        <v>1</v>
      </c>
      <c r="D490" s="13">
        <v>0</v>
      </c>
      <c r="E490" s="13">
        <v>1</v>
      </c>
    </row>
    <row r="491" spans="1:5" x14ac:dyDescent="0.3">
      <c r="A491" s="13" t="s">
        <v>1</v>
      </c>
      <c r="B491" s="13" t="s">
        <v>500</v>
      </c>
      <c r="C491" s="13">
        <v>1</v>
      </c>
      <c r="D491" s="13">
        <v>0</v>
      </c>
      <c r="E491" s="13">
        <v>1</v>
      </c>
    </row>
    <row r="492" spans="1:5" x14ac:dyDescent="0.3">
      <c r="A492" s="13" t="s">
        <v>1</v>
      </c>
      <c r="B492" s="13" t="s">
        <v>270</v>
      </c>
      <c r="C492" s="13">
        <v>2</v>
      </c>
      <c r="D492" s="13">
        <v>0</v>
      </c>
      <c r="E492" s="13">
        <v>1</v>
      </c>
    </row>
    <row r="493" spans="1:5" x14ac:dyDescent="0.3">
      <c r="A493" s="13" t="s">
        <v>1</v>
      </c>
      <c r="B493" s="13" t="s">
        <v>727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986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349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558</v>
      </c>
      <c r="C496" s="13">
        <v>1</v>
      </c>
      <c r="D496" s="13">
        <v>0</v>
      </c>
      <c r="E496" s="13">
        <v>1</v>
      </c>
    </row>
    <row r="497" spans="1:5" x14ac:dyDescent="0.3">
      <c r="A497" s="13" t="s">
        <v>1</v>
      </c>
      <c r="B497" s="13" t="s">
        <v>1019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1211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760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88</v>
      </c>
      <c r="C500" s="13">
        <v>1</v>
      </c>
      <c r="D500" s="13">
        <v>0</v>
      </c>
      <c r="E500" s="13">
        <v>1</v>
      </c>
    </row>
    <row r="501" spans="1:5" x14ac:dyDescent="0.3">
      <c r="A501" s="13" t="s">
        <v>1</v>
      </c>
      <c r="B501" s="13" t="s">
        <v>914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89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606</v>
      </c>
      <c r="C503" s="13">
        <v>2</v>
      </c>
      <c r="D503" s="13">
        <v>0</v>
      </c>
      <c r="E503" s="13">
        <v>2</v>
      </c>
    </row>
    <row r="504" spans="1:5" x14ac:dyDescent="0.3">
      <c r="A504" s="13" t="s">
        <v>1</v>
      </c>
      <c r="B504" s="13" t="s">
        <v>149</v>
      </c>
      <c r="C504" s="13">
        <v>2</v>
      </c>
      <c r="D504" s="13">
        <v>0</v>
      </c>
      <c r="E504" s="13">
        <v>2</v>
      </c>
    </row>
    <row r="505" spans="1:5" x14ac:dyDescent="0.3">
      <c r="A505" s="13" t="s">
        <v>1</v>
      </c>
      <c r="B505" s="13" t="s">
        <v>90</v>
      </c>
      <c r="C505" s="13">
        <v>1</v>
      </c>
      <c r="D505" s="13">
        <v>0</v>
      </c>
      <c r="E505" s="13">
        <v>1</v>
      </c>
    </row>
    <row r="506" spans="1:5" x14ac:dyDescent="0.3">
      <c r="A506" s="13" t="s">
        <v>1</v>
      </c>
      <c r="B506" s="13" t="s">
        <v>244</v>
      </c>
      <c r="C506" s="13">
        <v>2</v>
      </c>
      <c r="D506" s="13">
        <v>0</v>
      </c>
      <c r="E506" s="13">
        <v>2</v>
      </c>
    </row>
    <row r="507" spans="1:5" x14ac:dyDescent="0.3">
      <c r="A507" s="13" t="s">
        <v>1</v>
      </c>
      <c r="B507" s="13" t="s">
        <v>1161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217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995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150</v>
      </c>
      <c r="C510" s="13">
        <v>2</v>
      </c>
      <c r="D510" s="13">
        <v>0</v>
      </c>
      <c r="E510" s="13">
        <v>2</v>
      </c>
    </row>
    <row r="511" spans="1:5" x14ac:dyDescent="0.3">
      <c r="A511" s="13" t="s">
        <v>1</v>
      </c>
      <c r="B511" s="13" t="s">
        <v>610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645</v>
      </c>
      <c r="C512" s="13">
        <v>2</v>
      </c>
      <c r="D512" s="13">
        <v>0</v>
      </c>
      <c r="E512" s="13">
        <v>3</v>
      </c>
    </row>
    <row r="513" spans="1:5" x14ac:dyDescent="0.3">
      <c r="A513" s="13" t="s">
        <v>1</v>
      </c>
      <c r="B513" s="13" t="s">
        <v>886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449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2057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152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42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93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888</v>
      </c>
      <c r="C519" s="13">
        <v>2</v>
      </c>
      <c r="D519" s="13">
        <v>0</v>
      </c>
      <c r="E519" s="13">
        <v>2</v>
      </c>
    </row>
    <row r="520" spans="1:5" x14ac:dyDescent="0.3">
      <c r="A520" s="13" t="s">
        <v>1</v>
      </c>
      <c r="B520" s="13" t="s">
        <v>1471</v>
      </c>
      <c r="C520" s="13">
        <v>1</v>
      </c>
      <c r="D520" s="13">
        <v>0</v>
      </c>
      <c r="E520" s="13">
        <v>1</v>
      </c>
    </row>
    <row r="521" spans="1:5" x14ac:dyDescent="0.3">
      <c r="A521" s="13" t="s">
        <v>1</v>
      </c>
      <c r="B521" s="13" t="s">
        <v>1485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1498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1621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1655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1664</v>
      </c>
      <c r="C525" s="13">
        <v>1</v>
      </c>
      <c r="D525" s="13">
        <v>0</v>
      </c>
      <c r="E525" s="13">
        <v>2</v>
      </c>
    </row>
    <row r="526" spans="1:5" x14ac:dyDescent="0.3">
      <c r="A526" s="13" t="s">
        <v>1</v>
      </c>
      <c r="B526" s="13" t="s">
        <v>1671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1696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1852</v>
      </c>
      <c r="C528" s="13">
        <v>1</v>
      </c>
      <c r="D528" s="13">
        <v>0</v>
      </c>
      <c r="E528" s="13">
        <v>2</v>
      </c>
    </row>
    <row r="529" spans="1:5" x14ac:dyDescent="0.3">
      <c r="A529" s="13" t="s">
        <v>1</v>
      </c>
      <c r="B529" s="13" t="s">
        <v>1918</v>
      </c>
      <c r="C529" s="13">
        <v>1</v>
      </c>
      <c r="D529" s="13">
        <v>0</v>
      </c>
      <c r="E529" s="13">
        <v>0</v>
      </c>
    </row>
    <row r="530" spans="1:5" x14ac:dyDescent="0.3">
      <c r="A530" s="13" t="s">
        <v>1</v>
      </c>
      <c r="B530" s="13" t="s">
        <v>2406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1906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1888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1885</v>
      </c>
      <c r="C533" s="13">
        <v>2</v>
      </c>
      <c r="D533" s="13">
        <v>0</v>
      </c>
      <c r="E533" s="13">
        <v>2</v>
      </c>
    </row>
    <row r="534" spans="1:5" x14ac:dyDescent="0.3">
      <c r="A534" s="13" t="s">
        <v>1</v>
      </c>
      <c r="B534" s="13" t="s">
        <v>1881</v>
      </c>
      <c r="C534" s="13">
        <v>2</v>
      </c>
      <c r="D534" s="13">
        <v>0</v>
      </c>
      <c r="E534" s="13">
        <v>3</v>
      </c>
    </row>
    <row r="535" spans="1:5" x14ac:dyDescent="0.3">
      <c r="A535" s="13" t="s">
        <v>1</v>
      </c>
      <c r="B535" s="13" t="s">
        <v>1883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1989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2061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2162</v>
      </c>
      <c r="C538" s="13">
        <v>2</v>
      </c>
      <c r="D538" s="13">
        <v>0</v>
      </c>
      <c r="E538" s="13">
        <v>2</v>
      </c>
    </row>
    <row r="539" spans="1:5" x14ac:dyDescent="0.3">
      <c r="A539" s="13" t="s">
        <v>1</v>
      </c>
      <c r="B539" s="13" t="s">
        <v>2229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2407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2408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1889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1386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1579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2409</v>
      </c>
      <c r="C545" s="13">
        <v>1</v>
      </c>
      <c r="D545" s="13">
        <v>0</v>
      </c>
      <c r="E545" s="13">
        <v>2</v>
      </c>
    </row>
    <row r="546" spans="1:5" x14ac:dyDescent="0.3">
      <c r="A546" s="13" t="s">
        <v>1</v>
      </c>
      <c r="B546" s="13" t="s">
        <v>1055</v>
      </c>
      <c r="C546" s="13">
        <v>1</v>
      </c>
      <c r="D546" s="13">
        <v>0</v>
      </c>
      <c r="E546" s="13">
        <v>0</v>
      </c>
    </row>
    <row r="547" spans="1:5" x14ac:dyDescent="0.3">
      <c r="A547" s="13" t="s">
        <v>1</v>
      </c>
      <c r="B547" s="13" t="s">
        <v>1500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2410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2411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1172</v>
      </c>
      <c r="C550" s="13">
        <v>1</v>
      </c>
      <c r="D550" s="13">
        <v>0</v>
      </c>
      <c r="E550" s="13">
        <v>3</v>
      </c>
    </row>
    <row r="551" spans="1:5" x14ac:dyDescent="0.3">
      <c r="A551" s="13" t="s">
        <v>1</v>
      </c>
      <c r="B551" s="13" t="s">
        <v>2031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1411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862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1330</v>
      </c>
      <c r="C554" s="13">
        <v>1</v>
      </c>
      <c r="D554" s="13">
        <v>0</v>
      </c>
      <c r="E554" s="13">
        <v>0</v>
      </c>
    </row>
    <row r="555" spans="1:5" x14ac:dyDescent="0.3">
      <c r="A555" s="13" t="s">
        <v>1</v>
      </c>
      <c r="B555" s="13" t="s">
        <v>281</v>
      </c>
      <c r="C555" s="13">
        <v>1</v>
      </c>
      <c r="D555" s="13">
        <v>0</v>
      </c>
      <c r="E555" s="13">
        <v>0</v>
      </c>
    </row>
    <row r="556" spans="1:5" x14ac:dyDescent="0.3">
      <c r="A556" s="13" t="s">
        <v>1</v>
      </c>
      <c r="B556" s="13" t="s">
        <v>943</v>
      </c>
      <c r="C556" s="13">
        <v>1</v>
      </c>
      <c r="D556" s="13">
        <v>0</v>
      </c>
      <c r="E556" s="13">
        <v>0</v>
      </c>
    </row>
    <row r="557" spans="1:5" x14ac:dyDescent="0.3">
      <c r="A557" s="13" t="s">
        <v>1</v>
      </c>
      <c r="B557" s="13" t="s">
        <v>1770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1235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517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2412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893</v>
      </c>
      <c r="C561" s="13">
        <v>1</v>
      </c>
      <c r="D561" s="13">
        <v>0</v>
      </c>
      <c r="E561" s="13">
        <v>2</v>
      </c>
    </row>
    <row r="562" spans="1:5" x14ac:dyDescent="0.3">
      <c r="A562" s="13" t="s">
        <v>1</v>
      </c>
      <c r="B562" s="13" t="s">
        <v>832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2413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691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571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323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1137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2414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1657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402</v>
      </c>
      <c r="C570" s="13">
        <v>1</v>
      </c>
      <c r="D570" s="13">
        <v>0</v>
      </c>
      <c r="E570" s="13">
        <v>0</v>
      </c>
    </row>
    <row r="571" spans="1:5" x14ac:dyDescent="0.3">
      <c r="A571" s="13" t="s">
        <v>1</v>
      </c>
      <c r="B571" s="13" t="s">
        <v>1337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2415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768</v>
      </c>
      <c r="C573" s="13">
        <v>2</v>
      </c>
      <c r="D573" s="13">
        <v>0</v>
      </c>
      <c r="E573" s="13">
        <v>3</v>
      </c>
    </row>
    <row r="574" spans="1:5" x14ac:dyDescent="0.3">
      <c r="A574" s="13" t="s">
        <v>1</v>
      </c>
      <c r="B574" s="13" t="s">
        <v>1364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897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2416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528</v>
      </c>
      <c r="C577" s="13">
        <v>1</v>
      </c>
      <c r="D577" s="13">
        <v>0</v>
      </c>
      <c r="E577" s="13">
        <v>0</v>
      </c>
    </row>
    <row r="578" spans="1:5" x14ac:dyDescent="0.3">
      <c r="A578" s="13" t="s">
        <v>1</v>
      </c>
      <c r="B578" s="13" t="s">
        <v>2417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479</v>
      </c>
      <c r="C579" s="13">
        <v>1</v>
      </c>
      <c r="D579" s="13">
        <v>0</v>
      </c>
      <c r="E579" s="13">
        <v>0</v>
      </c>
    </row>
    <row r="580" spans="1:5" x14ac:dyDescent="0.3">
      <c r="A580" s="13" t="s">
        <v>1</v>
      </c>
      <c r="B580" s="13" t="s">
        <v>173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1303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1168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1024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330</v>
      </c>
      <c r="C584" s="13">
        <v>1</v>
      </c>
      <c r="D584" s="13">
        <v>0</v>
      </c>
      <c r="E584" s="13">
        <v>0</v>
      </c>
    </row>
    <row r="585" spans="1:5" x14ac:dyDescent="0.3">
      <c r="A585" s="13" t="s">
        <v>1</v>
      </c>
      <c r="B585" s="13" t="s">
        <v>2418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1850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122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702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1</v>
      </c>
      <c r="B589" s="13" t="s">
        <v>1245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1595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1430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2419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1324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1217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1042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1010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650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1</v>
      </c>
      <c r="B598" s="13" t="s">
        <v>291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973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2420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1</v>
      </c>
      <c r="B601" s="13" t="s">
        <v>843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953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707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668</v>
      </c>
      <c r="C604" s="13">
        <v>2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293</v>
      </c>
      <c r="C605" s="13">
        <v>1</v>
      </c>
      <c r="D605" s="13">
        <v>0</v>
      </c>
      <c r="E605" s="13">
        <v>1</v>
      </c>
    </row>
    <row r="606" spans="1:5" x14ac:dyDescent="0.3">
      <c r="A606" s="13" t="s">
        <v>1</v>
      </c>
      <c r="B606" s="13" t="s">
        <v>1295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2134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710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2421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1855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1</v>
      </c>
      <c r="B611" s="13" t="s">
        <v>415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2045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182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1</v>
      </c>
      <c r="B614" s="13" t="s">
        <v>458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1</v>
      </c>
      <c r="B615" s="13" t="s">
        <v>1912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1</v>
      </c>
      <c r="B616" s="13" t="s">
        <v>197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1</v>
      </c>
      <c r="B617" s="13" t="s">
        <v>439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2090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131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1</v>
      </c>
      <c r="B620" s="13" t="s">
        <v>1264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909</v>
      </c>
      <c r="C621" s="14">
        <v>2</v>
      </c>
      <c r="D621" s="14">
        <v>0</v>
      </c>
      <c r="E621" s="14">
        <v>2</v>
      </c>
    </row>
    <row r="622" spans="1:5" x14ac:dyDescent="0.3">
      <c r="A622" s="14" t="s">
        <v>1</v>
      </c>
      <c r="B622" s="14" t="s">
        <v>231</v>
      </c>
      <c r="C622" s="14">
        <v>10</v>
      </c>
      <c r="D622" s="14">
        <v>0</v>
      </c>
      <c r="E622" s="14">
        <v>11</v>
      </c>
    </row>
    <row r="623" spans="1:5" x14ac:dyDescent="0.3">
      <c r="A623" s="14" t="s">
        <v>1</v>
      </c>
      <c r="B623" s="14" t="s">
        <v>232</v>
      </c>
      <c r="C623" s="14">
        <v>5</v>
      </c>
      <c r="D623" s="14">
        <v>0</v>
      </c>
      <c r="E623" s="14">
        <v>5</v>
      </c>
    </row>
    <row r="624" spans="1:5" x14ac:dyDescent="0.3">
      <c r="A624" s="14" t="s">
        <v>1</v>
      </c>
      <c r="B624" s="14" t="s">
        <v>67</v>
      </c>
      <c r="C624" s="14">
        <v>3</v>
      </c>
      <c r="D624" s="14">
        <v>0</v>
      </c>
      <c r="E624" s="14">
        <v>5</v>
      </c>
    </row>
    <row r="625" spans="1:5" x14ac:dyDescent="0.3">
      <c r="A625" s="14" t="s">
        <v>1</v>
      </c>
      <c r="B625" s="14" t="s">
        <v>192</v>
      </c>
      <c r="C625" s="14">
        <v>11</v>
      </c>
      <c r="D625" s="14">
        <v>0</v>
      </c>
      <c r="E625" s="14">
        <v>16</v>
      </c>
    </row>
    <row r="626" spans="1:5" x14ac:dyDescent="0.3">
      <c r="A626" s="14" t="s">
        <v>1</v>
      </c>
      <c r="B626" s="14" t="s">
        <v>234</v>
      </c>
      <c r="C626" s="14">
        <v>6</v>
      </c>
      <c r="D626" s="14">
        <v>0</v>
      </c>
      <c r="E626" s="14">
        <v>7</v>
      </c>
    </row>
    <row r="627" spans="1:5" x14ac:dyDescent="0.3">
      <c r="A627" s="14" t="s">
        <v>1</v>
      </c>
      <c r="B627" s="14" t="s">
        <v>235</v>
      </c>
      <c r="C627" s="14">
        <v>5</v>
      </c>
      <c r="D627" s="14">
        <v>0</v>
      </c>
      <c r="E627" s="14">
        <v>7</v>
      </c>
    </row>
    <row r="628" spans="1:5" x14ac:dyDescent="0.3">
      <c r="A628" s="14" t="s">
        <v>1</v>
      </c>
      <c r="B628" s="14" t="s">
        <v>639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1</v>
      </c>
      <c r="B629" s="14" t="s">
        <v>236</v>
      </c>
      <c r="C629" s="14">
        <v>7</v>
      </c>
      <c r="D629" s="14">
        <v>0</v>
      </c>
      <c r="E629" s="14">
        <v>11</v>
      </c>
    </row>
    <row r="630" spans="1:5" x14ac:dyDescent="0.3">
      <c r="A630" s="14" t="s">
        <v>1</v>
      </c>
      <c r="B630" s="14" t="s">
        <v>640</v>
      </c>
      <c r="C630" s="14">
        <v>5</v>
      </c>
      <c r="D630" s="14">
        <v>0</v>
      </c>
      <c r="E630" s="14">
        <v>10</v>
      </c>
    </row>
    <row r="631" spans="1:5" x14ac:dyDescent="0.3">
      <c r="A631" s="14" t="s">
        <v>1</v>
      </c>
      <c r="B631" s="14" t="s">
        <v>371</v>
      </c>
      <c r="C631" s="14">
        <v>11</v>
      </c>
      <c r="D631" s="14">
        <v>0</v>
      </c>
      <c r="E631" s="14">
        <v>12</v>
      </c>
    </row>
    <row r="632" spans="1:5" x14ac:dyDescent="0.3">
      <c r="A632" s="14" t="s">
        <v>1</v>
      </c>
      <c r="B632" s="14" t="s">
        <v>366</v>
      </c>
      <c r="C632" s="14">
        <v>4</v>
      </c>
      <c r="D632" s="14">
        <v>0</v>
      </c>
      <c r="E632" s="14">
        <v>4</v>
      </c>
    </row>
    <row r="633" spans="1:5" x14ac:dyDescent="0.3">
      <c r="A633" s="14" t="s">
        <v>1</v>
      </c>
      <c r="B633" s="14" t="s">
        <v>461</v>
      </c>
      <c r="C633" s="14">
        <v>9</v>
      </c>
      <c r="D633" s="14">
        <v>0</v>
      </c>
      <c r="E633" s="14">
        <v>10</v>
      </c>
    </row>
    <row r="634" spans="1:5" x14ac:dyDescent="0.3">
      <c r="A634" s="14" t="s">
        <v>1</v>
      </c>
      <c r="B634" s="14" t="s">
        <v>1745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1</v>
      </c>
      <c r="B635" s="14" t="s">
        <v>1198</v>
      </c>
      <c r="C635" s="14">
        <v>1</v>
      </c>
      <c r="D635" s="14">
        <v>0</v>
      </c>
      <c r="E635" s="14">
        <v>2</v>
      </c>
    </row>
    <row r="636" spans="1:5" x14ac:dyDescent="0.3">
      <c r="A636" s="14" t="s">
        <v>1</v>
      </c>
      <c r="B636" s="14" t="s">
        <v>2422</v>
      </c>
      <c r="C636" s="14">
        <v>0</v>
      </c>
      <c r="D636" s="14">
        <v>2</v>
      </c>
    </row>
    <row r="637" spans="1:5" x14ac:dyDescent="0.3">
      <c r="A637" s="14" t="s">
        <v>1</v>
      </c>
      <c r="B637" s="14" t="s">
        <v>1589</v>
      </c>
      <c r="C637" s="14">
        <v>1</v>
      </c>
      <c r="D637" s="14">
        <v>0</v>
      </c>
      <c r="E637" s="14">
        <v>2</v>
      </c>
    </row>
    <row r="638" spans="1:5" x14ac:dyDescent="0.3">
      <c r="A638" s="14" t="s">
        <v>1</v>
      </c>
      <c r="B638" s="14" t="s">
        <v>2423</v>
      </c>
      <c r="C638" s="14">
        <v>0</v>
      </c>
      <c r="D638" s="14">
        <v>1</v>
      </c>
    </row>
    <row r="639" spans="1:5" x14ac:dyDescent="0.3">
      <c r="A639" s="14" t="s">
        <v>1</v>
      </c>
      <c r="B639" s="14" t="s">
        <v>1477</v>
      </c>
      <c r="C639" s="14">
        <v>1</v>
      </c>
      <c r="D639" s="14">
        <v>0</v>
      </c>
      <c r="E639" s="14">
        <v>1</v>
      </c>
    </row>
    <row r="640" spans="1:5" x14ac:dyDescent="0.3">
      <c r="A640" s="14" t="s">
        <v>1</v>
      </c>
      <c r="B640" s="14" t="s">
        <v>912</v>
      </c>
      <c r="C640" s="14">
        <v>0</v>
      </c>
      <c r="D640" s="14">
        <v>1</v>
      </c>
    </row>
    <row r="641" spans="1:5" x14ac:dyDescent="0.3">
      <c r="A641" s="14" t="s">
        <v>1</v>
      </c>
      <c r="B641" s="14" t="s">
        <v>1148</v>
      </c>
      <c r="C641" s="14">
        <v>0</v>
      </c>
      <c r="D641" s="14">
        <v>0</v>
      </c>
    </row>
    <row r="642" spans="1:5" x14ac:dyDescent="0.3">
      <c r="A642" s="14" t="s">
        <v>1</v>
      </c>
      <c r="B642" s="14" t="s">
        <v>789</v>
      </c>
      <c r="C642" s="14">
        <v>1</v>
      </c>
      <c r="D642" s="14">
        <v>0</v>
      </c>
      <c r="E642" s="14">
        <v>1</v>
      </c>
    </row>
    <row r="643" spans="1:5" x14ac:dyDescent="0.3">
      <c r="A643" s="14" t="s">
        <v>1</v>
      </c>
      <c r="B643" s="14" t="s">
        <v>2424</v>
      </c>
      <c r="C643" s="14">
        <v>1</v>
      </c>
      <c r="D643" s="14">
        <v>0</v>
      </c>
      <c r="E643" s="14">
        <v>2</v>
      </c>
    </row>
    <row r="644" spans="1:5" x14ac:dyDescent="0.3">
      <c r="A644" s="14" t="s">
        <v>1</v>
      </c>
      <c r="B644" s="14" t="s">
        <v>923</v>
      </c>
      <c r="C644" s="14">
        <v>0</v>
      </c>
      <c r="D644" s="14">
        <v>3</v>
      </c>
    </row>
    <row r="645" spans="1:5" x14ac:dyDescent="0.3">
      <c r="A645" s="14" t="s">
        <v>1</v>
      </c>
      <c r="B645" s="14" t="s">
        <v>2348</v>
      </c>
      <c r="C645" s="14">
        <v>9</v>
      </c>
      <c r="D645" s="14">
        <v>0</v>
      </c>
      <c r="E645" s="14">
        <v>11</v>
      </c>
    </row>
    <row r="646" spans="1:5" x14ac:dyDescent="0.3">
      <c r="A646" s="14" t="s">
        <v>1</v>
      </c>
      <c r="B646" s="14" t="s">
        <v>2349</v>
      </c>
      <c r="C646" s="14">
        <v>8</v>
      </c>
      <c r="D646" s="14">
        <v>0</v>
      </c>
      <c r="E646" s="14">
        <v>8</v>
      </c>
    </row>
    <row r="647" spans="1:5" x14ac:dyDescent="0.3">
      <c r="A647" s="14" t="s">
        <v>1</v>
      </c>
      <c r="B647" s="14" t="s">
        <v>2350</v>
      </c>
      <c r="C647" s="14">
        <v>5</v>
      </c>
      <c r="D647" s="14">
        <v>0</v>
      </c>
      <c r="E647" s="14">
        <v>9</v>
      </c>
    </row>
    <row r="648" spans="1:5" x14ac:dyDescent="0.3">
      <c r="A648" s="14" t="s">
        <v>1</v>
      </c>
      <c r="B648" s="14" t="s">
        <v>2351</v>
      </c>
      <c r="C648" s="14">
        <v>3</v>
      </c>
      <c r="D648" s="14">
        <v>0</v>
      </c>
      <c r="E648" s="14">
        <v>3</v>
      </c>
    </row>
    <row r="649" spans="1:5" x14ac:dyDescent="0.3">
      <c r="A649" s="14" t="s">
        <v>1</v>
      </c>
      <c r="B649" s="14" t="s">
        <v>2352</v>
      </c>
      <c r="C649" s="14">
        <v>6</v>
      </c>
      <c r="D649" s="14">
        <v>0</v>
      </c>
      <c r="E649" s="14">
        <v>6</v>
      </c>
    </row>
    <row r="650" spans="1:5" x14ac:dyDescent="0.3">
      <c r="A650" s="14" t="s">
        <v>1</v>
      </c>
      <c r="B650" s="14" t="s">
        <v>2353</v>
      </c>
      <c r="C650" s="14">
        <v>3</v>
      </c>
      <c r="D650" s="14">
        <v>0</v>
      </c>
      <c r="E650" s="14">
        <v>5</v>
      </c>
    </row>
    <row r="651" spans="1:5" x14ac:dyDescent="0.3">
      <c r="A651" s="14" t="s">
        <v>1</v>
      </c>
      <c r="B651" s="14" t="s">
        <v>2354</v>
      </c>
      <c r="C651" s="14">
        <v>3</v>
      </c>
      <c r="D651" s="14">
        <v>0</v>
      </c>
      <c r="E651" s="14">
        <v>3</v>
      </c>
    </row>
    <row r="652" spans="1:5" x14ac:dyDescent="0.3">
      <c r="A652" s="14" t="s">
        <v>1</v>
      </c>
      <c r="B652" s="14" t="s">
        <v>2355</v>
      </c>
      <c r="C652" s="14">
        <v>4</v>
      </c>
      <c r="D652" s="14">
        <v>0</v>
      </c>
      <c r="E652" s="14">
        <v>4</v>
      </c>
    </row>
    <row r="653" spans="1:5" x14ac:dyDescent="0.3">
      <c r="A653" s="14" t="s">
        <v>0</v>
      </c>
      <c r="B653" s="14" t="s">
        <v>147</v>
      </c>
      <c r="C653" s="14">
        <v>1</v>
      </c>
      <c r="D653" s="14">
        <v>0</v>
      </c>
      <c r="E653" s="14">
        <v>3</v>
      </c>
    </row>
    <row r="654" spans="1:5" x14ac:dyDescent="0.3">
      <c r="A654" s="14" t="s">
        <v>0</v>
      </c>
      <c r="B654" s="14" t="s">
        <v>351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0</v>
      </c>
      <c r="B655" s="14" t="s">
        <v>818</v>
      </c>
      <c r="C655" s="14">
        <v>1</v>
      </c>
      <c r="D655" s="14">
        <v>0</v>
      </c>
      <c r="E655" s="14">
        <v>0</v>
      </c>
    </row>
    <row r="656" spans="1:5" x14ac:dyDescent="0.3">
      <c r="A656" s="14" t="s">
        <v>0</v>
      </c>
      <c r="B656" s="14" t="s">
        <v>93</v>
      </c>
      <c r="C656" s="14">
        <v>1</v>
      </c>
      <c r="D656" s="14">
        <v>0</v>
      </c>
      <c r="E656" s="14">
        <v>1</v>
      </c>
    </row>
    <row r="657" spans="1:5" x14ac:dyDescent="0.3">
      <c r="A657" s="14" t="s">
        <v>0</v>
      </c>
      <c r="B657" s="14" t="s">
        <v>471</v>
      </c>
      <c r="C657" s="14">
        <v>1</v>
      </c>
      <c r="D657" s="14">
        <v>0</v>
      </c>
      <c r="E657" s="14">
        <v>1</v>
      </c>
    </row>
    <row r="658" spans="1:5" x14ac:dyDescent="0.3">
      <c r="A658" s="14" t="s">
        <v>0</v>
      </c>
      <c r="B658" s="14" t="s">
        <v>1674</v>
      </c>
      <c r="C658" s="14">
        <v>1</v>
      </c>
      <c r="D658" s="14">
        <v>0</v>
      </c>
      <c r="E658" s="14">
        <v>1</v>
      </c>
    </row>
    <row r="659" spans="1:5" x14ac:dyDescent="0.3">
      <c r="A659" s="14" t="s">
        <v>0</v>
      </c>
      <c r="B659" s="14" t="s">
        <v>2229</v>
      </c>
      <c r="C659" s="14">
        <v>1</v>
      </c>
      <c r="D659" s="14">
        <v>0</v>
      </c>
      <c r="E659" s="14">
        <v>2</v>
      </c>
    </row>
    <row r="660" spans="1:5" x14ac:dyDescent="0.3">
      <c r="A660" s="14" t="s">
        <v>0</v>
      </c>
      <c r="B660" s="14" t="s">
        <v>1298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0</v>
      </c>
      <c r="B661" s="14" t="s">
        <v>2012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0</v>
      </c>
      <c r="B662" s="14" t="s">
        <v>195</v>
      </c>
      <c r="C662" s="14">
        <v>1</v>
      </c>
      <c r="D662" s="14">
        <v>0</v>
      </c>
      <c r="E662" s="14">
        <v>1</v>
      </c>
    </row>
    <row r="663" spans="1:5" x14ac:dyDescent="0.3">
      <c r="A663" s="14" t="s">
        <v>0</v>
      </c>
      <c r="B663" s="14" t="s">
        <v>279</v>
      </c>
      <c r="C663" s="14">
        <v>1</v>
      </c>
      <c r="D663" s="14">
        <v>0</v>
      </c>
      <c r="E663" s="14">
        <v>1</v>
      </c>
    </row>
    <row r="664" spans="1:5" x14ac:dyDescent="0.3">
      <c r="A664" s="14" t="s">
        <v>0</v>
      </c>
      <c r="B664" s="14" t="s">
        <v>522</v>
      </c>
      <c r="C664" s="14">
        <v>1</v>
      </c>
      <c r="D664" s="14">
        <v>0</v>
      </c>
      <c r="E664" s="14">
        <v>1</v>
      </c>
    </row>
    <row r="665" spans="1:5" x14ac:dyDescent="0.3">
      <c r="A665" s="14" t="s">
        <v>0</v>
      </c>
      <c r="B665" s="14" t="s">
        <v>2042</v>
      </c>
      <c r="C665" s="14">
        <v>1</v>
      </c>
      <c r="D665" s="14">
        <v>0</v>
      </c>
      <c r="E665" s="14">
        <v>1</v>
      </c>
    </row>
    <row r="666" spans="1:5" x14ac:dyDescent="0.3">
      <c r="A666" s="14" t="s">
        <v>0</v>
      </c>
      <c r="B666" s="14" t="s">
        <v>2380</v>
      </c>
      <c r="C666" s="14">
        <v>1</v>
      </c>
      <c r="D666" s="14">
        <v>0</v>
      </c>
      <c r="E666" s="14">
        <v>1</v>
      </c>
    </row>
    <row r="667" spans="1:5" x14ac:dyDescent="0.3">
      <c r="A667" s="14" t="s">
        <v>0</v>
      </c>
      <c r="B667" s="14" t="s">
        <v>1075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0</v>
      </c>
      <c r="B668" s="14" t="s">
        <v>435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0</v>
      </c>
      <c r="B669" s="14" t="s">
        <v>906</v>
      </c>
      <c r="C669" s="14">
        <v>1</v>
      </c>
      <c r="D669" s="14">
        <v>0</v>
      </c>
      <c r="E669" s="14">
        <v>1</v>
      </c>
    </row>
    <row r="670" spans="1:5" x14ac:dyDescent="0.3">
      <c r="A670" s="14" t="s">
        <v>0</v>
      </c>
      <c r="B670" s="14" t="s">
        <v>296</v>
      </c>
      <c r="C670" s="14">
        <v>1</v>
      </c>
      <c r="D670" s="14">
        <v>0</v>
      </c>
      <c r="E670" s="14">
        <v>1</v>
      </c>
    </row>
    <row r="671" spans="1:5" x14ac:dyDescent="0.3">
      <c r="A671" s="14" t="s">
        <v>0</v>
      </c>
      <c r="B671" s="14" t="s">
        <v>651</v>
      </c>
      <c r="C671" s="14">
        <v>1</v>
      </c>
      <c r="D671" s="14">
        <v>0</v>
      </c>
      <c r="E671" s="14">
        <v>1</v>
      </c>
    </row>
    <row r="672" spans="1:5" x14ac:dyDescent="0.3">
      <c r="A672" s="14" t="s">
        <v>0</v>
      </c>
      <c r="B672" s="14" t="s">
        <v>191</v>
      </c>
      <c r="C672" s="14">
        <v>1</v>
      </c>
      <c r="D672" s="14">
        <v>0</v>
      </c>
      <c r="E672" s="14">
        <v>1</v>
      </c>
    </row>
    <row r="673" spans="1:5" x14ac:dyDescent="0.3">
      <c r="A673" s="14" t="s">
        <v>0</v>
      </c>
      <c r="B673" s="14" t="s">
        <v>192</v>
      </c>
      <c r="C673" s="14">
        <v>3</v>
      </c>
      <c r="D673" s="14">
        <v>0</v>
      </c>
      <c r="E673" s="14">
        <v>5</v>
      </c>
    </row>
    <row r="674" spans="1:5" x14ac:dyDescent="0.3">
      <c r="A674" s="14" t="s">
        <v>0</v>
      </c>
      <c r="B674" s="14" t="s">
        <v>233</v>
      </c>
      <c r="C674" s="14">
        <v>1</v>
      </c>
      <c r="D674" s="14">
        <v>0</v>
      </c>
      <c r="E674" s="14">
        <v>1</v>
      </c>
    </row>
    <row r="675" spans="1:5" x14ac:dyDescent="0.3">
      <c r="A675" s="14" t="s">
        <v>0</v>
      </c>
      <c r="B675" s="14" t="s">
        <v>236</v>
      </c>
      <c r="C675" s="14">
        <v>1</v>
      </c>
      <c r="D675" s="14">
        <v>0</v>
      </c>
      <c r="E675" s="14">
        <v>1</v>
      </c>
    </row>
    <row r="676" spans="1:5" x14ac:dyDescent="0.3">
      <c r="A676" s="14" t="s">
        <v>0</v>
      </c>
      <c r="B676" s="14" t="s">
        <v>259</v>
      </c>
      <c r="C676" s="14">
        <v>1</v>
      </c>
      <c r="D676" s="14">
        <v>0</v>
      </c>
      <c r="E676" s="14">
        <v>1</v>
      </c>
    </row>
    <row r="677" spans="1:5" x14ac:dyDescent="0.3">
      <c r="A677" s="14" t="s">
        <v>0</v>
      </c>
      <c r="B677" s="14" t="s">
        <v>2348</v>
      </c>
      <c r="C677" s="14">
        <v>2</v>
      </c>
      <c r="D677" s="14">
        <v>0</v>
      </c>
      <c r="E677" s="14">
        <v>2</v>
      </c>
    </row>
    <row r="678" spans="1:5" x14ac:dyDescent="0.3">
      <c r="A678" s="14" t="s">
        <v>0</v>
      </c>
      <c r="B678" s="14" t="s">
        <v>2349</v>
      </c>
      <c r="C678" s="14">
        <v>1</v>
      </c>
      <c r="D678" s="14">
        <v>0</v>
      </c>
      <c r="E678" s="14">
        <v>1</v>
      </c>
    </row>
    <row r="679" spans="1:5" x14ac:dyDescent="0.3">
      <c r="A679" s="14" t="s">
        <v>0</v>
      </c>
      <c r="B679" s="14" t="s">
        <v>2350</v>
      </c>
      <c r="C679" s="14">
        <v>3</v>
      </c>
      <c r="D679" s="14">
        <v>0</v>
      </c>
      <c r="E679" s="14">
        <v>3</v>
      </c>
    </row>
    <row r="680" spans="1:5" x14ac:dyDescent="0.3">
      <c r="A680" s="14" t="s">
        <v>0</v>
      </c>
      <c r="B680" s="14" t="s">
        <v>2353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0</v>
      </c>
      <c r="B681" s="14" t="s">
        <v>2354</v>
      </c>
      <c r="C681" s="14">
        <v>2</v>
      </c>
      <c r="D681" s="14">
        <v>0</v>
      </c>
      <c r="E681" s="14">
        <v>3</v>
      </c>
    </row>
    <row r="682" spans="1:5" x14ac:dyDescent="0.3">
      <c r="A682" s="14" t="s">
        <v>0</v>
      </c>
      <c r="B682" s="14" t="s">
        <v>2355</v>
      </c>
      <c r="C682" s="14">
        <v>2</v>
      </c>
      <c r="D682" s="14">
        <v>0</v>
      </c>
      <c r="E682" s="14">
        <v>2</v>
      </c>
    </row>
    <row r="683" spans="1:5" x14ac:dyDescent="0.3">
      <c r="A683" s="14" t="s">
        <v>0</v>
      </c>
      <c r="B683" s="14" t="s">
        <v>32</v>
      </c>
      <c r="C683" s="14">
        <v>1</v>
      </c>
      <c r="D683" s="14">
        <v>0</v>
      </c>
      <c r="E683" s="14">
        <v>1</v>
      </c>
    </row>
    <row r="684" spans="1:5" x14ac:dyDescent="0.3">
      <c r="A684" s="14" t="s">
        <v>2</v>
      </c>
      <c r="B684" s="14" t="s">
        <v>463</v>
      </c>
      <c r="C684" s="14">
        <v>1</v>
      </c>
      <c r="D684" s="14">
        <v>0</v>
      </c>
      <c r="E684" s="14">
        <v>1</v>
      </c>
    </row>
    <row r="685" spans="1:5" x14ac:dyDescent="0.3">
      <c r="A685" s="14" t="s">
        <v>2</v>
      </c>
      <c r="B685" s="14" t="s">
        <v>148</v>
      </c>
      <c r="C685" s="14">
        <v>1</v>
      </c>
      <c r="D685" s="14">
        <v>0</v>
      </c>
      <c r="E685" s="14">
        <v>1</v>
      </c>
    </row>
    <row r="686" spans="1:5" x14ac:dyDescent="0.3">
      <c r="A686" s="14" t="s">
        <v>2</v>
      </c>
      <c r="B686" s="14" t="s">
        <v>151</v>
      </c>
      <c r="C686" s="14">
        <v>1</v>
      </c>
      <c r="D686" s="14">
        <v>0</v>
      </c>
      <c r="E686" s="14">
        <v>1</v>
      </c>
    </row>
    <row r="687" spans="1:5" x14ac:dyDescent="0.3">
      <c r="A687" s="14" t="s">
        <v>2</v>
      </c>
      <c r="B687" s="14" t="s">
        <v>476</v>
      </c>
      <c r="C687" s="14">
        <v>1</v>
      </c>
      <c r="D687" s="14">
        <v>0</v>
      </c>
      <c r="E687" s="14">
        <v>1</v>
      </c>
    </row>
    <row r="688" spans="1:5" x14ac:dyDescent="0.3">
      <c r="A688" s="14" t="s">
        <v>2</v>
      </c>
      <c r="B688" s="14" t="s">
        <v>123</v>
      </c>
      <c r="C688" s="14">
        <v>1</v>
      </c>
      <c r="D688" s="14">
        <v>0</v>
      </c>
      <c r="E688" s="14">
        <v>1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016A6-0EE3-4F90-8794-EFB883B62E71}">
  <sheetPr codeName="Sheet39"/>
  <dimension ref="A1:M620"/>
  <sheetViews>
    <sheetView workbookViewId="0">
      <selection activeCell="A2" sqref="A2:E610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61</v>
      </c>
      <c r="D2" s="13">
        <v>47</v>
      </c>
      <c r="E2" s="13">
        <v>66</v>
      </c>
    </row>
    <row r="3" spans="1:13" customFormat="1" x14ac:dyDescent="0.3">
      <c r="A3" s="13" t="s">
        <v>0</v>
      </c>
      <c r="B3" s="13" t="s">
        <v>2408</v>
      </c>
      <c r="C3" s="13">
        <v>52</v>
      </c>
      <c r="D3" s="13">
        <v>45</v>
      </c>
      <c r="E3" s="13">
        <v>60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98</v>
      </c>
      <c r="D4" s="13">
        <v>38</v>
      </c>
      <c r="E4" s="13">
        <v>174</v>
      </c>
      <c r="G4" s="19" t="s">
        <v>8</v>
      </c>
      <c r="H4" s="15">
        <f>H13+H14</f>
        <v>1079</v>
      </c>
      <c r="I4" s="16">
        <f>H4/H$6</f>
        <v>0.74209078404401652</v>
      </c>
      <c r="J4" s="15">
        <f>I13+I14</f>
        <v>566</v>
      </c>
      <c r="K4" s="16">
        <f>J4/J$6</f>
        <v>0.6490825688073395</v>
      </c>
      <c r="L4" s="15">
        <f>J13+J14</f>
        <v>1293</v>
      </c>
      <c r="M4" s="25">
        <f>L4/L$6</f>
        <v>0.75087108013937287</v>
      </c>
    </row>
    <row r="5" spans="1:13" customFormat="1" x14ac:dyDescent="0.3">
      <c r="A5" s="13" t="s">
        <v>1</v>
      </c>
      <c r="B5" s="13" t="s">
        <v>37</v>
      </c>
      <c r="C5" s="13">
        <v>24</v>
      </c>
      <c r="D5" s="13">
        <v>20</v>
      </c>
      <c r="E5" s="13">
        <v>33</v>
      </c>
      <c r="G5" s="19" t="s">
        <v>10</v>
      </c>
      <c r="H5" s="15">
        <f>H15+H16</f>
        <v>375</v>
      </c>
      <c r="I5" s="16">
        <f>H5/H$6</f>
        <v>0.25790921595598348</v>
      </c>
      <c r="J5" s="15">
        <f>I15+I16</f>
        <v>306</v>
      </c>
      <c r="K5" s="16">
        <f>J5/J$6</f>
        <v>0.35091743119266056</v>
      </c>
      <c r="L5" s="15">
        <f>J15+J16</f>
        <v>429</v>
      </c>
      <c r="M5" s="25">
        <f>L5/L$6</f>
        <v>0.24912891986062718</v>
      </c>
    </row>
    <row r="6" spans="1:13" customFormat="1" ht="17.25" thickBot="1" x14ac:dyDescent="0.35">
      <c r="A6" s="13" t="s">
        <v>0</v>
      </c>
      <c r="B6" s="13" t="s">
        <v>1067</v>
      </c>
      <c r="C6" s="13">
        <v>22</v>
      </c>
      <c r="D6" s="13">
        <v>20</v>
      </c>
      <c r="E6" s="13">
        <v>27</v>
      </c>
      <c r="G6" s="22"/>
      <c r="H6" s="26">
        <f>SUM(H4:H5)</f>
        <v>1454</v>
      </c>
      <c r="I6" s="27">
        <f>I4+I5</f>
        <v>1</v>
      </c>
      <c r="J6" s="26">
        <f>SUM(J4:J5)</f>
        <v>872</v>
      </c>
      <c r="K6" s="27">
        <f>K4+K5</f>
        <v>1</v>
      </c>
      <c r="L6" s="26">
        <f>SUM(L4:L5)</f>
        <v>1722</v>
      </c>
      <c r="M6" s="28">
        <f>M4+M5</f>
        <v>1</v>
      </c>
    </row>
    <row r="7" spans="1:13" customFormat="1" x14ac:dyDescent="0.3">
      <c r="A7" s="13" t="s">
        <v>0</v>
      </c>
      <c r="B7" s="13" t="s">
        <v>29</v>
      </c>
      <c r="C7" s="13">
        <v>20</v>
      </c>
      <c r="D7" s="13">
        <v>20</v>
      </c>
      <c r="E7" s="13">
        <v>22</v>
      </c>
    </row>
    <row r="8" spans="1:13" customFormat="1" x14ac:dyDescent="0.3">
      <c r="A8" s="13" t="s">
        <v>1</v>
      </c>
      <c r="B8" s="13" t="s">
        <v>1948</v>
      </c>
      <c r="C8" s="13">
        <v>20</v>
      </c>
      <c r="D8" s="13">
        <v>15</v>
      </c>
      <c r="E8" s="13">
        <v>20</v>
      </c>
    </row>
    <row r="9" spans="1:13" customFormat="1" x14ac:dyDescent="0.3">
      <c r="A9" s="13" t="s">
        <v>0</v>
      </c>
      <c r="B9" s="13" t="s">
        <v>37</v>
      </c>
      <c r="C9" s="13">
        <v>18</v>
      </c>
      <c r="D9" s="13">
        <v>15</v>
      </c>
      <c r="E9" s="13">
        <v>19</v>
      </c>
    </row>
    <row r="10" spans="1:13" customFormat="1" ht="17.25" thickBot="1" x14ac:dyDescent="0.35">
      <c r="A10" s="13" t="s">
        <v>0</v>
      </c>
      <c r="B10" s="13" t="s">
        <v>31</v>
      </c>
      <c r="C10" s="13">
        <v>13</v>
      </c>
      <c r="D10" s="13">
        <v>11</v>
      </c>
      <c r="E10" s="13">
        <v>14</v>
      </c>
    </row>
    <row r="11" spans="1:13" x14ac:dyDescent="0.3">
      <c r="A11" s="13" t="s">
        <v>1</v>
      </c>
      <c r="B11" s="13" t="s">
        <v>2408</v>
      </c>
      <c r="C11" s="13">
        <v>22</v>
      </c>
      <c r="D11" s="13">
        <v>10</v>
      </c>
      <c r="E11" s="13">
        <v>33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29</v>
      </c>
      <c r="C12" s="13">
        <v>10</v>
      </c>
      <c r="D12" s="13">
        <v>10</v>
      </c>
      <c r="E12" s="13">
        <v>10</v>
      </c>
      <c r="G12" s="19"/>
      <c r="H12" s="17">
        <f t="shared" ref="H12:J12" si="0">SUM(H13:H16)</f>
        <v>1454</v>
      </c>
      <c r="I12" s="17">
        <f t="shared" si="0"/>
        <v>872</v>
      </c>
      <c r="J12" s="20">
        <f t="shared" si="0"/>
        <v>1722</v>
      </c>
    </row>
    <row r="13" spans="1:13" x14ac:dyDescent="0.3">
      <c r="A13" s="13" t="s">
        <v>0</v>
      </c>
      <c r="B13" s="13" t="s">
        <v>1948</v>
      </c>
      <c r="C13" s="13">
        <v>11</v>
      </c>
      <c r="D13" s="13">
        <v>10</v>
      </c>
      <c r="E13" s="13">
        <v>11</v>
      </c>
      <c r="G13" s="19" t="s">
        <v>7</v>
      </c>
      <c r="H13" s="18">
        <f t="shared" ref="H13:J16" si="1">SUMIF($A$2:$A$9999,$G13,C$2:C$9999)</f>
        <v>1079</v>
      </c>
      <c r="I13" s="18">
        <f t="shared" si="1"/>
        <v>566</v>
      </c>
      <c r="J13" s="21">
        <f t="shared" si="1"/>
        <v>1293</v>
      </c>
    </row>
    <row r="14" spans="1:13" x14ac:dyDescent="0.3">
      <c r="A14" s="13" t="s">
        <v>1</v>
      </c>
      <c r="B14" s="13" t="s">
        <v>354</v>
      </c>
      <c r="C14" s="13">
        <v>10</v>
      </c>
      <c r="D14" s="13">
        <v>9</v>
      </c>
      <c r="E14" s="13">
        <v>10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61</v>
      </c>
      <c r="C15" s="13">
        <v>11</v>
      </c>
      <c r="D15" s="13">
        <v>9</v>
      </c>
      <c r="E15" s="13">
        <v>12</v>
      </c>
      <c r="G15" s="19" t="s">
        <v>11</v>
      </c>
      <c r="H15" s="18">
        <f t="shared" si="1"/>
        <v>363</v>
      </c>
      <c r="I15" s="18">
        <f t="shared" si="1"/>
        <v>295</v>
      </c>
      <c r="J15" s="21">
        <f t="shared" si="1"/>
        <v>417</v>
      </c>
    </row>
    <row r="16" spans="1:13" ht="17.25" thickBot="1" x14ac:dyDescent="0.35">
      <c r="A16" s="13" t="s">
        <v>1</v>
      </c>
      <c r="B16" s="13" t="s">
        <v>48</v>
      </c>
      <c r="C16" s="13">
        <v>10</v>
      </c>
      <c r="D16" s="13">
        <v>7</v>
      </c>
      <c r="E16" s="13">
        <v>10</v>
      </c>
      <c r="G16" s="22" t="s">
        <v>12</v>
      </c>
      <c r="H16" s="23">
        <f t="shared" si="1"/>
        <v>12</v>
      </c>
      <c r="I16" s="23">
        <f t="shared" si="1"/>
        <v>11</v>
      </c>
      <c r="J16" s="24">
        <f t="shared" si="1"/>
        <v>12</v>
      </c>
    </row>
    <row r="17" spans="1:5" x14ac:dyDescent="0.3">
      <c r="A17" s="13" t="s">
        <v>1</v>
      </c>
      <c r="B17" s="13" t="s">
        <v>51</v>
      </c>
      <c r="C17" s="13">
        <v>8</v>
      </c>
      <c r="D17" s="13">
        <v>7</v>
      </c>
      <c r="E17" s="13">
        <v>8</v>
      </c>
    </row>
    <row r="18" spans="1:5" x14ac:dyDescent="0.3">
      <c r="A18" s="13" t="s">
        <v>0</v>
      </c>
      <c r="B18" s="13" t="s">
        <v>39</v>
      </c>
      <c r="C18" s="13">
        <v>8</v>
      </c>
      <c r="D18" s="13">
        <v>7</v>
      </c>
      <c r="E18" s="13">
        <v>9</v>
      </c>
    </row>
    <row r="19" spans="1:5" x14ac:dyDescent="0.3">
      <c r="A19" s="13" t="s">
        <v>0</v>
      </c>
      <c r="B19" s="13" t="s">
        <v>41</v>
      </c>
      <c r="C19" s="13">
        <v>6</v>
      </c>
      <c r="D19" s="13">
        <v>6</v>
      </c>
      <c r="E19" s="13">
        <v>6</v>
      </c>
    </row>
    <row r="20" spans="1:5" x14ac:dyDescent="0.3">
      <c r="A20" s="13" t="s">
        <v>1</v>
      </c>
      <c r="B20" s="13" t="s">
        <v>83</v>
      </c>
      <c r="C20" s="13">
        <v>6</v>
      </c>
      <c r="D20" s="13">
        <v>5</v>
      </c>
      <c r="E20" s="13">
        <v>6</v>
      </c>
    </row>
    <row r="21" spans="1:5" x14ac:dyDescent="0.3">
      <c r="A21" s="13" t="s">
        <v>1</v>
      </c>
      <c r="B21" s="13" t="s">
        <v>148</v>
      </c>
      <c r="C21" s="13">
        <v>6</v>
      </c>
      <c r="D21" s="13">
        <v>5</v>
      </c>
      <c r="E21" s="13">
        <v>6</v>
      </c>
    </row>
    <row r="22" spans="1:5" x14ac:dyDescent="0.3">
      <c r="A22" s="13" t="s">
        <v>1</v>
      </c>
      <c r="B22" s="13" t="s">
        <v>2335</v>
      </c>
      <c r="C22" s="13">
        <v>13</v>
      </c>
      <c r="D22" s="13">
        <v>5</v>
      </c>
      <c r="E22" s="13">
        <v>20</v>
      </c>
    </row>
    <row r="23" spans="1:5" x14ac:dyDescent="0.3">
      <c r="A23" s="13" t="s">
        <v>1</v>
      </c>
      <c r="B23" s="13" t="s">
        <v>2425</v>
      </c>
      <c r="C23" s="13">
        <v>28</v>
      </c>
      <c r="D23" s="13">
        <v>5</v>
      </c>
      <c r="E23" s="13">
        <v>36</v>
      </c>
    </row>
    <row r="24" spans="1:5" x14ac:dyDescent="0.3">
      <c r="A24" s="13" t="s">
        <v>1</v>
      </c>
      <c r="B24" s="13" t="s">
        <v>281</v>
      </c>
      <c r="C24" s="13">
        <v>5</v>
      </c>
      <c r="D24" s="13">
        <v>5</v>
      </c>
      <c r="E24" s="13">
        <v>5</v>
      </c>
    </row>
    <row r="25" spans="1:5" x14ac:dyDescent="0.3">
      <c r="A25" s="13" t="s">
        <v>1</v>
      </c>
      <c r="B25" s="13" t="s">
        <v>32</v>
      </c>
      <c r="C25" s="13">
        <v>11</v>
      </c>
      <c r="D25" s="13">
        <v>5</v>
      </c>
      <c r="E25" s="13">
        <v>18</v>
      </c>
    </row>
    <row r="26" spans="1:5" x14ac:dyDescent="0.3">
      <c r="A26" s="13" t="s">
        <v>1</v>
      </c>
      <c r="B26" s="13" t="s">
        <v>73</v>
      </c>
      <c r="C26" s="13">
        <v>4</v>
      </c>
      <c r="D26" s="13">
        <v>4</v>
      </c>
      <c r="E26" s="13">
        <v>4</v>
      </c>
    </row>
    <row r="27" spans="1:5" x14ac:dyDescent="0.3">
      <c r="A27" s="13" t="s">
        <v>1</v>
      </c>
      <c r="B27" s="13" t="s">
        <v>140</v>
      </c>
      <c r="C27" s="13">
        <v>4</v>
      </c>
      <c r="D27" s="13">
        <v>4</v>
      </c>
      <c r="E27" s="13">
        <v>4</v>
      </c>
    </row>
    <row r="28" spans="1:5" x14ac:dyDescent="0.3">
      <c r="A28" s="13" t="s">
        <v>1</v>
      </c>
      <c r="B28" s="13" t="s">
        <v>147</v>
      </c>
      <c r="C28" s="13">
        <v>5</v>
      </c>
      <c r="D28" s="13">
        <v>4</v>
      </c>
      <c r="E28" s="13">
        <v>7</v>
      </c>
    </row>
    <row r="29" spans="1:5" x14ac:dyDescent="0.3">
      <c r="A29" s="13" t="s">
        <v>1</v>
      </c>
      <c r="B29" s="13" t="s">
        <v>41</v>
      </c>
      <c r="C29" s="13">
        <v>5</v>
      </c>
      <c r="D29" s="13">
        <v>4</v>
      </c>
      <c r="E29" s="13">
        <v>5</v>
      </c>
    </row>
    <row r="30" spans="1:5" x14ac:dyDescent="0.3">
      <c r="A30" s="13" t="s">
        <v>1</v>
      </c>
      <c r="B30" s="13" t="s">
        <v>94</v>
      </c>
      <c r="C30" s="13">
        <v>6</v>
      </c>
      <c r="D30" s="13">
        <v>4</v>
      </c>
      <c r="E30" s="13">
        <v>4</v>
      </c>
    </row>
    <row r="31" spans="1:5" x14ac:dyDescent="0.3">
      <c r="A31" s="13" t="s">
        <v>1</v>
      </c>
      <c r="B31" s="13" t="s">
        <v>1741</v>
      </c>
      <c r="C31" s="13">
        <v>4</v>
      </c>
      <c r="D31" s="13">
        <v>4</v>
      </c>
      <c r="E31" s="13">
        <v>5</v>
      </c>
    </row>
    <row r="32" spans="1:5" x14ac:dyDescent="0.3">
      <c r="A32" s="13" t="s">
        <v>1</v>
      </c>
      <c r="B32" s="13" t="s">
        <v>2093</v>
      </c>
      <c r="C32" s="13">
        <v>5</v>
      </c>
      <c r="D32" s="13">
        <v>4</v>
      </c>
      <c r="E32" s="13">
        <v>5</v>
      </c>
    </row>
    <row r="33" spans="1:5" x14ac:dyDescent="0.3">
      <c r="A33" s="13" t="s">
        <v>1</v>
      </c>
      <c r="B33" s="13" t="s">
        <v>2203</v>
      </c>
      <c r="C33" s="13">
        <v>11</v>
      </c>
      <c r="D33" s="13">
        <v>4</v>
      </c>
      <c r="E33" s="13">
        <v>11</v>
      </c>
    </row>
    <row r="34" spans="1:5" x14ac:dyDescent="0.3">
      <c r="A34" s="13" t="s">
        <v>1</v>
      </c>
      <c r="B34" s="13" t="s">
        <v>2339</v>
      </c>
      <c r="C34" s="13">
        <v>7</v>
      </c>
      <c r="D34" s="13">
        <v>4</v>
      </c>
      <c r="E34" s="13">
        <v>9</v>
      </c>
    </row>
    <row r="35" spans="1:5" x14ac:dyDescent="0.3">
      <c r="A35" s="13" t="s">
        <v>1</v>
      </c>
      <c r="B35" s="13" t="s">
        <v>195</v>
      </c>
      <c r="C35" s="13">
        <v>4</v>
      </c>
      <c r="D35" s="13">
        <v>4</v>
      </c>
      <c r="E35" s="13">
        <v>4</v>
      </c>
    </row>
    <row r="36" spans="1:5" x14ac:dyDescent="0.3">
      <c r="A36" s="13" t="s">
        <v>1</v>
      </c>
      <c r="B36" s="13" t="s">
        <v>109</v>
      </c>
      <c r="C36" s="13">
        <v>4</v>
      </c>
      <c r="D36" s="13">
        <v>4</v>
      </c>
      <c r="E36" s="13">
        <v>4</v>
      </c>
    </row>
    <row r="37" spans="1:5" x14ac:dyDescent="0.3">
      <c r="A37" s="13" t="s">
        <v>1</v>
      </c>
      <c r="B37" s="13" t="s">
        <v>172</v>
      </c>
      <c r="C37" s="13">
        <v>4</v>
      </c>
      <c r="D37" s="13">
        <v>4</v>
      </c>
      <c r="E37" s="13">
        <v>4</v>
      </c>
    </row>
    <row r="38" spans="1:5" x14ac:dyDescent="0.3">
      <c r="A38" s="13" t="s">
        <v>1</v>
      </c>
      <c r="B38" s="13" t="s">
        <v>31</v>
      </c>
      <c r="C38" s="13">
        <v>5</v>
      </c>
      <c r="D38" s="13">
        <v>4</v>
      </c>
      <c r="E38" s="13">
        <v>5</v>
      </c>
    </row>
    <row r="39" spans="1:5" x14ac:dyDescent="0.3">
      <c r="A39" s="13" t="s">
        <v>0</v>
      </c>
      <c r="B39" s="13" t="s">
        <v>61</v>
      </c>
      <c r="C39" s="13">
        <v>4</v>
      </c>
      <c r="D39" s="13">
        <v>4</v>
      </c>
      <c r="E39" s="13">
        <v>5</v>
      </c>
    </row>
    <row r="40" spans="1:5" x14ac:dyDescent="0.3">
      <c r="A40" s="13" t="s">
        <v>0</v>
      </c>
      <c r="B40" s="13" t="s">
        <v>1882</v>
      </c>
      <c r="C40" s="13">
        <v>5</v>
      </c>
      <c r="D40" s="13">
        <v>4</v>
      </c>
      <c r="E40" s="13">
        <v>5</v>
      </c>
    </row>
    <row r="41" spans="1:5" x14ac:dyDescent="0.3">
      <c r="A41" s="13" t="s">
        <v>0</v>
      </c>
      <c r="B41" s="13" t="s">
        <v>2203</v>
      </c>
      <c r="C41" s="13">
        <v>4</v>
      </c>
      <c r="D41" s="13">
        <v>4</v>
      </c>
      <c r="E41" s="13">
        <v>4</v>
      </c>
    </row>
    <row r="42" spans="1:5" x14ac:dyDescent="0.3">
      <c r="A42" s="13" t="s">
        <v>1</v>
      </c>
      <c r="B42" s="13" t="s">
        <v>77</v>
      </c>
      <c r="C42" s="13">
        <v>4</v>
      </c>
      <c r="D42" s="13">
        <v>3</v>
      </c>
      <c r="E42" s="13">
        <v>4</v>
      </c>
    </row>
    <row r="43" spans="1:5" x14ac:dyDescent="0.3">
      <c r="A43" s="13" t="s">
        <v>1</v>
      </c>
      <c r="B43" s="13" t="s">
        <v>145</v>
      </c>
      <c r="C43" s="13">
        <v>5</v>
      </c>
      <c r="D43" s="13">
        <v>3</v>
      </c>
      <c r="E43" s="13">
        <v>5</v>
      </c>
    </row>
    <row r="44" spans="1:5" x14ac:dyDescent="0.3">
      <c r="A44" s="13" t="s">
        <v>1</v>
      </c>
      <c r="B44" s="13" t="s">
        <v>93</v>
      </c>
      <c r="C44" s="13">
        <v>3</v>
      </c>
      <c r="D44" s="13">
        <v>3</v>
      </c>
      <c r="E44" s="13">
        <v>3</v>
      </c>
    </row>
    <row r="45" spans="1:5" x14ac:dyDescent="0.3">
      <c r="A45" s="13" t="s">
        <v>1</v>
      </c>
      <c r="B45" s="13" t="s">
        <v>1663</v>
      </c>
      <c r="C45" s="13">
        <v>4</v>
      </c>
      <c r="D45" s="13">
        <v>3</v>
      </c>
      <c r="E45" s="13">
        <v>5</v>
      </c>
    </row>
    <row r="46" spans="1:5" x14ac:dyDescent="0.3">
      <c r="A46" s="13" t="s">
        <v>1</v>
      </c>
      <c r="B46" s="13" t="s">
        <v>1849</v>
      </c>
      <c r="C46" s="13">
        <v>5</v>
      </c>
      <c r="D46" s="13">
        <v>3</v>
      </c>
      <c r="E46" s="13">
        <v>6</v>
      </c>
    </row>
    <row r="47" spans="1:5" x14ac:dyDescent="0.3">
      <c r="A47" s="13" t="s">
        <v>1</v>
      </c>
      <c r="B47" s="13" t="s">
        <v>1989</v>
      </c>
      <c r="C47" s="13">
        <v>3</v>
      </c>
      <c r="D47" s="13">
        <v>3</v>
      </c>
      <c r="E47" s="13">
        <v>4</v>
      </c>
    </row>
    <row r="48" spans="1:5" x14ac:dyDescent="0.3">
      <c r="A48" s="13" t="s">
        <v>1</v>
      </c>
      <c r="B48" s="13" t="s">
        <v>155</v>
      </c>
      <c r="C48" s="13">
        <v>3</v>
      </c>
      <c r="D48" s="13">
        <v>3</v>
      </c>
      <c r="E48" s="13">
        <v>5</v>
      </c>
    </row>
    <row r="49" spans="1:5" x14ac:dyDescent="0.3">
      <c r="A49" s="13" t="s">
        <v>1</v>
      </c>
      <c r="B49" s="13" t="s">
        <v>279</v>
      </c>
      <c r="C49" s="13">
        <v>4</v>
      </c>
      <c r="D49" s="13">
        <v>3</v>
      </c>
      <c r="E49" s="13">
        <v>4</v>
      </c>
    </row>
    <row r="50" spans="1:5" x14ac:dyDescent="0.3">
      <c r="A50" s="13" t="s">
        <v>0</v>
      </c>
      <c r="B50" s="13" t="s">
        <v>30</v>
      </c>
      <c r="C50" s="13">
        <v>7</v>
      </c>
      <c r="D50" s="13">
        <v>3</v>
      </c>
      <c r="E50" s="13">
        <v>12</v>
      </c>
    </row>
    <row r="51" spans="1:5" x14ac:dyDescent="0.3">
      <c r="A51" s="13" t="s">
        <v>0</v>
      </c>
      <c r="B51" s="13" t="s">
        <v>34</v>
      </c>
      <c r="C51" s="13">
        <v>3</v>
      </c>
      <c r="D51" s="13">
        <v>3</v>
      </c>
      <c r="E51" s="13">
        <v>4</v>
      </c>
    </row>
    <row r="52" spans="1:5" x14ac:dyDescent="0.3">
      <c r="A52" s="13" t="s">
        <v>0</v>
      </c>
      <c r="B52" s="13" t="s">
        <v>148</v>
      </c>
      <c r="C52" s="13">
        <v>3</v>
      </c>
      <c r="D52" s="13">
        <v>3</v>
      </c>
      <c r="E52" s="13">
        <v>3</v>
      </c>
    </row>
    <row r="53" spans="1:5" x14ac:dyDescent="0.3">
      <c r="A53" s="13" t="s">
        <v>0</v>
      </c>
      <c r="B53" s="13" t="s">
        <v>272</v>
      </c>
      <c r="C53" s="13">
        <v>4</v>
      </c>
      <c r="D53" s="13">
        <v>3</v>
      </c>
      <c r="E53" s="13">
        <v>5</v>
      </c>
    </row>
    <row r="54" spans="1:5" x14ac:dyDescent="0.3">
      <c r="A54" s="13" t="s">
        <v>0</v>
      </c>
      <c r="B54" s="13" t="s">
        <v>60</v>
      </c>
      <c r="C54" s="13">
        <v>3</v>
      </c>
      <c r="D54" s="13">
        <v>3</v>
      </c>
      <c r="E54" s="13">
        <v>4</v>
      </c>
    </row>
    <row r="55" spans="1:5" x14ac:dyDescent="0.3">
      <c r="A55" s="13" t="s">
        <v>0</v>
      </c>
      <c r="B55" s="13" t="s">
        <v>391</v>
      </c>
      <c r="C55" s="13">
        <v>3</v>
      </c>
      <c r="D55" s="13">
        <v>3</v>
      </c>
      <c r="E55" s="13">
        <v>3</v>
      </c>
    </row>
    <row r="56" spans="1:5" x14ac:dyDescent="0.3">
      <c r="A56" s="13" t="s">
        <v>0</v>
      </c>
      <c r="B56" s="13" t="s">
        <v>45</v>
      </c>
      <c r="C56" s="13">
        <v>3</v>
      </c>
      <c r="D56" s="13">
        <v>3</v>
      </c>
      <c r="E56" s="13">
        <v>3</v>
      </c>
    </row>
    <row r="57" spans="1:5" x14ac:dyDescent="0.3">
      <c r="A57" s="13" t="s">
        <v>0</v>
      </c>
      <c r="B57" s="13" t="s">
        <v>191</v>
      </c>
      <c r="C57" s="13">
        <v>3</v>
      </c>
      <c r="D57" s="13">
        <v>3</v>
      </c>
      <c r="E57" s="13">
        <v>5</v>
      </c>
    </row>
    <row r="58" spans="1:5" x14ac:dyDescent="0.3">
      <c r="A58" s="13" t="s">
        <v>1</v>
      </c>
      <c r="B58" s="13" t="s">
        <v>965</v>
      </c>
      <c r="C58" s="13">
        <v>3</v>
      </c>
      <c r="D58" s="13">
        <v>2</v>
      </c>
      <c r="E58" s="13">
        <v>5</v>
      </c>
    </row>
    <row r="59" spans="1:5" x14ac:dyDescent="0.3">
      <c r="A59" s="13" t="s">
        <v>1</v>
      </c>
      <c r="B59" s="13" t="s">
        <v>199</v>
      </c>
      <c r="C59" s="13">
        <v>3</v>
      </c>
      <c r="D59" s="13">
        <v>2</v>
      </c>
      <c r="E59" s="13">
        <v>2</v>
      </c>
    </row>
    <row r="60" spans="1:5" x14ac:dyDescent="0.3">
      <c r="A60" s="13" t="s">
        <v>1</v>
      </c>
      <c r="B60" s="13" t="s">
        <v>33</v>
      </c>
      <c r="C60" s="13">
        <v>2</v>
      </c>
      <c r="D60" s="13">
        <v>2</v>
      </c>
      <c r="E60" s="13">
        <v>2</v>
      </c>
    </row>
    <row r="61" spans="1:5" x14ac:dyDescent="0.3">
      <c r="A61" s="13" t="s">
        <v>1</v>
      </c>
      <c r="B61" s="13" t="s">
        <v>206</v>
      </c>
      <c r="C61" s="13">
        <v>2</v>
      </c>
      <c r="D61" s="13">
        <v>2</v>
      </c>
      <c r="E61" s="13">
        <v>2</v>
      </c>
    </row>
    <row r="62" spans="1:5" x14ac:dyDescent="0.3">
      <c r="A62" s="13" t="s">
        <v>1</v>
      </c>
      <c r="B62" s="13" t="s">
        <v>1019</v>
      </c>
      <c r="C62" s="13">
        <v>4</v>
      </c>
      <c r="D62" s="13">
        <v>2</v>
      </c>
      <c r="E62" s="13">
        <v>3</v>
      </c>
    </row>
    <row r="63" spans="1:5" x14ac:dyDescent="0.3">
      <c r="A63" s="13" t="s">
        <v>1</v>
      </c>
      <c r="B63" s="13" t="s">
        <v>464</v>
      </c>
      <c r="C63" s="13">
        <v>2</v>
      </c>
      <c r="D63" s="13">
        <v>2</v>
      </c>
      <c r="E63" s="13">
        <v>2</v>
      </c>
    </row>
    <row r="64" spans="1:5" x14ac:dyDescent="0.3">
      <c r="A64" s="13" t="s">
        <v>1</v>
      </c>
      <c r="B64" s="13" t="s">
        <v>502</v>
      </c>
      <c r="C64" s="13">
        <v>2</v>
      </c>
      <c r="D64" s="13">
        <v>2</v>
      </c>
      <c r="E64" s="13">
        <v>2</v>
      </c>
    </row>
    <row r="65" spans="1:5" x14ac:dyDescent="0.3">
      <c r="A65" s="13" t="s">
        <v>1</v>
      </c>
      <c r="B65" s="13" t="s">
        <v>272</v>
      </c>
      <c r="C65" s="13">
        <v>3</v>
      </c>
      <c r="D65" s="13">
        <v>2</v>
      </c>
      <c r="E65" s="13">
        <v>3</v>
      </c>
    </row>
    <row r="66" spans="1:5" x14ac:dyDescent="0.3">
      <c r="A66" s="13" t="s">
        <v>1</v>
      </c>
      <c r="B66" s="13" t="s">
        <v>658</v>
      </c>
      <c r="C66" s="13">
        <v>2</v>
      </c>
      <c r="D66" s="13">
        <v>2</v>
      </c>
      <c r="E66" s="13">
        <v>2</v>
      </c>
    </row>
    <row r="67" spans="1:5" x14ac:dyDescent="0.3">
      <c r="A67" s="13" t="s">
        <v>1</v>
      </c>
      <c r="B67" s="13" t="s">
        <v>60</v>
      </c>
      <c r="C67" s="13">
        <v>4</v>
      </c>
      <c r="D67" s="13">
        <v>2</v>
      </c>
      <c r="E67" s="13">
        <v>5</v>
      </c>
    </row>
    <row r="68" spans="1:5" x14ac:dyDescent="0.3">
      <c r="A68" s="13" t="s">
        <v>1</v>
      </c>
      <c r="B68" s="13" t="s">
        <v>653</v>
      </c>
      <c r="C68" s="13">
        <v>2</v>
      </c>
      <c r="D68" s="13">
        <v>2</v>
      </c>
      <c r="E68" s="13">
        <v>2</v>
      </c>
    </row>
    <row r="69" spans="1:5" x14ac:dyDescent="0.3">
      <c r="A69" s="13" t="s">
        <v>1</v>
      </c>
      <c r="B69" s="13" t="s">
        <v>1067</v>
      </c>
      <c r="C69" s="13">
        <v>3</v>
      </c>
      <c r="D69" s="13">
        <v>2</v>
      </c>
      <c r="E69" s="13">
        <v>3</v>
      </c>
    </row>
    <row r="70" spans="1:5" x14ac:dyDescent="0.3">
      <c r="A70" s="13" t="s">
        <v>1</v>
      </c>
      <c r="B70" s="13" t="s">
        <v>1505</v>
      </c>
      <c r="C70" s="13">
        <v>3</v>
      </c>
      <c r="D70" s="13">
        <v>2</v>
      </c>
      <c r="E70" s="13">
        <v>3</v>
      </c>
    </row>
    <row r="71" spans="1:5" x14ac:dyDescent="0.3">
      <c r="A71" s="13" t="s">
        <v>1</v>
      </c>
      <c r="B71" s="13" t="s">
        <v>1645</v>
      </c>
      <c r="C71" s="13">
        <v>4</v>
      </c>
      <c r="D71" s="13">
        <v>2</v>
      </c>
      <c r="E71" s="13">
        <v>4</v>
      </c>
    </row>
    <row r="72" spans="1:5" x14ac:dyDescent="0.3">
      <c r="A72" s="13" t="s">
        <v>1</v>
      </c>
      <c r="B72" s="13" t="s">
        <v>1655</v>
      </c>
      <c r="C72" s="13">
        <v>2</v>
      </c>
      <c r="D72" s="13">
        <v>2</v>
      </c>
      <c r="E72" s="13">
        <v>2</v>
      </c>
    </row>
    <row r="73" spans="1:5" x14ac:dyDescent="0.3">
      <c r="A73" s="13" t="s">
        <v>1</v>
      </c>
      <c r="B73" s="13" t="s">
        <v>2164</v>
      </c>
      <c r="C73" s="13">
        <v>8</v>
      </c>
      <c r="D73" s="13">
        <v>2</v>
      </c>
      <c r="E73" s="13">
        <v>8</v>
      </c>
    </row>
    <row r="74" spans="1:5" x14ac:dyDescent="0.3">
      <c r="A74" s="13" t="s">
        <v>1</v>
      </c>
      <c r="B74" s="13" t="s">
        <v>1629</v>
      </c>
      <c r="C74" s="13">
        <v>2</v>
      </c>
      <c r="D74" s="13">
        <v>2</v>
      </c>
      <c r="E74" s="13">
        <v>2</v>
      </c>
    </row>
    <row r="75" spans="1:5" x14ac:dyDescent="0.3">
      <c r="A75" s="13" t="s">
        <v>1</v>
      </c>
      <c r="B75" s="13" t="s">
        <v>795</v>
      </c>
      <c r="C75" s="13">
        <v>2</v>
      </c>
      <c r="D75" s="13">
        <v>2</v>
      </c>
      <c r="E75" s="13">
        <v>2</v>
      </c>
    </row>
    <row r="76" spans="1:5" x14ac:dyDescent="0.3">
      <c r="A76" s="13" t="s">
        <v>1</v>
      </c>
      <c r="B76" s="13" t="s">
        <v>341</v>
      </c>
      <c r="C76" s="13">
        <v>3</v>
      </c>
      <c r="D76" s="13">
        <v>2</v>
      </c>
      <c r="E76" s="13">
        <v>3</v>
      </c>
    </row>
    <row r="77" spans="1:5" x14ac:dyDescent="0.3">
      <c r="A77" s="13" t="s">
        <v>1</v>
      </c>
      <c r="B77" s="13" t="s">
        <v>104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861</v>
      </c>
      <c r="C78" s="13">
        <v>2</v>
      </c>
      <c r="D78" s="13">
        <v>2</v>
      </c>
      <c r="E78" s="13">
        <v>2</v>
      </c>
    </row>
    <row r="79" spans="1:5" x14ac:dyDescent="0.3">
      <c r="A79" s="13" t="s">
        <v>1</v>
      </c>
      <c r="B79" s="13" t="s">
        <v>44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1107</v>
      </c>
      <c r="C80" s="13">
        <v>2</v>
      </c>
      <c r="D80" s="13">
        <v>2</v>
      </c>
      <c r="E80" s="13">
        <v>2</v>
      </c>
    </row>
    <row r="81" spans="1:5" x14ac:dyDescent="0.3">
      <c r="A81" s="13" t="s">
        <v>1</v>
      </c>
      <c r="B81" s="13" t="s">
        <v>518</v>
      </c>
      <c r="C81" s="13">
        <v>2</v>
      </c>
      <c r="D81" s="13">
        <v>2</v>
      </c>
      <c r="E81" s="13">
        <v>3</v>
      </c>
    </row>
    <row r="82" spans="1:5" x14ac:dyDescent="0.3">
      <c r="A82" s="13" t="s">
        <v>1</v>
      </c>
      <c r="B82" s="13" t="s">
        <v>1005</v>
      </c>
      <c r="C82" s="13">
        <v>3</v>
      </c>
      <c r="D82" s="13">
        <v>2</v>
      </c>
      <c r="E82" s="13">
        <v>4</v>
      </c>
    </row>
    <row r="83" spans="1:5" x14ac:dyDescent="0.3">
      <c r="A83" s="13" t="s">
        <v>1</v>
      </c>
      <c r="B83" s="13" t="s">
        <v>319</v>
      </c>
      <c r="C83" s="13">
        <v>2</v>
      </c>
      <c r="D83" s="13">
        <v>2</v>
      </c>
      <c r="E83" s="13">
        <v>2</v>
      </c>
    </row>
    <row r="84" spans="1:5" x14ac:dyDescent="0.3">
      <c r="A84" s="13" t="s">
        <v>1</v>
      </c>
      <c r="B84" s="13" t="s">
        <v>324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1190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118</v>
      </c>
      <c r="C86" s="13">
        <v>2</v>
      </c>
      <c r="D86" s="13">
        <v>2</v>
      </c>
      <c r="E86" s="13">
        <v>2</v>
      </c>
    </row>
    <row r="87" spans="1:5" x14ac:dyDescent="0.3">
      <c r="A87" s="13" t="s">
        <v>1</v>
      </c>
      <c r="B87" s="13" t="s">
        <v>631</v>
      </c>
      <c r="C87" s="13">
        <v>2</v>
      </c>
      <c r="D87" s="13">
        <v>2</v>
      </c>
      <c r="E87" s="13">
        <v>3</v>
      </c>
    </row>
    <row r="88" spans="1:5" x14ac:dyDescent="0.3">
      <c r="A88" s="13" t="s">
        <v>1</v>
      </c>
      <c r="B88" s="13" t="s">
        <v>120</v>
      </c>
      <c r="C88" s="13">
        <v>3</v>
      </c>
      <c r="D88" s="13">
        <v>2</v>
      </c>
      <c r="E88" s="13">
        <v>3</v>
      </c>
    </row>
    <row r="89" spans="1:5" x14ac:dyDescent="0.3">
      <c r="A89" s="13" t="s">
        <v>1</v>
      </c>
      <c r="B89" s="13" t="s">
        <v>123</v>
      </c>
      <c r="C89" s="13">
        <v>2</v>
      </c>
      <c r="D89" s="13">
        <v>2</v>
      </c>
      <c r="E89" s="13">
        <v>2</v>
      </c>
    </row>
    <row r="90" spans="1:5" x14ac:dyDescent="0.3">
      <c r="A90" s="13" t="s">
        <v>1</v>
      </c>
      <c r="B90" s="13" t="s">
        <v>409</v>
      </c>
      <c r="C90" s="13">
        <v>2</v>
      </c>
      <c r="D90" s="13">
        <v>2</v>
      </c>
      <c r="E90" s="13">
        <v>2</v>
      </c>
    </row>
    <row r="91" spans="1:5" x14ac:dyDescent="0.3">
      <c r="A91" s="13" t="s">
        <v>1</v>
      </c>
      <c r="B91" s="13" t="s">
        <v>63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255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416</v>
      </c>
      <c r="C93" s="13">
        <v>3</v>
      </c>
      <c r="D93" s="13">
        <v>2</v>
      </c>
      <c r="E93" s="13">
        <v>4</v>
      </c>
    </row>
    <row r="94" spans="1:5" x14ac:dyDescent="0.3">
      <c r="A94" s="13" t="s">
        <v>1</v>
      </c>
      <c r="B94" s="13" t="s">
        <v>417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802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190</v>
      </c>
      <c r="C96" s="13">
        <v>3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231</v>
      </c>
      <c r="C97" s="13">
        <v>11</v>
      </c>
      <c r="D97" s="13">
        <v>2</v>
      </c>
      <c r="E97" s="13">
        <v>14</v>
      </c>
    </row>
    <row r="98" spans="1:5" x14ac:dyDescent="0.3">
      <c r="A98" s="13" t="s">
        <v>1</v>
      </c>
      <c r="B98" s="13" t="s">
        <v>365</v>
      </c>
      <c r="C98" s="13">
        <v>4</v>
      </c>
      <c r="D98" s="13">
        <v>2</v>
      </c>
      <c r="E98" s="13">
        <v>7</v>
      </c>
    </row>
    <row r="99" spans="1:5" x14ac:dyDescent="0.3">
      <c r="A99" s="13" t="s">
        <v>1</v>
      </c>
      <c r="B99" s="13" t="s">
        <v>39</v>
      </c>
      <c r="C99" s="13">
        <v>12</v>
      </c>
      <c r="D99" s="13">
        <v>2</v>
      </c>
      <c r="E99" s="13">
        <v>15</v>
      </c>
    </row>
    <row r="100" spans="1:5" x14ac:dyDescent="0.3">
      <c r="A100" s="13" t="s">
        <v>1</v>
      </c>
      <c r="B100" s="13" t="s">
        <v>654</v>
      </c>
      <c r="C100" s="13">
        <v>2</v>
      </c>
      <c r="D100" s="13">
        <v>3</v>
      </c>
      <c r="E100" s="13"/>
    </row>
    <row r="101" spans="1:5" x14ac:dyDescent="0.3">
      <c r="A101" s="13" t="s">
        <v>0</v>
      </c>
      <c r="B101" s="13" t="s">
        <v>554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0</v>
      </c>
      <c r="B102" s="13" t="s">
        <v>589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0</v>
      </c>
      <c r="B103" s="13" t="s">
        <v>217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0</v>
      </c>
      <c r="B104" s="13" t="s">
        <v>424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0</v>
      </c>
      <c r="B105" s="13" t="s">
        <v>354</v>
      </c>
      <c r="C105" s="13">
        <v>2</v>
      </c>
      <c r="D105" s="13">
        <v>2</v>
      </c>
      <c r="E105" s="13">
        <v>3</v>
      </c>
    </row>
    <row r="106" spans="1:5" x14ac:dyDescent="0.3">
      <c r="A106" s="13" t="s">
        <v>0</v>
      </c>
      <c r="B106" s="13" t="s">
        <v>94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0</v>
      </c>
      <c r="B107" s="13" t="s">
        <v>155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0</v>
      </c>
      <c r="B108" s="13" t="s">
        <v>35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0</v>
      </c>
      <c r="B109" s="13" t="s">
        <v>567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0</v>
      </c>
      <c r="B110" s="13" t="s">
        <v>109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0</v>
      </c>
      <c r="B111" s="13" t="s">
        <v>51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0</v>
      </c>
      <c r="B112" s="13" t="s">
        <v>44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0</v>
      </c>
      <c r="B113" s="13" t="s">
        <v>431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0</v>
      </c>
      <c r="B114" s="13" t="s">
        <v>172</v>
      </c>
      <c r="C114" s="13">
        <v>2</v>
      </c>
      <c r="D114" s="13">
        <v>2</v>
      </c>
      <c r="E114" s="13">
        <v>2</v>
      </c>
    </row>
    <row r="115" spans="1:5" x14ac:dyDescent="0.3">
      <c r="A115" s="13" t="s">
        <v>0</v>
      </c>
      <c r="B115" s="13" t="s">
        <v>120</v>
      </c>
      <c r="C115" s="13">
        <v>2</v>
      </c>
      <c r="D115" s="13">
        <v>2</v>
      </c>
      <c r="E115" s="13">
        <v>2</v>
      </c>
    </row>
    <row r="116" spans="1:5" x14ac:dyDescent="0.3">
      <c r="A116" s="13" t="s">
        <v>0</v>
      </c>
      <c r="B116" s="13" t="s">
        <v>63</v>
      </c>
      <c r="C116" s="13">
        <v>2</v>
      </c>
      <c r="D116" s="13">
        <v>2</v>
      </c>
      <c r="E116" s="13">
        <v>2</v>
      </c>
    </row>
    <row r="117" spans="1:5" x14ac:dyDescent="0.3">
      <c r="A117" s="13" t="s">
        <v>0</v>
      </c>
      <c r="B117" s="13" t="s">
        <v>797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2</v>
      </c>
      <c r="B118" s="13" t="s">
        <v>295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1</v>
      </c>
      <c r="B119" s="13" t="s">
        <v>377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2426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47</v>
      </c>
      <c r="C121" s="13">
        <v>6</v>
      </c>
      <c r="D121" s="13">
        <v>1</v>
      </c>
      <c r="E121" s="13">
        <v>8</v>
      </c>
    </row>
    <row r="122" spans="1:5" x14ac:dyDescent="0.3">
      <c r="A122" s="13" t="s">
        <v>1</v>
      </c>
      <c r="B122" s="13" t="s">
        <v>300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2305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470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555</v>
      </c>
      <c r="C125" s="13">
        <v>1</v>
      </c>
      <c r="D125" s="13">
        <v>1</v>
      </c>
      <c r="E125" s="13">
        <v>2</v>
      </c>
    </row>
    <row r="126" spans="1:5" x14ac:dyDescent="0.3">
      <c r="A126" s="13" t="s">
        <v>1</v>
      </c>
      <c r="B126" s="13" t="s">
        <v>381</v>
      </c>
      <c r="C126" s="13">
        <v>2</v>
      </c>
      <c r="D126" s="13">
        <v>1</v>
      </c>
      <c r="E126" s="13">
        <v>3</v>
      </c>
    </row>
    <row r="127" spans="1:5" x14ac:dyDescent="0.3">
      <c r="A127" s="13" t="s">
        <v>1</v>
      </c>
      <c r="B127" s="13" t="s">
        <v>74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264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556</v>
      </c>
      <c r="C129" s="13">
        <v>2</v>
      </c>
      <c r="D129" s="13">
        <v>1</v>
      </c>
      <c r="E129" s="13">
        <v>4</v>
      </c>
    </row>
    <row r="130" spans="1:5" x14ac:dyDescent="0.3">
      <c r="A130" s="13" t="s">
        <v>1</v>
      </c>
      <c r="B130" s="13" t="s">
        <v>1123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499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853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1845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347</v>
      </c>
      <c r="C134" s="13">
        <v>2</v>
      </c>
      <c r="D134" s="13">
        <v>1</v>
      </c>
      <c r="E134" s="13">
        <v>2</v>
      </c>
    </row>
    <row r="135" spans="1:5" x14ac:dyDescent="0.3">
      <c r="A135" s="13" t="s">
        <v>1</v>
      </c>
      <c r="B135" s="13" t="s">
        <v>812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34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209</v>
      </c>
      <c r="C137" s="13">
        <v>4</v>
      </c>
      <c r="D137" s="13">
        <v>1</v>
      </c>
      <c r="E137" s="13">
        <v>4</v>
      </c>
    </row>
    <row r="138" spans="1:5" x14ac:dyDescent="0.3">
      <c r="A138" s="13" t="s">
        <v>1</v>
      </c>
      <c r="B138" s="13" t="s">
        <v>270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84</v>
      </c>
      <c r="C139" s="13">
        <v>1</v>
      </c>
      <c r="D139" s="13">
        <v>1</v>
      </c>
      <c r="E139" s="13">
        <v>2</v>
      </c>
    </row>
    <row r="140" spans="1:5" x14ac:dyDescent="0.3">
      <c r="A140" s="13" t="s">
        <v>1</v>
      </c>
      <c r="B140" s="13" t="s">
        <v>1382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386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305</v>
      </c>
      <c r="C142" s="13">
        <v>2</v>
      </c>
      <c r="D142" s="13">
        <v>1</v>
      </c>
      <c r="E142" s="13">
        <v>2</v>
      </c>
    </row>
    <row r="143" spans="1:5" x14ac:dyDescent="0.3">
      <c r="A143" s="13" t="s">
        <v>1</v>
      </c>
      <c r="B143" s="13" t="s">
        <v>1249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1181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86</v>
      </c>
      <c r="C145" s="13">
        <v>2</v>
      </c>
      <c r="D145" s="13">
        <v>1</v>
      </c>
      <c r="E145" s="13">
        <v>2</v>
      </c>
    </row>
    <row r="146" spans="1:5" x14ac:dyDescent="0.3">
      <c r="A146" s="13" t="s">
        <v>1</v>
      </c>
      <c r="B146" s="13" t="s">
        <v>1112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1289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351</v>
      </c>
      <c r="C148" s="13">
        <v>2</v>
      </c>
      <c r="D148" s="13">
        <v>1</v>
      </c>
      <c r="E148" s="13">
        <v>4</v>
      </c>
    </row>
    <row r="149" spans="1:5" x14ac:dyDescent="0.3">
      <c r="A149" s="13" t="s">
        <v>1</v>
      </c>
      <c r="B149" s="13" t="s">
        <v>87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760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991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214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90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215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1175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993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150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1171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151</v>
      </c>
      <c r="C159" s="13">
        <v>4</v>
      </c>
      <c r="D159" s="13">
        <v>1</v>
      </c>
      <c r="E159" s="13">
        <v>4</v>
      </c>
    </row>
    <row r="160" spans="1:5" x14ac:dyDescent="0.3">
      <c r="A160" s="13" t="s">
        <v>1</v>
      </c>
      <c r="B160" s="13" t="s">
        <v>612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888</v>
      </c>
      <c r="C161" s="13">
        <v>3</v>
      </c>
      <c r="D161" s="13">
        <v>1</v>
      </c>
      <c r="E161" s="13">
        <v>3</v>
      </c>
    </row>
    <row r="162" spans="1:5" x14ac:dyDescent="0.3">
      <c r="A162" s="13" t="s">
        <v>1</v>
      </c>
      <c r="B162" s="13" t="s">
        <v>1370</v>
      </c>
      <c r="C162" s="13">
        <v>2</v>
      </c>
      <c r="D162" s="13">
        <v>1</v>
      </c>
      <c r="E162" s="13">
        <v>2</v>
      </c>
    </row>
    <row r="163" spans="1:5" x14ac:dyDescent="0.3">
      <c r="A163" s="13" t="s">
        <v>1</v>
      </c>
      <c r="B163" s="13" t="s">
        <v>1483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1570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1740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1854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2406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1885</v>
      </c>
      <c r="C168" s="13">
        <v>3</v>
      </c>
      <c r="D168" s="13">
        <v>1</v>
      </c>
      <c r="E168" s="13">
        <v>3</v>
      </c>
    </row>
    <row r="169" spans="1:5" x14ac:dyDescent="0.3">
      <c r="A169" s="13" t="s">
        <v>1</v>
      </c>
      <c r="B169" s="13" t="s">
        <v>1900</v>
      </c>
      <c r="C169" s="13">
        <v>3</v>
      </c>
      <c r="D169" s="13">
        <v>1</v>
      </c>
      <c r="E169" s="13">
        <v>3</v>
      </c>
    </row>
    <row r="170" spans="1:5" x14ac:dyDescent="0.3">
      <c r="A170" s="13" t="s">
        <v>1</v>
      </c>
      <c r="B170" s="13" t="s">
        <v>1988</v>
      </c>
      <c r="C170" s="13">
        <v>12</v>
      </c>
      <c r="D170" s="13">
        <v>1</v>
      </c>
      <c r="E170" s="13">
        <v>14</v>
      </c>
    </row>
    <row r="171" spans="1:5" x14ac:dyDescent="0.3">
      <c r="A171" s="13" t="s">
        <v>1</v>
      </c>
      <c r="B171" s="13" t="s">
        <v>1883</v>
      </c>
      <c r="C171" s="13">
        <v>3</v>
      </c>
      <c r="D171" s="13">
        <v>1</v>
      </c>
      <c r="E171" s="13">
        <v>3</v>
      </c>
    </row>
    <row r="172" spans="1:5" x14ac:dyDescent="0.3">
      <c r="A172" s="13" t="s">
        <v>1</v>
      </c>
      <c r="B172" s="13" t="s">
        <v>1882</v>
      </c>
      <c r="C172" s="13">
        <v>3</v>
      </c>
      <c r="D172" s="13">
        <v>1</v>
      </c>
      <c r="E172" s="13">
        <v>4</v>
      </c>
    </row>
    <row r="173" spans="1:5" x14ac:dyDescent="0.3">
      <c r="A173" s="13" t="s">
        <v>1</v>
      </c>
      <c r="B173" s="13" t="s">
        <v>1960</v>
      </c>
      <c r="C173" s="13">
        <v>3</v>
      </c>
      <c r="D173" s="13">
        <v>1</v>
      </c>
      <c r="E173" s="13">
        <v>3</v>
      </c>
    </row>
    <row r="174" spans="1:5" x14ac:dyDescent="0.3">
      <c r="A174" s="13" t="s">
        <v>1</v>
      </c>
      <c r="B174" s="13" t="s">
        <v>2069</v>
      </c>
      <c r="C174" s="13">
        <v>4</v>
      </c>
      <c r="D174" s="13">
        <v>1</v>
      </c>
      <c r="E174" s="13">
        <v>4</v>
      </c>
    </row>
    <row r="175" spans="1:5" x14ac:dyDescent="0.3">
      <c r="A175" s="13" t="s">
        <v>1</v>
      </c>
      <c r="B175" s="13" t="s">
        <v>2148</v>
      </c>
      <c r="C175" s="13">
        <v>3</v>
      </c>
      <c r="D175" s="13">
        <v>1</v>
      </c>
      <c r="E175" s="13">
        <v>5</v>
      </c>
    </row>
    <row r="176" spans="1:5" x14ac:dyDescent="0.3">
      <c r="A176" s="13" t="s">
        <v>1</v>
      </c>
      <c r="B176" s="13" t="s">
        <v>2162</v>
      </c>
      <c r="C176" s="13">
        <v>3</v>
      </c>
      <c r="D176" s="13">
        <v>1</v>
      </c>
      <c r="E176" s="13">
        <v>4</v>
      </c>
    </row>
    <row r="177" spans="1:5" x14ac:dyDescent="0.3">
      <c r="A177" s="13" t="s">
        <v>1</v>
      </c>
      <c r="B177" s="13" t="s">
        <v>2407</v>
      </c>
      <c r="C177" s="13">
        <v>7</v>
      </c>
      <c r="D177" s="13">
        <v>1</v>
      </c>
      <c r="E177" s="13">
        <v>7</v>
      </c>
    </row>
    <row r="178" spans="1:5" x14ac:dyDescent="0.3">
      <c r="A178" s="13" t="s">
        <v>1</v>
      </c>
      <c r="B178" s="13" t="s">
        <v>154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273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426</v>
      </c>
      <c r="C180" s="13">
        <v>2</v>
      </c>
      <c r="D180" s="13">
        <v>1</v>
      </c>
      <c r="E180" s="13">
        <v>2</v>
      </c>
    </row>
    <row r="181" spans="1:5" x14ac:dyDescent="0.3">
      <c r="A181" s="13" t="s">
        <v>1</v>
      </c>
      <c r="B181" s="13" t="s">
        <v>968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819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506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95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1992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1342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99</v>
      </c>
      <c r="C187" s="13">
        <v>2</v>
      </c>
      <c r="D187" s="13">
        <v>1</v>
      </c>
      <c r="E187" s="13">
        <v>2</v>
      </c>
    </row>
    <row r="188" spans="1:5" x14ac:dyDescent="0.3">
      <c r="A188" s="13" t="s">
        <v>1</v>
      </c>
      <c r="B188" s="13" t="s">
        <v>680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258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762</v>
      </c>
      <c r="C190" s="13">
        <v>1</v>
      </c>
      <c r="D190" s="13">
        <v>1</v>
      </c>
      <c r="E190" s="13">
        <v>2</v>
      </c>
    </row>
    <row r="191" spans="1:5" x14ac:dyDescent="0.3">
      <c r="A191" s="13" t="s">
        <v>1</v>
      </c>
      <c r="B191" s="13" t="s">
        <v>391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1069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159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392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937</v>
      </c>
      <c r="C195" s="13">
        <v>2</v>
      </c>
      <c r="D195" s="13">
        <v>1</v>
      </c>
      <c r="E195" s="13">
        <v>2</v>
      </c>
    </row>
    <row r="196" spans="1:5" x14ac:dyDescent="0.3">
      <c r="A196" s="13" t="s">
        <v>1</v>
      </c>
      <c r="B196" s="13" t="s">
        <v>1000</v>
      </c>
      <c r="C196" s="13">
        <v>1</v>
      </c>
      <c r="D196" s="13">
        <v>1</v>
      </c>
      <c r="E196" s="13">
        <v>2</v>
      </c>
    </row>
    <row r="197" spans="1:5" x14ac:dyDescent="0.3">
      <c r="A197" s="13" t="s">
        <v>1</v>
      </c>
      <c r="B197" s="13" t="s">
        <v>101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161</v>
      </c>
      <c r="C198" s="13">
        <v>1</v>
      </c>
      <c r="D198" s="13">
        <v>1</v>
      </c>
      <c r="E198" s="13">
        <v>2</v>
      </c>
    </row>
    <row r="199" spans="1:5" x14ac:dyDescent="0.3">
      <c r="A199" s="13" t="s">
        <v>1</v>
      </c>
      <c r="B199" s="13" t="s">
        <v>103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2427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682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1724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1035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311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105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2158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163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2428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164</v>
      </c>
      <c r="C209" s="13">
        <v>1</v>
      </c>
      <c r="D209" s="13">
        <v>1</v>
      </c>
      <c r="E209" s="13">
        <v>2</v>
      </c>
    </row>
    <row r="210" spans="1:5" x14ac:dyDescent="0.3">
      <c r="A210" s="13" t="s">
        <v>1</v>
      </c>
      <c r="B210" s="13" t="s">
        <v>1130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565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616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50</v>
      </c>
      <c r="C213" s="13">
        <v>2</v>
      </c>
      <c r="D213" s="13">
        <v>1</v>
      </c>
      <c r="E213" s="13">
        <v>2</v>
      </c>
    </row>
    <row r="214" spans="1:5" x14ac:dyDescent="0.3">
      <c r="A214" s="13" t="s">
        <v>1</v>
      </c>
      <c r="B214" s="13" t="s">
        <v>394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1106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1172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2429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278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111</v>
      </c>
      <c r="C219" s="13">
        <v>2</v>
      </c>
      <c r="D219" s="13">
        <v>1</v>
      </c>
      <c r="E219" s="13">
        <v>3</v>
      </c>
    </row>
    <row r="220" spans="1:5" x14ac:dyDescent="0.3">
      <c r="A220" s="13" t="s">
        <v>1</v>
      </c>
      <c r="B220" s="13" t="s">
        <v>397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824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1412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1757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512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513</v>
      </c>
      <c r="C225" s="13">
        <v>2</v>
      </c>
      <c r="D225" s="13">
        <v>1</v>
      </c>
      <c r="E225" s="13">
        <v>2</v>
      </c>
    </row>
    <row r="226" spans="1:5" x14ac:dyDescent="0.3">
      <c r="A226" s="13" t="s">
        <v>1</v>
      </c>
      <c r="B226" s="13" t="s">
        <v>1789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1214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687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2430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113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831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1080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45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320</v>
      </c>
      <c r="C234" s="13">
        <v>2</v>
      </c>
      <c r="D234" s="13">
        <v>1</v>
      </c>
      <c r="E234" s="13">
        <v>4</v>
      </c>
    </row>
    <row r="235" spans="1:5" x14ac:dyDescent="0.3">
      <c r="A235" s="13" t="s">
        <v>1</v>
      </c>
      <c r="B235" s="13" t="s">
        <v>1398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374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284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285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1534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693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2431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1149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1462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917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1336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2392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1950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525</v>
      </c>
      <c r="C248" s="13">
        <v>1</v>
      </c>
      <c r="D248" s="13">
        <v>1</v>
      </c>
      <c r="E248" s="13">
        <v>2</v>
      </c>
    </row>
    <row r="249" spans="1:5" x14ac:dyDescent="0.3">
      <c r="A249" s="13" t="s">
        <v>1</v>
      </c>
      <c r="B249" s="13" t="s">
        <v>947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626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1273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836</v>
      </c>
      <c r="C252" s="13">
        <v>1</v>
      </c>
      <c r="D252" s="13">
        <v>1</v>
      </c>
      <c r="E252" s="13">
        <v>2</v>
      </c>
    </row>
    <row r="253" spans="1:5" x14ac:dyDescent="0.3">
      <c r="A253" s="13" t="s">
        <v>1</v>
      </c>
      <c r="B253" s="13" t="s">
        <v>528</v>
      </c>
      <c r="C253" s="13">
        <v>1</v>
      </c>
      <c r="D253" s="13">
        <v>1</v>
      </c>
      <c r="E253" s="13">
        <v>2</v>
      </c>
    </row>
    <row r="254" spans="1:5" x14ac:dyDescent="0.3">
      <c r="A254" s="13" t="s">
        <v>1</v>
      </c>
      <c r="B254" s="13" t="s">
        <v>117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2432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333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196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121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1748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46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174</v>
      </c>
      <c r="C261" s="13">
        <v>2</v>
      </c>
      <c r="D261" s="13">
        <v>1</v>
      </c>
      <c r="E261" s="13">
        <v>2</v>
      </c>
    </row>
    <row r="262" spans="1:5" x14ac:dyDescent="0.3">
      <c r="A262" s="13" t="s">
        <v>1</v>
      </c>
      <c r="B262" s="13" t="s">
        <v>175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531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406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1092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2154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364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1169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436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124</v>
      </c>
      <c r="C270" s="13">
        <v>1</v>
      </c>
      <c r="D270" s="13">
        <v>1</v>
      </c>
      <c r="E270" s="13">
        <v>3</v>
      </c>
    </row>
    <row r="271" spans="1:5" x14ac:dyDescent="0.3">
      <c r="A271" s="13" t="s">
        <v>1</v>
      </c>
      <c r="B271" s="13" t="s">
        <v>1011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1973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905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2433</v>
      </c>
      <c r="C274" s="13">
        <v>1</v>
      </c>
      <c r="D274" s="13">
        <v>1</v>
      </c>
      <c r="E274" s="13">
        <v>2</v>
      </c>
    </row>
    <row r="275" spans="1:5" x14ac:dyDescent="0.3">
      <c r="A275" s="13" t="s">
        <v>1</v>
      </c>
      <c r="B275" s="13" t="s">
        <v>975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712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1951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467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713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52</v>
      </c>
      <c r="C280" s="13">
        <v>1</v>
      </c>
      <c r="D280" s="13">
        <v>1</v>
      </c>
      <c r="E280" s="13">
        <v>2</v>
      </c>
    </row>
    <row r="281" spans="1:5" x14ac:dyDescent="0.3">
      <c r="A281" s="13" t="s">
        <v>1</v>
      </c>
      <c r="B281" s="13" t="s">
        <v>126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184</v>
      </c>
      <c r="C282" s="13">
        <v>2</v>
      </c>
      <c r="D282" s="13">
        <v>1</v>
      </c>
      <c r="E282" s="13">
        <v>2</v>
      </c>
    </row>
    <row r="283" spans="1:5" x14ac:dyDescent="0.3">
      <c r="A283" s="13" t="s">
        <v>1</v>
      </c>
      <c r="B283" s="13" t="s">
        <v>1359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2434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481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636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715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747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187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1964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38</v>
      </c>
      <c r="C291" s="13">
        <v>2</v>
      </c>
      <c r="D291" s="13">
        <v>1</v>
      </c>
      <c r="E291" s="13">
        <v>2</v>
      </c>
    </row>
    <row r="292" spans="1:5" x14ac:dyDescent="0.3">
      <c r="A292" s="13" t="s">
        <v>1</v>
      </c>
      <c r="B292" s="13" t="s">
        <v>483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716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717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132</v>
      </c>
      <c r="C295" s="13">
        <v>2</v>
      </c>
      <c r="D295" s="13">
        <v>1</v>
      </c>
      <c r="E295" s="13">
        <v>3</v>
      </c>
    </row>
    <row r="296" spans="1:5" x14ac:dyDescent="0.3">
      <c r="A296" s="13" t="s">
        <v>1</v>
      </c>
      <c r="B296" s="13" t="s">
        <v>484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544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191</v>
      </c>
      <c r="C298" s="13">
        <v>3</v>
      </c>
      <c r="D298" s="13">
        <v>1</v>
      </c>
      <c r="E298" s="13">
        <v>8</v>
      </c>
    </row>
    <row r="299" spans="1:5" x14ac:dyDescent="0.3">
      <c r="A299" s="13" t="s">
        <v>1</v>
      </c>
      <c r="B299" s="13" t="s">
        <v>66</v>
      </c>
      <c r="C299" s="13">
        <v>4</v>
      </c>
      <c r="D299" s="13">
        <v>1</v>
      </c>
      <c r="E299" s="13">
        <v>9</v>
      </c>
    </row>
    <row r="300" spans="1:5" x14ac:dyDescent="0.3">
      <c r="A300" s="13" t="s">
        <v>1</v>
      </c>
      <c r="B300" s="13" t="s">
        <v>639</v>
      </c>
      <c r="C300" s="13">
        <v>3</v>
      </c>
      <c r="D300" s="13">
        <v>1</v>
      </c>
      <c r="E300" s="13">
        <v>3</v>
      </c>
    </row>
    <row r="301" spans="1:5" x14ac:dyDescent="0.3">
      <c r="A301" s="13" t="s">
        <v>1</v>
      </c>
      <c r="B301" s="13" t="s">
        <v>55</v>
      </c>
      <c r="C301" s="13">
        <v>6</v>
      </c>
      <c r="D301" s="13">
        <v>1</v>
      </c>
      <c r="E301" s="13">
        <v>9</v>
      </c>
    </row>
    <row r="302" spans="1:5" x14ac:dyDescent="0.3">
      <c r="A302" s="13" t="s">
        <v>1</v>
      </c>
      <c r="B302" s="13" t="s">
        <v>1564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1766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869</v>
      </c>
      <c r="C304" s="13">
        <v>1</v>
      </c>
      <c r="D304" s="13">
        <v>1</v>
      </c>
      <c r="E304" s="13"/>
    </row>
    <row r="305" spans="1:5" x14ac:dyDescent="0.3">
      <c r="A305" s="13" t="s">
        <v>1</v>
      </c>
      <c r="B305" s="13" t="s">
        <v>2136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2435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2436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641</v>
      </c>
      <c r="C308" s="13">
        <v>1</v>
      </c>
      <c r="D308" s="13">
        <v>1</v>
      </c>
      <c r="E308" s="13"/>
    </row>
    <row r="309" spans="1:5" x14ac:dyDescent="0.3">
      <c r="A309" s="13" t="s">
        <v>1</v>
      </c>
      <c r="B309" s="13" t="s">
        <v>1788</v>
      </c>
      <c r="C309" s="13">
        <v>1</v>
      </c>
      <c r="D309" s="13">
        <v>1</v>
      </c>
      <c r="E309" s="13">
        <v>2</v>
      </c>
    </row>
    <row r="310" spans="1:5" x14ac:dyDescent="0.3">
      <c r="A310" s="13" t="s">
        <v>1</v>
      </c>
      <c r="B310" s="13" t="s">
        <v>1404</v>
      </c>
      <c r="C310" s="13">
        <v>1</v>
      </c>
      <c r="D310" s="13">
        <v>2</v>
      </c>
      <c r="E310" s="13"/>
    </row>
    <row r="311" spans="1:5" x14ac:dyDescent="0.3">
      <c r="A311" s="13" t="s">
        <v>1</v>
      </c>
      <c r="B311" s="13" t="s">
        <v>2437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1199</v>
      </c>
      <c r="C312" s="13">
        <v>1</v>
      </c>
      <c r="D312" s="13">
        <v>1</v>
      </c>
      <c r="E312" s="13">
        <v>6</v>
      </c>
    </row>
    <row r="313" spans="1:5" x14ac:dyDescent="0.3">
      <c r="A313" s="13" t="s">
        <v>1</v>
      </c>
      <c r="B313" s="13" t="s">
        <v>1344</v>
      </c>
      <c r="C313" s="13">
        <v>1</v>
      </c>
      <c r="D313" s="13">
        <v>1</v>
      </c>
      <c r="E313" s="13"/>
    </row>
    <row r="314" spans="1:5" x14ac:dyDescent="0.3">
      <c r="A314" s="13" t="s">
        <v>1</v>
      </c>
      <c r="B314" s="13" t="s">
        <v>2438</v>
      </c>
      <c r="C314" s="13">
        <v>1</v>
      </c>
      <c r="D314" s="13">
        <v>1</v>
      </c>
      <c r="E314" s="13"/>
    </row>
    <row r="315" spans="1:5" x14ac:dyDescent="0.3">
      <c r="A315" s="13" t="s">
        <v>1</v>
      </c>
      <c r="B315" s="13" t="s">
        <v>2184</v>
      </c>
      <c r="C315" s="13">
        <v>1</v>
      </c>
      <c r="D315" s="13">
        <v>1</v>
      </c>
      <c r="E315" s="13">
        <v>4</v>
      </c>
    </row>
    <row r="316" spans="1:5" x14ac:dyDescent="0.3">
      <c r="A316" s="13" t="s">
        <v>1</v>
      </c>
      <c r="B316" s="13" t="s">
        <v>1121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0</v>
      </c>
      <c r="B317" s="13" t="s">
        <v>1122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0</v>
      </c>
      <c r="B318" s="13" t="s">
        <v>36</v>
      </c>
      <c r="C318" s="13">
        <v>1</v>
      </c>
      <c r="D318" s="13">
        <v>1</v>
      </c>
      <c r="E318" s="13">
        <v>2</v>
      </c>
    </row>
    <row r="319" spans="1:5" x14ac:dyDescent="0.3">
      <c r="A319" s="13" t="s">
        <v>0</v>
      </c>
      <c r="B319" s="13" t="s">
        <v>47</v>
      </c>
      <c r="C319" s="13">
        <v>2</v>
      </c>
      <c r="D319" s="13">
        <v>1</v>
      </c>
      <c r="E319" s="13">
        <v>2</v>
      </c>
    </row>
    <row r="320" spans="1:5" x14ac:dyDescent="0.3">
      <c r="A320" s="13" t="s">
        <v>0</v>
      </c>
      <c r="B320" s="13" t="s">
        <v>70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0</v>
      </c>
      <c r="B321" s="13" t="s">
        <v>875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0</v>
      </c>
      <c r="B322" s="13" t="s">
        <v>1798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0</v>
      </c>
      <c r="B323" s="13" t="s">
        <v>2008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0</v>
      </c>
      <c r="B324" s="13" t="s">
        <v>373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0</v>
      </c>
      <c r="B325" s="13" t="s">
        <v>445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0</v>
      </c>
      <c r="B326" s="13" t="s">
        <v>33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0</v>
      </c>
      <c r="B327" s="13" t="s">
        <v>656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0</v>
      </c>
      <c r="B328" s="13" t="s">
        <v>73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0</v>
      </c>
      <c r="B329" s="13" t="s">
        <v>140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0</v>
      </c>
      <c r="B330" s="13" t="s">
        <v>754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0</v>
      </c>
      <c r="B331" s="13" t="s">
        <v>77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0</v>
      </c>
      <c r="B332" s="13" t="s">
        <v>557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0</v>
      </c>
      <c r="B333" s="13" t="s">
        <v>80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0</v>
      </c>
      <c r="B334" s="13" t="s">
        <v>303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0</v>
      </c>
      <c r="B335" s="13" t="s">
        <v>260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0</v>
      </c>
      <c r="B336" s="13" t="s">
        <v>144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0</v>
      </c>
      <c r="B337" s="13" t="s">
        <v>1124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0</v>
      </c>
      <c r="B338" s="13" t="s">
        <v>145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0</v>
      </c>
      <c r="B339" s="13" t="s">
        <v>351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0</v>
      </c>
      <c r="B340" s="13" t="s">
        <v>90</v>
      </c>
      <c r="C340" s="13">
        <v>2</v>
      </c>
      <c r="D340" s="13">
        <v>1</v>
      </c>
      <c r="E340" s="13">
        <v>2</v>
      </c>
    </row>
    <row r="341" spans="1:5" x14ac:dyDescent="0.3">
      <c r="A341" s="13" t="s">
        <v>0</v>
      </c>
      <c r="B341" s="13" t="s">
        <v>152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0</v>
      </c>
      <c r="B342" s="13" t="s">
        <v>471</v>
      </c>
      <c r="C342" s="13">
        <v>1</v>
      </c>
      <c r="D342" s="13">
        <v>1</v>
      </c>
      <c r="E342" s="13">
        <v>2</v>
      </c>
    </row>
    <row r="343" spans="1:5" x14ac:dyDescent="0.3">
      <c r="A343" s="13" t="s">
        <v>0</v>
      </c>
      <c r="B343" s="13" t="s">
        <v>1471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0</v>
      </c>
      <c r="B344" s="13" t="s">
        <v>1498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0</v>
      </c>
      <c r="B345" s="13" t="s">
        <v>1505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0</v>
      </c>
      <c r="B346" s="13" t="s">
        <v>1674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0</v>
      </c>
      <c r="B347" s="13" t="s">
        <v>1741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0</v>
      </c>
      <c r="B348" s="13" t="s">
        <v>2093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0</v>
      </c>
      <c r="B349" s="13" t="s">
        <v>2179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0</v>
      </c>
      <c r="B350" s="13" t="s">
        <v>2335</v>
      </c>
      <c r="C350" s="13">
        <v>4</v>
      </c>
      <c r="D350" s="13">
        <v>1</v>
      </c>
      <c r="E350" s="13">
        <v>5</v>
      </c>
    </row>
    <row r="351" spans="1:5" x14ac:dyDescent="0.3">
      <c r="A351" s="13" t="s">
        <v>0</v>
      </c>
      <c r="B351" s="13" t="s">
        <v>1629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0</v>
      </c>
      <c r="B352" s="13" t="s">
        <v>559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0</v>
      </c>
      <c r="B353" s="13" t="s">
        <v>507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1890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0</v>
      </c>
      <c r="B355" s="13" t="s">
        <v>97</v>
      </c>
      <c r="C355" s="13">
        <v>1</v>
      </c>
      <c r="D355" s="13">
        <v>1</v>
      </c>
      <c r="E355" s="13">
        <v>2</v>
      </c>
    </row>
    <row r="356" spans="1:5" x14ac:dyDescent="0.3">
      <c r="A356" s="13" t="s">
        <v>0</v>
      </c>
      <c r="B356" s="13" t="s">
        <v>795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1127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1232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563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101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341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105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2439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164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1725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195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2440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108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395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168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279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1526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430</v>
      </c>
      <c r="C373" s="13">
        <v>1</v>
      </c>
      <c r="D373" s="13">
        <v>1</v>
      </c>
      <c r="E373" s="13">
        <v>2</v>
      </c>
    </row>
    <row r="374" spans="1:5" x14ac:dyDescent="0.3">
      <c r="A374" s="13" t="s">
        <v>0</v>
      </c>
      <c r="B374" s="13" t="s">
        <v>315</v>
      </c>
      <c r="C374" s="13">
        <v>2</v>
      </c>
      <c r="D374" s="13">
        <v>1</v>
      </c>
      <c r="E374" s="13">
        <v>2</v>
      </c>
    </row>
    <row r="375" spans="1:5" x14ac:dyDescent="0.3">
      <c r="A375" s="13" t="s">
        <v>0</v>
      </c>
      <c r="B375" s="13" t="s">
        <v>621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1961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522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570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2441</v>
      </c>
      <c r="C379" s="13">
        <v>1</v>
      </c>
      <c r="D379" s="13">
        <v>1</v>
      </c>
      <c r="E379" s="13">
        <v>2</v>
      </c>
    </row>
    <row r="380" spans="1:5" x14ac:dyDescent="0.3">
      <c r="A380" s="13" t="s">
        <v>0</v>
      </c>
      <c r="B380" s="13" t="s">
        <v>401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1467</v>
      </c>
      <c r="C381" s="13">
        <v>1</v>
      </c>
      <c r="D381" s="13">
        <v>1</v>
      </c>
      <c r="E381" s="13">
        <v>2</v>
      </c>
    </row>
    <row r="382" spans="1:5" x14ac:dyDescent="0.3">
      <c r="A382" s="13" t="s">
        <v>0</v>
      </c>
      <c r="B382" s="13" t="s">
        <v>527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329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1250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196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62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661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46</v>
      </c>
      <c r="C388" s="13">
        <v>2</v>
      </c>
      <c r="D388" s="13">
        <v>1</v>
      </c>
      <c r="E388" s="13">
        <v>2</v>
      </c>
    </row>
    <row r="389" spans="1:5" x14ac:dyDescent="0.3">
      <c r="A389" s="13" t="s">
        <v>0</v>
      </c>
      <c r="B389" s="13" t="s">
        <v>123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175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178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710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975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338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255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339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716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66</v>
      </c>
      <c r="C398" s="13">
        <v>2</v>
      </c>
      <c r="D398" s="13">
        <v>1</v>
      </c>
      <c r="E398" s="13">
        <v>14</v>
      </c>
    </row>
    <row r="399" spans="1:5" x14ac:dyDescent="0.3">
      <c r="A399" s="13" t="s">
        <v>0</v>
      </c>
      <c r="B399" s="13" t="s">
        <v>1278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2442</v>
      </c>
      <c r="C400" s="13">
        <v>1</v>
      </c>
      <c r="D400" s="13">
        <v>1</v>
      </c>
      <c r="E400" s="13">
        <v>3</v>
      </c>
    </row>
    <row r="401" spans="1:5" x14ac:dyDescent="0.3">
      <c r="A401" s="13" t="s">
        <v>0</v>
      </c>
      <c r="B401" s="13" t="s">
        <v>2443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869</v>
      </c>
      <c r="C402" s="13">
        <v>1</v>
      </c>
      <c r="D402" s="13">
        <v>1</v>
      </c>
      <c r="E402" s="13"/>
    </row>
    <row r="403" spans="1:5" x14ac:dyDescent="0.3">
      <c r="A403" s="13" t="s">
        <v>0</v>
      </c>
      <c r="B403" s="13" t="s">
        <v>2444</v>
      </c>
      <c r="C403" s="13">
        <v>1</v>
      </c>
      <c r="D403" s="13">
        <v>1</v>
      </c>
      <c r="E403" s="13"/>
    </row>
    <row r="404" spans="1:5" x14ac:dyDescent="0.3">
      <c r="A404" s="13" t="s">
        <v>0</v>
      </c>
      <c r="B404" s="13" t="s">
        <v>641</v>
      </c>
      <c r="C404" s="13">
        <v>1</v>
      </c>
      <c r="D404" s="13">
        <v>1</v>
      </c>
      <c r="E404" s="13"/>
    </row>
    <row r="405" spans="1:5" x14ac:dyDescent="0.3">
      <c r="A405" s="13" t="s">
        <v>0</v>
      </c>
      <c r="B405" s="13" t="s">
        <v>2099</v>
      </c>
      <c r="C405" s="13">
        <v>1</v>
      </c>
      <c r="D405" s="13">
        <v>1</v>
      </c>
      <c r="E405" s="13"/>
    </row>
    <row r="406" spans="1:5" x14ac:dyDescent="0.3">
      <c r="A406" s="13" t="s">
        <v>0</v>
      </c>
      <c r="B406" s="13" t="s">
        <v>1870</v>
      </c>
      <c r="C406" s="13">
        <v>1</v>
      </c>
      <c r="D406" s="13">
        <v>1</v>
      </c>
      <c r="E406" s="13"/>
    </row>
    <row r="407" spans="1:5" x14ac:dyDescent="0.3">
      <c r="A407" s="13" t="s">
        <v>0</v>
      </c>
      <c r="B407" s="13" t="s">
        <v>873</v>
      </c>
      <c r="C407" s="13">
        <v>1</v>
      </c>
      <c r="D407" s="13">
        <v>1</v>
      </c>
      <c r="E407" s="13"/>
    </row>
    <row r="408" spans="1:5" x14ac:dyDescent="0.3">
      <c r="A408" s="13" t="s">
        <v>2</v>
      </c>
      <c r="B408" s="13" t="s">
        <v>148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2</v>
      </c>
      <c r="B409" s="13" t="s">
        <v>151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2</v>
      </c>
      <c r="B410" s="13" t="s">
        <v>1067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2</v>
      </c>
      <c r="B411" s="13" t="s">
        <v>1988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2</v>
      </c>
      <c r="B412" s="13" t="s">
        <v>2408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2</v>
      </c>
      <c r="B413" s="13" t="s">
        <v>159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2</v>
      </c>
      <c r="B414" s="13" t="s">
        <v>109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2</v>
      </c>
      <c r="B415" s="13" t="s">
        <v>317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2</v>
      </c>
      <c r="B416" s="13" t="s">
        <v>531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1</v>
      </c>
      <c r="B417" s="13" t="s">
        <v>137</v>
      </c>
      <c r="C417" s="13">
        <v>2</v>
      </c>
      <c r="D417" s="13">
        <v>0</v>
      </c>
      <c r="E417" s="13">
        <v>2</v>
      </c>
    </row>
    <row r="418" spans="1:5" x14ac:dyDescent="0.3">
      <c r="A418" s="13" t="s">
        <v>1</v>
      </c>
      <c r="B418" s="13" t="s">
        <v>1350</v>
      </c>
      <c r="C418" s="13">
        <v>1</v>
      </c>
      <c r="D418" s="13">
        <v>0</v>
      </c>
      <c r="E418" s="13">
        <v>1</v>
      </c>
    </row>
    <row r="419" spans="1:5" x14ac:dyDescent="0.3">
      <c r="A419" s="13" t="s">
        <v>1</v>
      </c>
      <c r="B419" s="13" t="s">
        <v>2445</v>
      </c>
      <c r="C419" s="13">
        <v>1</v>
      </c>
      <c r="D419" s="13">
        <v>0</v>
      </c>
      <c r="E419" s="13">
        <v>1</v>
      </c>
    </row>
    <row r="420" spans="1:5" x14ac:dyDescent="0.3">
      <c r="A420" s="13" t="s">
        <v>1</v>
      </c>
      <c r="B420" s="13" t="s">
        <v>1583</v>
      </c>
      <c r="C420" s="13">
        <v>1</v>
      </c>
      <c r="D420" s="13">
        <v>0</v>
      </c>
      <c r="E420" s="13">
        <v>2</v>
      </c>
    </row>
    <row r="421" spans="1:5" x14ac:dyDescent="0.3">
      <c r="A421" s="13" t="s">
        <v>1</v>
      </c>
      <c r="B421" s="13" t="s">
        <v>200</v>
      </c>
      <c r="C421" s="13">
        <v>1</v>
      </c>
      <c r="D421" s="13">
        <v>0</v>
      </c>
      <c r="E421" s="13">
        <v>0</v>
      </c>
    </row>
    <row r="422" spans="1:5" x14ac:dyDescent="0.3">
      <c r="A422" s="13" t="s">
        <v>1</v>
      </c>
      <c r="B422" s="13" t="s">
        <v>2264</v>
      </c>
      <c r="C422" s="13">
        <v>1</v>
      </c>
      <c r="D422" s="13">
        <v>0</v>
      </c>
      <c r="E422" s="13">
        <v>1</v>
      </c>
    </row>
    <row r="423" spans="1:5" x14ac:dyDescent="0.3">
      <c r="A423" s="13" t="s">
        <v>1</v>
      </c>
      <c r="B423" s="13" t="s">
        <v>344</v>
      </c>
      <c r="C423" s="13">
        <v>1</v>
      </c>
      <c r="D423" s="13">
        <v>0</v>
      </c>
      <c r="E423" s="13">
        <v>1</v>
      </c>
    </row>
    <row r="424" spans="1:5" x14ac:dyDescent="0.3">
      <c r="A424" s="13" t="s">
        <v>1</v>
      </c>
      <c r="B424" s="13" t="s">
        <v>2403</v>
      </c>
      <c r="C424" s="13">
        <v>1</v>
      </c>
      <c r="D424" s="13">
        <v>0</v>
      </c>
      <c r="E424" s="13">
        <v>1</v>
      </c>
    </row>
    <row r="425" spans="1:5" x14ac:dyDescent="0.3">
      <c r="A425" s="13" t="s">
        <v>1</v>
      </c>
      <c r="B425" s="13" t="s">
        <v>70</v>
      </c>
      <c r="C425" s="13">
        <v>1</v>
      </c>
      <c r="D425" s="13">
        <v>0</v>
      </c>
      <c r="E425" s="13">
        <v>1</v>
      </c>
    </row>
    <row r="426" spans="1:5" x14ac:dyDescent="0.3">
      <c r="A426" s="13" t="s">
        <v>1</v>
      </c>
      <c r="B426" s="13" t="s">
        <v>380</v>
      </c>
      <c r="C426" s="13">
        <v>4</v>
      </c>
      <c r="D426" s="13">
        <v>0</v>
      </c>
      <c r="E426" s="13">
        <v>4</v>
      </c>
    </row>
    <row r="427" spans="1:5" x14ac:dyDescent="0.3">
      <c r="A427" s="13" t="s">
        <v>1</v>
      </c>
      <c r="B427" s="13" t="s">
        <v>1030</v>
      </c>
      <c r="C427" s="13">
        <v>1</v>
      </c>
      <c r="D427" s="13">
        <v>0</v>
      </c>
      <c r="E427" s="13">
        <v>1</v>
      </c>
    </row>
    <row r="428" spans="1:5" x14ac:dyDescent="0.3">
      <c r="A428" s="13" t="s">
        <v>1</v>
      </c>
      <c r="B428" s="13" t="s">
        <v>202</v>
      </c>
      <c r="C428" s="13">
        <v>1</v>
      </c>
      <c r="D428" s="13">
        <v>0</v>
      </c>
      <c r="E428" s="13">
        <v>0</v>
      </c>
    </row>
    <row r="429" spans="1:5" x14ac:dyDescent="0.3">
      <c r="A429" s="13" t="s">
        <v>1</v>
      </c>
      <c r="B429" s="13" t="s">
        <v>982</v>
      </c>
      <c r="C429" s="13">
        <v>1</v>
      </c>
      <c r="D429" s="13">
        <v>0</v>
      </c>
      <c r="E429" s="13">
        <v>0</v>
      </c>
    </row>
    <row r="430" spans="1:5" x14ac:dyDescent="0.3">
      <c r="A430" s="13" t="s">
        <v>1</v>
      </c>
      <c r="B430" s="13" t="s">
        <v>373</v>
      </c>
      <c r="C430" s="13">
        <v>1</v>
      </c>
      <c r="D430" s="13">
        <v>0</v>
      </c>
      <c r="E430" s="13">
        <v>2</v>
      </c>
    </row>
    <row r="431" spans="1:5" x14ac:dyDescent="0.3">
      <c r="A431" s="13" t="s">
        <v>1</v>
      </c>
      <c r="B431" s="13" t="s">
        <v>588</v>
      </c>
      <c r="C431" s="13">
        <v>1</v>
      </c>
      <c r="D431" s="13">
        <v>0</v>
      </c>
      <c r="E431" s="13">
        <v>1</v>
      </c>
    </row>
    <row r="432" spans="1:5" x14ac:dyDescent="0.3">
      <c r="A432" s="13" t="s">
        <v>1</v>
      </c>
      <c r="B432" s="13" t="s">
        <v>589</v>
      </c>
      <c r="C432" s="13">
        <v>1</v>
      </c>
      <c r="D432" s="13">
        <v>0</v>
      </c>
      <c r="E432" s="13">
        <v>0</v>
      </c>
    </row>
    <row r="433" spans="1:5" x14ac:dyDescent="0.3">
      <c r="A433" s="13" t="s">
        <v>1</v>
      </c>
      <c r="B433" s="13" t="s">
        <v>657</v>
      </c>
      <c r="C433" s="13">
        <v>1</v>
      </c>
      <c r="D433" s="13">
        <v>0</v>
      </c>
      <c r="E433" s="13">
        <v>1</v>
      </c>
    </row>
    <row r="434" spans="1:5" x14ac:dyDescent="0.3">
      <c r="A434" s="13" t="s">
        <v>1</v>
      </c>
      <c r="B434" s="13" t="s">
        <v>203</v>
      </c>
      <c r="C434" s="13">
        <v>1</v>
      </c>
      <c r="D434" s="13">
        <v>0</v>
      </c>
      <c r="E434" s="13">
        <v>1</v>
      </c>
    </row>
    <row r="435" spans="1:5" x14ac:dyDescent="0.3">
      <c r="A435" s="13" t="s">
        <v>1</v>
      </c>
      <c r="B435" s="13" t="s">
        <v>596</v>
      </c>
      <c r="C435" s="13">
        <v>1</v>
      </c>
      <c r="D435" s="13">
        <v>0</v>
      </c>
      <c r="E435" s="13">
        <v>1</v>
      </c>
    </row>
    <row r="436" spans="1:5" x14ac:dyDescent="0.3">
      <c r="A436" s="13" t="s">
        <v>1</v>
      </c>
      <c r="B436" s="13" t="s">
        <v>447</v>
      </c>
      <c r="C436" s="13">
        <v>1</v>
      </c>
      <c r="D436" s="13">
        <v>0</v>
      </c>
      <c r="E436" s="13">
        <v>1</v>
      </c>
    </row>
    <row r="437" spans="1:5" x14ac:dyDescent="0.3">
      <c r="A437" s="13" t="s">
        <v>1</v>
      </c>
      <c r="B437" s="13" t="s">
        <v>59</v>
      </c>
      <c r="C437" s="13">
        <v>3</v>
      </c>
      <c r="D437" s="13">
        <v>0</v>
      </c>
      <c r="E437" s="13">
        <v>2</v>
      </c>
    </row>
    <row r="438" spans="1:5" x14ac:dyDescent="0.3">
      <c r="A438" s="13" t="s">
        <v>1</v>
      </c>
      <c r="B438" s="13" t="s">
        <v>78</v>
      </c>
      <c r="C438" s="13">
        <v>1</v>
      </c>
      <c r="D438" s="13">
        <v>0</v>
      </c>
      <c r="E438" s="13">
        <v>1</v>
      </c>
    </row>
    <row r="439" spans="1:5" x14ac:dyDescent="0.3">
      <c r="A439" s="13" t="s">
        <v>1</v>
      </c>
      <c r="B439" s="13" t="s">
        <v>348</v>
      </c>
      <c r="C439" s="13">
        <v>1</v>
      </c>
      <c r="D439" s="13">
        <v>0</v>
      </c>
      <c r="E439" s="13">
        <v>1</v>
      </c>
    </row>
    <row r="440" spans="1:5" x14ac:dyDescent="0.3">
      <c r="A440" s="13" t="s">
        <v>1</v>
      </c>
      <c r="B440" s="13" t="s">
        <v>879</v>
      </c>
      <c r="C440" s="13">
        <v>1</v>
      </c>
      <c r="D440" s="13">
        <v>0</v>
      </c>
      <c r="E440" s="13">
        <v>1</v>
      </c>
    </row>
    <row r="441" spans="1:5" x14ac:dyDescent="0.3">
      <c r="A441" s="13" t="s">
        <v>1</v>
      </c>
      <c r="B441" s="13" t="s">
        <v>813</v>
      </c>
      <c r="C441" s="13">
        <v>2</v>
      </c>
      <c r="D441" s="13">
        <v>0</v>
      </c>
      <c r="E441" s="13">
        <v>3</v>
      </c>
    </row>
    <row r="442" spans="1:5" x14ac:dyDescent="0.3">
      <c r="A442" s="13" t="s">
        <v>1</v>
      </c>
      <c r="B442" s="13" t="s">
        <v>1180</v>
      </c>
      <c r="C442" s="13">
        <v>1</v>
      </c>
      <c r="D442" s="13">
        <v>0</v>
      </c>
      <c r="E442" s="13">
        <v>1</v>
      </c>
    </row>
    <row r="443" spans="1:5" x14ac:dyDescent="0.3">
      <c r="A443" s="13" t="s">
        <v>1</v>
      </c>
      <c r="B443" s="13" t="s">
        <v>304</v>
      </c>
      <c r="C443" s="13">
        <v>3</v>
      </c>
      <c r="D443" s="13">
        <v>0</v>
      </c>
      <c r="E443" s="13">
        <v>3</v>
      </c>
    </row>
    <row r="444" spans="1:5" x14ac:dyDescent="0.3">
      <c r="A444" s="13" t="s">
        <v>1</v>
      </c>
      <c r="B444" s="13" t="s">
        <v>82</v>
      </c>
      <c r="C444" s="13">
        <v>1</v>
      </c>
      <c r="D444" s="13">
        <v>0</v>
      </c>
      <c r="E444" s="13">
        <v>1</v>
      </c>
    </row>
    <row r="445" spans="1:5" x14ac:dyDescent="0.3">
      <c r="A445" s="13" t="s">
        <v>1</v>
      </c>
      <c r="B445" s="13" t="s">
        <v>816</v>
      </c>
      <c r="C445" s="13">
        <v>1</v>
      </c>
      <c r="D445" s="13">
        <v>0</v>
      </c>
      <c r="E445" s="13">
        <v>1</v>
      </c>
    </row>
    <row r="446" spans="1:5" x14ac:dyDescent="0.3">
      <c r="A446" s="13" t="s">
        <v>1</v>
      </c>
      <c r="B446" s="13" t="s">
        <v>1064</v>
      </c>
      <c r="C446" s="13">
        <v>1</v>
      </c>
      <c r="D446" s="13">
        <v>0</v>
      </c>
      <c r="E446" s="13">
        <v>1</v>
      </c>
    </row>
    <row r="447" spans="1:5" x14ac:dyDescent="0.3">
      <c r="A447" s="13" t="s">
        <v>1</v>
      </c>
      <c r="B447" s="13" t="s">
        <v>350</v>
      </c>
      <c r="C447" s="13">
        <v>1</v>
      </c>
      <c r="D447" s="13">
        <v>0</v>
      </c>
      <c r="E447" s="13">
        <v>2</v>
      </c>
    </row>
    <row r="448" spans="1:5" x14ac:dyDescent="0.3">
      <c r="A448" s="13" t="s">
        <v>1</v>
      </c>
      <c r="B448" s="13" t="s">
        <v>605</v>
      </c>
      <c r="C448" s="13">
        <v>1</v>
      </c>
      <c r="D448" s="13">
        <v>0</v>
      </c>
      <c r="E448" s="13">
        <v>1</v>
      </c>
    </row>
    <row r="449" spans="1:5" x14ac:dyDescent="0.3">
      <c r="A449" s="13" t="s">
        <v>1</v>
      </c>
      <c r="B449" s="13" t="s">
        <v>606</v>
      </c>
      <c r="C449" s="13">
        <v>1</v>
      </c>
      <c r="D449" s="13">
        <v>0</v>
      </c>
      <c r="E449" s="13">
        <v>1</v>
      </c>
    </row>
    <row r="450" spans="1:5" x14ac:dyDescent="0.3">
      <c r="A450" s="13" t="s">
        <v>1</v>
      </c>
      <c r="B450" s="13" t="s">
        <v>149</v>
      </c>
      <c r="C450" s="13">
        <v>2</v>
      </c>
      <c r="D450" s="13">
        <v>0</v>
      </c>
      <c r="E450" s="13">
        <v>2</v>
      </c>
    </row>
    <row r="451" spans="1:5" x14ac:dyDescent="0.3">
      <c r="A451" s="13" t="s">
        <v>1</v>
      </c>
      <c r="B451" s="13" t="s">
        <v>608</v>
      </c>
      <c r="C451" s="13">
        <v>1</v>
      </c>
      <c r="D451" s="13">
        <v>0</v>
      </c>
      <c r="E451" s="13">
        <v>1</v>
      </c>
    </row>
    <row r="452" spans="1:5" x14ac:dyDescent="0.3">
      <c r="A452" s="13" t="s">
        <v>1</v>
      </c>
      <c r="B452" s="13" t="s">
        <v>609</v>
      </c>
      <c r="C452" s="13">
        <v>1</v>
      </c>
      <c r="D452" s="13">
        <v>0</v>
      </c>
      <c r="E452" s="13">
        <v>1</v>
      </c>
    </row>
    <row r="453" spans="1:5" x14ac:dyDescent="0.3">
      <c r="A453" s="13" t="s">
        <v>1</v>
      </c>
      <c r="B453" s="13" t="s">
        <v>1184</v>
      </c>
      <c r="C453" s="13">
        <v>1</v>
      </c>
      <c r="D453" s="13">
        <v>0</v>
      </c>
      <c r="E453" s="13">
        <v>1</v>
      </c>
    </row>
    <row r="454" spans="1:5" x14ac:dyDescent="0.3">
      <c r="A454" s="13" t="s">
        <v>1</v>
      </c>
      <c r="B454" s="13" t="s">
        <v>450</v>
      </c>
      <c r="C454" s="13">
        <v>1</v>
      </c>
      <c r="D454" s="13">
        <v>0</v>
      </c>
      <c r="E454" s="13">
        <v>1</v>
      </c>
    </row>
    <row r="455" spans="1:5" x14ac:dyDescent="0.3">
      <c r="A455" s="13" t="s">
        <v>1</v>
      </c>
      <c r="B455" s="13" t="s">
        <v>152</v>
      </c>
      <c r="C455" s="13">
        <v>2</v>
      </c>
      <c r="D455" s="13">
        <v>0</v>
      </c>
      <c r="E455" s="13">
        <v>2</v>
      </c>
    </row>
    <row r="456" spans="1:5" x14ac:dyDescent="0.3">
      <c r="A456" s="13" t="s">
        <v>1</v>
      </c>
      <c r="B456" s="13" t="s">
        <v>356</v>
      </c>
      <c r="C456" s="13">
        <v>1</v>
      </c>
      <c r="D456" s="13">
        <v>0</v>
      </c>
      <c r="E456" s="13">
        <v>1</v>
      </c>
    </row>
    <row r="457" spans="1:5" x14ac:dyDescent="0.3">
      <c r="A457" s="13" t="s">
        <v>1</v>
      </c>
      <c r="B457" s="13" t="s">
        <v>471</v>
      </c>
      <c r="C457" s="13">
        <v>2</v>
      </c>
      <c r="D457" s="13">
        <v>0</v>
      </c>
      <c r="E457" s="13">
        <v>2</v>
      </c>
    </row>
    <row r="458" spans="1:5" x14ac:dyDescent="0.3">
      <c r="A458" s="13" t="s">
        <v>1</v>
      </c>
      <c r="B458" s="13" t="s">
        <v>1066</v>
      </c>
      <c r="C458" s="13">
        <v>2</v>
      </c>
      <c r="D458" s="13">
        <v>0</v>
      </c>
      <c r="E458" s="13">
        <v>2</v>
      </c>
    </row>
    <row r="459" spans="1:5" x14ac:dyDescent="0.3">
      <c r="A459" s="13" t="s">
        <v>1</v>
      </c>
      <c r="B459" s="13" t="s">
        <v>1020</v>
      </c>
      <c r="C459" s="13">
        <v>2</v>
      </c>
      <c r="D459" s="13">
        <v>0</v>
      </c>
      <c r="E459" s="13">
        <v>2</v>
      </c>
    </row>
    <row r="460" spans="1:5" x14ac:dyDescent="0.3">
      <c r="A460" s="13" t="s">
        <v>1</v>
      </c>
      <c r="B460" s="13" t="s">
        <v>856</v>
      </c>
      <c r="C460" s="13">
        <v>2</v>
      </c>
      <c r="D460" s="13">
        <v>0</v>
      </c>
      <c r="E460" s="13">
        <v>2</v>
      </c>
    </row>
    <row r="461" spans="1:5" x14ac:dyDescent="0.3">
      <c r="A461" s="13" t="s">
        <v>1</v>
      </c>
      <c r="B461" s="13" t="s">
        <v>1471</v>
      </c>
      <c r="C461" s="13">
        <v>2</v>
      </c>
      <c r="D461" s="13">
        <v>0</v>
      </c>
      <c r="E461" s="13">
        <v>2</v>
      </c>
    </row>
    <row r="462" spans="1:5" x14ac:dyDescent="0.3">
      <c r="A462" s="13" t="s">
        <v>1</v>
      </c>
      <c r="B462" s="13" t="s">
        <v>1485</v>
      </c>
      <c r="C462" s="13">
        <v>1</v>
      </c>
      <c r="D462" s="13">
        <v>0</v>
      </c>
      <c r="E462" s="13">
        <v>1</v>
      </c>
    </row>
    <row r="463" spans="1:5" x14ac:dyDescent="0.3">
      <c r="A463" s="13" t="s">
        <v>1</v>
      </c>
      <c r="B463" s="13" t="s">
        <v>1518</v>
      </c>
      <c r="C463" s="13">
        <v>1</v>
      </c>
      <c r="D463" s="13">
        <v>0</v>
      </c>
      <c r="E463" s="13">
        <v>1</v>
      </c>
    </row>
    <row r="464" spans="1:5" x14ac:dyDescent="0.3">
      <c r="A464" s="13" t="s">
        <v>1</v>
      </c>
      <c r="B464" s="13" t="s">
        <v>1674</v>
      </c>
      <c r="C464" s="13">
        <v>1</v>
      </c>
      <c r="D464" s="13">
        <v>0</v>
      </c>
      <c r="E464" s="13">
        <v>1</v>
      </c>
    </row>
    <row r="465" spans="1:5" x14ac:dyDescent="0.3">
      <c r="A465" s="13" t="s">
        <v>1</v>
      </c>
      <c r="B465" s="13" t="s">
        <v>1696</v>
      </c>
      <c r="C465" s="13">
        <v>2</v>
      </c>
      <c r="D465" s="13">
        <v>0</v>
      </c>
      <c r="E465" s="13">
        <v>2</v>
      </c>
    </row>
    <row r="466" spans="1:5" x14ac:dyDescent="0.3">
      <c r="A466" s="13" t="s">
        <v>1</v>
      </c>
      <c r="B466" s="13" t="s">
        <v>1852</v>
      </c>
      <c r="C466" s="13">
        <v>3</v>
      </c>
      <c r="D466" s="13">
        <v>0</v>
      </c>
      <c r="E466" s="13">
        <v>5</v>
      </c>
    </row>
    <row r="467" spans="1:5" x14ac:dyDescent="0.3">
      <c r="A467" s="13" t="s">
        <v>1</v>
      </c>
      <c r="B467" s="13" t="s">
        <v>2104</v>
      </c>
      <c r="C467" s="13">
        <v>1</v>
      </c>
      <c r="D467" s="13">
        <v>0</v>
      </c>
      <c r="E467" s="13">
        <v>1</v>
      </c>
    </row>
    <row r="468" spans="1:5" x14ac:dyDescent="0.3">
      <c r="A468" s="13" t="s">
        <v>1</v>
      </c>
      <c r="B468" s="13" t="s">
        <v>1888</v>
      </c>
      <c r="C468" s="13">
        <v>4</v>
      </c>
      <c r="D468" s="13">
        <v>0</v>
      </c>
      <c r="E468" s="13">
        <v>5</v>
      </c>
    </row>
    <row r="469" spans="1:5" x14ac:dyDescent="0.3">
      <c r="A469" s="13" t="s">
        <v>1</v>
      </c>
      <c r="B469" s="13" t="s">
        <v>1881</v>
      </c>
      <c r="C469" s="13">
        <v>5</v>
      </c>
      <c r="D469" s="13">
        <v>0</v>
      </c>
      <c r="E469" s="13">
        <v>7</v>
      </c>
    </row>
    <row r="470" spans="1:5" x14ac:dyDescent="0.3">
      <c r="A470" s="13" t="s">
        <v>1</v>
      </c>
      <c r="B470" s="13" t="s">
        <v>1884</v>
      </c>
      <c r="C470" s="13">
        <v>1</v>
      </c>
      <c r="D470" s="13">
        <v>0</v>
      </c>
      <c r="E470" s="13">
        <v>1</v>
      </c>
    </row>
    <row r="471" spans="1:5" x14ac:dyDescent="0.3">
      <c r="A471" s="13" t="s">
        <v>1</v>
      </c>
      <c r="B471" s="13" t="s">
        <v>1908</v>
      </c>
      <c r="C471" s="13">
        <v>1</v>
      </c>
      <c r="D471" s="13">
        <v>0</v>
      </c>
      <c r="E471" s="13">
        <v>1</v>
      </c>
    </row>
    <row r="472" spans="1:5" x14ac:dyDescent="0.3">
      <c r="A472" s="13" t="s">
        <v>1</v>
      </c>
      <c r="B472" s="13" t="s">
        <v>1899</v>
      </c>
      <c r="C472" s="13">
        <v>1</v>
      </c>
      <c r="D472" s="13">
        <v>0</v>
      </c>
      <c r="E472" s="13">
        <v>1</v>
      </c>
    </row>
    <row r="473" spans="1:5" x14ac:dyDescent="0.3">
      <c r="A473" s="13" t="s">
        <v>1</v>
      </c>
      <c r="B473" s="13" t="s">
        <v>2138</v>
      </c>
      <c r="C473" s="13">
        <v>1</v>
      </c>
      <c r="D473" s="13">
        <v>0</v>
      </c>
      <c r="E473" s="13">
        <v>1</v>
      </c>
    </row>
    <row r="474" spans="1:5" x14ac:dyDescent="0.3">
      <c r="A474" s="13" t="s">
        <v>1</v>
      </c>
      <c r="B474" s="13" t="s">
        <v>2166</v>
      </c>
      <c r="C474" s="13">
        <v>1</v>
      </c>
      <c r="D474" s="13">
        <v>0</v>
      </c>
      <c r="E474" s="13">
        <v>2</v>
      </c>
    </row>
    <row r="475" spans="1:5" x14ac:dyDescent="0.3">
      <c r="A475" s="13" t="s">
        <v>1</v>
      </c>
      <c r="B475" s="13" t="s">
        <v>2179</v>
      </c>
      <c r="C475" s="13">
        <v>2</v>
      </c>
      <c r="D475" s="13">
        <v>0</v>
      </c>
      <c r="E475" s="13">
        <v>2</v>
      </c>
    </row>
    <row r="476" spans="1:5" x14ac:dyDescent="0.3">
      <c r="A476" s="13" t="s">
        <v>1</v>
      </c>
      <c r="B476" s="13" t="s">
        <v>2229</v>
      </c>
      <c r="C476" s="13">
        <v>1</v>
      </c>
      <c r="D476" s="13">
        <v>0</v>
      </c>
      <c r="E476" s="13">
        <v>1</v>
      </c>
    </row>
    <row r="477" spans="1:5" x14ac:dyDescent="0.3">
      <c r="A477" s="13" t="s">
        <v>1</v>
      </c>
      <c r="B477" s="13" t="s">
        <v>248</v>
      </c>
      <c r="C477" s="13">
        <v>1</v>
      </c>
      <c r="D477" s="13">
        <v>0</v>
      </c>
      <c r="E477" s="13">
        <v>1</v>
      </c>
    </row>
    <row r="478" spans="1:5" x14ac:dyDescent="0.3">
      <c r="A478" s="13" t="s">
        <v>1</v>
      </c>
      <c r="B478" s="13" t="s">
        <v>1590</v>
      </c>
      <c r="C478" s="13">
        <v>1</v>
      </c>
      <c r="D478" s="13">
        <v>0</v>
      </c>
      <c r="E478" s="13">
        <v>1</v>
      </c>
    </row>
    <row r="479" spans="1:5" x14ac:dyDescent="0.3">
      <c r="A479" s="13" t="s">
        <v>1</v>
      </c>
      <c r="B479" s="13" t="s">
        <v>889</v>
      </c>
      <c r="C479" s="13">
        <v>1</v>
      </c>
      <c r="D479" s="13">
        <v>0</v>
      </c>
      <c r="E479" s="13">
        <v>1</v>
      </c>
    </row>
    <row r="480" spans="1:5" x14ac:dyDescent="0.3">
      <c r="A480" s="13" t="s">
        <v>1</v>
      </c>
      <c r="B480" s="13" t="s">
        <v>890</v>
      </c>
      <c r="C480" s="13">
        <v>1</v>
      </c>
      <c r="D480" s="13">
        <v>0</v>
      </c>
      <c r="E480" s="13">
        <v>1</v>
      </c>
    </row>
    <row r="481" spans="1:5" x14ac:dyDescent="0.3">
      <c r="A481" s="13" t="s">
        <v>1</v>
      </c>
      <c r="B481" s="13" t="s">
        <v>730</v>
      </c>
      <c r="C481" s="13">
        <v>1</v>
      </c>
      <c r="D481" s="13">
        <v>0</v>
      </c>
      <c r="E481" s="13">
        <v>0</v>
      </c>
    </row>
    <row r="482" spans="1:5" x14ac:dyDescent="0.3">
      <c r="A482" s="13" t="s">
        <v>1</v>
      </c>
      <c r="B482" s="13" t="s">
        <v>510</v>
      </c>
      <c r="C482" s="13">
        <v>1</v>
      </c>
      <c r="D482" s="13">
        <v>0</v>
      </c>
      <c r="E482" s="13">
        <v>1</v>
      </c>
    </row>
    <row r="483" spans="1:5" x14ac:dyDescent="0.3">
      <c r="A483" s="13" t="s">
        <v>1</v>
      </c>
      <c r="B483" s="13" t="s">
        <v>1593</v>
      </c>
      <c r="C483" s="13">
        <v>1</v>
      </c>
      <c r="D483" s="13">
        <v>0</v>
      </c>
      <c r="E483" s="13">
        <v>1</v>
      </c>
    </row>
    <row r="484" spans="1:5" x14ac:dyDescent="0.3">
      <c r="A484" s="13" t="s">
        <v>1</v>
      </c>
      <c r="B484" s="13" t="s">
        <v>563</v>
      </c>
      <c r="C484" s="13">
        <v>1</v>
      </c>
      <c r="D484" s="13">
        <v>0</v>
      </c>
      <c r="E484" s="13">
        <v>1</v>
      </c>
    </row>
    <row r="485" spans="1:5" x14ac:dyDescent="0.3">
      <c r="A485" s="13" t="s">
        <v>1</v>
      </c>
      <c r="B485" s="13" t="s">
        <v>1002</v>
      </c>
      <c r="C485" s="13">
        <v>1</v>
      </c>
      <c r="D485" s="13">
        <v>0</v>
      </c>
      <c r="E485" s="13">
        <v>1</v>
      </c>
    </row>
    <row r="486" spans="1:5" x14ac:dyDescent="0.3">
      <c r="A486" s="13" t="s">
        <v>1</v>
      </c>
      <c r="B486" s="13" t="s">
        <v>1387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162</v>
      </c>
      <c r="C487" s="13">
        <v>1</v>
      </c>
      <c r="D487" s="13">
        <v>0</v>
      </c>
      <c r="E487" s="13">
        <v>0</v>
      </c>
    </row>
    <row r="488" spans="1:5" x14ac:dyDescent="0.3">
      <c r="A488" s="13" t="s">
        <v>1</v>
      </c>
      <c r="B488" s="13" t="s">
        <v>2242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276</v>
      </c>
      <c r="C489" s="13">
        <v>2</v>
      </c>
      <c r="D489" s="13">
        <v>0</v>
      </c>
      <c r="E489" s="13">
        <v>2</v>
      </c>
    </row>
    <row r="490" spans="1:5" x14ac:dyDescent="0.3">
      <c r="A490" s="13" t="s">
        <v>1</v>
      </c>
      <c r="B490" s="13" t="s">
        <v>2446</v>
      </c>
      <c r="C490" s="13">
        <v>1</v>
      </c>
      <c r="D490" s="13">
        <v>0</v>
      </c>
      <c r="E490" s="13">
        <v>1</v>
      </c>
    </row>
    <row r="491" spans="1:5" x14ac:dyDescent="0.3">
      <c r="A491" s="13" t="s">
        <v>1</v>
      </c>
      <c r="B491" s="13" t="s">
        <v>107</v>
      </c>
      <c r="C491" s="13">
        <v>1</v>
      </c>
      <c r="D491" s="13">
        <v>0</v>
      </c>
      <c r="E491" s="13">
        <v>1</v>
      </c>
    </row>
    <row r="492" spans="1:5" x14ac:dyDescent="0.3">
      <c r="A492" s="13" t="s">
        <v>1</v>
      </c>
      <c r="B492" s="13" t="s">
        <v>1712</v>
      </c>
      <c r="C492" s="13">
        <v>1</v>
      </c>
      <c r="D492" s="13">
        <v>0</v>
      </c>
      <c r="E492" s="13">
        <v>2</v>
      </c>
    </row>
    <row r="493" spans="1:5" x14ac:dyDescent="0.3">
      <c r="A493" s="13" t="s">
        <v>1</v>
      </c>
      <c r="B493" s="13" t="s">
        <v>1392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620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280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2447</v>
      </c>
      <c r="C496" s="13">
        <v>1</v>
      </c>
      <c r="D496" s="13">
        <v>0</v>
      </c>
      <c r="E496" s="13">
        <v>1</v>
      </c>
    </row>
    <row r="497" spans="1:5" x14ac:dyDescent="0.3">
      <c r="A497" s="13" t="s">
        <v>1</v>
      </c>
      <c r="B497" s="13" t="s">
        <v>1818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451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1718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315</v>
      </c>
      <c r="C500" s="13">
        <v>1</v>
      </c>
      <c r="D500" s="13">
        <v>0</v>
      </c>
      <c r="E500" s="13">
        <v>0</v>
      </c>
    </row>
    <row r="501" spans="1:5" x14ac:dyDescent="0.3">
      <c r="A501" s="13" t="s">
        <v>1</v>
      </c>
      <c r="B501" s="13" t="s">
        <v>316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2370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2448</v>
      </c>
      <c r="C503" s="13">
        <v>1</v>
      </c>
      <c r="D503" s="13">
        <v>0</v>
      </c>
      <c r="E503" s="13">
        <v>1</v>
      </c>
    </row>
    <row r="504" spans="1:5" x14ac:dyDescent="0.3">
      <c r="A504" s="13" t="s">
        <v>1</v>
      </c>
      <c r="B504" s="13" t="s">
        <v>2292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2449</v>
      </c>
      <c r="C505" s="13">
        <v>1</v>
      </c>
      <c r="D505" s="13">
        <v>0</v>
      </c>
      <c r="E505" s="13">
        <v>1</v>
      </c>
    </row>
    <row r="506" spans="1:5" x14ac:dyDescent="0.3">
      <c r="A506" s="13" t="s">
        <v>1</v>
      </c>
      <c r="B506" s="13" t="s">
        <v>894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360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526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1087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1099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2450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768</v>
      </c>
      <c r="C512" s="13">
        <v>1</v>
      </c>
      <c r="D512" s="13">
        <v>0</v>
      </c>
      <c r="E512" s="13">
        <v>0</v>
      </c>
    </row>
    <row r="513" spans="1:5" x14ac:dyDescent="0.3">
      <c r="A513" s="13" t="s">
        <v>1</v>
      </c>
      <c r="B513" s="13" t="s">
        <v>1093</v>
      </c>
      <c r="C513" s="13">
        <v>1</v>
      </c>
      <c r="D513" s="13">
        <v>0</v>
      </c>
      <c r="E513" s="13">
        <v>0</v>
      </c>
    </row>
    <row r="514" spans="1:5" x14ac:dyDescent="0.3">
      <c r="A514" s="13" t="s">
        <v>1</v>
      </c>
      <c r="B514" s="13" t="s">
        <v>628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2451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2054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1075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334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661</v>
      </c>
      <c r="C519" s="13">
        <v>2</v>
      </c>
      <c r="D519" s="13">
        <v>0</v>
      </c>
      <c r="E519" s="13">
        <v>1</v>
      </c>
    </row>
    <row r="520" spans="1:5" x14ac:dyDescent="0.3">
      <c r="A520" s="13" t="s">
        <v>1</v>
      </c>
      <c r="B520" s="13" t="s">
        <v>530</v>
      </c>
      <c r="C520" s="13">
        <v>1</v>
      </c>
      <c r="D520" s="13">
        <v>0</v>
      </c>
      <c r="E520" s="13">
        <v>2</v>
      </c>
    </row>
    <row r="521" spans="1:5" x14ac:dyDescent="0.3">
      <c r="A521" s="13" t="s">
        <v>1</v>
      </c>
      <c r="B521" s="13" t="s">
        <v>1765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291</v>
      </c>
      <c r="C522" s="13">
        <v>1</v>
      </c>
      <c r="D522" s="13">
        <v>0</v>
      </c>
      <c r="E522" s="13">
        <v>2</v>
      </c>
    </row>
    <row r="523" spans="1:5" x14ac:dyDescent="0.3">
      <c r="A523" s="13" t="s">
        <v>1</v>
      </c>
      <c r="B523" s="13" t="s">
        <v>410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843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663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1840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974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1551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634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1469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2452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125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480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714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958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1218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542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1049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543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256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2453</v>
      </c>
      <c r="C541" s="13">
        <v>1</v>
      </c>
      <c r="D541" s="13">
        <v>0</v>
      </c>
      <c r="E541" s="13">
        <v>2</v>
      </c>
    </row>
    <row r="542" spans="1:5" x14ac:dyDescent="0.3">
      <c r="A542" s="13" t="s">
        <v>1</v>
      </c>
      <c r="B542" s="13" t="s">
        <v>1206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1060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370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232</v>
      </c>
      <c r="C545" s="13">
        <v>8</v>
      </c>
      <c r="D545" s="13">
        <v>0</v>
      </c>
      <c r="E545" s="13">
        <v>10</v>
      </c>
    </row>
    <row r="546" spans="1:5" x14ac:dyDescent="0.3">
      <c r="A546" s="13" t="s">
        <v>1</v>
      </c>
      <c r="B546" s="13" t="s">
        <v>192</v>
      </c>
      <c r="C546" s="13">
        <v>4</v>
      </c>
      <c r="D546" s="13">
        <v>0</v>
      </c>
      <c r="E546" s="13">
        <v>5</v>
      </c>
    </row>
    <row r="547" spans="1:5" x14ac:dyDescent="0.3">
      <c r="A547" s="13" t="s">
        <v>1</v>
      </c>
      <c r="B547" s="13" t="s">
        <v>54</v>
      </c>
      <c r="C547" s="13">
        <v>6</v>
      </c>
      <c r="D547" s="13">
        <v>0</v>
      </c>
      <c r="E547" s="13">
        <v>6</v>
      </c>
    </row>
    <row r="548" spans="1:5" x14ac:dyDescent="0.3">
      <c r="A548" s="13" t="s">
        <v>1</v>
      </c>
      <c r="B548" s="13" t="s">
        <v>234</v>
      </c>
      <c r="C548" s="13">
        <v>3</v>
      </c>
      <c r="D548" s="13">
        <v>0</v>
      </c>
      <c r="E548" s="13">
        <v>3</v>
      </c>
    </row>
    <row r="549" spans="1:5" x14ac:dyDescent="0.3">
      <c r="A549" s="13" t="s">
        <v>1</v>
      </c>
      <c r="B549" s="13" t="s">
        <v>235</v>
      </c>
      <c r="C549" s="13">
        <v>5</v>
      </c>
      <c r="D549" s="13">
        <v>0</v>
      </c>
      <c r="E549" s="13">
        <v>10</v>
      </c>
    </row>
    <row r="550" spans="1:5" x14ac:dyDescent="0.3">
      <c r="A550" s="13" t="s">
        <v>1</v>
      </c>
      <c r="B550" s="13" t="s">
        <v>236</v>
      </c>
      <c r="C550" s="13">
        <v>9</v>
      </c>
      <c r="D550" s="13">
        <v>0</v>
      </c>
      <c r="E550" s="13">
        <v>17</v>
      </c>
    </row>
    <row r="551" spans="1:5" x14ac:dyDescent="0.3">
      <c r="A551" s="13" t="s">
        <v>1</v>
      </c>
      <c r="B551" s="13" t="s">
        <v>640</v>
      </c>
      <c r="C551" s="13">
        <v>2</v>
      </c>
      <c r="D551" s="13">
        <v>0</v>
      </c>
      <c r="E551" s="13">
        <v>2</v>
      </c>
    </row>
    <row r="552" spans="1:5" x14ac:dyDescent="0.3">
      <c r="A552" s="13" t="s">
        <v>1</v>
      </c>
      <c r="B552" s="13" t="s">
        <v>371</v>
      </c>
      <c r="C552" s="13">
        <v>8</v>
      </c>
      <c r="D552" s="13">
        <v>0</v>
      </c>
      <c r="E552" s="13">
        <v>9</v>
      </c>
    </row>
    <row r="553" spans="1:5" x14ac:dyDescent="0.3">
      <c r="A553" s="13" t="s">
        <v>1</v>
      </c>
      <c r="B553" s="13" t="s">
        <v>366</v>
      </c>
      <c r="C553" s="13">
        <v>2</v>
      </c>
      <c r="D553" s="13">
        <v>0</v>
      </c>
      <c r="E553" s="13">
        <v>3</v>
      </c>
    </row>
    <row r="554" spans="1:5" x14ac:dyDescent="0.3">
      <c r="A554" s="13" t="s">
        <v>1</v>
      </c>
      <c r="B554" s="13" t="s">
        <v>1015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461</v>
      </c>
      <c r="C555" s="13">
        <v>2</v>
      </c>
      <c r="D555" s="13">
        <v>0</v>
      </c>
      <c r="E555" s="13">
        <v>3</v>
      </c>
    </row>
    <row r="556" spans="1:5" x14ac:dyDescent="0.3">
      <c r="A556" s="13" t="s">
        <v>1</v>
      </c>
      <c r="B556" s="13" t="s">
        <v>2377</v>
      </c>
      <c r="C556" s="13">
        <v>1</v>
      </c>
      <c r="D556" s="13">
        <v>0</v>
      </c>
      <c r="E556" s="13">
        <v>2</v>
      </c>
    </row>
    <row r="557" spans="1:5" x14ac:dyDescent="0.3">
      <c r="A557" s="13" t="s">
        <v>1</v>
      </c>
      <c r="B557" s="13" t="s">
        <v>2033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1051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1563</v>
      </c>
      <c r="C559" s="13">
        <v>0</v>
      </c>
      <c r="D559" s="13">
        <v>1</v>
      </c>
      <c r="E559" s="13"/>
    </row>
    <row r="560" spans="1:5" x14ac:dyDescent="0.3">
      <c r="A560" s="13" t="s">
        <v>1</v>
      </c>
      <c r="B560" s="13" t="s">
        <v>259</v>
      </c>
      <c r="C560" s="13">
        <v>2</v>
      </c>
      <c r="D560" s="13">
        <v>0</v>
      </c>
      <c r="E560" s="13">
        <v>2</v>
      </c>
    </row>
    <row r="561" spans="1:5" x14ac:dyDescent="0.3">
      <c r="A561" s="13" t="s">
        <v>1</v>
      </c>
      <c r="B561" s="13" t="s">
        <v>1333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2119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1719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2454</v>
      </c>
      <c r="C564" s="13">
        <v>0</v>
      </c>
      <c r="D564" s="13">
        <v>1</v>
      </c>
      <c r="E564" s="13"/>
    </row>
    <row r="565" spans="1:5" x14ac:dyDescent="0.3">
      <c r="A565" s="13" t="s">
        <v>1</v>
      </c>
      <c r="B565" s="13" t="s">
        <v>2455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2237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2348</v>
      </c>
      <c r="C567" s="13">
        <v>4</v>
      </c>
      <c r="D567" s="13">
        <v>0</v>
      </c>
      <c r="E567" s="13">
        <v>4</v>
      </c>
    </row>
    <row r="568" spans="1:5" x14ac:dyDescent="0.3">
      <c r="A568" s="13" t="s">
        <v>1</v>
      </c>
      <c r="B568" s="13" t="s">
        <v>2349</v>
      </c>
      <c r="C568" s="13">
        <v>4</v>
      </c>
      <c r="D568" s="13">
        <v>0</v>
      </c>
      <c r="E568" s="13">
        <v>4</v>
      </c>
    </row>
    <row r="569" spans="1:5" x14ac:dyDescent="0.3">
      <c r="A569" s="13" t="s">
        <v>1</v>
      </c>
      <c r="B569" s="13" t="s">
        <v>2350</v>
      </c>
      <c r="C569" s="13">
        <v>1</v>
      </c>
      <c r="D569" s="13">
        <v>0</v>
      </c>
      <c r="E569" s="13">
        <v>2</v>
      </c>
    </row>
    <row r="570" spans="1:5" x14ac:dyDescent="0.3">
      <c r="A570" s="13" t="s">
        <v>1</v>
      </c>
      <c r="B570" s="13" t="s">
        <v>2351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2352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2353</v>
      </c>
      <c r="C572" s="13">
        <v>2</v>
      </c>
      <c r="D572" s="13">
        <v>0</v>
      </c>
      <c r="E572" s="13">
        <v>2</v>
      </c>
    </row>
    <row r="573" spans="1:5" x14ac:dyDescent="0.3">
      <c r="A573" s="13" t="s">
        <v>1</v>
      </c>
      <c r="B573" s="13" t="s">
        <v>2354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2355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68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0</v>
      </c>
      <c r="B576" s="13" t="s">
        <v>261</v>
      </c>
      <c r="C576" s="13">
        <v>1</v>
      </c>
      <c r="D576" s="13">
        <v>0</v>
      </c>
      <c r="E576" s="13">
        <v>2</v>
      </c>
    </row>
    <row r="577" spans="1:5" x14ac:dyDescent="0.3">
      <c r="A577" s="13" t="s">
        <v>0</v>
      </c>
      <c r="B577" s="13" t="s">
        <v>811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0</v>
      </c>
      <c r="B578" s="13" t="s">
        <v>143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0</v>
      </c>
      <c r="B579" s="13" t="s">
        <v>1991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0</v>
      </c>
      <c r="B580" s="13" t="s">
        <v>1288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0</v>
      </c>
      <c r="B581" s="13" t="s">
        <v>147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0</v>
      </c>
      <c r="B582" s="13" t="s">
        <v>151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0</v>
      </c>
      <c r="B583" s="13" t="s">
        <v>356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0</v>
      </c>
      <c r="B584" s="13" t="s">
        <v>1663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0</v>
      </c>
      <c r="B585" s="13" t="s">
        <v>1988</v>
      </c>
      <c r="C585" s="13">
        <v>2</v>
      </c>
      <c r="D585" s="13">
        <v>0</v>
      </c>
      <c r="E585" s="13">
        <v>3</v>
      </c>
    </row>
    <row r="586" spans="1:5" x14ac:dyDescent="0.3">
      <c r="A586" s="13" t="s">
        <v>0</v>
      </c>
      <c r="B586" s="13" t="s">
        <v>2425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0</v>
      </c>
      <c r="B587" s="13" t="s">
        <v>1457</v>
      </c>
      <c r="C587" s="13">
        <v>2</v>
      </c>
      <c r="D587" s="13">
        <v>0</v>
      </c>
      <c r="E587" s="13">
        <v>2</v>
      </c>
    </row>
    <row r="588" spans="1:5" x14ac:dyDescent="0.3">
      <c r="A588" s="13" t="s">
        <v>0</v>
      </c>
      <c r="B588" s="13" t="s">
        <v>1980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0</v>
      </c>
      <c r="B589" s="13" t="s">
        <v>163</v>
      </c>
      <c r="C589" s="13">
        <v>1</v>
      </c>
      <c r="D589" s="13">
        <v>0</v>
      </c>
      <c r="E589" s="13">
        <v>3</v>
      </c>
    </row>
    <row r="590" spans="1:5" x14ac:dyDescent="0.3">
      <c r="A590" s="13" t="s">
        <v>0</v>
      </c>
      <c r="B590" s="13" t="s">
        <v>171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0</v>
      </c>
      <c r="B591" s="13" t="s">
        <v>2380</v>
      </c>
      <c r="C591" s="13">
        <v>1</v>
      </c>
      <c r="D591" s="13">
        <v>0</v>
      </c>
      <c r="E591" s="13">
        <v>2</v>
      </c>
    </row>
    <row r="592" spans="1:5" x14ac:dyDescent="0.3">
      <c r="A592" s="13" t="s">
        <v>0</v>
      </c>
      <c r="B592" s="13" t="s">
        <v>404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0</v>
      </c>
      <c r="B593" s="13" t="s">
        <v>2456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0</v>
      </c>
      <c r="B594" s="13" t="s">
        <v>631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0</v>
      </c>
      <c r="B595" s="13" t="s">
        <v>122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0</v>
      </c>
      <c r="B596" s="13" t="s">
        <v>187</v>
      </c>
      <c r="C596" s="13">
        <v>1</v>
      </c>
      <c r="D596" s="13">
        <v>0</v>
      </c>
      <c r="E596" s="13">
        <v>2</v>
      </c>
    </row>
    <row r="597" spans="1:5" x14ac:dyDescent="0.3">
      <c r="A597" s="13" t="s">
        <v>0</v>
      </c>
      <c r="B597" s="13" t="s">
        <v>542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0</v>
      </c>
      <c r="B598" s="13" t="s">
        <v>651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0</v>
      </c>
      <c r="B599" s="13" t="s">
        <v>192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0</v>
      </c>
      <c r="B600" s="13" t="s">
        <v>461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0</v>
      </c>
      <c r="B601" s="13" t="s">
        <v>2457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0</v>
      </c>
      <c r="B602" s="13" t="s">
        <v>1088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0</v>
      </c>
      <c r="B603" s="13" t="s">
        <v>2348</v>
      </c>
      <c r="C603" s="13">
        <v>2</v>
      </c>
      <c r="D603" s="13">
        <v>0</v>
      </c>
      <c r="E603" s="13">
        <v>3</v>
      </c>
    </row>
    <row r="604" spans="1:5" x14ac:dyDescent="0.3">
      <c r="A604" s="13" t="s">
        <v>0</v>
      </c>
      <c r="B604" s="13" t="s">
        <v>2349</v>
      </c>
      <c r="C604" s="13">
        <v>2</v>
      </c>
      <c r="D604" s="13">
        <v>0</v>
      </c>
      <c r="E604" s="13">
        <v>2</v>
      </c>
    </row>
    <row r="605" spans="1:5" x14ac:dyDescent="0.3">
      <c r="A605" s="13" t="s">
        <v>0</v>
      </c>
      <c r="B605" s="13" t="s">
        <v>2350</v>
      </c>
      <c r="C605" s="13">
        <v>1</v>
      </c>
      <c r="D605" s="13">
        <v>0</v>
      </c>
      <c r="E605" s="13">
        <v>2</v>
      </c>
    </row>
    <row r="606" spans="1:5" x14ac:dyDescent="0.3">
      <c r="A606" s="13" t="s">
        <v>0</v>
      </c>
      <c r="B606" s="13" t="s">
        <v>2351</v>
      </c>
      <c r="C606" s="13">
        <v>1</v>
      </c>
      <c r="D606" s="13">
        <v>0</v>
      </c>
      <c r="E606" s="13">
        <v>2</v>
      </c>
    </row>
    <row r="607" spans="1:5" x14ac:dyDescent="0.3">
      <c r="A607" s="13" t="s">
        <v>0</v>
      </c>
      <c r="B607" s="13" t="s">
        <v>2353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0</v>
      </c>
      <c r="B608" s="13" t="s">
        <v>2354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0</v>
      </c>
      <c r="B609" s="13" t="s">
        <v>2355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2</v>
      </c>
      <c r="B610" s="13" t="s">
        <v>1663</v>
      </c>
      <c r="C610" s="13">
        <v>1</v>
      </c>
      <c r="D610" s="13">
        <v>0</v>
      </c>
      <c r="E610" s="13">
        <v>1</v>
      </c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DD566-A0EB-4BDB-BAC3-BF695911E4FF}">
  <sheetPr codeName="Sheet40"/>
  <dimension ref="A1:M620"/>
  <sheetViews>
    <sheetView workbookViewId="0">
      <selection activeCell="A2" sqref="A2:E580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2408</v>
      </c>
      <c r="C2" s="13">
        <v>104</v>
      </c>
      <c r="D2" s="13">
        <v>91</v>
      </c>
      <c r="E2" s="13">
        <v>129</v>
      </c>
    </row>
    <row r="3" spans="1:13" customFormat="1" x14ac:dyDescent="0.3">
      <c r="A3" s="13" t="s">
        <v>1</v>
      </c>
      <c r="B3" s="13" t="s">
        <v>135</v>
      </c>
      <c r="C3" s="13">
        <v>55</v>
      </c>
      <c r="D3" s="13">
        <v>48</v>
      </c>
      <c r="E3" s="13">
        <v>56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37</v>
      </c>
      <c r="C4" s="13">
        <v>30</v>
      </c>
      <c r="D4" s="13">
        <v>28</v>
      </c>
      <c r="E4" s="13">
        <v>33</v>
      </c>
      <c r="G4" s="19" t="s">
        <v>8</v>
      </c>
      <c r="H4" s="15">
        <f>H13+H14</f>
        <v>924</v>
      </c>
      <c r="I4" s="16">
        <f>H4/H$6</f>
        <v>0.6926536731634183</v>
      </c>
      <c r="J4" s="15">
        <f>I13+I14</f>
        <v>507</v>
      </c>
      <c r="K4" s="16">
        <f>J4/J$6</f>
        <v>0.60213776722090262</v>
      </c>
      <c r="L4" s="15">
        <f>J13+J14</f>
        <v>1045</v>
      </c>
      <c r="M4" s="25">
        <f>L4/L$6</f>
        <v>0.68434839554682381</v>
      </c>
    </row>
    <row r="5" spans="1:13" customFormat="1" x14ac:dyDescent="0.3">
      <c r="A5" s="13" t="s">
        <v>1</v>
      </c>
      <c r="B5" s="13" t="s">
        <v>30</v>
      </c>
      <c r="C5" s="13">
        <v>71</v>
      </c>
      <c r="D5" s="13">
        <v>27</v>
      </c>
      <c r="E5" s="13">
        <v>111</v>
      </c>
      <c r="G5" s="19" t="s">
        <v>10</v>
      </c>
      <c r="H5" s="15">
        <f>H15+H16</f>
        <v>410</v>
      </c>
      <c r="I5" s="16">
        <f>H5/H$6</f>
        <v>0.3073463268365817</v>
      </c>
      <c r="J5" s="15">
        <f>I15+I16</f>
        <v>335</v>
      </c>
      <c r="K5" s="16">
        <f>J5/J$6</f>
        <v>0.39786223277909738</v>
      </c>
      <c r="L5" s="15">
        <f>J15+J16</f>
        <v>482</v>
      </c>
      <c r="M5" s="25">
        <f>L5/L$6</f>
        <v>0.31565160445317614</v>
      </c>
    </row>
    <row r="6" spans="1:13" customFormat="1" ht="17.25" thickBot="1" x14ac:dyDescent="0.35">
      <c r="A6" s="13" t="s">
        <v>0</v>
      </c>
      <c r="B6" s="13" t="s">
        <v>31</v>
      </c>
      <c r="C6" s="13">
        <v>16</v>
      </c>
      <c r="D6" s="13">
        <v>16</v>
      </c>
      <c r="E6" s="13">
        <v>16</v>
      </c>
      <c r="G6" s="22"/>
      <c r="H6" s="26">
        <f>SUM(H4:H5)</f>
        <v>1334</v>
      </c>
      <c r="I6" s="27">
        <f>I4+I5</f>
        <v>1</v>
      </c>
      <c r="J6" s="26">
        <f>SUM(J4:J5)</f>
        <v>842</v>
      </c>
      <c r="K6" s="27">
        <f>K4+K5</f>
        <v>1</v>
      </c>
      <c r="L6" s="26">
        <f>SUM(L4:L5)</f>
        <v>1527</v>
      </c>
      <c r="M6" s="28">
        <f>M4+M5</f>
        <v>1</v>
      </c>
    </row>
    <row r="7" spans="1:13" customFormat="1" x14ac:dyDescent="0.3">
      <c r="A7" s="13" t="s">
        <v>0</v>
      </c>
      <c r="B7" s="13" t="s">
        <v>1067</v>
      </c>
      <c r="C7" s="13">
        <v>16</v>
      </c>
      <c r="D7" s="13">
        <v>15</v>
      </c>
      <c r="E7" s="13">
        <v>18</v>
      </c>
    </row>
    <row r="8" spans="1:13" customFormat="1" x14ac:dyDescent="0.3">
      <c r="A8" s="13" t="s">
        <v>1</v>
      </c>
      <c r="B8" s="13" t="s">
        <v>2335</v>
      </c>
      <c r="C8" s="13">
        <v>28</v>
      </c>
      <c r="D8" s="13">
        <v>14</v>
      </c>
      <c r="E8" s="13">
        <v>34</v>
      </c>
    </row>
    <row r="9" spans="1:13" customFormat="1" x14ac:dyDescent="0.3">
      <c r="A9" s="13" t="s">
        <v>0</v>
      </c>
      <c r="B9" s="13" t="s">
        <v>37</v>
      </c>
      <c r="C9" s="13">
        <v>14</v>
      </c>
      <c r="D9" s="13">
        <v>14</v>
      </c>
      <c r="E9" s="13">
        <v>14</v>
      </c>
    </row>
    <row r="10" spans="1:13" customFormat="1" ht="17.25" thickBot="1" x14ac:dyDescent="0.35">
      <c r="A10" s="13" t="s">
        <v>0</v>
      </c>
      <c r="B10" s="13" t="s">
        <v>29</v>
      </c>
      <c r="C10" s="13">
        <v>14</v>
      </c>
      <c r="D10" s="13">
        <v>13</v>
      </c>
      <c r="E10" s="13">
        <v>15</v>
      </c>
    </row>
    <row r="11" spans="1:13" x14ac:dyDescent="0.3">
      <c r="A11" s="13" t="s">
        <v>1</v>
      </c>
      <c r="B11" s="13" t="s">
        <v>354</v>
      </c>
      <c r="C11" s="13">
        <v>19</v>
      </c>
      <c r="D11" s="13">
        <v>11</v>
      </c>
      <c r="E11" s="13">
        <v>22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61</v>
      </c>
      <c r="C12" s="13">
        <v>9</v>
      </c>
      <c r="D12" s="13">
        <v>9</v>
      </c>
      <c r="E12" s="13">
        <v>9</v>
      </c>
      <c r="G12" s="19"/>
      <c r="H12" s="17">
        <f t="shared" ref="H12:J12" si="0">SUM(H13:H16)</f>
        <v>1334</v>
      </c>
      <c r="I12" s="17">
        <f t="shared" si="0"/>
        <v>842</v>
      </c>
      <c r="J12" s="20">
        <f t="shared" si="0"/>
        <v>1527</v>
      </c>
    </row>
    <row r="13" spans="1:13" x14ac:dyDescent="0.3">
      <c r="A13" s="13" t="s">
        <v>1</v>
      </c>
      <c r="B13" s="13" t="s">
        <v>1067</v>
      </c>
      <c r="C13" s="13">
        <v>10</v>
      </c>
      <c r="D13" s="13">
        <v>9</v>
      </c>
      <c r="E13" s="13">
        <v>10</v>
      </c>
      <c r="G13" s="19" t="s">
        <v>7</v>
      </c>
      <c r="H13" s="18">
        <f t="shared" ref="H13:J16" si="1">SUMIF($A$2:$A$9999,$G13,C$2:C$9999)</f>
        <v>924</v>
      </c>
      <c r="I13" s="18">
        <f t="shared" si="1"/>
        <v>507</v>
      </c>
      <c r="J13" s="21">
        <f t="shared" si="1"/>
        <v>1045</v>
      </c>
    </row>
    <row r="14" spans="1:13" x14ac:dyDescent="0.3">
      <c r="A14" s="13" t="s">
        <v>1</v>
      </c>
      <c r="B14" s="13" t="s">
        <v>1948</v>
      </c>
      <c r="C14" s="13">
        <v>12</v>
      </c>
      <c r="D14" s="13">
        <v>9</v>
      </c>
      <c r="E14" s="13">
        <v>11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0</v>
      </c>
      <c r="B15" s="13" t="s">
        <v>354</v>
      </c>
      <c r="C15" s="13">
        <v>8</v>
      </c>
      <c r="D15" s="13">
        <v>8</v>
      </c>
      <c r="E15" s="13">
        <v>9</v>
      </c>
      <c r="G15" s="19" t="s">
        <v>11</v>
      </c>
      <c r="H15" s="18">
        <f t="shared" si="1"/>
        <v>400</v>
      </c>
      <c r="I15" s="18">
        <f t="shared" si="1"/>
        <v>327</v>
      </c>
      <c r="J15" s="21">
        <f t="shared" si="1"/>
        <v>471</v>
      </c>
    </row>
    <row r="16" spans="1:13" ht="17.25" thickBot="1" x14ac:dyDescent="0.35">
      <c r="A16" s="13" t="s">
        <v>1</v>
      </c>
      <c r="B16" s="13" t="s">
        <v>1988</v>
      </c>
      <c r="C16" s="13">
        <v>14</v>
      </c>
      <c r="D16" s="13">
        <v>7</v>
      </c>
      <c r="E16" s="13">
        <v>16</v>
      </c>
      <c r="G16" s="22" t="s">
        <v>12</v>
      </c>
      <c r="H16" s="23">
        <f t="shared" si="1"/>
        <v>10</v>
      </c>
      <c r="I16" s="23">
        <f t="shared" si="1"/>
        <v>8</v>
      </c>
      <c r="J16" s="24">
        <f t="shared" si="1"/>
        <v>11</v>
      </c>
    </row>
    <row r="17" spans="1:5" x14ac:dyDescent="0.3">
      <c r="A17" s="13" t="s">
        <v>1</v>
      </c>
      <c r="B17" s="13" t="s">
        <v>732</v>
      </c>
      <c r="C17" s="13">
        <v>7</v>
      </c>
      <c r="D17" s="13">
        <v>7</v>
      </c>
      <c r="E17" s="13">
        <v>8</v>
      </c>
    </row>
    <row r="18" spans="1:5" x14ac:dyDescent="0.3">
      <c r="A18" s="13" t="s">
        <v>1</v>
      </c>
      <c r="B18" s="13" t="s">
        <v>29</v>
      </c>
      <c r="C18" s="13">
        <v>7</v>
      </c>
      <c r="D18" s="13">
        <v>6</v>
      </c>
      <c r="E18" s="13">
        <v>7</v>
      </c>
    </row>
    <row r="19" spans="1:5" x14ac:dyDescent="0.3">
      <c r="A19" s="13" t="s">
        <v>0</v>
      </c>
      <c r="B19" s="13" t="s">
        <v>30</v>
      </c>
      <c r="C19" s="13">
        <v>9</v>
      </c>
      <c r="D19" s="13">
        <v>6</v>
      </c>
      <c r="E19" s="13">
        <v>10</v>
      </c>
    </row>
    <row r="20" spans="1:5" x14ac:dyDescent="0.3">
      <c r="A20" s="13" t="s">
        <v>1</v>
      </c>
      <c r="B20" s="13" t="s">
        <v>272</v>
      </c>
      <c r="C20" s="13">
        <v>7</v>
      </c>
      <c r="D20" s="13">
        <v>5</v>
      </c>
      <c r="E20" s="13">
        <v>8</v>
      </c>
    </row>
    <row r="21" spans="1:5" x14ac:dyDescent="0.3">
      <c r="A21" s="13" t="s">
        <v>1</v>
      </c>
      <c r="B21" s="13" t="s">
        <v>151</v>
      </c>
      <c r="C21" s="13">
        <v>6</v>
      </c>
      <c r="D21" s="13">
        <v>5</v>
      </c>
      <c r="E21" s="13">
        <v>6</v>
      </c>
    </row>
    <row r="22" spans="1:5" x14ac:dyDescent="0.3">
      <c r="A22" s="13" t="s">
        <v>1</v>
      </c>
      <c r="B22" s="13" t="s">
        <v>31</v>
      </c>
      <c r="C22" s="13">
        <v>6</v>
      </c>
      <c r="D22" s="13">
        <v>5</v>
      </c>
      <c r="E22" s="13">
        <v>8</v>
      </c>
    </row>
    <row r="23" spans="1:5" x14ac:dyDescent="0.3">
      <c r="A23" s="13" t="s">
        <v>1</v>
      </c>
      <c r="B23" s="13" t="s">
        <v>32</v>
      </c>
      <c r="C23" s="13">
        <v>11</v>
      </c>
      <c r="D23" s="13">
        <v>5</v>
      </c>
      <c r="E23" s="13">
        <v>14</v>
      </c>
    </row>
    <row r="24" spans="1:5" x14ac:dyDescent="0.3">
      <c r="A24" s="13" t="s">
        <v>0</v>
      </c>
      <c r="B24" s="13" t="s">
        <v>71</v>
      </c>
      <c r="C24" s="13">
        <v>5</v>
      </c>
      <c r="D24" s="13">
        <v>5</v>
      </c>
      <c r="E24" s="13">
        <v>8</v>
      </c>
    </row>
    <row r="25" spans="1:5" x14ac:dyDescent="0.3">
      <c r="A25" s="13" t="s">
        <v>0</v>
      </c>
      <c r="B25" s="13" t="s">
        <v>1948</v>
      </c>
      <c r="C25" s="13">
        <v>6</v>
      </c>
      <c r="D25" s="13">
        <v>5</v>
      </c>
      <c r="E25" s="13">
        <v>13</v>
      </c>
    </row>
    <row r="26" spans="1:5" x14ac:dyDescent="0.3">
      <c r="A26" s="13" t="s">
        <v>1</v>
      </c>
      <c r="B26" s="13" t="s">
        <v>148</v>
      </c>
      <c r="C26" s="13">
        <v>4</v>
      </c>
      <c r="D26" s="13">
        <v>4</v>
      </c>
      <c r="E26" s="13">
        <v>4</v>
      </c>
    </row>
    <row r="27" spans="1:5" x14ac:dyDescent="0.3">
      <c r="A27" s="13" t="s">
        <v>1</v>
      </c>
      <c r="B27" s="13" t="s">
        <v>247</v>
      </c>
      <c r="C27" s="13">
        <v>4</v>
      </c>
      <c r="D27" s="13">
        <v>4</v>
      </c>
      <c r="E27" s="13">
        <v>4</v>
      </c>
    </row>
    <row r="28" spans="1:5" x14ac:dyDescent="0.3">
      <c r="A28" s="13" t="s">
        <v>1</v>
      </c>
      <c r="B28" s="13" t="s">
        <v>653</v>
      </c>
      <c r="C28" s="13">
        <v>6</v>
      </c>
      <c r="D28" s="13">
        <v>4</v>
      </c>
      <c r="E28" s="13">
        <v>6</v>
      </c>
    </row>
    <row r="29" spans="1:5" x14ac:dyDescent="0.3">
      <c r="A29" s="13" t="s">
        <v>1</v>
      </c>
      <c r="B29" s="13" t="s">
        <v>1663</v>
      </c>
      <c r="C29" s="13">
        <v>6</v>
      </c>
      <c r="D29" s="13">
        <v>4</v>
      </c>
      <c r="E29" s="13">
        <v>9</v>
      </c>
    </row>
    <row r="30" spans="1:5" x14ac:dyDescent="0.3">
      <c r="A30" s="13" t="s">
        <v>1</v>
      </c>
      <c r="B30" s="13" t="s">
        <v>279</v>
      </c>
      <c r="C30" s="13">
        <v>4</v>
      </c>
      <c r="D30" s="13">
        <v>4</v>
      </c>
      <c r="E30" s="13">
        <v>4</v>
      </c>
    </row>
    <row r="31" spans="1:5" x14ac:dyDescent="0.3">
      <c r="A31" s="13" t="s">
        <v>1</v>
      </c>
      <c r="B31" s="13" t="s">
        <v>196</v>
      </c>
      <c r="C31" s="13">
        <v>5</v>
      </c>
      <c r="D31" s="13">
        <v>4</v>
      </c>
      <c r="E31" s="13">
        <v>5</v>
      </c>
    </row>
    <row r="32" spans="1:5" x14ac:dyDescent="0.3">
      <c r="A32" s="13" t="s">
        <v>1</v>
      </c>
      <c r="B32" s="13" t="s">
        <v>175</v>
      </c>
      <c r="C32" s="13">
        <v>5</v>
      </c>
      <c r="D32" s="13">
        <v>4</v>
      </c>
      <c r="E32" s="13">
        <v>7</v>
      </c>
    </row>
    <row r="33" spans="1:5" x14ac:dyDescent="0.3">
      <c r="A33" s="13" t="s">
        <v>1</v>
      </c>
      <c r="B33" s="13" t="s">
        <v>415</v>
      </c>
      <c r="C33" s="13">
        <v>4</v>
      </c>
      <c r="D33" s="13">
        <v>4</v>
      </c>
      <c r="E33" s="13">
        <v>4</v>
      </c>
    </row>
    <row r="34" spans="1:5" x14ac:dyDescent="0.3">
      <c r="A34" s="13" t="s">
        <v>1</v>
      </c>
      <c r="B34" s="13" t="s">
        <v>132</v>
      </c>
      <c r="C34" s="13">
        <v>5</v>
      </c>
      <c r="D34" s="13">
        <v>4</v>
      </c>
      <c r="E34" s="13">
        <v>5</v>
      </c>
    </row>
    <row r="35" spans="1:5" x14ac:dyDescent="0.3">
      <c r="A35" s="13" t="s">
        <v>0</v>
      </c>
      <c r="B35" s="13" t="s">
        <v>1741</v>
      </c>
      <c r="C35" s="13">
        <v>4</v>
      </c>
      <c r="D35" s="13">
        <v>4</v>
      </c>
      <c r="E35" s="13">
        <v>5</v>
      </c>
    </row>
    <row r="36" spans="1:5" x14ac:dyDescent="0.3">
      <c r="A36" s="13" t="s">
        <v>1</v>
      </c>
      <c r="B36" s="13" t="s">
        <v>48</v>
      </c>
      <c r="C36" s="13">
        <v>9</v>
      </c>
      <c r="D36" s="13">
        <v>3</v>
      </c>
      <c r="E36" s="13">
        <v>10</v>
      </c>
    </row>
    <row r="37" spans="1:5" x14ac:dyDescent="0.3">
      <c r="A37" s="13" t="s">
        <v>1</v>
      </c>
      <c r="B37" s="13" t="s">
        <v>87</v>
      </c>
      <c r="C37" s="13">
        <v>3</v>
      </c>
      <c r="D37" s="13">
        <v>3</v>
      </c>
      <c r="E37" s="13">
        <v>3</v>
      </c>
    </row>
    <row r="38" spans="1:5" x14ac:dyDescent="0.3">
      <c r="A38" s="13" t="s">
        <v>1</v>
      </c>
      <c r="B38" s="13" t="s">
        <v>90</v>
      </c>
      <c r="C38" s="13">
        <v>4</v>
      </c>
      <c r="D38" s="13">
        <v>3</v>
      </c>
      <c r="E38" s="13">
        <v>7</v>
      </c>
    </row>
    <row r="39" spans="1:5" x14ac:dyDescent="0.3">
      <c r="A39" s="13" t="s">
        <v>1</v>
      </c>
      <c r="B39" s="13" t="s">
        <v>1881</v>
      </c>
      <c r="C39" s="13">
        <v>3</v>
      </c>
      <c r="D39" s="13">
        <v>3</v>
      </c>
      <c r="E39" s="13">
        <v>3</v>
      </c>
    </row>
    <row r="40" spans="1:5" x14ac:dyDescent="0.3">
      <c r="A40" s="13" t="s">
        <v>1</v>
      </c>
      <c r="B40" s="13" t="s">
        <v>2425</v>
      </c>
      <c r="C40" s="13">
        <v>8</v>
      </c>
      <c r="D40" s="13">
        <v>3</v>
      </c>
      <c r="E40" s="13">
        <v>7</v>
      </c>
    </row>
    <row r="41" spans="1:5" x14ac:dyDescent="0.3">
      <c r="A41" s="13" t="s">
        <v>1</v>
      </c>
      <c r="B41" s="13" t="s">
        <v>104</v>
      </c>
      <c r="C41" s="13">
        <v>3</v>
      </c>
      <c r="D41" s="13">
        <v>3</v>
      </c>
      <c r="E41" s="13">
        <v>3</v>
      </c>
    </row>
    <row r="42" spans="1:5" x14ac:dyDescent="0.3">
      <c r="A42" s="13" t="s">
        <v>1</v>
      </c>
      <c r="B42" s="13" t="s">
        <v>109</v>
      </c>
      <c r="C42" s="13">
        <v>4</v>
      </c>
      <c r="D42" s="13">
        <v>3</v>
      </c>
      <c r="E42" s="13">
        <v>3</v>
      </c>
    </row>
    <row r="43" spans="1:5" x14ac:dyDescent="0.3">
      <c r="A43" s="13" t="s">
        <v>1</v>
      </c>
      <c r="B43" s="13" t="s">
        <v>326</v>
      </c>
      <c r="C43" s="13">
        <v>3</v>
      </c>
      <c r="D43" s="13">
        <v>3</v>
      </c>
      <c r="E43" s="13">
        <v>3</v>
      </c>
    </row>
    <row r="44" spans="1:5" x14ac:dyDescent="0.3">
      <c r="A44" s="13" t="s">
        <v>0</v>
      </c>
      <c r="B44" s="13" t="s">
        <v>60</v>
      </c>
      <c r="C44" s="13">
        <v>3</v>
      </c>
      <c r="D44" s="13">
        <v>3</v>
      </c>
      <c r="E44" s="13">
        <v>3</v>
      </c>
    </row>
    <row r="45" spans="1:5" x14ac:dyDescent="0.3">
      <c r="A45" s="13" t="s">
        <v>0</v>
      </c>
      <c r="B45" s="13" t="s">
        <v>61</v>
      </c>
      <c r="C45" s="13">
        <v>3</v>
      </c>
      <c r="D45" s="13">
        <v>3</v>
      </c>
      <c r="E45" s="13">
        <v>3</v>
      </c>
    </row>
    <row r="46" spans="1:5" x14ac:dyDescent="0.3">
      <c r="A46" s="13" t="s">
        <v>0</v>
      </c>
      <c r="B46" s="13" t="s">
        <v>2203</v>
      </c>
      <c r="C46" s="13">
        <v>3</v>
      </c>
      <c r="D46" s="13">
        <v>3</v>
      </c>
      <c r="E46" s="13">
        <v>3</v>
      </c>
    </row>
    <row r="47" spans="1:5" x14ac:dyDescent="0.3">
      <c r="A47" s="13" t="s">
        <v>0</v>
      </c>
      <c r="B47" s="13" t="s">
        <v>2335</v>
      </c>
      <c r="C47" s="13">
        <v>3</v>
      </c>
      <c r="D47" s="13">
        <v>3</v>
      </c>
      <c r="E47" s="13">
        <v>3</v>
      </c>
    </row>
    <row r="48" spans="1:5" x14ac:dyDescent="0.3">
      <c r="A48" s="13" t="s">
        <v>0</v>
      </c>
      <c r="B48" s="13" t="s">
        <v>523</v>
      </c>
      <c r="C48" s="13">
        <v>3</v>
      </c>
      <c r="D48" s="13">
        <v>3</v>
      </c>
      <c r="E48" s="13">
        <v>3</v>
      </c>
    </row>
    <row r="49" spans="1:5" x14ac:dyDescent="0.3">
      <c r="A49" s="13" t="s">
        <v>0</v>
      </c>
      <c r="B49" s="13" t="s">
        <v>39</v>
      </c>
      <c r="C49" s="13">
        <v>3</v>
      </c>
      <c r="D49" s="13">
        <v>3</v>
      </c>
      <c r="E49" s="13">
        <v>3</v>
      </c>
    </row>
    <row r="50" spans="1:5" x14ac:dyDescent="0.3">
      <c r="A50" s="13" t="s">
        <v>1</v>
      </c>
      <c r="B50" s="13" t="s">
        <v>377</v>
      </c>
      <c r="C50" s="13">
        <v>2</v>
      </c>
      <c r="D50" s="13">
        <v>2</v>
      </c>
      <c r="E50" s="13">
        <v>2</v>
      </c>
    </row>
    <row r="51" spans="1:5" x14ac:dyDescent="0.3">
      <c r="A51" s="13" t="s">
        <v>1</v>
      </c>
      <c r="B51" s="13" t="s">
        <v>203</v>
      </c>
      <c r="C51" s="13">
        <v>2</v>
      </c>
      <c r="D51" s="13">
        <v>2</v>
      </c>
      <c r="E51" s="13">
        <v>2</v>
      </c>
    </row>
    <row r="52" spans="1:5" x14ac:dyDescent="0.3">
      <c r="A52" s="13" t="s">
        <v>1</v>
      </c>
      <c r="B52" s="13" t="s">
        <v>140</v>
      </c>
      <c r="C52" s="13">
        <v>2</v>
      </c>
      <c r="D52" s="13">
        <v>2</v>
      </c>
      <c r="E52" s="13">
        <v>2</v>
      </c>
    </row>
    <row r="53" spans="1:5" x14ac:dyDescent="0.3">
      <c r="A53" s="13" t="s">
        <v>1</v>
      </c>
      <c r="B53" s="13" t="s">
        <v>206</v>
      </c>
      <c r="C53" s="13">
        <v>2</v>
      </c>
      <c r="D53" s="13">
        <v>2</v>
      </c>
      <c r="E53" s="13">
        <v>3</v>
      </c>
    </row>
    <row r="54" spans="1:5" x14ac:dyDescent="0.3">
      <c r="A54" s="13" t="s">
        <v>1</v>
      </c>
      <c r="B54" s="13" t="s">
        <v>474</v>
      </c>
      <c r="C54" s="13">
        <v>3</v>
      </c>
      <c r="D54" s="13">
        <v>2</v>
      </c>
      <c r="E54" s="13">
        <v>3</v>
      </c>
    </row>
    <row r="55" spans="1:5" x14ac:dyDescent="0.3">
      <c r="A55" s="13" t="s">
        <v>1</v>
      </c>
      <c r="B55" s="13" t="s">
        <v>243</v>
      </c>
      <c r="C55" s="13">
        <v>2</v>
      </c>
      <c r="D55" s="13">
        <v>2</v>
      </c>
      <c r="E55" s="13">
        <v>2</v>
      </c>
    </row>
    <row r="56" spans="1:5" x14ac:dyDescent="0.3">
      <c r="A56" s="13" t="s">
        <v>1</v>
      </c>
      <c r="B56" s="13" t="s">
        <v>983</v>
      </c>
      <c r="C56" s="13">
        <v>2</v>
      </c>
      <c r="D56" s="13">
        <v>2</v>
      </c>
      <c r="E56" s="13">
        <v>3</v>
      </c>
    </row>
    <row r="57" spans="1:5" x14ac:dyDescent="0.3">
      <c r="A57" s="13" t="s">
        <v>1</v>
      </c>
      <c r="B57" s="13" t="s">
        <v>1019</v>
      </c>
      <c r="C57" s="13">
        <v>2</v>
      </c>
      <c r="D57" s="13">
        <v>2</v>
      </c>
      <c r="E57" s="13">
        <v>2</v>
      </c>
    </row>
    <row r="58" spans="1:5" x14ac:dyDescent="0.3">
      <c r="A58" s="13" t="s">
        <v>1</v>
      </c>
      <c r="B58" s="13" t="s">
        <v>145</v>
      </c>
      <c r="C58" s="13">
        <v>2</v>
      </c>
      <c r="D58" s="13">
        <v>2</v>
      </c>
      <c r="E58" s="13">
        <v>2</v>
      </c>
    </row>
    <row r="59" spans="1:5" x14ac:dyDescent="0.3">
      <c r="A59" s="13" t="s">
        <v>1</v>
      </c>
      <c r="B59" s="13" t="s">
        <v>41</v>
      </c>
      <c r="C59" s="13">
        <v>4</v>
      </c>
      <c r="D59" s="13">
        <v>2</v>
      </c>
      <c r="E59" s="13">
        <v>5</v>
      </c>
    </row>
    <row r="60" spans="1:5" x14ac:dyDescent="0.3">
      <c r="A60" s="13" t="s">
        <v>1</v>
      </c>
      <c r="B60" s="13" t="s">
        <v>356</v>
      </c>
      <c r="C60" s="13">
        <v>3</v>
      </c>
      <c r="D60" s="13">
        <v>2</v>
      </c>
      <c r="E60" s="13">
        <v>5</v>
      </c>
    </row>
    <row r="61" spans="1:5" x14ac:dyDescent="0.3">
      <c r="A61" s="13" t="s">
        <v>1</v>
      </c>
      <c r="B61" s="13" t="s">
        <v>1741</v>
      </c>
      <c r="C61" s="13">
        <v>2</v>
      </c>
      <c r="D61" s="13">
        <v>2</v>
      </c>
      <c r="E61" s="13">
        <v>2</v>
      </c>
    </row>
    <row r="62" spans="1:5" x14ac:dyDescent="0.3">
      <c r="A62" s="13" t="s">
        <v>1</v>
      </c>
      <c r="B62" s="13" t="s">
        <v>2203</v>
      </c>
      <c r="C62" s="13">
        <v>6</v>
      </c>
      <c r="D62" s="13">
        <v>2</v>
      </c>
      <c r="E62" s="13">
        <v>7</v>
      </c>
    </row>
    <row r="63" spans="1:5" x14ac:dyDescent="0.3">
      <c r="A63" s="13" t="s">
        <v>1</v>
      </c>
      <c r="B63" s="13" t="s">
        <v>95</v>
      </c>
      <c r="C63" s="13">
        <v>2</v>
      </c>
      <c r="D63" s="13">
        <v>2</v>
      </c>
      <c r="E63" s="13">
        <v>3</v>
      </c>
    </row>
    <row r="64" spans="1:5" x14ac:dyDescent="0.3">
      <c r="A64" s="13" t="s">
        <v>1</v>
      </c>
      <c r="B64" s="13" t="s">
        <v>934</v>
      </c>
      <c r="C64" s="13">
        <v>2</v>
      </c>
      <c r="D64" s="13">
        <v>2</v>
      </c>
      <c r="E64" s="13">
        <v>2</v>
      </c>
    </row>
    <row r="65" spans="1:5" x14ac:dyDescent="0.3">
      <c r="A65" s="13" t="s">
        <v>1</v>
      </c>
      <c r="B65" s="13" t="s">
        <v>195</v>
      </c>
      <c r="C65" s="13">
        <v>2</v>
      </c>
      <c r="D65" s="13">
        <v>2</v>
      </c>
      <c r="E65" s="13">
        <v>2</v>
      </c>
    </row>
    <row r="66" spans="1:5" x14ac:dyDescent="0.3">
      <c r="A66" s="13" t="s">
        <v>1</v>
      </c>
      <c r="B66" s="13" t="s">
        <v>165</v>
      </c>
      <c r="C66" s="13">
        <v>2</v>
      </c>
      <c r="D66" s="13">
        <v>2</v>
      </c>
      <c r="E66" s="13">
        <v>2</v>
      </c>
    </row>
    <row r="67" spans="1:5" x14ac:dyDescent="0.3">
      <c r="A67" s="13" t="s">
        <v>1</v>
      </c>
      <c r="B67" s="13" t="s">
        <v>278</v>
      </c>
      <c r="C67" s="13">
        <v>2</v>
      </c>
      <c r="D67" s="13">
        <v>2</v>
      </c>
      <c r="E67" s="13">
        <v>2</v>
      </c>
    </row>
    <row r="68" spans="1:5" x14ac:dyDescent="0.3">
      <c r="A68" s="13" t="s">
        <v>1</v>
      </c>
      <c r="B68" s="13" t="s">
        <v>2244</v>
      </c>
      <c r="C68" s="13">
        <v>5</v>
      </c>
      <c r="D68" s="13">
        <v>2</v>
      </c>
      <c r="E68" s="13">
        <v>5</v>
      </c>
    </row>
    <row r="69" spans="1:5" x14ac:dyDescent="0.3">
      <c r="A69" s="13" t="s">
        <v>1</v>
      </c>
      <c r="B69" s="13" t="s">
        <v>51</v>
      </c>
      <c r="C69" s="13">
        <v>2</v>
      </c>
      <c r="D69" s="13">
        <v>2</v>
      </c>
      <c r="E69" s="13">
        <v>5</v>
      </c>
    </row>
    <row r="70" spans="1:5" x14ac:dyDescent="0.3">
      <c r="A70" s="13" t="s">
        <v>1</v>
      </c>
      <c r="B70" s="13" t="s">
        <v>315</v>
      </c>
      <c r="C70" s="13">
        <v>3</v>
      </c>
      <c r="D70" s="13">
        <v>2</v>
      </c>
      <c r="E70" s="13">
        <v>3</v>
      </c>
    </row>
    <row r="71" spans="1:5" x14ac:dyDescent="0.3">
      <c r="A71" s="13" t="s">
        <v>1</v>
      </c>
      <c r="B71" s="13" t="s">
        <v>113</v>
      </c>
      <c r="C71" s="13">
        <v>2</v>
      </c>
      <c r="D71" s="13">
        <v>2</v>
      </c>
      <c r="E71" s="13">
        <v>2</v>
      </c>
    </row>
    <row r="72" spans="1:5" x14ac:dyDescent="0.3">
      <c r="A72" s="13" t="s">
        <v>1</v>
      </c>
      <c r="B72" s="13" t="s">
        <v>45</v>
      </c>
      <c r="C72" s="13">
        <v>2</v>
      </c>
      <c r="D72" s="13">
        <v>2</v>
      </c>
      <c r="E72" s="13">
        <v>2</v>
      </c>
    </row>
    <row r="73" spans="1:5" x14ac:dyDescent="0.3">
      <c r="A73" s="13" t="s">
        <v>1</v>
      </c>
      <c r="B73" s="13" t="s">
        <v>319</v>
      </c>
      <c r="C73" s="13">
        <v>3</v>
      </c>
      <c r="D73" s="13">
        <v>2</v>
      </c>
      <c r="E73" s="13">
        <v>4</v>
      </c>
    </row>
    <row r="74" spans="1:5" x14ac:dyDescent="0.3">
      <c r="A74" s="13" t="s">
        <v>1</v>
      </c>
      <c r="B74" s="13" t="s">
        <v>631</v>
      </c>
      <c r="C74" s="13">
        <v>2</v>
      </c>
      <c r="D74" s="13">
        <v>2</v>
      </c>
      <c r="E74" s="13">
        <v>3</v>
      </c>
    </row>
    <row r="75" spans="1:5" x14ac:dyDescent="0.3">
      <c r="A75" s="13" t="s">
        <v>1</v>
      </c>
      <c r="B75" s="13" t="s">
        <v>120</v>
      </c>
      <c r="C75" s="13">
        <v>3</v>
      </c>
      <c r="D75" s="13">
        <v>2</v>
      </c>
      <c r="E75" s="13">
        <v>3</v>
      </c>
    </row>
    <row r="76" spans="1:5" x14ac:dyDescent="0.3">
      <c r="A76" s="13" t="s">
        <v>1</v>
      </c>
      <c r="B76" s="13" t="s">
        <v>406</v>
      </c>
      <c r="C76" s="13">
        <v>2</v>
      </c>
      <c r="D76" s="13">
        <v>2</v>
      </c>
      <c r="E76" s="13">
        <v>2</v>
      </c>
    </row>
    <row r="77" spans="1:5" x14ac:dyDescent="0.3">
      <c r="A77" s="13" t="s">
        <v>1</v>
      </c>
      <c r="B77" s="13" t="s">
        <v>124</v>
      </c>
      <c r="C77" s="13">
        <v>3</v>
      </c>
      <c r="D77" s="13">
        <v>2</v>
      </c>
      <c r="E77" s="13">
        <v>3</v>
      </c>
    </row>
    <row r="78" spans="1:5" x14ac:dyDescent="0.3">
      <c r="A78" s="13" t="s">
        <v>1</v>
      </c>
      <c r="B78" s="13" t="s">
        <v>52</v>
      </c>
      <c r="C78" s="13">
        <v>4</v>
      </c>
      <c r="D78" s="13">
        <v>2</v>
      </c>
      <c r="E78" s="13">
        <v>6</v>
      </c>
    </row>
    <row r="79" spans="1:5" x14ac:dyDescent="0.3">
      <c r="A79" s="13" t="s">
        <v>1</v>
      </c>
      <c r="B79" s="13" t="s">
        <v>38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716</v>
      </c>
      <c r="C80" s="13">
        <v>2</v>
      </c>
      <c r="D80" s="13">
        <v>2</v>
      </c>
      <c r="E80" s="13">
        <v>3</v>
      </c>
    </row>
    <row r="81" spans="1:5" x14ac:dyDescent="0.3">
      <c r="A81" s="13" t="s">
        <v>1</v>
      </c>
      <c r="B81" s="13" t="s">
        <v>784</v>
      </c>
      <c r="C81" s="13">
        <v>2</v>
      </c>
      <c r="D81" s="13">
        <v>2</v>
      </c>
      <c r="E81" s="13">
        <v>2</v>
      </c>
    </row>
    <row r="82" spans="1:5" x14ac:dyDescent="0.3">
      <c r="A82" s="13" t="s">
        <v>1</v>
      </c>
      <c r="B82" s="13" t="s">
        <v>442</v>
      </c>
      <c r="C82" s="13">
        <v>2</v>
      </c>
      <c r="D82" s="13">
        <v>2</v>
      </c>
      <c r="E82" s="13">
        <v>3</v>
      </c>
    </row>
    <row r="83" spans="1:5" x14ac:dyDescent="0.3">
      <c r="A83" s="13" t="s">
        <v>0</v>
      </c>
      <c r="B83" s="13" t="s">
        <v>755</v>
      </c>
      <c r="C83" s="13">
        <v>2</v>
      </c>
      <c r="D83" s="13">
        <v>2</v>
      </c>
      <c r="E83" s="13">
        <v>2</v>
      </c>
    </row>
    <row r="84" spans="1:5" x14ac:dyDescent="0.3">
      <c r="A84" s="13" t="s">
        <v>0</v>
      </c>
      <c r="B84" s="13" t="s">
        <v>34</v>
      </c>
      <c r="C84" s="13">
        <v>3</v>
      </c>
      <c r="D84" s="13">
        <v>2</v>
      </c>
      <c r="E84" s="13">
        <v>3</v>
      </c>
    </row>
    <row r="85" spans="1:5" x14ac:dyDescent="0.3">
      <c r="A85" s="13" t="s">
        <v>0</v>
      </c>
      <c r="B85" s="13" t="s">
        <v>2148</v>
      </c>
      <c r="C85" s="13">
        <v>2</v>
      </c>
      <c r="D85" s="13">
        <v>2</v>
      </c>
      <c r="E85" s="13">
        <v>2</v>
      </c>
    </row>
    <row r="86" spans="1:5" x14ac:dyDescent="0.3">
      <c r="A86" s="13" t="s">
        <v>0</v>
      </c>
      <c r="B86" s="13" t="s">
        <v>35</v>
      </c>
      <c r="C86" s="13">
        <v>2</v>
      </c>
      <c r="D86" s="13">
        <v>2</v>
      </c>
      <c r="E86" s="13">
        <v>2</v>
      </c>
    </row>
    <row r="87" spans="1:5" x14ac:dyDescent="0.3">
      <c r="A87" s="13" t="s">
        <v>0</v>
      </c>
      <c r="B87" s="13" t="s">
        <v>111</v>
      </c>
      <c r="C87" s="13">
        <v>2</v>
      </c>
      <c r="D87" s="13">
        <v>2</v>
      </c>
      <c r="E87" s="13">
        <v>3</v>
      </c>
    </row>
    <row r="88" spans="1:5" x14ac:dyDescent="0.3">
      <c r="A88" s="13" t="s">
        <v>0</v>
      </c>
      <c r="B88" s="13" t="s">
        <v>51</v>
      </c>
      <c r="C88" s="13">
        <v>2</v>
      </c>
      <c r="D88" s="13">
        <v>2</v>
      </c>
      <c r="E88" s="13">
        <v>2</v>
      </c>
    </row>
    <row r="89" spans="1:5" x14ac:dyDescent="0.3">
      <c r="A89" s="13" t="s">
        <v>0</v>
      </c>
      <c r="B89" s="13" t="s">
        <v>800</v>
      </c>
      <c r="C89" s="13">
        <v>2</v>
      </c>
      <c r="D89" s="13">
        <v>2</v>
      </c>
      <c r="E89" s="13">
        <v>2</v>
      </c>
    </row>
    <row r="90" spans="1:5" x14ac:dyDescent="0.3">
      <c r="A90" s="13" t="s">
        <v>0</v>
      </c>
      <c r="B90" s="13" t="s">
        <v>374</v>
      </c>
      <c r="C90" s="13">
        <v>2</v>
      </c>
      <c r="D90" s="13">
        <v>2</v>
      </c>
      <c r="E90" s="13">
        <v>2</v>
      </c>
    </row>
    <row r="91" spans="1:5" x14ac:dyDescent="0.3">
      <c r="A91" s="13" t="s">
        <v>0</v>
      </c>
      <c r="B91" s="13" t="s">
        <v>454</v>
      </c>
      <c r="C91" s="13">
        <v>2</v>
      </c>
      <c r="D91" s="13">
        <v>2</v>
      </c>
      <c r="E91" s="13">
        <v>2</v>
      </c>
    </row>
    <row r="92" spans="1:5" x14ac:dyDescent="0.3">
      <c r="A92" s="13" t="s">
        <v>0</v>
      </c>
      <c r="B92" s="13" t="s">
        <v>115</v>
      </c>
      <c r="C92" s="13">
        <v>2</v>
      </c>
      <c r="D92" s="13">
        <v>2</v>
      </c>
      <c r="E92" s="13">
        <v>2</v>
      </c>
    </row>
    <row r="93" spans="1:5" x14ac:dyDescent="0.3">
      <c r="A93" s="13" t="s">
        <v>0</v>
      </c>
      <c r="B93" s="13" t="s">
        <v>122</v>
      </c>
      <c r="C93" s="13">
        <v>2</v>
      </c>
      <c r="D93" s="13">
        <v>2</v>
      </c>
      <c r="E93" s="13">
        <v>2</v>
      </c>
    </row>
    <row r="94" spans="1:5" x14ac:dyDescent="0.3">
      <c r="A94" s="13" t="s">
        <v>0</v>
      </c>
      <c r="B94" s="13" t="s">
        <v>1110</v>
      </c>
      <c r="C94" s="13">
        <v>2</v>
      </c>
      <c r="D94" s="13">
        <v>2</v>
      </c>
      <c r="E94" s="13">
        <v>3</v>
      </c>
    </row>
    <row r="95" spans="1:5" x14ac:dyDescent="0.3">
      <c r="A95" s="13" t="s">
        <v>0</v>
      </c>
      <c r="B95" s="13" t="s">
        <v>255</v>
      </c>
      <c r="C95" s="13">
        <v>2</v>
      </c>
      <c r="D95" s="13">
        <v>2</v>
      </c>
      <c r="E95" s="13">
        <v>2</v>
      </c>
    </row>
    <row r="96" spans="1:5" x14ac:dyDescent="0.3">
      <c r="A96" s="13" t="s">
        <v>0</v>
      </c>
      <c r="B96" s="13" t="s">
        <v>339</v>
      </c>
      <c r="C96" s="13">
        <v>2</v>
      </c>
      <c r="D96" s="13">
        <v>2</v>
      </c>
      <c r="E96" s="13">
        <v>2</v>
      </c>
    </row>
    <row r="97" spans="1:5" x14ac:dyDescent="0.3">
      <c r="A97" s="13" t="s">
        <v>0</v>
      </c>
      <c r="B97" s="13" t="s">
        <v>38</v>
      </c>
      <c r="C97" s="13">
        <v>2</v>
      </c>
      <c r="D97" s="13">
        <v>2</v>
      </c>
      <c r="E97" s="13">
        <v>2</v>
      </c>
    </row>
    <row r="98" spans="1:5" x14ac:dyDescent="0.3">
      <c r="A98" s="13" t="s">
        <v>0</v>
      </c>
      <c r="B98" s="13" t="s">
        <v>68</v>
      </c>
      <c r="C98" s="13">
        <v>3</v>
      </c>
      <c r="D98" s="13">
        <v>2</v>
      </c>
      <c r="E98" s="13">
        <v>3</v>
      </c>
    </row>
    <row r="99" spans="1:5" x14ac:dyDescent="0.3">
      <c r="A99" s="13" t="s">
        <v>1</v>
      </c>
      <c r="B99" s="13" t="s">
        <v>36</v>
      </c>
      <c r="C99" s="13">
        <v>2</v>
      </c>
      <c r="D99" s="13">
        <v>1</v>
      </c>
      <c r="E99" s="13">
        <v>2</v>
      </c>
    </row>
    <row r="100" spans="1:5" x14ac:dyDescent="0.3">
      <c r="A100" s="13" t="s">
        <v>1</v>
      </c>
      <c r="B100" s="13" t="s">
        <v>368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299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1251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261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70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1798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669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586</v>
      </c>
      <c r="C107" s="13">
        <v>3</v>
      </c>
      <c r="D107" s="13">
        <v>1</v>
      </c>
      <c r="E107" s="13">
        <v>4</v>
      </c>
    </row>
    <row r="108" spans="1:5" x14ac:dyDescent="0.3">
      <c r="A108" s="13" t="s">
        <v>1</v>
      </c>
      <c r="B108" s="13" t="s">
        <v>71</v>
      </c>
      <c r="C108" s="13">
        <v>1</v>
      </c>
      <c r="D108" s="13">
        <v>1</v>
      </c>
      <c r="E108" s="13">
        <v>2</v>
      </c>
    </row>
    <row r="109" spans="1:5" x14ac:dyDescent="0.3">
      <c r="A109" s="13" t="s">
        <v>1</v>
      </c>
      <c r="B109" s="13" t="s">
        <v>33</v>
      </c>
      <c r="C109" s="13">
        <v>3</v>
      </c>
      <c r="D109" s="13">
        <v>1</v>
      </c>
      <c r="E109" s="13">
        <v>4</v>
      </c>
    </row>
    <row r="110" spans="1:5" x14ac:dyDescent="0.3">
      <c r="A110" s="13" t="s">
        <v>1</v>
      </c>
      <c r="B110" s="13" t="s">
        <v>494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381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1158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2458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919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345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77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34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985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1208</v>
      </c>
      <c r="C119" s="13">
        <v>2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269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796</v>
      </c>
      <c r="C121" s="13">
        <v>2</v>
      </c>
      <c r="D121" s="13">
        <v>1</v>
      </c>
      <c r="E121" s="13">
        <v>2</v>
      </c>
    </row>
    <row r="122" spans="1:5" x14ac:dyDescent="0.3">
      <c r="A122" s="13" t="s">
        <v>1</v>
      </c>
      <c r="B122" s="13" t="s">
        <v>260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209</v>
      </c>
      <c r="C123" s="13">
        <v>1</v>
      </c>
      <c r="D123" s="13">
        <v>1</v>
      </c>
      <c r="E123" s="13">
        <v>2</v>
      </c>
    </row>
    <row r="124" spans="1:5" x14ac:dyDescent="0.3">
      <c r="A124" s="13" t="s">
        <v>1</v>
      </c>
      <c r="B124" s="13" t="s">
        <v>304</v>
      </c>
      <c r="C124" s="13">
        <v>3</v>
      </c>
      <c r="D124" s="13">
        <v>1</v>
      </c>
      <c r="E124" s="13">
        <v>3</v>
      </c>
    </row>
    <row r="125" spans="1:5" x14ac:dyDescent="0.3">
      <c r="A125" s="13" t="s">
        <v>1</v>
      </c>
      <c r="B125" s="13" t="s">
        <v>144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83</v>
      </c>
      <c r="C126" s="13">
        <v>9</v>
      </c>
      <c r="D126" s="13">
        <v>1</v>
      </c>
      <c r="E126" s="13">
        <v>9</v>
      </c>
    </row>
    <row r="127" spans="1:5" x14ac:dyDescent="0.3">
      <c r="A127" s="13" t="s">
        <v>1</v>
      </c>
      <c r="B127" s="13" t="s">
        <v>386</v>
      </c>
      <c r="C127" s="13">
        <v>2</v>
      </c>
      <c r="D127" s="13">
        <v>1</v>
      </c>
      <c r="E127" s="13">
        <v>2</v>
      </c>
    </row>
    <row r="128" spans="1:5" x14ac:dyDescent="0.3">
      <c r="A128" s="13" t="s">
        <v>1</v>
      </c>
      <c r="B128" s="13" t="s">
        <v>257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86</v>
      </c>
      <c r="C129" s="13">
        <v>2</v>
      </c>
      <c r="D129" s="13">
        <v>1</v>
      </c>
      <c r="E129" s="13">
        <v>2</v>
      </c>
    </row>
    <row r="130" spans="1:5" x14ac:dyDescent="0.3">
      <c r="A130" s="13" t="s">
        <v>1</v>
      </c>
      <c r="B130" s="13" t="s">
        <v>675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605</v>
      </c>
      <c r="C131" s="13">
        <v>2</v>
      </c>
      <c r="D131" s="13">
        <v>1</v>
      </c>
      <c r="E131" s="13">
        <v>2</v>
      </c>
    </row>
    <row r="132" spans="1:5" x14ac:dyDescent="0.3">
      <c r="A132" s="13" t="s">
        <v>1</v>
      </c>
      <c r="B132" s="13" t="s">
        <v>465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213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217</v>
      </c>
      <c r="C134" s="13">
        <v>2</v>
      </c>
      <c r="D134" s="13">
        <v>1</v>
      </c>
      <c r="E134" s="13">
        <v>2</v>
      </c>
    </row>
    <row r="135" spans="1:5" x14ac:dyDescent="0.3">
      <c r="A135" s="13" t="s">
        <v>1</v>
      </c>
      <c r="B135" s="13" t="s">
        <v>993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818</v>
      </c>
      <c r="C136" s="13">
        <v>2</v>
      </c>
      <c r="D136" s="13">
        <v>1</v>
      </c>
      <c r="E136" s="13">
        <v>2</v>
      </c>
    </row>
    <row r="137" spans="1:5" x14ac:dyDescent="0.3">
      <c r="A137" s="13" t="s">
        <v>1</v>
      </c>
      <c r="B137" s="13" t="s">
        <v>91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424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611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152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471</v>
      </c>
      <c r="C141" s="13">
        <v>3</v>
      </c>
      <c r="D141" s="13">
        <v>1</v>
      </c>
      <c r="E141" s="13">
        <v>2</v>
      </c>
    </row>
    <row r="142" spans="1:5" x14ac:dyDescent="0.3">
      <c r="A142" s="13" t="s">
        <v>1</v>
      </c>
      <c r="B142" s="13" t="s">
        <v>856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1645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1674</v>
      </c>
      <c r="C144" s="13">
        <v>3</v>
      </c>
      <c r="D144" s="13">
        <v>1</v>
      </c>
      <c r="E144" s="13">
        <v>3</v>
      </c>
    </row>
    <row r="145" spans="1:5" x14ac:dyDescent="0.3">
      <c r="A145" s="13" t="s">
        <v>1</v>
      </c>
      <c r="B145" s="13" t="s">
        <v>1849</v>
      </c>
      <c r="C145" s="13">
        <v>3</v>
      </c>
      <c r="D145" s="13">
        <v>1</v>
      </c>
      <c r="E145" s="13">
        <v>3</v>
      </c>
    </row>
    <row r="146" spans="1:5" x14ac:dyDescent="0.3">
      <c r="A146" s="13" t="s">
        <v>1</v>
      </c>
      <c r="B146" s="13" t="s">
        <v>1888</v>
      </c>
      <c r="C146" s="13">
        <v>3</v>
      </c>
      <c r="D146" s="13">
        <v>1</v>
      </c>
      <c r="E146" s="13">
        <v>3</v>
      </c>
    </row>
    <row r="147" spans="1:5" x14ac:dyDescent="0.3">
      <c r="A147" s="13" t="s">
        <v>1</v>
      </c>
      <c r="B147" s="13" t="s">
        <v>1884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1899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1900</v>
      </c>
      <c r="C149" s="13">
        <v>2</v>
      </c>
      <c r="D149" s="13">
        <v>1</v>
      </c>
      <c r="E149" s="13">
        <v>2</v>
      </c>
    </row>
    <row r="150" spans="1:5" x14ac:dyDescent="0.3">
      <c r="A150" s="13" t="s">
        <v>1</v>
      </c>
      <c r="B150" s="13" t="s">
        <v>1882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1960</v>
      </c>
      <c r="C151" s="13">
        <v>4</v>
      </c>
      <c r="D151" s="13">
        <v>1</v>
      </c>
      <c r="E151" s="13">
        <v>4</v>
      </c>
    </row>
    <row r="152" spans="1:5" x14ac:dyDescent="0.3">
      <c r="A152" s="13" t="s">
        <v>1</v>
      </c>
      <c r="B152" s="13" t="s">
        <v>1989</v>
      </c>
      <c r="C152" s="13">
        <v>2</v>
      </c>
      <c r="D152" s="13">
        <v>1</v>
      </c>
      <c r="E152" s="13">
        <v>2</v>
      </c>
    </row>
    <row r="153" spans="1:5" x14ac:dyDescent="0.3">
      <c r="A153" s="13" t="s">
        <v>1</v>
      </c>
      <c r="B153" s="13" t="s">
        <v>2093</v>
      </c>
      <c r="C153" s="13">
        <v>2</v>
      </c>
      <c r="D153" s="13">
        <v>1</v>
      </c>
      <c r="E153" s="13">
        <v>2</v>
      </c>
    </row>
    <row r="154" spans="1:5" x14ac:dyDescent="0.3">
      <c r="A154" s="13" t="s">
        <v>1</v>
      </c>
      <c r="B154" s="13" t="s">
        <v>2149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2164</v>
      </c>
      <c r="C155" s="13">
        <v>2</v>
      </c>
      <c r="D155" s="13">
        <v>1</v>
      </c>
      <c r="E155" s="13">
        <v>2</v>
      </c>
    </row>
    <row r="156" spans="1:5" x14ac:dyDescent="0.3">
      <c r="A156" s="13" t="s">
        <v>1</v>
      </c>
      <c r="B156" s="13" t="s">
        <v>2179</v>
      </c>
      <c r="C156" s="13">
        <v>2</v>
      </c>
      <c r="D156" s="13">
        <v>1</v>
      </c>
      <c r="E156" s="13">
        <v>2</v>
      </c>
    </row>
    <row r="157" spans="1:5" x14ac:dyDescent="0.3">
      <c r="A157" s="13" t="s">
        <v>1</v>
      </c>
      <c r="B157" s="13" t="s">
        <v>2339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2408</v>
      </c>
      <c r="C158" s="13">
        <v>2</v>
      </c>
      <c r="D158" s="13">
        <v>1</v>
      </c>
      <c r="E158" s="13">
        <v>3</v>
      </c>
    </row>
    <row r="159" spans="1:5" x14ac:dyDescent="0.3">
      <c r="A159" s="13" t="s">
        <v>1</v>
      </c>
      <c r="B159" s="13" t="s">
        <v>506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1920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476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2459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1342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99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680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258</v>
      </c>
      <c r="C166" s="13">
        <v>1</v>
      </c>
      <c r="D166" s="13">
        <v>1</v>
      </c>
      <c r="E166" s="13">
        <v>2</v>
      </c>
    </row>
    <row r="167" spans="1:5" x14ac:dyDescent="0.3">
      <c r="A167" s="13" t="s">
        <v>1</v>
      </c>
      <c r="B167" s="13" t="s">
        <v>159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2013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563</v>
      </c>
      <c r="C169" s="13">
        <v>2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937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102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1474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1201</v>
      </c>
      <c r="C173" s="13">
        <v>1</v>
      </c>
      <c r="D173" s="13">
        <v>1</v>
      </c>
      <c r="E173" s="13">
        <v>2</v>
      </c>
    </row>
    <row r="174" spans="1:5" x14ac:dyDescent="0.3">
      <c r="A174" s="13" t="s">
        <v>1</v>
      </c>
      <c r="B174" s="13" t="s">
        <v>1659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1373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393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1233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1499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822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2460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1921</v>
      </c>
      <c r="C181" s="13">
        <v>2</v>
      </c>
      <c r="D181" s="13">
        <v>1</v>
      </c>
      <c r="E181" s="13">
        <v>2</v>
      </c>
    </row>
    <row r="182" spans="1:5" x14ac:dyDescent="0.3">
      <c r="A182" s="13" t="s">
        <v>1</v>
      </c>
      <c r="B182" s="13" t="s">
        <v>940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1500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394</v>
      </c>
      <c r="C184" s="13">
        <v>2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1096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1028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2390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619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110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169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472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111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281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1810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2130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1134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451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568</v>
      </c>
      <c r="C198" s="13">
        <v>1</v>
      </c>
      <c r="D198" s="13">
        <v>1</v>
      </c>
      <c r="E198" s="13">
        <v>2</v>
      </c>
    </row>
    <row r="199" spans="1:5" x14ac:dyDescent="0.3">
      <c r="A199" s="13" t="s">
        <v>1</v>
      </c>
      <c r="B199" s="13" t="s">
        <v>1135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735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2246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1585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517</v>
      </c>
      <c r="C203" s="13">
        <v>1</v>
      </c>
      <c r="D203" s="13">
        <v>1</v>
      </c>
      <c r="E203" s="13">
        <v>2</v>
      </c>
    </row>
    <row r="204" spans="1:5" x14ac:dyDescent="0.3">
      <c r="A204" s="13" t="s">
        <v>1</v>
      </c>
      <c r="B204" s="13" t="s">
        <v>452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1961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570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1846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1260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285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431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1462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454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325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1880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1190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2461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1087</v>
      </c>
      <c r="C217" s="13">
        <v>2</v>
      </c>
      <c r="D217" s="13">
        <v>1</v>
      </c>
      <c r="E217" s="13">
        <v>2</v>
      </c>
    </row>
    <row r="218" spans="1:5" x14ac:dyDescent="0.3">
      <c r="A218" s="13" t="s">
        <v>1</v>
      </c>
      <c r="B218" s="13" t="s">
        <v>625</v>
      </c>
      <c r="C218" s="13">
        <v>2</v>
      </c>
      <c r="D218" s="13">
        <v>1</v>
      </c>
      <c r="E218" s="13">
        <v>2</v>
      </c>
    </row>
    <row r="219" spans="1:5" x14ac:dyDescent="0.3">
      <c r="A219" s="13" t="s">
        <v>1</v>
      </c>
      <c r="B219" s="13" t="s">
        <v>2462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115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1535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628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1240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629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1038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898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1244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699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2187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332</v>
      </c>
      <c r="C230" s="13">
        <v>2</v>
      </c>
      <c r="D230" s="13">
        <v>1</v>
      </c>
      <c r="E230" s="13">
        <v>2</v>
      </c>
    </row>
    <row r="231" spans="1:5" x14ac:dyDescent="0.3">
      <c r="A231" s="13" t="s">
        <v>1</v>
      </c>
      <c r="B231" s="13" t="s">
        <v>2463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334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119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62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2464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574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122</v>
      </c>
      <c r="C237" s="13">
        <v>1</v>
      </c>
      <c r="D237" s="13">
        <v>1</v>
      </c>
      <c r="E237" s="13">
        <v>2</v>
      </c>
    </row>
    <row r="238" spans="1:5" x14ac:dyDescent="0.3">
      <c r="A238" s="13" t="s">
        <v>1</v>
      </c>
      <c r="B238" s="13" t="s">
        <v>838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2078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751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705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1482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706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364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176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668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634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845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294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125</v>
      </c>
      <c r="C250" s="13">
        <v>2</v>
      </c>
      <c r="D250" s="13">
        <v>1</v>
      </c>
      <c r="E250" s="13">
        <v>2</v>
      </c>
    </row>
    <row r="251" spans="1:5" x14ac:dyDescent="0.3">
      <c r="A251" s="13" t="s">
        <v>1</v>
      </c>
      <c r="B251" s="13" t="s">
        <v>780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867</v>
      </c>
      <c r="C252" s="13">
        <v>1</v>
      </c>
      <c r="D252" s="13">
        <v>1</v>
      </c>
      <c r="E252" s="13">
        <v>2</v>
      </c>
    </row>
    <row r="253" spans="1:5" x14ac:dyDescent="0.3">
      <c r="A253" s="13" t="s">
        <v>1</v>
      </c>
      <c r="B253" s="13" t="s">
        <v>340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441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230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1048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2465</v>
      </c>
      <c r="C257" s="13">
        <v>1</v>
      </c>
      <c r="D257" s="13">
        <v>1</v>
      </c>
      <c r="E257" s="13">
        <v>3</v>
      </c>
    </row>
    <row r="258" spans="1:5" x14ac:dyDescent="0.3">
      <c r="A258" s="13" t="s">
        <v>1</v>
      </c>
      <c r="B258" s="13" t="s">
        <v>484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296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2466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190</v>
      </c>
      <c r="C261" s="13">
        <v>2</v>
      </c>
      <c r="D261" s="13">
        <v>1</v>
      </c>
      <c r="E261" s="13">
        <v>3</v>
      </c>
    </row>
    <row r="262" spans="1:5" x14ac:dyDescent="0.3">
      <c r="A262" s="13" t="s">
        <v>1</v>
      </c>
      <c r="B262" s="13" t="s">
        <v>1050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666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191</v>
      </c>
      <c r="C264" s="13">
        <v>4</v>
      </c>
      <c r="D264" s="13">
        <v>1</v>
      </c>
      <c r="E264" s="13">
        <v>6</v>
      </c>
    </row>
    <row r="265" spans="1:5" x14ac:dyDescent="0.3">
      <c r="A265" s="13" t="s">
        <v>1</v>
      </c>
      <c r="B265" s="13" t="s">
        <v>66</v>
      </c>
      <c r="C265" s="13">
        <v>6</v>
      </c>
      <c r="D265" s="13">
        <v>1</v>
      </c>
      <c r="E265" s="13">
        <v>8</v>
      </c>
    </row>
    <row r="266" spans="1:5" x14ac:dyDescent="0.3">
      <c r="A266" s="13" t="s">
        <v>1</v>
      </c>
      <c r="B266" s="13" t="s">
        <v>39</v>
      </c>
      <c r="C266" s="13">
        <v>6</v>
      </c>
      <c r="D266" s="13">
        <v>1</v>
      </c>
      <c r="E266" s="13">
        <v>6</v>
      </c>
    </row>
    <row r="267" spans="1:5" x14ac:dyDescent="0.3">
      <c r="A267" s="13" t="s">
        <v>1</v>
      </c>
      <c r="B267" s="13" t="s">
        <v>54</v>
      </c>
      <c r="C267" s="13">
        <v>3</v>
      </c>
      <c r="D267" s="13">
        <v>1</v>
      </c>
      <c r="E267" s="13">
        <v>3</v>
      </c>
    </row>
    <row r="268" spans="1:5" x14ac:dyDescent="0.3">
      <c r="A268" s="13" t="s">
        <v>1</v>
      </c>
      <c r="B268" s="13" t="s">
        <v>55</v>
      </c>
      <c r="C268" s="13">
        <v>3</v>
      </c>
      <c r="D268" s="13">
        <v>1</v>
      </c>
      <c r="E268" s="13">
        <v>3</v>
      </c>
    </row>
    <row r="269" spans="1:5" x14ac:dyDescent="0.3">
      <c r="A269" s="13" t="s">
        <v>1</v>
      </c>
      <c r="B269" s="13" t="s">
        <v>193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546</v>
      </c>
      <c r="C270" s="13">
        <v>1</v>
      </c>
      <c r="D270" s="13">
        <v>1</v>
      </c>
      <c r="E270" s="13"/>
    </row>
    <row r="271" spans="1:5" x14ac:dyDescent="0.3">
      <c r="A271" s="13" t="s">
        <v>1</v>
      </c>
      <c r="B271" s="13" t="s">
        <v>259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1545</v>
      </c>
      <c r="C272" s="13">
        <v>1</v>
      </c>
      <c r="D272" s="13">
        <v>3</v>
      </c>
      <c r="E272" s="13"/>
    </row>
    <row r="273" spans="1:5" x14ac:dyDescent="0.3">
      <c r="A273" s="13" t="s">
        <v>1</v>
      </c>
      <c r="B273" s="13" t="s">
        <v>1154</v>
      </c>
      <c r="C273" s="13">
        <v>1</v>
      </c>
      <c r="D273" s="13">
        <v>1</v>
      </c>
      <c r="E273" s="13"/>
    </row>
    <row r="274" spans="1:5" x14ac:dyDescent="0.3">
      <c r="A274" s="13" t="s">
        <v>1</v>
      </c>
      <c r="B274" s="13" t="s">
        <v>641</v>
      </c>
      <c r="C274" s="13">
        <v>1</v>
      </c>
      <c r="D274" s="13">
        <v>1</v>
      </c>
      <c r="E274" s="13"/>
    </row>
    <row r="275" spans="1:5" x14ac:dyDescent="0.3">
      <c r="A275" s="13" t="s">
        <v>1</v>
      </c>
      <c r="B275" s="13" t="s">
        <v>1841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2467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804</v>
      </c>
      <c r="C277" s="13">
        <v>2</v>
      </c>
      <c r="D277" s="13">
        <v>1</v>
      </c>
      <c r="E277" s="13">
        <v>9</v>
      </c>
    </row>
    <row r="278" spans="1:5" x14ac:dyDescent="0.3">
      <c r="A278" s="13" t="s">
        <v>1</v>
      </c>
      <c r="B278" s="13" t="s">
        <v>1653</v>
      </c>
      <c r="C278" s="13">
        <v>1</v>
      </c>
      <c r="D278" s="13">
        <v>2</v>
      </c>
      <c r="E278" s="13"/>
    </row>
    <row r="279" spans="1:5" x14ac:dyDescent="0.3">
      <c r="A279" s="13" t="s">
        <v>1</v>
      </c>
      <c r="B279" s="13" t="s">
        <v>2468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1062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2469</v>
      </c>
      <c r="C281" s="13">
        <v>1</v>
      </c>
      <c r="D281" s="13">
        <v>1</v>
      </c>
      <c r="E281" s="13"/>
    </row>
    <row r="282" spans="1:5" x14ac:dyDescent="0.3">
      <c r="A282" s="13" t="s">
        <v>0</v>
      </c>
      <c r="B282" s="13" t="s">
        <v>377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0</v>
      </c>
      <c r="B283" s="13" t="s">
        <v>36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0</v>
      </c>
      <c r="B284" s="13" t="s">
        <v>239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0</v>
      </c>
      <c r="B285" s="13" t="s">
        <v>551</v>
      </c>
      <c r="C285" s="13">
        <v>1</v>
      </c>
      <c r="D285" s="13">
        <v>1</v>
      </c>
      <c r="E285" s="13">
        <v>2</v>
      </c>
    </row>
    <row r="286" spans="1:5" x14ac:dyDescent="0.3">
      <c r="A286" s="13" t="s">
        <v>0</v>
      </c>
      <c r="B286" s="13" t="s">
        <v>47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0</v>
      </c>
      <c r="B287" s="13" t="s">
        <v>1030</v>
      </c>
      <c r="C287" s="13">
        <v>2</v>
      </c>
      <c r="D287" s="13">
        <v>1</v>
      </c>
      <c r="E287" s="13">
        <v>2</v>
      </c>
    </row>
    <row r="288" spans="1:5" x14ac:dyDescent="0.3">
      <c r="A288" s="13" t="s">
        <v>0</v>
      </c>
      <c r="B288" s="13" t="s">
        <v>33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0</v>
      </c>
      <c r="B289" s="13" t="s">
        <v>48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0</v>
      </c>
      <c r="B290" s="13" t="s">
        <v>263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0</v>
      </c>
      <c r="B291" s="13" t="s">
        <v>75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0</v>
      </c>
      <c r="B292" s="13" t="s">
        <v>474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0</v>
      </c>
      <c r="B293" s="13" t="s">
        <v>919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0</v>
      </c>
      <c r="B294" s="13" t="s">
        <v>143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0</v>
      </c>
      <c r="B295" s="13" t="s">
        <v>77</v>
      </c>
      <c r="C295" s="13">
        <v>1</v>
      </c>
      <c r="D295" s="13">
        <v>1</v>
      </c>
      <c r="E295" s="13">
        <v>2</v>
      </c>
    </row>
    <row r="296" spans="1:5" x14ac:dyDescent="0.3">
      <c r="A296" s="13" t="s">
        <v>0</v>
      </c>
      <c r="B296" s="13" t="s">
        <v>59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0</v>
      </c>
      <c r="B297" s="13" t="s">
        <v>78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0</v>
      </c>
      <c r="B298" s="13" t="s">
        <v>557</v>
      </c>
      <c r="C298" s="13">
        <v>2</v>
      </c>
      <c r="D298" s="13">
        <v>1</v>
      </c>
      <c r="E298" s="13">
        <v>2</v>
      </c>
    </row>
    <row r="299" spans="1:5" x14ac:dyDescent="0.3">
      <c r="A299" s="13" t="s">
        <v>0</v>
      </c>
      <c r="B299" s="13" t="s">
        <v>1208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0</v>
      </c>
      <c r="B300" s="13" t="s">
        <v>40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0</v>
      </c>
      <c r="B301" s="13" t="s">
        <v>260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0</v>
      </c>
      <c r="B302" s="13" t="s">
        <v>304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0</v>
      </c>
      <c r="B303" s="13" t="s">
        <v>386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0</v>
      </c>
      <c r="B304" s="13" t="s">
        <v>86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0</v>
      </c>
      <c r="B305" s="13" t="s">
        <v>1183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0</v>
      </c>
      <c r="B306" s="13" t="s">
        <v>818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0</v>
      </c>
      <c r="B307" s="13" t="s">
        <v>151</v>
      </c>
      <c r="C307" s="13">
        <v>1</v>
      </c>
      <c r="D307" s="13">
        <v>1</v>
      </c>
      <c r="E307" s="13">
        <v>2</v>
      </c>
    </row>
    <row r="308" spans="1:5" x14ac:dyDescent="0.3">
      <c r="A308" s="13" t="s">
        <v>0</v>
      </c>
      <c r="B308" s="13" t="s">
        <v>41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0</v>
      </c>
      <c r="B309" s="13" t="s">
        <v>94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0</v>
      </c>
      <c r="B310" s="13" t="s">
        <v>1471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0</v>
      </c>
      <c r="B311" s="13" t="s">
        <v>1655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0</v>
      </c>
      <c r="B312" s="13" t="s">
        <v>1668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0</v>
      </c>
      <c r="B313" s="13" t="s">
        <v>1905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0</v>
      </c>
      <c r="B314" s="13" t="s">
        <v>1885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0</v>
      </c>
      <c r="B315" s="13" t="s">
        <v>1988</v>
      </c>
      <c r="C315" s="13">
        <v>2</v>
      </c>
      <c r="D315" s="13">
        <v>1</v>
      </c>
      <c r="E315" s="13">
        <v>2</v>
      </c>
    </row>
    <row r="316" spans="1:5" x14ac:dyDescent="0.3">
      <c r="A316" s="13" t="s">
        <v>0</v>
      </c>
      <c r="B316" s="13" t="s">
        <v>1882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0</v>
      </c>
      <c r="B317" s="13" t="s">
        <v>2018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0</v>
      </c>
      <c r="B318" s="13" t="s">
        <v>2425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0</v>
      </c>
      <c r="B319" s="13" t="s">
        <v>1629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0</v>
      </c>
      <c r="B320" s="13" t="s">
        <v>559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0</v>
      </c>
      <c r="B321" s="13" t="s">
        <v>507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0</v>
      </c>
      <c r="B322" s="13" t="s">
        <v>475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0</v>
      </c>
      <c r="B323" s="13" t="s">
        <v>2470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0</v>
      </c>
      <c r="B324" s="13" t="s">
        <v>98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0</v>
      </c>
      <c r="B325" s="13" t="s">
        <v>2131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0</v>
      </c>
      <c r="B326" s="13" t="s">
        <v>1385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0</v>
      </c>
      <c r="B327" s="13" t="s">
        <v>156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0</v>
      </c>
      <c r="B328" s="13" t="s">
        <v>308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0</v>
      </c>
      <c r="B329" s="13" t="s">
        <v>937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0</v>
      </c>
      <c r="B330" s="13" t="s">
        <v>28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0</v>
      </c>
      <c r="B331" s="13" t="s">
        <v>2471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0</v>
      </c>
      <c r="B332" s="13" t="s">
        <v>821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0</v>
      </c>
      <c r="B333" s="13" t="s">
        <v>43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0</v>
      </c>
      <c r="B334" s="13" t="s">
        <v>2472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0</v>
      </c>
      <c r="B335" s="13" t="s">
        <v>892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0</v>
      </c>
      <c r="B336" s="13" t="s">
        <v>1392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0</v>
      </c>
      <c r="B337" s="13" t="s">
        <v>167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0</v>
      </c>
      <c r="B338" s="13" t="s">
        <v>1132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0</v>
      </c>
      <c r="B339" s="13" t="s">
        <v>687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0</v>
      </c>
      <c r="B340" s="13" t="s">
        <v>516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0</v>
      </c>
      <c r="B341" s="13" t="s">
        <v>113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0</v>
      </c>
      <c r="B342" s="13" t="s">
        <v>1786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0</v>
      </c>
      <c r="B343" s="13" t="s">
        <v>320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0</v>
      </c>
      <c r="B344" s="13" t="s">
        <v>692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0</v>
      </c>
      <c r="B345" s="13" t="s">
        <v>2473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0</v>
      </c>
      <c r="B346" s="13" t="s">
        <v>1137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0</v>
      </c>
      <c r="B347" s="13" t="s">
        <v>2392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0</v>
      </c>
      <c r="B348" s="13" t="s">
        <v>360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0</v>
      </c>
      <c r="B349" s="13" t="s">
        <v>739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0</v>
      </c>
      <c r="B350" s="13" t="s">
        <v>1422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0</v>
      </c>
      <c r="B351" s="13" t="s">
        <v>528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0</v>
      </c>
      <c r="B352" s="13" t="s">
        <v>1109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0</v>
      </c>
      <c r="B353" s="13" t="s">
        <v>62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661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0</v>
      </c>
      <c r="B355" s="13" t="s">
        <v>46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123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838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174</v>
      </c>
      <c r="C358" s="13">
        <v>1</v>
      </c>
      <c r="D358" s="13">
        <v>1</v>
      </c>
      <c r="E358" s="13">
        <v>2</v>
      </c>
    </row>
    <row r="359" spans="1:5" x14ac:dyDescent="0.3">
      <c r="A359" s="13" t="s">
        <v>0</v>
      </c>
      <c r="B359" s="13" t="s">
        <v>1642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2215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751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63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456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126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197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64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188</v>
      </c>
      <c r="C367" s="13">
        <v>2</v>
      </c>
      <c r="D367" s="13">
        <v>1</v>
      </c>
      <c r="E367" s="13">
        <v>2</v>
      </c>
    </row>
    <row r="368" spans="1:5" x14ac:dyDescent="0.3">
      <c r="A368" s="13" t="s">
        <v>0</v>
      </c>
      <c r="B368" s="13" t="s">
        <v>847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910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67</v>
      </c>
      <c r="C370" s="13">
        <v>2</v>
      </c>
      <c r="D370" s="13">
        <v>1</v>
      </c>
      <c r="E370" s="13">
        <v>5</v>
      </c>
    </row>
    <row r="371" spans="1:5" x14ac:dyDescent="0.3">
      <c r="A371" s="13" t="s">
        <v>0</v>
      </c>
      <c r="B371" s="13" t="s">
        <v>236</v>
      </c>
      <c r="C371" s="13">
        <v>2</v>
      </c>
      <c r="D371" s="13">
        <v>1</v>
      </c>
      <c r="E371" s="13">
        <v>3</v>
      </c>
    </row>
    <row r="372" spans="1:5" x14ac:dyDescent="0.3">
      <c r="A372" s="13" t="s">
        <v>0</v>
      </c>
      <c r="B372" s="13" t="s">
        <v>1111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1464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1839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2474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237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2022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1925</v>
      </c>
      <c r="C378" s="13">
        <v>1</v>
      </c>
      <c r="D378" s="13">
        <v>1</v>
      </c>
      <c r="E378" s="13">
        <v>2</v>
      </c>
    </row>
    <row r="379" spans="1:5" x14ac:dyDescent="0.3">
      <c r="A379" s="13" t="s">
        <v>2</v>
      </c>
      <c r="B379" s="13" t="s">
        <v>498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2</v>
      </c>
      <c r="B380" s="13" t="s">
        <v>1645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2</v>
      </c>
      <c r="B381" s="13" t="s">
        <v>1663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2</v>
      </c>
      <c r="B382" s="13" t="s">
        <v>29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2</v>
      </c>
      <c r="B383" s="13" t="s">
        <v>63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2</v>
      </c>
      <c r="B384" s="13" t="s">
        <v>415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2</v>
      </c>
      <c r="B385" s="13" t="s">
        <v>1219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2</v>
      </c>
      <c r="B386" s="13" t="s">
        <v>67</v>
      </c>
      <c r="C386" s="13">
        <v>1</v>
      </c>
      <c r="D386" s="13">
        <v>1</v>
      </c>
      <c r="E386" s="13">
        <v>2</v>
      </c>
    </row>
    <row r="387" spans="1:5" x14ac:dyDescent="0.3">
      <c r="A387" s="13" t="s">
        <v>1</v>
      </c>
      <c r="B387" s="13" t="s">
        <v>343</v>
      </c>
      <c r="C387" s="13">
        <v>1</v>
      </c>
      <c r="D387" s="13">
        <v>0</v>
      </c>
      <c r="E387" s="13">
        <v>1</v>
      </c>
    </row>
    <row r="388" spans="1:5" x14ac:dyDescent="0.3">
      <c r="A388" s="13" t="s">
        <v>1</v>
      </c>
      <c r="B388" s="13" t="s">
        <v>137</v>
      </c>
      <c r="C388" s="13">
        <v>1</v>
      </c>
      <c r="D388" s="13">
        <v>0</v>
      </c>
      <c r="E388" s="13">
        <v>1</v>
      </c>
    </row>
    <row r="389" spans="1:5" x14ac:dyDescent="0.3">
      <c r="A389" s="13" t="s">
        <v>1</v>
      </c>
      <c r="B389" s="13" t="s">
        <v>965</v>
      </c>
      <c r="C389" s="13">
        <v>1</v>
      </c>
      <c r="D389" s="13">
        <v>0</v>
      </c>
      <c r="E389" s="13">
        <v>1</v>
      </c>
    </row>
    <row r="390" spans="1:5" x14ac:dyDescent="0.3">
      <c r="A390" s="13" t="s">
        <v>1</v>
      </c>
      <c r="B390" s="13" t="s">
        <v>239</v>
      </c>
      <c r="C390" s="13">
        <v>1</v>
      </c>
      <c r="D390" s="13">
        <v>0</v>
      </c>
      <c r="E390" s="13">
        <v>1</v>
      </c>
    </row>
    <row r="391" spans="1:5" x14ac:dyDescent="0.3">
      <c r="A391" s="13" t="s">
        <v>1</v>
      </c>
      <c r="B391" s="13" t="s">
        <v>47</v>
      </c>
      <c r="C391" s="13">
        <v>2</v>
      </c>
      <c r="D391" s="13">
        <v>0</v>
      </c>
      <c r="E391" s="13">
        <v>4</v>
      </c>
    </row>
    <row r="392" spans="1:5" x14ac:dyDescent="0.3">
      <c r="A392" s="13" t="s">
        <v>1</v>
      </c>
      <c r="B392" s="13" t="s">
        <v>1224</v>
      </c>
      <c r="C392" s="13">
        <v>1</v>
      </c>
      <c r="D392" s="13">
        <v>0</v>
      </c>
      <c r="E392" s="13">
        <v>1</v>
      </c>
    </row>
    <row r="393" spans="1:5" x14ac:dyDescent="0.3">
      <c r="A393" s="13" t="s">
        <v>1</v>
      </c>
      <c r="B393" s="13" t="s">
        <v>344</v>
      </c>
      <c r="C393" s="13">
        <v>2</v>
      </c>
      <c r="D393" s="13">
        <v>0</v>
      </c>
      <c r="E393" s="13">
        <v>3</v>
      </c>
    </row>
    <row r="394" spans="1:5" x14ac:dyDescent="0.3">
      <c r="A394" s="13" t="s">
        <v>1</v>
      </c>
      <c r="B394" s="13" t="s">
        <v>489</v>
      </c>
      <c r="C394" s="13">
        <v>1</v>
      </c>
      <c r="D394" s="13">
        <v>0</v>
      </c>
      <c r="E394" s="13">
        <v>2</v>
      </c>
    </row>
    <row r="395" spans="1:5" x14ac:dyDescent="0.3">
      <c r="A395" s="13" t="s">
        <v>1</v>
      </c>
      <c r="B395" s="13" t="s">
        <v>2475</v>
      </c>
      <c r="C395" s="13">
        <v>1</v>
      </c>
      <c r="D395" s="13">
        <v>0</v>
      </c>
      <c r="E395" s="13">
        <v>1</v>
      </c>
    </row>
    <row r="396" spans="1:5" x14ac:dyDescent="0.3">
      <c r="A396" s="13" t="s">
        <v>1</v>
      </c>
      <c r="B396" s="13" t="s">
        <v>373</v>
      </c>
      <c r="C396" s="13">
        <v>1</v>
      </c>
      <c r="D396" s="13">
        <v>0</v>
      </c>
      <c r="E396" s="13">
        <v>1</v>
      </c>
    </row>
    <row r="397" spans="1:5" x14ac:dyDescent="0.3">
      <c r="A397" s="13" t="s">
        <v>1</v>
      </c>
      <c r="B397" s="13" t="s">
        <v>73</v>
      </c>
      <c r="C397" s="13">
        <v>2</v>
      </c>
      <c r="D397" s="13">
        <v>0</v>
      </c>
      <c r="E397" s="13">
        <v>2</v>
      </c>
    </row>
    <row r="398" spans="1:5" x14ac:dyDescent="0.3">
      <c r="A398" s="13" t="s">
        <v>1</v>
      </c>
      <c r="B398" s="13" t="s">
        <v>657</v>
      </c>
      <c r="C398" s="13">
        <v>1</v>
      </c>
      <c r="D398" s="13">
        <v>0</v>
      </c>
      <c r="E398" s="13">
        <v>1</v>
      </c>
    </row>
    <row r="399" spans="1:5" x14ac:dyDescent="0.3">
      <c r="A399" s="13" t="s">
        <v>1</v>
      </c>
      <c r="B399" s="13" t="s">
        <v>420</v>
      </c>
      <c r="C399" s="13">
        <v>1</v>
      </c>
      <c r="D399" s="13">
        <v>0</v>
      </c>
      <c r="E399" s="13">
        <v>1</v>
      </c>
    </row>
    <row r="400" spans="1:5" x14ac:dyDescent="0.3">
      <c r="A400" s="13" t="s">
        <v>1</v>
      </c>
      <c r="B400" s="13" t="s">
        <v>265</v>
      </c>
      <c r="C400" s="13">
        <v>1</v>
      </c>
      <c r="D400" s="13">
        <v>0</v>
      </c>
      <c r="E400" s="13">
        <v>2</v>
      </c>
    </row>
    <row r="401" spans="1:5" x14ac:dyDescent="0.3">
      <c r="A401" s="13" t="s">
        <v>1</v>
      </c>
      <c r="B401" s="13" t="s">
        <v>302</v>
      </c>
      <c r="C401" s="13">
        <v>1</v>
      </c>
      <c r="D401" s="13">
        <v>0</v>
      </c>
      <c r="E401" s="13">
        <v>1</v>
      </c>
    </row>
    <row r="402" spans="1:5" x14ac:dyDescent="0.3">
      <c r="A402" s="13" t="s">
        <v>1</v>
      </c>
      <c r="B402" s="13" t="s">
        <v>2175</v>
      </c>
      <c r="C402" s="13">
        <v>1</v>
      </c>
      <c r="D402" s="13">
        <v>0</v>
      </c>
      <c r="E402" s="13">
        <v>1</v>
      </c>
    </row>
    <row r="403" spans="1:5" x14ac:dyDescent="0.3">
      <c r="A403" s="13" t="s">
        <v>1</v>
      </c>
      <c r="B403" s="13" t="s">
        <v>854</v>
      </c>
      <c r="C403" s="13">
        <v>1</v>
      </c>
      <c r="D403" s="13">
        <v>0</v>
      </c>
      <c r="E403" s="13">
        <v>1</v>
      </c>
    </row>
    <row r="404" spans="1:5" x14ac:dyDescent="0.3">
      <c r="A404" s="13" t="s">
        <v>1</v>
      </c>
      <c r="B404" s="13" t="s">
        <v>2476</v>
      </c>
      <c r="C404" s="13">
        <v>1</v>
      </c>
      <c r="D404" s="13">
        <v>0</v>
      </c>
      <c r="E404" s="13">
        <v>2</v>
      </c>
    </row>
    <row r="405" spans="1:5" x14ac:dyDescent="0.3">
      <c r="A405" s="13" t="s">
        <v>1</v>
      </c>
      <c r="B405" s="13" t="s">
        <v>1547</v>
      </c>
      <c r="C405" s="13">
        <v>1</v>
      </c>
      <c r="D405" s="13">
        <v>0</v>
      </c>
      <c r="E405" s="13">
        <v>1</v>
      </c>
    </row>
    <row r="406" spans="1:5" x14ac:dyDescent="0.3">
      <c r="A406" s="13" t="s">
        <v>1</v>
      </c>
      <c r="B406" s="13" t="s">
        <v>813</v>
      </c>
      <c r="C406" s="13">
        <v>1</v>
      </c>
      <c r="D406" s="13">
        <v>0</v>
      </c>
      <c r="E406" s="13">
        <v>1</v>
      </c>
    </row>
    <row r="407" spans="1:5" x14ac:dyDescent="0.3">
      <c r="A407" s="13" t="s">
        <v>1</v>
      </c>
      <c r="B407" s="13" t="s">
        <v>814</v>
      </c>
      <c r="C407" s="13">
        <v>1</v>
      </c>
      <c r="D407" s="13">
        <v>0</v>
      </c>
      <c r="E407" s="13">
        <v>1</v>
      </c>
    </row>
    <row r="408" spans="1:5" x14ac:dyDescent="0.3">
      <c r="A408" s="13" t="s">
        <v>1</v>
      </c>
      <c r="B408" s="13" t="s">
        <v>81</v>
      </c>
      <c r="C408" s="13">
        <v>1</v>
      </c>
      <c r="D408" s="13">
        <v>0</v>
      </c>
      <c r="E408" s="13">
        <v>1</v>
      </c>
    </row>
    <row r="409" spans="1:5" x14ac:dyDescent="0.3">
      <c r="A409" s="13" t="s">
        <v>1</v>
      </c>
      <c r="B409" s="13" t="s">
        <v>501</v>
      </c>
      <c r="C409" s="13">
        <v>1</v>
      </c>
      <c r="D409" s="13">
        <v>0</v>
      </c>
      <c r="E409" s="13">
        <v>1</v>
      </c>
    </row>
    <row r="410" spans="1:5" x14ac:dyDescent="0.3">
      <c r="A410" s="13" t="s">
        <v>1</v>
      </c>
      <c r="B410" s="13" t="s">
        <v>1472</v>
      </c>
      <c r="C410" s="13">
        <v>1</v>
      </c>
      <c r="D410" s="13">
        <v>0</v>
      </c>
      <c r="E410" s="13">
        <v>1</v>
      </c>
    </row>
    <row r="411" spans="1:5" x14ac:dyDescent="0.3">
      <c r="A411" s="13" t="s">
        <v>1</v>
      </c>
      <c r="B411" s="13" t="s">
        <v>270</v>
      </c>
      <c r="C411" s="13">
        <v>1</v>
      </c>
      <c r="D411" s="13">
        <v>0</v>
      </c>
      <c r="E411" s="13">
        <v>1</v>
      </c>
    </row>
    <row r="412" spans="1:5" x14ac:dyDescent="0.3">
      <c r="A412" s="13" t="s">
        <v>1</v>
      </c>
      <c r="B412" s="13" t="s">
        <v>1064</v>
      </c>
      <c r="C412" s="13">
        <v>1</v>
      </c>
      <c r="D412" s="13">
        <v>0</v>
      </c>
      <c r="E412" s="13">
        <v>1</v>
      </c>
    </row>
    <row r="413" spans="1:5" x14ac:dyDescent="0.3">
      <c r="A413" s="13" t="s">
        <v>1</v>
      </c>
      <c r="B413" s="13" t="s">
        <v>349</v>
      </c>
      <c r="C413" s="13">
        <v>1</v>
      </c>
      <c r="D413" s="13">
        <v>0</v>
      </c>
      <c r="E413" s="13">
        <v>2</v>
      </c>
    </row>
    <row r="414" spans="1:5" x14ac:dyDescent="0.3">
      <c r="A414" s="13" t="s">
        <v>1</v>
      </c>
      <c r="B414" s="13" t="s">
        <v>882</v>
      </c>
      <c r="C414" s="13">
        <v>1</v>
      </c>
      <c r="D414" s="13">
        <v>0</v>
      </c>
      <c r="E414" s="13">
        <v>1</v>
      </c>
    </row>
    <row r="415" spans="1:5" x14ac:dyDescent="0.3">
      <c r="A415" s="13" t="s">
        <v>1</v>
      </c>
      <c r="B415" s="13" t="s">
        <v>1249</v>
      </c>
      <c r="C415" s="13">
        <v>1</v>
      </c>
      <c r="D415" s="13">
        <v>0</v>
      </c>
      <c r="E415" s="13">
        <v>1</v>
      </c>
    </row>
    <row r="416" spans="1:5" x14ac:dyDescent="0.3">
      <c r="A416" s="13" t="s">
        <v>1</v>
      </c>
      <c r="B416" s="13" t="s">
        <v>350</v>
      </c>
      <c r="C416" s="13">
        <v>1</v>
      </c>
      <c r="D416" s="13">
        <v>0</v>
      </c>
      <c r="E416" s="13">
        <v>2</v>
      </c>
    </row>
    <row r="417" spans="1:5" x14ac:dyDescent="0.3">
      <c r="A417" s="13" t="s">
        <v>1</v>
      </c>
      <c r="B417" s="13" t="s">
        <v>147</v>
      </c>
      <c r="C417" s="13">
        <v>2</v>
      </c>
      <c r="D417" s="13">
        <v>0</v>
      </c>
      <c r="E417" s="13">
        <v>2</v>
      </c>
    </row>
    <row r="418" spans="1:5" x14ac:dyDescent="0.3">
      <c r="A418" s="13" t="s">
        <v>1</v>
      </c>
      <c r="B418" s="13" t="s">
        <v>464</v>
      </c>
      <c r="C418" s="13">
        <v>1</v>
      </c>
      <c r="D418" s="13">
        <v>0</v>
      </c>
      <c r="E418" s="13">
        <v>1</v>
      </c>
    </row>
    <row r="419" spans="1:5" x14ac:dyDescent="0.3">
      <c r="A419" s="13" t="s">
        <v>1</v>
      </c>
      <c r="B419" s="13" t="s">
        <v>502</v>
      </c>
      <c r="C419" s="13">
        <v>1</v>
      </c>
      <c r="D419" s="13">
        <v>0</v>
      </c>
      <c r="E419" s="13">
        <v>1</v>
      </c>
    </row>
    <row r="420" spans="1:5" x14ac:dyDescent="0.3">
      <c r="A420" s="13" t="s">
        <v>1</v>
      </c>
      <c r="B420" s="13" t="s">
        <v>991</v>
      </c>
      <c r="C420" s="13">
        <v>1</v>
      </c>
      <c r="D420" s="13">
        <v>0</v>
      </c>
      <c r="E420" s="13">
        <v>1</v>
      </c>
    </row>
    <row r="421" spans="1:5" x14ac:dyDescent="0.3">
      <c r="A421" s="13" t="s">
        <v>1</v>
      </c>
      <c r="B421" s="13" t="s">
        <v>215</v>
      </c>
      <c r="C421" s="13">
        <v>1</v>
      </c>
      <c r="D421" s="13">
        <v>0</v>
      </c>
      <c r="E421" s="13">
        <v>1</v>
      </c>
    </row>
    <row r="422" spans="1:5" x14ac:dyDescent="0.3">
      <c r="A422" s="13" t="s">
        <v>1</v>
      </c>
      <c r="B422" s="13" t="s">
        <v>676</v>
      </c>
      <c r="C422" s="13">
        <v>1</v>
      </c>
      <c r="D422" s="13">
        <v>0</v>
      </c>
      <c r="E422" s="13">
        <v>1</v>
      </c>
    </row>
    <row r="423" spans="1:5" x14ac:dyDescent="0.3">
      <c r="A423" s="13" t="s">
        <v>1</v>
      </c>
      <c r="B423" s="13" t="s">
        <v>609</v>
      </c>
      <c r="C423" s="13">
        <v>1</v>
      </c>
      <c r="D423" s="13">
        <v>0</v>
      </c>
      <c r="E423" s="13">
        <v>1</v>
      </c>
    </row>
    <row r="424" spans="1:5" x14ac:dyDescent="0.3">
      <c r="A424" s="13" t="s">
        <v>1</v>
      </c>
      <c r="B424" s="13" t="s">
        <v>218</v>
      </c>
      <c r="C424" s="13">
        <v>1</v>
      </c>
      <c r="D424" s="13">
        <v>0</v>
      </c>
      <c r="E424" s="13">
        <v>1</v>
      </c>
    </row>
    <row r="425" spans="1:5" x14ac:dyDescent="0.3">
      <c r="A425" s="13" t="s">
        <v>1</v>
      </c>
      <c r="B425" s="13" t="s">
        <v>352</v>
      </c>
      <c r="C425" s="13">
        <v>1</v>
      </c>
      <c r="D425" s="13">
        <v>0</v>
      </c>
      <c r="E425" s="13">
        <v>1</v>
      </c>
    </row>
    <row r="426" spans="1:5" x14ac:dyDescent="0.3">
      <c r="A426" s="13" t="s">
        <v>1</v>
      </c>
      <c r="B426" s="13" t="s">
        <v>658</v>
      </c>
      <c r="C426" s="13">
        <v>1</v>
      </c>
      <c r="D426" s="13">
        <v>0</v>
      </c>
      <c r="E426" s="13">
        <v>0</v>
      </c>
    </row>
    <row r="427" spans="1:5" x14ac:dyDescent="0.3">
      <c r="A427" s="13" t="s">
        <v>1</v>
      </c>
      <c r="B427" s="13" t="s">
        <v>355</v>
      </c>
      <c r="C427" s="13">
        <v>1</v>
      </c>
      <c r="D427" s="13">
        <v>0</v>
      </c>
      <c r="E427" s="13">
        <v>2</v>
      </c>
    </row>
    <row r="428" spans="1:5" x14ac:dyDescent="0.3">
      <c r="A428" s="13" t="s">
        <v>1</v>
      </c>
      <c r="B428" s="13" t="s">
        <v>42</v>
      </c>
      <c r="C428" s="13">
        <v>1</v>
      </c>
      <c r="D428" s="13">
        <v>0</v>
      </c>
      <c r="E428" s="13">
        <v>1</v>
      </c>
    </row>
    <row r="429" spans="1:5" x14ac:dyDescent="0.3">
      <c r="A429" s="13" t="s">
        <v>1</v>
      </c>
      <c r="B429" s="13" t="s">
        <v>93</v>
      </c>
      <c r="C429" s="13">
        <v>1</v>
      </c>
      <c r="D429" s="13">
        <v>0</v>
      </c>
      <c r="E429" s="13">
        <v>1</v>
      </c>
    </row>
    <row r="430" spans="1:5" x14ac:dyDescent="0.3">
      <c r="A430" s="13" t="s">
        <v>1</v>
      </c>
      <c r="B430" s="13" t="s">
        <v>220</v>
      </c>
      <c r="C430" s="13">
        <v>1</v>
      </c>
      <c r="D430" s="13">
        <v>0</v>
      </c>
      <c r="E430" s="13">
        <v>1</v>
      </c>
    </row>
    <row r="431" spans="1:5" x14ac:dyDescent="0.3">
      <c r="A431" s="13" t="s">
        <v>1</v>
      </c>
      <c r="B431" s="13" t="s">
        <v>94</v>
      </c>
      <c r="C431" s="13">
        <v>5</v>
      </c>
      <c r="D431" s="13">
        <v>0</v>
      </c>
      <c r="E431" s="13">
        <v>5</v>
      </c>
    </row>
    <row r="432" spans="1:5" x14ac:dyDescent="0.3">
      <c r="A432" s="13" t="s">
        <v>1</v>
      </c>
      <c r="B432" s="13" t="s">
        <v>1066</v>
      </c>
      <c r="C432" s="13">
        <v>1</v>
      </c>
      <c r="D432" s="13">
        <v>0</v>
      </c>
      <c r="E432" s="13">
        <v>1</v>
      </c>
    </row>
    <row r="433" spans="1:5" x14ac:dyDescent="0.3">
      <c r="A433" s="13" t="s">
        <v>1</v>
      </c>
      <c r="B433" s="13" t="s">
        <v>1020</v>
      </c>
      <c r="C433" s="13">
        <v>1</v>
      </c>
      <c r="D433" s="13">
        <v>0</v>
      </c>
      <c r="E433" s="13">
        <v>1</v>
      </c>
    </row>
    <row r="434" spans="1:5" x14ac:dyDescent="0.3">
      <c r="A434" s="13" t="s">
        <v>1</v>
      </c>
      <c r="B434" s="13" t="s">
        <v>888</v>
      </c>
      <c r="C434" s="13">
        <v>1</v>
      </c>
      <c r="D434" s="13">
        <v>0</v>
      </c>
      <c r="E434" s="13">
        <v>1</v>
      </c>
    </row>
    <row r="435" spans="1:5" x14ac:dyDescent="0.3">
      <c r="A435" s="13" t="s">
        <v>1</v>
      </c>
      <c r="B435" s="13" t="s">
        <v>1471</v>
      </c>
      <c r="C435" s="13">
        <v>1</v>
      </c>
      <c r="D435" s="13">
        <v>0</v>
      </c>
      <c r="E435" s="13">
        <v>1</v>
      </c>
    </row>
    <row r="436" spans="1:5" x14ac:dyDescent="0.3">
      <c r="A436" s="13" t="s">
        <v>1</v>
      </c>
      <c r="B436" s="13" t="s">
        <v>1651</v>
      </c>
      <c r="C436" s="13">
        <v>1</v>
      </c>
      <c r="D436" s="13">
        <v>0</v>
      </c>
      <c r="E436" s="13">
        <v>1</v>
      </c>
    </row>
    <row r="437" spans="1:5" x14ac:dyDescent="0.3">
      <c r="A437" s="13" t="s">
        <v>1</v>
      </c>
      <c r="B437" s="13" t="s">
        <v>1696</v>
      </c>
      <c r="C437" s="13">
        <v>1</v>
      </c>
      <c r="D437" s="13">
        <v>0</v>
      </c>
      <c r="E437" s="13">
        <v>2</v>
      </c>
    </row>
    <row r="438" spans="1:5" x14ac:dyDescent="0.3">
      <c r="A438" s="13" t="s">
        <v>1</v>
      </c>
      <c r="B438" s="13" t="s">
        <v>1885</v>
      </c>
      <c r="C438" s="13">
        <v>4</v>
      </c>
      <c r="D438" s="13">
        <v>0</v>
      </c>
      <c r="E438" s="13">
        <v>4</v>
      </c>
    </row>
    <row r="439" spans="1:5" x14ac:dyDescent="0.3">
      <c r="A439" s="13" t="s">
        <v>1</v>
      </c>
      <c r="B439" s="13" t="s">
        <v>2069</v>
      </c>
      <c r="C439" s="13">
        <v>1</v>
      </c>
      <c r="D439" s="13">
        <v>0</v>
      </c>
      <c r="E439" s="13">
        <v>1</v>
      </c>
    </row>
    <row r="440" spans="1:5" x14ac:dyDescent="0.3">
      <c r="A440" s="13" t="s">
        <v>1</v>
      </c>
      <c r="B440" s="13" t="s">
        <v>2148</v>
      </c>
      <c r="C440" s="13">
        <v>2</v>
      </c>
      <c r="D440" s="13">
        <v>0</v>
      </c>
      <c r="E440" s="13">
        <v>2</v>
      </c>
    </row>
    <row r="441" spans="1:5" x14ac:dyDescent="0.3">
      <c r="A441" s="13" t="s">
        <v>1</v>
      </c>
      <c r="B441" s="13" t="s">
        <v>2162</v>
      </c>
      <c r="C441" s="13">
        <v>1</v>
      </c>
      <c r="D441" s="13">
        <v>0</v>
      </c>
      <c r="E441" s="13">
        <v>1</v>
      </c>
    </row>
    <row r="442" spans="1:5" x14ac:dyDescent="0.3">
      <c r="A442" s="13" t="s">
        <v>1</v>
      </c>
      <c r="B442" s="13" t="s">
        <v>505</v>
      </c>
      <c r="C442" s="13">
        <v>1</v>
      </c>
      <c r="D442" s="13">
        <v>0</v>
      </c>
      <c r="E442" s="13">
        <v>1</v>
      </c>
    </row>
    <row r="443" spans="1:5" x14ac:dyDescent="0.3">
      <c r="A443" s="13" t="s">
        <v>1</v>
      </c>
      <c r="B443" s="13" t="s">
        <v>1590</v>
      </c>
      <c r="C443" s="13">
        <v>1</v>
      </c>
      <c r="D443" s="13">
        <v>0</v>
      </c>
      <c r="E443" s="13">
        <v>1</v>
      </c>
    </row>
    <row r="444" spans="1:5" x14ac:dyDescent="0.3">
      <c r="A444" s="13" t="s">
        <v>1</v>
      </c>
      <c r="B444" s="13" t="s">
        <v>2477</v>
      </c>
      <c r="C444" s="13">
        <v>1</v>
      </c>
      <c r="D444" s="13">
        <v>0</v>
      </c>
      <c r="E444" s="13">
        <v>1</v>
      </c>
    </row>
    <row r="445" spans="1:5" x14ac:dyDescent="0.3">
      <c r="A445" s="13" t="s">
        <v>1</v>
      </c>
      <c r="B445" s="13" t="s">
        <v>889</v>
      </c>
      <c r="C445" s="13">
        <v>1</v>
      </c>
      <c r="D445" s="13">
        <v>0</v>
      </c>
      <c r="E445" s="13">
        <v>1</v>
      </c>
    </row>
    <row r="446" spans="1:5" x14ac:dyDescent="0.3">
      <c r="A446" s="13" t="s">
        <v>1</v>
      </c>
      <c r="B446" s="13" t="s">
        <v>890</v>
      </c>
      <c r="C446" s="13">
        <v>2</v>
      </c>
      <c r="D446" s="13">
        <v>0</v>
      </c>
      <c r="E446" s="13">
        <v>1</v>
      </c>
    </row>
    <row r="447" spans="1:5" x14ac:dyDescent="0.3">
      <c r="A447" s="13" t="s">
        <v>1</v>
      </c>
      <c r="B447" s="13" t="s">
        <v>2019</v>
      </c>
      <c r="C447" s="13">
        <v>1</v>
      </c>
      <c r="D447" s="13">
        <v>0</v>
      </c>
      <c r="E447" s="13">
        <v>1</v>
      </c>
    </row>
    <row r="448" spans="1:5" x14ac:dyDescent="0.3">
      <c r="A448" s="13" t="s">
        <v>1</v>
      </c>
      <c r="B448" s="13" t="s">
        <v>1712</v>
      </c>
      <c r="C448" s="13">
        <v>1</v>
      </c>
      <c r="D448" s="13">
        <v>0</v>
      </c>
      <c r="E448" s="13">
        <v>0</v>
      </c>
    </row>
    <row r="449" spans="1:5" x14ac:dyDescent="0.3">
      <c r="A449" s="13" t="s">
        <v>1</v>
      </c>
      <c r="B449" s="13" t="s">
        <v>1519</v>
      </c>
      <c r="C449" s="13">
        <v>1</v>
      </c>
      <c r="D449" s="13">
        <v>0</v>
      </c>
      <c r="E449" s="13">
        <v>1</v>
      </c>
    </row>
    <row r="450" spans="1:5" x14ac:dyDescent="0.3">
      <c r="A450" s="13" t="s">
        <v>1</v>
      </c>
      <c r="B450" s="13" t="s">
        <v>50</v>
      </c>
      <c r="C450" s="13">
        <v>1</v>
      </c>
      <c r="D450" s="13">
        <v>0</v>
      </c>
      <c r="E450" s="13">
        <v>0</v>
      </c>
    </row>
    <row r="451" spans="1:5" x14ac:dyDescent="0.3">
      <c r="A451" s="13" t="s">
        <v>1</v>
      </c>
      <c r="B451" s="13" t="s">
        <v>1996</v>
      </c>
      <c r="C451" s="13">
        <v>1</v>
      </c>
      <c r="D451" s="13">
        <v>0</v>
      </c>
      <c r="E451" s="13">
        <v>1</v>
      </c>
    </row>
    <row r="452" spans="1:5" x14ac:dyDescent="0.3">
      <c r="A452" s="13" t="s">
        <v>1</v>
      </c>
      <c r="B452" s="13" t="s">
        <v>620</v>
      </c>
      <c r="C452" s="13">
        <v>2</v>
      </c>
      <c r="D452" s="13">
        <v>0</v>
      </c>
      <c r="E452" s="13">
        <v>2</v>
      </c>
    </row>
    <row r="453" spans="1:5" x14ac:dyDescent="0.3">
      <c r="A453" s="13" t="s">
        <v>1</v>
      </c>
      <c r="B453" s="13" t="s">
        <v>1606</v>
      </c>
      <c r="C453" s="13">
        <v>1</v>
      </c>
      <c r="D453" s="13">
        <v>0</v>
      </c>
      <c r="E453" s="13">
        <v>1</v>
      </c>
    </row>
    <row r="454" spans="1:5" x14ac:dyDescent="0.3">
      <c r="A454" s="13" t="s">
        <v>1</v>
      </c>
      <c r="B454" s="13" t="s">
        <v>44</v>
      </c>
      <c r="C454" s="13">
        <v>2</v>
      </c>
      <c r="D454" s="13">
        <v>0</v>
      </c>
      <c r="E454" s="13">
        <v>2</v>
      </c>
    </row>
    <row r="455" spans="1:5" x14ac:dyDescent="0.3">
      <c r="A455" s="13" t="s">
        <v>1</v>
      </c>
      <c r="B455" s="13" t="s">
        <v>2478</v>
      </c>
      <c r="C455" s="13">
        <v>1</v>
      </c>
      <c r="D455" s="13">
        <v>0</v>
      </c>
      <c r="E455" s="13">
        <v>1</v>
      </c>
    </row>
    <row r="456" spans="1:5" x14ac:dyDescent="0.3">
      <c r="A456" s="13" t="s">
        <v>1</v>
      </c>
      <c r="B456" s="13" t="s">
        <v>1167</v>
      </c>
      <c r="C456" s="13">
        <v>1</v>
      </c>
      <c r="D456" s="13">
        <v>0</v>
      </c>
      <c r="E456" s="13">
        <v>1</v>
      </c>
    </row>
    <row r="457" spans="1:5" x14ac:dyDescent="0.3">
      <c r="A457" s="13" t="s">
        <v>1</v>
      </c>
      <c r="B457" s="13" t="s">
        <v>1235</v>
      </c>
      <c r="C457" s="13">
        <v>1</v>
      </c>
      <c r="D457" s="13">
        <v>0</v>
      </c>
      <c r="E457" s="13">
        <v>1</v>
      </c>
    </row>
    <row r="458" spans="1:5" x14ac:dyDescent="0.3">
      <c r="A458" s="13" t="s">
        <v>1</v>
      </c>
      <c r="B458" s="13" t="s">
        <v>1107</v>
      </c>
      <c r="C458" s="13">
        <v>1</v>
      </c>
      <c r="D458" s="13">
        <v>0</v>
      </c>
      <c r="E458" s="13">
        <v>1</v>
      </c>
    </row>
    <row r="459" spans="1:5" x14ac:dyDescent="0.3">
      <c r="A459" s="13" t="s">
        <v>1</v>
      </c>
      <c r="B459" s="13" t="s">
        <v>1594</v>
      </c>
      <c r="C459" s="13">
        <v>1</v>
      </c>
      <c r="D459" s="13">
        <v>0</v>
      </c>
      <c r="E459" s="13">
        <v>1</v>
      </c>
    </row>
    <row r="460" spans="1:5" x14ac:dyDescent="0.3">
      <c r="A460" s="13" t="s">
        <v>1</v>
      </c>
      <c r="B460" s="13" t="s">
        <v>893</v>
      </c>
      <c r="C460" s="13">
        <v>1</v>
      </c>
      <c r="D460" s="13">
        <v>0</v>
      </c>
      <c r="E460" s="13">
        <v>1</v>
      </c>
    </row>
    <row r="461" spans="1:5" x14ac:dyDescent="0.3">
      <c r="A461" s="13" t="s">
        <v>1</v>
      </c>
      <c r="B461" s="13" t="s">
        <v>1302</v>
      </c>
      <c r="C461" s="13">
        <v>1</v>
      </c>
      <c r="D461" s="13">
        <v>0</v>
      </c>
      <c r="E461" s="13">
        <v>2</v>
      </c>
    </row>
    <row r="462" spans="1:5" x14ac:dyDescent="0.3">
      <c r="A462" s="13" t="s">
        <v>1</v>
      </c>
      <c r="B462" s="13" t="s">
        <v>453</v>
      </c>
      <c r="C462" s="13">
        <v>1</v>
      </c>
      <c r="D462" s="13">
        <v>0</v>
      </c>
      <c r="E462" s="13">
        <v>1</v>
      </c>
    </row>
    <row r="463" spans="1:5" x14ac:dyDescent="0.3">
      <c r="A463" s="13" t="s">
        <v>1</v>
      </c>
      <c r="B463" s="13" t="s">
        <v>693</v>
      </c>
      <c r="C463" s="13">
        <v>1</v>
      </c>
      <c r="D463" s="13">
        <v>0</v>
      </c>
      <c r="E463" s="13">
        <v>0</v>
      </c>
    </row>
    <row r="464" spans="1:5" x14ac:dyDescent="0.3">
      <c r="A464" s="13" t="s">
        <v>1</v>
      </c>
      <c r="B464" s="13" t="s">
        <v>2479</v>
      </c>
      <c r="C464" s="13">
        <v>1</v>
      </c>
      <c r="D464" s="13">
        <v>0</v>
      </c>
      <c r="E464" s="13">
        <v>1</v>
      </c>
    </row>
    <row r="465" spans="1:5" x14ac:dyDescent="0.3">
      <c r="A465" s="13" t="s">
        <v>1</v>
      </c>
      <c r="B465" s="13" t="s">
        <v>921</v>
      </c>
      <c r="C465" s="13">
        <v>1</v>
      </c>
      <c r="D465" s="13">
        <v>0</v>
      </c>
      <c r="E465" s="13">
        <v>1</v>
      </c>
    </row>
    <row r="466" spans="1:5" x14ac:dyDescent="0.3">
      <c r="A466" s="13" t="s">
        <v>1</v>
      </c>
      <c r="B466" s="13" t="s">
        <v>1600</v>
      </c>
      <c r="C466" s="13">
        <v>1</v>
      </c>
      <c r="D466" s="13">
        <v>0</v>
      </c>
      <c r="E466" s="13">
        <v>1</v>
      </c>
    </row>
    <row r="467" spans="1:5" x14ac:dyDescent="0.3">
      <c r="A467" s="13" t="s">
        <v>1</v>
      </c>
      <c r="B467" s="13" t="s">
        <v>1336</v>
      </c>
      <c r="C467" s="13">
        <v>1</v>
      </c>
      <c r="D467" s="13">
        <v>0</v>
      </c>
      <c r="E467" s="13">
        <v>2</v>
      </c>
    </row>
    <row r="468" spans="1:5" x14ac:dyDescent="0.3">
      <c r="A468" s="13" t="s">
        <v>1</v>
      </c>
      <c r="B468" s="13" t="s">
        <v>627</v>
      </c>
      <c r="C468" s="13">
        <v>1</v>
      </c>
      <c r="D468" s="13">
        <v>0</v>
      </c>
      <c r="E468" s="13">
        <v>1</v>
      </c>
    </row>
    <row r="469" spans="1:5" x14ac:dyDescent="0.3">
      <c r="A469" s="13" t="s">
        <v>1</v>
      </c>
      <c r="B469" s="13" t="s">
        <v>948</v>
      </c>
      <c r="C469" s="13">
        <v>1</v>
      </c>
      <c r="D469" s="13">
        <v>0</v>
      </c>
      <c r="E469" s="13">
        <v>2</v>
      </c>
    </row>
    <row r="470" spans="1:5" x14ac:dyDescent="0.3">
      <c r="A470" s="13" t="s">
        <v>1</v>
      </c>
      <c r="B470" s="13" t="s">
        <v>2480</v>
      </c>
      <c r="C470" s="13">
        <v>1</v>
      </c>
      <c r="D470" s="13">
        <v>0</v>
      </c>
      <c r="E470" s="13">
        <v>1</v>
      </c>
    </row>
    <row r="471" spans="1:5" x14ac:dyDescent="0.3">
      <c r="A471" s="13" t="s">
        <v>1</v>
      </c>
      <c r="B471" s="13" t="s">
        <v>434</v>
      </c>
      <c r="C471" s="13">
        <v>1</v>
      </c>
      <c r="D471" s="13">
        <v>0</v>
      </c>
      <c r="E471" s="13">
        <v>0</v>
      </c>
    </row>
    <row r="472" spans="1:5" x14ac:dyDescent="0.3">
      <c r="A472" s="13" t="s">
        <v>1</v>
      </c>
      <c r="B472" s="13" t="s">
        <v>899</v>
      </c>
      <c r="C472" s="13">
        <v>1</v>
      </c>
      <c r="D472" s="13">
        <v>0</v>
      </c>
      <c r="E472" s="13">
        <v>1</v>
      </c>
    </row>
    <row r="473" spans="1:5" x14ac:dyDescent="0.3">
      <c r="A473" s="13" t="s">
        <v>1</v>
      </c>
      <c r="B473" s="13" t="s">
        <v>1850</v>
      </c>
      <c r="C473" s="13">
        <v>1</v>
      </c>
      <c r="D473" s="13">
        <v>0</v>
      </c>
      <c r="E473" s="13">
        <v>1</v>
      </c>
    </row>
    <row r="474" spans="1:5" x14ac:dyDescent="0.3">
      <c r="A474" s="13" t="s">
        <v>1</v>
      </c>
      <c r="B474" s="13" t="s">
        <v>118</v>
      </c>
      <c r="C474" s="13">
        <v>1</v>
      </c>
      <c r="D474" s="13">
        <v>0</v>
      </c>
      <c r="E474" s="13">
        <v>0</v>
      </c>
    </row>
    <row r="475" spans="1:5" x14ac:dyDescent="0.3">
      <c r="A475" s="13" t="s">
        <v>1</v>
      </c>
      <c r="B475" s="13" t="s">
        <v>1975</v>
      </c>
      <c r="C475" s="13">
        <v>1</v>
      </c>
      <c r="D475" s="13">
        <v>0</v>
      </c>
      <c r="E475" s="13">
        <v>0</v>
      </c>
    </row>
    <row r="476" spans="1:5" x14ac:dyDescent="0.3">
      <c r="A476" s="13" t="s">
        <v>1</v>
      </c>
      <c r="B476" s="13" t="s">
        <v>121</v>
      </c>
      <c r="C476" s="13">
        <v>1</v>
      </c>
      <c r="D476" s="13">
        <v>0</v>
      </c>
      <c r="E476" s="13">
        <v>0</v>
      </c>
    </row>
    <row r="477" spans="1:5" x14ac:dyDescent="0.3">
      <c r="A477" s="13" t="s">
        <v>1</v>
      </c>
      <c r="B477" s="13" t="s">
        <v>529</v>
      </c>
      <c r="C477" s="13">
        <v>1</v>
      </c>
      <c r="D477" s="13">
        <v>0</v>
      </c>
      <c r="E477" s="13">
        <v>1</v>
      </c>
    </row>
    <row r="478" spans="1:5" x14ac:dyDescent="0.3">
      <c r="A478" s="13" t="s">
        <v>1</v>
      </c>
      <c r="B478" s="13" t="s">
        <v>174</v>
      </c>
      <c r="C478" s="13">
        <v>1</v>
      </c>
      <c r="D478" s="13">
        <v>0</v>
      </c>
      <c r="E478" s="13">
        <v>0</v>
      </c>
    </row>
    <row r="479" spans="1:5" x14ac:dyDescent="0.3">
      <c r="A479" s="13" t="s">
        <v>1</v>
      </c>
      <c r="B479" s="13" t="s">
        <v>531</v>
      </c>
      <c r="C479" s="13">
        <v>1</v>
      </c>
      <c r="D479" s="13">
        <v>0</v>
      </c>
      <c r="E479" s="13">
        <v>1</v>
      </c>
    </row>
    <row r="480" spans="1:5" x14ac:dyDescent="0.3">
      <c r="A480" s="13" t="s">
        <v>1</v>
      </c>
      <c r="B480" s="13" t="s">
        <v>532</v>
      </c>
      <c r="C480" s="13">
        <v>1</v>
      </c>
      <c r="D480" s="13">
        <v>0</v>
      </c>
      <c r="E480" s="13">
        <v>1</v>
      </c>
    </row>
    <row r="481" spans="1:5" x14ac:dyDescent="0.3">
      <c r="A481" s="13" t="s">
        <v>1</v>
      </c>
      <c r="B481" s="13" t="s">
        <v>1042</v>
      </c>
      <c r="C481" s="13">
        <v>1</v>
      </c>
      <c r="D481" s="13">
        <v>0</v>
      </c>
      <c r="E481" s="13">
        <v>1</v>
      </c>
    </row>
    <row r="482" spans="1:5" x14ac:dyDescent="0.3">
      <c r="A482" s="13" t="s">
        <v>1</v>
      </c>
      <c r="B482" s="13" t="s">
        <v>709</v>
      </c>
      <c r="C482" s="13">
        <v>1</v>
      </c>
      <c r="D482" s="13">
        <v>0</v>
      </c>
      <c r="E482" s="13">
        <v>2</v>
      </c>
    </row>
    <row r="483" spans="1:5" x14ac:dyDescent="0.3">
      <c r="A483" s="13" t="s">
        <v>1</v>
      </c>
      <c r="B483" s="13" t="s">
        <v>536</v>
      </c>
      <c r="C483" s="13">
        <v>1</v>
      </c>
      <c r="D483" s="13">
        <v>0</v>
      </c>
      <c r="E483" s="13">
        <v>1</v>
      </c>
    </row>
    <row r="484" spans="1:5" x14ac:dyDescent="0.3">
      <c r="A484" s="13" t="s">
        <v>1</v>
      </c>
      <c r="B484" s="13" t="s">
        <v>1378</v>
      </c>
      <c r="C484" s="13">
        <v>1</v>
      </c>
      <c r="D484" s="13">
        <v>0</v>
      </c>
      <c r="E484" s="13">
        <v>1</v>
      </c>
    </row>
    <row r="485" spans="1:5" x14ac:dyDescent="0.3">
      <c r="A485" s="13" t="s">
        <v>1</v>
      </c>
      <c r="B485" s="13" t="s">
        <v>1295</v>
      </c>
      <c r="C485" s="13">
        <v>1</v>
      </c>
      <c r="D485" s="13">
        <v>0</v>
      </c>
      <c r="E485" s="13">
        <v>1</v>
      </c>
    </row>
    <row r="486" spans="1:5" x14ac:dyDescent="0.3">
      <c r="A486" s="13" t="s">
        <v>1</v>
      </c>
      <c r="B486" s="13" t="s">
        <v>2481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255</v>
      </c>
      <c r="C487" s="13">
        <v>2</v>
      </c>
      <c r="D487" s="13">
        <v>0</v>
      </c>
      <c r="E487" s="13">
        <v>2</v>
      </c>
    </row>
    <row r="488" spans="1:5" x14ac:dyDescent="0.3">
      <c r="A488" s="13" t="s">
        <v>1</v>
      </c>
      <c r="B488" s="13" t="s">
        <v>182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416</v>
      </c>
      <c r="C489" s="13">
        <v>1</v>
      </c>
      <c r="D489" s="13">
        <v>0</v>
      </c>
      <c r="E489" s="13">
        <v>0</v>
      </c>
    </row>
    <row r="490" spans="1:5" x14ac:dyDescent="0.3">
      <c r="A490" s="13" t="s">
        <v>1</v>
      </c>
      <c r="B490" s="13" t="s">
        <v>779</v>
      </c>
      <c r="C490" s="13">
        <v>2</v>
      </c>
      <c r="D490" s="13">
        <v>0</v>
      </c>
      <c r="E490" s="13">
        <v>3</v>
      </c>
    </row>
    <row r="491" spans="1:5" x14ac:dyDescent="0.3">
      <c r="A491" s="13" t="s">
        <v>1</v>
      </c>
      <c r="B491" s="13" t="s">
        <v>480</v>
      </c>
      <c r="C491" s="13">
        <v>1</v>
      </c>
      <c r="D491" s="13">
        <v>0</v>
      </c>
      <c r="E491" s="13">
        <v>0</v>
      </c>
    </row>
    <row r="492" spans="1:5" x14ac:dyDescent="0.3">
      <c r="A492" s="13" t="s">
        <v>1</v>
      </c>
      <c r="B492" s="13" t="s">
        <v>781</v>
      </c>
      <c r="C492" s="13">
        <v>1</v>
      </c>
      <c r="D492" s="13">
        <v>0</v>
      </c>
      <c r="E492" s="13">
        <v>1</v>
      </c>
    </row>
    <row r="493" spans="1:5" x14ac:dyDescent="0.3">
      <c r="A493" s="13" t="s">
        <v>1</v>
      </c>
      <c r="B493" s="13" t="s">
        <v>714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636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417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197</v>
      </c>
      <c r="C496" s="13">
        <v>1</v>
      </c>
      <c r="D496" s="13">
        <v>0</v>
      </c>
      <c r="E496" s="13">
        <v>1</v>
      </c>
    </row>
    <row r="497" spans="1:5" x14ac:dyDescent="0.3">
      <c r="A497" s="13" t="s">
        <v>1</v>
      </c>
      <c r="B497" s="13" t="s">
        <v>482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187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483</v>
      </c>
      <c r="C499" s="13">
        <v>1</v>
      </c>
      <c r="D499" s="13">
        <v>0</v>
      </c>
      <c r="E499" s="13">
        <v>0</v>
      </c>
    </row>
    <row r="500" spans="1:5" x14ac:dyDescent="0.3">
      <c r="A500" s="13" t="s">
        <v>1</v>
      </c>
      <c r="B500" s="13" t="s">
        <v>846</v>
      </c>
      <c r="C500" s="13">
        <v>1</v>
      </c>
      <c r="D500" s="13">
        <v>0</v>
      </c>
      <c r="E500" s="13">
        <v>1</v>
      </c>
    </row>
    <row r="501" spans="1:5" x14ac:dyDescent="0.3">
      <c r="A501" s="13" t="s">
        <v>1</v>
      </c>
      <c r="B501" s="13" t="s">
        <v>133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53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1367</v>
      </c>
      <c r="C503" s="13">
        <v>1</v>
      </c>
      <c r="D503" s="13">
        <v>0</v>
      </c>
      <c r="E503" s="13">
        <v>1</v>
      </c>
    </row>
    <row r="504" spans="1:5" x14ac:dyDescent="0.3">
      <c r="A504" s="13" t="s">
        <v>1</v>
      </c>
      <c r="B504" s="13" t="s">
        <v>231</v>
      </c>
      <c r="C504" s="13">
        <v>4</v>
      </c>
      <c r="D504" s="13">
        <v>0</v>
      </c>
      <c r="E504" s="13">
        <v>5</v>
      </c>
    </row>
    <row r="505" spans="1:5" x14ac:dyDescent="0.3">
      <c r="A505" s="13" t="s">
        <v>1</v>
      </c>
      <c r="B505" s="13" t="s">
        <v>370</v>
      </c>
      <c r="C505" s="13">
        <v>1</v>
      </c>
      <c r="D505" s="13">
        <v>0</v>
      </c>
      <c r="E505" s="13">
        <v>1</v>
      </c>
    </row>
    <row r="506" spans="1:5" x14ac:dyDescent="0.3">
      <c r="A506" s="13" t="s">
        <v>1</v>
      </c>
      <c r="B506" s="13" t="s">
        <v>232</v>
      </c>
      <c r="C506" s="13">
        <v>2</v>
      </c>
      <c r="D506" s="13">
        <v>0</v>
      </c>
      <c r="E506" s="13">
        <v>7</v>
      </c>
    </row>
    <row r="507" spans="1:5" x14ac:dyDescent="0.3">
      <c r="A507" s="13" t="s">
        <v>1</v>
      </c>
      <c r="B507" s="13" t="s">
        <v>192</v>
      </c>
      <c r="C507" s="13">
        <v>4</v>
      </c>
      <c r="D507" s="13">
        <v>0</v>
      </c>
      <c r="E507" s="13">
        <v>4</v>
      </c>
    </row>
    <row r="508" spans="1:5" x14ac:dyDescent="0.3">
      <c r="A508" s="13" t="s">
        <v>1</v>
      </c>
      <c r="B508" s="13" t="s">
        <v>234</v>
      </c>
      <c r="C508" s="13">
        <v>2</v>
      </c>
      <c r="D508" s="13">
        <v>0</v>
      </c>
      <c r="E508" s="13">
        <v>2</v>
      </c>
    </row>
    <row r="509" spans="1:5" x14ac:dyDescent="0.3">
      <c r="A509" s="13" t="s">
        <v>1</v>
      </c>
      <c r="B509" s="13" t="s">
        <v>235</v>
      </c>
      <c r="C509" s="13">
        <v>2</v>
      </c>
      <c r="D509" s="13">
        <v>0</v>
      </c>
      <c r="E509" s="13">
        <v>2</v>
      </c>
    </row>
    <row r="510" spans="1:5" x14ac:dyDescent="0.3">
      <c r="A510" s="13" t="s">
        <v>1</v>
      </c>
      <c r="B510" s="13" t="s">
        <v>639</v>
      </c>
      <c r="C510" s="13">
        <v>5</v>
      </c>
      <c r="D510" s="13">
        <v>0</v>
      </c>
      <c r="E510" s="13">
        <v>5</v>
      </c>
    </row>
    <row r="511" spans="1:5" x14ac:dyDescent="0.3">
      <c r="A511" s="13" t="s">
        <v>1</v>
      </c>
      <c r="B511" s="13" t="s">
        <v>640</v>
      </c>
      <c r="C511" s="13">
        <v>2</v>
      </c>
      <c r="D511" s="13">
        <v>0</v>
      </c>
      <c r="E511" s="13">
        <v>3</v>
      </c>
    </row>
    <row r="512" spans="1:5" x14ac:dyDescent="0.3">
      <c r="A512" s="13" t="s">
        <v>1</v>
      </c>
      <c r="B512" s="13" t="s">
        <v>371</v>
      </c>
      <c r="C512" s="13">
        <v>2</v>
      </c>
      <c r="D512" s="13">
        <v>0</v>
      </c>
      <c r="E512" s="13">
        <v>2</v>
      </c>
    </row>
    <row r="513" spans="1:5" x14ac:dyDescent="0.3">
      <c r="A513" s="13" t="s">
        <v>1</v>
      </c>
      <c r="B513" s="13" t="s">
        <v>461</v>
      </c>
      <c r="C513" s="13">
        <v>5</v>
      </c>
      <c r="D513" s="13">
        <v>0</v>
      </c>
      <c r="E513" s="13">
        <v>5</v>
      </c>
    </row>
    <row r="514" spans="1:5" x14ac:dyDescent="0.3">
      <c r="A514" s="13" t="s">
        <v>1</v>
      </c>
      <c r="B514" s="13" t="s">
        <v>1589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962</v>
      </c>
      <c r="C515" s="13">
        <v>2</v>
      </c>
      <c r="D515" s="13">
        <v>0</v>
      </c>
      <c r="E515" s="13">
        <v>4</v>
      </c>
    </row>
    <row r="516" spans="1:5" x14ac:dyDescent="0.3">
      <c r="A516" s="13" t="s">
        <v>1</v>
      </c>
      <c r="B516" s="13" t="s">
        <v>1716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1393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1308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1847</v>
      </c>
      <c r="C519" s="13">
        <v>1</v>
      </c>
      <c r="D519" s="13">
        <v>0</v>
      </c>
      <c r="E519" s="13">
        <v>1</v>
      </c>
    </row>
    <row r="520" spans="1:5" x14ac:dyDescent="0.3">
      <c r="A520" s="13" t="s">
        <v>1</v>
      </c>
      <c r="B520" s="13" t="s">
        <v>1199</v>
      </c>
      <c r="C520" s="13">
        <v>1</v>
      </c>
      <c r="D520" s="13">
        <v>0</v>
      </c>
      <c r="E520" s="13">
        <v>5</v>
      </c>
    </row>
    <row r="521" spans="1:5" x14ac:dyDescent="0.3">
      <c r="A521" s="13" t="s">
        <v>1</v>
      </c>
      <c r="B521" s="13" t="s">
        <v>2482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2348</v>
      </c>
      <c r="C522" s="13">
        <v>11</v>
      </c>
      <c r="D522" s="13">
        <v>0</v>
      </c>
      <c r="E522" s="13">
        <v>13</v>
      </c>
    </row>
    <row r="523" spans="1:5" x14ac:dyDescent="0.3">
      <c r="A523" s="13" t="s">
        <v>1</v>
      </c>
      <c r="B523" s="13" t="s">
        <v>2349</v>
      </c>
      <c r="C523" s="13">
        <v>5</v>
      </c>
      <c r="D523" s="13">
        <v>0</v>
      </c>
      <c r="E523" s="13">
        <v>5</v>
      </c>
    </row>
    <row r="524" spans="1:5" x14ac:dyDescent="0.3">
      <c r="A524" s="13" t="s">
        <v>1</v>
      </c>
      <c r="B524" s="13" t="s">
        <v>2350</v>
      </c>
      <c r="C524" s="13">
        <v>8</v>
      </c>
      <c r="D524" s="13">
        <v>0</v>
      </c>
      <c r="E524" s="13">
        <v>12</v>
      </c>
    </row>
    <row r="525" spans="1:5" x14ac:dyDescent="0.3">
      <c r="A525" s="13" t="s">
        <v>1</v>
      </c>
      <c r="B525" s="13" t="s">
        <v>2351</v>
      </c>
      <c r="C525" s="13">
        <v>6</v>
      </c>
      <c r="D525" s="13">
        <v>0</v>
      </c>
      <c r="E525" s="13">
        <v>6</v>
      </c>
    </row>
    <row r="526" spans="1:5" x14ac:dyDescent="0.3">
      <c r="A526" s="13" t="s">
        <v>1</v>
      </c>
      <c r="B526" s="13" t="s">
        <v>2352</v>
      </c>
      <c r="C526" s="13">
        <v>5</v>
      </c>
      <c r="D526" s="13">
        <v>0</v>
      </c>
      <c r="E526" s="13">
        <v>5</v>
      </c>
    </row>
    <row r="527" spans="1:5" x14ac:dyDescent="0.3">
      <c r="A527" s="13" t="s">
        <v>1</v>
      </c>
      <c r="B527" s="13" t="s">
        <v>2353</v>
      </c>
      <c r="C527" s="13">
        <v>2</v>
      </c>
      <c r="D527" s="13">
        <v>0</v>
      </c>
      <c r="E527" s="13">
        <v>2</v>
      </c>
    </row>
    <row r="528" spans="1:5" x14ac:dyDescent="0.3">
      <c r="A528" s="13" t="s">
        <v>1</v>
      </c>
      <c r="B528" s="13" t="s">
        <v>2354</v>
      </c>
      <c r="C528" s="13">
        <v>5</v>
      </c>
      <c r="D528" s="13">
        <v>0</v>
      </c>
      <c r="E528" s="13">
        <v>5</v>
      </c>
    </row>
    <row r="529" spans="1:5" x14ac:dyDescent="0.3">
      <c r="A529" s="13" t="s">
        <v>1</v>
      </c>
      <c r="B529" s="13" t="s">
        <v>2355</v>
      </c>
      <c r="C529" s="13">
        <v>7</v>
      </c>
      <c r="D529" s="13">
        <v>0</v>
      </c>
      <c r="E529" s="13">
        <v>8</v>
      </c>
    </row>
    <row r="530" spans="1:5" x14ac:dyDescent="0.3">
      <c r="A530" s="13" t="s">
        <v>0</v>
      </c>
      <c r="B530" s="13" t="s">
        <v>553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0</v>
      </c>
      <c r="B531" s="13" t="s">
        <v>2008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0</v>
      </c>
      <c r="B532" s="13" t="s">
        <v>144</v>
      </c>
      <c r="C532" s="13">
        <v>1</v>
      </c>
      <c r="D532" s="13">
        <v>0</v>
      </c>
      <c r="E532" s="13">
        <v>2</v>
      </c>
    </row>
    <row r="533" spans="1:5" x14ac:dyDescent="0.3">
      <c r="A533" s="13" t="s">
        <v>0</v>
      </c>
      <c r="B533" s="13" t="s">
        <v>501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0</v>
      </c>
      <c r="B534" s="13" t="s">
        <v>147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0</v>
      </c>
      <c r="B535" s="13" t="s">
        <v>351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0</v>
      </c>
      <c r="B536" s="13" t="s">
        <v>886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0</v>
      </c>
      <c r="B537" s="13" t="s">
        <v>2483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0</v>
      </c>
      <c r="B538" s="13" t="s">
        <v>42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0</v>
      </c>
      <c r="B539" s="13" t="s">
        <v>356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0</v>
      </c>
      <c r="B540" s="13" t="s">
        <v>93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0</v>
      </c>
      <c r="B541" s="13" t="s">
        <v>1663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0</v>
      </c>
      <c r="B542" s="13" t="s">
        <v>2069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0</v>
      </c>
      <c r="B543" s="13" t="s">
        <v>2164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0</v>
      </c>
      <c r="B544" s="13" t="s">
        <v>2179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0</v>
      </c>
      <c r="B545" s="13" t="s">
        <v>2229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0</v>
      </c>
      <c r="B546" s="13" t="s">
        <v>2407</v>
      </c>
      <c r="C546" s="13">
        <v>1</v>
      </c>
      <c r="D546" s="13">
        <v>0</v>
      </c>
      <c r="E546" s="13">
        <v>3</v>
      </c>
    </row>
    <row r="547" spans="1:5" x14ac:dyDescent="0.3">
      <c r="A547" s="13" t="s">
        <v>0</v>
      </c>
      <c r="B547" s="13" t="s">
        <v>1714</v>
      </c>
      <c r="C547" s="13">
        <v>1</v>
      </c>
      <c r="D547" s="13">
        <v>0</v>
      </c>
      <c r="E547" s="13">
        <v>2</v>
      </c>
    </row>
    <row r="548" spans="1:5" x14ac:dyDescent="0.3">
      <c r="A548" s="13" t="s">
        <v>0</v>
      </c>
      <c r="B548" s="13" t="s">
        <v>2484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0</v>
      </c>
      <c r="B549" s="13" t="s">
        <v>1457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0</v>
      </c>
      <c r="B550" s="13" t="s">
        <v>249</v>
      </c>
      <c r="C550" s="13">
        <v>1</v>
      </c>
      <c r="D550" s="13">
        <v>0</v>
      </c>
      <c r="E550" s="13">
        <v>2</v>
      </c>
    </row>
    <row r="551" spans="1:5" x14ac:dyDescent="0.3">
      <c r="A551" s="13" t="s">
        <v>0</v>
      </c>
      <c r="B551" s="13" t="s">
        <v>1094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0</v>
      </c>
      <c r="B552" s="13" t="s">
        <v>163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0</v>
      </c>
      <c r="B553" s="13" t="s">
        <v>429</v>
      </c>
      <c r="C553" s="13">
        <v>1</v>
      </c>
      <c r="D553" s="13">
        <v>0</v>
      </c>
      <c r="E553" s="13">
        <v>3</v>
      </c>
    </row>
    <row r="554" spans="1:5" x14ac:dyDescent="0.3">
      <c r="A554" s="13" t="s">
        <v>0</v>
      </c>
      <c r="B554" s="13" t="s">
        <v>250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0</v>
      </c>
      <c r="B555" s="13" t="s">
        <v>2440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0</v>
      </c>
      <c r="B556" s="13" t="s">
        <v>166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0</v>
      </c>
      <c r="B557" s="13" t="s">
        <v>1785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0</v>
      </c>
      <c r="B558" s="13" t="s">
        <v>942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0</v>
      </c>
      <c r="B559" s="13" t="s">
        <v>1502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0</v>
      </c>
      <c r="B560" s="13" t="s">
        <v>417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0</v>
      </c>
      <c r="B561" s="13" t="s">
        <v>191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0</v>
      </c>
      <c r="B562" s="13" t="s">
        <v>192</v>
      </c>
      <c r="C562" s="13">
        <v>2</v>
      </c>
      <c r="D562" s="13">
        <v>0</v>
      </c>
      <c r="E562" s="13">
        <v>2</v>
      </c>
    </row>
    <row r="563" spans="1:5" x14ac:dyDescent="0.3">
      <c r="A563" s="13" t="s">
        <v>0</v>
      </c>
      <c r="B563" s="13" t="s">
        <v>1014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0</v>
      </c>
      <c r="B564" s="13" t="s">
        <v>235</v>
      </c>
      <c r="C564" s="13">
        <v>2</v>
      </c>
      <c r="D564" s="13">
        <v>0</v>
      </c>
      <c r="E564" s="13">
        <v>6</v>
      </c>
    </row>
    <row r="565" spans="1:5" x14ac:dyDescent="0.3">
      <c r="A565" s="13" t="s">
        <v>0</v>
      </c>
      <c r="B565" s="13" t="s">
        <v>639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0</v>
      </c>
      <c r="B566" s="13" t="s">
        <v>2189</v>
      </c>
      <c r="C566" s="13">
        <v>1</v>
      </c>
      <c r="D566" s="13">
        <v>0</v>
      </c>
      <c r="E566" s="13">
        <v>2</v>
      </c>
    </row>
    <row r="567" spans="1:5" x14ac:dyDescent="0.3">
      <c r="A567" s="13" t="s">
        <v>0</v>
      </c>
      <c r="B567" s="13" t="s">
        <v>2485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0</v>
      </c>
      <c r="B568" s="13" t="s">
        <v>2486</v>
      </c>
      <c r="C568" s="13">
        <v>1</v>
      </c>
      <c r="D568" s="13">
        <v>0</v>
      </c>
      <c r="E568" s="13">
        <v>2</v>
      </c>
    </row>
    <row r="569" spans="1:5" x14ac:dyDescent="0.3">
      <c r="A569" s="13" t="s">
        <v>0</v>
      </c>
      <c r="B569" s="13" t="s">
        <v>2487</v>
      </c>
      <c r="C569" s="13">
        <v>1</v>
      </c>
      <c r="D569" s="13">
        <v>0</v>
      </c>
      <c r="E569" s="13">
        <v>3</v>
      </c>
    </row>
    <row r="570" spans="1:5" x14ac:dyDescent="0.3">
      <c r="A570" s="13" t="s">
        <v>0</v>
      </c>
      <c r="B570" s="13" t="s">
        <v>1061</v>
      </c>
      <c r="C570" s="13">
        <v>1</v>
      </c>
      <c r="D570" s="13">
        <v>0</v>
      </c>
      <c r="E570" s="13">
        <v>3</v>
      </c>
    </row>
    <row r="571" spans="1:5" x14ac:dyDescent="0.3">
      <c r="A571" s="13" t="s">
        <v>0</v>
      </c>
      <c r="B571" s="13" t="s">
        <v>2488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0</v>
      </c>
      <c r="B572" s="13" t="s">
        <v>2196</v>
      </c>
      <c r="C572" s="13">
        <v>0</v>
      </c>
      <c r="D572" s="13">
        <v>1</v>
      </c>
      <c r="E572" s="13"/>
    </row>
    <row r="573" spans="1:5" x14ac:dyDescent="0.3">
      <c r="A573" s="13" t="s">
        <v>0</v>
      </c>
      <c r="B573" s="13" t="s">
        <v>1248</v>
      </c>
      <c r="C573" s="13">
        <v>0</v>
      </c>
      <c r="D573" s="13">
        <v>2</v>
      </c>
      <c r="E573" s="13"/>
    </row>
    <row r="574" spans="1:5" x14ac:dyDescent="0.3">
      <c r="A574" s="13" t="s">
        <v>0</v>
      </c>
      <c r="B574" s="13" t="s">
        <v>2348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0</v>
      </c>
      <c r="B575" s="13" t="s">
        <v>2349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0</v>
      </c>
      <c r="B576" s="13" t="s">
        <v>2354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0</v>
      </c>
      <c r="B577" s="13" t="s">
        <v>2355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0</v>
      </c>
      <c r="B578" s="13" t="s">
        <v>32</v>
      </c>
      <c r="C578" s="13">
        <v>1</v>
      </c>
      <c r="D578" s="13">
        <v>0</v>
      </c>
      <c r="E578" s="13">
        <v>3</v>
      </c>
    </row>
    <row r="579" spans="1:5" x14ac:dyDescent="0.3">
      <c r="A579" s="13" t="s">
        <v>2</v>
      </c>
      <c r="B579" s="13" t="s">
        <v>156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2</v>
      </c>
      <c r="B580" s="13" t="s">
        <v>39</v>
      </c>
      <c r="C580" s="13">
        <v>1</v>
      </c>
      <c r="D580" s="13">
        <v>0</v>
      </c>
      <c r="E580" s="13">
        <v>1</v>
      </c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F8182-6799-4BB5-9E65-F3A59B68730A}">
  <sheetPr codeName="Sheet41"/>
  <dimension ref="A1:M620"/>
  <sheetViews>
    <sheetView workbookViewId="0">
      <selection activeCell="A2" sqref="A2:E314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2408</v>
      </c>
      <c r="C2" s="13">
        <v>141</v>
      </c>
      <c r="D2" s="13">
        <v>123</v>
      </c>
      <c r="E2" s="13">
        <v>185</v>
      </c>
    </row>
    <row r="3" spans="1:13" customFormat="1" x14ac:dyDescent="0.3">
      <c r="A3" s="13" t="s">
        <v>1</v>
      </c>
      <c r="B3" s="13" t="s">
        <v>135</v>
      </c>
      <c r="C3" s="13">
        <v>50</v>
      </c>
      <c r="D3" s="13">
        <v>47</v>
      </c>
      <c r="E3" s="13">
        <v>54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29</v>
      </c>
      <c r="C4" s="13">
        <v>23</v>
      </c>
      <c r="D4" s="13">
        <v>23</v>
      </c>
      <c r="E4" s="13">
        <v>23</v>
      </c>
      <c r="G4" s="19" t="s">
        <v>8</v>
      </c>
      <c r="H4" s="15">
        <f>H13+H14</f>
        <v>298</v>
      </c>
      <c r="I4" s="16">
        <f>H4/H$6</f>
        <v>0.41912798874824192</v>
      </c>
      <c r="J4" s="15">
        <f>I13+I14</f>
        <v>211</v>
      </c>
      <c r="K4" s="16">
        <f>J4/J$6</f>
        <v>0.36888111888111891</v>
      </c>
      <c r="L4" s="15">
        <f>J13+J14</f>
        <v>339</v>
      </c>
      <c r="M4" s="25">
        <f>L4/L$6</f>
        <v>0.41240875912408759</v>
      </c>
    </row>
    <row r="5" spans="1:13" customFormat="1" x14ac:dyDescent="0.3">
      <c r="A5" s="13" t="s">
        <v>0</v>
      </c>
      <c r="B5" s="13" t="s">
        <v>31</v>
      </c>
      <c r="C5" s="13">
        <v>14</v>
      </c>
      <c r="D5" s="13">
        <v>14</v>
      </c>
      <c r="E5" s="13">
        <v>14</v>
      </c>
      <c r="G5" s="19" t="s">
        <v>10</v>
      </c>
      <c r="H5" s="15">
        <f>H15+H16</f>
        <v>413</v>
      </c>
      <c r="I5" s="16">
        <f>H5/H$6</f>
        <v>0.58087201125175814</v>
      </c>
      <c r="J5" s="15">
        <f>I15+I16</f>
        <v>361</v>
      </c>
      <c r="K5" s="16">
        <f>J5/J$6</f>
        <v>0.63111888111888115</v>
      </c>
      <c r="L5" s="15">
        <f>J15+J16</f>
        <v>483</v>
      </c>
      <c r="M5" s="25">
        <f>L5/L$6</f>
        <v>0.58759124087591241</v>
      </c>
    </row>
    <row r="6" spans="1:13" customFormat="1" ht="17.25" thickBot="1" x14ac:dyDescent="0.35">
      <c r="A6" s="13" t="s">
        <v>1</v>
      </c>
      <c r="B6" s="13" t="s">
        <v>30</v>
      </c>
      <c r="C6" s="13">
        <v>19</v>
      </c>
      <c r="D6" s="13">
        <v>12</v>
      </c>
      <c r="E6" s="13">
        <v>19</v>
      </c>
      <c r="G6" s="22"/>
      <c r="H6" s="26">
        <f>SUM(H4:H5)</f>
        <v>711</v>
      </c>
      <c r="I6" s="27">
        <f>I4+I5</f>
        <v>1</v>
      </c>
      <c r="J6" s="26">
        <f>SUM(J4:J5)</f>
        <v>572</v>
      </c>
      <c r="K6" s="27">
        <f>K4+K5</f>
        <v>1</v>
      </c>
      <c r="L6" s="26">
        <f>SUM(L4:L5)</f>
        <v>822</v>
      </c>
      <c r="M6" s="28">
        <f>M4+M5</f>
        <v>1</v>
      </c>
    </row>
    <row r="7" spans="1:13" customFormat="1" x14ac:dyDescent="0.3">
      <c r="A7" s="13" t="s">
        <v>0</v>
      </c>
      <c r="B7" s="13" t="s">
        <v>37</v>
      </c>
      <c r="C7" s="13">
        <v>11</v>
      </c>
      <c r="D7" s="13">
        <v>11</v>
      </c>
      <c r="E7" s="13">
        <v>11</v>
      </c>
    </row>
    <row r="8" spans="1:13" customFormat="1" x14ac:dyDescent="0.3">
      <c r="A8" s="13" t="s">
        <v>0</v>
      </c>
      <c r="B8" s="13" t="s">
        <v>354</v>
      </c>
      <c r="C8" s="13">
        <v>11</v>
      </c>
      <c r="D8" s="13">
        <v>10</v>
      </c>
      <c r="E8" s="13">
        <v>12</v>
      </c>
    </row>
    <row r="9" spans="1:13" customFormat="1" x14ac:dyDescent="0.3">
      <c r="A9" s="13" t="s">
        <v>0</v>
      </c>
      <c r="B9" s="13" t="s">
        <v>30</v>
      </c>
      <c r="C9" s="13">
        <v>11</v>
      </c>
      <c r="D9" s="13">
        <v>7</v>
      </c>
      <c r="E9" s="13">
        <v>13</v>
      </c>
    </row>
    <row r="10" spans="1:13" customFormat="1" ht="17.25" thickBot="1" x14ac:dyDescent="0.35">
      <c r="A10" s="13" t="s">
        <v>0</v>
      </c>
      <c r="B10" s="13" t="s">
        <v>35</v>
      </c>
      <c r="C10" s="13">
        <v>6</v>
      </c>
      <c r="D10" s="13">
        <v>6</v>
      </c>
      <c r="E10" s="13">
        <v>6</v>
      </c>
    </row>
    <row r="11" spans="1:13" x14ac:dyDescent="0.3">
      <c r="A11" s="13" t="s">
        <v>1</v>
      </c>
      <c r="B11" s="13" t="s">
        <v>354</v>
      </c>
      <c r="C11" s="13">
        <v>5</v>
      </c>
      <c r="D11" s="13">
        <v>5</v>
      </c>
      <c r="E11" s="13">
        <v>5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31</v>
      </c>
      <c r="C12" s="13">
        <v>5</v>
      </c>
      <c r="D12" s="13">
        <v>5</v>
      </c>
      <c r="E12" s="13">
        <v>5</v>
      </c>
      <c r="G12" s="19"/>
      <c r="H12" s="17">
        <f t="shared" ref="H12:J12" si="0">SUM(H13:H16)</f>
        <v>711</v>
      </c>
      <c r="I12" s="17">
        <f t="shared" si="0"/>
        <v>572</v>
      </c>
      <c r="J12" s="20">
        <f t="shared" si="0"/>
        <v>822</v>
      </c>
    </row>
    <row r="13" spans="1:13" x14ac:dyDescent="0.3">
      <c r="A13" s="13" t="s">
        <v>1</v>
      </c>
      <c r="B13" s="13" t="s">
        <v>87</v>
      </c>
      <c r="C13" s="13">
        <v>4</v>
      </c>
      <c r="D13" s="13">
        <v>4</v>
      </c>
      <c r="E13" s="13">
        <v>6</v>
      </c>
      <c r="G13" s="19" t="s">
        <v>7</v>
      </c>
      <c r="H13" s="18">
        <f t="shared" ref="H13:J16" si="1">SUMIF($A$2:$A$9999,$G13,C$2:C$9999)</f>
        <v>298</v>
      </c>
      <c r="I13" s="18">
        <f t="shared" si="1"/>
        <v>211</v>
      </c>
      <c r="J13" s="21">
        <f t="shared" si="1"/>
        <v>339</v>
      </c>
    </row>
    <row r="14" spans="1:13" x14ac:dyDescent="0.3">
      <c r="A14" s="13" t="s">
        <v>1</v>
      </c>
      <c r="B14" s="13" t="s">
        <v>1948</v>
      </c>
      <c r="C14" s="13">
        <v>4</v>
      </c>
      <c r="D14" s="13">
        <v>4</v>
      </c>
      <c r="E14" s="13">
        <v>4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0</v>
      </c>
      <c r="B15" s="13" t="s">
        <v>60</v>
      </c>
      <c r="C15" s="13">
        <v>4</v>
      </c>
      <c r="D15" s="13">
        <v>4</v>
      </c>
      <c r="E15" s="13">
        <v>4</v>
      </c>
      <c r="G15" s="19" t="s">
        <v>11</v>
      </c>
      <c r="H15" s="18">
        <f t="shared" si="1"/>
        <v>405</v>
      </c>
      <c r="I15" s="18">
        <f t="shared" si="1"/>
        <v>355</v>
      </c>
      <c r="J15" s="21">
        <f t="shared" si="1"/>
        <v>473</v>
      </c>
    </row>
    <row r="16" spans="1:13" ht="17.25" thickBot="1" x14ac:dyDescent="0.35">
      <c r="A16" s="13" t="s">
        <v>0</v>
      </c>
      <c r="B16" s="13" t="s">
        <v>94</v>
      </c>
      <c r="C16" s="13">
        <v>4</v>
      </c>
      <c r="D16" s="13">
        <v>4</v>
      </c>
      <c r="E16" s="13">
        <v>4</v>
      </c>
      <c r="G16" s="22" t="s">
        <v>12</v>
      </c>
      <c r="H16" s="23">
        <f t="shared" si="1"/>
        <v>8</v>
      </c>
      <c r="I16" s="23">
        <f t="shared" si="1"/>
        <v>6</v>
      </c>
      <c r="J16" s="24">
        <f t="shared" si="1"/>
        <v>10</v>
      </c>
    </row>
    <row r="17" spans="1:5" x14ac:dyDescent="0.3">
      <c r="A17" s="13" t="s">
        <v>0</v>
      </c>
      <c r="B17" s="13" t="s">
        <v>1342</v>
      </c>
      <c r="C17" s="13">
        <v>4</v>
      </c>
      <c r="D17" s="13">
        <v>4</v>
      </c>
      <c r="E17" s="13">
        <v>4</v>
      </c>
    </row>
    <row r="18" spans="1:5" x14ac:dyDescent="0.3">
      <c r="A18" s="13" t="s">
        <v>0</v>
      </c>
      <c r="B18" s="13" t="s">
        <v>39</v>
      </c>
      <c r="C18" s="13">
        <v>4</v>
      </c>
      <c r="D18" s="13">
        <v>4</v>
      </c>
      <c r="E18" s="13">
        <v>5</v>
      </c>
    </row>
    <row r="19" spans="1:5" x14ac:dyDescent="0.3">
      <c r="A19" s="13" t="s">
        <v>1</v>
      </c>
      <c r="B19" s="13" t="s">
        <v>260</v>
      </c>
      <c r="C19" s="13">
        <v>3</v>
      </c>
      <c r="D19" s="13">
        <v>3</v>
      </c>
      <c r="E19" s="13">
        <v>4</v>
      </c>
    </row>
    <row r="20" spans="1:5" x14ac:dyDescent="0.3">
      <c r="A20" s="13" t="s">
        <v>1</v>
      </c>
      <c r="B20" s="13" t="s">
        <v>60</v>
      </c>
      <c r="C20" s="13">
        <v>4</v>
      </c>
      <c r="D20" s="13">
        <v>3</v>
      </c>
      <c r="E20" s="13">
        <v>4</v>
      </c>
    </row>
    <row r="21" spans="1:5" x14ac:dyDescent="0.3">
      <c r="A21" s="13" t="s">
        <v>1</v>
      </c>
      <c r="B21" s="13" t="s">
        <v>2408</v>
      </c>
      <c r="C21" s="13">
        <v>4</v>
      </c>
      <c r="D21" s="13">
        <v>3</v>
      </c>
      <c r="E21" s="13">
        <v>5</v>
      </c>
    </row>
    <row r="22" spans="1:5" x14ac:dyDescent="0.3">
      <c r="A22" s="13" t="s">
        <v>1</v>
      </c>
      <c r="B22" s="13" t="s">
        <v>29</v>
      </c>
      <c r="C22" s="13">
        <v>3</v>
      </c>
      <c r="D22" s="13">
        <v>3</v>
      </c>
      <c r="E22" s="13">
        <v>3</v>
      </c>
    </row>
    <row r="23" spans="1:5" x14ac:dyDescent="0.3">
      <c r="A23" s="13" t="s">
        <v>1</v>
      </c>
      <c r="B23" s="13" t="s">
        <v>111</v>
      </c>
      <c r="C23" s="13">
        <v>3</v>
      </c>
      <c r="D23" s="13">
        <v>3</v>
      </c>
      <c r="E23" s="13">
        <v>4</v>
      </c>
    </row>
    <row r="24" spans="1:5" x14ac:dyDescent="0.3">
      <c r="A24" s="13" t="s">
        <v>1</v>
      </c>
      <c r="B24" s="13" t="s">
        <v>37</v>
      </c>
      <c r="C24" s="13">
        <v>3</v>
      </c>
      <c r="D24" s="13">
        <v>3</v>
      </c>
      <c r="E24" s="13">
        <v>3</v>
      </c>
    </row>
    <row r="25" spans="1:5" x14ac:dyDescent="0.3">
      <c r="A25" s="13" t="s">
        <v>1</v>
      </c>
      <c r="B25" s="13" t="s">
        <v>39</v>
      </c>
      <c r="C25" s="13">
        <v>5</v>
      </c>
      <c r="D25" s="13">
        <v>3</v>
      </c>
      <c r="E25" s="13">
        <v>15</v>
      </c>
    </row>
    <row r="26" spans="1:5" x14ac:dyDescent="0.3">
      <c r="A26" s="13" t="s">
        <v>1</v>
      </c>
      <c r="B26" s="13" t="s">
        <v>32</v>
      </c>
      <c r="C26" s="13">
        <v>3</v>
      </c>
      <c r="D26" s="13">
        <v>3</v>
      </c>
      <c r="E26" s="13">
        <v>6</v>
      </c>
    </row>
    <row r="27" spans="1:5" x14ac:dyDescent="0.3">
      <c r="A27" s="13" t="s">
        <v>0</v>
      </c>
      <c r="B27" s="13" t="s">
        <v>47</v>
      </c>
      <c r="C27" s="13">
        <v>3</v>
      </c>
      <c r="D27" s="13">
        <v>3</v>
      </c>
      <c r="E27" s="13">
        <v>3</v>
      </c>
    </row>
    <row r="28" spans="1:5" x14ac:dyDescent="0.3">
      <c r="A28" s="13" t="s">
        <v>0</v>
      </c>
      <c r="B28" s="13" t="s">
        <v>260</v>
      </c>
      <c r="C28" s="13">
        <v>3</v>
      </c>
      <c r="D28" s="13">
        <v>3</v>
      </c>
      <c r="E28" s="13">
        <v>6</v>
      </c>
    </row>
    <row r="29" spans="1:5" x14ac:dyDescent="0.3">
      <c r="A29" s="13" t="s">
        <v>0</v>
      </c>
      <c r="B29" s="13" t="s">
        <v>151</v>
      </c>
      <c r="C29" s="13">
        <v>3</v>
      </c>
      <c r="D29" s="13">
        <v>3</v>
      </c>
      <c r="E29" s="13">
        <v>3</v>
      </c>
    </row>
    <row r="30" spans="1:5" x14ac:dyDescent="0.3">
      <c r="A30" s="13" t="s">
        <v>0</v>
      </c>
      <c r="B30" s="13" t="s">
        <v>1067</v>
      </c>
      <c r="C30" s="13">
        <v>5</v>
      </c>
      <c r="D30" s="13">
        <v>3</v>
      </c>
      <c r="E30" s="13">
        <v>5</v>
      </c>
    </row>
    <row r="31" spans="1:5" x14ac:dyDescent="0.3">
      <c r="A31" s="13" t="s">
        <v>0</v>
      </c>
      <c r="B31" s="13" t="s">
        <v>1741</v>
      </c>
      <c r="C31" s="13">
        <v>3</v>
      </c>
      <c r="D31" s="13">
        <v>3</v>
      </c>
      <c r="E31" s="13">
        <v>3</v>
      </c>
    </row>
    <row r="32" spans="1:5" x14ac:dyDescent="0.3">
      <c r="A32" s="13" t="s">
        <v>0</v>
      </c>
      <c r="B32" s="13" t="s">
        <v>1948</v>
      </c>
      <c r="C32" s="13">
        <v>3</v>
      </c>
      <c r="D32" s="13">
        <v>3</v>
      </c>
      <c r="E32" s="13">
        <v>3</v>
      </c>
    </row>
    <row r="33" spans="1:5" x14ac:dyDescent="0.3">
      <c r="A33" s="13" t="s">
        <v>1</v>
      </c>
      <c r="B33" s="13" t="s">
        <v>272</v>
      </c>
      <c r="C33" s="13">
        <v>2</v>
      </c>
      <c r="D33" s="13">
        <v>2</v>
      </c>
      <c r="E33" s="13">
        <v>2</v>
      </c>
    </row>
    <row r="34" spans="1:5" x14ac:dyDescent="0.3">
      <c r="A34" s="13" t="s">
        <v>1</v>
      </c>
      <c r="B34" s="13" t="s">
        <v>41</v>
      </c>
      <c r="C34" s="13">
        <v>2</v>
      </c>
      <c r="D34" s="13">
        <v>2</v>
      </c>
      <c r="E34" s="13">
        <v>2</v>
      </c>
    </row>
    <row r="35" spans="1:5" x14ac:dyDescent="0.3">
      <c r="A35" s="13" t="s">
        <v>1</v>
      </c>
      <c r="B35" s="13" t="s">
        <v>61</v>
      </c>
      <c r="C35" s="13">
        <v>2</v>
      </c>
      <c r="D35" s="13">
        <v>2</v>
      </c>
      <c r="E35" s="13">
        <v>2</v>
      </c>
    </row>
    <row r="36" spans="1:5" x14ac:dyDescent="0.3">
      <c r="A36" s="13" t="s">
        <v>1</v>
      </c>
      <c r="B36" s="13" t="s">
        <v>94</v>
      </c>
      <c r="C36" s="13">
        <v>2</v>
      </c>
      <c r="D36" s="13">
        <v>2</v>
      </c>
      <c r="E36" s="13">
        <v>2</v>
      </c>
    </row>
    <row r="37" spans="1:5" x14ac:dyDescent="0.3">
      <c r="A37" s="13" t="s">
        <v>1</v>
      </c>
      <c r="B37" s="13" t="s">
        <v>1663</v>
      </c>
      <c r="C37" s="13">
        <v>5</v>
      </c>
      <c r="D37" s="13">
        <v>2</v>
      </c>
      <c r="E37" s="13">
        <v>6</v>
      </c>
    </row>
    <row r="38" spans="1:5" x14ac:dyDescent="0.3">
      <c r="A38" s="13" t="s">
        <v>1</v>
      </c>
      <c r="B38" s="13" t="s">
        <v>1988</v>
      </c>
      <c r="C38" s="13">
        <v>4</v>
      </c>
      <c r="D38" s="13">
        <v>2</v>
      </c>
      <c r="E38" s="13">
        <v>5</v>
      </c>
    </row>
    <row r="39" spans="1:5" x14ac:dyDescent="0.3">
      <c r="A39" s="13" t="s">
        <v>1</v>
      </c>
      <c r="B39" s="13" t="s">
        <v>2093</v>
      </c>
      <c r="C39" s="13">
        <v>3</v>
      </c>
      <c r="D39" s="13">
        <v>2</v>
      </c>
      <c r="E39" s="13">
        <v>5</v>
      </c>
    </row>
    <row r="40" spans="1:5" x14ac:dyDescent="0.3">
      <c r="A40" s="13" t="s">
        <v>1</v>
      </c>
      <c r="B40" s="13" t="s">
        <v>1629</v>
      </c>
      <c r="C40" s="13">
        <v>2</v>
      </c>
      <c r="D40" s="13">
        <v>2</v>
      </c>
      <c r="E40" s="13">
        <v>2</v>
      </c>
    </row>
    <row r="41" spans="1:5" x14ac:dyDescent="0.3">
      <c r="A41" s="13" t="s">
        <v>1</v>
      </c>
      <c r="B41" s="13" t="s">
        <v>1342</v>
      </c>
      <c r="C41" s="13">
        <v>2</v>
      </c>
      <c r="D41" s="13">
        <v>2</v>
      </c>
      <c r="E41" s="13">
        <v>2</v>
      </c>
    </row>
    <row r="42" spans="1:5" x14ac:dyDescent="0.3">
      <c r="A42" s="13" t="s">
        <v>1</v>
      </c>
      <c r="B42" s="13" t="s">
        <v>395</v>
      </c>
      <c r="C42" s="13">
        <v>2</v>
      </c>
      <c r="D42" s="13">
        <v>2</v>
      </c>
      <c r="E42" s="13">
        <v>2</v>
      </c>
    </row>
    <row r="43" spans="1:5" x14ac:dyDescent="0.3">
      <c r="A43" s="13" t="s">
        <v>1</v>
      </c>
      <c r="B43" s="13" t="s">
        <v>1038</v>
      </c>
      <c r="C43" s="13">
        <v>2</v>
      </c>
      <c r="D43" s="13">
        <v>2</v>
      </c>
      <c r="E43" s="13">
        <v>3</v>
      </c>
    </row>
    <row r="44" spans="1:5" x14ac:dyDescent="0.3">
      <c r="A44" s="13" t="s">
        <v>1</v>
      </c>
      <c r="B44" s="13" t="s">
        <v>196</v>
      </c>
      <c r="C44" s="13">
        <v>2</v>
      </c>
      <c r="D44" s="13">
        <v>2</v>
      </c>
      <c r="E44" s="13">
        <v>2</v>
      </c>
    </row>
    <row r="45" spans="1:5" x14ac:dyDescent="0.3">
      <c r="A45" s="13" t="s">
        <v>0</v>
      </c>
      <c r="B45" s="13" t="s">
        <v>264</v>
      </c>
      <c r="C45" s="13">
        <v>2</v>
      </c>
      <c r="D45" s="13">
        <v>2</v>
      </c>
      <c r="E45" s="13">
        <v>2</v>
      </c>
    </row>
    <row r="46" spans="1:5" x14ac:dyDescent="0.3">
      <c r="A46" s="13" t="s">
        <v>0</v>
      </c>
      <c r="B46" s="13" t="s">
        <v>34</v>
      </c>
      <c r="C46" s="13">
        <v>2</v>
      </c>
      <c r="D46" s="13">
        <v>2</v>
      </c>
      <c r="E46" s="13">
        <v>2</v>
      </c>
    </row>
    <row r="47" spans="1:5" x14ac:dyDescent="0.3">
      <c r="A47" s="13" t="s">
        <v>0</v>
      </c>
      <c r="B47" s="13" t="s">
        <v>145</v>
      </c>
      <c r="C47" s="13">
        <v>2</v>
      </c>
      <c r="D47" s="13">
        <v>2</v>
      </c>
      <c r="E47" s="13">
        <v>2</v>
      </c>
    </row>
    <row r="48" spans="1:5" x14ac:dyDescent="0.3">
      <c r="A48" s="13" t="s">
        <v>0</v>
      </c>
      <c r="B48" s="13" t="s">
        <v>1663</v>
      </c>
      <c r="C48" s="13">
        <v>2</v>
      </c>
      <c r="D48" s="13">
        <v>2</v>
      </c>
      <c r="E48" s="13">
        <v>2</v>
      </c>
    </row>
    <row r="49" spans="1:5" x14ac:dyDescent="0.3">
      <c r="A49" s="13" t="s">
        <v>0</v>
      </c>
      <c r="B49" s="13" t="s">
        <v>1882</v>
      </c>
      <c r="C49" s="13">
        <v>2</v>
      </c>
      <c r="D49" s="13">
        <v>2</v>
      </c>
      <c r="E49" s="13">
        <v>2</v>
      </c>
    </row>
    <row r="50" spans="1:5" x14ac:dyDescent="0.3">
      <c r="A50" s="13" t="s">
        <v>0</v>
      </c>
      <c r="B50" s="13" t="s">
        <v>97</v>
      </c>
      <c r="C50" s="13">
        <v>2</v>
      </c>
      <c r="D50" s="13">
        <v>2</v>
      </c>
      <c r="E50" s="13">
        <v>2</v>
      </c>
    </row>
    <row r="51" spans="1:5" x14ac:dyDescent="0.3">
      <c r="A51" s="13" t="s">
        <v>0</v>
      </c>
      <c r="B51" s="13" t="s">
        <v>1457</v>
      </c>
      <c r="C51" s="13">
        <v>2</v>
      </c>
      <c r="D51" s="13">
        <v>2</v>
      </c>
      <c r="E51" s="13">
        <v>2</v>
      </c>
    </row>
    <row r="52" spans="1:5" x14ac:dyDescent="0.3">
      <c r="A52" s="13" t="s">
        <v>0</v>
      </c>
      <c r="B52" s="13" t="s">
        <v>164</v>
      </c>
      <c r="C52" s="13">
        <v>2</v>
      </c>
      <c r="D52" s="13">
        <v>2</v>
      </c>
      <c r="E52" s="13">
        <v>5</v>
      </c>
    </row>
    <row r="53" spans="1:5" x14ac:dyDescent="0.3">
      <c r="A53" s="13" t="s">
        <v>0</v>
      </c>
      <c r="B53" s="13" t="s">
        <v>223</v>
      </c>
      <c r="C53" s="13">
        <v>2</v>
      </c>
      <c r="D53" s="13">
        <v>2</v>
      </c>
      <c r="E53" s="13">
        <v>2</v>
      </c>
    </row>
    <row r="54" spans="1:5" x14ac:dyDescent="0.3">
      <c r="A54" s="13" t="s">
        <v>0</v>
      </c>
      <c r="B54" s="13" t="s">
        <v>113</v>
      </c>
      <c r="C54" s="13">
        <v>2</v>
      </c>
      <c r="D54" s="13">
        <v>2</v>
      </c>
      <c r="E54" s="13">
        <v>2</v>
      </c>
    </row>
    <row r="55" spans="1:5" x14ac:dyDescent="0.3">
      <c r="A55" s="13" t="s">
        <v>0</v>
      </c>
      <c r="B55" s="13" t="s">
        <v>454</v>
      </c>
      <c r="C55" s="13">
        <v>2</v>
      </c>
      <c r="D55" s="13">
        <v>2</v>
      </c>
      <c r="E55" s="13">
        <v>2</v>
      </c>
    </row>
    <row r="56" spans="1:5" x14ac:dyDescent="0.3">
      <c r="A56" s="13" t="s">
        <v>0</v>
      </c>
      <c r="B56" s="13" t="s">
        <v>121</v>
      </c>
      <c r="C56" s="13">
        <v>2</v>
      </c>
      <c r="D56" s="13">
        <v>2</v>
      </c>
      <c r="E56" s="13">
        <v>2</v>
      </c>
    </row>
    <row r="57" spans="1:5" x14ac:dyDescent="0.3">
      <c r="A57" s="13" t="s">
        <v>0</v>
      </c>
      <c r="B57" s="13" t="s">
        <v>409</v>
      </c>
      <c r="C57" s="13">
        <v>2</v>
      </c>
      <c r="D57" s="13">
        <v>2</v>
      </c>
      <c r="E57" s="13">
        <v>2</v>
      </c>
    </row>
    <row r="58" spans="1:5" x14ac:dyDescent="0.3">
      <c r="A58" s="13" t="s">
        <v>0</v>
      </c>
      <c r="B58" s="13" t="s">
        <v>63</v>
      </c>
      <c r="C58" s="13">
        <v>2</v>
      </c>
      <c r="D58" s="13">
        <v>2</v>
      </c>
      <c r="E58" s="13">
        <v>3</v>
      </c>
    </row>
    <row r="59" spans="1:5" x14ac:dyDescent="0.3">
      <c r="A59" s="13" t="s">
        <v>0</v>
      </c>
      <c r="B59" s="13" t="s">
        <v>923</v>
      </c>
      <c r="C59" s="13">
        <v>2</v>
      </c>
      <c r="D59" s="13">
        <v>2</v>
      </c>
      <c r="E59" s="13"/>
    </row>
    <row r="60" spans="1:5" x14ac:dyDescent="0.3">
      <c r="A60" s="13" t="s">
        <v>0</v>
      </c>
      <c r="B60" s="13" t="s">
        <v>68</v>
      </c>
      <c r="C60" s="13">
        <v>4</v>
      </c>
      <c r="D60" s="13">
        <v>2</v>
      </c>
      <c r="E60" s="13">
        <v>5</v>
      </c>
    </row>
    <row r="61" spans="1:5" x14ac:dyDescent="0.3">
      <c r="A61" s="13" t="s">
        <v>2</v>
      </c>
      <c r="B61" s="13" t="s">
        <v>2408</v>
      </c>
      <c r="C61" s="13">
        <v>2</v>
      </c>
      <c r="D61" s="13">
        <v>2</v>
      </c>
      <c r="E61" s="13">
        <v>2</v>
      </c>
    </row>
    <row r="62" spans="1:5" x14ac:dyDescent="0.3">
      <c r="A62" s="13" t="s">
        <v>1</v>
      </c>
      <c r="B62" s="13" t="s">
        <v>926</v>
      </c>
      <c r="C62" s="13">
        <v>1</v>
      </c>
      <c r="D62" s="13">
        <v>1</v>
      </c>
      <c r="E62" s="13">
        <v>1</v>
      </c>
    </row>
    <row r="63" spans="1:5" x14ac:dyDescent="0.3">
      <c r="A63" s="13" t="s">
        <v>1</v>
      </c>
      <c r="B63" s="13" t="s">
        <v>344</v>
      </c>
      <c r="C63" s="13">
        <v>1</v>
      </c>
      <c r="D63" s="13">
        <v>1</v>
      </c>
      <c r="E63" s="13">
        <v>1</v>
      </c>
    </row>
    <row r="64" spans="1:5" x14ac:dyDescent="0.3">
      <c r="A64" s="13" t="s">
        <v>1</v>
      </c>
      <c r="B64" s="13" t="s">
        <v>875</v>
      </c>
      <c r="C64" s="13">
        <v>1</v>
      </c>
      <c r="D64" s="13">
        <v>1</v>
      </c>
      <c r="E64" s="13">
        <v>2</v>
      </c>
    </row>
    <row r="65" spans="1:5" x14ac:dyDescent="0.3">
      <c r="A65" s="13" t="s">
        <v>1</v>
      </c>
      <c r="B65" s="13" t="s">
        <v>1798</v>
      </c>
      <c r="C65" s="13">
        <v>1</v>
      </c>
      <c r="D65" s="13">
        <v>1</v>
      </c>
      <c r="E65" s="13">
        <v>1</v>
      </c>
    </row>
    <row r="66" spans="1:5" x14ac:dyDescent="0.3">
      <c r="A66" s="13" t="s">
        <v>1</v>
      </c>
      <c r="B66" s="13" t="s">
        <v>372</v>
      </c>
      <c r="C66" s="13">
        <v>1</v>
      </c>
      <c r="D66" s="13">
        <v>1</v>
      </c>
      <c r="E66" s="13">
        <v>1</v>
      </c>
    </row>
    <row r="67" spans="1:5" x14ac:dyDescent="0.3">
      <c r="A67" s="13" t="s">
        <v>1</v>
      </c>
      <c r="B67" s="13" t="s">
        <v>48</v>
      </c>
      <c r="C67" s="13">
        <v>3</v>
      </c>
      <c r="D67" s="13">
        <v>1</v>
      </c>
      <c r="E67" s="13">
        <v>2</v>
      </c>
    </row>
    <row r="68" spans="1:5" x14ac:dyDescent="0.3">
      <c r="A68" s="13" t="s">
        <v>1</v>
      </c>
      <c r="B68" s="13" t="s">
        <v>852</v>
      </c>
      <c r="C68" s="13">
        <v>2</v>
      </c>
      <c r="D68" s="13">
        <v>1</v>
      </c>
      <c r="E68" s="13">
        <v>2</v>
      </c>
    </row>
    <row r="69" spans="1:5" x14ac:dyDescent="0.3">
      <c r="A69" s="13" t="s">
        <v>1</v>
      </c>
      <c r="B69" s="13" t="s">
        <v>420</v>
      </c>
      <c r="C69" s="13">
        <v>2</v>
      </c>
      <c r="D69" s="13">
        <v>1</v>
      </c>
      <c r="E69" s="13">
        <v>2</v>
      </c>
    </row>
    <row r="70" spans="1:5" x14ac:dyDescent="0.3">
      <c r="A70" s="13" t="s">
        <v>1</v>
      </c>
      <c r="B70" s="13" t="s">
        <v>264</v>
      </c>
      <c r="C70" s="13">
        <v>1</v>
      </c>
      <c r="D70" s="13">
        <v>1</v>
      </c>
      <c r="E70" s="13">
        <v>2</v>
      </c>
    </row>
    <row r="71" spans="1:5" x14ac:dyDescent="0.3">
      <c r="A71" s="13" t="s">
        <v>1</v>
      </c>
      <c r="B71" s="13" t="s">
        <v>2489</v>
      </c>
      <c r="C71" s="13">
        <v>1</v>
      </c>
      <c r="D71" s="13">
        <v>1</v>
      </c>
      <c r="E71" s="13">
        <v>1</v>
      </c>
    </row>
    <row r="72" spans="1:5" x14ac:dyDescent="0.3">
      <c r="A72" s="13" t="s">
        <v>1</v>
      </c>
      <c r="B72" s="13" t="s">
        <v>206</v>
      </c>
      <c r="C72" s="13">
        <v>1</v>
      </c>
      <c r="D72" s="13">
        <v>1</v>
      </c>
      <c r="E72" s="13">
        <v>1</v>
      </c>
    </row>
    <row r="73" spans="1:5" x14ac:dyDescent="0.3">
      <c r="A73" s="13" t="s">
        <v>1</v>
      </c>
      <c r="B73" s="13" t="s">
        <v>499</v>
      </c>
      <c r="C73" s="13">
        <v>1</v>
      </c>
      <c r="D73" s="13">
        <v>1</v>
      </c>
      <c r="E73" s="13">
        <v>1</v>
      </c>
    </row>
    <row r="74" spans="1:5" x14ac:dyDescent="0.3">
      <c r="A74" s="13" t="s">
        <v>1</v>
      </c>
      <c r="B74" s="13" t="s">
        <v>34</v>
      </c>
      <c r="C74" s="13">
        <v>1</v>
      </c>
      <c r="D74" s="13">
        <v>1</v>
      </c>
      <c r="E74" s="13">
        <v>1</v>
      </c>
    </row>
    <row r="75" spans="1:5" x14ac:dyDescent="0.3">
      <c r="A75" s="13" t="s">
        <v>1</v>
      </c>
      <c r="B75" s="13" t="s">
        <v>209</v>
      </c>
      <c r="C75" s="13">
        <v>1</v>
      </c>
      <c r="D75" s="13">
        <v>1</v>
      </c>
      <c r="E75" s="13">
        <v>2</v>
      </c>
    </row>
    <row r="76" spans="1:5" x14ac:dyDescent="0.3">
      <c r="A76" s="13" t="s">
        <v>1</v>
      </c>
      <c r="B76" s="13" t="s">
        <v>145</v>
      </c>
      <c r="C76" s="13">
        <v>1</v>
      </c>
      <c r="D76" s="13">
        <v>1</v>
      </c>
      <c r="E76" s="13">
        <v>1</v>
      </c>
    </row>
    <row r="77" spans="1:5" x14ac:dyDescent="0.3">
      <c r="A77" s="13" t="s">
        <v>1</v>
      </c>
      <c r="B77" s="13" t="s">
        <v>147</v>
      </c>
      <c r="C77" s="13">
        <v>1</v>
      </c>
      <c r="D77" s="13">
        <v>1</v>
      </c>
      <c r="E77" s="13">
        <v>2</v>
      </c>
    </row>
    <row r="78" spans="1:5" x14ac:dyDescent="0.3">
      <c r="A78" s="13" t="s">
        <v>1</v>
      </c>
      <c r="B78" s="13" t="s">
        <v>148</v>
      </c>
      <c r="C78" s="13">
        <v>3</v>
      </c>
      <c r="D78" s="13">
        <v>1</v>
      </c>
      <c r="E78" s="13">
        <v>4</v>
      </c>
    </row>
    <row r="79" spans="1:5" x14ac:dyDescent="0.3">
      <c r="A79" s="13" t="s">
        <v>1</v>
      </c>
      <c r="B79" s="13" t="s">
        <v>150</v>
      </c>
      <c r="C79" s="13">
        <v>2</v>
      </c>
      <c r="D79" s="13">
        <v>1</v>
      </c>
      <c r="E79" s="13">
        <v>2</v>
      </c>
    </row>
    <row r="80" spans="1:5" x14ac:dyDescent="0.3">
      <c r="A80" s="13" t="s">
        <v>1</v>
      </c>
      <c r="B80" s="13" t="s">
        <v>151</v>
      </c>
      <c r="C80" s="13">
        <v>1</v>
      </c>
      <c r="D80" s="13">
        <v>1</v>
      </c>
      <c r="E80" s="13">
        <v>1</v>
      </c>
    </row>
    <row r="81" spans="1:5" x14ac:dyDescent="0.3">
      <c r="A81" s="13" t="s">
        <v>1</v>
      </c>
      <c r="B81" s="13" t="s">
        <v>152</v>
      </c>
      <c r="C81" s="13">
        <v>1</v>
      </c>
      <c r="D81" s="13">
        <v>1</v>
      </c>
      <c r="E81" s="13">
        <v>1</v>
      </c>
    </row>
    <row r="82" spans="1:5" x14ac:dyDescent="0.3">
      <c r="A82" s="13" t="s">
        <v>1</v>
      </c>
      <c r="B82" s="13" t="s">
        <v>42</v>
      </c>
      <c r="C82" s="13">
        <v>1</v>
      </c>
      <c r="D82" s="13">
        <v>1</v>
      </c>
      <c r="E82" s="13">
        <v>1</v>
      </c>
    </row>
    <row r="83" spans="1:5" x14ac:dyDescent="0.3">
      <c r="A83" s="13" t="s">
        <v>1</v>
      </c>
      <c r="B83" s="13" t="s">
        <v>613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1370</v>
      </c>
      <c r="C84" s="13">
        <v>1</v>
      </c>
      <c r="D84" s="13">
        <v>1</v>
      </c>
      <c r="E84" s="13">
        <v>1</v>
      </c>
    </row>
    <row r="85" spans="1:5" x14ac:dyDescent="0.3">
      <c r="A85" s="13" t="s">
        <v>1</v>
      </c>
      <c r="B85" s="13" t="s">
        <v>1570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1621</v>
      </c>
      <c r="C86" s="13">
        <v>1</v>
      </c>
      <c r="D86" s="13">
        <v>1</v>
      </c>
      <c r="E86" s="13">
        <v>1</v>
      </c>
    </row>
    <row r="87" spans="1:5" x14ac:dyDescent="0.3">
      <c r="A87" s="13" t="s">
        <v>1</v>
      </c>
      <c r="B87" s="13" t="s">
        <v>1645</v>
      </c>
      <c r="C87" s="13">
        <v>1</v>
      </c>
      <c r="D87" s="13">
        <v>1</v>
      </c>
      <c r="E87" s="13">
        <v>2</v>
      </c>
    </row>
    <row r="88" spans="1:5" x14ac:dyDescent="0.3">
      <c r="A88" s="13" t="s">
        <v>1</v>
      </c>
      <c r="B88" s="13" t="s">
        <v>1888</v>
      </c>
      <c r="C88" s="13">
        <v>1</v>
      </c>
      <c r="D88" s="13">
        <v>1</v>
      </c>
      <c r="E88" s="13">
        <v>1</v>
      </c>
    </row>
    <row r="89" spans="1:5" x14ac:dyDescent="0.3">
      <c r="A89" s="13" t="s">
        <v>1</v>
      </c>
      <c r="B89" s="13" t="s">
        <v>2069</v>
      </c>
      <c r="C89" s="13">
        <v>2</v>
      </c>
      <c r="D89" s="13">
        <v>1</v>
      </c>
      <c r="E89" s="13">
        <v>2</v>
      </c>
    </row>
    <row r="90" spans="1:5" x14ac:dyDescent="0.3">
      <c r="A90" s="13" t="s">
        <v>1</v>
      </c>
      <c r="B90" s="13" t="s">
        <v>2203</v>
      </c>
      <c r="C90" s="13">
        <v>2</v>
      </c>
      <c r="D90" s="13">
        <v>1</v>
      </c>
      <c r="E90" s="13">
        <v>2</v>
      </c>
    </row>
    <row r="91" spans="1:5" x14ac:dyDescent="0.3">
      <c r="A91" s="13" t="s">
        <v>1</v>
      </c>
      <c r="B91" s="13" t="s">
        <v>506</v>
      </c>
      <c r="C91" s="13">
        <v>1</v>
      </c>
      <c r="D91" s="13">
        <v>1</v>
      </c>
      <c r="E91" s="13">
        <v>1</v>
      </c>
    </row>
    <row r="92" spans="1:5" x14ac:dyDescent="0.3">
      <c r="A92" s="13" t="s">
        <v>1</v>
      </c>
      <c r="B92" s="13" t="s">
        <v>49</v>
      </c>
      <c r="C92" s="13">
        <v>1</v>
      </c>
      <c r="D92" s="13">
        <v>1</v>
      </c>
      <c r="E92" s="13">
        <v>2</v>
      </c>
    </row>
    <row r="93" spans="1:5" x14ac:dyDescent="0.3">
      <c r="A93" s="13" t="s">
        <v>1</v>
      </c>
      <c r="B93" s="13" t="s">
        <v>96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997</v>
      </c>
      <c r="C94" s="13">
        <v>1</v>
      </c>
      <c r="D94" s="13">
        <v>1</v>
      </c>
      <c r="E94" s="13">
        <v>1</v>
      </c>
    </row>
    <row r="95" spans="1:5" x14ac:dyDescent="0.3">
      <c r="A95" s="13" t="s">
        <v>1</v>
      </c>
      <c r="B95" s="13" t="s">
        <v>99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158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857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563</v>
      </c>
      <c r="C98" s="13">
        <v>1</v>
      </c>
      <c r="D98" s="13">
        <v>1</v>
      </c>
      <c r="E98" s="13">
        <v>1</v>
      </c>
    </row>
    <row r="99" spans="1:5" x14ac:dyDescent="0.3">
      <c r="A99" s="13" t="s">
        <v>1</v>
      </c>
      <c r="B99" s="13" t="s">
        <v>392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937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792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732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511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822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2490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429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109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2491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169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51</v>
      </c>
      <c r="C110" s="13">
        <v>1</v>
      </c>
      <c r="D110" s="13">
        <v>1</v>
      </c>
      <c r="E110" s="13">
        <v>2</v>
      </c>
    </row>
    <row r="111" spans="1:5" x14ac:dyDescent="0.3">
      <c r="A111" s="13" t="s">
        <v>1</v>
      </c>
      <c r="B111" s="13" t="s">
        <v>170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568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317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318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571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972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1285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950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120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2359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661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175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1482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1193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1275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63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124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2492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1987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414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415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2045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52</v>
      </c>
      <c r="C133" s="13">
        <v>2</v>
      </c>
      <c r="D133" s="13">
        <v>1</v>
      </c>
      <c r="E133" s="13">
        <v>2</v>
      </c>
    </row>
    <row r="134" spans="1:5" x14ac:dyDescent="0.3">
      <c r="A134" s="13" t="s">
        <v>1</v>
      </c>
      <c r="B134" s="13" t="s">
        <v>38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1417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1219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542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2493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53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190</v>
      </c>
      <c r="C140" s="13">
        <v>2</v>
      </c>
      <c r="D140" s="13">
        <v>1</v>
      </c>
      <c r="E140" s="13">
        <v>2</v>
      </c>
    </row>
    <row r="141" spans="1:5" x14ac:dyDescent="0.3">
      <c r="A141" s="13" t="s">
        <v>1</v>
      </c>
      <c r="B141" s="13" t="s">
        <v>54</v>
      </c>
      <c r="C141" s="13">
        <v>3</v>
      </c>
      <c r="D141" s="13">
        <v>1</v>
      </c>
      <c r="E141" s="13">
        <v>3</v>
      </c>
    </row>
    <row r="142" spans="1:5" x14ac:dyDescent="0.3">
      <c r="A142" s="13" t="s">
        <v>1</v>
      </c>
      <c r="B142" s="13" t="s">
        <v>56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1942</v>
      </c>
      <c r="C143" s="13">
        <v>1</v>
      </c>
      <c r="D143" s="13">
        <v>1</v>
      </c>
      <c r="E143" s="13">
        <v>2</v>
      </c>
    </row>
    <row r="144" spans="1:5" x14ac:dyDescent="0.3">
      <c r="A144" s="13" t="s">
        <v>1</v>
      </c>
      <c r="B144" s="13" t="s">
        <v>1468</v>
      </c>
      <c r="C144" s="13">
        <v>1</v>
      </c>
      <c r="D144" s="13">
        <v>1</v>
      </c>
      <c r="E144" s="13"/>
    </row>
    <row r="145" spans="1:5" x14ac:dyDescent="0.3">
      <c r="A145" s="13" t="s">
        <v>1</v>
      </c>
      <c r="B145" s="13" t="s">
        <v>1495</v>
      </c>
      <c r="C145" s="13">
        <v>1</v>
      </c>
      <c r="D145" s="13">
        <v>1</v>
      </c>
      <c r="E145" s="13">
        <v>2</v>
      </c>
    </row>
    <row r="146" spans="1:5" x14ac:dyDescent="0.3">
      <c r="A146" s="13" t="s">
        <v>1</v>
      </c>
      <c r="B146" s="13" t="s">
        <v>804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0</v>
      </c>
      <c r="B147" s="13" t="s">
        <v>373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0</v>
      </c>
      <c r="B148" s="13" t="s">
        <v>474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0</v>
      </c>
      <c r="B149" s="13" t="s">
        <v>143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0</v>
      </c>
      <c r="B150" s="13" t="s">
        <v>345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0</v>
      </c>
      <c r="B151" s="13" t="s">
        <v>267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0</v>
      </c>
      <c r="B152" s="13" t="s">
        <v>557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0</v>
      </c>
      <c r="B153" s="13" t="s">
        <v>813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0</v>
      </c>
      <c r="B154" s="13" t="s">
        <v>1208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0</v>
      </c>
      <c r="B155" s="13" t="s">
        <v>304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0</v>
      </c>
      <c r="B156" s="13" t="s">
        <v>2494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0</v>
      </c>
      <c r="B157" s="13" t="s">
        <v>83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0</v>
      </c>
      <c r="B158" s="13" t="s">
        <v>1181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0</v>
      </c>
      <c r="B159" s="13" t="s">
        <v>351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0</v>
      </c>
      <c r="B160" s="13" t="s">
        <v>1268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0</v>
      </c>
      <c r="B161" s="13" t="s">
        <v>1161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0</v>
      </c>
      <c r="B162" s="13" t="s">
        <v>41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0</v>
      </c>
      <c r="B163" s="13" t="s">
        <v>152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0</v>
      </c>
      <c r="B164" s="13" t="s">
        <v>61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0</v>
      </c>
      <c r="B165" s="13" t="s">
        <v>1370</v>
      </c>
      <c r="C165" s="13">
        <v>1</v>
      </c>
      <c r="D165" s="13">
        <v>1</v>
      </c>
      <c r="E165" s="13">
        <v>2</v>
      </c>
    </row>
    <row r="166" spans="1:5" x14ac:dyDescent="0.3">
      <c r="A166" s="13" t="s">
        <v>0</v>
      </c>
      <c r="B166" s="13" t="s">
        <v>1485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0</v>
      </c>
      <c r="B167" s="13" t="s">
        <v>1886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0</v>
      </c>
      <c r="B168" s="13" t="s">
        <v>2406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0</v>
      </c>
      <c r="B169" s="13" t="s">
        <v>1907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0</v>
      </c>
      <c r="B170" s="13" t="s">
        <v>1881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0</v>
      </c>
      <c r="B171" s="13" t="s">
        <v>1988</v>
      </c>
      <c r="C171" s="13">
        <v>2</v>
      </c>
      <c r="D171" s="13">
        <v>1</v>
      </c>
      <c r="E171" s="13">
        <v>2</v>
      </c>
    </row>
    <row r="172" spans="1:5" x14ac:dyDescent="0.3">
      <c r="A172" s="13" t="s">
        <v>0</v>
      </c>
      <c r="B172" s="13" t="s">
        <v>2148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0</v>
      </c>
      <c r="B173" s="13" t="s">
        <v>2179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0</v>
      </c>
      <c r="B174" s="13" t="s">
        <v>2203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0</v>
      </c>
      <c r="B175" s="13" t="s">
        <v>2425</v>
      </c>
      <c r="C175" s="13">
        <v>2</v>
      </c>
      <c r="D175" s="13">
        <v>1</v>
      </c>
      <c r="E175" s="13">
        <v>2</v>
      </c>
    </row>
    <row r="176" spans="1:5" x14ac:dyDescent="0.3">
      <c r="A176" s="13" t="s">
        <v>0</v>
      </c>
      <c r="B176" s="13" t="s">
        <v>1083</v>
      </c>
      <c r="C176" s="13">
        <v>2</v>
      </c>
      <c r="D176" s="13">
        <v>1</v>
      </c>
      <c r="E176" s="13">
        <v>2</v>
      </c>
    </row>
    <row r="177" spans="1:5" x14ac:dyDescent="0.3">
      <c r="A177" s="13" t="s">
        <v>0</v>
      </c>
      <c r="B177" s="13" t="s">
        <v>819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0</v>
      </c>
      <c r="B178" s="13" t="s">
        <v>1269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0</v>
      </c>
      <c r="B179" s="13" t="s">
        <v>559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0</v>
      </c>
      <c r="B180" s="13" t="s">
        <v>389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0</v>
      </c>
      <c r="B181" s="13" t="s">
        <v>1720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0</v>
      </c>
      <c r="B182" s="13" t="s">
        <v>1032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0</v>
      </c>
      <c r="B183" s="13" t="s">
        <v>507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0</v>
      </c>
      <c r="B184" s="13" t="s">
        <v>1270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0</v>
      </c>
      <c r="B185" s="13" t="s">
        <v>258</v>
      </c>
      <c r="C185" s="13">
        <v>1</v>
      </c>
      <c r="D185" s="13">
        <v>1</v>
      </c>
      <c r="E185" s="13">
        <v>2</v>
      </c>
    </row>
    <row r="186" spans="1:5" x14ac:dyDescent="0.3">
      <c r="A186" s="13" t="s">
        <v>0</v>
      </c>
      <c r="B186" s="13" t="s">
        <v>1034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0</v>
      </c>
      <c r="B187" s="13" t="s">
        <v>159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1084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0</v>
      </c>
      <c r="B189" s="13" t="s">
        <v>43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0</v>
      </c>
      <c r="B190" s="13" t="s">
        <v>429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0</v>
      </c>
      <c r="B191" s="13" t="s">
        <v>2495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0</v>
      </c>
      <c r="B192" s="13" t="s">
        <v>195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0</v>
      </c>
      <c r="B193" s="13" t="s">
        <v>2065</v>
      </c>
      <c r="C193" s="13">
        <v>1</v>
      </c>
      <c r="D193" s="13">
        <v>1</v>
      </c>
      <c r="E193" s="13">
        <v>2</v>
      </c>
    </row>
    <row r="194" spans="1:5" x14ac:dyDescent="0.3">
      <c r="A194" s="13" t="s">
        <v>0</v>
      </c>
      <c r="B194" s="13" t="s">
        <v>168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0</v>
      </c>
      <c r="B195" s="13" t="s">
        <v>111</v>
      </c>
      <c r="C195" s="13">
        <v>2</v>
      </c>
      <c r="D195" s="13">
        <v>1</v>
      </c>
      <c r="E195" s="13">
        <v>4</v>
      </c>
    </row>
    <row r="196" spans="1:5" x14ac:dyDescent="0.3">
      <c r="A196" s="13" t="s">
        <v>0</v>
      </c>
      <c r="B196" s="13" t="s">
        <v>281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44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696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1399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697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627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114</v>
      </c>
      <c r="C202" s="13">
        <v>1</v>
      </c>
      <c r="D202" s="13">
        <v>1</v>
      </c>
      <c r="E202" s="13">
        <v>2</v>
      </c>
    </row>
    <row r="203" spans="1:5" x14ac:dyDescent="0.3">
      <c r="A203" s="13" t="s">
        <v>0</v>
      </c>
      <c r="B203" s="13" t="s">
        <v>648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2032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172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405</v>
      </c>
      <c r="C206" s="13">
        <v>1</v>
      </c>
      <c r="D206" s="13">
        <v>1</v>
      </c>
      <c r="E206" s="13">
        <v>6</v>
      </c>
    </row>
    <row r="207" spans="1:5" x14ac:dyDescent="0.3">
      <c r="A207" s="13" t="s">
        <v>0</v>
      </c>
      <c r="B207" s="13" t="s">
        <v>332</v>
      </c>
      <c r="C207" s="13">
        <v>1</v>
      </c>
      <c r="D207" s="13">
        <v>1</v>
      </c>
      <c r="E207" s="13">
        <v>2</v>
      </c>
    </row>
    <row r="208" spans="1:5" x14ac:dyDescent="0.3">
      <c r="A208" s="13" t="s">
        <v>0</v>
      </c>
      <c r="B208" s="13" t="s">
        <v>196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46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123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174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335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704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576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1378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457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0</v>
      </c>
      <c r="B217" s="13" t="s">
        <v>339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126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130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867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38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64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295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191</v>
      </c>
      <c r="C224" s="13">
        <v>3</v>
      </c>
      <c r="D224" s="13">
        <v>1</v>
      </c>
      <c r="E224" s="13">
        <v>5</v>
      </c>
    </row>
    <row r="225" spans="1:5" x14ac:dyDescent="0.3">
      <c r="A225" s="13" t="s">
        <v>0</v>
      </c>
      <c r="B225" s="13" t="s">
        <v>66</v>
      </c>
      <c r="C225" s="13">
        <v>1</v>
      </c>
      <c r="D225" s="13">
        <v>1</v>
      </c>
      <c r="E225" s="13">
        <v>3</v>
      </c>
    </row>
    <row r="226" spans="1:5" x14ac:dyDescent="0.3">
      <c r="A226" s="13" t="s">
        <v>0</v>
      </c>
      <c r="B226" s="13" t="s">
        <v>1146</v>
      </c>
      <c r="C226" s="13">
        <v>1</v>
      </c>
      <c r="D226" s="13">
        <v>2</v>
      </c>
      <c r="E226" s="13"/>
    </row>
    <row r="227" spans="1:5" x14ac:dyDescent="0.3">
      <c r="A227" s="13" t="s">
        <v>0</v>
      </c>
      <c r="B227" s="13" t="s">
        <v>2496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0</v>
      </c>
      <c r="B228" s="13" t="s">
        <v>259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0</v>
      </c>
      <c r="B229" s="13" t="s">
        <v>1768</v>
      </c>
      <c r="C229" s="13">
        <v>1</v>
      </c>
      <c r="D229" s="13">
        <v>1</v>
      </c>
      <c r="E229" s="13"/>
    </row>
    <row r="230" spans="1:5" x14ac:dyDescent="0.3">
      <c r="A230" s="13" t="s">
        <v>0</v>
      </c>
      <c r="B230" s="13" t="s">
        <v>641</v>
      </c>
      <c r="C230" s="13">
        <v>1</v>
      </c>
      <c r="D230" s="13">
        <v>2</v>
      </c>
      <c r="E230" s="13"/>
    </row>
    <row r="231" spans="1:5" x14ac:dyDescent="0.3">
      <c r="A231" s="13" t="s">
        <v>0</v>
      </c>
      <c r="B231" s="13" t="s">
        <v>1512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0</v>
      </c>
      <c r="B232" s="13" t="s">
        <v>468</v>
      </c>
      <c r="C232" s="13">
        <v>1</v>
      </c>
      <c r="D232" s="13">
        <v>1</v>
      </c>
      <c r="E232" s="13"/>
    </row>
    <row r="233" spans="1:5" x14ac:dyDescent="0.3">
      <c r="A233" s="13" t="s">
        <v>0</v>
      </c>
      <c r="B233" s="13" t="s">
        <v>642</v>
      </c>
      <c r="C233" s="13">
        <v>1</v>
      </c>
      <c r="D233" s="13">
        <v>1</v>
      </c>
      <c r="E233" s="13"/>
    </row>
    <row r="234" spans="1:5" x14ac:dyDescent="0.3">
      <c r="A234" s="13" t="s">
        <v>0</v>
      </c>
      <c r="B234" s="13" t="s">
        <v>2497</v>
      </c>
      <c r="C234" s="13">
        <v>1</v>
      </c>
      <c r="D234" s="13">
        <v>4</v>
      </c>
      <c r="E234" s="13"/>
    </row>
    <row r="235" spans="1:5" x14ac:dyDescent="0.3">
      <c r="A235" s="13" t="s">
        <v>0</v>
      </c>
      <c r="B235" s="13" t="s">
        <v>725</v>
      </c>
      <c r="C235" s="13">
        <v>1</v>
      </c>
      <c r="D235" s="13">
        <v>1</v>
      </c>
      <c r="E235" s="13"/>
    </row>
    <row r="236" spans="1:5" x14ac:dyDescent="0.3">
      <c r="A236" s="13" t="s">
        <v>2</v>
      </c>
      <c r="B236" s="13" t="s">
        <v>1883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2</v>
      </c>
      <c r="B237" s="13" t="s">
        <v>258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2</v>
      </c>
      <c r="B238" s="13" t="s">
        <v>1343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2</v>
      </c>
      <c r="B239" s="13" t="s">
        <v>2392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966</v>
      </c>
      <c r="C240" s="13">
        <v>1</v>
      </c>
      <c r="D240" s="13">
        <v>0</v>
      </c>
      <c r="E240" s="13">
        <v>1</v>
      </c>
    </row>
    <row r="241" spans="1:5" x14ac:dyDescent="0.3">
      <c r="A241" s="13" t="s">
        <v>1</v>
      </c>
      <c r="B241" s="13" t="s">
        <v>47</v>
      </c>
      <c r="C241" s="13">
        <v>1</v>
      </c>
      <c r="D241" s="13">
        <v>0</v>
      </c>
      <c r="E241" s="13">
        <v>0</v>
      </c>
    </row>
    <row r="242" spans="1:5" x14ac:dyDescent="0.3">
      <c r="A242" s="13" t="s">
        <v>1</v>
      </c>
      <c r="B242" s="13" t="s">
        <v>489</v>
      </c>
      <c r="C242" s="13">
        <v>1</v>
      </c>
      <c r="D242" s="13">
        <v>0</v>
      </c>
      <c r="E242" s="13">
        <v>1</v>
      </c>
    </row>
    <row r="243" spans="1:5" x14ac:dyDescent="0.3">
      <c r="A243" s="13" t="s">
        <v>1</v>
      </c>
      <c r="B243" s="13" t="s">
        <v>982</v>
      </c>
      <c r="C243" s="13">
        <v>1</v>
      </c>
      <c r="D243" s="13">
        <v>0</v>
      </c>
      <c r="E243" s="13">
        <v>1</v>
      </c>
    </row>
    <row r="244" spans="1:5" x14ac:dyDescent="0.3">
      <c r="A244" s="13" t="s">
        <v>1</v>
      </c>
      <c r="B244" s="13" t="s">
        <v>33</v>
      </c>
      <c r="C244" s="13">
        <v>1</v>
      </c>
      <c r="D244" s="13">
        <v>0</v>
      </c>
      <c r="E244" s="13">
        <v>2</v>
      </c>
    </row>
    <row r="245" spans="1:5" x14ac:dyDescent="0.3">
      <c r="A245" s="13" t="s">
        <v>1</v>
      </c>
      <c r="B245" s="13" t="s">
        <v>670</v>
      </c>
      <c r="C245" s="13">
        <v>1</v>
      </c>
      <c r="D245" s="13">
        <v>0</v>
      </c>
      <c r="E245" s="13">
        <v>2</v>
      </c>
    </row>
    <row r="246" spans="1:5" x14ac:dyDescent="0.3">
      <c r="A246" s="13" t="s">
        <v>1</v>
      </c>
      <c r="B246" s="13" t="s">
        <v>265</v>
      </c>
      <c r="C246" s="13">
        <v>1</v>
      </c>
      <c r="D246" s="13">
        <v>0</v>
      </c>
      <c r="E246" s="13">
        <v>2</v>
      </c>
    </row>
    <row r="247" spans="1:5" x14ac:dyDescent="0.3">
      <c r="A247" s="13" t="s">
        <v>1</v>
      </c>
      <c r="B247" s="13" t="s">
        <v>345</v>
      </c>
      <c r="C247" s="13">
        <v>1</v>
      </c>
      <c r="D247" s="13">
        <v>0</v>
      </c>
      <c r="E247" s="13">
        <v>1</v>
      </c>
    </row>
    <row r="248" spans="1:5" x14ac:dyDescent="0.3">
      <c r="A248" s="13" t="s">
        <v>1</v>
      </c>
      <c r="B248" s="13" t="s">
        <v>1228</v>
      </c>
      <c r="C248" s="13">
        <v>1</v>
      </c>
      <c r="D248" s="13">
        <v>0</v>
      </c>
      <c r="E248" s="13">
        <v>1</v>
      </c>
    </row>
    <row r="249" spans="1:5" x14ac:dyDescent="0.3">
      <c r="A249" s="13" t="s">
        <v>1</v>
      </c>
      <c r="B249" s="13" t="s">
        <v>78</v>
      </c>
      <c r="C249" s="13">
        <v>1</v>
      </c>
      <c r="D249" s="13">
        <v>0</v>
      </c>
      <c r="E249" s="13">
        <v>0</v>
      </c>
    </row>
    <row r="250" spans="1:5" x14ac:dyDescent="0.3">
      <c r="A250" s="13" t="s">
        <v>1</v>
      </c>
      <c r="B250" s="13" t="s">
        <v>813</v>
      </c>
      <c r="C250" s="13">
        <v>1</v>
      </c>
      <c r="D250" s="13">
        <v>0</v>
      </c>
      <c r="E250" s="13">
        <v>1</v>
      </c>
    </row>
    <row r="251" spans="1:5" x14ac:dyDescent="0.3">
      <c r="A251" s="13" t="s">
        <v>1</v>
      </c>
      <c r="B251" s="13" t="s">
        <v>816</v>
      </c>
      <c r="C251" s="13">
        <v>1</v>
      </c>
      <c r="D251" s="13">
        <v>0</v>
      </c>
      <c r="E251" s="13">
        <v>1</v>
      </c>
    </row>
    <row r="252" spans="1:5" x14ac:dyDescent="0.3">
      <c r="A252" s="13" t="s">
        <v>1</v>
      </c>
      <c r="B252" s="13" t="s">
        <v>83</v>
      </c>
      <c r="C252" s="13">
        <v>1</v>
      </c>
      <c r="D252" s="13">
        <v>0</v>
      </c>
      <c r="E252" s="13">
        <v>2</v>
      </c>
    </row>
    <row r="253" spans="1:5" x14ac:dyDescent="0.3">
      <c r="A253" s="13" t="s">
        <v>1</v>
      </c>
      <c r="B253" s="13" t="s">
        <v>1472</v>
      </c>
      <c r="C253" s="13">
        <v>2</v>
      </c>
      <c r="D253" s="13">
        <v>0</v>
      </c>
      <c r="E253" s="13">
        <v>3</v>
      </c>
    </row>
    <row r="254" spans="1:5" x14ac:dyDescent="0.3">
      <c r="A254" s="13" t="s">
        <v>1</v>
      </c>
      <c r="B254" s="13" t="s">
        <v>1064</v>
      </c>
      <c r="C254" s="13">
        <v>1</v>
      </c>
      <c r="D254" s="13">
        <v>0</v>
      </c>
      <c r="E254" s="13">
        <v>1</v>
      </c>
    </row>
    <row r="255" spans="1:5" x14ac:dyDescent="0.3">
      <c r="A255" s="13" t="s">
        <v>1</v>
      </c>
      <c r="B255" s="13" t="s">
        <v>502</v>
      </c>
      <c r="C255" s="13">
        <v>1</v>
      </c>
      <c r="D255" s="13">
        <v>0</v>
      </c>
      <c r="E255" s="13">
        <v>1</v>
      </c>
    </row>
    <row r="256" spans="1:5" x14ac:dyDescent="0.3">
      <c r="A256" s="13" t="s">
        <v>1</v>
      </c>
      <c r="B256" s="13" t="s">
        <v>465</v>
      </c>
      <c r="C256" s="13">
        <v>1</v>
      </c>
      <c r="D256" s="13">
        <v>0</v>
      </c>
      <c r="E256" s="13">
        <v>1</v>
      </c>
    </row>
    <row r="257" spans="1:5" x14ac:dyDescent="0.3">
      <c r="A257" s="13" t="s">
        <v>1</v>
      </c>
      <c r="B257" s="13" t="s">
        <v>1485</v>
      </c>
      <c r="C257" s="13">
        <v>1</v>
      </c>
      <c r="D257" s="13">
        <v>0</v>
      </c>
      <c r="E257" s="13">
        <v>1</v>
      </c>
    </row>
    <row r="258" spans="1:5" x14ac:dyDescent="0.3">
      <c r="A258" s="13" t="s">
        <v>1</v>
      </c>
      <c r="B258" s="13" t="s">
        <v>1664</v>
      </c>
      <c r="C258" s="13">
        <v>1</v>
      </c>
      <c r="D258" s="13">
        <v>0</v>
      </c>
      <c r="E258" s="13">
        <v>1</v>
      </c>
    </row>
    <row r="259" spans="1:5" x14ac:dyDescent="0.3">
      <c r="A259" s="13" t="s">
        <v>1</v>
      </c>
      <c r="B259" s="13" t="s">
        <v>1885</v>
      </c>
      <c r="C259" s="13">
        <v>1</v>
      </c>
      <c r="D259" s="13">
        <v>0</v>
      </c>
      <c r="E259" s="13">
        <v>5</v>
      </c>
    </row>
    <row r="260" spans="1:5" x14ac:dyDescent="0.3">
      <c r="A260" s="13" t="s">
        <v>1</v>
      </c>
      <c r="B260" s="13" t="s">
        <v>1900</v>
      </c>
      <c r="C260" s="13">
        <v>1</v>
      </c>
      <c r="D260" s="13">
        <v>0</v>
      </c>
      <c r="E260" s="13">
        <v>1</v>
      </c>
    </row>
    <row r="261" spans="1:5" x14ac:dyDescent="0.3">
      <c r="A261" s="13" t="s">
        <v>1</v>
      </c>
      <c r="B261" s="13" t="s">
        <v>1882</v>
      </c>
      <c r="C261" s="13">
        <v>1</v>
      </c>
      <c r="D261" s="13">
        <v>0</v>
      </c>
      <c r="E261" s="13">
        <v>1</v>
      </c>
    </row>
    <row r="262" spans="1:5" x14ac:dyDescent="0.3">
      <c r="A262" s="13" t="s">
        <v>1</v>
      </c>
      <c r="B262" s="13" t="s">
        <v>2148</v>
      </c>
      <c r="C262" s="13">
        <v>2</v>
      </c>
      <c r="D262" s="13">
        <v>0</v>
      </c>
      <c r="E262" s="13">
        <v>2</v>
      </c>
    </row>
    <row r="263" spans="1:5" x14ac:dyDescent="0.3">
      <c r="A263" s="13" t="s">
        <v>1</v>
      </c>
      <c r="B263" s="13" t="s">
        <v>2425</v>
      </c>
      <c r="C263" s="13">
        <v>3</v>
      </c>
      <c r="D263" s="13">
        <v>0</v>
      </c>
      <c r="E263" s="13">
        <v>3</v>
      </c>
    </row>
    <row r="264" spans="1:5" x14ac:dyDescent="0.3">
      <c r="A264" s="13" t="s">
        <v>1</v>
      </c>
      <c r="B264" s="13" t="s">
        <v>2498</v>
      </c>
      <c r="C264" s="13">
        <v>1</v>
      </c>
      <c r="D264" s="13">
        <v>0</v>
      </c>
      <c r="E264" s="13">
        <v>1</v>
      </c>
    </row>
    <row r="265" spans="1:5" x14ac:dyDescent="0.3">
      <c r="A265" s="13" t="s">
        <v>1</v>
      </c>
      <c r="B265" s="13" t="s">
        <v>889</v>
      </c>
      <c r="C265" s="13">
        <v>1</v>
      </c>
      <c r="D265" s="13">
        <v>0</v>
      </c>
      <c r="E265" s="13">
        <v>1</v>
      </c>
    </row>
    <row r="266" spans="1:5" x14ac:dyDescent="0.3">
      <c r="A266" s="13" t="s">
        <v>1</v>
      </c>
      <c r="B266" s="13" t="s">
        <v>1709</v>
      </c>
      <c r="C266" s="13">
        <v>1</v>
      </c>
      <c r="D266" s="13">
        <v>0</v>
      </c>
      <c r="E266" s="13">
        <v>1</v>
      </c>
    </row>
    <row r="267" spans="1:5" x14ac:dyDescent="0.3">
      <c r="A267" s="13" t="s">
        <v>1</v>
      </c>
      <c r="B267" s="13" t="s">
        <v>510</v>
      </c>
      <c r="C267" s="13">
        <v>1</v>
      </c>
      <c r="D267" s="13">
        <v>0</v>
      </c>
      <c r="E267" s="13">
        <v>2</v>
      </c>
    </row>
    <row r="268" spans="1:5" x14ac:dyDescent="0.3">
      <c r="A268" s="13" t="s">
        <v>1</v>
      </c>
      <c r="B268" s="13" t="s">
        <v>112</v>
      </c>
      <c r="C268" s="13">
        <v>1</v>
      </c>
      <c r="D268" s="13">
        <v>0</v>
      </c>
      <c r="E268" s="13">
        <v>1</v>
      </c>
    </row>
    <row r="269" spans="1:5" x14ac:dyDescent="0.3">
      <c r="A269" s="13" t="s">
        <v>1</v>
      </c>
      <c r="B269" s="13" t="s">
        <v>281</v>
      </c>
      <c r="C269" s="13">
        <v>2</v>
      </c>
      <c r="D269" s="13">
        <v>0</v>
      </c>
      <c r="E269" s="13">
        <v>0</v>
      </c>
    </row>
    <row r="270" spans="1:5" x14ac:dyDescent="0.3">
      <c r="A270" s="13" t="s">
        <v>1</v>
      </c>
      <c r="B270" s="13" t="s">
        <v>1107</v>
      </c>
      <c r="C270" s="13">
        <v>1</v>
      </c>
      <c r="D270" s="13">
        <v>0</v>
      </c>
      <c r="E270" s="13">
        <v>1</v>
      </c>
    </row>
    <row r="271" spans="1:5" x14ac:dyDescent="0.3">
      <c r="A271" s="13" t="s">
        <v>1</v>
      </c>
      <c r="B271" s="13" t="s">
        <v>1585</v>
      </c>
      <c r="C271" s="13">
        <v>1</v>
      </c>
      <c r="D271" s="13">
        <v>0</v>
      </c>
      <c r="E271" s="13">
        <v>0</v>
      </c>
    </row>
    <row r="272" spans="1:5" x14ac:dyDescent="0.3">
      <c r="A272" s="13" t="s">
        <v>1</v>
      </c>
      <c r="B272" s="13" t="s">
        <v>1594</v>
      </c>
      <c r="C272" s="13">
        <v>1</v>
      </c>
      <c r="D272" s="13">
        <v>0</v>
      </c>
      <c r="E272" s="13">
        <v>1</v>
      </c>
    </row>
    <row r="273" spans="1:5" x14ac:dyDescent="0.3">
      <c r="A273" s="13" t="s">
        <v>1</v>
      </c>
      <c r="B273" s="13" t="s">
        <v>1535</v>
      </c>
      <c r="C273" s="13">
        <v>1</v>
      </c>
      <c r="D273" s="13">
        <v>0</v>
      </c>
      <c r="E273" s="13">
        <v>0</v>
      </c>
    </row>
    <row r="274" spans="1:5" x14ac:dyDescent="0.3">
      <c r="A274" s="13" t="s">
        <v>1</v>
      </c>
      <c r="B274" s="13" t="s">
        <v>479</v>
      </c>
      <c r="C274" s="13">
        <v>1</v>
      </c>
      <c r="D274" s="13">
        <v>0</v>
      </c>
      <c r="E274" s="13">
        <v>1</v>
      </c>
    </row>
    <row r="275" spans="1:5" x14ac:dyDescent="0.3">
      <c r="A275" s="13" t="s">
        <v>1</v>
      </c>
      <c r="B275" s="13" t="s">
        <v>118</v>
      </c>
      <c r="C275" s="13">
        <v>1</v>
      </c>
      <c r="D275" s="13">
        <v>0</v>
      </c>
      <c r="E275" s="13">
        <v>1</v>
      </c>
    </row>
    <row r="276" spans="1:5" x14ac:dyDescent="0.3">
      <c r="A276" s="13" t="s">
        <v>1</v>
      </c>
      <c r="B276" s="13" t="s">
        <v>122</v>
      </c>
      <c r="C276" s="13">
        <v>1</v>
      </c>
      <c r="D276" s="13">
        <v>0</v>
      </c>
      <c r="E276" s="13">
        <v>1</v>
      </c>
    </row>
    <row r="277" spans="1:5" x14ac:dyDescent="0.3">
      <c r="A277" s="13" t="s">
        <v>1</v>
      </c>
      <c r="B277" s="13" t="s">
        <v>705</v>
      </c>
      <c r="C277" s="13">
        <v>1</v>
      </c>
      <c r="D277" s="13">
        <v>0</v>
      </c>
      <c r="E277" s="13">
        <v>1</v>
      </c>
    </row>
    <row r="278" spans="1:5" x14ac:dyDescent="0.3">
      <c r="A278" s="13" t="s">
        <v>1</v>
      </c>
      <c r="B278" s="13" t="s">
        <v>1042</v>
      </c>
      <c r="C278" s="13">
        <v>1</v>
      </c>
      <c r="D278" s="13">
        <v>0</v>
      </c>
      <c r="E278" s="13">
        <v>1</v>
      </c>
    </row>
    <row r="279" spans="1:5" x14ac:dyDescent="0.3">
      <c r="A279" s="13" t="s">
        <v>1</v>
      </c>
      <c r="B279" s="13" t="s">
        <v>435</v>
      </c>
      <c r="C279" s="13">
        <v>1</v>
      </c>
      <c r="D279" s="13">
        <v>0</v>
      </c>
      <c r="E279" s="13">
        <v>1</v>
      </c>
    </row>
    <row r="280" spans="1:5" x14ac:dyDescent="0.3">
      <c r="A280" s="13" t="s">
        <v>1</v>
      </c>
      <c r="B280" s="13" t="s">
        <v>779</v>
      </c>
      <c r="C280" s="13">
        <v>1</v>
      </c>
      <c r="D280" s="13">
        <v>0</v>
      </c>
      <c r="E280" s="13">
        <v>0</v>
      </c>
    </row>
    <row r="281" spans="1:5" x14ac:dyDescent="0.3">
      <c r="A281" s="13" t="s">
        <v>1</v>
      </c>
      <c r="B281" s="13" t="s">
        <v>296</v>
      </c>
      <c r="C281" s="13">
        <v>1</v>
      </c>
      <c r="D281" s="13">
        <v>0</v>
      </c>
      <c r="E281" s="13">
        <v>2</v>
      </c>
    </row>
    <row r="282" spans="1:5" x14ac:dyDescent="0.3">
      <c r="A282" s="13" t="s">
        <v>1</v>
      </c>
      <c r="B282" s="13" t="s">
        <v>231</v>
      </c>
      <c r="C282" s="13">
        <v>2</v>
      </c>
      <c r="D282" s="13">
        <v>0</v>
      </c>
      <c r="E282" s="13">
        <v>2</v>
      </c>
    </row>
    <row r="283" spans="1:5" x14ac:dyDescent="0.3">
      <c r="A283" s="13" t="s">
        <v>1</v>
      </c>
      <c r="B283" s="13" t="s">
        <v>66</v>
      </c>
      <c r="C283" s="13">
        <v>1</v>
      </c>
      <c r="D283" s="13">
        <v>0</v>
      </c>
      <c r="E283" s="13">
        <v>4</v>
      </c>
    </row>
    <row r="284" spans="1:5" x14ac:dyDescent="0.3">
      <c r="A284" s="13" t="s">
        <v>1</v>
      </c>
      <c r="B284" s="13" t="s">
        <v>192</v>
      </c>
      <c r="C284" s="13">
        <v>1</v>
      </c>
      <c r="D284" s="13">
        <v>0</v>
      </c>
      <c r="E284" s="13">
        <v>1</v>
      </c>
    </row>
    <row r="285" spans="1:5" x14ac:dyDescent="0.3">
      <c r="A285" s="13" t="s">
        <v>1</v>
      </c>
      <c r="B285" s="13" t="s">
        <v>55</v>
      </c>
      <c r="C285" s="13">
        <v>1</v>
      </c>
      <c r="D285" s="13">
        <v>0</v>
      </c>
      <c r="E285" s="13">
        <v>1</v>
      </c>
    </row>
    <row r="286" spans="1:5" x14ac:dyDescent="0.3">
      <c r="A286" s="13" t="s">
        <v>1</v>
      </c>
      <c r="B286" s="13" t="s">
        <v>2499</v>
      </c>
      <c r="C286" s="13">
        <v>0</v>
      </c>
      <c r="D286" s="13">
        <v>1</v>
      </c>
      <c r="E286" s="13"/>
    </row>
    <row r="287" spans="1:5" x14ac:dyDescent="0.3">
      <c r="A287" s="13" t="s">
        <v>1</v>
      </c>
      <c r="B287" s="13" t="s">
        <v>721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1</v>
      </c>
      <c r="B288" s="13" t="s">
        <v>1062</v>
      </c>
      <c r="C288" s="13">
        <v>1</v>
      </c>
      <c r="D288" s="13">
        <v>0</v>
      </c>
      <c r="E288" s="13">
        <v>0</v>
      </c>
    </row>
    <row r="289" spans="1:5" x14ac:dyDescent="0.3">
      <c r="A289" s="13" t="s">
        <v>1</v>
      </c>
      <c r="B289" s="13" t="s">
        <v>2348</v>
      </c>
      <c r="C289" s="13">
        <v>1</v>
      </c>
      <c r="D289" s="13">
        <v>0</v>
      </c>
      <c r="E289" s="13">
        <v>1</v>
      </c>
    </row>
    <row r="290" spans="1:5" x14ac:dyDescent="0.3">
      <c r="A290" s="13" t="s">
        <v>0</v>
      </c>
      <c r="B290" s="13" t="s">
        <v>445</v>
      </c>
      <c r="C290" s="13">
        <v>1</v>
      </c>
      <c r="D290" s="13">
        <v>0</v>
      </c>
      <c r="E290" s="13">
        <v>1</v>
      </c>
    </row>
    <row r="291" spans="1:5" x14ac:dyDescent="0.3">
      <c r="A291" s="13" t="s">
        <v>0</v>
      </c>
      <c r="B291" s="13" t="s">
        <v>73</v>
      </c>
      <c r="C291" s="13">
        <v>1</v>
      </c>
      <c r="D291" s="13">
        <v>0</v>
      </c>
      <c r="E291" s="13">
        <v>2</v>
      </c>
    </row>
    <row r="292" spans="1:5" x14ac:dyDescent="0.3">
      <c r="A292" s="13" t="s">
        <v>0</v>
      </c>
      <c r="B292" s="13" t="s">
        <v>496</v>
      </c>
      <c r="C292" s="13">
        <v>1</v>
      </c>
      <c r="D292" s="13">
        <v>0</v>
      </c>
      <c r="E292" s="13">
        <v>1</v>
      </c>
    </row>
    <row r="293" spans="1:5" x14ac:dyDescent="0.3">
      <c r="A293" s="13" t="s">
        <v>0</v>
      </c>
      <c r="B293" s="13" t="s">
        <v>930</v>
      </c>
      <c r="C293" s="13">
        <v>1</v>
      </c>
      <c r="D293" s="13">
        <v>0</v>
      </c>
      <c r="E293" s="13">
        <v>2</v>
      </c>
    </row>
    <row r="294" spans="1:5" x14ac:dyDescent="0.3">
      <c r="A294" s="13" t="s">
        <v>0</v>
      </c>
      <c r="B294" s="13" t="s">
        <v>1112</v>
      </c>
      <c r="C294" s="13">
        <v>1</v>
      </c>
      <c r="D294" s="13">
        <v>0</v>
      </c>
      <c r="E294" s="13">
        <v>1</v>
      </c>
    </row>
    <row r="295" spans="1:5" x14ac:dyDescent="0.3">
      <c r="A295" s="13" t="s">
        <v>0</v>
      </c>
      <c r="B295" s="13" t="s">
        <v>1674</v>
      </c>
      <c r="C295" s="13">
        <v>1</v>
      </c>
      <c r="D295" s="13">
        <v>0</v>
      </c>
      <c r="E295" s="13">
        <v>1</v>
      </c>
    </row>
    <row r="296" spans="1:5" x14ac:dyDescent="0.3">
      <c r="A296" s="13" t="s">
        <v>0</v>
      </c>
      <c r="B296" s="13" t="s">
        <v>1888</v>
      </c>
      <c r="C296" s="13">
        <v>1</v>
      </c>
      <c r="D296" s="13">
        <v>0</v>
      </c>
      <c r="E296" s="13">
        <v>1</v>
      </c>
    </row>
    <row r="297" spans="1:5" x14ac:dyDescent="0.3">
      <c r="A297" s="13" t="s">
        <v>0</v>
      </c>
      <c r="B297" s="13" t="s">
        <v>619</v>
      </c>
      <c r="C297" s="13">
        <v>1</v>
      </c>
      <c r="D297" s="13">
        <v>0</v>
      </c>
      <c r="E297" s="13">
        <v>1</v>
      </c>
    </row>
    <row r="298" spans="1:5" x14ac:dyDescent="0.3">
      <c r="A298" s="13" t="s">
        <v>0</v>
      </c>
      <c r="B298" s="13" t="s">
        <v>319</v>
      </c>
      <c r="C298" s="13">
        <v>1</v>
      </c>
      <c r="D298" s="13">
        <v>0</v>
      </c>
      <c r="E298" s="13">
        <v>1</v>
      </c>
    </row>
    <row r="299" spans="1:5" x14ac:dyDescent="0.3">
      <c r="A299" s="13" t="s">
        <v>0</v>
      </c>
      <c r="B299" s="13" t="s">
        <v>1293</v>
      </c>
      <c r="C299" s="13">
        <v>1</v>
      </c>
      <c r="D299" s="13">
        <v>0</v>
      </c>
      <c r="E299" s="13">
        <v>1</v>
      </c>
    </row>
    <row r="300" spans="1:5" x14ac:dyDescent="0.3">
      <c r="A300" s="13" t="s">
        <v>0</v>
      </c>
      <c r="B300" s="13" t="s">
        <v>122</v>
      </c>
      <c r="C300" s="13">
        <v>1</v>
      </c>
      <c r="D300" s="13">
        <v>0</v>
      </c>
      <c r="E300" s="13">
        <v>1</v>
      </c>
    </row>
    <row r="301" spans="1:5" x14ac:dyDescent="0.3">
      <c r="A301" s="13" t="s">
        <v>0</v>
      </c>
      <c r="B301" s="13" t="s">
        <v>438</v>
      </c>
      <c r="C301" s="13">
        <v>1</v>
      </c>
      <c r="D301" s="13">
        <v>0</v>
      </c>
      <c r="E301" s="13">
        <v>1</v>
      </c>
    </row>
    <row r="302" spans="1:5" x14ac:dyDescent="0.3">
      <c r="A302" s="13" t="s">
        <v>0</v>
      </c>
      <c r="B302" s="13" t="s">
        <v>231</v>
      </c>
      <c r="C302" s="13">
        <v>1</v>
      </c>
      <c r="D302" s="13">
        <v>0</v>
      </c>
      <c r="E302" s="13">
        <v>1</v>
      </c>
    </row>
    <row r="303" spans="1:5" x14ac:dyDescent="0.3">
      <c r="A303" s="13" t="s">
        <v>0</v>
      </c>
      <c r="B303" s="13" t="s">
        <v>460</v>
      </c>
      <c r="C303" s="13">
        <v>1</v>
      </c>
      <c r="D303" s="13">
        <v>0</v>
      </c>
      <c r="E303" s="13">
        <v>1</v>
      </c>
    </row>
    <row r="304" spans="1:5" x14ac:dyDescent="0.3">
      <c r="A304" s="13" t="s">
        <v>0</v>
      </c>
      <c r="B304" s="13" t="s">
        <v>54</v>
      </c>
      <c r="C304" s="13">
        <v>2</v>
      </c>
      <c r="D304" s="13">
        <v>0</v>
      </c>
      <c r="E304" s="13">
        <v>3</v>
      </c>
    </row>
    <row r="305" spans="1:5" x14ac:dyDescent="0.3">
      <c r="A305" s="13" t="s">
        <v>0</v>
      </c>
      <c r="B305" s="13" t="s">
        <v>1014</v>
      </c>
      <c r="C305" s="13">
        <v>1</v>
      </c>
      <c r="D305" s="13">
        <v>0</v>
      </c>
      <c r="E305" s="13">
        <v>2</v>
      </c>
    </row>
    <row r="306" spans="1:5" x14ac:dyDescent="0.3">
      <c r="A306" s="13" t="s">
        <v>0</v>
      </c>
      <c r="B306" s="13" t="s">
        <v>236</v>
      </c>
      <c r="C306" s="13">
        <v>1</v>
      </c>
      <c r="D306" s="13">
        <v>0</v>
      </c>
      <c r="E306" s="13">
        <v>1</v>
      </c>
    </row>
    <row r="307" spans="1:5" x14ac:dyDescent="0.3">
      <c r="A307" s="13" t="s">
        <v>0</v>
      </c>
      <c r="B307" s="13" t="s">
        <v>371</v>
      </c>
      <c r="C307" s="13">
        <v>1</v>
      </c>
      <c r="D307" s="13">
        <v>0</v>
      </c>
      <c r="E307" s="13">
        <v>1</v>
      </c>
    </row>
    <row r="308" spans="1:5" x14ac:dyDescent="0.3">
      <c r="A308" s="13" t="s">
        <v>0</v>
      </c>
      <c r="B308" s="13" t="s">
        <v>1591</v>
      </c>
      <c r="C308" s="13">
        <v>1</v>
      </c>
      <c r="D308" s="13">
        <v>0</v>
      </c>
      <c r="E308" s="13">
        <v>1</v>
      </c>
    </row>
    <row r="309" spans="1:5" x14ac:dyDescent="0.3">
      <c r="A309" s="13" t="s">
        <v>0</v>
      </c>
      <c r="B309" s="13" t="s">
        <v>2178</v>
      </c>
      <c r="C309" s="13">
        <v>1</v>
      </c>
      <c r="D309" s="13">
        <v>0</v>
      </c>
      <c r="E309" s="13">
        <v>2</v>
      </c>
    </row>
    <row r="310" spans="1:5" x14ac:dyDescent="0.3">
      <c r="A310" s="13" t="s">
        <v>0</v>
      </c>
      <c r="B310" s="13" t="s">
        <v>1944</v>
      </c>
      <c r="C310" s="13">
        <v>0</v>
      </c>
      <c r="D310" s="13">
        <v>1</v>
      </c>
      <c r="E310" s="13"/>
    </row>
    <row r="311" spans="1:5" x14ac:dyDescent="0.3">
      <c r="A311" s="13" t="s">
        <v>0</v>
      </c>
      <c r="B311" s="13" t="s">
        <v>1394</v>
      </c>
      <c r="C311" s="13">
        <v>1</v>
      </c>
      <c r="D311" s="13">
        <v>0</v>
      </c>
      <c r="E311" s="13">
        <v>1</v>
      </c>
    </row>
    <row r="312" spans="1:5" x14ac:dyDescent="0.3">
      <c r="A312" s="13" t="s">
        <v>0</v>
      </c>
      <c r="B312" s="13" t="s">
        <v>32</v>
      </c>
      <c r="C312" s="13">
        <v>1</v>
      </c>
      <c r="D312" s="13">
        <v>0</v>
      </c>
      <c r="E312" s="13">
        <v>1</v>
      </c>
    </row>
    <row r="313" spans="1:5" x14ac:dyDescent="0.3">
      <c r="A313" s="13" t="s">
        <v>2</v>
      </c>
      <c r="B313" s="13" t="s">
        <v>30</v>
      </c>
      <c r="C313" s="13">
        <v>1</v>
      </c>
      <c r="D313" s="13">
        <v>0</v>
      </c>
      <c r="E313" s="13">
        <v>2</v>
      </c>
    </row>
    <row r="314" spans="1:5" x14ac:dyDescent="0.3">
      <c r="A314" s="13" t="s">
        <v>2</v>
      </c>
      <c r="B314" s="13" t="s">
        <v>192</v>
      </c>
      <c r="C314" s="13">
        <v>1</v>
      </c>
      <c r="D314" s="13">
        <v>0</v>
      </c>
      <c r="E314" s="13">
        <v>2</v>
      </c>
    </row>
    <row r="315" spans="1:5" x14ac:dyDescent="0.3">
      <c r="A315" s="13"/>
      <c r="B315" s="13"/>
      <c r="C315" s="13"/>
      <c r="D315" s="13"/>
      <c r="E315" s="13"/>
    </row>
    <row r="316" spans="1:5" x14ac:dyDescent="0.3">
      <c r="A316" s="13"/>
      <c r="B316" s="13"/>
      <c r="C316" s="13"/>
      <c r="D316" s="13"/>
      <c r="E316" s="13"/>
    </row>
    <row r="317" spans="1:5" x14ac:dyDescent="0.3">
      <c r="A317" s="13"/>
      <c r="B317" s="13"/>
      <c r="C317" s="13"/>
      <c r="D317" s="13"/>
      <c r="E317" s="13"/>
    </row>
    <row r="318" spans="1:5" x14ac:dyDescent="0.3">
      <c r="A318" s="13"/>
      <c r="B318" s="13"/>
      <c r="C318" s="13"/>
      <c r="D318" s="13"/>
      <c r="E318" s="13"/>
    </row>
    <row r="319" spans="1:5" x14ac:dyDescent="0.3">
      <c r="A319" s="13"/>
      <c r="B319" s="13"/>
      <c r="C319" s="13"/>
      <c r="D319" s="13"/>
      <c r="E319" s="13"/>
    </row>
    <row r="320" spans="1:5" x14ac:dyDescent="0.3">
      <c r="A320" s="13"/>
      <c r="B320" s="13"/>
      <c r="C320" s="13"/>
      <c r="D320" s="13"/>
      <c r="E320" s="13"/>
    </row>
    <row r="321" spans="1:5" x14ac:dyDescent="0.3">
      <c r="A321" s="13"/>
      <c r="B321" s="13"/>
      <c r="C321" s="13"/>
      <c r="D321" s="13"/>
      <c r="E321" s="13"/>
    </row>
    <row r="322" spans="1:5" x14ac:dyDescent="0.3">
      <c r="A322" s="13"/>
      <c r="B322" s="13"/>
      <c r="C322" s="13"/>
      <c r="D322" s="13"/>
      <c r="E322" s="13"/>
    </row>
    <row r="323" spans="1:5" x14ac:dyDescent="0.3">
      <c r="A323" s="13"/>
      <c r="B323" s="13"/>
      <c r="C323" s="13"/>
      <c r="D323" s="13"/>
      <c r="E323" s="13"/>
    </row>
    <row r="324" spans="1:5" x14ac:dyDescent="0.3">
      <c r="A324" s="13"/>
      <c r="B324" s="13"/>
      <c r="C324" s="13"/>
      <c r="D324" s="13"/>
      <c r="E324" s="13"/>
    </row>
    <row r="325" spans="1:5" x14ac:dyDescent="0.3">
      <c r="A325" s="13"/>
      <c r="B325" s="13"/>
      <c r="C325" s="13"/>
      <c r="D325" s="13"/>
      <c r="E325" s="13"/>
    </row>
    <row r="326" spans="1:5" x14ac:dyDescent="0.3">
      <c r="A326" s="13"/>
      <c r="B326" s="13"/>
      <c r="C326" s="13"/>
      <c r="D326" s="13"/>
      <c r="E326" s="13"/>
    </row>
    <row r="327" spans="1:5" x14ac:dyDescent="0.3">
      <c r="A327" s="13"/>
      <c r="B327" s="13"/>
      <c r="C327" s="13"/>
      <c r="D327" s="13"/>
      <c r="E327" s="13"/>
    </row>
    <row r="328" spans="1:5" x14ac:dyDescent="0.3">
      <c r="A328" s="13"/>
      <c r="B328" s="13"/>
      <c r="C328" s="13"/>
      <c r="D328" s="13"/>
      <c r="E328" s="13"/>
    </row>
    <row r="329" spans="1:5" x14ac:dyDescent="0.3">
      <c r="A329" s="13"/>
      <c r="B329" s="13"/>
      <c r="C329" s="13"/>
      <c r="D329" s="13"/>
      <c r="E329" s="13"/>
    </row>
    <row r="330" spans="1:5" x14ac:dyDescent="0.3">
      <c r="A330" s="13"/>
      <c r="B330" s="13"/>
      <c r="C330" s="13"/>
      <c r="D330" s="13"/>
      <c r="E330" s="13"/>
    </row>
    <row r="331" spans="1:5" x14ac:dyDescent="0.3">
      <c r="A331" s="13"/>
      <c r="B331" s="13"/>
      <c r="C331" s="13"/>
      <c r="D331" s="13"/>
      <c r="E331" s="13"/>
    </row>
    <row r="332" spans="1:5" x14ac:dyDescent="0.3">
      <c r="A332" s="13"/>
      <c r="B332" s="13"/>
      <c r="C332" s="13"/>
      <c r="D332" s="13"/>
      <c r="E332" s="13"/>
    </row>
    <row r="333" spans="1:5" x14ac:dyDescent="0.3">
      <c r="A333" s="13"/>
      <c r="B333" s="13"/>
      <c r="C333" s="13"/>
      <c r="D333" s="13"/>
      <c r="E333" s="13"/>
    </row>
    <row r="334" spans="1:5" x14ac:dyDescent="0.3">
      <c r="A334" s="13"/>
      <c r="B334" s="13"/>
      <c r="C334" s="13"/>
      <c r="D334" s="13"/>
      <c r="E334" s="13"/>
    </row>
    <row r="335" spans="1:5" x14ac:dyDescent="0.3">
      <c r="A335" s="13"/>
      <c r="B335" s="13"/>
      <c r="C335" s="13"/>
      <c r="D335" s="13"/>
      <c r="E335" s="13"/>
    </row>
    <row r="336" spans="1:5" x14ac:dyDescent="0.3">
      <c r="A336" s="13"/>
      <c r="B336" s="13"/>
      <c r="C336" s="13"/>
      <c r="D336" s="13"/>
      <c r="E336" s="13"/>
    </row>
    <row r="337" spans="1:5" x14ac:dyDescent="0.3">
      <c r="A337" s="13"/>
      <c r="B337" s="13"/>
      <c r="C337" s="13"/>
      <c r="D337" s="13"/>
      <c r="E337" s="13"/>
    </row>
    <row r="338" spans="1:5" x14ac:dyDescent="0.3">
      <c r="A338" s="13"/>
      <c r="B338" s="13"/>
      <c r="C338" s="13"/>
      <c r="D338" s="13"/>
      <c r="E338" s="13"/>
    </row>
    <row r="339" spans="1:5" x14ac:dyDescent="0.3">
      <c r="A339" s="13"/>
      <c r="B339" s="13"/>
      <c r="C339" s="13"/>
      <c r="D339" s="13"/>
      <c r="E339" s="13"/>
    </row>
    <row r="340" spans="1:5" x14ac:dyDescent="0.3">
      <c r="A340" s="13"/>
      <c r="B340" s="13"/>
      <c r="C340" s="13"/>
      <c r="D340" s="13"/>
      <c r="E340" s="13"/>
    </row>
    <row r="341" spans="1:5" x14ac:dyDescent="0.3">
      <c r="A341" s="13"/>
      <c r="B341" s="13"/>
      <c r="C341" s="13"/>
      <c r="D341" s="13"/>
      <c r="E341" s="13"/>
    </row>
    <row r="342" spans="1:5" x14ac:dyDescent="0.3">
      <c r="A342" s="13"/>
      <c r="B342" s="13"/>
      <c r="C342" s="13"/>
      <c r="D342" s="13"/>
      <c r="E342" s="13"/>
    </row>
    <row r="343" spans="1:5" x14ac:dyDescent="0.3">
      <c r="A343" s="13"/>
      <c r="B343" s="13"/>
      <c r="C343" s="13"/>
      <c r="D343" s="13"/>
      <c r="E343" s="13"/>
    </row>
    <row r="344" spans="1:5" x14ac:dyDescent="0.3">
      <c r="A344" s="13"/>
      <c r="B344" s="13"/>
      <c r="C344" s="13"/>
      <c r="D344" s="13"/>
      <c r="E344" s="13"/>
    </row>
    <row r="345" spans="1:5" x14ac:dyDescent="0.3">
      <c r="A345" s="13"/>
      <c r="B345" s="13"/>
      <c r="C345" s="13"/>
      <c r="D345" s="13"/>
      <c r="E345" s="13"/>
    </row>
    <row r="346" spans="1:5" x14ac:dyDescent="0.3">
      <c r="A346" s="13"/>
      <c r="B346" s="13"/>
      <c r="C346" s="13"/>
      <c r="D346" s="13"/>
      <c r="E346" s="13"/>
    </row>
    <row r="347" spans="1:5" x14ac:dyDescent="0.3">
      <c r="A347" s="13"/>
      <c r="B347" s="13"/>
      <c r="C347" s="13"/>
      <c r="D347" s="13"/>
      <c r="E347" s="13"/>
    </row>
    <row r="348" spans="1:5" x14ac:dyDescent="0.3">
      <c r="A348" s="13"/>
      <c r="B348" s="13"/>
      <c r="C348" s="13"/>
      <c r="D348" s="13"/>
      <c r="E348" s="13"/>
    </row>
    <row r="349" spans="1:5" x14ac:dyDescent="0.3">
      <c r="A349" s="13"/>
      <c r="B349" s="13"/>
      <c r="C349" s="13"/>
      <c r="D349" s="13"/>
      <c r="E349" s="13"/>
    </row>
    <row r="350" spans="1:5" x14ac:dyDescent="0.3">
      <c r="A350" s="13"/>
      <c r="B350" s="13"/>
      <c r="C350" s="13"/>
      <c r="D350" s="13"/>
      <c r="E350" s="13"/>
    </row>
    <row r="351" spans="1:5" x14ac:dyDescent="0.3">
      <c r="A351" s="13"/>
      <c r="B351" s="13"/>
      <c r="C351" s="13"/>
      <c r="D351" s="13"/>
      <c r="E351" s="13"/>
    </row>
    <row r="352" spans="1:5" x14ac:dyDescent="0.3">
      <c r="A352" s="13"/>
      <c r="B352" s="13"/>
      <c r="C352" s="13"/>
      <c r="D352" s="13"/>
      <c r="E352" s="13"/>
    </row>
    <row r="353" spans="1:5" x14ac:dyDescent="0.3">
      <c r="A353" s="13"/>
      <c r="B353" s="13"/>
      <c r="C353" s="13"/>
      <c r="D353" s="13"/>
      <c r="E353" s="13"/>
    </row>
    <row r="354" spans="1:5" x14ac:dyDescent="0.3">
      <c r="A354" s="13"/>
      <c r="B354" s="13"/>
      <c r="C354" s="13"/>
      <c r="D354" s="13"/>
      <c r="E354" s="13"/>
    </row>
    <row r="355" spans="1:5" x14ac:dyDescent="0.3">
      <c r="A355" s="13"/>
      <c r="B355" s="13"/>
      <c r="C355" s="13"/>
      <c r="D355" s="13"/>
      <c r="E355" s="13"/>
    </row>
    <row r="356" spans="1:5" x14ac:dyDescent="0.3">
      <c r="A356" s="13"/>
      <c r="B356" s="13"/>
      <c r="C356" s="13"/>
      <c r="D356" s="13"/>
      <c r="E356" s="13"/>
    </row>
    <row r="357" spans="1:5" x14ac:dyDescent="0.3">
      <c r="A357" s="13"/>
      <c r="B357" s="13"/>
      <c r="C357" s="13"/>
      <c r="D357" s="13"/>
      <c r="E357" s="13"/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AAB86-A0F8-44E6-B1F5-1A8ED69F9F7B}">
  <sheetPr codeName="Sheet42"/>
  <dimension ref="A1:M620"/>
  <sheetViews>
    <sheetView workbookViewId="0">
      <selection activeCell="A2" sqref="A2:E341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928</v>
      </c>
      <c r="C2" s="13">
        <v>82</v>
      </c>
      <c r="D2" s="13">
        <v>81</v>
      </c>
      <c r="E2" s="13">
        <v>84</v>
      </c>
    </row>
    <row r="3" spans="1:13" customFormat="1" x14ac:dyDescent="0.3">
      <c r="A3" s="13" t="s">
        <v>0</v>
      </c>
      <c r="B3" s="13" t="s">
        <v>2408</v>
      </c>
      <c r="C3" s="13">
        <v>80</v>
      </c>
      <c r="D3" s="13">
        <v>69</v>
      </c>
      <c r="E3" s="13">
        <v>89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135</v>
      </c>
      <c r="C4" s="13">
        <v>48</v>
      </c>
      <c r="D4" s="13">
        <v>48</v>
      </c>
      <c r="E4" s="13">
        <v>48</v>
      </c>
      <c r="G4" s="19" t="s">
        <v>8</v>
      </c>
      <c r="H4" s="15">
        <f>H13+H14</f>
        <v>330</v>
      </c>
      <c r="I4" s="16">
        <f>H4/H$6</f>
        <v>0.4059040590405904</v>
      </c>
      <c r="J4" s="15">
        <f>I13+I14</f>
        <v>226</v>
      </c>
      <c r="K4" s="16">
        <f>J4/J$6</f>
        <v>0.34556574923547401</v>
      </c>
      <c r="L4" s="15">
        <f>J13+J14</f>
        <v>384</v>
      </c>
      <c r="M4" s="25">
        <f>L4/L$6</f>
        <v>0.42059145673603504</v>
      </c>
    </row>
    <row r="5" spans="1:13" customFormat="1" x14ac:dyDescent="0.3">
      <c r="A5" s="13" t="s">
        <v>0</v>
      </c>
      <c r="B5" s="13" t="s">
        <v>29</v>
      </c>
      <c r="C5" s="13">
        <v>29</v>
      </c>
      <c r="D5" s="13">
        <v>27</v>
      </c>
      <c r="E5" s="13">
        <v>29</v>
      </c>
      <c r="G5" s="19" t="s">
        <v>10</v>
      </c>
      <c r="H5" s="15">
        <f>H15+H16</f>
        <v>483</v>
      </c>
      <c r="I5" s="16">
        <f>H5/H$6</f>
        <v>0.59409594095940954</v>
      </c>
      <c r="J5" s="15">
        <f>I15+I16</f>
        <v>428</v>
      </c>
      <c r="K5" s="16">
        <f>J5/J$6</f>
        <v>0.65443425076452599</v>
      </c>
      <c r="L5" s="15">
        <f>J15+J16</f>
        <v>529</v>
      </c>
      <c r="M5" s="25">
        <f>L5/L$6</f>
        <v>0.57940854326396496</v>
      </c>
    </row>
    <row r="6" spans="1:13" customFormat="1" ht="17.25" thickBot="1" x14ac:dyDescent="0.35">
      <c r="A6" s="13" t="s">
        <v>0</v>
      </c>
      <c r="B6" s="13" t="s">
        <v>31</v>
      </c>
      <c r="C6" s="13">
        <v>26</v>
      </c>
      <c r="D6" s="13">
        <v>25</v>
      </c>
      <c r="E6" s="13">
        <v>27</v>
      </c>
      <c r="G6" s="22"/>
      <c r="H6" s="26">
        <f>SUM(H4:H5)</f>
        <v>813</v>
      </c>
      <c r="I6" s="27">
        <f>I4+I5</f>
        <v>1</v>
      </c>
      <c r="J6" s="26">
        <f>SUM(J4:J5)</f>
        <v>654</v>
      </c>
      <c r="K6" s="27">
        <f>K4+K5</f>
        <v>1</v>
      </c>
      <c r="L6" s="26">
        <f>SUM(L4:L5)</f>
        <v>913</v>
      </c>
      <c r="M6" s="28">
        <f>M4+M5</f>
        <v>1</v>
      </c>
    </row>
    <row r="7" spans="1:13" customFormat="1" x14ac:dyDescent="0.3">
      <c r="A7" s="13" t="s">
        <v>0</v>
      </c>
      <c r="B7" s="13" t="s">
        <v>1948</v>
      </c>
      <c r="C7" s="13">
        <v>10</v>
      </c>
      <c r="D7" s="13">
        <v>10</v>
      </c>
      <c r="E7" s="13">
        <v>12</v>
      </c>
    </row>
    <row r="8" spans="1:13" customFormat="1" x14ac:dyDescent="0.3">
      <c r="A8" s="13" t="s">
        <v>1</v>
      </c>
      <c r="B8" s="13" t="s">
        <v>29</v>
      </c>
      <c r="C8" s="13">
        <v>9</v>
      </c>
      <c r="D8" s="13">
        <v>9</v>
      </c>
      <c r="E8" s="13">
        <v>9</v>
      </c>
    </row>
    <row r="9" spans="1:13" customFormat="1" x14ac:dyDescent="0.3">
      <c r="A9" s="13" t="s">
        <v>0</v>
      </c>
      <c r="B9" s="13" t="s">
        <v>37</v>
      </c>
      <c r="C9" s="13">
        <v>7</v>
      </c>
      <c r="D9" s="13">
        <v>7</v>
      </c>
      <c r="E9" s="13">
        <v>7</v>
      </c>
    </row>
    <row r="10" spans="1:13" customFormat="1" ht="17.25" thickBot="1" x14ac:dyDescent="0.35">
      <c r="A10" s="13" t="s">
        <v>1</v>
      </c>
      <c r="B10" s="13" t="s">
        <v>30</v>
      </c>
      <c r="C10" s="13">
        <v>13</v>
      </c>
      <c r="D10" s="13">
        <v>6</v>
      </c>
      <c r="E10" s="13">
        <v>22</v>
      </c>
    </row>
    <row r="11" spans="1:13" x14ac:dyDescent="0.3">
      <c r="A11" s="13" t="s">
        <v>0</v>
      </c>
      <c r="B11" s="13" t="s">
        <v>61</v>
      </c>
      <c r="C11" s="13">
        <v>7</v>
      </c>
      <c r="D11" s="13">
        <v>6</v>
      </c>
      <c r="E11" s="13">
        <v>7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94</v>
      </c>
      <c r="C12" s="13">
        <v>6</v>
      </c>
      <c r="D12" s="13">
        <v>6</v>
      </c>
      <c r="E12" s="13">
        <v>6</v>
      </c>
      <c r="G12" s="19"/>
      <c r="H12" s="17">
        <f t="shared" ref="H12:J12" si="0">SUM(H13:H16)</f>
        <v>813</v>
      </c>
      <c r="I12" s="17">
        <f t="shared" si="0"/>
        <v>654</v>
      </c>
      <c r="J12" s="20">
        <f t="shared" si="0"/>
        <v>913</v>
      </c>
    </row>
    <row r="13" spans="1:13" x14ac:dyDescent="0.3">
      <c r="A13" s="13" t="s">
        <v>1</v>
      </c>
      <c r="B13" s="13" t="s">
        <v>2408</v>
      </c>
      <c r="C13" s="13">
        <v>5</v>
      </c>
      <c r="D13" s="13">
        <v>5</v>
      </c>
      <c r="E13" s="13">
        <v>5</v>
      </c>
      <c r="G13" s="19" t="s">
        <v>7</v>
      </c>
      <c r="H13" s="18">
        <f t="shared" ref="H13:J16" si="1">SUMIF($A$2:$A$9999,$G13,C$2:C$9999)</f>
        <v>330</v>
      </c>
      <c r="I13" s="18">
        <f t="shared" si="1"/>
        <v>226</v>
      </c>
      <c r="J13" s="21">
        <f t="shared" si="1"/>
        <v>384</v>
      </c>
    </row>
    <row r="14" spans="1:13" x14ac:dyDescent="0.3">
      <c r="A14" s="13" t="s">
        <v>1</v>
      </c>
      <c r="B14" s="13" t="s">
        <v>37</v>
      </c>
      <c r="C14" s="13">
        <v>6</v>
      </c>
      <c r="D14" s="13">
        <v>5</v>
      </c>
      <c r="E14" s="13">
        <v>6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0</v>
      </c>
      <c r="B15" s="13" t="s">
        <v>1067</v>
      </c>
      <c r="C15" s="13">
        <v>6</v>
      </c>
      <c r="D15" s="13">
        <v>5</v>
      </c>
      <c r="E15" s="13">
        <v>7</v>
      </c>
      <c r="G15" s="19" t="s">
        <v>11</v>
      </c>
      <c r="H15" s="18">
        <f t="shared" si="1"/>
        <v>465</v>
      </c>
      <c r="I15" s="18">
        <f t="shared" si="1"/>
        <v>411</v>
      </c>
      <c r="J15" s="21">
        <f t="shared" si="1"/>
        <v>510</v>
      </c>
    </row>
    <row r="16" spans="1:13" ht="17.25" thickBot="1" x14ac:dyDescent="0.35">
      <c r="A16" s="13" t="s">
        <v>1</v>
      </c>
      <c r="B16" s="13" t="s">
        <v>61</v>
      </c>
      <c r="C16" s="13">
        <v>4</v>
      </c>
      <c r="D16" s="13">
        <v>4</v>
      </c>
      <c r="E16" s="13">
        <v>4</v>
      </c>
      <c r="G16" s="22" t="s">
        <v>12</v>
      </c>
      <c r="H16" s="23">
        <f t="shared" si="1"/>
        <v>18</v>
      </c>
      <c r="I16" s="23">
        <f t="shared" si="1"/>
        <v>17</v>
      </c>
      <c r="J16" s="24">
        <f t="shared" si="1"/>
        <v>19</v>
      </c>
    </row>
    <row r="17" spans="1:5" x14ac:dyDescent="0.3">
      <c r="A17" s="13" t="s">
        <v>1</v>
      </c>
      <c r="B17" s="13" t="s">
        <v>1663</v>
      </c>
      <c r="C17" s="13">
        <v>5</v>
      </c>
      <c r="D17" s="13">
        <v>4</v>
      </c>
      <c r="E17" s="13">
        <v>5</v>
      </c>
    </row>
    <row r="18" spans="1:5" x14ac:dyDescent="0.3">
      <c r="A18" s="13" t="s">
        <v>1</v>
      </c>
      <c r="B18" s="13" t="s">
        <v>1988</v>
      </c>
      <c r="C18" s="13">
        <v>7</v>
      </c>
      <c r="D18" s="13">
        <v>4</v>
      </c>
      <c r="E18" s="13">
        <v>8</v>
      </c>
    </row>
    <row r="19" spans="1:5" x14ac:dyDescent="0.3">
      <c r="A19" s="13" t="s">
        <v>1</v>
      </c>
      <c r="B19" s="13" t="s">
        <v>111</v>
      </c>
      <c r="C19" s="13">
        <v>4</v>
      </c>
      <c r="D19" s="13">
        <v>4</v>
      </c>
      <c r="E19" s="13">
        <v>4</v>
      </c>
    </row>
    <row r="20" spans="1:5" x14ac:dyDescent="0.3">
      <c r="A20" s="13" t="s">
        <v>1</v>
      </c>
      <c r="B20" s="13" t="s">
        <v>31</v>
      </c>
      <c r="C20" s="13">
        <v>4</v>
      </c>
      <c r="D20" s="13">
        <v>4</v>
      </c>
      <c r="E20" s="13">
        <v>4</v>
      </c>
    </row>
    <row r="21" spans="1:5" x14ac:dyDescent="0.3">
      <c r="A21" s="13" t="s">
        <v>1</v>
      </c>
      <c r="B21" s="13" t="s">
        <v>32</v>
      </c>
      <c r="C21" s="13">
        <v>5</v>
      </c>
      <c r="D21" s="13">
        <v>4</v>
      </c>
      <c r="E21" s="13">
        <v>8</v>
      </c>
    </row>
    <row r="22" spans="1:5" x14ac:dyDescent="0.3">
      <c r="A22" s="13" t="s">
        <v>0</v>
      </c>
      <c r="B22" s="13" t="s">
        <v>30</v>
      </c>
      <c r="C22" s="13">
        <v>11</v>
      </c>
      <c r="D22" s="13">
        <v>4</v>
      </c>
      <c r="E22" s="13">
        <v>13</v>
      </c>
    </row>
    <row r="23" spans="1:5" x14ac:dyDescent="0.3">
      <c r="A23" s="13" t="s">
        <v>0</v>
      </c>
      <c r="B23" s="13" t="s">
        <v>354</v>
      </c>
      <c r="C23" s="13">
        <v>4</v>
      </c>
      <c r="D23" s="13">
        <v>4</v>
      </c>
      <c r="E23" s="13">
        <v>4</v>
      </c>
    </row>
    <row r="24" spans="1:5" x14ac:dyDescent="0.3">
      <c r="A24" s="13" t="s">
        <v>0</v>
      </c>
      <c r="B24" s="13" t="s">
        <v>60</v>
      </c>
      <c r="C24" s="13">
        <v>4</v>
      </c>
      <c r="D24" s="13">
        <v>4</v>
      </c>
      <c r="E24" s="13">
        <v>4</v>
      </c>
    </row>
    <row r="25" spans="1:5" x14ac:dyDescent="0.3">
      <c r="A25" s="13" t="s">
        <v>0</v>
      </c>
      <c r="B25" s="13" t="s">
        <v>1471</v>
      </c>
      <c r="C25" s="13">
        <v>4</v>
      </c>
      <c r="D25" s="13">
        <v>4</v>
      </c>
      <c r="E25" s="13">
        <v>4</v>
      </c>
    </row>
    <row r="26" spans="1:5" x14ac:dyDescent="0.3">
      <c r="A26" s="13" t="s">
        <v>0</v>
      </c>
      <c r="B26" s="13" t="s">
        <v>1629</v>
      </c>
      <c r="C26" s="13">
        <v>4</v>
      </c>
      <c r="D26" s="13">
        <v>4</v>
      </c>
      <c r="E26" s="13">
        <v>5</v>
      </c>
    </row>
    <row r="27" spans="1:5" x14ac:dyDescent="0.3">
      <c r="A27" s="13" t="s">
        <v>0</v>
      </c>
      <c r="B27" s="13" t="s">
        <v>39</v>
      </c>
      <c r="C27" s="13">
        <v>5</v>
      </c>
      <c r="D27" s="13">
        <v>4</v>
      </c>
      <c r="E27" s="13">
        <v>9</v>
      </c>
    </row>
    <row r="28" spans="1:5" x14ac:dyDescent="0.3">
      <c r="A28" s="13" t="s">
        <v>1</v>
      </c>
      <c r="B28" s="13" t="s">
        <v>1948</v>
      </c>
      <c r="C28" s="13">
        <v>4</v>
      </c>
      <c r="D28" s="13">
        <v>3</v>
      </c>
      <c r="E28" s="13">
        <v>5</v>
      </c>
    </row>
    <row r="29" spans="1:5" x14ac:dyDescent="0.3">
      <c r="A29" s="13" t="s">
        <v>1</v>
      </c>
      <c r="B29" s="13" t="s">
        <v>51</v>
      </c>
      <c r="C29" s="13">
        <v>3</v>
      </c>
      <c r="D29" s="13">
        <v>3</v>
      </c>
      <c r="E29" s="13">
        <v>5</v>
      </c>
    </row>
    <row r="30" spans="1:5" x14ac:dyDescent="0.3">
      <c r="A30" s="13" t="s">
        <v>0</v>
      </c>
      <c r="B30" s="13" t="s">
        <v>34</v>
      </c>
      <c r="C30" s="13">
        <v>3</v>
      </c>
      <c r="D30" s="13">
        <v>3</v>
      </c>
      <c r="E30" s="13">
        <v>4</v>
      </c>
    </row>
    <row r="31" spans="1:5" x14ac:dyDescent="0.3">
      <c r="A31" s="13" t="s">
        <v>0</v>
      </c>
      <c r="B31" s="13" t="s">
        <v>147</v>
      </c>
      <c r="C31" s="13">
        <v>3</v>
      </c>
      <c r="D31" s="13">
        <v>3</v>
      </c>
      <c r="E31" s="13">
        <v>3</v>
      </c>
    </row>
    <row r="32" spans="1:5" x14ac:dyDescent="0.3">
      <c r="A32" s="13" t="s">
        <v>0</v>
      </c>
      <c r="B32" s="13" t="s">
        <v>151</v>
      </c>
      <c r="C32" s="13">
        <v>3</v>
      </c>
      <c r="D32" s="13">
        <v>3</v>
      </c>
      <c r="E32" s="13">
        <v>4</v>
      </c>
    </row>
    <row r="33" spans="1:5" x14ac:dyDescent="0.3">
      <c r="A33" s="13" t="s">
        <v>0</v>
      </c>
      <c r="B33" s="13" t="s">
        <v>2203</v>
      </c>
      <c r="C33" s="13">
        <v>3</v>
      </c>
      <c r="D33" s="13">
        <v>3</v>
      </c>
      <c r="E33" s="13">
        <v>3</v>
      </c>
    </row>
    <row r="34" spans="1:5" x14ac:dyDescent="0.3">
      <c r="A34" s="13" t="s">
        <v>0</v>
      </c>
      <c r="B34" s="13" t="s">
        <v>35</v>
      </c>
      <c r="C34" s="13">
        <v>3</v>
      </c>
      <c r="D34" s="13">
        <v>3</v>
      </c>
      <c r="E34" s="13">
        <v>3</v>
      </c>
    </row>
    <row r="35" spans="1:5" x14ac:dyDescent="0.3">
      <c r="A35" s="13" t="s">
        <v>0</v>
      </c>
      <c r="B35" s="13" t="s">
        <v>1447</v>
      </c>
      <c r="C35" s="13">
        <v>3</v>
      </c>
      <c r="D35" s="13">
        <v>3</v>
      </c>
      <c r="E35" s="13">
        <v>3</v>
      </c>
    </row>
    <row r="36" spans="1:5" x14ac:dyDescent="0.3">
      <c r="A36" s="13" t="s">
        <v>0</v>
      </c>
      <c r="B36" s="13" t="s">
        <v>51</v>
      </c>
      <c r="C36" s="13">
        <v>3</v>
      </c>
      <c r="D36" s="13">
        <v>3</v>
      </c>
      <c r="E36" s="13">
        <v>3</v>
      </c>
    </row>
    <row r="37" spans="1:5" x14ac:dyDescent="0.3">
      <c r="A37" s="13" t="s">
        <v>0</v>
      </c>
      <c r="B37" s="13" t="s">
        <v>175</v>
      </c>
      <c r="C37" s="13">
        <v>3</v>
      </c>
      <c r="D37" s="13">
        <v>3</v>
      </c>
      <c r="E37" s="13">
        <v>3</v>
      </c>
    </row>
    <row r="38" spans="1:5" x14ac:dyDescent="0.3">
      <c r="A38" s="13" t="s">
        <v>0</v>
      </c>
      <c r="B38" s="13" t="s">
        <v>67</v>
      </c>
      <c r="C38" s="13">
        <v>3</v>
      </c>
      <c r="D38" s="13">
        <v>3</v>
      </c>
      <c r="E38" s="13">
        <v>5</v>
      </c>
    </row>
    <row r="39" spans="1:5" x14ac:dyDescent="0.3">
      <c r="A39" s="13" t="s">
        <v>2</v>
      </c>
      <c r="B39" s="13" t="s">
        <v>928</v>
      </c>
      <c r="C39" s="13">
        <v>3</v>
      </c>
      <c r="D39" s="13">
        <v>3</v>
      </c>
      <c r="E39" s="13">
        <v>3</v>
      </c>
    </row>
    <row r="40" spans="1:5" x14ac:dyDescent="0.3">
      <c r="A40" s="13" t="s">
        <v>1</v>
      </c>
      <c r="B40" s="13" t="s">
        <v>260</v>
      </c>
      <c r="C40" s="13">
        <v>2</v>
      </c>
      <c r="D40" s="13">
        <v>2</v>
      </c>
      <c r="E40" s="13">
        <v>6</v>
      </c>
    </row>
    <row r="41" spans="1:5" x14ac:dyDescent="0.3">
      <c r="A41" s="13" t="s">
        <v>1</v>
      </c>
      <c r="B41" s="13" t="s">
        <v>272</v>
      </c>
      <c r="C41" s="13">
        <v>2</v>
      </c>
      <c r="D41" s="13">
        <v>2</v>
      </c>
      <c r="E41" s="13">
        <v>2</v>
      </c>
    </row>
    <row r="42" spans="1:5" x14ac:dyDescent="0.3">
      <c r="A42" s="13" t="s">
        <v>1</v>
      </c>
      <c r="B42" s="13" t="s">
        <v>150</v>
      </c>
      <c r="C42" s="13">
        <v>2</v>
      </c>
      <c r="D42" s="13">
        <v>2</v>
      </c>
      <c r="E42" s="13">
        <v>2</v>
      </c>
    </row>
    <row r="43" spans="1:5" x14ac:dyDescent="0.3">
      <c r="A43" s="13" t="s">
        <v>1</v>
      </c>
      <c r="B43" s="13" t="s">
        <v>41</v>
      </c>
      <c r="C43" s="13">
        <v>3</v>
      </c>
      <c r="D43" s="13">
        <v>2</v>
      </c>
      <c r="E43" s="13">
        <v>4</v>
      </c>
    </row>
    <row r="44" spans="1:5" x14ac:dyDescent="0.3">
      <c r="A44" s="13" t="s">
        <v>1</v>
      </c>
      <c r="B44" s="13" t="s">
        <v>354</v>
      </c>
      <c r="C44" s="13">
        <v>3</v>
      </c>
      <c r="D44" s="13">
        <v>2</v>
      </c>
      <c r="E44" s="13">
        <v>2</v>
      </c>
    </row>
    <row r="45" spans="1:5" x14ac:dyDescent="0.3">
      <c r="A45" s="13" t="s">
        <v>1</v>
      </c>
      <c r="B45" s="13" t="s">
        <v>1645</v>
      </c>
      <c r="C45" s="13">
        <v>3</v>
      </c>
      <c r="D45" s="13">
        <v>2</v>
      </c>
      <c r="E45" s="13">
        <v>4</v>
      </c>
    </row>
    <row r="46" spans="1:5" x14ac:dyDescent="0.3">
      <c r="A46" s="13" t="s">
        <v>1</v>
      </c>
      <c r="B46" s="13" t="s">
        <v>2093</v>
      </c>
      <c r="C46" s="13">
        <v>3</v>
      </c>
      <c r="D46" s="13">
        <v>2</v>
      </c>
      <c r="E46" s="13">
        <v>3</v>
      </c>
    </row>
    <row r="47" spans="1:5" x14ac:dyDescent="0.3">
      <c r="A47" s="13" t="s">
        <v>1</v>
      </c>
      <c r="B47" s="13" t="s">
        <v>2335</v>
      </c>
      <c r="C47" s="13">
        <v>8</v>
      </c>
      <c r="D47" s="13">
        <v>2</v>
      </c>
      <c r="E47" s="13">
        <v>8</v>
      </c>
    </row>
    <row r="48" spans="1:5" x14ac:dyDescent="0.3">
      <c r="A48" s="13" t="s">
        <v>1</v>
      </c>
      <c r="B48" s="13" t="s">
        <v>155</v>
      </c>
      <c r="C48" s="13">
        <v>2</v>
      </c>
      <c r="D48" s="13">
        <v>2</v>
      </c>
      <c r="E48" s="13">
        <v>2</v>
      </c>
    </row>
    <row r="49" spans="1:5" x14ac:dyDescent="0.3">
      <c r="A49" s="13" t="s">
        <v>1</v>
      </c>
      <c r="B49" s="13" t="s">
        <v>49</v>
      </c>
      <c r="C49" s="13">
        <v>2</v>
      </c>
      <c r="D49" s="13">
        <v>2</v>
      </c>
      <c r="E49" s="13">
        <v>2</v>
      </c>
    </row>
    <row r="50" spans="1:5" x14ac:dyDescent="0.3">
      <c r="A50" s="13" t="s">
        <v>1</v>
      </c>
      <c r="B50" s="13" t="s">
        <v>113</v>
      </c>
      <c r="C50" s="13">
        <v>2</v>
      </c>
      <c r="D50" s="13">
        <v>2</v>
      </c>
      <c r="E50" s="13">
        <v>2</v>
      </c>
    </row>
    <row r="51" spans="1:5" x14ac:dyDescent="0.3">
      <c r="A51" s="13" t="s">
        <v>1</v>
      </c>
      <c r="B51" s="13" t="s">
        <v>115</v>
      </c>
      <c r="C51" s="13">
        <v>3</v>
      </c>
      <c r="D51" s="13">
        <v>2</v>
      </c>
      <c r="E51" s="13">
        <v>3</v>
      </c>
    </row>
    <row r="52" spans="1:5" x14ac:dyDescent="0.3">
      <c r="A52" s="13" t="s">
        <v>1</v>
      </c>
      <c r="B52" s="13" t="s">
        <v>120</v>
      </c>
      <c r="C52" s="13">
        <v>2</v>
      </c>
      <c r="D52" s="13">
        <v>2</v>
      </c>
      <c r="E52" s="13">
        <v>2</v>
      </c>
    </row>
    <row r="53" spans="1:5" x14ac:dyDescent="0.3">
      <c r="A53" s="13" t="s">
        <v>1</v>
      </c>
      <c r="B53" s="13" t="s">
        <v>124</v>
      </c>
      <c r="C53" s="13">
        <v>2</v>
      </c>
      <c r="D53" s="13">
        <v>2</v>
      </c>
      <c r="E53" s="13">
        <v>3</v>
      </c>
    </row>
    <row r="54" spans="1:5" x14ac:dyDescent="0.3">
      <c r="A54" s="13" t="s">
        <v>0</v>
      </c>
      <c r="B54" s="13" t="s">
        <v>47</v>
      </c>
      <c r="C54" s="13">
        <v>2</v>
      </c>
      <c r="D54" s="13">
        <v>2</v>
      </c>
      <c r="E54" s="13">
        <v>2</v>
      </c>
    </row>
    <row r="55" spans="1:5" x14ac:dyDescent="0.3">
      <c r="A55" s="13" t="s">
        <v>0</v>
      </c>
      <c r="B55" s="13" t="s">
        <v>927</v>
      </c>
      <c r="C55" s="13">
        <v>2</v>
      </c>
      <c r="D55" s="13">
        <v>2</v>
      </c>
      <c r="E55" s="13">
        <v>2</v>
      </c>
    </row>
    <row r="56" spans="1:5" x14ac:dyDescent="0.3">
      <c r="A56" s="13" t="s">
        <v>0</v>
      </c>
      <c r="B56" s="13" t="s">
        <v>48</v>
      </c>
      <c r="C56" s="13">
        <v>2</v>
      </c>
      <c r="D56" s="13">
        <v>2</v>
      </c>
      <c r="E56" s="13">
        <v>2</v>
      </c>
    </row>
    <row r="57" spans="1:5" x14ac:dyDescent="0.3">
      <c r="A57" s="13" t="s">
        <v>0</v>
      </c>
      <c r="B57" s="13" t="s">
        <v>77</v>
      </c>
      <c r="C57" s="13">
        <v>2</v>
      </c>
      <c r="D57" s="13">
        <v>2</v>
      </c>
      <c r="E57" s="13">
        <v>2</v>
      </c>
    </row>
    <row r="58" spans="1:5" x14ac:dyDescent="0.3">
      <c r="A58" s="13" t="s">
        <v>0</v>
      </c>
      <c r="B58" s="13" t="s">
        <v>42</v>
      </c>
      <c r="C58" s="13">
        <v>2</v>
      </c>
      <c r="D58" s="13">
        <v>2</v>
      </c>
      <c r="E58" s="13">
        <v>3</v>
      </c>
    </row>
    <row r="59" spans="1:5" x14ac:dyDescent="0.3">
      <c r="A59" s="13" t="s">
        <v>0</v>
      </c>
      <c r="B59" s="13" t="s">
        <v>1370</v>
      </c>
      <c r="C59" s="13">
        <v>2</v>
      </c>
      <c r="D59" s="13">
        <v>2</v>
      </c>
      <c r="E59" s="13">
        <v>2</v>
      </c>
    </row>
    <row r="60" spans="1:5" x14ac:dyDescent="0.3">
      <c r="A60" s="13" t="s">
        <v>0</v>
      </c>
      <c r="B60" s="13" t="s">
        <v>1741</v>
      </c>
      <c r="C60" s="13">
        <v>2</v>
      </c>
      <c r="D60" s="13">
        <v>2</v>
      </c>
      <c r="E60" s="13">
        <v>2</v>
      </c>
    </row>
    <row r="61" spans="1:5" x14ac:dyDescent="0.3">
      <c r="A61" s="13" t="s">
        <v>0</v>
      </c>
      <c r="B61" s="13" t="s">
        <v>1882</v>
      </c>
      <c r="C61" s="13">
        <v>3</v>
      </c>
      <c r="D61" s="13">
        <v>2</v>
      </c>
      <c r="E61" s="13">
        <v>3</v>
      </c>
    </row>
    <row r="62" spans="1:5" x14ac:dyDescent="0.3">
      <c r="A62" s="13" t="s">
        <v>0</v>
      </c>
      <c r="B62" s="13" t="s">
        <v>2179</v>
      </c>
      <c r="C62" s="13">
        <v>3</v>
      </c>
      <c r="D62" s="13">
        <v>2</v>
      </c>
      <c r="E62" s="13">
        <v>3</v>
      </c>
    </row>
    <row r="63" spans="1:5" x14ac:dyDescent="0.3">
      <c r="A63" s="13" t="s">
        <v>0</v>
      </c>
      <c r="B63" s="13" t="s">
        <v>476</v>
      </c>
      <c r="C63" s="13">
        <v>2</v>
      </c>
      <c r="D63" s="13">
        <v>2</v>
      </c>
      <c r="E63" s="13">
        <v>2</v>
      </c>
    </row>
    <row r="64" spans="1:5" x14ac:dyDescent="0.3">
      <c r="A64" s="13" t="s">
        <v>0</v>
      </c>
      <c r="B64" s="13" t="s">
        <v>100</v>
      </c>
      <c r="C64" s="13">
        <v>2</v>
      </c>
      <c r="D64" s="13">
        <v>2</v>
      </c>
      <c r="E64" s="13">
        <v>2</v>
      </c>
    </row>
    <row r="65" spans="1:5" x14ac:dyDescent="0.3">
      <c r="A65" s="13" t="s">
        <v>0</v>
      </c>
      <c r="B65" s="13" t="s">
        <v>109</v>
      </c>
      <c r="C65" s="13">
        <v>2</v>
      </c>
      <c r="D65" s="13">
        <v>2</v>
      </c>
      <c r="E65" s="13">
        <v>2</v>
      </c>
    </row>
    <row r="66" spans="1:5" x14ac:dyDescent="0.3">
      <c r="A66" s="13" t="s">
        <v>0</v>
      </c>
      <c r="B66" s="13" t="s">
        <v>66</v>
      </c>
      <c r="C66" s="13">
        <v>2</v>
      </c>
      <c r="D66" s="13">
        <v>2</v>
      </c>
      <c r="E66" s="13">
        <v>3</v>
      </c>
    </row>
    <row r="67" spans="1:5" x14ac:dyDescent="0.3">
      <c r="A67" s="13" t="s">
        <v>0</v>
      </c>
      <c r="B67" s="13" t="s">
        <v>1394</v>
      </c>
      <c r="C67" s="13">
        <v>2</v>
      </c>
      <c r="D67" s="13">
        <v>2</v>
      </c>
      <c r="E67" s="13">
        <v>3</v>
      </c>
    </row>
    <row r="68" spans="1:5" x14ac:dyDescent="0.3">
      <c r="A68" s="13" t="s">
        <v>2</v>
      </c>
      <c r="B68" s="13" t="s">
        <v>151</v>
      </c>
      <c r="C68" s="13">
        <v>2</v>
      </c>
      <c r="D68" s="13">
        <v>2</v>
      </c>
      <c r="E68" s="13">
        <v>3</v>
      </c>
    </row>
    <row r="69" spans="1:5" x14ac:dyDescent="0.3">
      <c r="A69" s="13" t="s">
        <v>2</v>
      </c>
      <c r="B69" s="13" t="s">
        <v>2408</v>
      </c>
      <c r="C69" s="13">
        <v>2</v>
      </c>
      <c r="D69" s="13">
        <v>2</v>
      </c>
      <c r="E69" s="13">
        <v>2</v>
      </c>
    </row>
    <row r="70" spans="1:5" x14ac:dyDescent="0.3">
      <c r="A70" s="13" t="s">
        <v>1</v>
      </c>
      <c r="B70" s="13" t="s">
        <v>199</v>
      </c>
      <c r="C70" s="13">
        <v>1</v>
      </c>
      <c r="D70" s="13">
        <v>1</v>
      </c>
      <c r="E70" s="13">
        <v>1</v>
      </c>
    </row>
    <row r="71" spans="1:5" x14ac:dyDescent="0.3">
      <c r="A71" s="13" t="s">
        <v>1</v>
      </c>
      <c r="B71" s="13" t="s">
        <v>261</v>
      </c>
      <c r="C71" s="13">
        <v>1</v>
      </c>
      <c r="D71" s="13">
        <v>1</v>
      </c>
      <c r="E71" s="13">
        <v>1</v>
      </c>
    </row>
    <row r="72" spans="1:5" x14ac:dyDescent="0.3">
      <c r="A72" s="13" t="s">
        <v>1</v>
      </c>
      <c r="B72" s="13" t="s">
        <v>470</v>
      </c>
      <c r="C72" s="13">
        <v>1</v>
      </c>
      <c r="D72" s="13">
        <v>1</v>
      </c>
      <c r="E72" s="13">
        <v>1</v>
      </c>
    </row>
    <row r="73" spans="1:5" x14ac:dyDescent="0.3">
      <c r="A73" s="13" t="s">
        <v>1</v>
      </c>
      <c r="B73" s="13" t="s">
        <v>587</v>
      </c>
      <c r="C73" s="13">
        <v>1</v>
      </c>
      <c r="D73" s="13">
        <v>1</v>
      </c>
      <c r="E73" s="13">
        <v>1</v>
      </c>
    </row>
    <row r="74" spans="1:5" x14ac:dyDescent="0.3">
      <c r="A74" s="13" t="s">
        <v>1</v>
      </c>
      <c r="B74" s="13" t="s">
        <v>1296</v>
      </c>
      <c r="C74" s="13">
        <v>1</v>
      </c>
      <c r="D74" s="13">
        <v>1</v>
      </c>
      <c r="E74" s="13">
        <v>1</v>
      </c>
    </row>
    <row r="75" spans="1:5" x14ac:dyDescent="0.3">
      <c r="A75" s="13" t="s">
        <v>1</v>
      </c>
      <c r="B75" s="13" t="s">
        <v>33</v>
      </c>
      <c r="C75" s="13">
        <v>2</v>
      </c>
      <c r="D75" s="13">
        <v>1</v>
      </c>
      <c r="E75" s="13">
        <v>1</v>
      </c>
    </row>
    <row r="76" spans="1:5" x14ac:dyDescent="0.3">
      <c r="A76" s="13" t="s">
        <v>1</v>
      </c>
      <c r="B76" s="13" t="s">
        <v>48</v>
      </c>
      <c r="C76" s="13">
        <v>3</v>
      </c>
      <c r="D76" s="13">
        <v>1</v>
      </c>
      <c r="E76" s="13">
        <v>3</v>
      </c>
    </row>
    <row r="77" spans="1:5" x14ac:dyDescent="0.3">
      <c r="A77" s="13" t="s">
        <v>1</v>
      </c>
      <c r="B77" s="13" t="s">
        <v>670</v>
      </c>
      <c r="C77" s="13">
        <v>2</v>
      </c>
      <c r="D77" s="13">
        <v>1</v>
      </c>
      <c r="E77" s="13">
        <v>1</v>
      </c>
    </row>
    <row r="78" spans="1:5" x14ac:dyDescent="0.3">
      <c r="A78" s="13" t="s">
        <v>1</v>
      </c>
      <c r="B78" s="13" t="s">
        <v>2500</v>
      </c>
      <c r="C78" s="13">
        <v>1</v>
      </c>
      <c r="D78" s="13">
        <v>1</v>
      </c>
      <c r="E78" s="13">
        <v>3</v>
      </c>
    </row>
    <row r="79" spans="1:5" x14ac:dyDescent="0.3">
      <c r="A79" s="13" t="s">
        <v>1</v>
      </c>
      <c r="B79" s="13" t="s">
        <v>446</v>
      </c>
      <c r="C79" s="13">
        <v>1</v>
      </c>
      <c r="D79" s="13">
        <v>1</v>
      </c>
      <c r="E79" s="13">
        <v>1</v>
      </c>
    </row>
    <row r="80" spans="1:5" x14ac:dyDescent="0.3">
      <c r="A80" s="13" t="s">
        <v>1</v>
      </c>
      <c r="B80" s="13" t="s">
        <v>382</v>
      </c>
      <c r="C80" s="13">
        <v>1</v>
      </c>
      <c r="D80" s="13">
        <v>1</v>
      </c>
      <c r="E80" s="13">
        <v>1</v>
      </c>
    </row>
    <row r="81" spans="1:5" x14ac:dyDescent="0.3">
      <c r="A81" s="13" t="s">
        <v>1</v>
      </c>
      <c r="B81" s="13" t="s">
        <v>345</v>
      </c>
      <c r="C81" s="13">
        <v>1</v>
      </c>
      <c r="D81" s="13">
        <v>1</v>
      </c>
      <c r="E81" s="13">
        <v>2</v>
      </c>
    </row>
    <row r="82" spans="1:5" x14ac:dyDescent="0.3">
      <c r="A82" s="13" t="s">
        <v>1</v>
      </c>
      <c r="B82" s="13" t="s">
        <v>267</v>
      </c>
      <c r="C82" s="13">
        <v>1</v>
      </c>
      <c r="D82" s="13">
        <v>1</v>
      </c>
      <c r="E82" s="13">
        <v>1</v>
      </c>
    </row>
    <row r="83" spans="1:5" x14ac:dyDescent="0.3">
      <c r="A83" s="13" t="s">
        <v>1</v>
      </c>
      <c r="B83" s="13" t="s">
        <v>1208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81</v>
      </c>
      <c r="C84" s="13">
        <v>2</v>
      </c>
      <c r="D84" s="13">
        <v>1</v>
      </c>
      <c r="E84" s="13">
        <v>4</v>
      </c>
    </row>
    <row r="85" spans="1:5" x14ac:dyDescent="0.3">
      <c r="A85" s="13" t="s">
        <v>1</v>
      </c>
      <c r="B85" s="13" t="s">
        <v>304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83</v>
      </c>
      <c r="C86" s="13">
        <v>3</v>
      </c>
      <c r="D86" s="13">
        <v>1</v>
      </c>
      <c r="E86" s="13">
        <v>5</v>
      </c>
    </row>
    <row r="87" spans="1:5" x14ac:dyDescent="0.3">
      <c r="A87" s="13" t="s">
        <v>1</v>
      </c>
      <c r="B87" s="13" t="s">
        <v>87</v>
      </c>
      <c r="C87" s="13">
        <v>2</v>
      </c>
      <c r="D87" s="13">
        <v>1</v>
      </c>
      <c r="E87" s="13">
        <v>1</v>
      </c>
    </row>
    <row r="88" spans="1:5" x14ac:dyDescent="0.3">
      <c r="A88" s="13" t="s">
        <v>1</v>
      </c>
      <c r="B88" s="13" t="s">
        <v>993</v>
      </c>
      <c r="C88" s="13">
        <v>1</v>
      </c>
      <c r="D88" s="13">
        <v>1</v>
      </c>
      <c r="E88" s="13">
        <v>1</v>
      </c>
    </row>
    <row r="89" spans="1:5" x14ac:dyDescent="0.3">
      <c r="A89" s="13" t="s">
        <v>1</v>
      </c>
      <c r="B89" s="13" t="s">
        <v>151</v>
      </c>
      <c r="C89" s="13">
        <v>1</v>
      </c>
      <c r="D89" s="13">
        <v>1</v>
      </c>
      <c r="E89" s="13">
        <v>2</v>
      </c>
    </row>
    <row r="90" spans="1:5" x14ac:dyDescent="0.3">
      <c r="A90" s="13" t="s">
        <v>1</v>
      </c>
      <c r="B90" s="13" t="s">
        <v>658</v>
      </c>
      <c r="C90" s="13">
        <v>1</v>
      </c>
      <c r="D90" s="13">
        <v>1</v>
      </c>
      <c r="E90" s="13">
        <v>3</v>
      </c>
    </row>
    <row r="91" spans="1:5" x14ac:dyDescent="0.3">
      <c r="A91" s="13" t="s">
        <v>1</v>
      </c>
      <c r="B91" s="13" t="s">
        <v>60</v>
      </c>
      <c r="C91" s="13">
        <v>1</v>
      </c>
      <c r="D91" s="13">
        <v>1</v>
      </c>
      <c r="E91" s="13">
        <v>1</v>
      </c>
    </row>
    <row r="92" spans="1:5" x14ac:dyDescent="0.3">
      <c r="A92" s="13" t="s">
        <v>1</v>
      </c>
      <c r="B92" s="13" t="s">
        <v>42</v>
      </c>
      <c r="C92" s="13">
        <v>2</v>
      </c>
      <c r="D92" s="13">
        <v>1</v>
      </c>
      <c r="E92" s="13">
        <v>2</v>
      </c>
    </row>
    <row r="93" spans="1:5" x14ac:dyDescent="0.3">
      <c r="A93" s="13" t="s">
        <v>1</v>
      </c>
      <c r="B93" s="13" t="s">
        <v>93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94</v>
      </c>
      <c r="C94" s="13">
        <v>4</v>
      </c>
      <c r="D94" s="13">
        <v>1</v>
      </c>
      <c r="E94" s="13">
        <v>6</v>
      </c>
    </row>
    <row r="95" spans="1:5" x14ac:dyDescent="0.3">
      <c r="A95" s="13" t="s">
        <v>1</v>
      </c>
      <c r="B95" s="13" t="s">
        <v>471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1067</v>
      </c>
      <c r="C96" s="13">
        <v>2</v>
      </c>
      <c r="D96" s="13">
        <v>1</v>
      </c>
      <c r="E96" s="13">
        <v>3</v>
      </c>
    </row>
    <row r="97" spans="1:5" x14ac:dyDescent="0.3">
      <c r="A97" s="13" t="s">
        <v>1</v>
      </c>
      <c r="B97" s="13" t="s">
        <v>1485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1521</v>
      </c>
      <c r="C98" s="13">
        <v>2</v>
      </c>
      <c r="D98" s="13">
        <v>1</v>
      </c>
      <c r="E98" s="13">
        <v>3</v>
      </c>
    </row>
    <row r="99" spans="1:5" x14ac:dyDescent="0.3">
      <c r="A99" s="13" t="s">
        <v>1</v>
      </c>
      <c r="B99" s="13" t="s">
        <v>1570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1741</v>
      </c>
      <c r="C100" s="13">
        <v>2</v>
      </c>
      <c r="D100" s="13">
        <v>1</v>
      </c>
      <c r="E100" s="13">
        <v>2</v>
      </c>
    </row>
    <row r="101" spans="1:5" x14ac:dyDescent="0.3">
      <c r="A101" s="13" t="s">
        <v>1</v>
      </c>
      <c r="B101" s="13" t="s">
        <v>1849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1960</v>
      </c>
      <c r="C102" s="13">
        <v>2</v>
      </c>
      <c r="D102" s="13">
        <v>1</v>
      </c>
      <c r="E102" s="13">
        <v>2</v>
      </c>
    </row>
    <row r="103" spans="1:5" x14ac:dyDescent="0.3">
      <c r="A103" s="13" t="s">
        <v>1</v>
      </c>
      <c r="B103" s="13" t="s">
        <v>1969</v>
      </c>
      <c r="C103" s="13">
        <v>2</v>
      </c>
      <c r="D103" s="13">
        <v>1</v>
      </c>
      <c r="E103" s="13">
        <v>2</v>
      </c>
    </row>
    <row r="104" spans="1:5" x14ac:dyDescent="0.3">
      <c r="A104" s="13" t="s">
        <v>1</v>
      </c>
      <c r="B104" s="13" t="s">
        <v>2203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2425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273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819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506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388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507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1270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96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680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159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969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936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43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2501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277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195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44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223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2211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45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1284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320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287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1535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897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1273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289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1722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331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121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123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174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575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413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577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2502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1046</v>
      </c>
      <c r="C141" s="13">
        <v>1</v>
      </c>
      <c r="D141" s="13">
        <v>1</v>
      </c>
      <c r="E141" s="13">
        <v>2</v>
      </c>
    </row>
    <row r="142" spans="1:5" x14ac:dyDescent="0.3">
      <c r="A142" s="13" t="s">
        <v>1</v>
      </c>
      <c r="B142" s="13" t="s">
        <v>1058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130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439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1826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340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1012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295</v>
      </c>
      <c r="C148" s="13">
        <v>1</v>
      </c>
      <c r="D148" s="13">
        <v>1</v>
      </c>
      <c r="E148" s="13">
        <v>4</v>
      </c>
    </row>
    <row r="149" spans="1:5" x14ac:dyDescent="0.3">
      <c r="A149" s="13" t="s">
        <v>1</v>
      </c>
      <c r="B149" s="13" t="s">
        <v>132</v>
      </c>
      <c r="C149" s="13">
        <v>1</v>
      </c>
      <c r="D149" s="13">
        <v>1</v>
      </c>
      <c r="E149" s="13">
        <v>2</v>
      </c>
    </row>
    <row r="150" spans="1:5" x14ac:dyDescent="0.3">
      <c r="A150" s="13" t="s">
        <v>1</v>
      </c>
      <c r="B150" s="13" t="s">
        <v>190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365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232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67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54</v>
      </c>
      <c r="C154" s="13">
        <v>2</v>
      </c>
      <c r="D154" s="13">
        <v>1</v>
      </c>
      <c r="E154" s="13">
        <v>2</v>
      </c>
    </row>
    <row r="155" spans="1:5" x14ac:dyDescent="0.3">
      <c r="A155" s="13" t="s">
        <v>1</v>
      </c>
      <c r="B155" s="13" t="s">
        <v>55</v>
      </c>
      <c r="C155" s="13">
        <v>2</v>
      </c>
      <c r="D155" s="13">
        <v>1</v>
      </c>
      <c r="E155" s="13">
        <v>2</v>
      </c>
    </row>
    <row r="156" spans="1:5" x14ac:dyDescent="0.3">
      <c r="A156" s="13" t="s">
        <v>1</v>
      </c>
      <c r="B156" s="13" t="s">
        <v>56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869</v>
      </c>
      <c r="C157" s="13">
        <v>1</v>
      </c>
      <c r="D157" s="13">
        <v>2</v>
      </c>
      <c r="E157" s="13"/>
    </row>
    <row r="158" spans="1:5" x14ac:dyDescent="0.3">
      <c r="A158" s="13" t="s">
        <v>1</v>
      </c>
      <c r="B158" s="13" t="s">
        <v>2503</v>
      </c>
      <c r="C158" s="13">
        <v>1</v>
      </c>
      <c r="D158" s="13">
        <v>1</v>
      </c>
      <c r="E158" s="13"/>
    </row>
    <row r="159" spans="1:5" x14ac:dyDescent="0.3">
      <c r="A159" s="13" t="s">
        <v>1</v>
      </c>
      <c r="B159" s="13" t="s">
        <v>2504</v>
      </c>
      <c r="C159" s="13">
        <v>1</v>
      </c>
      <c r="D159" s="13">
        <v>1</v>
      </c>
      <c r="E159" s="13"/>
    </row>
    <row r="160" spans="1:5" x14ac:dyDescent="0.3">
      <c r="A160" s="13" t="s">
        <v>1</v>
      </c>
      <c r="B160" s="13" t="s">
        <v>1874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418</v>
      </c>
      <c r="C161" s="13">
        <v>1</v>
      </c>
      <c r="D161" s="13">
        <v>2</v>
      </c>
      <c r="E161" s="13"/>
    </row>
    <row r="162" spans="1:5" x14ac:dyDescent="0.3">
      <c r="A162" s="13" t="s">
        <v>0</v>
      </c>
      <c r="B162" s="13" t="s">
        <v>261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0</v>
      </c>
      <c r="B163" s="13" t="s">
        <v>57</v>
      </c>
      <c r="C163" s="13">
        <v>2</v>
      </c>
      <c r="D163" s="13">
        <v>1</v>
      </c>
      <c r="E163" s="13">
        <v>2</v>
      </c>
    </row>
    <row r="164" spans="1:5" x14ac:dyDescent="0.3">
      <c r="A164" s="13" t="s">
        <v>0</v>
      </c>
      <c r="B164" s="13" t="s">
        <v>33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0</v>
      </c>
      <c r="B165" s="13" t="s">
        <v>73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0</v>
      </c>
      <c r="B166" s="13" t="s">
        <v>58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0</v>
      </c>
      <c r="B167" s="13" t="s">
        <v>420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0</v>
      </c>
      <c r="B168" s="13" t="s">
        <v>474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0</v>
      </c>
      <c r="B169" s="13" t="s">
        <v>919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0</v>
      </c>
      <c r="B170" s="13" t="s">
        <v>143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0</v>
      </c>
      <c r="B171" s="13" t="s">
        <v>1227</v>
      </c>
      <c r="C171" s="13">
        <v>1</v>
      </c>
      <c r="D171" s="13">
        <v>1</v>
      </c>
      <c r="E171" s="13">
        <v>2</v>
      </c>
    </row>
    <row r="172" spans="1:5" x14ac:dyDescent="0.3">
      <c r="A172" s="13" t="s">
        <v>0</v>
      </c>
      <c r="B172" s="13" t="s">
        <v>260</v>
      </c>
      <c r="C172" s="13">
        <v>2</v>
      </c>
      <c r="D172" s="13">
        <v>1</v>
      </c>
      <c r="E172" s="13">
        <v>2</v>
      </c>
    </row>
    <row r="173" spans="1:5" x14ac:dyDescent="0.3">
      <c r="A173" s="13" t="s">
        <v>0</v>
      </c>
      <c r="B173" s="13" t="s">
        <v>1225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0</v>
      </c>
      <c r="B174" s="13" t="s">
        <v>83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0</v>
      </c>
      <c r="B175" s="13" t="s">
        <v>84</v>
      </c>
      <c r="C175" s="13">
        <v>2</v>
      </c>
      <c r="D175" s="13">
        <v>1</v>
      </c>
      <c r="E175" s="13">
        <v>2</v>
      </c>
    </row>
    <row r="176" spans="1:5" x14ac:dyDescent="0.3">
      <c r="A176" s="13" t="s">
        <v>0</v>
      </c>
      <c r="B176" s="13" t="s">
        <v>271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0</v>
      </c>
      <c r="B177" s="13" t="s">
        <v>145</v>
      </c>
      <c r="C177" s="13">
        <v>1</v>
      </c>
      <c r="D177" s="13">
        <v>1</v>
      </c>
      <c r="E177" s="13">
        <v>2</v>
      </c>
    </row>
    <row r="178" spans="1:5" x14ac:dyDescent="0.3">
      <c r="A178" s="13" t="s">
        <v>0</v>
      </c>
      <c r="B178" s="13" t="s">
        <v>148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0</v>
      </c>
      <c r="B179" s="13" t="s">
        <v>215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0</v>
      </c>
      <c r="B180" s="13" t="s">
        <v>424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0</v>
      </c>
      <c r="B181" s="13" t="s">
        <v>653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0</v>
      </c>
      <c r="B182" s="13" t="s">
        <v>1473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0</v>
      </c>
      <c r="B183" s="13" t="s">
        <v>1505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0</v>
      </c>
      <c r="B184" s="13" t="s">
        <v>1521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0</v>
      </c>
      <c r="B185" s="13" t="s">
        <v>1663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0</v>
      </c>
      <c r="B186" s="13" t="s">
        <v>1906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0</v>
      </c>
      <c r="B187" s="13" t="s">
        <v>1988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2148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0</v>
      </c>
      <c r="B189" s="13" t="s">
        <v>155</v>
      </c>
      <c r="C189" s="13">
        <v>1</v>
      </c>
      <c r="D189" s="13">
        <v>1</v>
      </c>
      <c r="E189" s="13">
        <v>3</v>
      </c>
    </row>
    <row r="190" spans="1:5" x14ac:dyDescent="0.3">
      <c r="A190" s="13" t="s">
        <v>0</v>
      </c>
      <c r="B190" s="13" t="s">
        <v>559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0</v>
      </c>
      <c r="B191" s="13" t="s">
        <v>49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0</v>
      </c>
      <c r="B192" s="13" t="s">
        <v>1342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0</v>
      </c>
      <c r="B193" s="13" t="s">
        <v>98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0</v>
      </c>
      <c r="B194" s="13" t="s">
        <v>1053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0</v>
      </c>
      <c r="B195" s="13" t="s">
        <v>258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0</v>
      </c>
      <c r="B196" s="13" t="s">
        <v>762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730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795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2505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159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101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341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102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161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732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309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310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105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1095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2506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107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195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167</v>
      </c>
      <c r="C213" s="13">
        <v>1</v>
      </c>
      <c r="D213" s="13">
        <v>1</v>
      </c>
      <c r="E213" s="13">
        <v>2</v>
      </c>
    </row>
    <row r="214" spans="1:5" x14ac:dyDescent="0.3">
      <c r="A214" s="13" t="s">
        <v>0</v>
      </c>
      <c r="B214" s="13" t="s">
        <v>1021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111</v>
      </c>
      <c r="C215" s="13">
        <v>2</v>
      </c>
      <c r="D215" s="13">
        <v>1</v>
      </c>
      <c r="E215" s="13">
        <v>5</v>
      </c>
    </row>
    <row r="216" spans="1:5" x14ac:dyDescent="0.3">
      <c r="A216" s="13" t="s">
        <v>0</v>
      </c>
      <c r="B216" s="13" t="s">
        <v>170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0</v>
      </c>
      <c r="B217" s="13" t="s">
        <v>2507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568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430</v>
      </c>
      <c r="C219" s="13">
        <v>1</v>
      </c>
      <c r="D219" s="13">
        <v>1</v>
      </c>
      <c r="E219" s="13">
        <v>3</v>
      </c>
    </row>
    <row r="220" spans="1:5" x14ac:dyDescent="0.3">
      <c r="A220" s="13" t="s">
        <v>0</v>
      </c>
      <c r="B220" s="13" t="s">
        <v>320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1237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374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692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523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0</v>
      </c>
      <c r="B225" s="13" t="s">
        <v>115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0</v>
      </c>
      <c r="B226" s="13" t="s">
        <v>1318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0</v>
      </c>
      <c r="B227" s="13" t="s">
        <v>1038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0</v>
      </c>
      <c r="B228" s="13" t="s">
        <v>289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0</v>
      </c>
      <c r="B229" s="13" t="s">
        <v>120</v>
      </c>
      <c r="C229" s="13">
        <v>1</v>
      </c>
      <c r="D229" s="13">
        <v>1</v>
      </c>
      <c r="E229" s="13">
        <v>2</v>
      </c>
    </row>
    <row r="230" spans="1:5" x14ac:dyDescent="0.3">
      <c r="A230" s="13" t="s">
        <v>0</v>
      </c>
      <c r="B230" s="13" t="s">
        <v>123</v>
      </c>
      <c r="C230" s="13">
        <v>2</v>
      </c>
      <c r="D230" s="13">
        <v>1</v>
      </c>
      <c r="E230" s="13">
        <v>2</v>
      </c>
    </row>
    <row r="231" spans="1:5" x14ac:dyDescent="0.3">
      <c r="A231" s="13" t="s">
        <v>0</v>
      </c>
      <c r="B231" s="13" t="s">
        <v>1642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0</v>
      </c>
      <c r="B232" s="13" t="s">
        <v>63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0</v>
      </c>
      <c r="B233" s="13" t="s">
        <v>177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0</v>
      </c>
      <c r="B234" s="13" t="s">
        <v>178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0</v>
      </c>
      <c r="B235" s="13" t="s">
        <v>1987</v>
      </c>
      <c r="C235" s="13">
        <v>1</v>
      </c>
      <c r="D235" s="13">
        <v>1</v>
      </c>
      <c r="E235" s="13">
        <v>2</v>
      </c>
    </row>
    <row r="236" spans="1:5" x14ac:dyDescent="0.3">
      <c r="A236" s="13" t="s">
        <v>0</v>
      </c>
      <c r="B236" s="13" t="s">
        <v>181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0</v>
      </c>
      <c r="B237" s="13" t="s">
        <v>255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0</v>
      </c>
      <c r="B238" s="13" t="s">
        <v>183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0</v>
      </c>
      <c r="B239" s="13" t="s">
        <v>1152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0</v>
      </c>
      <c r="B240" s="13" t="s">
        <v>438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0</v>
      </c>
      <c r="B241" s="13" t="s">
        <v>130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0</v>
      </c>
      <c r="B242" s="13" t="s">
        <v>1223</v>
      </c>
      <c r="C242" s="13">
        <v>1</v>
      </c>
      <c r="D242" s="13">
        <v>1</v>
      </c>
      <c r="E242" s="13">
        <v>2</v>
      </c>
    </row>
    <row r="243" spans="1:5" x14ac:dyDescent="0.3">
      <c r="A243" s="13" t="s">
        <v>0</v>
      </c>
      <c r="B243" s="13" t="s">
        <v>340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0</v>
      </c>
      <c r="B244" s="13" t="s">
        <v>38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0</v>
      </c>
      <c r="B245" s="13" t="s">
        <v>188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0</v>
      </c>
      <c r="B246" s="13" t="s">
        <v>847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0</v>
      </c>
      <c r="B247" s="13" t="s">
        <v>295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0</v>
      </c>
      <c r="B248" s="13" t="s">
        <v>53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0</v>
      </c>
      <c r="B249" s="13" t="s">
        <v>190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0</v>
      </c>
      <c r="B250" s="13" t="s">
        <v>191</v>
      </c>
      <c r="C250" s="13">
        <v>2</v>
      </c>
      <c r="D250" s="13">
        <v>1</v>
      </c>
      <c r="E250" s="13">
        <v>5</v>
      </c>
    </row>
    <row r="251" spans="1:5" x14ac:dyDescent="0.3">
      <c r="A251" s="13" t="s">
        <v>0</v>
      </c>
      <c r="B251" s="13" t="s">
        <v>869</v>
      </c>
      <c r="C251" s="13">
        <v>1</v>
      </c>
      <c r="D251" s="13">
        <v>1</v>
      </c>
      <c r="E251" s="13"/>
    </row>
    <row r="252" spans="1:5" x14ac:dyDescent="0.3">
      <c r="A252" s="13" t="s">
        <v>0</v>
      </c>
      <c r="B252" s="13" t="s">
        <v>722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0</v>
      </c>
      <c r="B253" s="13" t="s">
        <v>2087</v>
      </c>
      <c r="C253" s="13">
        <v>1</v>
      </c>
      <c r="D253" s="13">
        <v>1</v>
      </c>
      <c r="E253" s="13">
        <v>2</v>
      </c>
    </row>
    <row r="254" spans="1:5" x14ac:dyDescent="0.3">
      <c r="A254" s="13" t="s">
        <v>0</v>
      </c>
      <c r="B254" s="13" t="s">
        <v>2508</v>
      </c>
      <c r="C254" s="13">
        <v>1</v>
      </c>
      <c r="D254" s="13">
        <v>1</v>
      </c>
      <c r="E254" s="13"/>
    </row>
    <row r="255" spans="1:5" x14ac:dyDescent="0.3">
      <c r="A255" s="13" t="s">
        <v>0</v>
      </c>
      <c r="B255" s="13" t="s">
        <v>2103</v>
      </c>
      <c r="C255" s="13">
        <v>1</v>
      </c>
      <c r="D255" s="13">
        <v>1</v>
      </c>
      <c r="E255" s="13"/>
    </row>
    <row r="256" spans="1:5" x14ac:dyDescent="0.3">
      <c r="A256" s="13" t="s">
        <v>0</v>
      </c>
      <c r="B256" s="13" t="s">
        <v>2509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0</v>
      </c>
      <c r="B257" s="13" t="s">
        <v>68</v>
      </c>
      <c r="C257" s="13">
        <v>1</v>
      </c>
      <c r="D257" s="13">
        <v>1</v>
      </c>
      <c r="E257" s="13">
        <v>2</v>
      </c>
    </row>
    <row r="258" spans="1:5" x14ac:dyDescent="0.3">
      <c r="A258" s="13" t="s">
        <v>2</v>
      </c>
      <c r="B258" s="13" t="s">
        <v>669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2</v>
      </c>
      <c r="B259" s="13" t="s">
        <v>1663</v>
      </c>
      <c r="C259" s="13">
        <v>2</v>
      </c>
      <c r="D259" s="13">
        <v>1</v>
      </c>
      <c r="E259" s="13">
        <v>2</v>
      </c>
    </row>
    <row r="260" spans="1:5" x14ac:dyDescent="0.3">
      <c r="A260" s="13" t="s">
        <v>2</v>
      </c>
      <c r="B260" s="13" t="s">
        <v>100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2</v>
      </c>
      <c r="B261" s="13" t="s">
        <v>44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2</v>
      </c>
      <c r="B262" s="13" t="s">
        <v>45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2</v>
      </c>
      <c r="B263" s="13" t="s">
        <v>118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2</v>
      </c>
      <c r="B264" s="13" t="s">
        <v>120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2</v>
      </c>
      <c r="B265" s="13" t="s">
        <v>63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2</v>
      </c>
      <c r="B266" s="13" t="s">
        <v>31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2</v>
      </c>
      <c r="B267" s="13" t="s">
        <v>39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198</v>
      </c>
      <c r="C268" s="13">
        <v>1</v>
      </c>
      <c r="D268" s="13">
        <v>0</v>
      </c>
      <c r="E268" s="13">
        <v>1</v>
      </c>
    </row>
    <row r="269" spans="1:5" x14ac:dyDescent="0.3">
      <c r="A269" s="13" t="s">
        <v>1</v>
      </c>
      <c r="B269" s="13" t="s">
        <v>47</v>
      </c>
      <c r="C269" s="13">
        <v>1</v>
      </c>
      <c r="D269" s="13">
        <v>0</v>
      </c>
      <c r="E269" s="13">
        <v>1</v>
      </c>
    </row>
    <row r="270" spans="1:5" x14ac:dyDescent="0.3">
      <c r="A270" s="13" t="s">
        <v>1</v>
      </c>
      <c r="B270" s="13" t="s">
        <v>203</v>
      </c>
      <c r="C270" s="13">
        <v>1</v>
      </c>
      <c r="D270" s="13">
        <v>0</v>
      </c>
      <c r="E270" s="13">
        <v>1</v>
      </c>
    </row>
    <row r="271" spans="1:5" x14ac:dyDescent="0.3">
      <c r="A271" s="13" t="s">
        <v>1</v>
      </c>
      <c r="B271" s="13" t="s">
        <v>592</v>
      </c>
      <c r="C271" s="13">
        <v>1</v>
      </c>
      <c r="D271" s="13">
        <v>0</v>
      </c>
      <c r="E271" s="13">
        <v>1</v>
      </c>
    </row>
    <row r="272" spans="1:5" x14ac:dyDescent="0.3">
      <c r="A272" s="13" t="s">
        <v>1</v>
      </c>
      <c r="B272" s="13" t="s">
        <v>142</v>
      </c>
      <c r="C272" s="13">
        <v>1</v>
      </c>
      <c r="D272" s="13">
        <v>0</v>
      </c>
      <c r="E272" s="13">
        <v>1</v>
      </c>
    </row>
    <row r="273" spans="1:5" x14ac:dyDescent="0.3">
      <c r="A273" s="13" t="s">
        <v>1</v>
      </c>
      <c r="B273" s="13" t="s">
        <v>447</v>
      </c>
      <c r="C273" s="13">
        <v>1</v>
      </c>
      <c r="D273" s="13">
        <v>0</v>
      </c>
      <c r="E273" s="13">
        <v>1</v>
      </c>
    </row>
    <row r="274" spans="1:5" x14ac:dyDescent="0.3">
      <c r="A274" s="13" t="s">
        <v>1</v>
      </c>
      <c r="B274" s="13" t="s">
        <v>853</v>
      </c>
      <c r="C274" s="13">
        <v>1</v>
      </c>
      <c r="D274" s="13">
        <v>0</v>
      </c>
      <c r="E274" s="13">
        <v>1</v>
      </c>
    </row>
    <row r="275" spans="1:5" x14ac:dyDescent="0.3">
      <c r="A275" s="13" t="s">
        <v>1</v>
      </c>
      <c r="B275" s="13" t="s">
        <v>144</v>
      </c>
      <c r="C275" s="13">
        <v>1</v>
      </c>
      <c r="D275" s="13">
        <v>0</v>
      </c>
      <c r="E275" s="13">
        <v>1</v>
      </c>
    </row>
    <row r="276" spans="1:5" x14ac:dyDescent="0.3">
      <c r="A276" s="13" t="s">
        <v>1</v>
      </c>
      <c r="B276" s="13" t="s">
        <v>86</v>
      </c>
      <c r="C276" s="13">
        <v>1</v>
      </c>
      <c r="D276" s="13">
        <v>0</v>
      </c>
      <c r="E276" s="13">
        <v>1</v>
      </c>
    </row>
    <row r="277" spans="1:5" x14ac:dyDescent="0.3">
      <c r="A277" s="13" t="s">
        <v>1</v>
      </c>
      <c r="B277" s="13" t="s">
        <v>147</v>
      </c>
      <c r="C277" s="13">
        <v>1</v>
      </c>
      <c r="D277" s="13">
        <v>0</v>
      </c>
      <c r="E277" s="13">
        <v>1</v>
      </c>
    </row>
    <row r="278" spans="1:5" x14ac:dyDescent="0.3">
      <c r="A278" s="13" t="s">
        <v>1</v>
      </c>
      <c r="B278" s="13" t="s">
        <v>148</v>
      </c>
      <c r="C278" s="13">
        <v>1</v>
      </c>
      <c r="D278" s="13">
        <v>0</v>
      </c>
      <c r="E278" s="13">
        <v>1</v>
      </c>
    </row>
    <row r="279" spans="1:5" x14ac:dyDescent="0.3">
      <c r="A279" s="13" t="s">
        <v>1</v>
      </c>
      <c r="B279" s="13" t="s">
        <v>1161</v>
      </c>
      <c r="C279" s="13">
        <v>1</v>
      </c>
      <c r="D279" s="13">
        <v>0</v>
      </c>
      <c r="E279" s="13">
        <v>0</v>
      </c>
    </row>
    <row r="280" spans="1:5" x14ac:dyDescent="0.3">
      <c r="A280" s="13" t="s">
        <v>1</v>
      </c>
      <c r="B280" s="13" t="s">
        <v>611</v>
      </c>
      <c r="C280" s="13">
        <v>1</v>
      </c>
      <c r="D280" s="13">
        <v>0</v>
      </c>
      <c r="E280" s="13">
        <v>1</v>
      </c>
    </row>
    <row r="281" spans="1:5" x14ac:dyDescent="0.3">
      <c r="A281" s="13" t="s">
        <v>1</v>
      </c>
      <c r="B281" s="13" t="s">
        <v>653</v>
      </c>
      <c r="C281" s="13">
        <v>1</v>
      </c>
      <c r="D281" s="13">
        <v>0</v>
      </c>
      <c r="E281" s="13">
        <v>1</v>
      </c>
    </row>
    <row r="282" spans="1:5" x14ac:dyDescent="0.3">
      <c r="A282" s="13" t="s">
        <v>1</v>
      </c>
      <c r="B282" s="13" t="s">
        <v>888</v>
      </c>
      <c r="C282" s="13">
        <v>1</v>
      </c>
      <c r="D282" s="13">
        <v>0</v>
      </c>
      <c r="E282" s="13">
        <v>1</v>
      </c>
    </row>
    <row r="283" spans="1:5" x14ac:dyDescent="0.3">
      <c r="A283" s="13" t="s">
        <v>1</v>
      </c>
      <c r="B283" s="13" t="s">
        <v>1518</v>
      </c>
      <c r="C283" s="13">
        <v>1</v>
      </c>
      <c r="D283" s="13">
        <v>0</v>
      </c>
      <c r="E283" s="13">
        <v>1</v>
      </c>
    </row>
    <row r="284" spans="1:5" x14ac:dyDescent="0.3">
      <c r="A284" s="13" t="s">
        <v>1</v>
      </c>
      <c r="B284" s="13" t="s">
        <v>1674</v>
      </c>
      <c r="C284" s="13">
        <v>1</v>
      </c>
      <c r="D284" s="13">
        <v>0</v>
      </c>
      <c r="E284" s="13">
        <v>1</v>
      </c>
    </row>
    <row r="285" spans="1:5" x14ac:dyDescent="0.3">
      <c r="A285" s="13" t="s">
        <v>1</v>
      </c>
      <c r="B285" s="13" t="s">
        <v>1885</v>
      </c>
      <c r="C285" s="13">
        <v>2</v>
      </c>
      <c r="D285" s="13">
        <v>0</v>
      </c>
      <c r="E285" s="13">
        <v>8</v>
      </c>
    </row>
    <row r="286" spans="1:5" x14ac:dyDescent="0.3">
      <c r="A286" s="13" t="s">
        <v>1</v>
      </c>
      <c r="B286" s="13" t="s">
        <v>1908</v>
      </c>
      <c r="C286" s="13">
        <v>1</v>
      </c>
      <c r="D286" s="13">
        <v>0</v>
      </c>
      <c r="E286" s="13">
        <v>1</v>
      </c>
    </row>
    <row r="287" spans="1:5" x14ac:dyDescent="0.3">
      <c r="A287" s="13" t="s">
        <v>1</v>
      </c>
      <c r="B287" s="13" t="s">
        <v>1882</v>
      </c>
      <c r="C287" s="13">
        <v>2</v>
      </c>
      <c r="D287" s="13">
        <v>0</v>
      </c>
      <c r="E287" s="13">
        <v>2</v>
      </c>
    </row>
    <row r="288" spans="1:5" x14ac:dyDescent="0.3">
      <c r="A288" s="13" t="s">
        <v>1</v>
      </c>
      <c r="B288" s="13" t="s">
        <v>2510</v>
      </c>
      <c r="C288" s="13">
        <v>1</v>
      </c>
      <c r="D288" s="13">
        <v>0</v>
      </c>
      <c r="E288" s="13">
        <v>1</v>
      </c>
    </row>
    <row r="289" spans="1:5" x14ac:dyDescent="0.3">
      <c r="A289" s="13" t="s">
        <v>1</v>
      </c>
      <c r="B289" s="13" t="s">
        <v>2081</v>
      </c>
      <c r="C289" s="13">
        <v>1</v>
      </c>
      <c r="D289" s="13">
        <v>0</v>
      </c>
      <c r="E289" s="13">
        <v>1</v>
      </c>
    </row>
    <row r="290" spans="1:5" x14ac:dyDescent="0.3">
      <c r="A290" s="13" t="s">
        <v>1</v>
      </c>
      <c r="B290" s="13" t="s">
        <v>563</v>
      </c>
      <c r="C290" s="13">
        <v>1</v>
      </c>
      <c r="D290" s="13">
        <v>0</v>
      </c>
      <c r="E290" s="13">
        <v>1</v>
      </c>
    </row>
    <row r="291" spans="1:5" x14ac:dyDescent="0.3">
      <c r="A291" s="13" t="s">
        <v>1</v>
      </c>
      <c r="B291" s="13" t="s">
        <v>165</v>
      </c>
      <c r="C291" s="13">
        <v>1</v>
      </c>
      <c r="D291" s="13">
        <v>0</v>
      </c>
      <c r="E291" s="13">
        <v>2</v>
      </c>
    </row>
    <row r="292" spans="1:5" x14ac:dyDescent="0.3">
      <c r="A292" s="13" t="s">
        <v>1</v>
      </c>
      <c r="B292" s="13" t="s">
        <v>279</v>
      </c>
      <c r="C292" s="13">
        <v>1</v>
      </c>
      <c r="D292" s="13">
        <v>0</v>
      </c>
      <c r="E292" s="13">
        <v>1</v>
      </c>
    </row>
    <row r="293" spans="1:5" x14ac:dyDescent="0.3">
      <c r="A293" s="13" t="s">
        <v>1</v>
      </c>
      <c r="B293" s="13" t="s">
        <v>1272</v>
      </c>
      <c r="C293" s="13">
        <v>1</v>
      </c>
      <c r="D293" s="13">
        <v>0</v>
      </c>
      <c r="E293" s="13">
        <v>1</v>
      </c>
    </row>
    <row r="294" spans="1:5" x14ac:dyDescent="0.3">
      <c r="A294" s="13" t="s">
        <v>1</v>
      </c>
      <c r="B294" s="13" t="s">
        <v>568</v>
      </c>
      <c r="C294" s="13">
        <v>1</v>
      </c>
      <c r="D294" s="13">
        <v>0</v>
      </c>
      <c r="E294" s="13">
        <v>0</v>
      </c>
    </row>
    <row r="295" spans="1:5" x14ac:dyDescent="0.3">
      <c r="A295" s="13" t="s">
        <v>1</v>
      </c>
      <c r="B295" s="13" t="s">
        <v>921</v>
      </c>
      <c r="C295" s="13">
        <v>1</v>
      </c>
      <c r="D295" s="13">
        <v>0</v>
      </c>
      <c r="E295" s="13">
        <v>1</v>
      </c>
    </row>
    <row r="296" spans="1:5" x14ac:dyDescent="0.3">
      <c r="A296" s="13" t="s">
        <v>1</v>
      </c>
      <c r="B296" s="13" t="s">
        <v>2511</v>
      </c>
      <c r="C296" s="13">
        <v>1</v>
      </c>
      <c r="D296" s="13">
        <v>0</v>
      </c>
      <c r="E296" s="13">
        <v>1</v>
      </c>
    </row>
    <row r="297" spans="1:5" x14ac:dyDescent="0.3">
      <c r="A297" s="13" t="s">
        <v>1</v>
      </c>
      <c r="B297" s="13" t="s">
        <v>627</v>
      </c>
      <c r="C297" s="13">
        <v>1</v>
      </c>
      <c r="D297" s="13">
        <v>0</v>
      </c>
      <c r="E297" s="13">
        <v>1</v>
      </c>
    </row>
    <row r="298" spans="1:5" x14ac:dyDescent="0.3">
      <c r="A298" s="13" t="s">
        <v>1</v>
      </c>
      <c r="B298" s="13" t="s">
        <v>1202</v>
      </c>
      <c r="C298" s="13">
        <v>1</v>
      </c>
      <c r="D298" s="13">
        <v>0</v>
      </c>
      <c r="E298" s="13">
        <v>1</v>
      </c>
    </row>
    <row r="299" spans="1:5" x14ac:dyDescent="0.3">
      <c r="A299" s="13" t="s">
        <v>1</v>
      </c>
      <c r="B299" s="13" t="s">
        <v>122</v>
      </c>
      <c r="C299" s="13">
        <v>1</v>
      </c>
      <c r="D299" s="13">
        <v>0</v>
      </c>
      <c r="E299" s="13">
        <v>1</v>
      </c>
    </row>
    <row r="300" spans="1:5" x14ac:dyDescent="0.3">
      <c r="A300" s="13" t="s">
        <v>1</v>
      </c>
      <c r="B300" s="13" t="s">
        <v>435</v>
      </c>
      <c r="C300" s="13">
        <v>1</v>
      </c>
      <c r="D300" s="13">
        <v>0</v>
      </c>
      <c r="E300" s="13">
        <v>1</v>
      </c>
    </row>
    <row r="301" spans="1:5" x14ac:dyDescent="0.3">
      <c r="A301" s="13" t="s">
        <v>1</v>
      </c>
      <c r="B301" s="13" t="s">
        <v>63</v>
      </c>
      <c r="C301" s="13">
        <v>1</v>
      </c>
      <c r="D301" s="13">
        <v>0</v>
      </c>
      <c r="E301" s="13">
        <v>1</v>
      </c>
    </row>
    <row r="302" spans="1:5" x14ac:dyDescent="0.3">
      <c r="A302" s="13" t="s">
        <v>1</v>
      </c>
      <c r="B302" s="13" t="s">
        <v>126</v>
      </c>
      <c r="C302" s="13">
        <v>1</v>
      </c>
      <c r="D302" s="13">
        <v>0</v>
      </c>
      <c r="E302" s="13">
        <v>2</v>
      </c>
    </row>
    <row r="303" spans="1:5" x14ac:dyDescent="0.3">
      <c r="A303" s="13" t="s">
        <v>1</v>
      </c>
      <c r="B303" s="13" t="s">
        <v>867</v>
      </c>
      <c r="C303" s="13">
        <v>1</v>
      </c>
      <c r="D303" s="13">
        <v>0</v>
      </c>
      <c r="E303" s="13">
        <v>2</v>
      </c>
    </row>
    <row r="304" spans="1:5" x14ac:dyDescent="0.3">
      <c r="A304" s="13" t="s">
        <v>1</v>
      </c>
      <c r="B304" s="13" t="s">
        <v>1417</v>
      </c>
      <c r="C304" s="13">
        <v>1</v>
      </c>
      <c r="D304" s="13">
        <v>0</v>
      </c>
      <c r="E304" s="13">
        <v>0</v>
      </c>
    </row>
    <row r="305" spans="1:5" x14ac:dyDescent="0.3">
      <c r="A305" s="13" t="s">
        <v>1</v>
      </c>
      <c r="B305" s="13" t="s">
        <v>909</v>
      </c>
      <c r="C305" s="13">
        <v>1</v>
      </c>
      <c r="D305" s="13">
        <v>0</v>
      </c>
      <c r="E305" s="13">
        <v>1</v>
      </c>
    </row>
    <row r="306" spans="1:5" x14ac:dyDescent="0.3">
      <c r="A306" s="13" t="s">
        <v>1</v>
      </c>
      <c r="B306" s="13" t="s">
        <v>231</v>
      </c>
      <c r="C306" s="13">
        <v>1</v>
      </c>
      <c r="D306" s="13">
        <v>0</v>
      </c>
      <c r="E306" s="13">
        <v>1</v>
      </c>
    </row>
    <row r="307" spans="1:5" x14ac:dyDescent="0.3">
      <c r="A307" s="13" t="s">
        <v>1</v>
      </c>
      <c r="B307" s="13" t="s">
        <v>191</v>
      </c>
      <c r="C307" s="13">
        <v>2</v>
      </c>
      <c r="D307" s="13">
        <v>0</v>
      </c>
      <c r="E307" s="13">
        <v>4</v>
      </c>
    </row>
    <row r="308" spans="1:5" x14ac:dyDescent="0.3">
      <c r="A308" s="13" t="s">
        <v>1</v>
      </c>
      <c r="B308" s="13" t="s">
        <v>460</v>
      </c>
      <c r="C308" s="13">
        <v>1</v>
      </c>
      <c r="D308" s="13">
        <v>0</v>
      </c>
      <c r="E308" s="13">
        <v>1</v>
      </c>
    </row>
    <row r="309" spans="1:5" x14ac:dyDescent="0.3">
      <c r="A309" s="13" t="s">
        <v>1</v>
      </c>
      <c r="B309" s="13" t="s">
        <v>192</v>
      </c>
      <c r="C309" s="13">
        <v>1</v>
      </c>
      <c r="D309" s="13">
        <v>0</v>
      </c>
      <c r="E309" s="13">
        <v>3</v>
      </c>
    </row>
    <row r="310" spans="1:5" x14ac:dyDescent="0.3">
      <c r="A310" s="13" t="s">
        <v>1</v>
      </c>
      <c r="B310" s="13" t="s">
        <v>39</v>
      </c>
      <c r="C310" s="13">
        <v>4</v>
      </c>
      <c r="D310" s="13">
        <v>0</v>
      </c>
      <c r="E310" s="13">
        <v>12</v>
      </c>
    </row>
    <row r="311" spans="1:5" x14ac:dyDescent="0.3">
      <c r="A311" s="13" t="s">
        <v>1</v>
      </c>
      <c r="B311" s="13" t="s">
        <v>233</v>
      </c>
      <c r="C311" s="13">
        <v>1</v>
      </c>
      <c r="D311" s="13">
        <v>0</v>
      </c>
      <c r="E311" s="13">
        <v>1</v>
      </c>
    </row>
    <row r="312" spans="1:5" x14ac:dyDescent="0.3">
      <c r="A312" s="13" t="s">
        <v>1</v>
      </c>
      <c r="B312" s="13" t="s">
        <v>234</v>
      </c>
      <c r="C312" s="13">
        <v>1</v>
      </c>
      <c r="D312" s="13">
        <v>0</v>
      </c>
      <c r="E312" s="13">
        <v>1</v>
      </c>
    </row>
    <row r="313" spans="1:5" x14ac:dyDescent="0.3">
      <c r="A313" s="13" t="s">
        <v>1</v>
      </c>
      <c r="B313" s="13" t="s">
        <v>236</v>
      </c>
      <c r="C313" s="13">
        <v>1</v>
      </c>
      <c r="D313" s="13">
        <v>0</v>
      </c>
      <c r="E313" s="13">
        <v>1</v>
      </c>
    </row>
    <row r="314" spans="1:5" x14ac:dyDescent="0.3">
      <c r="A314" s="13" t="s">
        <v>1</v>
      </c>
      <c r="B314" s="13" t="s">
        <v>2512</v>
      </c>
      <c r="C314" s="13">
        <v>0</v>
      </c>
      <c r="D314" s="13">
        <v>1</v>
      </c>
      <c r="E314" s="13"/>
    </row>
    <row r="315" spans="1:5" x14ac:dyDescent="0.3">
      <c r="A315" s="13" t="s">
        <v>1</v>
      </c>
      <c r="B315" s="13" t="s">
        <v>2348</v>
      </c>
      <c r="C315" s="13">
        <v>3</v>
      </c>
      <c r="D315" s="13">
        <v>0</v>
      </c>
      <c r="E315" s="13">
        <v>4</v>
      </c>
    </row>
    <row r="316" spans="1:5" x14ac:dyDescent="0.3">
      <c r="A316" s="13" t="s">
        <v>1</v>
      </c>
      <c r="B316" s="13" t="s">
        <v>2349</v>
      </c>
      <c r="C316" s="13">
        <v>2</v>
      </c>
      <c r="D316" s="13">
        <v>0</v>
      </c>
      <c r="E316" s="13">
        <v>2</v>
      </c>
    </row>
    <row r="317" spans="1:5" x14ac:dyDescent="0.3">
      <c r="A317" s="13" t="s">
        <v>1</v>
      </c>
      <c r="B317" s="13" t="s">
        <v>2350</v>
      </c>
      <c r="C317" s="13">
        <v>1</v>
      </c>
      <c r="D317" s="13">
        <v>0</v>
      </c>
      <c r="E317" s="13">
        <v>2</v>
      </c>
    </row>
    <row r="318" spans="1:5" x14ac:dyDescent="0.3">
      <c r="A318" s="13" t="s">
        <v>1</v>
      </c>
      <c r="B318" s="13" t="s">
        <v>2351</v>
      </c>
      <c r="C318" s="13">
        <v>1</v>
      </c>
      <c r="D318" s="13">
        <v>0</v>
      </c>
      <c r="E318" s="13">
        <v>2</v>
      </c>
    </row>
    <row r="319" spans="1:5" x14ac:dyDescent="0.3">
      <c r="A319" s="13" t="s">
        <v>1</v>
      </c>
      <c r="B319" s="13" t="s">
        <v>2352</v>
      </c>
      <c r="C319" s="13">
        <v>2</v>
      </c>
      <c r="D319" s="13">
        <v>0</v>
      </c>
      <c r="E319" s="13">
        <v>2</v>
      </c>
    </row>
    <row r="320" spans="1:5" x14ac:dyDescent="0.3">
      <c r="A320" s="13" t="s">
        <v>1</v>
      </c>
      <c r="B320" s="13" t="s">
        <v>2354</v>
      </c>
      <c r="C320" s="13">
        <v>1</v>
      </c>
      <c r="D320" s="13">
        <v>0</v>
      </c>
      <c r="E320" s="13">
        <v>1</v>
      </c>
    </row>
    <row r="321" spans="1:5" x14ac:dyDescent="0.3">
      <c r="A321" s="13" t="s">
        <v>1</v>
      </c>
      <c r="B321" s="13" t="s">
        <v>2355</v>
      </c>
      <c r="C321" s="13">
        <v>1</v>
      </c>
      <c r="D321" s="13">
        <v>0</v>
      </c>
      <c r="E321" s="13">
        <v>0</v>
      </c>
    </row>
    <row r="322" spans="1:5" x14ac:dyDescent="0.3">
      <c r="A322" s="13" t="s">
        <v>0</v>
      </c>
      <c r="B322" s="13" t="s">
        <v>269</v>
      </c>
      <c r="C322" s="13">
        <v>2</v>
      </c>
      <c r="D322" s="13">
        <v>0</v>
      </c>
      <c r="E322" s="13">
        <v>2</v>
      </c>
    </row>
    <row r="323" spans="1:5" x14ac:dyDescent="0.3">
      <c r="A323" s="13" t="s">
        <v>0</v>
      </c>
      <c r="B323" s="13" t="s">
        <v>796</v>
      </c>
      <c r="C323" s="13">
        <v>1</v>
      </c>
      <c r="D323" s="13">
        <v>0</v>
      </c>
      <c r="E323" s="13">
        <v>1</v>
      </c>
    </row>
    <row r="324" spans="1:5" x14ac:dyDescent="0.3">
      <c r="A324" s="13" t="s">
        <v>0</v>
      </c>
      <c r="B324" s="13" t="s">
        <v>244</v>
      </c>
      <c r="C324" s="13">
        <v>1</v>
      </c>
      <c r="D324" s="13">
        <v>0</v>
      </c>
      <c r="E324" s="13">
        <v>1</v>
      </c>
    </row>
    <row r="325" spans="1:5" x14ac:dyDescent="0.3">
      <c r="A325" s="13" t="s">
        <v>0</v>
      </c>
      <c r="B325" s="13" t="s">
        <v>612</v>
      </c>
      <c r="C325" s="13">
        <v>1</v>
      </c>
      <c r="D325" s="13">
        <v>0</v>
      </c>
      <c r="E325" s="13">
        <v>1</v>
      </c>
    </row>
    <row r="326" spans="1:5" x14ac:dyDescent="0.3">
      <c r="A326" s="13" t="s">
        <v>0</v>
      </c>
      <c r="B326" s="13" t="s">
        <v>1888</v>
      </c>
      <c r="C326" s="13">
        <v>1</v>
      </c>
      <c r="D326" s="13">
        <v>0</v>
      </c>
      <c r="E326" s="13">
        <v>2</v>
      </c>
    </row>
    <row r="327" spans="1:5" x14ac:dyDescent="0.3">
      <c r="A327" s="13" t="s">
        <v>0</v>
      </c>
      <c r="B327" s="13" t="s">
        <v>2339</v>
      </c>
      <c r="C327" s="13">
        <v>1</v>
      </c>
      <c r="D327" s="13">
        <v>0</v>
      </c>
      <c r="E327" s="13">
        <v>1</v>
      </c>
    </row>
    <row r="328" spans="1:5" x14ac:dyDescent="0.3">
      <c r="A328" s="13" t="s">
        <v>0</v>
      </c>
      <c r="B328" s="13" t="s">
        <v>2335</v>
      </c>
      <c r="C328" s="13">
        <v>1</v>
      </c>
      <c r="D328" s="13">
        <v>0</v>
      </c>
      <c r="E328" s="13">
        <v>1</v>
      </c>
    </row>
    <row r="329" spans="1:5" x14ac:dyDescent="0.3">
      <c r="A329" s="13" t="s">
        <v>0</v>
      </c>
      <c r="B329" s="13" t="s">
        <v>2425</v>
      </c>
      <c r="C329" s="13">
        <v>1</v>
      </c>
      <c r="D329" s="13">
        <v>0</v>
      </c>
      <c r="E329" s="13">
        <v>1</v>
      </c>
    </row>
    <row r="330" spans="1:5" x14ac:dyDescent="0.3">
      <c r="A330" s="13" t="s">
        <v>0</v>
      </c>
      <c r="B330" s="13" t="s">
        <v>1113</v>
      </c>
      <c r="C330" s="13">
        <v>1</v>
      </c>
      <c r="D330" s="13">
        <v>0</v>
      </c>
      <c r="E330" s="13">
        <v>1</v>
      </c>
    </row>
    <row r="331" spans="1:5" x14ac:dyDescent="0.3">
      <c r="A331" s="13" t="s">
        <v>0</v>
      </c>
      <c r="B331" s="13" t="s">
        <v>429</v>
      </c>
      <c r="C331" s="13">
        <v>1</v>
      </c>
      <c r="D331" s="13">
        <v>0</v>
      </c>
      <c r="E331" s="13">
        <v>1</v>
      </c>
    </row>
    <row r="332" spans="1:5" x14ac:dyDescent="0.3">
      <c r="A332" s="13" t="s">
        <v>0</v>
      </c>
      <c r="B332" s="13" t="s">
        <v>2513</v>
      </c>
      <c r="C332" s="13">
        <v>1</v>
      </c>
      <c r="D332" s="13">
        <v>0</v>
      </c>
      <c r="E332" s="13">
        <v>1</v>
      </c>
    </row>
    <row r="333" spans="1:5" x14ac:dyDescent="0.3">
      <c r="A333" s="13" t="s">
        <v>0</v>
      </c>
      <c r="B333" s="13" t="s">
        <v>285</v>
      </c>
      <c r="C333" s="13">
        <v>1</v>
      </c>
      <c r="D333" s="13">
        <v>0</v>
      </c>
      <c r="E333" s="13">
        <v>1</v>
      </c>
    </row>
    <row r="334" spans="1:5" x14ac:dyDescent="0.3">
      <c r="A334" s="13" t="s">
        <v>0</v>
      </c>
      <c r="B334" s="13" t="s">
        <v>286</v>
      </c>
      <c r="C334" s="13">
        <v>1</v>
      </c>
      <c r="D334" s="13">
        <v>0</v>
      </c>
      <c r="E334" s="13">
        <v>1</v>
      </c>
    </row>
    <row r="335" spans="1:5" x14ac:dyDescent="0.3">
      <c r="A335" s="13" t="s">
        <v>0</v>
      </c>
      <c r="B335" s="13" t="s">
        <v>2415</v>
      </c>
      <c r="C335" s="13">
        <v>1</v>
      </c>
      <c r="D335" s="13">
        <v>0</v>
      </c>
      <c r="E335" s="13">
        <v>1</v>
      </c>
    </row>
    <row r="336" spans="1:5" x14ac:dyDescent="0.3">
      <c r="A336" s="13" t="s">
        <v>0</v>
      </c>
      <c r="B336" s="13" t="s">
        <v>252</v>
      </c>
      <c r="C336" s="13">
        <v>1</v>
      </c>
      <c r="D336" s="13">
        <v>0</v>
      </c>
      <c r="E336" s="13">
        <v>1</v>
      </c>
    </row>
    <row r="337" spans="1:5" x14ac:dyDescent="0.3">
      <c r="A337" s="13" t="s">
        <v>0</v>
      </c>
      <c r="B337" s="13" t="s">
        <v>467</v>
      </c>
      <c r="C337" s="13">
        <v>1</v>
      </c>
      <c r="D337" s="13">
        <v>0</v>
      </c>
      <c r="E337" s="13">
        <v>1</v>
      </c>
    </row>
    <row r="338" spans="1:5" x14ac:dyDescent="0.3">
      <c r="A338" s="13" t="s">
        <v>0</v>
      </c>
      <c r="B338" s="13" t="s">
        <v>232</v>
      </c>
      <c r="C338" s="13">
        <v>1</v>
      </c>
      <c r="D338" s="13">
        <v>0</v>
      </c>
      <c r="E338" s="13">
        <v>1</v>
      </c>
    </row>
    <row r="339" spans="1:5" x14ac:dyDescent="0.3">
      <c r="A339" s="13" t="s">
        <v>0</v>
      </c>
      <c r="B339" s="13" t="s">
        <v>2514</v>
      </c>
      <c r="C339" s="13">
        <v>1</v>
      </c>
      <c r="D339" s="13">
        <v>0</v>
      </c>
      <c r="E339" s="13">
        <v>1</v>
      </c>
    </row>
    <row r="340" spans="1:5" x14ac:dyDescent="0.3">
      <c r="A340" s="13" t="s">
        <v>0</v>
      </c>
      <c r="B340" s="13" t="s">
        <v>2348</v>
      </c>
      <c r="C340" s="13">
        <v>1</v>
      </c>
      <c r="D340" s="13">
        <v>0</v>
      </c>
      <c r="E340" s="13">
        <v>1</v>
      </c>
    </row>
    <row r="341" spans="1:5" x14ac:dyDescent="0.3">
      <c r="A341" s="13" t="s">
        <v>0</v>
      </c>
      <c r="B341" s="13" t="s">
        <v>32</v>
      </c>
      <c r="C341" s="13">
        <v>1</v>
      </c>
      <c r="D341" s="13">
        <v>0</v>
      </c>
      <c r="E341" s="13">
        <v>1</v>
      </c>
    </row>
    <row r="342" spans="1:5" x14ac:dyDescent="0.3">
      <c r="A342" s="13"/>
      <c r="B342" s="13"/>
      <c r="C342" s="13"/>
      <c r="D342" s="13"/>
      <c r="E342" s="13"/>
    </row>
    <row r="343" spans="1:5" x14ac:dyDescent="0.3">
      <c r="A343" s="13"/>
      <c r="B343" s="13"/>
      <c r="C343" s="13"/>
      <c r="D343" s="13"/>
      <c r="E343" s="13"/>
    </row>
    <row r="344" spans="1:5" x14ac:dyDescent="0.3">
      <c r="A344" s="13"/>
      <c r="B344" s="13"/>
      <c r="C344" s="13"/>
      <c r="D344" s="13"/>
      <c r="E344" s="13"/>
    </row>
    <row r="345" spans="1:5" x14ac:dyDescent="0.3">
      <c r="A345" s="13"/>
      <c r="B345" s="13"/>
      <c r="C345" s="13"/>
      <c r="D345" s="13"/>
      <c r="E345" s="13"/>
    </row>
    <row r="346" spans="1:5" x14ac:dyDescent="0.3">
      <c r="A346" s="13"/>
      <c r="B346" s="13"/>
      <c r="C346" s="13"/>
      <c r="D346" s="13"/>
      <c r="E346" s="13"/>
    </row>
    <row r="347" spans="1:5" x14ac:dyDescent="0.3">
      <c r="A347" s="13"/>
      <c r="B347" s="13"/>
      <c r="C347" s="13"/>
      <c r="D347" s="13"/>
      <c r="E347" s="13"/>
    </row>
    <row r="348" spans="1:5" x14ac:dyDescent="0.3">
      <c r="A348" s="13"/>
      <c r="B348" s="13"/>
      <c r="C348" s="13"/>
      <c r="D348" s="13"/>
      <c r="E348" s="13"/>
    </row>
    <row r="349" spans="1:5" x14ac:dyDescent="0.3">
      <c r="A349" s="13"/>
      <c r="B349" s="13"/>
      <c r="C349" s="13"/>
      <c r="D349" s="13"/>
      <c r="E349" s="13"/>
    </row>
    <row r="350" spans="1:5" x14ac:dyDescent="0.3">
      <c r="A350" s="13"/>
      <c r="B350" s="13"/>
      <c r="C350" s="13"/>
      <c r="D350" s="13"/>
      <c r="E350" s="13"/>
    </row>
    <row r="351" spans="1:5" x14ac:dyDescent="0.3">
      <c r="A351" s="13"/>
      <c r="B351" s="13"/>
      <c r="C351" s="13"/>
      <c r="D351" s="13"/>
      <c r="E351" s="13"/>
    </row>
    <row r="352" spans="1:5" x14ac:dyDescent="0.3">
      <c r="A352" s="13"/>
      <c r="B352" s="13"/>
      <c r="C352" s="13"/>
      <c r="D352" s="13"/>
      <c r="E352" s="13"/>
    </row>
    <row r="353" spans="1:5" x14ac:dyDescent="0.3">
      <c r="A353" s="13"/>
      <c r="B353" s="13"/>
      <c r="C353" s="13"/>
      <c r="D353" s="13"/>
      <c r="E353" s="13"/>
    </row>
    <row r="354" spans="1:5" x14ac:dyDescent="0.3">
      <c r="A354" s="13"/>
      <c r="B354" s="13"/>
      <c r="C354" s="13"/>
      <c r="D354" s="13"/>
      <c r="E354" s="13"/>
    </row>
    <row r="355" spans="1:5" x14ac:dyDescent="0.3">
      <c r="A355" s="13"/>
      <c r="B355" s="13"/>
      <c r="C355" s="13"/>
      <c r="D355" s="13"/>
      <c r="E355" s="13"/>
    </row>
    <row r="356" spans="1:5" x14ac:dyDescent="0.3">
      <c r="A356" s="13"/>
      <c r="B356" s="13"/>
      <c r="C356" s="13"/>
      <c r="D356" s="13"/>
      <c r="E356" s="13"/>
    </row>
    <row r="357" spans="1:5" x14ac:dyDescent="0.3">
      <c r="A357" s="13"/>
      <c r="B357" s="13"/>
      <c r="C357" s="13"/>
      <c r="D357" s="13"/>
      <c r="E357" s="13"/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D6193-8EC1-4903-A242-E0BD50336581}">
  <sheetPr codeName="Sheet43"/>
  <dimension ref="A1:M716"/>
  <sheetViews>
    <sheetView workbookViewId="0">
      <selection activeCell="A2" sqref="A2:E716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928</v>
      </c>
      <c r="C2" s="13">
        <v>81</v>
      </c>
      <c r="D2" s="13">
        <v>81</v>
      </c>
      <c r="E2" s="13">
        <v>86</v>
      </c>
    </row>
    <row r="3" spans="1:13" customFormat="1" x14ac:dyDescent="0.3">
      <c r="A3" s="13" t="s">
        <v>0</v>
      </c>
      <c r="B3" s="13" t="s">
        <v>2408</v>
      </c>
      <c r="C3" s="13">
        <v>59</v>
      </c>
      <c r="D3" s="13">
        <v>55</v>
      </c>
      <c r="E3" s="13">
        <v>69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85</v>
      </c>
      <c r="D4" s="13">
        <v>42</v>
      </c>
      <c r="E4" s="13">
        <v>129</v>
      </c>
      <c r="G4" s="19" t="s">
        <v>8</v>
      </c>
      <c r="H4" s="15">
        <f>H13+H14</f>
        <v>1161</v>
      </c>
      <c r="I4" s="16">
        <f>H4/H$6</f>
        <v>0.70066385033192513</v>
      </c>
      <c r="J4" s="15">
        <f>I13+I14</f>
        <v>666</v>
      </c>
      <c r="K4" s="16">
        <f>J4/J$6</f>
        <v>0.60435571687840295</v>
      </c>
      <c r="L4" s="15">
        <f>J13+J14</f>
        <v>1341</v>
      </c>
      <c r="M4" s="25">
        <f>L4/L$6</f>
        <v>0.70026109660574409</v>
      </c>
    </row>
    <row r="5" spans="1:13" customFormat="1" x14ac:dyDescent="0.3">
      <c r="A5" s="13" t="s">
        <v>1</v>
      </c>
      <c r="B5" s="13" t="s">
        <v>37</v>
      </c>
      <c r="C5" s="13">
        <v>26</v>
      </c>
      <c r="D5" s="13">
        <v>22</v>
      </c>
      <c r="E5" s="13">
        <v>25</v>
      </c>
      <c r="G5" s="19" t="s">
        <v>10</v>
      </c>
      <c r="H5" s="15">
        <f>H15+H16</f>
        <v>496</v>
      </c>
      <c r="I5" s="16">
        <f>H5/H$6</f>
        <v>0.29933614966807481</v>
      </c>
      <c r="J5" s="15">
        <f>I15+I16</f>
        <v>436</v>
      </c>
      <c r="K5" s="16">
        <f>J5/J$6</f>
        <v>0.39564428312159711</v>
      </c>
      <c r="L5" s="15">
        <f>J15+J16</f>
        <v>574</v>
      </c>
      <c r="M5" s="25">
        <f>L5/L$6</f>
        <v>0.29973890339425585</v>
      </c>
    </row>
    <row r="6" spans="1:13" customFormat="1" ht="17.25" thickBot="1" x14ac:dyDescent="0.35">
      <c r="A6" s="13" t="s">
        <v>1</v>
      </c>
      <c r="B6" s="13" t="s">
        <v>135</v>
      </c>
      <c r="C6" s="13">
        <v>27</v>
      </c>
      <c r="D6" s="13">
        <v>19</v>
      </c>
      <c r="E6" s="13">
        <v>28</v>
      </c>
      <c r="G6" s="22"/>
      <c r="H6" s="26">
        <f>SUM(H4:H5)</f>
        <v>1657</v>
      </c>
      <c r="I6" s="27">
        <f>I4+I5</f>
        <v>1</v>
      </c>
      <c r="J6" s="26">
        <f>SUM(J4:J5)</f>
        <v>1102</v>
      </c>
      <c r="K6" s="27">
        <f>K4+K5</f>
        <v>1</v>
      </c>
      <c r="L6" s="26">
        <f>SUM(L4:L5)</f>
        <v>1915</v>
      </c>
      <c r="M6" s="28">
        <f>M4+M5</f>
        <v>1</v>
      </c>
    </row>
    <row r="7" spans="1:13" customFormat="1" x14ac:dyDescent="0.3">
      <c r="A7" s="13" t="s">
        <v>0</v>
      </c>
      <c r="B7" s="13" t="s">
        <v>29</v>
      </c>
      <c r="C7" s="13">
        <v>20</v>
      </c>
      <c r="D7" s="13">
        <v>19</v>
      </c>
      <c r="E7" s="13">
        <v>22</v>
      </c>
    </row>
    <row r="8" spans="1:13" customFormat="1" x14ac:dyDescent="0.3">
      <c r="A8" s="13" t="s">
        <v>1</v>
      </c>
      <c r="B8" s="13" t="s">
        <v>354</v>
      </c>
      <c r="C8" s="13">
        <v>18</v>
      </c>
      <c r="D8" s="13">
        <v>16</v>
      </c>
      <c r="E8" s="13">
        <v>20</v>
      </c>
    </row>
    <row r="9" spans="1:13" customFormat="1" x14ac:dyDescent="0.3">
      <c r="A9" s="13" t="s">
        <v>0</v>
      </c>
      <c r="B9" s="13" t="s">
        <v>31</v>
      </c>
      <c r="C9" s="13">
        <v>14</v>
      </c>
      <c r="D9" s="13">
        <v>14</v>
      </c>
      <c r="E9" s="13">
        <v>15</v>
      </c>
    </row>
    <row r="10" spans="1:13" customFormat="1" ht="17.25" thickBot="1" x14ac:dyDescent="0.35">
      <c r="A10" s="13" t="s">
        <v>1</v>
      </c>
      <c r="B10" s="13" t="s">
        <v>1948</v>
      </c>
      <c r="C10" s="13">
        <v>15</v>
      </c>
      <c r="D10" s="13">
        <v>11</v>
      </c>
      <c r="E10" s="13">
        <v>16</v>
      </c>
    </row>
    <row r="11" spans="1:13" x14ac:dyDescent="0.3">
      <c r="A11" s="13" t="s">
        <v>0</v>
      </c>
      <c r="B11" s="13" t="s">
        <v>1948</v>
      </c>
      <c r="C11" s="13">
        <v>13</v>
      </c>
      <c r="D11" s="13">
        <v>11</v>
      </c>
      <c r="E11" s="13">
        <v>18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48</v>
      </c>
      <c r="C12" s="13">
        <v>13</v>
      </c>
      <c r="D12" s="13">
        <v>9</v>
      </c>
      <c r="E12" s="13">
        <v>16</v>
      </c>
      <c r="G12" s="19"/>
      <c r="H12" s="17">
        <f t="shared" ref="H12:J12" si="0">SUM(H13:H16)</f>
        <v>1657</v>
      </c>
      <c r="I12" s="17">
        <f t="shared" si="0"/>
        <v>1102</v>
      </c>
      <c r="J12" s="20">
        <f t="shared" si="0"/>
        <v>1915</v>
      </c>
    </row>
    <row r="13" spans="1:13" x14ac:dyDescent="0.3">
      <c r="A13" s="13" t="s">
        <v>1</v>
      </c>
      <c r="B13" s="13" t="s">
        <v>61</v>
      </c>
      <c r="C13" s="13">
        <v>8</v>
      </c>
      <c r="D13" s="13">
        <v>8</v>
      </c>
      <c r="E13" s="13">
        <v>11</v>
      </c>
      <c r="G13" s="19" t="s">
        <v>7</v>
      </c>
      <c r="H13" s="18">
        <f t="shared" ref="H13:J16" si="1">SUMIF($A$2:$A$9999,$G13,C$2:C$9999)</f>
        <v>1161</v>
      </c>
      <c r="I13" s="18">
        <f t="shared" si="1"/>
        <v>666</v>
      </c>
      <c r="J13" s="21">
        <f t="shared" si="1"/>
        <v>1341</v>
      </c>
    </row>
    <row r="14" spans="1:13" x14ac:dyDescent="0.3">
      <c r="A14" s="13" t="s">
        <v>1</v>
      </c>
      <c r="B14" s="13" t="s">
        <v>1988</v>
      </c>
      <c r="C14" s="13">
        <v>23</v>
      </c>
      <c r="D14" s="13">
        <v>8</v>
      </c>
      <c r="E14" s="13">
        <v>29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148</v>
      </c>
      <c r="C15" s="13">
        <v>7</v>
      </c>
      <c r="D15" s="13">
        <v>7</v>
      </c>
      <c r="E15" s="13">
        <v>9</v>
      </c>
      <c r="G15" s="19" t="s">
        <v>11</v>
      </c>
      <c r="H15" s="18">
        <f t="shared" si="1"/>
        <v>474</v>
      </c>
      <c r="I15" s="18">
        <f t="shared" si="1"/>
        <v>415</v>
      </c>
      <c r="J15" s="21">
        <f t="shared" si="1"/>
        <v>549</v>
      </c>
    </row>
    <row r="16" spans="1:13" ht="17.25" thickBot="1" x14ac:dyDescent="0.35">
      <c r="A16" s="13" t="s">
        <v>0</v>
      </c>
      <c r="B16" s="13" t="s">
        <v>30</v>
      </c>
      <c r="C16" s="13">
        <v>11</v>
      </c>
      <c r="D16" s="13">
        <v>7</v>
      </c>
      <c r="E16" s="13">
        <v>21</v>
      </c>
      <c r="G16" s="22" t="s">
        <v>12</v>
      </c>
      <c r="H16" s="23">
        <f t="shared" si="1"/>
        <v>22</v>
      </c>
      <c r="I16" s="23">
        <f t="shared" si="1"/>
        <v>21</v>
      </c>
      <c r="J16" s="24">
        <f t="shared" si="1"/>
        <v>25</v>
      </c>
    </row>
    <row r="17" spans="1:5" x14ac:dyDescent="0.3">
      <c r="A17" s="13" t="s">
        <v>0</v>
      </c>
      <c r="B17" s="13" t="s">
        <v>39</v>
      </c>
      <c r="C17" s="13">
        <v>7</v>
      </c>
      <c r="D17" s="13">
        <v>7</v>
      </c>
      <c r="E17" s="13">
        <v>7</v>
      </c>
    </row>
    <row r="18" spans="1:5" x14ac:dyDescent="0.3">
      <c r="A18" s="13" t="s">
        <v>1</v>
      </c>
      <c r="B18" s="13" t="s">
        <v>1663</v>
      </c>
      <c r="C18" s="13">
        <v>14</v>
      </c>
      <c r="D18" s="13">
        <v>6</v>
      </c>
      <c r="E18" s="13">
        <v>15</v>
      </c>
    </row>
    <row r="19" spans="1:5" x14ac:dyDescent="0.3">
      <c r="A19" s="13" t="s">
        <v>1</v>
      </c>
      <c r="B19" s="13" t="s">
        <v>2203</v>
      </c>
      <c r="C19" s="13">
        <v>11</v>
      </c>
      <c r="D19" s="13">
        <v>6</v>
      </c>
      <c r="E19" s="13">
        <v>13</v>
      </c>
    </row>
    <row r="20" spans="1:5" x14ac:dyDescent="0.3">
      <c r="A20" s="13" t="s">
        <v>1</v>
      </c>
      <c r="B20" s="13" t="s">
        <v>45</v>
      </c>
      <c r="C20" s="13">
        <v>7</v>
      </c>
      <c r="D20" s="13">
        <v>6</v>
      </c>
      <c r="E20" s="13">
        <v>7</v>
      </c>
    </row>
    <row r="21" spans="1:5" x14ac:dyDescent="0.3">
      <c r="A21" s="13" t="s">
        <v>0</v>
      </c>
      <c r="B21" s="13" t="s">
        <v>1067</v>
      </c>
      <c r="C21" s="13">
        <v>6</v>
      </c>
      <c r="D21" s="13">
        <v>6</v>
      </c>
      <c r="E21" s="13">
        <v>7</v>
      </c>
    </row>
    <row r="22" spans="1:5" x14ac:dyDescent="0.3">
      <c r="A22" s="13" t="s">
        <v>0</v>
      </c>
      <c r="B22" s="13" t="s">
        <v>1629</v>
      </c>
      <c r="C22" s="13">
        <v>6</v>
      </c>
      <c r="D22" s="13">
        <v>6</v>
      </c>
      <c r="E22" s="13">
        <v>9</v>
      </c>
    </row>
    <row r="23" spans="1:5" x14ac:dyDescent="0.3">
      <c r="A23" s="13" t="s">
        <v>0</v>
      </c>
      <c r="B23" s="13" t="s">
        <v>2045</v>
      </c>
      <c r="C23" s="13">
        <v>9</v>
      </c>
      <c r="D23" s="13">
        <v>6</v>
      </c>
      <c r="E23" s="13">
        <v>9</v>
      </c>
    </row>
    <row r="24" spans="1:5" x14ac:dyDescent="0.3">
      <c r="A24" s="13" t="s">
        <v>1</v>
      </c>
      <c r="B24" s="13" t="s">
        <v>47</v>
      </c>
      <c r="C24" s="13">
        <v>9</v>
      </c>
      <c r="D24" s="13">
        <v>5</v>
      </c>
      <c r="E24" s="13">
        <v>9</v>
      </c>
    </row>
    <row r="25" spans="1:5" x14ac:dyDescent="0.3">
      <c r="A25" s="13" t="s">
        <v>1</v>
      </c>
      <c r="B25" s="13" t="s">
        <v>145</v>
      </c>
      <c r="C25" s="13">
        <v>5</v>
      </c>
      <c r="D25" s="13">
        <v>5</v>
      </c>
      <c r="E25" s="13">
        <v>5</v>
      </c>
    </row>
    <row r="26" spans="1:5" x14ac:dyDescent="0.3">
      <c r="A26" s="13" t="s">
        <v>1</v>
      </c>
      <c r="B26" s="13" t="s">
        <v>215</v>
      </c>
      <c r="C26" s="13">
        <v>8</v>
      </c>
      <c r="D26" s="13">
        <v>5</v>
      </c>
      <c r="E26" s="13">
        <v>8</v>
      </c>
    </row>
    <row r="27" spans="1:5" x14ac:dyDescent="0.3">
      <c r="A27" s="13" t="s">
        <v>1</v>
      </c>
      <c r="B27" s="13" t="s">
        <v>471</v>
      </c>
      <c r="C27" s="13">
        <v>8</v>
      </c>
      <c r="D27" s="13">
        <v>5</v>
      </c>
      <c r="E27" s="13">
        <v>8</v>
      </c>
    </row>
    <row r="28" spans="1:5" x14ac:dyDescent="0.3">
      <c r="A28" s="13" t="s">
        <v>1</v>
      </c>
      <c r="B28" s="13" t="s">
        <v>2093</v>
      </c>
      <c r="C28" s="13">
        <v>9</v>
      </c>
      <c r="D28" s="13">
        <v>5</v>
      </c>
      <c r="E28" s="13">
        <v>9</v>
      </c>
    </row>
    <row r="29" spans="1:5" x14ac:dyDescent="0.3">
      <c r="A29" s="13" t="s">
        <v>0</v>
      </c>
      <c r="B29" s="13" t="s">
        <v>61</v>
      </c>
      <c r="C29" s="13">
        <v>5</v>
      </c>
      <c r="D29" s="13">
        <v>5</v>
      </c>
      <c r="E29" s="13">
        <v>5</v>
      </c>
    </row>
    <row r="30" spans="1:5" x14ac:dyDescent="0.3">
      <c r="A30" s="13" t="s">
        <v>0</v>
      </c>
      <c r="B30" s="13" t="s">
        <v>1741</v>
      </c>
      <c r="C30" s="13">
        <v>5</v>
      </c>
      <c r="D30" s="13">
        <v>5</v>
      </c>
      <c r="E30" s="13">
        <v>6</v>
      </c>
    </row>
    <row r="31" spans="1:5" x14ac:dyDescent="0.3">
      <c r="A31" s="13" t="s">
        <v>0</v>
      </c>
      <c r="B31" s="13" t="s">
        <v>37</v>
      </c>
      <c r="C31" s="13">
        <v>8</v>
      </c>
      <c r="D31" s="13">
        <v>5</v>
      </c>
      <c r="E31" s="13">
        <v>11</v>
      </c>
    </row>
    <row r="32" spans="1:5" x14ac:dyDescent="0.3">
      <c r="A32" s="13" t="s">
        <v>1</v>
      </c>
      <c r="B32" s="13" t="s">
        <v>77</v>
      </c>
      <c r="C32" s="13">
        <v>5</v>
      </c>
      <c r="D32" s="13">
        <v>4</v>
      </c>
      <c r="E32" s="13">
        <v>5</v>
      </c>
    </row>
    <row r="33" spans="1:5" x14ac:dyDescent="0.3">
      <c r="A33" s="13" t="s">
        <v>1</v>
      </c>
      <c r="B33" s="13" t="s">
        <v>1989</v>
      </c>
      <c r="C33" s="13">
        <v>7</v>
      </c>
      <c r="D33" s="13">
        <v>4</v>
      </c>
      <c r="E33" s="13">
        <v>9</v>
      </c>
    </row>
    <row r="34" spans="1:5" x14ac:dyDescent="0.3">
      <c r="A34" s="13" t="s">
        <v>1</v>
      </c>
      <c r="B34" s="13" t="s">
        <v>1629</v>
      </c>
      <c r="C34" s="13">
        <v>4</v>
      </c>
      <c r="D34" s="13">
        <v>4</v>
      </c>
      <c r="E34" s="13">
        <v>4</v>
      </c>
    </row>
    <row r="35" spans="1:5" x14ac:dyDescent="0.3">
      <c r="A35" s="13" t="s">
        <v>1</v>
      </c>
      <c r="B35" s="13" t="s">
        <v>29</v>
      </c>
      <c r="C35" s="13">
        <v>5</v>
      </c>
      <c r="D35" s="13">
        <v>4</v>
      </c>
      <c r="E35" s="13">
        <v>5</v>
      </c>
    </row>
    <row r="36" spans="1:5" x14ac:dyDescent="0.3">
      <c r="A36" s="13" t="s">
        <v>1</v>
      </c>
      <c r="B36" s="13" t="s">
        <v>111</v>
      </c>
      <c r="C36" s="13">
        <v>4</v>
      </c>
      <c r="D36" s="13">
        <v>4</v>
      </c>
      <c r="E36" s="13">
        <v>4</v>
      </c>
    </row>
    <row r="37" spans="1:5" x14ac:dyDescent="0.3">
      <c r="A37" s="13" t="s">
        <v>1</v>
      </c>
      <c r="B37" s="13" t="s">
        <v>51</v>
      </c>
      <c r="C37" s="13">
        <v>6</v>
      </c>
      <c r="D37" s="13">
        <v>4</v>
      </c>
      <c r="E37" s="13">
        <v>6</v>
      </c>
    </row>
    <row r="38" spans="1:5" x14ac:dyDescent="0.3">
      <c r="A38" s="13" t="s">
        <v>1</v>
      </c>
      <c r="B38" s="13" t="s">
        <v>631</v>
      </c>
      <c r="C38" s="13">
        <v>4</v>
      </c>
      <c r="D38" s="13">
        <v>4</v>
      </c>
      <c r="E38" s="13">
        <v>4</v>
      </c>
    </row>
    <row r="39" spans="1:5" x14ac:dyDescent="0.3">
      <c r="A39" s="13" t="s">
        <v>1</v>
      </c>
      <c r="B39" s="13" t="s">
        <v>120</v>
      </c>
      <c r="C39" s="13">
        <v>4</v>
      </c>
      <c r="D39" s="13">
        <v>4</v>
      </c>
      <c r="E39" s="13">
        <v>4</v>
      </c>
    </row>
    <row r="40" spans="1:5" x14ac:dyDescent="0.3">
      <c r="A40" s="13" t="s">
        <v>1</v>
      </c>
      <c r="B40" s="13" t="s">
        <v>31</v>
      </c>
      <c r="C40" s="13">
        <v>4</v>
      </c>
      <c r="D40" s="13">
        <v>4</v>
      </c>
      <c r="E40" s="13">
        <v>4</v>
      </c>
    </row>
    <row r="41" spans="1:5" x14ac:dyDescent="0.3">
      <c r="A41" s="13" t="s">
        <v>1</v>
      </c>
      <c r="B41" s="13" t="s">
        <v>38</v>
      </c>
      <c r="C41" s="13">
        <v>4</v>
      </c>
      <c r="D41" s="13">
        <v>4</v>
      </c>
      <c r="E41" s="13">
        <v>4</v>
      </c>
    </row>
    <row r="42" spans="1:5" x14ac:dyDescent="0.3">
      <c r="A42" s="13" t="s">
        <v>1</v>
      </c>
      <c r="B42" s="13" t="s">
        <v>39</v>
      </c>
      <c r="C42" s="13">
        <v>14</v>
      </c>
      <c r="D42" s="13">
        <v>4</v>
      </c>
      <c r="E42" s="13">
        <v>19</v>
      </c>
    </row>
    <row r="43" spans="1:5" x14ac:dyDescent="0.3">
      <c r="A43" s="13" t="s">
        <v>0</v>
      </c>
      <c r="B43" s="13" t="s">
        <v>145</v>
      </c>
      <c r="C43" s="13">
        <v>4</v>
      </c>
      <c r="D43" s="13">
        <v>4</v>
      </c>
      <c r="E43" s="13">
        <v>5</v>
      </c>
    </row>
    <row r="44" spans="1:5" x14ac:dyDescent="0.3">
      <c r="A44" s="13" t="s">
        <v>0</v>
      </c>
      <c r="B44" s="13" t="s">
        <v>60</v>
      </c>
      <c r="C44" s="13">
        <v>5</v>
      </c>
      <c r="D44" s="13">
        <v>4</v>
      </c>
      <c r="E44" s="13">
        <v>4</v>
      </c>
    </row>
    <row r="45" spans="1:5" x14ac:dyDescent="0.3">
      <c r="A45" s="13" t="s">
        <v>0</v>
      </c>
      <c r="B45" s="13" t="s">
        <v>1988</v>
      </c>
      <c r="C45" s="13">
        <v>6</v>
      </c>
      <c r="D45" s="13">
        <v>4</v>
      </c>
      <c r="E45" s="13">
        <v>6</v>
      </c>
    </row>
    <row r="46" spans="1:5" x14ac:dyDescent="0.3">
      <c r="A46" s="13" t="s">
        <v>0</v>
      </c>
      <c r="B46" s="13" t="s">
        <v>1882</v>
      </c>
      <c r="C46" s="13">
        <v>4</v>
      </c>
      <c r="D46" s="13">
        <v>4</v>
      </c>
      <c r="E46" s="13">
        <v>4</v>
      </c>
    </row>
    <row r="47" spans="1:5" x14ac:dyDescent="0.3">
      <c r="A47" s="13" t="s">
        <v>0</v>
      </c>
      <c r="B47" s="13" t="s">
        <v>2203</v>
      </c>
      <c r="C47" s="13">
        <v>4</v>
      </c>
      <c r="D47" s="13">
        <v>4</v>
      </c>
      <c r="E47" s="13">
        <v>4</v>
      </c>
    </row>
    <row r="48" spans="1:5" x14ac:dyDescent="0.3">
      <c r="A48" s="13" t="s">
        <v>0</v>
      </c>
      <c r="B48" s="13" t="s">
        <v>51</v>
      </c>
      <c r="C48" s="13">
        <v>5</v>
      </c>
      <c r="D48" s="13">
        <v>4</v>
      </c>
      <c r="E48" s="13">
        <v>5</v>
      </c>
    </row>
    <row r="49" spans="1:5" x14ac:dyDescent="0.3">
      <c r="A49" s="13" t="s">
        <v>1</v>
      </c>
      <c r="B49" s="13" t="s">
        <v>588</v>
      </c>
      <c r="C49" s="13">
        <v>4</v>
      </c>
      <c r="D49" s="13">
        <v>3</v>
      </c>
      <c r="E49" s="13">
        <v>4</v>
      </c>
    </row>
    <row r="50" spans="1:5" x14ac:dyDescent="0.3">
      <c r="A50" s="13" t="s">
        <v>1</v>
      </c>
      <c r="B50" s="13" t="s">
        <v>34</v>
      </c>
      <c r="C50" s="13">
        <v>3</v>
      </c>
      <c r="D50" s="13">
        <v>3</v>
      </c>
      <c r="E50" s="13">
        <v>4</v>
      </c>
    </row>
    <row r="51" spans="1:5" x14ac:dyDescent="0.3">
      <c r="A51" s="13" t="s">
        <v>1</v>
      </c>
      <c r="B51" s="13" t="s">
        <v>209</v>
      </c>
      <c r="C51" s="13">
        <v>3</v>
      </c>
      <c r="D51" s="13">
        <v>3</v>
      </c>
      <c r="E51" s="13">
        <v>3</v>
      </c>
    </row>
    <row r="52" spans="1:5" x14ac:dyDescent="0.3">
      <c r="A52" s="13" t="s">
        <v>1</v>
      </c>
      <c r="B52" s="13" t="s">
        <v>93</v>
      </c>
      <c r="C52" s="13">
        <v>5</v>
      </c>
      <c r="D52" s="13">
        <v>3</v>
      </c>
      <c r="E52" s="13">
        <v>6</v>
      </c>
    </row>
    <row r="53" spans="1:5" x14ac:dyDescent="0.3">
      <c r="A53" s="13" t="s">
        <v>1</v>
      </c>
      <c r="B53" s="13" t="s">
        <v>94</v>
      </c>
      <c r="C53" s="13">
        <v>6</v>
      </c>
      <c r="D53" s="13">
        <v>3</v>
      </c>
      <c r="E53" s="13">
        <v>6</v>
      </c>
    </row>
    <row r="54" spans="1:5" x14ac:dyDescent="0.3">
      <c r="A54" s="13" t="s">
        <v>1</v>
      </c>
      <c r="B54" s="13" t="s">
        <v>1741</v>
      </c>
      <c r="C54" s="13">
        <v>3</v>
      </c>
      <c r="D54" s="13">
        <v>3</v>
      </c>
      <c r="E54" s="13">
        <v>3</v>
      </c>
    </row>
    <row r="55" spans="1:5" x14ac:dyDescent="0.3">
      <c r="A55" s="13" t="s">
        <v>1</v>
      </c>
      <c r="B55" s="13" t="s">
        <v>1885</v>
      </c>
      <c r="C55" s="13">
        <v>6</v>
      </c>
      <c r="D55" s="13">
        <v>3</v>
      </c>
      <c r="E55" s="13">
        <v>6</v>
      </c>
    </row>
    <row r="56" spans="1:5" x14ac:dyDescent="0.3">
      <c r="A56" s="13" t="s">
        <v>1</v>
      </c>
      <c r="B56" s="13" t="s">
        <v>1900</v>
      </c>
      <c r="C56" s="13">
        <v>3</v>
      </c>
      <c r="D56" s="13">
        <v>3</v>
      </c>
      <c r="E56" s="13">
        <v>3</v>
      </c>
    </row>
    <row r="57" spans="1:5" x14ac:dyDescent="0.3">
      <c r="A57" s="13" t="s">
        <v>1</v>
      </c>
      <c r="B57" s="13" t="s">
        <v>2408</v>
      </c>
      <c r="C57" s="13">
        <v>6</v>
      </c>
      <c r="D57" s="13">
        <v>3</v>
      </c>
      <c r="E57" s="13">
        <v>6</v>
      </c>
    </row>
    <row r="58" spans="1:5" x14ac:dyDescent="0.3">
      <c r="A58" s="13" t="s">
        <v>1</v>
      </c>
      <c r="B58" s="13" t="s">
        <v>115</v>
      </c>
      <c r="C58" s="13">
        <v>4</v>
      </c>
      <c r="D58" s="13">
        <v>3</v>
      </c>
      <c r="E58" s="13">
        <v>4</v>
      </c>
    </row>
    <row r="59" spans="1:5" x14ac:dyDescent="0.3">
      <c r="A59" s="13" t="s">
        <v>1</v>
      </c>
      <c r="B59" s="13" t="s">
        <v>844</v>
      </c>
      <c r="C59" s="13">
        <v>3</v>
      </c>
      <c r="D59" s="13">
        <v>3</v>
      </c>
      <c r="E59" s="13">
        <v>3</v>
      </c>
    </row>
    <row r="60" spans="1:5" x14ac:dyDescent="0.3">
      <c r="A60" s="13" t="s">
        <v>1</v>
      </c>
      <c r="B60" s="13" t="s">
        <v>415</v>
      </c>
      <c r="C60" s="13">
        <v>3</v>
      </c>
      <c r="D60" s="13">
        <v>3</v>
      </c>
      <c r="E60" s="13">
        <v>3</v>
      </c>
    </row>
    <row r="61" spans="1:5" x14ac:dyDescent="0.3">
      <c r="A61" s="13" t="s">
        <v>1</v>
      </c>
      <c r="B61" s="13" t="s">
        <v>66</v>
      </c>
      <c r="C61" s="13">
        <v>7</v>
      </c>
      <c r="D61" s="13">
        <v>3</v>
      </c>
      <c r="E61" s="13">
        <v>13</v>
      </c>
    </row>
    <row r="62" spans="1:5" x14ac:dyDescent="0.3">
      <c r="A62" s="13" t="s">
        <v>1</v>
      </c>
      <c r="B62" s="13" t="s">
        <v>56</v>
      </c>
      <c r="C62" s="13">
        <v>4</v>
      </c>
      <c r="D62" s="13">
        <v>3</v>
      </c>
      <c r="E62" s="13">
        <v>4</v>
      </c>
    </row>
    <row r="63" spans="1:5" x14ac:dyDescent="0.3">
      <c r="A63" s="13" t="s">
        <v>1</v>
      </c>
      <c r="B63" s="13" t="s">
        <v>654</v>
      </c>
      <c r="C63" s="13">
        <v>3</v>
      </c>
      <c r="D63" s="13">
        <v>5</v>
      </c>
      <c r="E63" s="13"/>
    </row>
    <row r="64" spans="1:5" x14ac:dyDescent="0.3">
      <c r="A64" s="13" t="s">
        <v>0</v>
      </c>
      <c r="B64" s="13" t="s">
        <v>861</v>
      </c>
      <c r="C64" s="13">
        <v>3</v>
      </c>
      <c r="D64" s="13">
        <v>3</v>
      </c>
      <c r="E64" s="13">
        <v>3</v>
      </c>
    </row>
    <row r="65" spans="1:5" x14ac:dyDescent="0.3">
      <c r="A65" s="13" t="s">
        <v>0</v>
      </c>
      <c r="B65" s="13" t="s">
        <v>120</v>
      </c>
      <c r="C65" s="13">
        <v>3</v>
      </c>
      <c r="D65" s="13">
        <v>3</v>
      </c>
      <c r="E65" s="13">
        <v>3</v>
      </c>
    </row>
    <row r="66" spans="1:5" x14ac:dyDescent="0.3">
      <c r="A66" s="13" t="s">
        <v>0</v>
      </c>
      <c r="B66" s="13" t="s">
        <v>62</v>
      </c>
      <c r="C66" s="13">
        <v>3</v>
      </c>
      <c r="D66" s="13">
        <v>3</v>
      </c>
      <c r="E66" s="13">
        <v>3</v>
      </c>
    </row>
    <row r="67" spans="1:5" x14ac:dyDescent="0.3">
      <c r="A67" s="13" t="s">
        <v>0</v>
      </c>
      <c r="B67" s="13" t="s">
        <v>2515</v>
      </c>
      <c r="C67" s="13">
        <v>3</v>
      </c>
      <c r="D67" s="13">
        <v>3</v>
      </c>
      <c r="E67" s="13">
        <v>3</v>
      </c>
    </row>
    <row r="68" spans="1:5" x14ac:dyDescent="0.3">
      <c r="A68" s="13" t="s">
        <v>2</v>
      </c>
      <c r="B68" s="13" t="s">
        <v>29</v>
      </c>
      <c r="C68" s="13">
        <v>3</v>
      </c>
      <c r="D68" s="13">
        <v>3</v>
      </c>
      <c r="E68" s="13">
        <v>3</v>
      </c>
    </row>
    <row r="69" spans="1:5" x14ac:dyDescent="0.3">
      <c r="A69" s="13" t="s">
        <v>1</v>
      </c>
      <c r="B69" s="13" t="s">
        <v>36</v>
      </c>
      <c r="C69" s="13">
        <v>2</v>
      </c>
      <c r="D69" s="13">
        <v>2</v>
      </c>
      <c r="E69" s="13">
        <v>2</v>
      </c>
    </row>
    <row r="70" spans="1:5" x14ac:dyDescent="0.3">
      <c r="A70" s="13" t="s">
        <v>1</v>
      </c>
      <c r="B70" s="13" t="s">
        <v>582</v>
      </c>
      <c r="C70" s="13">
        <v>2</v>
      </c>
      <c r="D70" s="13">
        <v>2</v>
      </c>
      <c r="E70" s="13">
        <v>4</v>
      </c>
    </row>
    <row r="71" spans="1:5" x14ac:dyDescent="0.3">
      <c r="A71" s="13" t="s">
        <v>1</v>
      </c>
      <c r="B71" s="13" t="s">
        <v>491</v>
      </c>
      <c r="C71" s="13">
        <v>2</v>
      </c>
      <c r="D71" s="13">
        <v>2</v>
      </c>
      <c r="E71" s="13">
        <v>3</v>
      </c>
    </row>
    <row r="72" spans="1:5" x14ac:dyDescent="0.3">
      <c r="A72" s="13" t="s">
        <v>1</v>
      </c>
      <c r="B72" s="13" t="s">
        <v>263</v>
      </c>
      <c r="C72" s="13">
        <v>2</v>
      </c>
      <c r="D72" s="13">
        <v>2</v>
      </c>
      <c r="E72" s="13">
        <v>2</v>
      </c>
    </row>
    <row r="73" spans="1:5" x14ac:dyDescent="0.3">
      <c r="A73" s="13" t="s">
        <v>1</v>
      </c>
      <c r="B73" s="13" t="s">
        <v>446</v>
      </c>
      <c r="C73" s="13">
        <v>2</v>
      </c>
      <c r="D73" s="13">
        <v>2</v>
      </c>
      <c r="E73" s="13">
        <v>2</v>
      </c>
    </row>
    <row r="74" spans="1:5" x14ac:dyDescent="0.3">
      <c r="A74" s="13" t="s">
        <v>1</v>
      </c>
      <c r="B74" s="13" t="s">
        <v>420</v>
      </c>
      <c r="C74" s="13">
        <v>3</v>
      </c>
      <c r="D74" s="13">
        <v>2</v>
      </c>
      <c r="E74" s="13">
        <v>3</v>
      </c>
    </row>
    <row r="75" spans="1:5" x14ac:dyDescent="0.3">
      <c r="A75" s="13" t="s">
        <v>1</v>
      </c>
      <c r="B75" s="13" t="s">
        <v>206</v>
      </c>
      <c r="C75" s="13">
        <v>2</v>
      </c>
      <c r="D75" s="13">
        <v>2</v>
      </c>
      <c r="E75" s="13">
        <v>2</v>
      </c>
    </row>
    <row r="76" spans="1:5" x14ac:dyDescent="0.3">
      <c r="A76" s="13" t="s">
        <v>1</v>
      </c>
      <c r="B76" s="13" t="s">
        <v>345</v>
      </c>
      <c r="C76" s="13">
        <v>6</v>
      </c>
      <c r="D76" s="13">
        <v>2</v>
      </c>
      <c r="E76" s="13">
        <v>6</v>
      </c>
    </row>
    <row r="77" spans="1:5" x14ac:dyDescent="0.3">
      <c r="A77" s="13" t="s">
        <v>1</v>
      </c>
      <c r="B77" s="13" t="s">
        <v>1227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59</v>
      </c>
      <c r="C78" s="13">
        <v>2</v>
      </c>
      <c r="D78" s="13">
        <v>2</v>
      </c>
      <c r="E78" s="13">
        <v>2</v>
      </c>
    </row>
    <row r="79" spans="1:5" x14ac:dyDescent="0.3">
      <c r="A79" s="13" t="s">
        <v>1</v>
      </c>
      <c r="B79" s="13" t="s">
        <v>304</v>
      </c>
      <c r="C79" s="13">
        <v>3</v>
      </c>
      <c r="D79" s="13">
        <v>2</v>
      </c>
      <c r="E79" s="13">
        <v>3</v>
      </c>
    </row>
    <row r="80" spans="1:5" x14ac:dyDescent="0.3">
      <c r="A80" s="13" t="s">
        <v>1</v>
      </c>
      <c r="B80" s="13" t="s">
        <v>83</v>
      </c>
      <c r="C80" s="13">
        <v>3</v>
      </c>
      <c r="D80" s="13">
        <v>2</v>
      </c>
      <c r="E80" s="13">
        <v>3</v>
      </c>
    </row>
    <row r="81" spans="1:5" x14ac:dyDescent="0.3">
      <c r="A81" s="13" t="s">
        <v>1</v>
      </c>
      <c r="B81" s="13" t="s">
        <v>350</v>
      </c>
      <c r="C81" s="13">
        <v>2</v>
      </c>
      <c r="D81" s="13">
        <v>2</v>
      </c>
      <c r="E81" s="13">
        <v>2</v>
      </c>
    </row>
    <row r="82" spans="1:5" x14ac:dyDescent="0.3">
      <c r="A82" s="13" t="s">
        <v>1</v>
      </c>
      <c r="B82" s="13" t="s">
        <v>147</v>
      </c>
      <c r="C82" s="13">
        <v>3</v>
      </c>
      <c r="D82" s="13">
        <v>2</v>
      </c>
      <c r="E82" s="13">
        <v>4</v>
      </c>
    </row>
    <row r="83" spans="1:5" x14ac:dyDescent="0.3">
      <c r="A83" s="13" t="s">
        <v>1</v>
      </c>
      <c r="B83" s="13" t="s">
        <v>351</v>
      </c>
      <c r="C83" s="13">
        <v>2</v>
      </c>
      <c r="D83" s="13">
        <v>2</v>
      </c>
      <c r="E83" s="13">
        <v>2</v>
      </c>
    </row>
    <row r="84" spans="1:5" x14ac:dyDescent="0.3">
      <c r="A84" s="13" t="s">
        <v>1</v>
      </c>
      <c r="B84" s="13" t="s">
        <v>87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991</v>
      </c>
      <c r="C85" s="13">
        <v>3</v>
      </c>
      <c r="D85" s="13">
        <v>2</v>
      </c>
      <c r="E85" s="13">
        <v>4</v>
      </c>
    </row>
    <row r="86" spans="1:5" x14ac:dyDescent="0.3">
      <c r="A86" s="13" t="s">
        <v>1</v>
      </c>
      <c r="B86" s="13" t="s">
        <v>90</v>
      </c>
      <c r="C86" s="13">
        <v>2</v>
      </c>
      <c r="D86" s="13">
        <v>2</v>
      </c>
      <c r="E86" s="13">
        <v>2</v>
      </c>
    </row>
    <row r="87" spans="1:5" x14ac:dyDescent="0.3">
      <c r="A87" s="13" t="s">
        <v>1</v>
      </c>
      <c r="B87" s="13" t="s">
        <v>993</v>
      </c>
      <c r="C87" s="13">
        <v>3</v>
      </c>
      <c r="D87" s="13">
        <v>2</v>
      </c>
      <c r="E87" s="13">
        <v>3</v>
      </c>
    </row>
    <row r="88" spans="1:5" x14ac:dyDescent="0.3">
      <c r="A88" s="13" t="s">
        <v>1</v>
      </c>
      <c r="B88" s="13" t="s">
        <v>150</v>
      </c>
      <c r="C88" s="13">
        <v>2</v>
      </c>
      <c r="D88" s="13">
        <v>2</v>
      </c>
      <c r="E88" s="13">
        <v>2</v>
      </c>
    </row>
    <row r="89" spans="1:5" x14ac:dyDescent="0.3">
      <c r="A89" s="13" t="s">
        <v>1</v>
      </c>
      <c r="B89" s="13" t="s">
        <v>449</v>
      </c>
      <c r="C89" s="13">
        <v>4</v>
      </c>
      <c r="D89" s="13">
        <v>2</v>
      </c>
      <c r="E89" s="13">
        <v>4</v>
      </c>
    </row>
    <row r="90" spans="1:5" x14ac:dyDescent="0.3">
      <c r="A90" s="13" t="s">
        <v>1</v>
      </c>
      <c r="B90" s="13" t="s">
        <v>41</v>
      </c>
      <c r="C90" s="13">
        <v>5</v>
      </c>
      <c r="D90" s="13">
        <v>2</v>
      </c>
      <c r="E90" s="13">
        <v>6</v>
      </c>
    </row>
    <row r="91" spans="1:5" x14ac:dyDescent="0.3">
      <c r="A91" s="13" t="s">
        <v>1</v>
      </c>
      <c r="B91" s="13" t="s">
        <v>152</v>
      </c>
      <c r="C91" s="13">
        <v>3</v>
      </c>
      <c r="D91" s="13">
        <v>2</v>
      </c>
      <c r="E91" s="13">
        <v>7</v>
      </c>
    </row>
    <row r="92" spans="1:5" x14ac:dyDescent="0.3">
      <c r="A92" s="13" t="s">
        <v>1</v>
      </c>
      <c r="B92" s="13" t="s">
        <v>42</v>
      </c>
      <c r="C92" s="13">
        <v>4</v>
      </c>
      <c r="D92" s="13">
        <v>2</v>
      </c>
      <c r="E92" s="13">
        <v>3</v>
      </c>
    </row>
    <row r="93" spans="1:5" x14ac:dyDescent="0.3">
      <c r="A93" s="13" t="s">
        <v>1</v>
      </c>
      <c r="B93" s="13" t="s">
        <v>1067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1645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1849</v>
      </c>
      <c r="C95" s="13">
        <v>3</v>
      </c>
      <c r="D95" s="13">
        <v>2</v>
      </c>
      <c r="E95" s="13">
        <v>3</v>
      </c>
    </row>
    <row r="96" spans="1:5" x14ac:dyDescent="0.3">
      <c r="A96" s="13" t="s">
        <v>1</v>
      </c>
      <c r="B96" s="13" t="s">
        <v>1882</v>
      </c>
      <c r="C96" s="13">
        <v>4</v>
      </c>
      <c r="D96" s="13">
        <v>2</v>
      </c>
      <c r="E96" s="13">
        <v>6</v>
      </c>
    </row>
    <row r="97" spans="1:5" x14ac:dyDescent="0.3">
      <c r="A97" s="13" t="s">
        <v>1</v>
      </c>
      <c r="B97" s="13" t="s">
        <v>1960</v>
      </c>
      <c r="C97" s="13">
        <v>5</v>
      </c>
      <c r="D97" s="13">
        <v>2</v>
      </c>
      <c r="E97" s="13">
        <v>6</v>
      </c>
    </row>
    <row r="98" spans="1:5" x14ac:dyDescent="0.3">
      <c r="A98" s="13" t="s">
        <v>1</v>
      </c>
      <c r="B98" s="13" t="s">
        <v>2425</v>
      </c>
      <c r="C98" s="13">
        <v>5</v>
      </c>
      <c r="D98" s="13">
        <v>2</v>
      </c>
      <c r="E98" s="13">
        <v>4</v>
      </c>
    </row>
    <row r="99" spans="1:5" x14ac:dyDescent="0.3">
      <c r="A99" s="13" t="s">
        <v>1</v>
      </c>
      <c r="B99" s="13" t="s">
        <v>508</v>
      </c>
      <c r="C99" s="13">
        <v>2</v>
      </c>
      <c r="D99" s="13">
        <v>2</v>
      </c>
      <c r="E99" s="13">
        <v>3</v>
      </c>
    </row>
    <row r="100" spans="1:5" x14ac:dyDescent="0.3">
      <c r="A100" s="13" t="s">
        <v>1</v>
      </c>
      <c r="B100" s="13" t="s">
        <v>97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1</v>
      </c>
      <c r="B101" s="13" t="s">
        <v>258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1</v>
      </c>
      <c r="B102" s="13" t="s">
        <v>159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1</v>
      </c>
      <c r="B103" s="13" t="s">
        <v>105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1</v>
      </c>
      <c r="B104" s="13" t="s">
        <v>195</v>
      </c>
      <c r="C104" s="13">
        <v>4</v>
      </c>
      <c r="D104" s="13">
        <v>2</v>
      </c>
      <c r="E104" s="13">
        <v>4</v>
      </c>
    </row>
    <row r="105" spans="1:5" x14ac:dyDescent="0.3">
      <c r="A105" s="13" t="s">
        <v>1</v>
      </c>
      <c r="B105" s="13" t="s">
        <v>618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1</v>
      </c>
      <c r="B106" s="13" t="s">
        <v>619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1</v>
      </c>
      <c r="B107" s="13" t="s">
        <v>109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168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169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1</v>
      </c>
      <c r="B110" s="13" t="s">
        <v>620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1</v>
      </c>
      <c r="B111" s="13" t="s">
        <v>118</v>
      </c>
      <c r="C111" s="13">
        <v>3</v>
      </c>
      <c r="D111" s="13">
        <v>2</v>
      </c>
      <c r="E111" s="13">
        <v>3</v>
      </c>
    </row>
    <row r="112" spans="1:5" x14ac:dyDescent="0.3">
      <c r="A112" s="13" t="s">
        <v>1</v>
      </c>
      <c r="B112" s="13" t="s">
        <v>121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1</v>
      </c>
      <c r="B113" s="13" t="s">
        <v>290</v>
      </c>
      <c r="C113" s="13">
        <v>2</v>
      </c>
      <c r="D113" s="13">
        <v>2</v>
      </c>
      <c r="E113" s="13">
        <v>3</v>
      </c>
    </row>
    <row r="114" spans="1:5" x14ac:dyDescent="0.3">
      <c r="A114" s="13" t="s">
        <v>1</v>
      </c>
      <c r="B114" s="13" t="s">
        <v>291</v>
      </c>
      <c r="C114" s="13">
        <v>2</v>
      </c>
      <c r="D114" s="13">
        <v>2</v>
      </c>
      <c r="E114" s="13">
        <v>2</v>
      </c>
    </row>
    <row r="115" spans="1:5" x14ac:dyDescent="0.3">
      <c r="A115" s="13" t="s">
        <v>1</v>
      </c>
      <c r="B115" s="13" t="s">
        <v>842</v>
      </c>
      <c r="C115" s="13">
        <v>2</v>
      </c>
      <c r="D115" s="13">
        <v>2</v>
      </c>
      <c r="E115" s="13">
        <v>2</v>
      </c>
    </row>
    <row r="116" spans="1:5" x14ac:dyDescent="0.3">
      <c r="A116" s="13" t="s">
        <v>1</v>
      </c>
      <c r="B116" s="13" t="s">
        <v>63</v>
      </c>
      <c r="C116" s="13">
        <v>2</v>
      </c>
      <c r="D116" s="13">
        <v>2</v>
      </c>
      <c r="E116" s="13">
        <v>2</v>
      </c>
    </row>
    <row r="117" spans="1:5" x14ac:dyDescent="0.3">
      <c r="A117" s="13" t="s">
        <v>1</v>
      </c>
      <c r="B117" s="13" t="s">
        <v>709</v>
      </c>
      <c r="C117" s="13">
        <v>3</v>
      </c>
      <c r="D117" s="13">
        <v>2</v>
      </c>
      <c r="E117" s="13">
        <v>3</v>
      </c>
    </row>
    <row r="118" spans="1:5" x14ac:dyDescent="0.3">
      <c r="A118" s="13" t="s">
        <v>1</v>
      </c>
      <c r="B118" s="13" t="s">
        <v>124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1</v>
      </c>
      <c r="B119" s="13" t="s">
        <v>456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1</v>
      </c>
      <c r="B120" s="13" t="s">
        <v>255</v>
      </c>
      <c r="C120" s="13">
        <v>2</v>
      </c>
      <c r="D120" s="13">
        <v>2</v>
      </c>
      <c r="E120" s="13">
        <v>2</v>
      </c>
    </row>
    <row r="121" spans="1:5" x14ac:dyDescent="0.3">
      <c r="A121" s="13" t="s">
        <v>1</v>
      </c>
      <c r="B121" s="13" t="s">
        <v>542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1</v>
      </c>
      <c r="B122" s="13" t="s">
        <v>53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1</v>
      </c>
      <c r="B123" s="13" t="s">
        <v>803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1</v>
      </c>
      <c r="B124" s="13" t="s">
        <v>191</v>
      </c>
      <c r="C124" s="13">
        <v>8</v>
      </c>
      <c r="D124" s="13">
        <v>2</v>
      </c>
      <c r="E124" s="13">
        <v>12</v>
      </c>
    </row>
    <row r="125" spans="1:5" x14ac:dyDescent="0.3">
      <c r="A125" s="13" t="s">
        <v>1</v>
      </c>
      <c r="B125" s="13" t="s">
        <v>365</v>
      </c>
      <c r="C125" s="13">
        <v>2</v>
      </c>
      <c r="D125" s="13">
        <v>2</v>
      </c>
      <c r="E125" s="13">
        <v>6</v>
      </c>
    </row>
    <row r="126" spans="1:5" x14ac:dyDescent="0.3">
      <c r="A126" s="13" t="s">
        <v>0</v>
      </c>
      <c r="B126" s="13" t="s">
        <v>47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0</v>
      </c>
      <c r="B127" s="13" t="s">
        <v>927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810</v>
      </c>
      <c r="C128" s="13">
        <v>2</v>
      </c>
      <c r="D128" s="13">
        <v>2</v>
      </c>
      <c r="E128" s="13">
        <v>7</v>
      </c>
    </row>
    <row r="129" spans="1:5" x14ac:dyDescent="0.3">
      <c r="A129" s="13" t="s">
        <v>0</v>
      </c>
      <c r="B129" s="13" t="s">
        <v>90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0</v>
      </c>
      <c r="B130" s="13" t="s">
        <v>151</v>
      </c>
      <c r="C130" s="13">
        <v>3</v>
      </c>
      <c r="D130" s="13">
        <v>2</v>
      </c>
      <c r="E130" s="13">
        <v>5</v>
      </c>
    </row>
    <row r="131" spans="1:5" x14ac:dyDescent="0.3">
      <c r="A131" s="13" t="s">
        <v>0</v>
      </c>
      <c r="B131" s="13" t="s">
        <v>354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94</v>
      </c>
      <c r="C132" s="13">
        <v>2</v>
      </c>
      <c r="D132" s="13">
        <v>2</v>
      </c>
      <c r="E132" s="13">
        <v>2</v>
      </c>
    </row>
    <row r="133" spans="1:5" x14ac:dyDescent="0.3">
      <c r="A133" s="13" t="s">
        <v>0</v>
      </c>
      <c r="B133" s="13" t="s">
        <v>1674</v>
      </c>
      <c r="C133" s="13">
        <v>3</v>
      </c>
      <c r="D133" s="13">
        <v>2</v>
      </c>
      <c r="E133" s="13">
        <v>4</v>
      </c>
    </row>
    <row r="134" spans="1:5" x14ac:dyDescent="0.3">
      <c r="A134" s="13" t="s">
        <v>0</v>
      </c>
      <c r="B134" s="13" t="s">
        <v>1969</v>
      </c>
      <c r="C134" s="13">
        <v>2</v>
      </c>
      <c r="D134" s="13">
        <v>2</v>
      </c>
      <c r="E134" s="13">
        <v>2</v>
      </c>
    </row>
    <row r="135" spans="1:5" x14ac:dyDescent="0.3">
      <c r="A135" s="13" t="s">
        <v>0</v>
      </c>
      <c r="B135" s="13" t="s">
        <v>2148</v>
      </c>
      <c r="C135" s="13">
        <v>3</v>
      </c>
      <c r="D135" s="13">
        <v>2</v>
      </c>
      <c r="E135" s="13">
        <v>4</v>
      </c>
    </row>
    <row r="136" spans="1:5" x14ac:dyDescent="0.3">
      <c r="A136" s="13" t="s">
        <v>0</v>
      </c>
      <c r="B136" s="13" t="s">
        <v>2335</v>
      </c>
      <c r="C136" s="13">
        <v>3</v>
      </c>
      <c r="D136" s="13">
        <v>2</v>
      </c>
      <c r="E136" s="13">
        <v>8</v>
      </c>
    </row>
    <row r="137" spans="1:5" x14ac:dyDescent="0.3">
      <c r="A137" s="13" t="s">
        <v>0</v>
      </c>
      <c r="B137" s="13" t="s">
        <v>155</v>
      </c>
      <c r="C137" s="13">
        <v>2</v>
      </c>
      <c r="D137" s="13">
        <v>2</v>
      </c>
      <c r="E137" s="13">
        <v>3</v>
      </c>
    </row>
    <row r="138" spans="1:5" x14ac:dyDescent="0.3">
      <c r="A138" s="13" t="s">
        <v>0</v>
      </c>
      <c r="B138" s="13" t="s">
        <v>795</v>
      </c>
      <c r="C138" s="13">
        <v>2</v>
      </c>
      <c r="D138" s="13">
        <v>2</v>
      </c>
      <c r="E138" s="13">
        <v>3</v>
      </c>
    </row>
    <row r="139" spans="1:5" x14ac:dyDescent="0.3">
      <c r="A139" s="13" t="s">
        <v>0</v>
      </c>
      <c r="B139" s="13" t="s">
        <v>161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0</v>
      </c>
      <c r="B140" s="13" t="s">
        <v>2516</v>
      </c>
      <c r="C140" s="13">
        <v>2</v>
      </c>
      <c r="D140" s="13">
        <v>2</v>
      </c>
      <c r="E140" s="13">
        <v>5</v>
      </c>
    </row>
    <row r="141" spans="1:5" x14ac:dyDescent="0.3">
      <c r="A141" s="13" t="s">
        <v>0</v>
      </c>
      <c r="B141" s="13" t="s">
        <v>44</v>
      </c>
      <c r="C141" s="13">
        <v>2</v>
      </c>
      <c r="D141" s="13">
        <v>2</v>
      </c>
      <c r="E141" s="13">
        <v>2</v>
      </c>
    </row>
    <row r="142" spans="1:5" x14ac:dyDescent="0.3">
      <c r="A142" s="13" t="s">
        <v>0</v>
      </c>
      <c r="B142" s="13" t="s">
        <v>45</v>
      </c>
      <c r="C142" s="13">
        <v>2</v>
      </c>
      <c r="D142" s="13">
        <v>2</v>
      </c>
      <c r="E142" s="13">
        <v>2</v>
      </c>
    </row>
    <row r="143" spans="1:5" x14ac:dyDescent="0.3">
      <c r="A143" s="13" t="s">
        <v>0</v>
      </c>
      <c r="B143" s="13" t="s">
        <v>115</v>
      </c>
      <c r="C143" s="13">
        <v>2</v>
      </c>
      <c r="D143" s="13">
        <v>2</v>
      </c>
      <c r="E143" s="13">
        <v>2</v>
      </c>
    </row>
    <row r="144" spans="1:5" x14ac:dyDescent="0.3">
      <c r="A144" s="13" t="s">
        <v>0</v>
      </c>
      <c r="B144" s="13" t="s">
        <v>479</v>
      </c>
      <c r="C144" s="13">
        <v>2</v>
      </c>
      <c r="D144" s="13">
        <v>2</v>
      </c>
      <c r="E144" s="13">
        <v>2</v>
      </c>
    </row>
    <row r="145" spans="1:5" x14ac:dyDescent="0.3">
      <c r="A145" s="13" t="s">
        <v>0</v>
      </c>
      <c r="B145" s="13" t="s">
        <v>631</v>
      </c>
      <c r="C145" s="13">
        <v>2</v>
      </c>
      <c r="D145" s="13">
        <v>2</v>
      </c>
      <c r="E145" s="13">
        <v>3</v>
      </c>
    </row>
    <row r="146" spans="1:5" x14ac:dyDescent="0.3">
      <c r="A146" s="13" t="s">
        <v>0</v>
      </c>
      <c r="B146" s="13" t="s">
        <v>124</v>
      </c>
      <c r="C146" s="13">
        <v>2</v>
      </c>
      <c r="D146" s="13">
        <v>2</v>
      </c>
      <c r="E146" s="13">
        <v>2</v>
      </c>
    </row>
    <row r="147" spans="1:5" x14ac:dyDescent="0.3">
      <c r="A147" s="13" t="s">
        <v>0</v>
      </c>
      <c r="B147" s="13" t="s">
        <v>665</v>
      </c>
      <c r="C147" s="13">
        <v>2</v>
      </c>
      <c r="D147" s="13">
        <v>2</v>
      </c>
      <c r="E147" s="13">
        <v>2</v>
      </c>
    </row>
    <row r="148" spans="1:5" x14ac:dyDescent="0.3">
      <c r="A148" s="13" t="s">
        <v>0</v>
      </c>
      <c r="B148" s="13" t="s">
        <v>67</v>
      </c>
      <c r="C148" s="13">
        <v>2</v>
      </c>
      <c r="D148" s="13">
        <v>2</v>
      </c>
      <c r="E148" s="13">
        <v>3</v>
      </c>
    </row>
    <row r="149" spans="1:5" x14ac:dyDescent="0.3">
      <c r="A149" s="13" t="s">
        <v>2</v>
      </c>
      <c r="B149" s="13" t="s">
        <v>1663</v>
      </c>
      <c r="C149" s="13">
        <v>2</v>
      </c>
      <c r="D149" s="13">
        <v>2</v>
      </c>
      <c r="E149" s="13">
        <v>2</v>
      </c>
    </row>
    <row r="150" spans="1:5" x14ac:dyDescent="0.3">
      <c r="A150" s="13" t="s">
        <v>2</v>
      </c>
      <c r="B150" s="13" t="s">
        <v>51</v>
      </c>
      <c r="C150" s="13">
        <v>2</v>
      </c>
      <c r="D150" s="13">
        <v>2</v>
      </c>
      <c r="E150" s="13">
        <v>2</v>
      </c>
    </row>
    <row r="151" spans="1:5" x14ac:dyDescent="0.3">
      <c r="A151" s="13" t="s">
        <v>1</v>
      </c>
      <c r="B151" s="13" t="s">
        <v>925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299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300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200</v>
      </c>
      <c r="C154" s="13">
        <v>2</v>
      </c>
      <c r="D154" s="13">
        <v>1</v>
      </c>
      <c r="E154" s="13">
        <v>2</v>
      </c>
    </row>
    <row r="155" spans="1:5" x14ac:dyDescent="0.3">
      <c r="A155" s="13" t="s">
        <v>1</v>
      </c>
      <c r="B155" s="13" t="s">
        <v>1155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489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301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554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726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1287</v>
      </c>
      <c r="C160" s="13">
        <v>3</v>
      </c>
      <c r="D160" s="13">
        <v>1</v>
      </c>
      <c r="E160" s="13">
        <v>3</v>
      </c>
    </row>
    <row r="161" spans="1:5" x14ac:dyDescent="0.3">
      <c r="A161" s="13" t="s">
        <v>1</v>
      </c>
      <c r="B161" s="13" t="s">
        <v>445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33</v>
      </c>
      <c r="C162" s="13">
        <v>4</v>
      </c>
      <c r="D162" s="13">
        <v>1</v>
      </c>
      <c r="E162" s="13">
        <v>4</v>
      </c>
    </row>
    <row r="163" spans="1:5" x14ac:dyDescent="0.3">
      <c r="A163" s="13" t="s">
        <v>1</v>
      </c>
      <c r="B163" s="13" t="s">
        <v>73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375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808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670</v>
      </c>
      <c r="C166" s="13">
        <v>2</v>
      </c>
      <c r="D166" s="13">
        <v>1</v>
      </c>
      <c r="E166" s="13">
        <v>2</v>
      </c>
    </row>
    <row r="167" spans="1:5" x14ac:dyDescent="0.3">
      <c r="A167" s="13" t="s">
        <v>1</v>
      </c>
      <c r="B167" s="13" t="s">
        <v>810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591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1207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381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671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142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499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853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207</v>
      </c>
      <c r="C175" s="13">
        <v>1</v>
      </c>
      <c r="D175" s="13">
        <v>1</v>
      </c>
      <c r="E175" s="13">
        <v>2</v>
      </c>
    </row>
    <row r="176" spans="1:5" x14ac:dyDescent="0.3">
      <c r="A176" s="13" t="s">
        <v>1</v>
      </c>
      <c r="B176" s="13" t="s">
        <v>243</v>
      </c>
      <c r="C176" s="13">
        <v>2</v>
      </c>
      <c r="D176" s="13">
        <v>1</v>
      </c>
      <c r="E176" s="13">
        <v>2</v>
      </c>
    </row>
    <row r="177" spans="1:5" x14ac:dyDescent="0.3">
      <c r="A177" s="13" t="s">
        <v>1</v>
      </c>
      <c r="B177" s="13" t="s">
        <v>812</v>
      </c>
      <c r="C177" s="13">
        <v>2</v>
      </c>
      <c r="D177" s="13">
        <v>1</v>
      </c>
      <c r="E177" s="13">
        <v>2</v>
      </c>
    </row>
    <row r="178" spans="1:5" x14ac:dyDescent="0.3">
      <c r="A178" s="13" t="s">
        <v>1</v>
      </c>
      <c r="B178" s="13" t="s">
        <v>208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813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2384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40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260</v>
      </c>
      <c r="C182" s="13">
        <v>2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144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82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500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501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305</v>
      </c>
      <c r="C187" s="13">
        <v>3</v>
      </c>
      <c r="D187" s="13">
        <v>1</v>
      </c>
      <c r="E187" s="13">
        <v>4</v>
      </c>
    </row>
    <row r="188" spans="1:5" x14ac:dyDescent="0.3">
      <c r="A188" s="13" t="s">
        <v>1</v>
      </c>
      <c r="B188" s="13" t="s">
        <v>257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1288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464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1289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502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605</v>
      </c>
      <c r="C193" s="13">
        <v>3</v>
      </c>
      <c r="D193" s="13">
        <v>1</v>
      </c>
      <c r="E193" s="13">
        <v>4</v>
      </c>
    </row>
    <row r="194" spans="1:5" x14ac:dyDescent="0.3">
      <c r="A194" s="13" t="s">
        <v>1</v>
      </c>
      <c r="B194" s="13" t="s">
        <v>465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149</v>
      </c>
      <c r="C195" s="13">
        <v>2</v>
      </c>
      <c r="D195" s="13">
        <v>1</v>
      </c>
      <c r="E195" s="13">
        <v>2</v>
      </c>
    </row>
    <row r="196" spans="1:5" x14ac:dyDescent="0.3">
      <c r="A196" s="13" t="s">
        <v>1</v>
      </c>
      <c r="B196" s="13" t="s">
        <v>244</v>
      </c>
      <c r="C196" s="13">
        <v>2</v>
      </c>
      <c r="D196" s="13">
        <v>1</v>
      </c>
      <c r="E196" s="13">
        <v>2</v>
      </c>
    </row>
    <row r="197" spans="1:5" x14ac:dyDescent="0.3">
      <c r="A197" s="13" t="s">
        <v>1</v>
      </c>
      <c r="B197" s="13" t="s">
        <v>607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272</v>
      </c>
      <c r="C198" s="13">
        <v>2</v>
      </c>
      <c r="D198" s="13">
        <v>1</v>
      </c>
      <c r="E198" s="13">
        <v>2</v>
      </c>
    </row>
    <row r="199" spans="1:5" x14ac:dyDescent="0.3">
      <c r="A199" s="13" t="s">
        <v>1</v>
      </c>
      <c r="B199" s="13" t="s">
        <v>1161</v>
      </c>
      <c r="C199" s="13">
        <v>1</v>
      </c>
      <c r="D199" s="13">
        <v>1</v>
      </c>
      <c r="E199" s="13">
        <v>2</v>
      </c>
    </row>
    <row r="200" spans="1:5" x14ac:dyDescent="0.3">
      <c r="A200" s="13" t="s">
        <v>1</v>
      </c>
      <c r="B200" s="13" t="s">
        <v>1915</v>
      </c>
      <c r="C200" s="13">
        <v>1</v>
      </c>
      <c r="D200" s="13">
        <v>1</v>
      </c>
      <c r="E200" s="13">
        <v>2</v>
      </c>
    </row>
    <row r="201" spans="1:5" x14ac:dyDescent="0.3">
      <c r="A201" s="13" t="s">
        <v>1</v>
      </c>
      <c r="B201" s="13" t="s">
        <v>91</v>
      </c>
      <c r="C201" s="13">
        <v>2</v>
      </c>
      <c r="D201" s="13">
        <v>1</v>
      </c>
      <c r="E201" s="13">
        <v>2</v>
      </c>
    </row>
    <row r="202" spans="1:5" x14ac:dyDescent="0.3">
      <c r="A202" s="13" t="s">
        <v>1</v>
      </c>
      <c r="B202" s="13" t="s">
        <v>424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2517</v>
      </c>
      <c r="C203" s="13">
        <v>2</v>
      </c>
      <c r="D203" s="13">
        <v>1</v>
      </c>
      <c r="E203" s="13">
        <v>2</v>
      </c>
    </row>
    <row r="204" spans="1:5" x14ac:dyDescent="0.3">
      <c r="A204" s="13" t="s">
        <v>1</v>
      </c>
      <c r="B204" s="13" t="s">
        <v>1171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151</v>
      </c>
      <c r="C205" s="13">
        <v>3</v>
      </c>
      <c r="D205" s="13">
        <v>1</v>
      </c>
      <c r="E205" s="13">
        <v>4</v>
      </c>
    </row>
    <row r="206" spans="1:5" x14ac:dyDescent="0.3">
      <c r="A206" s="13" t="s">
        <v>1</v>
      </c>
      <c r="B206" s="13" t="s">
        <v>611</v>
      </c>
      <c r="C206" s="13">
        <v>2</v>
      </c>
      <c r="D206" s="13">
        <v>1</v>
      </c>
      <c r="E206" s="13">
        <v>2</v>
      </c>
    </row>
    <row r="207" spans="1:5" x14ac:dyDescent="0.3">
      <c r="A207" s="13" t="s">
        <v>1</v>
      </c>
      <c r="B207" s="13" t="s">
        <v>352</v>
      </c>
      <c r="C207" s="13">
        <v>2</v>
      </c>
      <c r="D207" s="13">
        <v>1</v>
      </c>
      <c r="E207" s="13">
        <v>2</v>
      </c>
    </row>
    <row r="208" spans="1:5" x14ac:dyDescent="0.3">
      <c r="A208" s="13" t="s">
        <v>1</v>
      </c>
      <c r="B208" s="13" t="s">
        <v>353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254</v>
      </c>
      <c r="C209" s="13">
        <v>2</v>
      </c>
      <c r="D209" s="13">
        <v>1</v>
      </c>
      <c r="E209" s="13">
        <v>2</v>
      </c>
    </row>
    <row r="210" spans="1:5" x14ac:dyDescent="0.3">
      <c r="A210" s="13" t="s">
        <v>1</v>
      </c>
      <c r="B210" s="13" t="s">
        <v>658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60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153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247</v>
      </c>
      <c r="C213" s="13">
        <v>2</v>
      </c>
      <c r="D213" s="13">
        <v>1</v>
      </c>
      <c r="E213" s="13">
        <v>2</v>
      </c>
    </row>
    <row r="214" spans="1:5" x14ac:dyDescent="0.3">
      <c r="A214" s="13" t="s">
        <v>1</v>
      </c>
      <c r="B214" s="13" t="s">
        <v>653</v>
      </c>
      <c r="C214" s="13">
        <v>3</v>
      </c>
      <c r="D214" s="13">
        <v>1</v>
      </c>
      <c r="E214" s="13">
        <v>3</v>
      </c>
    </row>
    <row r="215" spans="1:5" x14ac:dyDescent="0.3">
      <c r="A215" s="13" t="s">
        <v>1</v>
      </c>
      <c r="B215" s="13" t="s">
        <v>1370</v>
      </c>
      <c r="C215" s="13">
        <v>2</v>
      </c>
      <c r="D215" s="13">
        <v>1</v>
      </c>
      <c r="E215" s="13">
        <v>2</v>
      </c>
    </row>
    <row r="216" spans="1:5" x14ac:dyDescent="0.3">
      <c r="A216" s="13" t="s">
        <v>1</v>
      </c>
      <c r="B216" s="13" t="s">
        <v>1471</v>
      </c>
      <c r="C216" s="13">
        <v>2</v>
      </c>
      <c r="D216" s="13">
        <v>1</v>
      </c>
      <c r="E216" s="13">
        <v>2</v>
      </c>
    </row>
    <row r="217" spans="1:5" x14ac:dyDescent="0.3">
      <c r="A217" s="13" t="s">
        <v>1</v>
      </c>
      <c r="B217" s="13" t="s">
        <v>1473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1485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1498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1505</v>
      </c>
      <c r="C220" s="13">
        <v>3</v>
      </c>
      <c r="D220" s="13">
        <v>1</v>
      </c>
      <c r="E220" s="13">
        <v>4</v>
      </c>
    </row>
    <row r="221" spans="1:5" x14ac:dyDescent="0.3">
      <c r="A221" s="13" t="s">
        <v>1</v>
      </c>
      <c r="B221" s="13" t="s">
        <v>1621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1624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1631</v>
      </c>
      <c r="C223" s="13">
        <v>2</v>
      </c>
      <c r="D223" s="13">
        <v>1</v>
      </c>
      <c r="E223" s="13">
        <v>2</v>
      </c>
    </row>
    <row r="224" spans="1:5" x14ac:dyDescent="0.3">
      <c r="A224" s="13" t="s">
        <v>1</v>
      </c>
      <c r="B224" s="13" t="s">
        <v>1651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1654</v>
      </c>
      <c r="C225" s="13">
        <v>2</v>
      </c>
      <c r="D225" s="13">
        <v>1</v>
      </c>
      <c r="E225" s="13">
        <v>2</v>
      </c>
    </row>
    <row r="226" spans="1:5" x14ac:dyDescent="0.3">
      <c r="A226" s="13" t="s">
        <v>1</v>
      </c>
      <c r="B226" s="13" t="s">
        <v>1674</v>
      </c>
      <c r="C226" s="13">
        <v>3</v>
      </c>
      <c r="D226" s="13">
        <v>1</v>
      </c>
      <c r="E226" s="13">
        <v>4</v>
      </c>
    </row>
    <row r="227" spans="1:5" x14ac:dyDescent="0.3">
      <c r="A227" s="13" t="s">
        <v>1</v>
      </c>
      <c r="B227" s="13" t="s">
        <v>1887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1904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1918</v>
      </c>
      <c r="C229" s="13">
        <v>2</v>
      </c>
      <c r="D229" s="13">
        <v>1</v>
      </c>
      <c r="E229" s="13">
        <v>2</v>
      </c>
    </row>
    <row r="230" spans="1:5" x14ac:dyDescent="0.3">
      <c r="A230" s="13" t="s">
        <v>1</v>
      </c>
      <c r="B230" s="13" t="s">
        <v>1881</v>
      </c>
      <c r="C230" s="13">
        <v>2</v>
      </c>
      <c r="D230" s="13">
        <v>1</v>
      </c>
      <c r="E230" s="13">
        <v>2</v>
      </c>
    </row>
    <row r="231" spans="1:5" x14ac:dyDescent="0.3">
      <c r="A231" s="13" t="s">
        <v>1</v>
      </c>
      <c r="B231" s="13" t="s">
        <v>1908</v>
      </c>
      <c r="C231" s="13">
        <v>2</v>
      </c>
      <c r="D231" s="13">
        <v>1</v>
      </c>
      <c r="E231" s="13">
        <v>2</v>
      </c>
    </row>
    <row r="232" spans="1:5" x14ac:dyDescent="0.3">
      <c r="A232" s="13" t="s">
        <v>1</v>
      </c>
      <c r="B232" s="13" t="s">
        <v>1883</v>
      </c>
      <c r="C232" s="13">
        <v>2</v>
      </c>
      <c r="D232" s="13">
        <v>1</v>
      </c>
      <c r="E232" s="13">
        <v>2</v>
      </c>
    </row>
    <row r="233" spans="1:5" x14ac:dyDescent="0.3">
      <c r="A233" s="13" t="s">
        <v>1</v>
      </c>
      <c r="B233" s="13" t="s">
        <v>2018</v>
      </c>
      <c r="C233" s="13">
        <v>4</v>
      </c>
      <c r="D233" s="13">
        <v>1</v>
      </c>
      <c r="E233" s="13">
        <v>5</v>
      </c>
    </row>
    <row r="234" spans="1:5" x14ac:dyDescent="0.3">
      <c r="A234" s="13" t="s">
        <v>1</v>
      </c>
      <c r="B234" s="13" t="s">
        <v>2069</v>
      </c>
      <c r="C234" s="13">
        <v>7</v>
      </c>
      <c r="D234" s="13">
        <v>1</v>
      </c>
      <c r="E234" s="13">
        <v>9</v>
      </c>
    </row>
    <row r="235" spans="1:5" x14ac:dyDescent="0.3">
      <c r="A235" s="13" t="s">
        <v>1</v>
      </c>
      <c r="B235" s="13" t="s">
        <v>2148</v>
      </c>
      <c r="C235" s="13">
        <v>5</v>
      </c>
      <c r="D235" s="13">
        <v>1</v>
      </c>
      <c r="E235" s="13">
        <v>5</v>
      </c>
    </row>
    <row r="236" spans="1:5" x14ac:dyDescent="0.3">
      <c r="A236" s="13" t="s">
        <v>1</v>
      </c>
      <c r="B236" s="13" t="s">
        <v>2179</v>
      </c>
      <c r="C236" s="13">
        <v>4</v>
      </c>
      <c r="D236" s="13">
        <v>1</v>
      </c>
      <c r="E236" s="13">
        <v>4</v>
      </c>
    </row>
    <row r="237" spans="1:5" x14ac:dyDescent="0.3">
      <c r="A237" s="13" t="s">
        <v>1</v>
      </c>
      <c r="B237" s="13" t="s">
        <v>2335</v>
      </c>
      <c r="C237" s="13">
        <v>13</v>
      </c>
      <c r="D237" s="13">
        <v>1</v>
      </c>
      <c r="E237" s="13">
        <v>14</v>
      </c>
    </row>
    <row r="238" spans="1:5" x14ac:dyDescent="0.3">
      <c r="A238" s="13" t="s">
        <v>1</v>
      </c>
      <c r="B238" s="13" t="s">
        <v>678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426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1508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155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507</v>
      </c>
      <c r="C242" s="13">
        <v>3</v>
      </c>
      <c r="D242" s="13">
        <v>1</v>
      </c>
      <c r="E242" s="13">
        <v>4</v>
      </c>
    </row>
    <row r="243" spans="1:5" x14ac:dyDescent="0.3">
      <c r="A243" s="13" t="s">
        <v>1</v>
      </c>
      <c r="B243" s="13" t="s">
        <v>35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932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2518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476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2519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99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762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1034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156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157</v>
      </c>
      <c r="C252" s="13">
        <v>1</v>
      </c>
      <c r="D252" s="13">
        <v>1</v>
      </c>
      <c r="E252" s="13">
        <v>2</v>
      </c>
    </row>
    <row r="253" spans="1:5" x14ac:dyDescent="0.3">
      <c r="A253" s="13" t="s">
        <v>1</v>
      </c>
      <c r="B253" s="13" t="s">
        <v>934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1127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2520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1232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392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1163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28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161</v>
      </c>
      <c r="C260" s="13">
        <v>3</v>
      </c>
      <c r="D260" s="13">
        <v>1</v>
      </c>
      <c r="E260" s="13">
        <v>3</v>
      </c>
    </row>
    <row r="261" spans="1:5" x14ac:dyDescent="0.3">
      <c r="A261" s="13" t="s">
        <v>1</v>
      </c>
      <c r="B261" s="13" t="s">
        <v>103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1054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860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1327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104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1035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393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1084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311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162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43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164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939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2001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1003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861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1222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1712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1392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165</v>
      </c>
      <c r="C280" s="13">
        <v>2</v>
      </c>
      <c r="D280" s="13">
        <v>1</v>
      </c>
      <c r="E280" s="13">
        <v>2</v>
      </c>
    </row>
    <row r="281" spans="1:5" x14ac:dyDescent="0.3">
      <c r="A281" s="13" t="s">
        <v>1</v>
      </c>
      <c r="B281" s="13" t="s">
        <v>108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222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2521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2522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2523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110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1132</v>
      </c>
      <c r="C287" s="13">
        <v>1</v>
      </c>
      <c r="D287" s="13">
        <v>1</v>
      </c>
      <c r="E287" s="13">
        <v>2</v>
      </c>
    </row>
    <row r="288" spans="1:5" x14ac:dyDescent="0.3">
      <c r="A288" s="13" t="s">
        <v>1</v>
      </c>
      <c r="B288" s="13" t="s">
        <v>279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2524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824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2106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579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1808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943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765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315</v>
      </c>
      <c r="C296" s="13">
        <v>2</v>
      </c>
      <c r="D296" s="13">
        <v>1</v>
      </c>
      <c r="E296" s="13">
        <v>2</v>
      </c>
    </row>
    <row r="297" spans="1:5" x14ac:dyDescent="0.3">
      <c r="A297" s="13" t="s">
        <v>1</v>
      </c>
      <c r="B297" s="13" t="s">
        <v>1376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863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2430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2211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518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1604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400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1494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1080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319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320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374</v>
      </c>
      <c r="C308" s="13">
        <v>2</v>
      </c>
      <c r="D308" s="13">
        <v>1</v>
      </c>
      <c r="E308" s="13">
        <v>2</v>
      </c>
    </row>
    <row r="309" spans="1:5" x14ac:dyDescent="0.3">
      <c r="A309" s="13" t="s">
        <v>1</v>
      </c>
      <c r="B309" s="13" t="s">
        <v>453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1514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2525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2441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694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921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2213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401</v>
      </c>
      <c r="C316" s="13">
        <v>2</v>
      </c>
      <c r="D316" s="13">
        <v>1</v>
      </c>
      <c r="E316" s="13">
        <v>2</v>
      </c>
    </row>
    <row r="317" spans="1:5" x14ac:dyDescent="0.3">
      <c r="A317" s="13" t="s">
        <v>1</v>
      </c>
      <c r="B317" s="13" t="s">
        <v>432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580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524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360</v>
      </c>
      <c r="C320" s="13">
        <v>2</v>
      </c>
      <c r="D320" s="13">
        <v>1</v>
      </c>
      <c r="E320" s="13">
        <v>2</v>
      </c>
    </row>
    <row r="321" spans="1:5" x14ac:dyDescent="0.3">
      <c r="A321" s="13" t="s">
        <v>1</v>
      </c>
      <c r="B321" s="13" t="s">
        <v>1377</v>
      </c>
      <c r="C321" s="13">
        <v>1</v>
      </c>
      <c r="D321" s="13">
        <v>1</v>
      </c>
      <c r="E321" s="13">
        <v>2</v>
      </c>
    </row>
    <row r="322" spans="1:5" x14ac:dyDescent="0.3">
      <c r="A322" s="13" t="s">
        <v>1</v>
      </c>
      <c r="B322" s="13" t="s">
        <v>1086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1190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525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1099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1622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1878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767</v>
      </c>
      <c r="C328" s="13">
        <v>1</v>
      </c>
      <c r="D328" s="13">
        <v>1</v>
      </c>
      <c r="E328" s="13">
        <v>2</v>
      </c>
    </row>
    <row r="329" spans="1:5" x14ac:dyDescent="0.3">
      <c r="A329" s="13" t="s">
        <v>1</v>
      </c>
      <c r="B329" s="13" t="s">
        <v>326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1</v>
      </c>
      <c r="B330" s="13" t="s">
        <v>2526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1337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1</v>
      </c>
      <c r="B332" s="13" t="s">
        <v>114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1</v>
      </c>
      <c r="B333" s="13" t="s">
        <v>1093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897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1101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1292</v>
      </c>
      <c r="C336" s="13">
        <v>2</v>
      </c>
      <c r="D336" s="13">
        <v>1</v>
      </c>
      <c r="E336" s="13">
        <v>3</v>
      </c>
    </row>
    <row r="337" spans="1:5" x14ac:dyDescent="0.3">
      <c r="A337" s="13" t="s">
        <v>1</v>
      </c>
      <c r="B337" s="13" t="s">
        <v>2527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1</v>
      </c>
      <c r="B338" s="13" t="s">
        <v>173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1</v>
      </c>
      <c r="B339" s="13" t="s">
        <v>434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1660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1</v>
      </c>
      <c r="B341" s="13" t="s">
        <v>1338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1</v>
      </c>
      <c r="B342" s="13" t="s">
        <v>362</v>
      </c>
      <c r="C342" s="13">
        <v>2</v>
      </c>
      <c r="D342" s="13">
        <v>1</v>
      </c>
      <c r="E342" s="13">
        <v>2</v>
      </c>
    </row>
    <row r="343" spans="1:5" x14ac:dyDescent="0.3">
      <c r="A343" s="13" t="s">
        <v>1</v>
      </c>
      <c r="B343" s="13" t="s">
        <v>119</v>
      </c>
      <c r="C343" s="13">
        <v>2</v>
      </c>
      <c r="D343" s="13">
        <v>1</v>
      </c>
      <c r="E343" s="13">
        <v>2</v>
      </c>
    </row>
    <row r="344" spans="1:5" x14ac:dyDescent="0.3">
      <c r="A344" s="13" t="s">
        <v>1</v>
      </c>
      <c r="B344" s="13" t="s">
        <v>1504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1</v>
      </c>
      <c r="B345" s="13" t="s">
        <v>774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1</v>
      </c>
      <c r="B346" s="13" t="s">
        <v>122</v>
      </c>
      <c r="C346" s="13">
        <v>3</v>
      </c>
      <c r="D346" s="13">
        <v>1</v>
      </c>
      <c r="E346" s="13">
        <v>3</v>
      </c>
    </row>
    <row r="347" spans="1:5" x14ac:dyDescent="0.3">
      <c r="A347" s="13" t="s">
        <v>1</v>
      </c>
      <c r="B347" s="13" t="s">
        <v>123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1</v>
      </c>
      <c r="B348" s="13" t="s">
        <v>174</v>
      </c>
      <c r="C348" s="13">
        <v>3</v>
      </c>
      <c r="D348" s="13">
        <v>1</v>
      </c>
      <c r="E348" s="13">
        <v>3</v>
      </c>
    </row>
    <row r="349" spans="1:5" x14ac:dyDescent="0.3">
      <c r="A349" s="13" t="s">
        <v>1</v>
      </c>
      <c r="B349" s="13" t="s">
        <v>406</v>
      </c>
      <c r="C349" s="13">
        <v>1</v>
      </c>
      <c r="D349" s="13">
        <v>1</v>
      </c>
      <c r="E349" s="13">
        <v>2</v>
      </c>
    </row>
    <row r="350" spans="1:5" x14ac:dyDescent="0.3">
      <c r="A350" s="13" t="s">
        <v>1</v>
      </c>
      <c r="B350" s="13" t="s">
        <v>1216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1</v>
      </c>
      <c r="B351" s="13" t="s">
        <v>2006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1</v>
      </c>
      <c r="B352" s="13" t="s">
        <v>705</v>
      </c>
      <c r="C352" s="13">
        <v>2</v>
      </c>
      <c r="D352" s="13">
        <v>1</v>
      </c>
      <c r="E352" s="13">
        <v>2</v>
      </c>
    </row>
    <row r="353" spans="1:5" x14ac:dyDescent="0.3">
      <c r="A353" s="13" t="s">
        <v>1</v>
      </c>
      <c r="B353" s="13" t="s">
        <v>1325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1</v>
      </c>
      <c r="B354" s="13" t="s">
        <v>1482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1</v>
      </c>
      <c r="B355" s="13" t="s">
        <v>1346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1</v>
      </c>
      <c r="B356" s="13" t="s">
        <v>974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1</v>
      </c>
      <c r="B357" s="13" t="s">
        <v>1390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1</v>
      </c>
      <c r="B358" s="13" t="s">
        <v>1011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1</v>
      </c>
      <c r="B359" s="13" t="s">
        <v>412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1</v>
      </c>
      <c r="B360" s="13" t="s">
        <v>413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1</v>
      </c>
      <c r="B361" s="13" t="s">
        <v>957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1</v>
      </c>
      <c r="B362" s="13" t="s">
        <v>578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1</v>
      </c>
      <c r="B363" s="13" t="s">
        <v>537</v>
      </c>
      <c r="C363" s="13">
        <v>2</v>
      </c>
      <c r="D363" s="13">
        <v>1</v>
      </c>
      <c r="E363" s="13">
        <v>2</v>
      </c>
    </row>
    <row r="364" spans="1:5" x14ac:dyDescent="0.3">
      <c r="A364" s="13" t="s">
        <v>1</v>
      </c>
      <c r="B364" s="13" t="s">
        <v>1640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1</v>
      </c>
      <c r="B365" s="13" t="s">
        <v>2045</v>
      </c>
      <c r="C365" s="13">
        <v>2</v>
      </c>
      <c r="D365" s="13">
        <v>1</v>
      </c>
      <c r="E365" s="13">
        <v>2</v>
      </c>
    </row>
    <row r="366" spans="1:5" x14ac:dyDescent="0.3">
      <c r="A366" s="13" t="s">
        <v>1</v>
      </c>
      <c r="B366" s="13" t="s">
        <v>416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1</v>
      </c>
      <c r="B367" s="13" t="s">
        <v>339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1</v>
      </c>
      <c r="B368" s="13" t="s">
        <v>779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1</v>
      </c>
      <c r="B369" s="13" t="s">
        <v>52</v>
      </c>
      <c r="C369" s="13">
        <v>3</v>
      </c>
      <c r="D369" s="13">
        <v>1</v>
      </c>
      <c r="E369" s="13">
        <v>3</v>
      </c>
    </row>
    <row r="370" spans="1:5" x14ac:dyDescent="0.3">
      <c r="A370" s="13" t="s">
        <v>1</v>
      </c>
      <c r="B370" s="13" t="s">
        <v>1357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1</v>
      </c>
      <c r="B371" s="13" t="s">
        <v>958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1</v>
      </c>
      <c r="B372" s="13" t="s">
        <v>715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1</v>
      </c>
      <c r="B373" s="13" t="s">
        <v>64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1</v>
      </c>
      <c r="B374" s="13" t="s">
        <v>2060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1</v>
      </c>
      <c r="B375" s="13" t="s">
        <v>295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1</v>
      </c>
      <c r="B376" s="13" t="s">
        <v>132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1</v>
      </c>
      <c r="B377" s="13" t="s">
        <v>2000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1</v>
      </c>
      <c r="B378" s="13" t="s">
        <v>1219</v>
      </c>
      <c r="C378" s="13">
        <v>1</v>
      </c>
      <c r="D378" s="13">
        <v>1</v>
      </c>
      <c r="E378" s="13">
        <v>6</v>
      </c>
    </row>
    <row r="379" spans="1:5" x14ac:dyDescent="0.3">
      <c r="A379" s="13" t="s">
        <v>1</v>
      </c>
      <c r="B379" s="13" t="s">
        <v>797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1</v>
      </c>
      <c r="B380" s="13" t="s">
        <v>190</v>
      </c>
      <c r="C380" s="13">
        <v>2</v>
      </c>
      <c r="D380" s="13">
        <v>1</v>
      </c>
      <c r="E380" s="13">
        <v>2</v>
      </c>
    </row>
    <row r="381" spans="1:5" x14ac:dyDescent="0.3">
      <c r="A381" s="13" t="s">
        <v>1</v>
      </c>
      <c r="B381" s="13" t="s">
        <v>960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1</v>
      </c>
      <c r="B382" s="13" t="s">
        <v>67</v>
      </c>
      <c r="C382" s="13">
        <v>2</v>
      </c>
      <c r="D382" s="13">
        <v>1</v>
      </c>
      <c r="E382" s="13">
        <v>2</v>
      </c>
    </row>
    <row r="383" spans="1:5" x14ac:dyDescent="0.3">
      <c r="A383" s="13" t="s">
        <v>1</v>
      </c>
      <c r="B383" s="13" t="s">
        <v>192</v>
      </c>
      <c r="C383" s="13">
        <v>8</v>
      </c>
      <c r="D383" s="13">
        <v>1</v>
      </c>
      <c r="E383" s="13">
        <v>13</v>
      </c>
    </row>
    <row r="384" spans="1:5" x14ac:dyDescent="0.3">
      <c r="A384" s="13" t="s">
        <v>1</v>
      </c>
      <c r="B384" s="13" t="s">
        <v>233</v>
      </c>
      <c r="C384" s="13">
        <v>2</v>
      </c>
      <c r="D384" s="13">
        <v>1</v>
      </c>
      <c r="E384" s="13">
        <v>7</v>
      </c>
    </row>
    <row r="385" spans="1:5" x14ac:dyDescent="0.3">
      <c r="A385" s="13" t="s">
        <v>1</v>
      </c>
      <c r="B385" s="13" t="s">
        <v>54</v>
      </c>
      <c r="C385" s="13">
        <v>5</v>
      </c>
      <c r="D385" s="13">
        <v>1</v>
      </c>
      <c r="E385" s="13">
        <v>5</v>
      </c>
    </row>
    <row r="386" spans="1:5" x14ac:dyDescent="0.3">
      <c r="A386" s="13" t="s">
        <v>1</v>
      </c>
      <c r="B386" s="13" t="s">
        <v>1196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1</v>
      </c>
      <c r="B387" s="13" t="s">
        <v>1116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1</v>
      </c>
      <c r="B388" s="13" t="s">
        <v>1111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1</v>
      </c>
      <c r="B389" s="13" t="s">
        <v>978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1</v>
      </c>
      <c r="B390" s="13" t="s">
        <v>786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1</v>
      </c>
      <c r="B391" s="13" t="s">
        <v>848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1</v>
      </c>
      <c r="B392" s="13" t="s">
        <v>2232</v>
      </c>
      <c r="C392" s="13">
        <v>1</v>
      </c>
      <c r="D392" s="13">
        <v>1</v>
      </c>
      <c r="E392" s="13">
        <v>4</v>
      </c>
    </row>
    <row r="393" spans="1:5" x14ac:dyDescent="0.3">
      <c r="A393" s="13" t="s">
        <v>1</v>
      </c>
      <c r="B393" s="13" t="s">
        <v>2218</v>
      </c>
      <c r="C393" s="13">
        <v>1</v>
      </c>
      <c r="D393" s="13">
        <v>1</v>
      </c>
      <c r="E393" s="13">
        <v>2</v>
      </c>
    </row>
    <row r="394" spans="1:5" x14ac:dyDescent="0.3">
      <c r="A394" s="13" t="s">
        <v>1</v>
      </c>
      <c r="B394" s="13" t="s">
        <v>1563</v>
      </c>
      <c r="C394" s="13">
        <v>1</v>
      </c>
      <c r="D394" s="13">
        <v>1</v>
      </c>
      <c r="E394" s="13"/>
    </row>
    <row r="395" spans="1:5" x14ac:dyDescent="0.3">
      <c r="A395" s="13" t="s">
        <v>1</v>
      </c>
      <c r="B395" s="13" t="s">
        <v>1154</v>
      </c>
      <c r="C395" s="13">
        <v>1</v>
      </c>
      <c r="D395" s="13">
        <v>3</v>
      </c>
      <c r="E395" s="13"/>
    </row>
    <row r="396" spans="1:5" x14ac:dyDescent="0.3">
      <c r="A396" s="13" t="s">
        <v>1</v>
      </c>
      <c r="B396" s="13" t="s">
        <v>2120</v>
      </c>
      <c r="C396" s="13">
        <v>1</v>
      </c>
      <c r="D396" s="13">
        <v>1</v>
      </c>
      <c r="E396" s="13"/>
    </row>
    <row r="397" spans="1:5" x14ac:dyDescent="0.3">
      <c r="A397" s="13" t="s">
        <v>1</v>
      </c>
      <c r="B397" s="13" t="s">
        <v>2528</v>
      </c>
      <c r="C397" s="13">
        <v>1</v>
      </c>
      <c r="D397" s="13">
        <v>1</v>
      </c>
      <c r="E397" s="13">
        <v>3</v>
      </c>
    </row>
    <row r="398" spans="1:5" x14ac:dyDescent="0.3">
      <c r="A398" s="13" t="s">
        <v>1</v>
      </c>
      <c r="B398" s="13" t="s">
        <v>1477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1</v>
      </c>
      <c r="B399" s="13" t="s">
        <v>1554</v>
      </c>
      <c r="C399" s="13">
        <v>1</v>
      </c>
      <c r="D399" s="13">
        <v>1</v>
      </c>
      <c r="E399" s="13"/>
    </row>
    <row r="400" spans="1:5" x14ac:dyDescent="0.3">
      <c r="A400" s="13" t="s">
        <v>1</v>
      </c>
      <c r="B400" s="13" t="s">
        <v>237</v>
      </c>
      <c r="C400" s="13">
        <v>1</v>
      </c>
      <c r="D400" s="13">
        <v>1</v>
      </c>
      <c r="E400" s="13">
        <v>2</v>
      </c>
    </row>
    <row r="401" spans="1:5" x14ac:dyDescent="0.3">
      <c r="A401" s="13" t="s">
        <v>1</v>
      </c>
      <c r="B401" s="13" t="s">
        <v>2529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1</v>
      </c>
      <c r="B402" s="13" t="s">
        <v>548</v>
      </c>
      <c r="C402" s="13">
        <v>1</v>
      </c>
      <c r="D402" s="13">
        <v>1</v>
      </c>
      <c r="E402" s="13"/>
    </row>
    <row r="403" spans="1:5" x14ac:dyDescent="0.3">
      <c r="A403" s="13" t="s">
        <v>1</v>
      </c>
      <c r="B403" s="13" t="s">
        <v>1394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1</v>
      </c>
      <c r="B404" s="13" t="s">
        <v>297</v>
      </c>
      <c r="C404" s="13">
        <v>1</v>
      </c>
      <c r="D404" s="13">
        <v>1</v>
      </c>
      <c r="E404" s="13"/>
    </row>
    <row r="405" spans="1:5" x14ac:dyDescent="0.3">
      <c r="A405" s="13" t="s">
        <v>1</v>
      </c>
      <c r="B405" s="13" t="s">
        <v>2091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1</v>
      </c>
      <c r="B406" s="13" t="s">
        <v>418</v>
      </c>
      <c r="C406" s="13">
        <v>1</v>
      </c>
      <c r="D406" s="13">
        <v>1</v>
      </c>
      <c r="E406" s="13"/>
    </row>
    <row r="407" spans="1:5" x14ac:dyDescent="0.3">
      <c r="A407" s="13" t="s">
        <v>1</v>
      </c>
      <c r="B407" s="13" t="s">
        <v>32</v>
      </c>
      <c r="C407" s="13">
        <v>6</v>
      </c>
      <c r="D407" s="13">
        <v>1</v>
      </c>
      <c r="E407" s="13">
        <v>13</v>
      </c>
    </row>
    <row r="408" spans="1:5" x14ac:dyDescent="0.3">
      <c r="A408" s="13" t="s">
        <v>0</v>
      </c>
      <c r="B408" s="13" t="s">
        <v>199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443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300</v>
      </c>
      <c r="C410" s="13">
        <v>1</v>
      </c>
      <c r="D410" s="13">
        <v>1</v>
      </c>
      <c r="E410" s="13">
        <v>2</v>
      </c>
    </row>
    <row r="411" spans="1:5" x14ac:dyDescent="0.3">
      <c r="A411" s="13" t="s">
        <v>0</v>
      </c>
      <c r="B411" s="13" t="s">
        <v>1224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138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262</v>
      </c>
      <c r="C413" s="13">
        <v>2</v>
      </c>
      <c r="D413" s="13">
        <v>1</v>
      </c>
      <c r="E413" s="13">
        <v>2</v>
      </c>
    </row>
    <row r="414" spans="1:5" x14ac:dyDescent="0.3">
      <c r="A414" s="13" t="s">
        <v>0</v>
      </c>
      <c r="B414" s="13" t="s">
        <v>586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73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48</v>
      </c>
      <c r="C416" s="13">
        <v>2</v>
      </c>
      <c r="D416" s="13">
        <v>1</v>
      </c>
      <c r="E416" s="13">
        <v>2</v>
      </c>
    </row>
    <row r="417" spans="1:5" x14ac:dyDescent="0.3">
      <c r="A417" s="13" t="s">
        <v>0</v>
      </c>
      <c r="B417" s="13" t="s">
        <v>203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670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1089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77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59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347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34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80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1208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269</v>
      </c>
      <c r="C426" s="13">
        <v>1</v>
      </c>
      <c r="D426" s="13">
        <v>1</v>
      </c>
      <c r="E426" s="13">
        <v>2</v>
      </c>
    </row>
    <row r="427" spans="1:5" x14ac:dyDescent="0.3">
      <c r="A427" s="13" t="s">
        <v>0</v>
      </c>
      <c r="B427" s="13" t="s">
        <v>260</v>
      </c>
      <c r="C427" s="13">
        <v>2</v>
      </c>
      <c r="D427" s="13">
        <v>1</v>
      </c>
      <c r="E427" s="13">
        <v>3</v>
      </c>
    </row>
    <row r="428" spans="1:5" x14ac:dyDescent="0.3">
      <c r="A428" s="13" t="s">
        <v>0</v>
      </c>
      <c r="B428" s="13" t="s">
        <v>147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212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217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993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425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42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2530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613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471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1370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1663</v>
      </c>
      <c r="C438" s="13">
        <v>2</v>
      </c>
      <c r="D438" s="13">
        <v>1</v>
      </c>
      <c r="E438" s="13">
        <v>2</v>
      </c>
    </row>
    <row r="439" spans="1:5" x14ac:dyDescent="0.3">
      <c r="A439" s="13" t="s">
        <v>0</v>
      </c>
      <c r="B439" s="13" t="s">
        <v>1696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1926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1888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1881</v>
      </c>
      <c r="C442" s="13">
        <v>2</v>
      </c>
      <c r="D442" s="13">
        <v>1</v>
      </c>
      <c r="E442" s="13">
        <v>2</v>
      </c>
    </row>
    <row r="443" spans="1:5" x14ac:dyDescent="0.3">
      <c r="A443" s="13" t="s">
        <v>0</v>
      </c>
      <c r="B443" s="13" t="s">
        <v>1884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2093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2179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678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1083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819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387</v>
      </c>
      <c r="C449" s="13">
        <v>1</v>
      </c>
      <c r="D449" s="13">
        <v>1</v>
      </c>
      <c r="E449" s="13">
        <v>2</v>
      </c>
    </row>
    <row r="450" spans="1:5" x14ac:dyDescent="0.3">
      <c r="A450" s="13" t="s">
        <v>0</v>
      </c>
      <c r="B450" s="13" t="s">
        <v>95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2531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389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2272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1342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915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1457</v>
      </c>
      <c r="C456" s="13">
        <v>2</v>
      </c>
      <c r="D456" s="13">
        <v>1</v>
      </c>
      <c r="E456" s="13">
        <v>3</v>
      </c>
    </row>
    <row r="457" spans="1:5" x14ac:dyDescent="0.3">
      <c r="A457" s="13" t="s">
        <v>0</v>
      </c>
      <c r="B457" s="13" t="s">
        <v>564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102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309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1386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105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0</v>
      </c>
      <c r="B462" s="13" t="s">
        <v>1301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0</v>
      </c>
      <c r="B463" s="13" t="s">
        <v>1094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1129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164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0</v>
      </c>
      <c r="B466" s="13" t="s">
        <v>1186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0</v>
      </c>
      <c r="B467" s="13" t="s">
        <v>195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0</v>
      </c>
      <c r="B468" s="13" t="s">
        <v>1096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0</v>
      </c>
      <c r="B469" s="13" t="s">
        <v>1257</v>
      </c>
      <c r="C469" s="13">
        <v>1</v>
      </c>
      <c r="D469" s="13">
        <v>1</v>
      </c>
      <c r="E469" s="13">
        <v>3</v>
      </c>
    </row>
    <row r="470" spans="1:5" x14ac:dyDescent="0.3">
      <c r="A470" s="13" t="s">
        <v>0</v>
      </c>
      <c r="B470" s="13" t="s">
        <v>941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0</v>
      </c>
      <c r="B471" s="13" t="s">
        <v>167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0</v>
      </c>
      <c r="B472" s="13" t="s">
        <v>170</v>
      </c>
      <c r="C472" s="13">
        <v>1</v>
      </c>
      <c r="D472" s="13">
        <v>1</v>
      </c>
      <c r="E472" s="13">
        <v>1</v>
      </c>
    </row>
    <row r="473" spans="1:5" x14ac:dyDescent="0.3">
      <c r="A473" s="13" t="s">
        <v>0</v>
      </c>
      <c r="B473" s="13" t="s">
        <v>171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0</v>
      </c>
      <c r="B474" s="13" t="s">
        <v>735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0</v>
      </c>
      <c r="B475" s="13" t="s">
        <v>319</v>
      </c>
      <c r="C475" s="13">
        <v>1</v>
      </c>
      <c r="D475" s="13">
        <v>1</v>
      </c>
      <c r="E475" s="13">
        <v>1</v>
      </c>
    </row>
    <row r="476" spans="1:5" x14ac:dyDescent="0.3">
      <c r="A476" s="13" t="s">
        <v>0</v>
      </c>
      <c r="B476" s="13" t="s">
        <v>2532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0</v>
      </c>
      <c r="B477" s="13" t="s">
        <v>835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0</v>
      </c>
      <c r="B478" s="13" t="s">
        <v>114</v>
      </c>
      <c r="C478" s="13">
        <v>1</v>
      </c>
      <c r="D478" s="13">
        <v>1</v>
      </c>
      <c r="E478" s="13">
        <v>1</v>
      </c>
    </row>
    <row r="479" spans="1:5" x14ac:dyDescent="0.3">
      <c r="A479" s="13" t="s">
        <v>0</v>
      </c>
      <c r="B479" s="13" t="s">
        <v>648</v>
      </c>
      <c r="C479" s="13">
        <v>1</v>
      </c>
      <c r="D479" s="13">
        <v>1</v>
      </c>
      <c r="E479" s="13">
        <v>1</v>
      </c>
    </row>
    <row r="480" spans="1:5" x14ac:dyDescent="0.3">
      <c r="A480" s="13" t="s">
        <v>0</v>
      </c>
      <c r="B480" s="13" t="s">
        <v>836</v>
      </c>
      <c r="C480" s="13">
        <v>1</v>
      </c>
      <c r="D480" s="13">
        <v>1</v>
      </c>
      <c r="E480" s="13">
        <v>1</v>
      </c>
    </row>
    <row r="481" spans="1:5" x14ac:dyDescent="0.3">
      <c r="A481" s="13" t="s">
        <v>0</v>
      </c>
      <c r="B481" s="13" t="s">
        <v>1902</v>
      </c>
      <c r="C481" s="13">
        <v>1</v>
      </c>
      <c r="D481" s="13">
        <v>1</v>
      </c>
      <c r="E481" s="13">
        <v>1</v>
      </c>
    </row>
    <row r="482" spans="1:5" x14ac:dyDescent="0.3">
      <c r="A482" s="13" t="s">
        <v>0</v>
      </c>
      <c r="B482" s="13" t="s">
        <v>376</v>
      </c>
      <c r="C482" s="13">
        <v>1</v>
      </c>
      <c r="D482" s="13">
        <v>1</v>
      </c>
      <c r="E482" s="13">
        <v>1</v>
      </c>
    </row>
    <row r="483" spans="1:5" x14ac:dyDescent="0.3">
      <c r="A483" s="13" t="s">
        <v>0</v>
      </c>
      <c r="B483" s="13" t="s">
        <v>1285</v>
      </c>
      <c r="C483" s="13">
        <v>1</v>
      </c>
      <c r="D483" s="13">
        <v>1</v>
      </c>
      <c r="E483" s="13">
        <v>1</v>
      </c>
    </row>
    <row r="484" spans="1:5" x14ac:dyDescent="0.3">
      <c r="A484" s="13" t="s">
        <v>0</v>
      </c>
      <c r="B484" s="13" t="s">
        <v>331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0</v>
      </c>
      <c r="B485" s="13" t="s">
        <v>333</v>
      </c>
      <c r="C485" s="13">
        <v>1</v>
      </c>
      <c r="D485" s="13">
        <v>1</v>
      </c>
      <c r="E485" s="13">
        <v>1</v>
      </c>
    </row>
    <row r="486" spans="1:5" x14ac:dyDescent="0.3">
      <c r="A486" s="13" t="s">
        <v>0</v>
      </c>
      <c r="B486" s="13" t="s">
        <v>121</v>
      </c>
      <c r="C486" s="13">
        <v>1</v>
      </c>
      <c r="D486" s="13">
        <v>1</v>
      </c>
      <c r="E486" s="13">
        <v>1</v>
      </c>
    </row>
    <row r="487" spans="1:5" x14ac:dyDescent="0.3">
      <c r="A487" s="13" t="s">
        <v>0</v>
      </c>
      <c r="B487" s="13" t="s">
        <v>174</v>
      </c>
      <c r="C487" s="13">
        <v>1</v>
      </c>
      <c r="D487" s="13">
        <v>1</v>
      </c>
      <c r="E487" s="13">
        <v>1</v>
      </c>
    </row>
    <row r="488" spans="1:5" x14ac:dyDescent="0.3">
      <c r="A488" s="13" t="s">
        <v>0</v>
      </c>
      <c r="B488" s="13" t="s">
        <v>290</v>
      </c>
      <c r="C488" s="13">
        <v>1</v>
      </c>
      <c r="D488" s="13">
        <v>1</v>
      </c>
      <c r="E488" s="13">
        <v>1</v>
      </c>
    </row>
    <row r="489" spans="1:5" x14ac:dyDescent="0.3">
      <c r="A489" s="13" t="s">
        <v>0</v>
      </c>
      <c r="B489" s="13" t="s">
        <v>177</v>
      </c>
      <c r="C489" s="13">
        <v>1</v>
      </c>
      <c r="D489" s="13">
        <v>1</v>
      </c>
      <c r="E489" s="13">
        <v>1</v>
      </c>
    </row>
    <row r="490" spans="1:5" x14ac:dyDescent="0.3">
      <c r="A490" s="13" t="s">
        <v>0</v>
      </c>
      <c r="B490" s="13" t="s">
        <v>536</v>
      </c>
      <c r="C490" s="13">
        <v>1</v>
      </c>
      <c r="D490" s="13">
        <v>1</v>
      </c>
      <c r="E490" s="13">
        <v>1</v>
      </c>
    </row>
    <row r="491" spans="1:5" x14ac:dyDescent="0.3">
      <c r="A491" s="13" t="s">
        <v>0</v>
      </c>
      <c r="B491" s="13" t="s">
        <v>178</v>
      </c>
      <c r="C491" s="13">
        <v>1</v>
      </c>
      <c r="D491" s="13">
        <v>1</v>
      </c>
      <c r="E491" s="13">
        <v>1</v>
      </c>
    </row>
    <row r="492" spans="1:5" x14ac:dyDescent="0.3">
      <c r="A492" s="13" t="s">
        <v>0</v>
      </c>
      <c r="B492" s="13" t="s">
        <v>2533</v>
      </c>
      <c r="C492" s="13">
        <v>1</v>
      </c>
      <c r="D492" s="13">
        <v>1</v>
      </c>
      <c r="E492" s="13">
        <v>1</v>
      </c>
    </row>
    <row r="493" spans="1:5" x14ac:dyDescent="0.3">
      <c r="A493" s="13" t="s">
        <v>0</v>
      </c>
      <c r="B493" s="13" t="s">
        <v>2294</v>
      </c>
      <c r="C493" s="13">
        <v>1</v>
      </c>
      <c r="D493" s="13">
        <v>1</v>
      </c>
      <c r="E493" s="13">
        <v>1</v>
      </c>
    </row>
    <row r="494" spans="1:5" x14ac:dyDescent="0.3">
      <c r="A494" s="13" t="s">
        <v>0</v>
      </c>
      <c r="B494" s="13" t="s">
        <v>413</v>
      </c>
      <c r="C494" s="13">
        <v>1</v>
      </c>
      <c r="D494" s="13">
        <v>1</v>
      </c>
      <c r="E494" s="13">
        <v>1</v>
      </c>
    </row>
    <row r="495" spans="1:5" x14ac:dyDescent="0.3">
      <c r="A495" s="13" t="s">
        <v>0</v>
      </c>
      <c r="B495" s="13" t="s">
        <v>179</v>
      </c>
      <c r="C495" s="13">
        <v>1</v>
      </c>
      <c r="D495" s="13">
        <v>1</v>
      </c>
      <c r="E495" s="13">
        <v>1</v>
      </c>
    </row>
    <row r="496" spans="1:5" x14ac:dyDescent="0.3">
      <c r="A496" s="13" t="s">
        <v>0</v>
      </c>
      <c r="B496" s="13" t="s">
        <v>957</v>
      </c>
      <c r="C496" s="13">
        <v>1</v>
      </c>
      <c r="D496" s="13">
        <v>1</v>
      </c>
      <c r="E496" s="13">
        <v>1</v>
      </c>
    </row>
    <row r="497" spans="1:5" x14ac:dyDescent="0.3">
      <c r="A497" s="13" t="s">
        <v>0</v>
      </c>
      <c r="B497" s="13" t="s">
        <v>975</v>
      </c>
      <c r="C497" s="13">
        <v>1</v>
      </c>
      <c r="D497" s="13">
        <v>1</v>
      </c>
      <c r="E497" s="13">
        <v>1</v>
      </c>
    </row>
    <row r="498" spans="1:5" x14ac:dyDescent="0.3">
      <c r="A498" s="13" t="s">
        <v>0</v>
      </c>
      <c r="B498" s="13" t="s">
        <v>339</v>
      </c>
      <c r="C498" s="13">
        <v>1</v>
      </c>
      <c r="D498" s="13">
        <v>1</v>
      </c>
      <c r="E498" s="13">
        <v>1</v>
      </c>
    </row>
    <row r="499" spans="1:5" x14ac:dyDescent="0.3">
      <c r="A499" s="13" t="s">
        <v>0</v>
      </c>
      <c r="B499" s="13" t="s">
        <v>1152</v>
      </c>
      <c r="C499" s="13">
        <v>1</v>
      </c>
      <c r="D499" s="13">
        <v>1</v>
      </c>
      <c r="E499" s="13">
        <v>1</v>
      </c>
    </row>
    <row r="500" spans="1:5" x14ac:dyDescent="0.3">
      <c r="A500" s="13" t="s">
        <v>0</v>
      </c>
      <c r="B500" s="13" t="s">
        <v>747</v>
      </c>
      <c r="C500" s="13">
        <v>1</v>
      </c>
      <c r="D500" s="13">
        <v>1</v>
      </c>
      <c r="E500" s="13">
        <v>1</v>
      </c>
    </row>
    <row r="501" spans="1:5" x14ac:dyDescent="0.3">
      <c r="A501" s="13" t="s">
        <v>0</v>
      </c>
      <c r="B501" s="13" t="s">
        <v>253</v>
      </c>
      <c r="C501" s="13">
        <v>1</v>
      </c>
      <c r="D501" s="13">
        <v>1</v>
      </c>
      <c r="E501" s="13">
        <v>1</v>
      </c>
    </row>
    <row r="502" spans="1:5" x14ac:dyDescent="0.3">
      <c r="A502" s="13" t="s">
        <v>0</v>
      </c>
      <c r="B502" s="13" t="s">
        <v>1223</v>
      </c>
      <c r="C502" s="13">
        <v>1</v>
      </c>
      <c r="D502" s="13">
        <v>1</v>
      </c>
      <c r="E502" s="13">
        <v>1</v>
      </c>
    </row>
    <row r="503" spans="1:5" x14ac:dyDescent="0.3">
      <c r="A503" s="13" t="s">
        <v>0</v>
      </c>
      <c r="B503" s="13" t="s">
        <v>1153</v>
      </c>
      <c r="C503" s="13">
        <v>1</v>
      </c>
      <c r="D503" s="13">
        <v>1</v>
      </c>
      <c r="E503" s="13">
        <v>1</v>
      </c>
    </row>
    <row r="504" spans="1:5" x14ac:dyDescent="0.3">
      <c r="A504" s="13" t="s">
        <v>0</v>
      </c>
      <c r="B504" s="13" t="s">
        <v>295</v>
      </c>
      <c r="C504" s="13">
        <v>1</v>
      </c>
      <c r="D504" s="13">
        <v>1</v>
      </c>
      <c r="E504" s="13">
        <v>1</v>
      </c>
    </row>
    <row r="505" spans="1:5" x14ac:dyDescent="0.3">
      <c r="A505" s="13" t="s">
        <v>0</v>
      </c>
      <c r="B505" s="13" t="s">
        <v>132</v>
      </c>
      <c r="C505" s="13">
        <v>1</v>
      </c>
      <c r="D505" s="13">
        <v>1</v>
      </c>
      <c r="E505" s="13">
        <v>1</v>
      </c>
    </row>
    <row r="506" spans="1:5" x14ac:dyDescent="0.3">
      <c r="A506" s="13" t="s">
        <v>0</v>
      </c>
      <c r="B506" s="13" t="s">
        <v>1641</v>
      </c>
      <c r="C506" s="13">
        <v>1</v>
      </c>
      <c r="D506" s="13">
        <v>1</v>
      </c>
      <c r="E506" s="13">
        <v>1</v>
      </c>
    </row>
    <row r="507" spans="1:5" x14ac:dyDescent="0.3">
      <c r="A507" s="13" t="s">
        <v>0</v>
      </c>
      <c r="B507" s="13" t="s">
        <v>365</v>
      </c>
      <c r="C507" s="13">
        <v>1</v>
      </c>
      <c r="D507" s="13">
        <v>1</v>
      </c>
      <c r="E507" s="13">
        <v>1</v>
      </c>
    </row>
    <row r="508" spans="1:5" x14ac:dyDescent="0.3">
      <c r="A508" s="13" t="s">
        <v>0</v>
      </c>
      <c r="B508" s="13" t="s">
        <v>640</v>
      </c>
      <c r="C508" s="13">
        <v>1</v>
      </c>
      <c r="D508" s="13">
        <v>1</v>
      </c>
      <c r="E508" s="13">
        <v>1</v>
      </c>
    </row>
    <row r="509" spans="1:5" x14ac:dyDescent="0.3">
      <c r="A509" s="13" t="s">
        <v>0</v>
      </c>
      <c r="B509" s="13" t="s">
        <v>371</v>
      </c>
      <c r="C509" s="13">
        <v>1</v>
      </c>
      <c r="D509" s="13">
        <v>1</v>
      </c>
      <c r="E509" s="13">
        <v>1</v>
      </c>
    </row>
    <row r="510" spans="1:5" x14ac:dyDescent="0.3">
      <c r="A510" s="13" t="s">
        <v>0</v>
      </c>
      <c r="B510" s="13" t="s">
        <v>259</v>
      </c>
      <c r="C510" s="13">
        <v>1</v>
      </c>
      <c r="D510" s="13">
        <v>1</v>
      </c>
      <c r="E510" s="13">
        <v>1</v>
      </c>
    </row>
    <row r="511" spans="1:5" x14ac:dyDescent="0.3">
      <c r="A511" s="13" t="s">
        <v>0</v>
      </c>
      <c r="B511" s="13" t="s">
        <v>641</v>
      </c>
      <c r="C511" s="13">
        <v>1</v>
      </c>
      <c r="D511" s="13">
        <v>1</v>
      </c>
      <c r="E511" s="13"/>
    </row>
    <row r="512" spans="1:5" x14ac:dyDescent="0.3">
      <c r="A512" s="13" t="s">
        <v>2</v>
      </c>
      <c r="B512" s="13" t="s">
        <v>928</v>
      </c>
      <c r="C512" s="13">
        <v>1</v>
      </c>
      <c r="D512" s="13">
        <v>1</v>
      </c>
      <c r="E512" s="13">
        <v>1</v>
      </c>
    </row>
    <row r="513" spans="1:5" x14ac:dyDescent="0.3">
      <c r="A513" s="13" t="s">
        <v>2</v>
      </c>
      <c r="B513" s="13" t="s">
        <v>593</v>
      </c>
      <c r="C513" s="13">
        <v>1</v>
      </c>
      <c r="D513" s="13">
        <v>1</v>
      </c>
      <c r="E513" s="13">
        <v>1</v>
      </c>
    </row>
    <row r="514" spans="1:5" x14ac:dyDescent="0.3">
      <c r="A514" s="13" t="s">
        <v>2</v>
      </c>
      <c r="B514" s="13" t="s">
        <v>206</v>
      </c>
      <c r="C514" s="13">
        <v>1</v>
      </c>
      <c r="D514" s="13">
        <v>1</v>
      </c>
      <c r="E514" s="13">
        <v>1</v>
      </c>
    </row>
    <row r="515" spans="1:5" x14ac:dyDescent="0.3">
      <c r="A515" s="13" t="s">
        <v>2</v>
      </c>
      <c r="B515" s="13" t="s">
        <v>151</v>
      </c>
      <c r="C515" s="13">
        <v>1</v>
      </c>
      <c r="D515" s="13">
        <v>1</v>
      </c>
      <c r="E515" s="13">
        <v>2</v>
      </c>
    </row>
    <row r="516" spans="1:5" x14ac:dyDescent="0.3">
      <c r="A516" s="13" t="s">
        <v>2</v>
      </c>
      <c r="B516" s="13" t="s">
        <v>1741</v>
      </c>
      <c r="C516" s="13">
        <v>1</v>
      </c>
      <c r="D516" s="13">
        <v>1</v>
      </c>
      <c r="E516" s="13">
        <v>1</v>
      </c>
    </row>
    <row r="517" spans="1:5" x14ac:dyDescent="0.3">
      <c r="A517" s="13" t="s">
        <v>2</v>
      </c>
      <c r="B517" s="13" t="s">
        <v>1888</v>
      </c>
      <c r="C517" s="13">
        <v>1</v>
      </c>
      <c r="D517" s="13">
        <v>1</v>
      </c>
      <c r="E517" s="13">
        <v>1</v>
      </c>
    </row>
    <row r="518" spans="1:5" x14ac:dyDescent="0.3">
      <c r="A518" s="13" t="s">
        <v>2</v>
      </c>
      <c r="B518" s="13" t="s">
        <v>2408</v>
      </c>
      <c r="C518" s="13">
        <v>1</v>
      </c>
      <c r="D518" s="13">
        <v>1</v>
      </c>
      <c r="E518" s="13">
        <v>3</v>
      </c>
    </row>
    <row r="519" spans="1:5" x14ac:dyDescent="0.3">
      <c r="A519" s="13" t="s">
        <v>2</v>
      </c>
      <c r="B519" s="13" t="s">
        <v>258</v>
      </c>
      <c r="C519" s="13">
        <v>1</v>
      </c>
      <c r="D519" s="13">
        <v>1</v>
      </c>
      <c r="E519" s="13">
        <v>1</v>
      </c>
    </row>
    <row r="520" spans="1:5" x14ac:dyDescent="0.3">
      <c r="A520" s="13" t="s">
        <v>2</v>
      </c>
      <c r="B520" s="13" t="s">
        <v>1107</v>
      </c>
      <c r="C520" s="13">
        <v>1</v>
      </c>
      <c r="D520" s="13">
        <v>1</v>
      </c>
      <c r="E520" s="13">
        <v>1</v>
      </c>
    </row>
    <row r="521" spans="1:5" x14ac:dyDescent="0.3">
      <c r="A521" s="13" t="s">
        <v>2</v>
      </c>
      <c r="B521" s="13" t="s">
        <v>226</v>
      </c>
      <c r="C521" s="13">
        <v>1</v>
      </c>
      <c r="D521" s="13">
        <v>1</v>
      </c>
      <c r="E521" s="13">
        <v>1</v>
      </c>
    </row>
    <row r="522" spans="1:5" x14ac:dyDescent="0.3">
      <c r="A522" s="13" t="s">
        <v>2</v>
      </c>
      <c r="B522" s="13" t="s">
        <v>1742</v>
      </c>
      <c r="C522" s="13">
        <v>1</v>
      </c>
      <c r="D522" s="13">
        <v>1</v>
      </c>
      <c r="E522" s="13">
        <v>1</v>
      </c>
    </row>
    <row r="523" spans="1:5" x14ac:dyDescent="0.3">
      <c r="A523" s="13" t="s">
        <v>2</v>
      </c>
      <c r="B523" s="13" t="s">
        <v>838</v>
      </c>
      <c r="C523" s="13">
        <v>1</v>
      </c>
      <c r="D523" s="13">
        <v>1</v>
      </c>
      <c r="E523" s="13">
        <v>1</v>
      </c>
    </row>
    <row r="524" spans="1:5" x14ac:dyDescent="0.3">
      <c r="A524" s="13" t="s">
        <v>2</v>
      </c>
      <c r="B524" s="13" t="s">
        <v>63</v>
      </c>
      <c r="C524" s="13">
        <v>1</v>
      </c>
      <c r="D524" s="13">
        <v>1</v>
      </c>
      <c r="E524" s="13">
        <v>1</v>
      </c>
    </row>
    <row r="525" spans="1:5" x14ac:dyDescent="0.3">
      <c r="A525" s="13" t="s">
        <v>2</v>
      </c>
      <c r="B525" s="13" t="s">
        <v>1199</v>
      </c>
      <c r="C525" s="13">
        <v>1</v>
      </c>
      <c r="D525" s="13">
        <v>1</v>
      </c>
      <c r="E525" s="13">
        <v>1</v>
      </c>
    </row>
    <row r="526" spans="1:5" x14ac:dyDescent="0.3">
      <c r="A526" s="13" t="s">
        <v>1</v>
      </c>
      <c r="B526" s="13" t="s">
        <v>198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807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343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1350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239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443</v>
      </c>
      <c r="C531" s="13">
        <v>1</v>
      </c>
      <c r="D531" s="13">
        <v>0</v>
      </c>
      <c r="E531" s="13">
        <v>0</v>
      </c>
    </row>
    <row r="532" spans="1:5" x14ac:dyDescent="0.3">
      <c r="A532" s="13" t="s">
        <v>1</v>
      </c>
      <c r="B532" s="13" t="s">
        <v>261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927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555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2534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203</v>
      </c>
      <c r="C536" s="13">
        <v>2</v>
      </c>
      <c r="D536" s="13">
        <v>0</v>
      </c>
      <c r="E536" s="13">
        <v>2</v>
      </c>
    </row>
    <row r="537" spans="1:5" x14ac:dyDescent="0.3">
      <c r="A537" s="13" t="s">
        <v>1</v>
      </c>
      <c r="B537" s="13" t="s">
        <v>1515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592</v>
      </c>
      <c r="C538" s="13">
        <v>1</v>
      </c>
      <c r="D538" s="13">
        <v>0</v>
      </c>
      <c r="E538" s="13">
        <v>0</v>
      </c>
    </row>
    <row r="539" spans="1:5" x14ac:dyDescent="0.3">
      <c r="A539" s="13" t="s">
        <v>1</v>
      </c>
      <c r="B539" s="13" t="s">
        <v>497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242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2405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348</v>
      </c>
      <c r="C542" s="13">
        <v>3</v>
      </c>
      <c r="D542" s="13">
        <v>0</v>
      </c>
      <c r="E542" s="13">
        <v>4</v>
      </c>
    </row>
    <row r="543" spans="1:5" x14ac:dyDescent="0.3">
      <c r="A543" s="13" t="s">
        <v>1</v>
      </c>
      <c r="B543" s="13" t="s">
        <v>1208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269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2073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2535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1472</v>
      </c>
      <c r="C547" s="13">
        <v>3</v>
      </c>
      <c r="D547" s="13">
        <v>0</v>
      </c>
      <c r="E547" s="13">
        <v>4</v>
      </c>
    </row>
    <row r="548" spans="1:5" x14ac:dyDescent="0.3">
      <c r="A548" s="13" t="s">
        <v>1</v>
      </c>
      <c r="B548" s="13" t="s">
        <v>1539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2536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386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2288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85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2537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1978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1727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609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994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995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818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1779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246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194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450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677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1020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888</v>
      </c>
      <c r="C566" s="13">
        <v>2</v>
      </c>
      <c r="D566" s="13">
        <v>0</v>
      </c>
      <c r="E566" s="13">
        <v>2</v>
      </c>
    </row>
    <row r="567" spans="1:5" x14ac:dyDescent="0.3">
      <c r="A567" s="13" t="s">
        <v>1</v>
      </c>
      <c r="B567" s="13" t="s">
        <v>856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1492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1570</v>
      </c>
      <c r="C569" s="13">
        <v>1</v>
      </c>
      <c r="D569" s="13">
        <v>0</v>
      </c>
      <c r="E569" s="13">
        <v>2</v>
      </c>
    </row>
    <row r="570" spans="1:5" x14ac:dyDescent="0.3">
      <c r="A570" s="13" t="s">
        <v>1</v>
      </c>
      <c r="B570" s="13" t="s">
        <v>1669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1668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1738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1752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1761</v>
      </c>
      <c r="C574" s="13">
        <v>2</v>
      </c>
      <c r="D574" s="13">
        <v>0</v>
      </c>
      <c r="E574" s="13">
        <v>2</v>
      </c>
    </row>
    <row r="575" spans="1:5" x14ac:dyDescent="0.3">
      <c r="A575" s="13" t="s">
        <v>1</v>
      </c>
      <c r="B575" s="13" t="s">
        <v>1852</v>
      </c>
      <c r="C575" s="13">
        <v>3</v>
      </c>
      <c r="D575" s="13">
        <v>0</v>
      </c>
      <c r="E575" s="13">
        <v>3</v>
      </c>
    </row>
    <row r="576" spans="1:5" x14ac:dyDescent="0.3">
      <c r="A576" s="13" t="s">
        <v>1</v>
      </c>
      <c r="B576" s="13" t="s">
        <v>1854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1906</v>
      </c>
      <c r="C577" s="13">
        <v>3</v>
      </c>
      <c r="D577" s="13">
        <v>0</v>
      </c>
      <c r="E577" s="13">
        <v>3</v>
      </c>
    </row>
    <row r="578" spans="1:5" x14ac:dyDescent="0.3">
      <c r="A578" s="13" t="s">
        <v>1</v>
      </c>
      <c r="B578" s="13" t="s">
        <v>1888</v>
      </c>
      <c r="C578" s="13">
        <v>3</v>
      </c>
      <c r="D578" s="13">
        <v>0</v>
      </c>
      <c r="E578" s="13">
        <v>4</v>
      </c>
    </row>
    <row r="579" spans="1:5" x14ac:dyDescent="0.3">
      <c r="A579" s="13" t="s">
        <v>1</v>
      </c>
      <c r="B579" s="13" t="s">
        <v>1907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1884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1899</v>
      </c>
      <c r="C581" s="13">
        <v>2</v>
      </c>
      <c r="D581" s="13">
        <v>0</v>
      </c>
      <c r="E581" s="13">
        <v>2</v>
      </c>
    </row>
    <row r="582" spans="1:5" x14ac:dyDescent="0.3">
      <c r="A582" s="13" t="s">
        <v>1</v>
      </c>
      <c r="B582" s="13" t="s">
        <v>2024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1928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1909</v>
      </c>
      <c r="C584" s="13">
        <v>2</v>
      </c>
      <c r="D584" s="13">
        <v>0</v>
      </c>
      <c r="E584" s="13">
        <v>2</v>
      </c>
    </row>
    <row r="585" spans="1:5" x14ac:dyDescent="0.3">
      <c r="A585" s="13" t="s">
        <v>1</v>
      </c>
      <c r="B585" s="13" t="s">
        <v>1969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2138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2156</v>
      </c>
      <c r="C587" s="13">
        <v>2</v>
      </c>
      <c r="D587" s="13">
        <v>0</v>
      </c>
      <c r="E587" s="13">
        <v>2</v>
      </c>
    </row>
    <row r="588" spans="1:5" x14ac:dyDescent="0.3">
      <c r="A588" s="13" t="s">
        <v>1</v>
      </c>
      <c r="B588" s="13" t="s">
        <v>2162</v>
      </c>
      <c r="C588" s="13">
        <v>3</v>
      </c>
      <c r="D588" s="13">
        <v>0</v>
      </c>
      <c r="E588" s="13">
        <v>4</v>
      </c>
    </row>
    <row r="589" spans="1:5" x14ac:dyDescent="0.3">
      <c r="A589" s="13" t="s">
        <v>1</v>
      </c>
      <c r="B589" s="13" t="s">
        <v>2164</v>
      </c>
      <c r="C589" s="13">
        <v>3</v>
      </c>
      <c r="D589" s="13">
        <v>0</v>
      </c>
      <c r="E589" s="13">
        <v>3</v>
      </c>
    </row>
    <row r="590" spans="1:5" x14ac:dyDescent="0.3">
      <c r="A590" s="13" t="s">
        <v>1</v>
      </c>
      <c r="B590" s="13" t="s">
        <v>2407</v>
      </c>
      <c r="C590" s="13">
        <v>2</v>
      </c>
      <c r="D590" s="13">
        <v>0</v>
      </c>
      <c r="E590" s="13">
        <v>2</v>
      </c>
    </row>
    <row r="591" spans="1:5" x14ac:dyDescent="0.3">
      <c r="A591" s="13" t="s">
        <v>1</v>
      </c>
      <c r="B591" s="13" t="s">
        <v>1590</v>
      </c>
      <c r="C591" s="13">
        <v>1</v>
      </c>
      <c r="D591" s="13">
        <v>0</v>
      </c>
      <c r="E591" s="13">
        <v>2</v>
      </c>
    </row>
    <row r="592" spans="1:5" x14ac:dyDescent="0.3">
      <c r="A592" s="13" t="s">
        <v>1</v>
      </c>
      <c r="B592" s="13" t="s">
        <v>2538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1311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1387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822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106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1165</v>
      </c>
      <c r="C597" s="13">
        <v>1</v>
      </c>
      <c r="D597" s="13">
        <v>0</v>
      </c>
      <c r="E597" s="13">
        <v>2</v>
      </c>
    </row>
    <row r="598" spans="1:5" x14ac:dyDescent="0.3">
      <c r="A598" s="13" t="s">
        <v>1</v>
      </c>
      <c r="B598" s="13" t="s">
        <v>2539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44</v>
      </c>
      <c r="C599" s="13">
        <v>1</v>
      </c>
      <c r="D599" s="13">
        <v>0</v>
      </c>
      <c r="E599" s="13">
        <v>2</v>
      </c>
    </row>
    <row r="600" spans="1:5" x14ac:dyDescent="0.3">
      <c r="A600" s="13" t="s">
        <v>1</v>
      </c>
      <c r="B600" s="13" t="s">
        <v>920</v>
      </c>
      <c r="C600" s="13">
        <v>1</v>
      </c>
      <c r="D600" s="13">
        <v>0</v>
      </c>
      <c r="E600" s="13">
        <v>2</v>
      </c>
    </row>
    <row r="601" spans="1:5" x14ac:dyDescent="0.3">
      <c r="A601" s="13" t="s">
        <v>1</v>
      </c>
      <c r="B601" s="13" t="s">
        <v>430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316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970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1006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284</v>
      </c>
      <c r="C605" s="13">
        <v>1</v>
      </c>
      <c r="D605" s="13">
        <v>0</v>
      </c>
      <c r="E605" s="13">
        <v>1</v>
      </c>
    </row>
    <row r="606" spans="1:5" x14ac:dyDescent="0.3">
      <c r="A606" s="13" t="s">
        <v>1</v>
      </c>
      <c r="B606" s="13" t="s">
        <v>570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864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833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697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2415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1</v>
      </c>
      <c r="B611" s="13" t="s">
        <v>627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403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1038</v>
      </c>
      <c r="C613" s="13">
        <v>1</v>
      </c>
      <c r="D613" s="13">
        <v>0</v>
      </c>
      <c r="E613" s="13">
        <v>3</v>
      </c>
    </row>
    <row r="614" spans="1:5" x14ac:dyDescent="0.3">
      <c r="A614" s="13" t="s">
        <v>1</v>
      </c>
      <c r="B614" s="13" t="s">
        <v>1039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1</v>
      </c>
      <c r="B615" s="13" t="s">
        <v>289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1</v>
      </c>
      <c r="B616" s="13" t="s">
        <v>837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1</v>
      </c>
      <c r="B617" s="13" t="s">
        <v>1168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1024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330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1</v>
      </c>
      <c r="B620" s="13" t="s">
        <v>196</v>
      </c>
      <c r="C620" s="13">
        <v>2</v>
      </c>
      <c r="D620" s="13">
        <v>0</v>
      </c>
      <c r="E620" s="13">
        <v>2</v>
      </c>
    </row>
    <row r="621" spans="1:5" x14ac:dyDescent="0.3">
      <c r="A621" s="14" t="s">
        <v>1</v>
      </c>
      <c r="B621" s="14" t="s">
        <v>838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407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1</v>
      </c>
      <c r="B623" s="14" t="s">
        <v>409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2540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1</v>
      </c>
      <c r="B625" s="14" t="s">
        <v>633</v>
      </c>
      <c r="C625" s="14">
        <v>1</v>
      </c>
      <c r="D625" s="14">
        <v>0</v>
      </c>
      <c r="E625" s="14">
        <v>1</v>
      </c>
    </row>
    <row r="626" spans="1:5" x14ac:dyDescent="0.3">
      <c r="A626" s="14" t="s">
        <v>1</v>
      </c>
      <c r="B626" s="14" t="s">
        <v>664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1</v>
      </c>
      <c r="B627" s="14" t="s">
        <v>1707</v>
      </c>
      <c r="C627" s="14">
        <v>1</v>
      </c>
      <c r="D627" s="14">
        <v>0</v>
      </c>
      <c r="E627" s="14">
        <v>1</v>
      </c>
    </row>
    <row r="628" spans="1:5" x14ac:dyDescent="0.3">
      <c r="A628" s="14" t="s">
        <v>1</v>
      </c>
      <c r="B628" s="14" t="s">
        <v>1912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1</v>
      </c>
      <c r="B629" s="14" t="s">
        <v>907</v>
      </c>
      <c r="C629" s="14">
        <v>1</v>
      </c>
      <c r="D629" s="14">
        <v>0</v>
      </c>
      <c r="E629" s="14">
        <v>1</v>
      </c>
    </row>
    <row r="630" spans="1:5" x14ac:dyDescent="0.3">
      <c r="A630" s="14" t="s">
        <v>1</v>
      </c>
      <c r="B630" s="14" t="s">
        <v>184</v>
      </c>
      <c r="C630" s="14">
        <v>1</v>
      </c>
      <c r="D630" s="14">
        <v>0</v>
      </c>
      <c r="E630" s="14">
        <v>1</v>
      </c>
    </row>
    <row r="631" spans="1:5" x14ac:dyDescent="0.3">
      <c r="A631" s="14" t="s">
        <v>1</v>
      </c>
      <c r="B631" s="14" t="s">
        <v>781</v>
      </c>
      <c r="C631" s="14">
        <v>1</v>
      </c>
      <c r="D631" s="14">
        <v>0</v>
      </c>
      <c r="E631" s="14">
        <v>2</v>
      </c>
    </row>
    <row r="632" spans="1:5" x14ac:dyDescent="0.3">
      <c r="A632" s="14" t="s">
        <v>1</v>
      </c>
      <c r="B632" s="14" t="s">
        <v>481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197</v>
      </c>
      <c r="C633" s="14">
        <v>1</v>
      </c>
      <c r="D633" s="14">
        <v>0</v>
      </c>
      <c r="E633" s="14">
        <v>0</v>
      </c>
    </row>
    <row r="634" spans="1:5" x14ac:dyDescent="0.3">
      <c r="A634" s="14" t="s">
        <v>1</v>
      </c>
      <c r="B634" s="14" t="s">
        <v>439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1</v>
      </c>
      <c r="B635" s="14" t="s">
        <v>1223</v>
      </c>
      <c r="C635" s="14">
        <v>1</v>
      </c>
      <c r="D635" s="14">
        <v>0</v>
      </c>
      <c r="E635" s="14">
        <v>3</v>
      </c>
    </row>
    <row r="636" spans="1:5" x14ac:dyDescent="0.3">
      <c r="A636" s="14" t="s">
        <v>1</v>
      </c>
      <c r="B636" s="14" t="s">
        <v>1012</v>
      </c>
      <c r="C636" s="14">
        <v>1</v>
      </c>
      <c r="D636" s="14">
        <v>0</v>
      </c>
      <c r="E636" s="14">
        <v>1</v>
      </c>
    </row>
    <row r="637" spans="1:5" x14ac:dyDescent="0.3">
      <c r="A637" s="14" t="s">
        <v>1</v>
      </c>
      <c r="B637" s="14" t="s">
        <v>847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1</v>
      </c>
      <c r="B638" s="14" t="s">
        <v>441</v>
      </c>
      <c r="C638" s="14">
        <v>1</v>
      </c>
      <c r="D638" s="14">
        <v>0</v>
      </c>
      <c r="E638" s="14">
        <v>1</v>
      </c>
    </row>
    <row r="639" spans="1:5" x14ac:dyDescent="0.3">
      <c r="A639" s="14" t="s">
        <v>1</v>
      </c>
      <c r="B639" s="14" t="s">
        <v>2541</v>
      </c>
      <c r="C639" s="14">
        <v>1</v>
      </c>
      <c r="D639" s="14">
        <v>0</v>
      </c>
      <c r="E639" s="14">
        <v>1</v>
      </c>
    </row>
    <row r="640" spans="1:5" x14ac:dyDescent="0.3">
      <c r="A640" s="14" t="s">
        <v>1</v>
      </c>
      <c r="B640" s="14" t="s">
        <v>2542</v>
      </c>
      <c r="C640" s="14">
        <v>1</v>
      </c>
      <c r="D640" s="14">
        <v>0</v>
      </c>
      <c r="E640" s="14">
        <v>1</v>
      </c>
    </row>
    <row r="641" spans="1:5" x14ac:dyDescent="0.3">
      <c r="A641" s="14" t="s">
        <v>1</v>
      </c>
      <c r="B641" s="14" t="s">
        <v>717</v>
      </c>
      <c r="C641" s="14">
        <v>1</v>
      </c>
      <c r="D641" s="14">
        <v>0</v>
      </c>
      <c r="E641" s="14">
        <v>1</v>
      </c>
    </row>
    <row r="642" spans="1:5" x14ac:dyDescent="0.3">
      <c r="A642" s="14" t="s">
        <v>1</v>
      </c>
      <c r="B642" s="14" t="s">
        <v>2021</v>
      </c>
      <c r="C642" s="14">
        <v>1</v>
      </c>
      <c r="D642" s="14">
        <v>0</v>
      </c>
      <c r="E642" s="14">
        <v>1</v>
      </c>
    </row>
    <row r="643" spans="1:5" x14ac:dyDescent="0.3">
      <c r="A643" s="14" t="s">
        <v>1</v>
      </c>
      <c r="B643" s="14" t="s">
        <v>133</v>
      </c>
      <c r="C643" s="14">
        <v>1</v>
      </c>
      <c r="D643" s="14">
        <v>0</v>
      </c>
      <c r="E643" s="14">
        <v>1</v>
      </c>
    </row>
    <row r="644" spans="1:5" x14ac:dyDescent="0.3">
      <c r="A644" s="14" t="s">
        <v>1</v>
      </c>
      <c r="B644" s="14" t="s">
        <v>868</v>
      </c>
      <c r="C644" s="14">
        <v>1</v>
      </c>
      <c r="D644" s="14">
        <v>0</v>
      </c>
      <c r="E644" s="14">
        <v>1</v>
      </c>
    </row>
    <row r="645" spans="1:5" x14ac:dyDescent="0.3">
      <c r="A645" s="14" t="s">
        <v>1</v>
      </c>
      <c r="B645" s="14" t="s">
        <v>484</v>
      </c>
      <c r="C645" s="14">
        <v>1</v>
      </c>
      <c r="D645" s="14">
        <v>0</v>
      </c>
      <c r="E645" s="14">
        <v>1</v>
      </c>
    </row>
    <row r="646" spans="1:5" x14ac:dyDescent="0.3">
      <c r="A646" s="14" t="s">
        <v>1</v>
      </c>
      <c r="B646" s="14" t="s">
        <v>296</v>
      </c>
      <c r="C646" s="14">
        <v>1</v>
      </c>
      <c r="D646" s="14">
        <v>0</v>
      </c>
      <c r="E646" s="14">
        <v>4</v>
      </c>
    </row>
    <row r="647" spans="1:5" x14ac:dyDescent="0.3">
      <c r="A647" s="14" t="s">
        <v>1</v>
      </c>
      <c r="B647" s="14" t="s">
        <v>1367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1</v>
      </c>
      <c r="B648" s="14" t="s">
        <v>231</v>
      </c>
      <c r="C648" s="14">
        <v>8</v>
      </c>
      <c r="D648" s="14">
        <v>0</v>
      </c>
      <c r="E648" s="14">
        <v>14</v>
      </c>
    </row>
    <row r="649" spans="1:5" x14ac:dyDescent="0.3">
      <c r="A649" s="14" t="s">
        <v>1</v>
      </c>
      <c r="B649" s="14" t="s">
        <v>232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1</v>
      </c>
      <c r="B650" s="14" t="s">
        <v>234</v>
      </c>
      <c r="C650" s="14">
        <v>3</v>
      </c>
      <c r="D650" s="14">
        <v>0</v>
      </c>
      <c r="E650" s="14">
        <v>3</v>
      </c>
    </row>
    <row r="651" spans="1:5" x14ac:dyDescent="0.3">
      <c r="A651" s="14" t="s">
        <v>1</v>
      </c>
      <c r="B651" s="14" t="s">
        <v>235</v>
      </c>
      <c r="C651" s="14">
        <v>5</v>
      </c>
      <c r="D651" s="14">
        <v>0</v>
      </c>
      <c r="E651" s="14">
        <v>7</v>
      </c>
    </row>
    <row r="652" spans="1:5" x14ac:dyDescent="0.3">
      <c r="A652" s="14" t="s">
        <v>1</v>
      </c>
      <c r="B652" s="14" t="s">
        <v>639</v>
      </c>
      <c r="C652" s="14">
        <v>2</v>
      </c>
      <c r="D652" s="14">
        <v>0</v>
      </c>
      <c r="E652" s="14">
        <v>2</v>
      </c>
    </row>
    <row r="653" spans="1:5" x14ac:dyDescent="0.3">
      <c r="A653" s="14" t="s">
        <v>1</v>
      </c>
      <c r="B653" s="14" t="s">
        <v>55</v>
      </c>
      <c r="C653" s="14">
        <v>6</v>
      </c>
      <c r="D653" s="14">
        <v>0</v>
      </c>
      <c r="E653" s="14">
        <v>7</v>
      </c>
    </row>
    <row r="654" spans="1:5" x14ac:dyDescent="0.3">
      <c r="A654" s="14" t="s">
        <v>1</v>
      </c>
      <c r="B654" s="14" t="s">
        <v>236</v>
      </c>
      <c r="C654" s="14">
        <v>6</v>
      </c>
      <c r="D654" s="14">
        <v>0</v>
      </c>
      <c r="E654" s="14">
        <v>16</v>
      </c>
    </row>
    <row r="655" spans="1:5" x14ac:dyDescent="0.3">
      <c r="A655" s="14" t="s">
        <v>1</v>
      </c>
      <c r="B655" s="14" t="s">
        <v>640</v>
      </c>
      <c r="C655" s="14">
        <v>3</v>
      </c>
      <c r="D655" s="14">
        <v>0</v>
      </c>
      <c r="E655" s="14">
        <v>3</v>
      </c>
    </row>
    <row r="656" spans="1:5" x14ac:dyDescent="0.3">
      <c r="A656" s="14" t="s">
        <v>1</v>
      </c>
      <c r="B656" s="14" t="s">
        <v>371</v>
      </c>
      <c r="C656" s="14">
        <v>4</v>
      </c>
      <c r="D656" s="14">
        <v>0</v>
      </c>
      <c r="E656" s="14">
        <v>7</v>
      </c>
    </row>
    <row r="657" spans="1:5" x14ac:dyDescent="0.3">
      <c r="A657" s="14" t="s">
        <v>1</v>
      </c>
      <c r="B657" s="14" t="s">
        <v>366</v>
      </c>
      <c r="C657" s="14">
        <v>3</v>
      </c>
      <c r="D657" s="14">
        <v>0</v>
      </c>
      <c r="E657" s="14">
        <v>3</v>
      </c>
    </row>
    <row r="658" spans="1:5" x14ac:dyDescent="0.3">
      <c r="A658" s="14" t="s">
        <v>1</v>
      </c>
      <c r="B658" s="14" t="s">
        <v>1015</v>
      </c>
      <c r="C658" s="14">
        <v>2</v>
      </c>
      <c r="D658" s="14">
        <v>0</v>
      </c>
      <c r="E658" s="14">
        <v>2</v>
      </c>
    </row>
    <row r="659" spans="1:5" x14ac:dyDescent="0.3">
      <c r="A659" s="14" t="s">
        <v>1</v>
      </c>
      <c r="B659" s="14" t="s">
        <v>461</v>
      </c>
      <c r="C659" s="14">
        <v>3</v>
      </c>
      <c r="D659" s="14">
        <v>0</v>
      </c>
      <c r="E659" s="14">
        <v>4</v>
      </c>
    </row>
    <row r="660" spans="1:5" x14ac:dyDescent="0.3">
      <c r="A660" s="14" t="s">
        <v>1</v>
      </c>
      <c r="B660" s="14" t="s">
        <v>2543</v>
      </c>
      <c r="C660" s="14">
        <v>0</v>
      </c>
      <c r="D660" s="14">
        <v>4</v>
      </c>
    </row>
    <row r="661" spans="1:5" x14ac:dyDescent="0.3">
      <c r="A661" s="14" t="s">
        <v>1</v>
      </c>
      <c r="B661" s="14" t="s">
        <v>2169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1</v>
      </c>
      <c r="B662" s="14" t="s">
        <v>1979</v>
      </c>
      <c r="C662" s="14">
        <v>1</v>
      </c>
      <c r="D662" s="14">
        <v>0</v>
      </c>
      <c r="E662" s="14">
        <v>1</v>
      </c>
    </row>
    <row r="663" spans="1:5" x14ac:dyDescent="0.3">
      <c r="A663" s="14" t="s">
        <v>1</v>
      </c>
      <c r="B663" s="14" t="s">
        <v>2544</v>
      </c>
      <c r="C663" s="14">
        <v>0</v>
      </c>
      <c r="D663" s="14">
        <v>1</v>
      </c>
    </row>
    <row r="664" spans="1:5" x14ac:dyDescent="0.3">
      <c r="A664" s="14" t="s">
        <v>1</v>
      </c>
      <c r="B664" s="14" t="s">
        <v>2545</v>
      </c>
      <c r="C664" s="14">
        <v>1</v>
      </c>
      <c r="D664" s="14">
        <v>0</v>
      </c>
      <c r="E664" s="14">
        <v>2</v>
      </c>
    </row>
    <row r="665" spans="1:5" x14ac:dyDescent="0.3">
      <c r="A665" s="14" t="s">
        <v>1</v>
      </c>
      <c r="B665" s="14" t="s">
        <v>2546</v>
      </c>
      <c r="C665" s="14">
        <v>1</v>
      </c>
      <c r="D665" s="14">
        <v>0</v>
      </c>
      <c r="E665" s="14">
        <v>1</v>
      </c>
    </row>
    <row r="666" spans="1:5" x14ac:dyDescent="0.3">
      <c r="A666" s="14" t="s">
        <v>1</v>
      </c>
      <c r="B666" s="14" t="s">
        <v>1017</v>
      </c>
      <c r="C666" s="14">
        <v>1</v>
      </c>
      <c r="D666" s="14">
        <v>0</v>
      </c>
      <c r="E666" s="14">
        <v>2</v>
      </c>
    </row>
    <row r="667" spans="1:5" x14ac:dyDescent="0.3">
      <c r="A667" s="14" t="s">
        <v>1</v>
      </c>
      <c r="B667" s="14" t="s">
        <v>912</v>
      </c>
      <c r="C667" s="14">
        <v>0</v>
      </c>
      <c r="D667" s="14">
        <v>1</v>
      </c>
    </row>
    <row r="668" spans="1:5" x14ac:dyDescent="0.3">
      <c r="A668" s="14" t="s">
        <v>1</v>
      </c>
      <c r="B668" s="14" t="s">
        <v>1434</v>
      </c>
      <c r="C668" s="14">
        <v>0</v>
      </c>
      <c r="D668" s="14">
        <v>1</v>
      </c>
    </row>
    <row r="669" spans="1:5" x14ac:dyDescent="0.3">
      <c r="A669" s="14" t="s">
        <v>1</v>
      </c>
      <c r="B669" s="14" t="s">
        <v>725</v>
      </c>
      <c r="C669" s="14">
        <v>0</v>
      </c>
      <c r="D669" s="14">
        <v>4</v>
      </c>
    </row>
    <row r="670" spans="1:5" x14ac:dyDescent="0.3">
      <c r="A670" s="14" t="s">
        <v>1</v>
      </c>
      <c r="B670" s="14" t="s">
        <v>2270</v>
      </c>
      <c r="C670" s="14">
        <v>0</v>
      </c>
      <c r="D670" s="14">
        <v>1</v>
      </c>
    </row>
    <row r="671" spans="1:5" x14ac:dyDescent="0.3">
      <c r="A671" s="14" t="s">
        <v>1</v>
      </c>
      <c r="B671" s="14" t="s">
        <v>873</v>
      </c>
      <c r="C671" s="14">
        <v>0</v>
      </c>
      <c r="D671" s="14">
        <v>1</v>
      </c>
    </row>
    <row r="672" spans="1:5" x14ac:dyDescent="0.3">
      <c r="A672" s="14" t="s">
        <v>1</v>
      </c>
      <c r="B672" s="14" t="s">
        <v>2547</v>
      </c>
      <c r="C672" s="14">
        <v>0</v>
      </c>
      <c r="D672" s="14">
        <v>2</v>
      </c>
    </row>
    <row r="673" spans="1:5" x14ac:dyDescent="0.3">
      <c r="A673" s="14" t="s">
        <v>1</v>
      </c>
      <c r="B673" s="14" t="s">
        <v>789</v>
      </c>
      <c r="C673" s="14">
        <v>1</v>
      </c>
      <c r="D673" s="14">
        <v>0</v>
      </c>
      <c r="E673" s="14">
        <v>1</v>
      </c>
    </row>
    <row r="674" spans="1:5" x14ac:dyDescent="0.3">
      <c r="A674" s="14" t="s">
        <v>1</v>
      </c>
      <c r="B674" s="14" t="s">
        <v>2514</v>
      </c>
      <c r="C674" s="14">
        <v>1</v>
      </c>
      <c r="D674" s="14">
        <v>0</v>
      </c>
      <c r="E674" s="14">
        <v>1</v>
      </c>
    </row>
    <row r="675" spans="1:5" x14ac:dyDescent="0.3">
      <c r="A675" s="14" t="s">
        <v>1</v>
      </c>
      <c r="B675" s="14" t="s">
        <v>1221</v>
      </c>
      <c r="C675" s="14">
        <v>0</v>
      </c>
      <c r="D675" s="14">
        <v>2</v>
      </c>
    </row>
    <row r="676" spans="1:5" x14ac:dyDescent="0.3">
      <c r="A676" s="14" t="s">
        <v>1</v>
      </c>
      <c r="B676" s="14" t="s">
        <v>2348</v>
      </c>
      <c r="C676" s="14">
        <v>5</v>
      </c>
      <c r="D676" s="14">
        <v>0</v>
      </c>
      <c r="E676" s="14">
        <v>7</v>
      </c>
    </row>
    <row r="677" spans="1:5" x14ac:dyDescent="0.3">
      <c r="A677" s="14" t="s">
        <v>1</v>
      </c>
      <c r="B677" s="14" t="s">
        <v>2349</v>
      </c>
      <c r="C677" s="14">
        <v>8</v>
      </c>
      <c r="D677" s="14">
        <v>0</v>
      </c>
      <c r="E677" s="14">
        <v>7</v>
      </c>
    </row>
    <row r="678" spans="1:5" x14ac:dyDescent="0.3">
      <c r="A678" s="14" t="s">
        <v>1</v>
      </c>
      <c r="B678" s="14" t="s">
        <v>2350</v>
      </c>
      <c r="C678" s="14">
        <v>3</v>
      </c>
      <c r="D678" s="14">
        <v>0</v>
      </c>
      <c r="E678" s="14">
        <v>3</v>
      </c>
    </row>
    <row r="679" spans="1:5" x14ac:dyDescent="0.3">
      <c r="A679" s="14" t="s">
        <v>1</v>
      </c>
      <c r="B679" s="14" t="s">
        <v>2351</v>
      </c>
      <c r="C679" s="14">
        <v>2</v>
      </c>
      <c r="D679" s="14">
        <v>0</v>
      </c>
      <c r="E679" s="14">
        <v>2</v>
      </c>
    </row>
    <row r="680" spans="1:5" x14ac:dyDescent="0.3">
      <c r="A680" s="14" t="s">
        <v>1</v>
      </c>
      <c r="B680" s="14" t="s">
        <v>2352</v>
      </c>
      <c r="C680" s="14">
        <v>3</v>
      </c>
      <c r="D680" s="14">
        <v>0</v>
      </c>
      <c r="E680" s="14">
        <v>3</v>
      </c>
    </row>
    <row r="681" spans="1:5" x14ac:dyDescent="0.3">
      <c r="A681" s="14" t="s">
        <v>1</v>
      </c>
      <c r="B681" s="14" t="s">
        <v>2353</v>
      </c>
      <c r="C681" s="14">
        <v>3</v>
      </c>
      <c r="D681" s="14">
        <v>0</v>
      </c>
      <c r="E681" s="14">
        <v>3</v>
      </c>
    </row>
    <row r="682" spans="1:5" x14ac:dyDescent="0.3">
      <c r="A682" s="14" t="s">
        <v>1</v>
      </c>
      <c r="B682" s="14" t="s">
        <v>2354</v>
      </c>
      <c r="C682" s="14">
        <v>3</v>
      </c>
      <c r="D682" s="14">
        <v>0</v>
      </c>
      <c r="E682" s="14">
        <v>4</v>
      </c>
    </row>
    <row r="683" spans="1:5" x14ac:dyDescent="0.3">
      <c r="A683" s="14" t="s">
        <v>1</v>
      </c>
      <c r="B683" s="14" t="s">
        <v>2355</v>
      </c>
      <c r="C683" s="14">
        <v>4</v>
      </c>
      <c r="D683" s="14">
        <v>0</v>
      </c>
      <c r="E683" s="14">
        <v>6</v>
      </c>
    </row>
    <row r="684" spans="1:5" x14ac:dyDescent="0.3">
      <c r="A684" s="14" t="s">
        <v>1</v>
      </c>
      <c r="B684" s="14" t="s">
        <v>644</v>
      </c>
      <c r="C684" s="14">
        <v>1</v>
      </c>
      <c r="D684" s="14">
        <v>0</v>
      </c>
      <c r="E684" s="14">
        <v>1</v>
      </c>
    </row>
    <row r="685" spans="1:5" x14ac:dyDescent="0.3">
      <c r="A685" s="14" t="s">
        <v>0</v>
      </c>
      <c r="B685" s="14" t="s">
        <v>551</v>
      </c>
      <c r="C685" s="14">
        <v>1</v>
      </c>
      <c r="D685" s="14">
        <v>0</v>
      </c>
      <c r="E685" s="14">
        <v>1</v>
      </c>
    </row>
    <row r="686" spans="1:5" x14ac:dyDescent="0.3">
      <c r="A686" s="14" t="s">
        <v>0</v>
      </c>
      <c r="B686" s="14" t="s">
        <v>261</v>
      </c>
      <c r="C686" s="14">
        <v>1</v>
      </c>
      <c r="D686" s="14">
        <v>0</v>
      </c>
      <c r="E686" s="14">
        <v>2</v>
      </c>
    </row>
    <row r="687" spans="1:5" x14ac:dyDescent="0.3">
      <c r="A687" s="14" t="s">
        <v>0</v>
      </c>
      <c r="B687" s="14" t="s">
        <v>553</v>
      </c>
      <c r="C687" s="14">
        <v>1</v>
      </c>
      <c r="D687" s="14">
        <v>0</v>
      </c>
      <c r="E687" s="14">
        <v>1</v>
      </c>
    </row>
    <row r="688" spans="1:5" x14ac:dyDescent="0.3">
      <c r="A688" s="14" t="s">
        <v>0</v>
      </c>
      <c r="B688" s="14" t="s">
        <v>71</v>
      </c>
      <c r="C688" s="14">
        <v>1</v>
      </c>
      <c r="D688" s="14">
        <v>0</v>
      </c>
      <c r="E688" s="14">
        <v>2</v>
      </c>
    </row>
    <row r="689" spans="1:5" x14ac:dyDescent="0.3">
      <c r="A689" s="14" t="s">
        <v>0</v>
      </c>
      <c r="B689" s="14" t="s">
        <v>1406</v>
      </c>
      <c r="C689" s="14">
        <v>1</v>
      </c>
      <c r="D689" s="14">
        <v>0</v>
      </c>
      <c r="E689" s="14">
        <v>1</v>
      </c>
    </row>
    <row r="690" spans="1:5" x14ac:dyDescent="0.3">
      <c r="A690" s="14" t="s">
        <v>0</v>
      </c>
      <c r="B690" s="14" t="s">
        <v>599</v>
      </c>
      <c r="C690" s="14">
        <v>1</v>
      </c>
      <c r="D690" s="14">
        <v>0</v>
      </c>
      <c r="E690" s="14">
        <v>1</v>
      </c>
    </row>
    <row r="691" spans="1:5" x14ac:dyDescent="0.3">
      <c r="A691" s="14" t="s">
        <v>0</v>
      </c>
      <c r="B691" s="14" t="s">
        <v>148</v>
      </c>
      <c r="C691" s="14">
        <v>1</v>
      </c>
      <c r="D691" s="14">
        <v>0</v>
      </c>
      <c r="E691" s="14">
        <v>1</v>
      </c>
    </row>
    <row r="692" spans="1:5" x14ac:dyDescent="0.3">
      <c r="A692" s="14" t="s">
        <v>0</v>
      </c>
      <c r="B692" s="14" t="s">
        <v>610</v>
      </c>
      <c r="C692" s="14">
        <v>1</v>
      </c>
      <c r="D692" s="14">
        <v>0</v>
      </c>
      <c r="E692" s="14">
        <v>1</v>
      </c>
    </row>
    <row r="693" spans="1:5" x14ac:dyDescent="0.3">
      <c r="A693" s="14" t="s">
        <v>0</v>
      </c>
      <c r="B693" s="14" t="s">
        <v>1852</v>
      </c>
      <c r="C693" s="14">
        <v>1</v>
      </c>
      <c r="D693" s="14">
        <v>0</v>
      </c>
      <c r="E693" s="14">
        <v>1</v>
      </c>
    </row>
    <row r="694" spans="1:5" x14ac:dyDescent="0.3">
      <c r="A694" s="14" t="s">
        <v>0</v>
      </c>
      <c r="B694" s="14" t="s">
        <v>1883</v>
      </c>
      <c r="C694" s="14">
        <v>2</v>
      </c>
      <c r="D694" s="14">
        <v>0</v>
      </c>
      <c r="E694" s="14">
        <v>2</v>
      </c>
    </row>
    <row r="695" spans="1:5" x14ac:dyDescent="0.3">
      <c r="A695" s="14" t="s">
        <v>0</v>
      </c>
      <c r="B695" s="14" t="s">
        <v>2069</v>
      </c>
      <c r="C695" s="14">
        <v>1</v>
      </c>
      <c r="D695" s="14">
        <v>0</v>
      </c>
      <c r="E695" s="14">
        <v>1</v>
      </c>
    </row>
    <row r="696" spans="1:5" x14ac:dyDescent="0.3">
      <c r="A696" s="14" t="s">
        <v>0</v>
      </c>
      <c r="B696" s="14" t="s">
        <v>2425</v>
      </c>
      <c r="C696" s="14">
        <v>1</v>
      </c>
      <c r="D696" s="14">
        <v>0</v>
      </c>
      <c r="E696" s="14">
        <v>1</v>
      </c>
    </row>
    <row r="697" spans="1:5" x14ac:dyDescent="0.3">
      <c r="A697" s="14" t="s">
        <v>0</v>
      </c>
      <c r="B697" s="14" t="s">
        <v>258</v>
      </c>
      <c r="C697" s="14">
        <v>1</v>
      </c>
      <c r="D697" s="14">
        <v>0</v>
      </c>
      <c r="E697" s="14">
        <v>1</v>
      </c>
    </row>
    <row r="698" spans="1:5" x14ac:dyDescent="0.3">
      <c r="A698" s="14" t="s">
        <v>0</v>
      </c>
      <c r="B698" s="14" t="s">
        <v>111</v>
      </c>
      <c r="C698" s="14">
        <v>1</v>
      </c>
      <c r="D698" s="14">
        <v>0</v>
      </c>
      <c r="E698" s="14">
        <v>4</v>
      </c>
    </row>
    <row r="699" spans="1:5" x14ac:dyDescent="0.3">
      <c r="A699" s="14" t="s">
        <v>0</v>
      </c>
      <c r="B699" s="14" t="s">
        <v>519</v>
      </c>
      <c r="C699" s="14">
        <v>1</v>
      </c>
      <c r="D699" s="14">
        <v>0</v>
      </c>
      <c r="E699" s="14">
        <v>1</v>
      </c>
    </row>
    <row r="700" spans="1:5" x14ac:dyDescent="0.3">
      <c r="A700" s="14" t="s">
        <v>0</v>
      </c>
      <c r="B700" s="14" t="s">
        <v>523</v>
      </c>
      <c r="C700" s="14">
        <v>1</v>
      </c>
      <c r="D700" s="14">
        <v>0</v>
      </c>
      <c r="E700" s="14">
        <v>1</v>
      </c>
    </row>
    <row r="701" spans="1:5" x14ac:dyDescent="0.3">
      <c r="A701" s="14" t="s">
        <v>0</v>
      </c>
      <c r="B701" s="14" t="s">
        <v>255</v>
      </c>
      <c r="C701" s="14">
        <v>1</v>
      </c>
      <c r="D701" s="14">
        <v>0</v>
      </c>
      <c r="E701" s="14">
        <v>1</v>
      </c>
    </row>
    <row r="702" spans="1:5" x14ac:dyDescent="0.3">
      <c r="A702" s="14" t="s">
        <v>0</v>
      </c>
      <c r="B702" s="14" t="s">
        <v>125</v>
      </c>
      <c r="C702" s="14">
        <v>1</v>
      </c>
      <c r="D702" s="14">
        <v>0</v>
      </c>
      <c r="E702" s="14">
        <v>1</v>
      </c>
    </row>
    <row r="703" spans="1:5" x14ac:dyDescent="0.3">
      <c r="A703" s="14" t="s">
        <v>0</v>
      </c>
      <c r="B703" s="14" t="s">
        <v>540</v>
      </c>
      <c r="C703" s="14">
        <v>1</v>
      </c>
      <c r="D703" s="14">
        <v>0</v>
      </c>
      <c r="E703" s="14">
        <v>1</v>
      </c>
    </row>
    <row r="704" spans="1:5" x14ac:dyDescent="0.3">
      <c r="A704" s="14" t="s">
        <v>0</v>
      </c>
      <c r="B704" s="14" t="s">
        <v>1047</v>
      </c>
      <c r="C704" s="14">
        <v>1</v>
      </c>
      <c r="D704" s="14">
        <v>0</v>
      </c>
      <c r="E704" s="14">
        <v>1</v>
      </c>
    </row>
    <row r="705" spans="1:5" x14ac:dyDescent="0.3">
      <c r="A705" s="14" t="s">
        <v>0</v>
      </c>
      <c r="B705" s="14" t="s">
        <v>54</v>
      </c>
      <c r="C705" s="14">
        <v>1</v>
      </c>
      <c r="D705" s="14">
        <v>0</v>
      </c>
      <c r="E705" s="14">
        <v>1</v>
      </c>
    </row>
    <row r="706" spans="1:5" x14ac:dyDescent="0.3">
      <c r="A706" s="14" t="s">
        <v>0</v>
      </c>
      <c r="B706" s="14" t="s">
        <v>639</v>
      </c>
      <c r="C706" s="14">
        <v>1</v>
      </c>
      <c r="D706" s="14">
        <v>0</v>
      </c>
      <c r="E706" s="14">
        <v>2</v>
      </c>
    </row>
    <row r="707" spans="1:5" x14ac:dyDescent="0.3">
      <c r="A707" s="14" t="s">
        <v>0</v>
      </c>
      <c r="B707" s="14" t="s">
        <v>55</v>
      </c>
      <c r="C707" s="14">
        <v>1</v>
      </c>
      <c r="D707" s="14">
        <v>0</v>
      </c>
      <c r="E707" s="14">
        <v>1</v>
      </c>
    </row>
    <row r="708" spans="1:5" x14ac:dyDescent="0.3">
      <c r="A708" s="14" t="s">
        <v>0</v>
      </c>
      <c r="B708" s="14" t="s">
        <v>1589</v>
      </c>
      <c r="C708" s="14">
        <v>1</v>
      </c>
      <c r="D708" s="14">
        <v>0</v>
      </c>
      <c r="E708" s="14">
        <v>1</v>
      </c>
    </row>
    <row r="709" spans="1:5" x14ac:dyDescent="0.3">
      <c r="A709" s="14" t="s">
        <v>0</v>
      </c>
      <c r="B709" s="14" t="s">
        <v>1016</v>
      </c>
      <c r="C709" s="14">
        <v>1</v>
      </c>
      <c r="D709" s="14">
        <v>0</v>
      </c>
      <c r="E709" s="14">
        <v>1</v>
      </c>
    </row>
    <row r="710" spans="1:5" x14ac:dyDescent="0.3">
      <c r="A710" s="14" t="s">
        <v>0</v>
      </c>
      <c r="B710" s="14" t="s">
        <v>1914</v>
      </c>
      <c r="C710" s="14">
        <v>1</v>
      </c>
      <c r="D710" s="14">
        <v>0</v>
      </c>
      <c r="E710" s="14">
        <v>1</v>
      </c>
    </row>
    <row r="711" spans="1:5" x14ac:dyDescent="0.3">
      <c r="A711" s="14" t="s">
        <v>0</v>
      </c>
      <c r="B711" s="14" t="s">
        <v>962</v>
      </c>
      <c r="C711" s="14">
        <v>1</v>
      </c>
      <c r="D711" s="14">
        <v>0</v>
      </c>
      <c r="E711" s="14">
        <v>1</v>
      </c>
    </row>
    <row r="712" spans="1:5" x14ac:dyDescent="0.3">
      <c r="A712" s="14" t="s">
        <v>0</v>
      </c>
      <c r="B712" s="14" t="s">
        <v>2548</v>
      </c>
      <c r="C712" s="14">
        <v>0</v>
      </c>
      <c r="D712" s="14">
        <v>1</v>
      </c>
    </row>
    <row r="713" spans="1:5" x14ac:dyDescent="0.3">
      <c r="A713" s="14" t="s">
        <v>0</v>
      </c>
      <c r="B713" s="14" t="s">
        <v>2549</v>
      </c>
      <c r="C713" s="14">
        <v>0</v>
      </c>
      <c r="D713" s="14">
        <v>1</v>
      </c>
    </row>
    <row r="714" spans="1:5" x14ac:dyDescent="0.3">
      <c r="A714" s="14" t="s">
        <v>0</v>
      </c>
      <c r="B714" s="14" t="s">
        <v>1360</v>
      </c>
      <c r="C714" s="14">
        <v>1</v>
      </c>
      <c r="D714" s="14">
        <v>0</v>
      </c>
      <c r="E714" s="14">
        <v>2</v>
      </c>
    </row>
    <row r="715" spans="1:5" x14ac:dyDescent="0.3">
      <c r="A715" s="14" t="s">
        <v>0</v>
      </c>
      <c r="B715" s="14" t="s">
        <v>32</v>
      </c>
      <c r="C715" s="14">
        <v>1</v>
      </c>
      <c r="D715" s="14">
        <v>0</v>
      </c>
      <c r="E715" s="14">
        <v>1</v>
      </c>
    </row>
    <row r="716" spans="1:5" x14ac:dyDescent="0.3">
      <c r="A716" s="14" t="s">
        <v>2</v>
      </c>
      <c r="B716" s="14" t="s">
        <v>54</v>
      </c>
      <c r="C716" s="14">
        <v>1</v>
      </c>
      <c r="D716" s="14">
        <v>0</v>
      </c>
      <c r="E716" s="14">
        <v>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5052F-1F21-459F-9E66-198285E37E17}">
  <sheetPr codeName="Sheet44"/>
  <dimension ref="A1:M681"/>
  <sheetViews>
    <sheetView workbookViewId="0">
      <selection activeCell="A2" sqref="A2:E681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60</v>
      </c>
      <c r="D2" s="13">
        <v>40</v>
      </c>
      <c r="E2" s="13">
        <v>65</v>
      </c>
    </row>
    <row r="3" spans="1:13" customFormat="1" x14ac:dyDescent="0.3">
      <c r="A3" s="13" t="s">
        <v>1</v>
      </c>
      <c r="B3" s="13" t="s">
        <v>30</v>
      </c>
      <c r="C3" s="13">
        <v>94</v>
      </c>
      <c r="D3" s="13">
        <v>33</v>
      </c>
      <c r="E3" s="13">
        <v>196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37</v>
      </c>
      <c r="C4" s="13">
        <v>32</v>
      </c>
      <c r="D4" s="13">
        <v>26</v>
      </c>
      <c r="E4" s="13">
        <v>32</v>
      </c>
      <c r="G4" s="19" t="s">
        <v>8</v>
      </c>
      <c r="H4" s="15">
        <f>H13+H14</f>
        <v>1144</v>
      </c>
      <c r="I4" s="16">
        <f>H4/H$6</f>
        <v>0.74189364461738005</v>
      </c>
      <c r="J4" s="15">
        <f>I13+I14</f>
        <v>565</v>
      </c>
      <c r="K4" s="16">
        <f>J4/J$6</f>
        <v>0.62019758507135014</v>
      </c>
      <c r="L4" s="15">
        <f>J13+J14</f>
        <v>1402</v>
      </c>
      <c r="M4" s="25">
        <f>L4/L$6</f>
        <v>0.75701943844492436</v>
      </c>
    </row>
    <row r="5" spans="1:13" customFormat="1" x14ac:dyDescent="0.3">
      <c r="A5" s="13" t="s">
        <v>0</v>
      </c>
      <c r="B5" s="13" t="s">
        <v>29</v>
      </c>
      <c r="C5" s="13">
        <v>18</v>
      </c>
      <c r="D5" s="13">
        <v>17</v>
      </c>
      <c r="E5" s="13">
        <v>20</v>
      </c>
      <c r="G5" s="19" t="s">
        <v>10</v>
      </c>
      <c r="H5" s="15">
        <f>H15+H16</f>
        <v>398</v>
      </c>
      <c r="I5" s="16">
        <f>H5/H$6</f>
        <v>0.25810635538262</v>
      </c>
      <c r="J5" s="15">
        <f>I15+I16</f>
        <v>346</v>
      </c>
      <c r="K5" s="16">
        <f>J5/J$6</f>
        <v>0.37980241492864986</v>
      </c>
      <c r="L5" s="15">
        <f>J15+J16</f>
        <v>450</v>
      </c>
      <c r="M5" s="25">
        <f>L5/L$6</f>
        <v>0.24298056155507558</v>
      </c>
    </row>
    <row r="6" spans="1:13" customFormat="1" ht="17.25" thickBot="1" x14ac:dyDescent="0.35">
      <c r="A6" s="13" t="s">
        <v>0</v>
      </c>
      <c r="B6" s="13" t="s">
        <v>37</v>
      </c>
      <c r="C6" s="13">
        <v>16</v>
      </c>
      <c r="D6" s="13">
        <v>15</v>
      </c>
      <c r="E6" s="13">
        <v>18</v>
      </c>
      <c r="G6" s="22"/>
      <c r="H6" s="26">
        <f>SUM(H4:H5)</f>
        <v>1542</v>
      </c>
      <c r="I6" s="27">
        <f>I4+I5</f>
        <v>1</v>
      </c>
      <c r="J6" s="26">
        <f>SUM(J4:J5)</f>
        <v>911</v>
      </c>
      <c r="K6" s="27">
        <f>K4+K5</f>
        <v>1</v>
      </c>
      <c r="L6" s="26">
        <f>SUM(L4:L5)</f>
        <v>1852</v>
      </c>
      <c r="M6" s="28">
        <f>M4+M5</f>
        <v>1</v>
      </c>
    </row>
    <row r="7" spans="1:13" customFormat="1" x14ac:dyDescent="0.3">
      <c r="A7" s="13" t="s">
        <v>1</v>
      </c>
      <c r="B7" s="13" t="s">
        <v>1948</v>
      </c>
      <c r="C7" s="13">
        <v>16</v>
      </c>
      <c r="D7" s="13">
        <v>13</v>
      </c>
      <c r="E7" s="13">
        <v>16</v>
      </c>
    </row>
    <row r="8" spans="1:13" customFormat="1" x14ac:dyDescent="0.3">
      <c r="A8" s="13" t="s">
        <v>1</v>
      </c>
      <c r="B8" s="13" t="s">
        <v>29</v>
      </c>
      <c r="C8" s="13">
        <v>13</v>
      </c>
      <c r="D8" s="13">
        <v>12</v>
      </c>
      <c r="E8" s="13">
        <v>16</v>
      </c>
    </row>
    <row r="9" spans="1:13" customFormat="1" x14ac:dyDescent="0.3">
      <c r="A9" s="13" t="s">
        <v>0</v>
      </c>
      <c r="B9" s="13" t="s">
        <v>928</v>
      </c>
      <c r="C9" s="13">
        <v>12</v>
      </c>
      <c r="D9" s="13">
        <v>12</v>
      </c>
      <c r="E9" s="13">
        <v>12</v>
      </c>
    </row>
    <row r="10" spans="1:13" customFormat="1" ht="17.25" thickBot="1" x14ac:dyDescent="0.35">
      <c r="A10" s="13" t="s">
        <v>0</v>
      </c>
      <c r="B10" s="13" t="s">
        <v>1067</v>
      </c>
      <c r="C10" s="13">
        <v>11</v>
      </c>
      <c r="D10" s="13">
        <v>11</v>
      </c>
      <c r="E10" s="13">
        <v>11</v>
      </c>
    </row>
    <row r="11" spans="1:13" x14ac:dyDescent="0.3">
      <c r="A11" s="13" t="s">
        <v>0</v>
      </c>
      <c r="B11" s="13" t="s">
        <v>31</v>
      </c>
      <c r="C11" s="13">
        <v>13</v>
      </c>
      <c r="D11" s="13">
        <v>11</v>
      </c>
      <c r="E11" s="13">
        <v>13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354</v>
      </c>
      <c r="C12" s="13">
        <v>15</v>
      </c>
      <c r="D12" s="13">
        <v>10</v>
      </c>
      <c r="E12" s="13">
        <v>16</v>
      </c>
      <c r="G12" s="19"/>
      <c r="H12" s="17">
        <f t="shared" ref="H12:J12" si="0">SUM(H13:H16)</f>
        <v>1542</v>
      </c>
      <c r="I12" s="17">
        <f t="shared" si="0"/>
        <v>911</v>
      </c>
      <c r="J12" s="20">
        <f t="shared" si="0"/>
        <v>1852</v>
      </c>
    </row>
    <row r="13" spans="1:13" x14ac:dyDescent="0.3">
      <c r="A13" s="13" t="s">
        <v>1</v>
      </c>
      <c r="B13" s="13" t="s">
        <v>1741</v>
      </c>
      <c r="C13" s="13">
        <v>12</v>
      </c>
      <c r="D13" s="13">
        <v>9</v>
      </c>
      <c r="E13" s="13">
        <v>12</v>
      </c>
      <c r="G13" s="19" t="s">
        <v>7</v>
      </c>
      <c r="H13" s="18">
        <f t="shared" ref="H13:J16" si="1">SUMIF($A$2:$A$9999,$G13,C$2:C$9999)</f>
        <v>1144</v>
      </c>
      <c r="I13" s="18">
        <f t="shared" si="1"/>
        <v>565</v>
      </c>
      <c r="J13" s="21">
        <f t="shared" si="1"/>
        <v>1402</v>
      </c>
    </row>
    <row r="14" spans="1:13" x14ac:dyDescent="0.3">
      <c r="A14" s="13" t="s">
        <v>0</v>
      </c>
      <c r="B14" s="13" t="s">
        <v>30</v>
      </c>
      <c r="C14" s="13">
        <v>15</v>
      </c>
      <c r="D14" s="13">
        <v>9</v>
      </c>
      <c r="E14" s="13">
        <v>19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111</v>
      </c>
      <c r="C15" s="13">
        <v>8</v>
      </c>
      <c r="D15" s="13">
        <v>8</v>
      </c>
      <c r="E15" s="13">
        <v>10</v>
      </c>
      <c r="G15" s="19" t="s">
        <v>11</v>
      </c>
      <c r="H15" s="18">
        <f t="shared" si="1"/>
        <v>370</v>
      </c>
      <c r="I15" s="18">
        <f t="shared" si="1"/>
        <v>318</v>
      </c>
      <c r="J15" s="21">
        <f t="shared" si="1"/>
        <v>417</v>
      </c>
    </row>
    <row r="16" spans="1:13" ht="17.25" thickBot="1" x14ac:dyDescent="0.35">
      <c r="A16" s="13" t="s">
        <v>0</v>
      </c>
      <c r="B16" s="13" t="s">
        <v>60</v>
      </c>
      <c r="C16" s="13">
        <v>8</v>
      </c>
      <c r="D16" s="13">
        <v>8</v>
      </c>
      <c r="E16" s="13">
        <v>8</v>
      </c>
      <c r="G16" s="22" t="s">
        <v>12</v>
      </c>
      <c r="H16" s="23">
        <f t="shared" si="1"/>
        <v>28</v>
      </c>
      <c r="I16" s="23">
        <f t="shared" si="1"/>
        <v>28</v>
      </c>
      <c r="J16" s="24">
        <f t="shared" si="1"/>
        <v>33</v>
      </c>
    </row>
    <row r="17" spans="1:5" x14ac:dyDescent="0.3">
      <c r="A17" s="13" t="s">
        <v>1</v>
      </c>
      <c r="B17" s="13" t="s">
        <v>61</v>
      </c>
      <c r="C17" s="13">
        <v>7</v>
      </c>
      <c r="D17" s="13">
        <v>7</v>
      </c>
      <c r="E17" s="13">
        <v>7</v>
      </c>
    </row>
    <row r="18" spans="1:5" x14ac:dyDescent="0.3">
      <c r="A18" s="13" t="s">
        <v>1</v>
      </c>
      <c r="B18" s="13" t="s">
        <v>2203</v>
      </c>
      <c r="C18" s="13">
        <v>14</v>
      </c>
      <c r="D18" s="13">
        <v>7</v>
      </c>
      <c r="E18" s="13">
        <v>14</v>
      </c>
    </row>
    <row r="19" spans="1:5" x14ac:dyDescent="0.3">
      <c r="A19" s="13" t="s">
        <v>1</v>
      </c>
      <c r="B19" s="13" t="s">
        <v>51</v>
      </c>
      <c r="C19" s="13">
        <v>9</v>
      </c>
      <c r="D19" s="13">
        <v>7</v>
      </c>
      <c r="E19" s="13">
        <v>12</v>
      </c>
    </row>
    <row r="20" spans="1:5" x14ac:dyDescent="0.3">
      <c r="A20" s="13" t="s">
        <v>0</v>
      </c>
      <c r="B20" s="13" t="s">
        <v>1741</v>
      </c>
      <c r="C20" s="13">
        <v>7</v>
      </c>
      <c r="D20" s="13">
        <v>7</v>
      </c>
      <c r="E20" s="13">
        <v>7</v>
      </c>
    </row>
    <row r="21" spans="1:5" x14ac:dyDescent="0.3">
      <c r="A21" s="13" t="s">
        <v>0</v>
      </c>
      <c r="B21" s="13" t="s">
        <v>1948</v>
      </c>
      <c r="C21" s="13">
        <v>9</v>
      </c>
      <c r="D21" s="13">
        <v>7</v>
      </c>
      <c r="E21" s="13">
        <v>11</v>
      </c>
    </row>
    <row r="22" spans="1:5" x14ac:dyDescent="0.3">
      <c r="A22" s="13" t="s">
        <v>1</v>
      </c>
      <c r="B22" s="13" t="s">
        <v>1663</v>
      </c>
      <c r="C22" s="13">
        <v>12</v>
      </c>
      <c r="D22" s="13">
        <v>6</v>
      </c>
      <c r="E22" s="13">
        <v>16</v>
      </c>
    </row>
    <row r="23" spans="1:5" x14ac:dyDescent="0.3">
      <c r="A23" s="13" t="s">
        <v>0</v>
      </c>
      <c r="B23" s="13" t="s">
        <v>2203</v>
      </c>
      <c r="C23" s="13">
        <v>7</v>
      </c>
      <c r="D23" s="13">
        <v>6</v>
      </c>
      <c r="E23" s="13">
        <v>8</v>
      </c>
    </row>
    <row r="24" spans="1:5" x14ac:dyDescent="0.3">
      <c r="A24" s="13" t="s">
        <v>0</v>
      </c>
      <c r="B24" s="13" t="s">
        <v>39</v>
      </c>
      <c r="C24" s="13">
        <v>7</v>
      </c>
      <c r="D24" s="13">
        <v>6</v>
      </c>
      <c r="E24" s="13">
        <v>11</v>
      </c>
    </row>
    <row r="25" spans="1:5" x14ac:dyDescent="0.3">
      <c r="A25" s="13" t="s">
        <v>2</v>
      </c>
      <c r="B25" s="13" t="s">
        <v>258</v>
      </c>
      <c r="C25" s="13">
        <v>6</v>
      </c>
      <c r="D25" s="13">
        <v>6</v>
      </c>
      <c r="E25" s="13">
        <v>9</v>
      </c>
    </row>
    <row r="26" spans="1:5" x14ac:dyDescent="0.3">
      <c r="A26" s="13" t="s">
        <v>1</v>
      </c>
      <c r="B26" s="13" t="s">
        <v>1629</v>
      </c>
      <c r="C26" s="13">
        <v>5</v>
      </c>
      <c r="D26" s="13">
        <v>5</v>
      </c>
      <c r="E26" s="13">
        <v>5</v>
      </c>
    </row>
    <row r="27" spans="1:5" x14ac:dyDescent="0.3">
      <c r="A27" s="13" t="s">
        <v>1</v>
      </c>
      <c r="B27" s="13" t="s">
        <v>52</v>
      </c>
      <c r="C27" s="13">
        <v>8</v>
      </c>
      <c r="D27" s="13">
        <v>5</v>
      </c>
      <c r="E27" s="13">
        <v>7</v>
      </c>
    </row>
    <row r="28" spans="1:5" x14ac:dyDescent="0.3">
      <c r="A28" s="13" t="s">
        <v>0</v>
      </c>
      <c r="B28" s="13" t="s">
        <v>47</v>
      </c>
      <c r="C28" s="13">
        <v>5</v>
      </c>
      <c r="D28" s="13">
        <v>5</v>
      </c>
      <c r="E28" s="13">
        <v>5</v>
      </c>
    </row>
    <row r="29" spans="1:5" x14ac:dyDescent="0.3">
      <c r="A29" s="13" t="s">
        <v>0</v>
      </c>
      <c r="B29" s="13" t="s">
        <v>2408</v>
      </c>
      <c r="C29" s="13">
        <v>8</v>
      </c>
      <c r="D29" s="13">
        <v>5</v>
      </c>
      <c r="E29" s="13">
        <v>8</v>
      </c>
    </row>
    <row r="30" spans="1:5" x14ac:dyDescent="0.3">
      <c r="A30" s="13" t="s">
        <v>1</v>
      </c>
      <c r="B30" s="13" t="s">
        <v>60</v>
      </c>
      <c r="C30" s="13">
        <v>5</v>
      </c>
      <c r="D30" s="13">
        <v>4</v>
      </c>
      <c r="E30" s="13">
        <v>5</v>
      </c>
    </row>
    <row r="31" spans="1:5" x14ac:dyDescent="0.3">
      <c r="A31" s="13" t="s">
        <v>1</v>
      </c>
      <c r="B31" s="13" t="s">
        <v>471</v>
      </c>
      <c r="C31" s="13">
        <v>5</v>
      </c>
      <c r="D31" s="13">
        <v>4</v>
      </c>
      <c r="E31" s="13">
        <v>6</v>
      </c>
    </row>
    <row r="32" spans="1:5" x14ac:dyDescent="0.3">
      <c r="A32" s="13" t="s">
        <v>1</v>
      </c>
      <c r="B32" s="13" t="s">
        <v>1988</v>
      </c>
      <c r="C32" s="13">
        <v>15</v>
      </c>
      <c r="D32" s="13">
        <v>4</v>
      </c>
      <c r="E32" s="13">
        <v>17</v>
      </c>
    </row>
    <row r="33" spans="1:5" x14ac:dyDescent="0.3">
      <c r="A33" s="13" t="s">
        <v>1</v>
      </c>
      <c r="B33" s="13" t="s">
        <v>2093</v>
      </c>
      <c r="C33" s="13">
        <v>9</v>
      </c>
      <c r="D33" s="13">
        <v>4</v>
      </c>
      <c r="E33" s="13">
        <v>12</v>
      </c>
    </row>
    <row r="34" spans="1:5" x14ac:dyDescent="0.3">
      <c r="A34" s="13" t="s">
        <v>1</v>
      </c>
      <c r="B34" s="13" t="s">
        <v>279</v>
      </c>
      <c r="C34" s="13">
        <v>6</v>
      </c>
      <c r="D34" s="13">
        <v>4</v>
      </c>
      <c r="E34" s="13">
        <v>6</v>
      </c>
    </row>
    <row r="35" spans="1:5" x14ac:dyDescent="0.3">
      <c r="A35" s="13" t="s">
        <v>0</v>
      </c>
      <c r="B35" s="13" t="s">
        <v>67</v>
      </c>
      <c r="C35" s="13">
        <v>5</v>
      </c>
      <c r="D35" s="13">
        <v>4</v>
      </c>
      <c r="E35" s="13">
        <v>8</v>
      </c>
    </row>
    <row r="36" spans="1:5" x14ac:dyDescent="0.3">
      <c r="A36" s="13" t="s">
        <v>1</v>
      </c>
      <c r="B36" s="13" t="s">
        <v>47</v>
      </c>
      <c r="C36" s="13">
        <v>5</v>
      </c>
      <c r="D36" s="13">
        <v>3</v>
      </c>
      <c r="E36" s="13">
        <v>6</v>
      </c>
    </row>
    <row r="37" spans="1:5" x14ac:dyDescent="0.3">
      <c r="A37" s="13" t="s">
        <v>1</v>
      </c>
      <c r="B37" s="13" t="s">
        <v>346</v>
      </c>
      <c r="C37" s="13">
        <v>4</v>
      </c>
      <c r="D37" s="13">
        <v>3</v>
      </c>
      <c r="E37" s="13">
        <v>5</v>
      </c>
    </row>
    <row r="38" spans="1:5" x14ac:dyDescent="0.3">
      <c r="A38" s="13" t="s">
        <v>1</v>
      </c>
      <c r="B38" s="13" t="s">
        <v>34</v>
      </c>
      <c r="C38" s="13">
        <v>3</v>
      </c>
      <c r="D38" s="13">
        <v>3</v>
      </c>
      <c r="E38" s="13">
        <v>3</v>
      </c>
    </row>
    <row r="39" spans="1:5" x14ac:dyDescent="0.3">
      <c r="A39" s="13" t="s">
        <v>1</v>
      </c>
      <c r="B39" s="13" t="s">
        <v>80</v>
      </c>
      <c r="C39" s="13">
        <v>4</v>
      </c>
      <c r="D39" s="13">
        <v>3</v>
      </c>
      <c r="E39" s="13">
        <v>4</v>
      </c>
    </row>
    <row r="40" spans="1:5" x14ac:dyDescent="0.3">
      <c r="A40" s="13" t="s">
        <v>1</v>
      </c>
      <c r="B40" s="13" t="s">
        <v>304</v>
      </c>
      <c r="C40" s="13">
        <v>3</v>
      </c>
      <c r="D40" s="13">
        <v>3</v>
      </c>
      <c r="E40" s="13">
        <v>4</v>
      </c>
    </row>
    <row r="41" spans="1:5" x14ac:dyDescent="0.3">
      <c r="A41" s="13" t="s">
        <v>1</v>
      </c>
      <c r="B41" s="13" t="s">
        <v>83</v>
      </c>
      <c r="C41" s="13">
        <v>3</v>
      </c>
      <c r="D41" s="13">
        <v>3</v>
      </c>
      <c r="E41" s="13">
        <v>3</v>
      </c>
    </row>
    <row r="42" spans="1:5" x14ac:dyDescent="0.3">
      <c r="A42" s="13" t="s">
        <v>1</v>
      </c>
      <c r="B42" s="13" t="s">
        <v>215</v>
      </c>
      <c r="C42" s="13">
        <v>8</v>
      </c>
      <c r="D42" s="13">
        <v>3</v>
      </c>
      <c r="E42" s="13">
        <v>10</v>
      </c>
    </row>
    <row r="43" spans="1:5" x14ac:dyDescent="0.3">
      <c r="A43" s="13" t="s">
        <v>1</v>
      </c>
      <c r="B43" s="13" t="s">
        <v>42</v>
      </c>
      <c r="C43" s="13">
        <v>4</v>
      </c>
      <c r="D43" s="13">
        <v>3</v>
      </c>
      <c r="E43" s="13">
        <v>4</v>
      </c>
    </row>
    <row r="44" spans="1:5" x14ac:dyDescent="0.3">
      <c r="A44" s="13" t="s">
        <v>1</v>
      </c>
      <c r="B44" s="13" t="s">
        <v>93</v>
      </c>
      <c r="C44" s="13">
        <v>5</v>
      </c>
      <c r="D44" s="13">
        <v>3</v>
      </c>
      <c r="E44" s="13">
        <v>5</v>
      </c>
    </row>
    <row r="45" spans="1:5" x14ac:dyDescent="0.3">
      <c r="A45" s="13" t="s">
        <v>1</v>
      </c>
      <c r="B45" s="13" t="s">
        <v>94</v>
      </c>
      <c r="C45" s="13">
        <v>8</v>
      </c>
      <c r="D45" s="13">
        <v>3</v>
      </c>
      <c r="E45" s="13">
        <v>9</v>
      </c>
    </row>
    <row r="46" spans="1:5" x14ac:dyDescent="0.3">
      <c r="A46" s="13" t="s">
        <v>1</v>
      </c>
      <c r="B46" s="13" t="s">
        <v>1645</v>
      </c>
      <c r="C46" s="13">
        <v>4</v>
      </c>
      <c r="D46" s="13">
        <v>3</v>
      </c>
      <c r="E46" s="13">
        <v>4</v>
      </c>
    </row>
    <row r="47" spans="1:5" x14ac:dyDescent="0.3">
      <c r="A47" s="13" t="s">
        <v>1</v>
      </c>
      <c r="B47" s="13" t="s">
        <v>1960</v>
      </c>
      <c r="C47" s="13">
        <v>3</v>
      </c>
      <c r="D47" s="13">
        <v>3</v>
      </c>
      <c r="E47" s="13">
        <v>3</v>
      </c>
    </row>
    <row r="48" spans="1:5" x14ac:dyDescent="0.3">
      <c r="A48" s="13" t="s">
        <v>1</v>
      </c>
      <c r="B48" s="13" t="s">
        <v>95</v>
      </c>
      <c r="C48" s="13">
        <v>3</v>
      </c>
      <c r="D48" s="13">
        <v>3</v>
      </c>
      <c r="E48" s="13">
        <v>3</v>
      </c>
    </row>
    <row r="49" spans="1:5" x14ac:dyDescent="0.3">
      <c r="A49" s="13" t="s">
        <v>1</v>
      </c>
      <c r="B49" s="13" t="s">
        <v>102</v>
      </c>
      <c r="C49" s="13">
        <v>4</v>
      </c>
      <c r="D49" s="13">
        <v>3</v>
      </c>
      <c r="E49" s="13">
        <v>5</v>
      </c>
    </row>
    <row r="50" spans="1:5" x14ac:dyDescent="0.3">
      <c r="A50" s="13" t="s">
        <v>1</v>
      </c>
      <c r="B50" s="13" t="s">
        <v>195</v>
      </c>
      <c r="C50" s="13">
        <v>3</v>
      </c>
      <c r="D50" s="13">
        <v>3</v>
      </c>
      <c r="E50" s="13">
        <v>3</v>
      </c>
    </row>
    <row r="51" spans="1:5" x14ac:dyDescent="0.3">
      <c r="A51" s="13" t="s">
        <v>1</v>
      </c>
      <c r="B51" s="13" t="s">
        <v>394</v>
      </c>
      <c r="C51" s="13">
        <v>3</v>
      </c>
      <c r="D51" s="13">
        <v>3</v>
      </c>
      <c r="E51" s="13">
        <v>3</v>
      </c>
    </row>
    <row r="52" spans="1:5" x14ac:dyDescent="0.3">
      <c r="A52" s="13" t="s">
        <v>1</v>
      </c>
      <c r="B52" s="13" t="s">
        <v>1107</v>
      </c>
      <c r="C52" s="13">
        <v>3</v>
      </c>
      <c r="D52" s="13">
        <v>3</v>
      </c>
      <c r="E52" s="13">
        <v>4</v>
      </c>
    </row>
    <row r="53" spans="1:5" x14ac:dyDescent="0.3">
      <c r="A53" s="13" t="s">
        <v>1</v>
      </c>
      <c r="B53" s="13" t="s">
        <v>115</v>
      </c>
      <c r="C53" s="13">
        <v>3</v>
      </c>
      <c r="D53" s="13">
        <v>3</v>
      </c>
      <c r="E53" s="13">
        <v>3</v>
      </c>
    </row>
    <row r="54" spans="1:5" x14ac:dyDescent="0.3">
      <c r="A54" s="13" t="s">
        <v>1</v>
      </c>
      <c r="B54" s="13" t="s">
        <v>434</v>
      </c>
      <c r="C54" s="13">
        <v>3</v>
      </c>
      <c r="D54" s="13">
        <v>3</v>
      </c>
      <c r="E54" s="13">
        <v>3</v>
      </c>
    </row>
    <row r="55" spans="1:5" x14ac:dyDescent="0.3">
      <c r="A55" s="13" t="s">
        <v>1</v>
      </c>
      <c r="B55" s="13" t="s">
        <v>120</v>
      </c>
      <c r="C55" s="13">
        <v>4</v>
      </c>
      <c r="D55" s="13">
        <v>3</v>
      </c>
      <c r="E55" s="13">
        <v>4</v>
      </c>
    </row>
    <row r="56" spans="1:5" x14ac:dyDescent="0.3">
      <c r="A56" s="13" t="s">
        <v>1</v>
      </c>
      <c r="B56" s="13" t="s">
        <v>31</v>
      </c>
      <c r="C56" s="13">
        <v>4</v>
      </c>
      <c r="D56" s="13">
        <v>3</v>
      </c>
      <c r="E56" s="13">
        <v>4</v>
      </c>
    </row>
    <row r="57" spans="1:5" x14ac:dyDescent="0.3">
      <c r="A57" s="13" t="s">
        <v>1</v>
      </c>
      <c r="B57" s="13" t="s">
        <v>32</v>
      </c>
      <c r="C57" s="13">
        <v>10</v>
      </c>
      <c r="D57" s="13">
        <v>3</v>
      </c>
      <c r="E57" s="13">
        <v>14</v>
      </c>
    </row>
    <row r="58" spans="1:5" x14ac:dyDescent="0.3">
      <c r="A58" s="13" t="s">
        <v>0</v>
      </c>
      <c r="B58" s="13" t="s">
        <v>73</v>
      </c>
      <c r="C58" s="13">
        <v>3</v>
      </c>
      <c r="D58" s="13">
        <v>3</v>
      </c>
      <c r="E58" s="13">
        <v>3</v>
      </c>
    </row>
    <row r="59" spans="1:5" x14ac:dyDescent="0.3">
      <c r="A59" s="13" t="s">
        <v>0</v>
      </c>
      <c r="B59" s="13" t="s">
        <v>34</v>
      </c>
      <c r="C59" s="13">
        <v>3</v>
      </c>
      <c r="D59" s="13">
        <v>3</v>
      </c>
      <c r="E59" s="13">
        <v>3</v>
      </c>
    </row>
    <row r="60" spans="1:5" x14ac:dyDescent="0.3">
      <c r="A60" s="13" t="s">
        <v>0</v>
      </c>
      <c r="B60" s="13" t="s">
        <v>1019</v>
      </c>
      <c r="C60" s="13">
        <v>3</v>
      </c>
      <c r="D60" s="13">
        <v>3</v>
      </c>
      <c r="E60" s="13">
        <v>3</v>
      </c>
    </row>
    <row r="61" spans="1:5" x14ac:dyDescent="0.3">
      <c r="A61" s="13" t="s">
        <v>0</v>
      </c>
      <c r="B61" s="13" t="s">
        <v>1882</v>
      </c>
      <c r="C61" s="13">
        <v>5</v>
      </c>
      <c r="D61" s="13">
        <v>3</v>
      </c>
      <c r="E61" s="13">
        <v>6</v>
      </c>
    </row>
    <row r="62" spans="1:5" x14ac:dyDescent="0.3">
      <c r="A62" s="13" t="s">
        <v>0</v>
      </c>
      <c r="B62" s="13" t="s">
        <v>2339</v>
      </c>
      <c r="C62" s="13">
        <v>4</v>
      </c>
      <c r="D62" s="13">
        <v>3</v>
      </c>
      <c r="E62" s="13">
        <v>5</v>
      </c>
    </row>
    <row r="63" spans="1:5" x14ac:dyDescent="0.3">
      <c r="A63" s="13" t="s">
        <v>0</v>
      </c>
      <c r="B63" s="13" t="s">
        <v>1629</v>
      </c>
      <c r="C63" s="13">
        <v>3</v>
      </c>
      <c r="D63" s="13">
        <v>3</v>
      </c>
      <c r="E63" s="13">
        <v>3</v>
      </c>
    </row>
    <row r="64" spans="1:5" x14ac:dyDescent="0.3">
      <c r="A64" s="13" t="s">
        <v>0</v>
      </c>
      <c r="B64" s="13" t="s">
        <v>476</v>
      </c>
      <c r="C64" s="13">
        <v>3</v>
      </c>
      <c r="D64" s="13">
        <v>3</v>
      </c>
      <c r="E64" s="13">
        <v>5</v>
      </c>
    </row>
    <row r="65" spans="1:5" x14ac:dyDescent="0.3">
      <c r="A65" s="13" t="s">
        <v>0</v>
      </c>
      <c r="B65" s="13" t="s">
        <v>51</v>
      </c>
      <c r="C65" s="13">
        <v>3</v>
      </c>
      <c r="D65" s="13">
        <v>3</v>
      </c>
      <c r="E65" s="13">
        <v>5</v>
      </c>
    </row>
    <row r="66" spans="1:5" x14ac:dyDescent="0.3">
      <c r="A66" s="13" t="s">
        <v>0</v>
      </c>
      <c r="B66" s="13" t="s">
        <v>579</v>
      </c>
      <c r="C66" s="13">
        <v>3</v>
      </c>
      <c r="D66" s="13">
        <v>3</v>
      </c>
      <c r="E66" s="13">
        <v>3</v>
      </c>
    </row>
    <row r="67" spans="1:5" x14ac:dyDescent="0.3">
      <c r="A67" s="13" t="s">
        <v>0</v>
      </c>
      <c r="B67" s="13" t="s">
        <v>514</v>
      </c>
      <c r="C67" s="13">
        <v>3</v>
      </c>
      <c r="D67" s="13">
        <v>3</v>
      </c>
      <c r="E67" s="13">
        <v>3</v>
      </c>
    </row>
    <row r="68" spans="1:5" x14ac:dyDescent="0.3">
      <c r="A68" s="13" t="s">
        <v>0</v>
      </c>
      <c r="B68" s="13" t="s">
        <v>115</v>
      </c>
      <c r="C68" s="13">
        <v>3</v>
      </c>
      <c r="D68" s="13">
        <v>3</v>
      </c>
      <c r="E68" s="13">
        <v>4</v>
      </c>
    </row>
    <row r="69" spans="1:5" x14ac:dyDescent="0.3">
      <c r="A69" s="13" t="s">
        <v>0</v>
      </c>
      <c r="B69" s="13" t="s">
        <v>121</v>
      </c>
      <c r="C69" s="13">
        <v>3</v>
      </c>
      <c r="D69" s="13">
        <v>3</v>
      </c>
      <c r="E69" s="13">
        <v>3</v>
      </c>
    </row>
    <row r="70" spans="1:5" x14ac:dyDescent="0.3">
      <c r="A70" s="13" t="s">
        <v>0</v>
      </c>
      <c r="B70" s="13" t="s">
        <v>174</v>
      </c>
      <c r="C70" s="13">
        <v>3</v>
      </c>
      <c r="D70" s="13">
        <v>3</v>
      </c>
      <c r="E70" s="13">
        <v>4</v>
      </c>
    </row>
    <row r="71" spans="1:5" x14ac:dyDescent="0.3">
      <c r="A71" s="13" t="s">
        <v>0</v>
      </c>
      <c r="B71" s="13" t="s">
        <v>255</v>
      </c>
      <c r="C71" s="13">
        <v>3</v>
      </c>
      <c r="D71" s="13">
        <v>3</v>
      </c>
      <c r="E71" s="13">
        <v>3</v>
      </c>
    </row>
    <row r="72" spans="1:5" x14ac:dyDescent="0.3">
      <c r="A72" s="13" t="s">
        <v>0</v>
      </c>
      <c r="B72" s="13" t="s">
        <v>2550</v>
      </c>
      <c r="C72" s="13">
        <v>3</v>
      </c>
      <c r="D72" s="13">
        <v>3</v>
      </c>
      <c r="E72" s="13"/>
    </row>
    <row r="73" spans="1:5" x14ac:dyDescent="0.3">
      <c r="A73" s="13" t="s">
        <v>2</v>
      </c>
      <c r="B73" s="13" t="s">
        <v>1741</v>
      </c>
      <c r="C73" s="13">
        <v>3</v>
      </c>
      <c r="D73" s="13">
        <v>3</v>
      </c>
      <c r="E73" s="13">
        <v>4</v>
      </c>
    </row>
    <row r="74" spans="1:5" x14ac:dyDescent="0.3">
      <c r="A74" s="13" t="s">
        <v>1</v>
      </c>
      <c r="B74" s="13" t="s">
        <v>36</v>
      </c>
      <c r="C74" s="13">
        <v>6</v>
      </c>
      <c r="D74" s="13">
        <v>2</v>
      </c>
      <c r="E74" s="13">
        <v>6</v>
      </c>
    </row>
    <row r="75" spans="1:5" x14ac:dyDescent="0.3">
      <c r="A75" s="13" t="s">
        <v>1</v>
      </c>
      <c r="B75" s="13" t="s">
        <v>380</v>
      </c>
      <c r="C75" s="13">
        <v>2</v>
      </c>
      <c r="D75" s="13">
        <v>2</v>
      </c>
      <c r="E75" s="13">
        <v>2</v>
      </c>
    </row>
    <row r="76" spans="1:5" x14ac:dyDescent="0.3">
      <c r="A76" s="13" t="s">
        <v>1</v>
      </c>
      <c r="B76" s="13" t="s">
        <v>462</v>
      </c>
      <c r="C76" s="13">
        <v>2</v>
      </c>
      <c r="D76" s="13">
        <v>2</v>
      </c>
      <c r="E76" s="13">
        <v>2</v>
      </c>
    </row>
    <row r="77" spans="1:5" x14ac:dyDescent="0.3">
      <c r="A77" s="13" t="s">
        <v>1</v>
      </c>
      <c r="B77" s="13" t="s">
        <v>490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33</v>
      </c>
      <c r="C78" s="13">
        <v>2</v>
      </c>
      <c r="D78" s="13">
        <v>2</v>
      </c>
      <c r="E78" s="13">
        <v>2</v>
      </c>
    </row>
    <row r="79" spans="1:5" x14ac:dyDescent="0.3">
      <c r="A79" s="13" t="s">
        <v>1</v>
      </c>
      <c r="B79" s="13" t="s">
        <v>670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140</v>
      </c>
      <c r="C80" s="13">
        <v>2</v>
      </c>
      <c r="D80" s="13">
        <v>2</v>
      </c>
      <c r="E80" s="13">
        <v>2</v>
      </c>
    </row>
    <row r="81" spans="1:5" x14ac:dyDescent="0.3">
      <c r="A81" s="13" t="s">
        <v>1</v>
      </c>
      <c r="B81" s="13" t="s">
        <v>204</v>
      </c>
      <c r="C81" s="13">
        <v>2</v>
      </c>
      <c r="D81" s="13">
        <v>2</v>
      </c>
      <c r="E81" s="13">
        <v>4</v>
      </c>
    </row>
    <row r="82" spans="1:5" x14ac:dyDescent="0.3">
      <c r="A82" s="13" t="s">
        <v>1</v>
      </c>
      <c r="B82" s="13" t="s">
        <v>81</v>
      </c>
      <c r="C82" s="13">
        <v>2</v>
      </c>
      <c r="D82" s="13">
        <v>2</v>
      </c>
      <c r="E82" s="13">
        <v>3</v>
      </c>
    </row>
    <row r="83" spans="1:5" x14ac:dyDescent="0.3">
      <c r="A83" s="13" t="s">
        <v>1</v>
      </c>
      <c r="B83" s="13" t="s">
        <v>145</v>
      </c>
      <c r="C83" s="13">
        <v>2</v>
      </c>
      <c r="D83" s="13">
        <v>2</v>
      </c>
      <c r="E83" s="13">
        <v>2</v>
      </c>
    </row>
    <row r="84" spans="1:5" x14ac:dyDescent="0.3">
      <c r="A84" s="13" t="s">
        <v>1</v>
      </c>
      <c r="B84" s="13" t="s">
        <v>147</v>
      </c>
      <c r="C84" s="13">
        <v>3</v>
      </c>
      <c r="D84" s="13">
        <v>2</v>
      </c>
      <c r="E84" s="13">
        <v>3</v>
      </c>
    </row>
    <row r="85" spans="1:5" x14ac:dyDescent="0.3">
      <c r="A85" s="13" t="s">
        <v>1</v>
      </c>
      <c r="B85" s="13" t="s">
        <v>148</v>
      </c>
      <c r="C85" s="13">
        <v>4</v>
      </c>
      <c r="D85" s="13">
        <v>2</v>
      </c>
      <c r="E85" s="13">
        <v>4</v>
      </c>
    </row>
    <row r="86" spans="1:5" x14ac:dyDescent="0.3">
      <c r="A86" s="13" t="s">
        <v>1</v>
      </c>
      <c r="B86" s="13" t="s">
        <v>87</v>
      </c>
      <c r="C86" s="13">
        <v>2</v>
      </c>
      <c r="D86" s="13">
        <v>2</v>
      </c>
      <c r="E86" s="13">
        <v>2</v>
      </c>
    </row>
    <row r="87" spans="1:5" x14ac:dyDescent="0.3">
      <c r="A87" s="13" t="s">
        <v>1</v>
      </c>
      <c r="B87" s="13" t="s">
        <v>272</v>
      </c>
      <c r="C87" s="13">
        <v>5</v>
      </c>
      <c r="D87" s="13">
        <v>2</v>
      </c>
      <c r="E87" s="13">
        <v>5</v>
      </c>
    </row>
    <row r="88" spans="1:5" x14ac:dyDescent="0.3">
      <c r="A88" s="13" t="s">
        <v>1</v>
      </c>
      <c r="B88" s="13" t="s">
        <v>1849</v>
      </c>
      <c r="C88" s="13">
        <v>5</v>
      </c>
      <c r="D88" s="13">
        <v>2</v>
      </c>
      <c r="E88" s="13">
        <v>4</v>
      </c>
    </row>
    <row r="89" spans="1:5" x14ac:dyDescent="0.3">
      <c r="A89" s="13" t="s">
        <v>1</v>
      </c>
      <c r="B89" s="13" t="s">
        <v>1882</v>
      </c>
      <c r="C89" s="13">
        <v>7</v>
      </c>
      <c r="D89" s="13">
        <v>2</v>
      </c>
      <c r="E89" s="13">
        <v>7</v>
      </c>
    </row>
    <row r="90" spans="1:5" x14ac:dyDescent="0.3">
      <c r="A90" s="13" t="s">
        <v>1</v>
      </c>
      <c r="B90" s="13" t="s">
        <v>476</v>
      </c>
      <c r="C90" s="13">
        <v>2</v>
      </c>
      <c r="D90" s="13">
        <v>2</v>
      </c>
      <c r="E90" s="13">
        <v>2</v>
      </c>
    </row>
    <row r="91" spans="1:5" x14ac:dyDescent="0.3">
      <c r="A91" s="13" t="s">
        <v>1</v>
      </c>
      <c r="B91" s="13" t="s">
        <v>889</v>
      </c>
      <c r="C91" s="13">
        <v>3</v>
      </c>
      <c r="D91" s="13">
        <v>2</v>
      </c>
      <c r="E91" s="13">
        <v>6</v>
      </c>
    </row>
    <row r="92" spans="1:5" x14ac:dyDescent="0.3">
      <c r="A92" s="13" t="s">
        <v>1</v>
      </c>
      <c r="B92" s="13" t="s">
        <v>890</v>
      </c>
      <c r="C92" s="13">
        <v>3</v>
      </c>
      <c r="D92" s="13">
        <v>2</v>
      </c>
      <c r="E92" s="13">
        <v>4</v>
      </c>
    </row>
    <row r="93" spans="1:5" x14ac:dyDescent="0.3">
      <c r="A93" s="13" t="s">
        <v>1</v>
      </c>
      <c r="B93" s="13" t="s">
        <v>258</v>
      </c>
      <c r="C93" s="13">
        <v>4</v>
      </c>
      <c r="D93" s="13">
        <v>2</v>
      </c>
      <c r="E93" s="13">
        <v>5</v>
      </c>
    </row>
    <row r="94" spans="1:5" x14ac:dyDescent="0.3">
      <c r="A94" s="13" t="s">
        <v>1</v>
      </c>
      <c r="B94" s="13" t="s">
        <v>101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105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43</v>
      </c>
      <c r="C96" s="13">
        <v>2</v>
      </c>
      <c r="D96" s="13">
        <v>2</v>
      </c>
      <c r="E96" s="13">
        <v>3</v>
      </c>
    </row>
    <row r="97" spans="1:5" x14ac:dyDescent="0.3">
      <c r="A97" s="13" t="s">
        <v>1</v>
      </c>
      <c r="B97" s="13" t="s">
        <v>164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429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45</v>
      </c>
      <c r="C99" s="13">
        <v>3</v>
      </c>
      <c r="D99" s="13">
        <v>2</v>
      </c>
      <c r="E99" s="13">
        <v>3</v>
      </c>
    </row>
    <row r="100" spans="1:5" x14ac:dyDescent="0.3">
      <c r="A100" s="13" t="s">
        <v>1</v>
      </c>
      <c r="B100" s="13" t="s">
        <v>320</v>
      </c>
      <c r="C100" s="13">
        <v>4</v>
      </c>
      <c r="D100" s="13">
        <v>2</v>
      </c>
      <c r="E100" s="13">
        <v>6</v>
      </c>
    </row>
    <row r="101" spans="1:5" x14ac:dyDescent="0.3">
      <c r="A101" s="13" t="s">
        <v>1</v>
      </c>
      <c r="B101" s="13" t="s">
        <v>623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1</v>
      </c>
      <c r="B102" s="13" t="s">
        <v>1190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1</v>
      </c>
      <c r="B103" s="13" t="s">
        <v>196</v>
      </c>
      <c r="C103" s="13">
        <v>4</v>
      </c>
      <c r="D103" s="13">
        <v>2</v>
      </c>
      <c r="E103" s="13">
        <v>3</v>
      </c>
    </row>
    <row r="104" spans="1:5" x14ac:dyDescent="0.3">
      <c r="A104" s="13" t="s">
        <v>1</v>
      </c>
      <c r="B104" s="13" t="s">
        <v>631</v>
      </c>
      <c r="C104" s="13">
        <v>4</v>
      </c>
      <c r="D104" s="13">
        <v>2</v>
      </c>
      <c r="E104" s="13">
        <v>4</v>
      </c>
    </row>
    <row r="105" spans="1:5" x14ac:dyDescent="0.3">
      <c r="A105" s="13" t="s">
        <v>1</v>
      </c>
      <c r="B105" s="13" t="s">
        <v>178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1</v>
      </c>
      <c r="B106" s="13" t="s">
        <v>124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1</v>
      </c>
      <c r="B107" s="13" t="s">
        <v>38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716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132</v>
      </c>
      <c r="C109" s="13">
        <v>3</v>
      </c>
      <c r="D109" s="13">
        <v>2</v>
      </c>
      <c r="E109" s="13">
        <v>4</v>
      </c>
    </row>
    <row r="110" spans="1:5" x14ac:dyDescent="0.3">
      <c r="A110" s="13" t="s">
        <v>1</v>
      </c>
      <c r="B110" s="13" t="s">
        <v>191</v>
      </c>
      <c r="C110" s="13">
        <v>8</v>
      </c>
      <c r="D110" s="13">
        <v>2</v>
      </c>
      <c r="E110" s="13">
        <v>12</v>
      </c>
    </row>
    <row r="111" spans="1:5" x14ac:dyDescent="0.3">
      <c r="A111" s="13" t="s">
        <v>1</v>
      </c>
      <c r="B111" s="13" t="s">
        <v>67</v>
      </c>
      <c r="C111" s="13">
        <v>2</v>
      </c>
      <c r="D111" s="13">
        <v>2</v>
      </c>
      <c r="E111" s="13">
        <v>4</v>
      </c>
    </row>
    <row r="112" spans="1:5" x14ac:dyDescent="0.3">
      <c r="A112" s="13" t="s">
        <v>1</v>
      </c>
      <c r="B112" s="13" t="s">
        <v>1394</v>
      </c>
      <c r="C112" s="13">
        <v>2</v>
      </c>
      <c r="D112" s="13">
        <v>2</v>
      </c>
      <c r="E112" s="13">
        <v>3</v>
      </c>
    </row>
    <row r="113" spans="1:5" x14ac:dyDescent="0.3">
      <c r="A113" s="13" t="s">
        <v>0</v>
      </c>
      <c r="B113" s="13" t="s">
        <v>373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0</v>
      </c>
      <c r="B114" s="13" t="s">
        <v>48</v>
      </c>
      <c r="C114" s="13">
        <v>2</v>
      </c>
      <c r="D114" s="13">
        <v>2</v>
      </c>
      <c r="E114" s="13">
        <v>2</v>
      </c>
    </row>
    <row r="115" spans="1:5" x14ac:dyDescent="0.3">
      <c r="A115" s="13" t="s">
        <v>0</v>
      </c>
      <c r="B115" s="13" t="s">
        <v>40</v>
      </c>
      <c r="C115" s="13">
        <v>2</v>
      </c>
      <c r="D115" s="13">
        <v>2</v>
      </c>
      <c r="E115" s="13">
        <v>2</v>
      </c>
    </row>
    <row r="116" spans="1:5" x14ac:dyDescent="0.3">
      <c r="A116" s="13" t="s">
        <v>0</v>
      </c>
      <c r="B116" s="13" t="s">
        <v>260</v>
      </c>
      <c r="C116" s="13">
        <v>2</v>
      </c>
      <c r="D116" s="13">
        <v>2</v>
      </c>
      <c r="E116" s="13">
        <v>2</v>
      </c>
    </row>
    <row r="117" spans="1:5" x14ac:dyDescent="0.3">
      <c r="A117" s="13" t="s">
        <v>0</v>
      </c>
      <c r="B117" s="13" t="s">
        <v>147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0</v>
      </c>
      <c r="B118" s="13" t="s">
        <v>354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0</v>
      </c>
      <c r="B119" s="13" t="s">
        <v>61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0</v>
      </c>
      <c r="B120" s="13" t="s">
        <v>2093</v>
      </c>
      <c r="C120" s="13">
        <v>2</v>
      </c>
      <c r="D120" s="13">
        <v>2</v>
      </c>
      <c r="E120" s="13">
        <v>2</v>
      </c>
    </row>
    <row r="121" spans="1:5" x14ac:dyDescent="0.3">
      <c r="A121" s="13" t="s">
        <v>0</v>
      </c>
      <c r="B121" s="13" t="s">
        <v>2148</v>
      </c>
      <c r="C121" s="13">
        <v>5</v>
      </c>
      <c r="D121" s="13">
        <v>2</v>
      </c>
      <c r="E121" s="13">
        <v>5</v>
      </c>
    </row>
    <row r="122" spans="1:5" x14ac:dyDescent="0.3">
      <c r="A122" s="13" t="s">
        <v>0</v>
      </c>
      <c r="B122" s="13" t="s">
        <v>510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1055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0</v>
      </c>
      <c r="B124" s="13" t="s">
        <v>168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45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0</v>
      </c>
      <c r="B126" s="13" t="s">
        <v>625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0</v>
      </c>
      <c r="B127" s="13" t="s">
        <v>120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62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0</v>
      </c>
      <c r="B129" s="13" t="s">
        <v>46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0</v>
      </c>
      <c r="B130" s="13" t="s">
        <v>537</v>
      </c>
      <c r="C130" s="13">
        <v>3</v>
      </c>
      <c r="D130" s="13">
        <v>2</v>
      </c>
      <c r="E130" s="13">
        <v>5</v>
      </c>
    </row>
    <row r="131" spans="1:5" x14ac:dyDescent="0.3">
      <c r="A131" s="13" t="s">
        <v>0</v>
      </c>
      <c r="B131" s="13" t="s">
        <v>2045</v>
      </c>
      <c r="C131" s="13">
        <v>3</v>
      </c>
      <c r="D131" s="13">
        <v>2</v>
      </c>
      <c r="E131" s="13">
        <v>3</v>
      </c>
    </row>
    <row r="132" spans="1:5" x14ac:dyDescent="0.3">
      <c r="A132" s="13" t="s">
        <v>0</v>
      </c>
      <c r="B132" s="13" t="s">
        <v>52</v>
      </c>
      <c r="C132" s="13">
        <v>2</v>
      </c>
      <c r="D132" s="13">
        <v>2</v>
      </c>
      <c r="E132" s="13">
        <v>2</v>
      </c>
    </row>
    <row r="133" spans="1:5" x14ac:dyDescent="0.3">
      <c r="A133" s="13" t="s">
        <v>2</v>
      </c>
      <c r="B133" s="13" t="s">
        <v>165</v>
      </c>
      <c r="C133" s="13">
        <v>2</v>
      </c>
      <c r="D133" s="13">
        <v>2</v>
      </c>
      <c r="E133" s="13">
        <v>2</v>
      </c>
    </row>
    <row r="134" spans="1:5" x14ac:dyDescent="0.3">
      <c r="A134" s="13" t="s">
        <v>1</v>
      </c>
      <c r="B134" s="13" t="s">
        <v>137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238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1465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300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1224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261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875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1018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73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375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2551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811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420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382</v>
      </c>
      <c r="C147" s="13">
        <v>1</v>
      </c>
      <c r="D147" s="13">
        <v>1</v>
      </c>
      <c r="E147" s="13">
        <v>2</v>
      </c>
    </row>
    <row r="148" spans="1:5" x14ac:dyDescent="0.3">
      <c r="A148" s="13" t="s">
        <v>1</v>
      </c>
      <c r="B148" s="13" t="s">
        <v>1158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302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556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206</v>
      </c>
      <c r="C151" s="13">
        <v>3</v>
      </c>
      <c r="D151" s="13">
        <v>1</v>
      </c>
      <c r="E151" s="13">
        <v>3</v>
      </c>
    </row>
    <row r="152" spans="1:5" x14ac:dyDescent="0.3">
      <c r="A152" s="13" t="s">
        <v>1</v>
      </c>
      <c r="B152" s="13" t="s">
        <v>142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345</v>
      </c>
      <c r="C153" s="13">
        <v>4</v>
      </c>
      <c r="D153" s="13">
        <v>1</v>
      </c>
      <c r="E153" s="13">
        <v>3</v>
      </c>
    </row>
    <row r="154" spans="1:5" x14ac:dyDescent="0.3">
      <c r="A154" s="13" t="s">
        <v>1</v>
      </c>
      <c r="B154" s="13" t="s">
        <v>499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929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77</v>
      </c>
      <c r="C156" s="13">
        <v>4</v>
      </c>
      <c r="D156" s="13">
        <v>1</v>
      </c>
      <c r="E156" s="13">
        <v>4</v>
      </c>
    </row>
    <row r="157" spans="1:5" x14ac:dyDescent="0.3">
      <c r="A157" s="13" t="s">
        <v>1</v>
      </c>
      <c r="B157" s="13" t="s">
        <v>207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243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1617</v>
      </c>
      <c r="C159" s="13">
        <v>2</v>
      </c>
      <c r="D159" s="13">
        <v>1</v>
      </c>
      <c r="E159" s="13">
        <v>2</v>
      </c>
    </row>
    <row r="160" spans="1:5" x14ac:dyDescent="0.3">
      <c r="A160" s="13" t="s">
        <v>1</v>
      </c>
      <c r="B160" s="13" t="s">
        <v>557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269</v>
      </c>
      <c r="C161" s="13">
        <v>2</v>
      </c>
      <c r="D161" s="13">
        <v>1</v>
      </c>
      <c r="E161" s="13">
        <v>2</v>
      </c>
    </row>
    <row r="162" spans="1:5" x14ac:dyDescent="0.3">
      <c r="A162" s="13" t="s">
        <v>1</v>
      </c>
      <c r="B162" s="13" t="s">
        <v>796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1180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84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1124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349</v>
      </c>
      <c r="C166" s="13">
        <v>4</v>
      </c>
      <c r="D166" s="13">
        <v>1</v>
      </c>
      <c r="E166" s="13">
        <v>6</v>
      </c>
    </row>
    <row r="167" spans="1:5" x14ac:dyDescent="0.3">
      <c r="A167" s="13" t="s">
        <v>1</v>
      </c>
      <c r="B167" s="13" t="s">
        <v>464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1160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605</v>
      </c>
      <c r="C169" s="13">
        <v>5</v>
      </c>
      <c r="D169" s="13">
        <v>1</v>
      </c>
      <c r="E169" s="13">
        <v>6</v>
      </c>
    </row>
    <row r="170" spans="1:5" x14ac:dyDescent="0.3">
      <c r="A170" s="13" t="s">
        <v>1</v>
      </c>
      <c r="B170" s="13" t="s">
        <v>244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150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424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151</v>
      </c>
      <c r="C173" s="13">
        <v>4</v>
      </c>
      <c r="D173" s="13">
        <v>1</v>
      </c>
      <c r="E173" s="13">
        <v>5</v>
      </c>
    </row>
    <row r="174" spans="1:5" x14ac:dyDescent="0.3">
      <c r="A174" s="13" t="s">
        <v>1</v>
      </c>
      <c r="B174" s="13" t="s">
        <v>885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658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41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356</v>
      </c>
      <c r="C177" s="13">
        <v>2</v>
      </c>
      <c r="D177" s="13">
        <v>1</v>
      </c>
      <c r="E177" s="13">
        <v>2</v>
      </c>
    </row>
    <row r="178" spans="1:5" x14ac:dyDescent="0.3">
      <c r="A178" s="13" t="s">
        <v>1</v>
      </c>
      <c r="B178" s="13" t="s">
        <v>653</v>
      </c>
      <c r="C178" s="13">
        <v>3</v>
      </c>
      <c r="D178" s="13">
        <v>1</v>
      </c>
      <c r="E178" s="13">
        <v>3</v>
      </c>
    </row>
    <row r="179" spans="1:5" x14ac:dyDescent="0.3">
      <c r="A179" s="13" t="s">
        <v>1</v>
      </c>
      <c r="B179" s="13" t="s">
        <v>1067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1370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1419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1492</v>
      </c>
      <c r="C182" s="13">
        <v>2</v>
      </c>
      <c r="D182" s="13">
        <v>1</v>
      </c>
      <c r="E182" s="13">
        <v>2</v>
      </c>
    </row>
    <row r="183" spans="1:5" x14ac:dyDescent="0.3">
      <c r="A183" s="13" t="s">
        <v>1</v>
      </c>
      <c r="B183" s="13" t="s">
        <v>1621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1674</v>
      </c>
      <c r="C184" s="13">
        <v>2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1926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1918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1888</v>
      </c>
      <c r="C187" s="13">
        <v>2</v>
      </c>
      <c r="D187" s="13">
        <v>1</v>
      </c>
      <c r="E187" s="13">
        <v>2</v>
      </c>
    </row>
    <row r="188" spans="1:5" x14ac:dyDescent="0.3">
      <c r="A188" s="13" t="s">
        <v>1</v>
      </c>
      <c r="B188" s="13" t="s">
        <v>1910</v>
      </c>
      <c r="C188" s="13">
        <v>2</v>
      </c>
      <c r="D188" s="13">
        <v>1</v>
      </c>
      <c r="E188" s="13">
        <v>2</v>
      </c>
    </row>
    <row r="189" spans="1:5" x14ac:dyDescent="0.3">
      <c r="A189" s="13" t="s">
        <v>1</v>
      </c>
      <c r="B189" s="13" t="s">
        <v>2018</v>
      </c>
      <c r="C189" s="13">
        <v>4</v>
      </c>
      <c r="D189" s="13">
        <v>1</v>
      </c>
      <c r="E189" s="13">
        <v>5</v>
      </c>
    </row>
    <row r="190" spans="1:5" x14ac:dyDescent="0.3">
      <c r="A190" s="13" t="s">
        <v>1</v>
      </c>
      <c r="B190" s="13" t="s">
        <v>2179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2335</v>
      </c>
      <c r="C191" s="13">
        <v>4</v>
      </c>
      <c r="D191" s="13">
        <v>1</v>
      </c>
      <c r="E191" s="13">
        <v>3</v>
      </c>
    </row>
    <row r="192" spans="1:5" x14ac:dyDescent="0.3">
      <c r="A192" s="13" t="s">
        <v>1</v>
      </c>
      <c r="B192" s="13" t="s">
        <v>154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1185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155</v>
      </c>
      <c r="C194" s="13">
        <v>1</v>
      </c>
      <c r="D194" s="13">
        <v>1</v>
      </c>
      <c r="E194" s="13">
        <v>2</v>
      </c>
    </row>
    <row r="195" spans="1:5" x14ac:dyDescent="0.3">
      <c r="A195" s="13" t="s">
        <v>1</v>
      </c>
      <c r="B195" s="13" t="s">
        <v>507</v>
      </c>
      <c r="C195" s="13">
        <v>5</v>
      </c>
      <c r="D195" s="13">
        <v>1</v>
      </c>
      <c r="E195" s="13">
        <v>4</v>
      </c>
    </row>
    <row r="196" spans="1:5" x14ac:dyDescent="0.3">
      <c r="A196" s="13" t="s">
        <v>1</v>
      </c>
      <c r="B196" s="13" t="s">
        <v>1179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35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1290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508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762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998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510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795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1034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156</v>
      </c>
      <c r="C205" s="13">
        <v>2</v>
      </c>
      <c r="D205" s="13">
        <v>1</v>
      </c>
      <c r="E205" s="13">
        <v>2</v>
      </c>
    </row>
    <row r="206" spans="1:5" x14ac:dyDescent="0.3">
      <c r="A206" s="13" t="s">
        <v>1</v>
      </c>
      <c r="B206" s="13" t="s">
        <v>1457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160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2013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103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312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1233</v>
      </c>
      <c r="C211" s="13">
        <v>1</v>
      </c>
      <c r="D211" s="13">
        <v>1</v>
      </c>
      <c r="E211" s="13">
        <v>3</v>
      </c>
    </row>
    <row r="212" spans="1:5" x14ac:dyDescent="0.3">
      <c r="A212" s="13" t="s">
        <v>1</v>
      </c>
      <c r="B212" s="13" t="s">
        <v>1095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2552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764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1817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1801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1449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683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1500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2553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2554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109</v>
      </c>
      <c r="C222" s="13">
        <v>3</v>
      </c>
      <c r="D222" s="13">
        <v>1</v>
      </c>
      <c r="E222" s="13">
        <v>4</v>
      </c>
    </row>
    <row r="223" spans="1:5" x14ac:dyDescent="0.3">
      <c r="A223" s="13" t="s">
        <v>1</v>
      </c>
      <c r="B223" s="13" t="s">
        <v>1582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167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169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1757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1335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281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314</v>
      </c>
      <c r="C229" s="13">
        <v>2</v>
      </c>
      <c r="D229" s="13">
        <v>1</v>
      </c>
      <c r="E229" s="13">
        <v>2</v>
      </c>
    </row>
    <row r="230" spans="1:5" x14ac:dyDescent="0.3">
      <c r="A230" s="13" t="s">
        <v>1</v>
      </c>
      <c r="B230" s="13" t="s">
        <v>568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315</v>
      </c>
      <c r="C231" s="13">
        <v>2</v>
      </c>
      <c r="D231" s="13">
        <v>1</v>
      </c>
      <c r="E231" s="13">
        <v>2</v>
      </c>
    </row>
    <row r="232" spans="1:5" x14ac:dyDescent="0.3">
      <c r="A232" s="13" t="s">
        <v>1</v>
      </c>
      <c r="B232" s="13" t="s">
        <v>317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2555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518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1938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1236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1764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1005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251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319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1488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570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693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2479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1137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1461</v>
      </c>
      <c r="C246" s="13">
        <v>1</v>
      </c>
      <c r="D246" s="13">
        <v>1</v>
      </c>
      <c r="E246" s="13">
        <v>2</v>
      </c>
    </row>
    <row r="247" spans="1:5" x14ac:dyDescent="0.3">
      <c r="A247" s="13" t="s">
        <v>1</v>
      </c>
      <c r="B247" s="13" t="s">
        <v>454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696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2082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1099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402</v>
      </c>
      <c r="C251" s="13">
        <v>2</v>
      </c>
      <c r="D251" s="13">
        <v>1</v>
      </c>
      <c r="E251" s="13">
        <v>4</v>
      </c>
    </row>
    <row r="252" spans="1:5" x14ac:dyDescent="0.3">
      <c r="A252" s="13" t="s">
        <v>1</v>
      </c>
      <c r="B252" s="13" t="s">
        <v>1093</v>
      </c>
      <c r="C252" s="13">
        <v>1</v>
      </c>
      <c r="D252" s="13">
        <v>1</v>
      </c>
      <c r="E252" s="13">
        <v>2</v>
      </c>
    </row>
    <row r="253" spans="1:5" x14ac:dyDescent="0.3">
      <c r="A253" s="13" t="s">
        <v>1</v>
      </c>
      <c r="B253" s="13" t="s">
        <v>403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328</v>
      </c>
      <c r="C254" s="13">
        <v>2</v>
      </c>
      <c r="D254" s="13">
        <v>1</v>
      </c>
      <c r="E254" s="13">
        <v>2</v>
      </c>
    </row>
    <row r="255" spans="1:5" x14ac:dyDescent="0.3">
      <c r="A255" s="13" t="s">
        <v>1</v>
      </c>
      <c r="B255" s="13" t="s">
        <v>172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1081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288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479</v>
      </c>
      <c r="C258" s="13">
        <v>2</v>
      </c>
      <c r="D258" s="13">
        <v>1</v>
      </c>
      <c r="E258" s="13">
        <v>2</v>
      </c>
    </row>
    <row r="259" spans="1:5" x14ac:dyDescent="0.3">
      <c r="A259" s="13" t="s">
        <v>1</v>
      </c>
      <c r="B259" s="13" t="s">
        <v>1815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330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118</v>
      </c>
      <c r="C261" s="13">
        <v>2</v>
      </c>
      <c r="D261" s="13">
        <v>1</v>
      </c>
      <c r="E261" s="13">
        <v>2</v>
      </c>
    </row>
    <row r="262" spans="1:5" x14ac:dyDescent="0.3">
      <c r="A262" s="13" t="s">
        <v>1</v>
      </c>
      <c r="B262" s="13" t="s">
        <v>334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2464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121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1571</v>
      </c>
      <c r="C265" s="13">
        <v>2</v>
      </c>
      <c r="D265" s="13">
        <v>1</v>
      </c>
      <c r="E265" s="13">
        <v>2</v>
      </c>
    </row>
    <row r="266" spans="1:5" x14ac:dyDescent="0.3">
      <c r="A266" s="13" t="s">
        <v>1</v>
      </c>
      <c r="B266" s="13" t="s">
        <v>661</v>
      </c>
      <c r="C266" s="13">
        <v>3</v>
      </c>
      <c r="D266" s="13">
        <v>1</v>
      </c>
      <c r="E266" s="13">
        <v>3</v>
      </c>
    </row>
    <row r="267" spans="1:5" x14ac:dyDescent="0.3">
      <c r="A267" s="13" t="s">
        <v>1</v>
      </c>
      <c r="B267" s="13" t="s">
        <v>1831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838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175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406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335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743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1263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409</v>
      </c>
      <c r="C274" s="13">
        <v>3</v>
      </c>
      <c r="D274" s="13">
        <v>1</v>
      </c>
      <c r="E274" s="13">
        <v>3</v>
      </c>
    </row>
    <row r="275" spans="1:5" x14ac:dyDescent="0.3">
      <c r="A275" s="13" t="s">
        <v>1</v>
      </c>
      <c r="B275" s="13" t="s">
        <v>291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1082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843</v>
      </c>
      <c r="C277" s="13">
        <v>1</v>
      </c>
      <c r="D277" s="13">
        <v>1</v>
      </c>
      <c r="E277" s="13">
        <v>2</v>
      </c>
    </row>
    <row r="278" spans="1:5" x14ac:dyDescent="0.3">
      <c r="A278" s="13" t="s">
        <v>1</v>
      </c>
      <c r="B278" s="13" t="s">
        <v>336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663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1840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63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177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1963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2556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179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180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415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665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537</v>
      </c>
      <c r="C289" s="13">
        <v>1</v>
      </c>
      <c r="D289" s="13">
        <v>1</v>
      </c>
      <c r="E289" s="13">
        <v>2</v>
      </c>
    </row>
    <row r="290" spans="1:5" x14ac:dyDescent="0.3">
      <c r="A290" s="13" t="s">
        <v>1</v>
      </c>
      <c r="B290" s="13" t="s">
        <v>255</v>
      </c>
      <c r="C290" s="13">
        <v>2</v>
      </c>
      <c r="D290" s="13">
        <v>1</v>
      </c>
      <c r="E290" s="13">
        <v>2</v>
      </c>
    </row>
    <row r="291" spans="1:5" x14ac:dyDescent="0.3">
      <c r="A291" s="13" t="s">
        <v>1</v>
      </c>
      <c r="B291" s="13" t="s">
        <v>416</v>
      </c>
      <c r="C291" s="13">
        <v>2</v>
      </c>
      <c r="D291" s="13">
        <v>1</v>
      </c>
      <c r="E291" s="13">
        <v>2</v>
      </c>
    </row>
    <row r="292" spans="1:5" x14ac:dyDescent="0.3">
      <c r="A292" s="13" t="s">
        <v>1</v>
      </c>
      <c r="B292" s="13" t="s">
        <v>779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744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2557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126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781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714</v>
      </c>
      <c r="C297" s="13">
        <v>2</v>
      </c>
      <c r="D297" s="13">
        <v>1</v>
      </c>
      <c r="E297" s="13">
        <v>2</v>
      </c>
    </row>
    <row r="298" spans="1:5" x14ac:dyDescent="0.3">
      <c r="A298" s="13" t="s">
        <v>1</v>
      </c>
      <c r="B298" s="13" t="s">
        <v>1058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2558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197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2559</v>
      </c>
      <c r="C301" s="13">
        <v>1</v>
      </c>
      <c r="D301" s="13">
        <v>1</v>
      </c>
      <c r="E301" s="13">
        <v>2</v>
      </c>
    </row>
    <row r="302" spans="1:5" x14ac:dyDescent="0.3">
      <c r="A302" s="13" t="s">
        <v>1</v>
      </c>
      <c r="B302" s="13" t="s">
        <v>1144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482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187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1025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1431</v>
      </c>
      <c r="C306" s="13">
        <v>2</v>
      </c>
      <c r="D306" s="13">
        <v>1</v>
      </c>
      <c r="E306" s="13">
        <v>2</v>
      </c>
    </row>
    <row r="307" spans="1:5" x14ac:dyDescent="0.3">
      <c r="A307" s="13" t="s">
        <v>1</v>
      </c>
      <c r="B307" s="13" t="s">
        <v>542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296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2560</v>
      </c>
      <c r="C309" s="13">
        <v>1</v>
      </c>
      <c r="D309" s="13">
        <v>1</v>
      </c>
      <c r="E309" s="13">
        <v>2</v>
      </c>
    </row>
    <row r="310" spans="1:5" x14ac:dyDescent="0.3">
      <c r="A310" s="13" t="s">
        <v>1</v>
      </c>
      <c r="B310" s="13" t="s">
        <v>189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66</v>
      </c>
      <c r="C311" s="13">
        <v>4</v>
      </c>
      <c r="D311" s="13">
        <v>1</v>
      </c>
      <c r="E311" s="13">
        <v>4</v>
      </c>
    </row>
    <row r="312" spans="1:5" x14ac:dyDescent="0.3">
      <c r="A312" s="13" t="s">
        <v>1</v>
      </c>
      <c r="B312" s="13" t="s">
        <v>39</v>
      </c>
      <c r="C312" s="13">
        <v>18</v>
      </c>
      <c r="D312" s="13">
        <v>1</v>
      </c>
      <c r="E312" s="13">
        <v>35</v>
      </c>
    </row>
    <row r="313" spans="1:5" x14ac:dyDescent="0.3">
      <c r="A313" s="13" t="s">
        <v>1</v>
      </c>
      <c r="B313" s="13" t="s">
        <v>233</v>
      </c>
      <c r="C313" s="13">
        <v>1</v>
      </c>
      <c r="D313" s="13">
        <v>1</v>
      </c>
      <c r="E313" s="13">
        <v>3</v>
      </c>
    </row>
    <row r="314" spans="1:5" x14ac:dyDescent="0.3">
      <c r="A314" s="13" t="s">
        <v>1</v>
      </c>
      <c r="B314" s="13" t="s">
        <v>55</v>
      </c>
      <c r="C314" s="13">
        <v>7</v>
      </c>
      <c r="D314" s="13">
        <v>1</v>
      </c>
      <c r="E314" s="13">
        <v>10</v>
      </c>
    </row>
    <row r="315" spans="1:5" x14ac:dyDescent="0.3">
      <c r="A315" s="13" t="s">
        <v>1</v>
      </c>
      <c r="B315" s="13" t="s">
        <v>1836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718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546</v>
      </c>
      <c r="C317" s="13">
        <v>1</v>
      </c>
      <c r="D317" s="13">
        <v>3</v>
      </c>
      <c r="E317" s="13"/>
    </row>
    <row r="318" spans="1:5" x14ac:dyDescent="0.3">
      <c r="A318" s="13" t="s">
        <v>1</v>
      </c>
      <c r="B318" s="13" t="s">
        <v>1782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869</v>
      </c>
      <c r="C319" s="13">
        <v>1</v>
      </c>
      <c r="D319" s="13">
        <v>1</v>
      </c>
      <c r="E319" s="13"/>
    </row>
    <row r="320" spans="1:5" x14ac:dyDescent="0.3">
      <c r="A320" s="13" t="s">
        <v>1</v>
      </c>
      <c r="B320" s="13" t="s">
        <v>2561</v>
      </c>
      <c r="C320" s="13">
        <v>1</v>
      </c>
      <c r="D320" s="13">
        <v>1</v>
      </c>
      <c r="E320" s="13">
        <v>2</v>
      </c>
    </row>
    <row r="321" spans="1:5" x14ac:dyDescent="0.3">
      <c r="A321" s="13" t="s">
        <v>1</v>
      </c>
      <c r="B321" s="13" t="s">
        <v>1716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2444</v>
      </c>
      <c r="C322" s="13">
        <v>1</v>
      </c>
      <c r="D322" s="13">
        <v>2</v>
      </c>
      <c r="E322" s="13"/>
    </row>
    <row r="323" spans="1:5" x14ac:dyDescent="0.3">
      <c r="A323" s="13" t="s">
        <v>1</v>
      </c>
      <c r="B323" s="13" t="s">
        <v>2084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2562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1953</v>
      </c>
      <c r="C325" s="13">
        <v>2</v>
      </c>
      <c r="D325" s="13">
        <v>1</v>
      </c>
      <c r="E325" s="13">
        <v>3</v>
      </c>
    </row>
    <row r="326" spans="1:5" x14ac:dyDescent="0.3">
      <c r="A326" s="13" t="s">
        <v>1</v>
      </c>
      <c r="B326" s="13" t="s">
        <v>641</v>
      </c>
      <c r="C326" s="13">
        <v>1</v>
      </c>
      <c r="D326" s="13">
        <v>1</v>
      </c>
      <c r="E326" s="13"/>
    </row>
    <row r="327" spans="1:5" x14ac:dyDescent="0.3">
      <c r="A327" s="13" t="s">
        <v>1</v>
      </c>
      <c r="B327" s="13" t="s">
        <v>963</v>
      </c>
      <c r="C327" s="13">
        <v>1</v>
      </c>
      <c r="D327" s="13">
        <v>1</v>
      </c>
      <c r="E327" s="13">
        <v>2</v>
      </c>
    </row>
    <row r="328" spans="1:5" x14ac:dyDescent="0.3">
      <c r="A328" s="13" t="s">
        <v>1</v>
      </c>
      <c r="B328" s="13" t="s">
        <v>237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1841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1</v>
      </c>
      <c r="B330" s="13" t="s">
        <v>722</v>
      </c>
      <c r="C330" s="13">
        <v>1</v>
      </c>
      <c r="D330" s="13">
        <v>1</v>
      </c>
      <c r="E330" s="13">
        <v>2</v>
      </c>
    </row>
    <row r="331" spans="1:5" x14ac:dyDescent="0.3">
      <c r="A331" s="13" t="s">
        <v>1</v>
      </c>
      <c r="B331" s="13" t="s">
        <v>2563</v>
      </c>
      <c r="C331" s="13">
        <v>1</v>
      </c>
      <c r="D331" s="13">
        <v>1</v>
      </c>
      <c r="E331" s="13"/>
    </row>
    <row r="332" spans="1:5" x14ac:dyDescent="0.3">
      <c r="A332" s="13" t="s">
        <v>1</v>
      </c>
      <c r="B332" s="13" t="s">
        <v>1199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1</v>
      </c>
      <c r="B333" s="13" t="s">
        <v>2564</v>
      </c>
      <c r="C333" s="13">
        <v>1</v>
      </c>
      <c r="D333" s="13">
        <v>2</v>
      </c>
      <c r="E333" s="13"/>
    </row>
    <row r="334" spans="1:5" x14ac:dyDescent="0.3">
      <c r="A334" s="13" t="s">
        <v>1</v>
      </c>
      <c r="B334" s="13" t="s">
        <v>1493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1956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0</v>
      </c>
      <c r="B336" s="13" t="s">
        <v>553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0</v>
      </c>
      <c r="B337" s="13" t="s">
        <v>589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0</v>
      </c>
      <c r="B338" s="13" t="s">
        <v>2155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0</v>
      </c>
      <c r="B339" s="13" t="s">
        <v>264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0</v>
      </c>
      <c r="B340" s="13" t="s">
        <v>474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0</v>
      </c>
      <c r="B341" s="13" t="s">
        <v>1824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0</v>
      </c>
      <c r="B342" s="13" t="s">
        <v>345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0</v>
      </c>
      <c r="B343" s="13" t="s">
        <v>77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0</v>
      </c>
      <c r="B344" s="13" t="s">
        <v>59</v>
      </c>
      <c r="C344" s="13">
        <v>1</v>
      </c>
      <c r="D344" s="13">
        <v>1</v>
      </c>
      <c r="E344" s="13">
        <v>2</v>
      </c>
    </row>
    <row r="345" spans="1:5" x14ac:dyDescent="0.3">
      <c r="A345" s="13" t="s">
        <v>0</v>
      </c>
      <c r="B345" s="13" t="s">
        <v>78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0</v>
      </c>
      <c r="B346" s="13" t="s">
        <v>80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0</v>
      </c>
      <c r="B347" s="13" t="s">
        <v>81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0</v>
      </c>
      <c r="B348" s="13" t="s">
        <v>83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0</v>
      </c>
      <c r="B349" s="13" t="s">
        <v>90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0</v>
      </c>
      <c r="B350" s="13" t="s">
        <v>215</v>
      </c>
      <c r="C350" s="13">
        <v>1</v>
      </c>
      <c r="D350" s="13">
        <v>1</v>
      </c>
      <c r="E350" s="13">
        <v>2</v>
      </c>
    </row>
    <row r="351" spans="1:5" x14ac:dyDescent="0.3">
      <c r="A351" s="13" t="s">
        <v>0</v>
      </c>
      <c r="B351" s="13" t="s">
        <v>272</v>
      </c>
      <c r="C351" s="13">
        <v>2</v>
      </c>
      <c r="D351" s="13">
        <v>1</v>
      </c>
      <c r="E351" s="13">
        <v>2</v>
      </c>
    </row>
    <row r="352" spans="1:5" x14ac:dyDescent="0.3">
      <c r="A352" s="13" t="s">
        <v>0</v>
      </c>
      <c r="B352" s="13" t="s">
        <v>150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0</v>
      </c>
      <c r="B353" s="13" t="s">
        <v>424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1162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0</v>
      </c>
      <c r="B355" s="13" t="s">
        <v>151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612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41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152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42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93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653</v>
      </c>
      <c r="C361" s="13">
        <v>1</v>
      </c>
      <c r="D361" s="13">
        <v>1</v>
      </c>
      <c r="E361" s="13">
        <v>2</v>
      </c>
    </row>
    <row r="362" spans="1:5" x14ac:dyDescent="0.3">
      <c r="A362" s="13" t="s">
        <v>0</v>
      </c>
      <c r="B362" s="13" t="s">
        <v>1518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1621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1663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1674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1849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1926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1881</v>
      </c>
      <c r="C368" s="13">
        <v>1</v>
      </c>
      <c r="D368" s="13">
        <v>1</v>
      </c>
      <c r="E368" s="13">
        <v>2</v>
      </c>
    </row>
    <row r="369" spans="1:5" x14ac:dyDescent="0.3">
      <c r="A369" s="13" t="s">
        <v>0</v>
      </c>
      <c r="B369" s="13" t="s">
        <v>1988</v>
      </c>
      <c r="C369" s="13">
        <v>2</v>
      </c>
      <c r="D369" s="13">
        <v>1</v>
      </c>
      <c r="E369" s="13">
        <v>2</v>
      </c>
    </row>
    <row r="370" spans="1:5" x14ac:dyDescent="0.3">
      <c r="A370" s="13" t="s">
        <v>0</v>
      </c>
      <c r="B370" s="13" t="s">
        <v>2565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427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507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35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1816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1053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1385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156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2566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1069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28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341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102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1084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105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1036</v>
      </c>
      <c r="C385" s="13">
        <v>1</v>
      </c>
      <c r="D385" s="13">
        <v>1</v>
      </c>
      <c r="E385" s="13">
        <v>2</v>
      </c>
    </row>
    <row r="386" spans="1:5" x14ac:dyDescent="0.3">
      <c r="A386" s="13" t="s">
        <v>0</v>
      </c>
      <c r="B386" s="13" t="s">
        <v>43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1712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394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109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823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169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1329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111</v>
      </c>
      <c r="C393" s="13">
        <v>2</v>
      </c>
      <c r="D393" s="13">
        <v>1</v>
      </c>
      <c r="E393" s="13">
        <v>3</v>
      </c>
    </row>
    <row r="394" spans="1:5" x14ac:dyDescent="0.3">
      <c r="A394" s="13" t="s">
        <v>0</v>
      </c>
      <c r="B394" s="13" t="s">
        <v>279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280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44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568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2191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1580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736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320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1302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285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2567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454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432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172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2054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289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1722</v>
      </c>
      <c r="C410" s="13">
        <v>1</v>
      </c>
      <c r="D410" s="13">
        <v>1</v>
      </c>
      <c r="E410" s="13">
        <v>2</v>
      </c>
    </row>
    <row r="411" spans="1:5" x14ac:dyDescent="0.3">
      <c r="A411" s="13" t="s">
        <v>0</v>
      </c>
      <c r="B411" s="13" t="s">
        <v>700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196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631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1642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290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409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435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1110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845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906</v>
      </c>
      <c r="C420" s="13">
        <v>1</v>
      </c>
      <c r="D420" s="13">
        <v>1</v>
      </c>
      <c r="E420" s="13">
        <v>3</v>
      </c>
    </row>
    <row r="421" spans="1:5" x14ac:dyDescent="0.3">
      <c r="A421" s="13" t="s">
        <v>0</v>
      </c>
      <c r="B421" s="13" t="s">
        <v>228</v>
      </c>
      <c r="C421" s="13">
        <v>1</v>
      </c>
      <c r="D421" s="13">
        <v>1</v>
      </c>
      <c r="E421" s="13">
        <v>2</v>
      </c>
    </row>
    <row r="422" spans="1:5" x14ac:dyDescent="0.3">
      <c r="A422" s="13" t="s">
        <v>0</v>
      </c>
      <c r="B422" s="13" t="s">
        <v>1686</v>
      </c>
      <c r="C422" s="13">
        <v>1</v>
      </c>
      <c r="D422" s="13">
        <v>1</v>
      </c>
      <c r="E422" s="13">
        <v>2</v>
      </c>
    </row>
    <row r="423" spans="1:5" x14ac:dyDescent="0.3">
      <c r="A423" s="13" t="s">
        <v>0</v>
      </c>
      <c r="B423" s="13" t="s">
        <v>131</v>
      </c>
      <c r="C423" s="13">
        <v>1</v>
      </c>
      <c r="D423" s="13">
        <v>1</v>
      </c>
      <c r="E423" s="13">
        <v>3</v>
      </c>
    </row>
    <row r="424" spans="1:5" x14ac:dyDescent="0.3">
      <c r="A424" s="13" t="s">
        <v>0</v>
      </c>
      <c r="B424" s="13" t="s">
        <v>483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783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295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230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1219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1913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191</v>
      </c>
      <c r="C430" s="13">
        <v>3</v>
      </c>
      <c r="D430" s="13">
        <v>1</v>
      </c>
      <c r="E430" s="13">
        <v>3</v>
      </c>
    </row>
    <row r="431" spans="1:5" x14ac:dyDescent="0.3">
      <c r="A431" s="13" t="s">
        <v>0</v>
      </c>
      <c r="B431" s="13" t="s">
        <v>235</v>
      </c>
      <c r="C431" s="13">
        <v>2</v>
      </c>
      <c r="D431" s="13">
        <v>1</v>
      </c>
      <c r="E431" s="13">
        <v>3</v>
      </c>
    </row>
    <row r="432" spans="1:5" x14ac:dyDescent="0.3">
      <c r="A432" s="13" t="s">
        <v>0</v>
      </c>
      <c r="B432" s="13" t="s">
        <v>640</v>
      </c>
      <c r="C432" s="13">
        <v>1</v>
      </c>
      <c r="D432" s="13">
        <v>1</v>
      </c>
      <c r="E432" s="13">
        <v>5</v>
      </c>
    </row>
    <row r="433" spans="1:5" x14ac:dyDescent="0.3">
      <c r="A433" s="13" t="s">
        <v>0</v>
      </c>
      <c r="B433" s="13" t="s">
        <v>641</v>
      </c>
      <c r="C433" s="13">
        <v>1</v>
      </c>
      <c r="D433" s="13">
        <v>1</v>
      </c>
      <c r="E433" s="13"/>
    </row>
    <row r="434" spans="1:5" x14ac:dyDescent="0.3">
      <c r="A434" s="13" t="s">
        <v>0</v>
      </c>
      <c r="B434" s="13" t="s">
        <v>1477</v>
      </c>
      <c r="C434" s="13">
        <v>1</v>
      </c>
      <c r="D434" s="13">
        <v>1</v>
      </c>
      <c r="E434" s="13">
        <v>2</v>
      </c>
    </row>
    <row r="435" spans="1:5" x14ac:dyDescent="0.3">
      <c r="A435" s="13" t="s">
        <v>0</v>
      </c>
      <c r="B435" s="13" t="s">
        <v>468</v>
      </c>
      <c r="C435" s="13">
        <v>1</v>
      </c>
      <c r="D435" s="13">
        <v>1</v>
      </c>
      <c r="E435" s="13"/>
    </row>
    <row r="436" spans="1:5" x14ac:dyDescent="0.3">
      <c r="A436" s="13" t="s">
        <v>0</v>
      </c>
      <c r="B436" s="13" t="s">
        <v>1379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1017</v>
      </c>
      <c r="C437" s="13">
        <v>1</v>
      </c>
      <c r="D437" s="13">
        <v>1</v>
      </c>
      <c r="E437" s="13">
        <v>3</v>
      </c>
    </row>
    <row r="438" spans="1:5" x14ac:dyDescent="0.3">
      <c r="A438" s="13" t="s">
        <v>0</v>
      </c>
      <c r="B438" s="13" t="s">
        <v>1441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2568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1916</v>
      </c>
      <c r="C440" s="13">
        <v>1</v>
      </c>
      <c r="D440" s="13">
        <v>2</v>
      </c>
      <c r="E440" s="13"/>
    </row>
    <row r="441" spans="1:5" x14ac:dyDescent="0.3">
      <c r="A441" s="13" t="s">
        <v>0</v>
      </c>
      <c r="B441" s="13" t="s">
        <v>870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912</v>
      </c>
      <c r="C442" s="13">
        <v>1</v>
      </c>
      <c r="D442" s="13">
        <v>1</v>
      </c>
      <c r="E442" s="13"/>
    </row>
    <row r="443" spans="1:5" x14ac:dyDescent="0.3">
      <c r="A443" s="13" t="s">
        <v>2</v>
      </c>
      <c r="B443" s="13" t="s">
        <v>48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2</v>
      </c>
      <c r="B444" s="13" t="s">
        <v>928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2</v>
      </c>
      <c r="B445" s="13" t="s">
        <v>264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2</v>
      </c>
      <c r="B446" s="13" t="s">
        <v>77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2</v>
      </c>
      <c r="B447" s="13" t="s">
        <v>675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2</v>
      </c>
      <c r="B448" s="13" t="s">
        <v>151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2</v>
      </c>
      <c r="B449" s="13" t="s">
        <v>471</v>
      </c>
      <c r="C449" s="13">
        <v>1</v>
      </c>
      <c r="D449" s="13">
        <v>1</v>
      </c>
      <c r="E449" s="13">
        <v>2</v>
      </c>
    </row>
    <row r="450" spans="1:5" x14ac:dyDescent="0.3">
      <c r="A450" s="13" t="s">
        <v>2</v>
      </c>
      <c r="B450" s="13" t="s">
        <v>1663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2</v>
      </c>
      <c r="B451" s="13" t="s">
        <v>1881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2</v>
      </c>
      <c r="B452" s="13" t="s">
        <v>1900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2</v>
      </c>
      <c r="B453" s="13" t="s">
        <v>391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2</v>
      </c>
      <c r="B454" s="13" t="s">
        <v>105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2</v>
      </c>
      <c r="B455" s="13" t="s">
        <v>2132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2</v>
      </c>
      <c r="B456" s="13" t="s">
        <v>45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2</v>
      </c>
      <c r="B457" s="13" t="s">
        <v>766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2</v>
      </c>
      <c r="B458" s="13" t="s">
        <v>716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2</v>
      </c>
      <c r="B459" s="13" t="s">
        <v>191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1</v>
      </c>
      <c r="B460" s="13" t="s">
        <v>198</v>
      </c>
      <c r="C460" s="13">
        <v>1</v>
      </c>
      <c r="D460" s="13">
        <v>0</v>
      </c>
      <c r="E460" s="13">
        <v>1</v>
      </c>
    </row>
    <row r="461" spans="1:5" x14ac:dyDescent="0.3">
      <c r="A461" s="13" t="s">
        <v>1</v>
      </c>
      <c r="B461" s="13" t="s">
        <v>239</v>
      </c>
      <c r="C461" s="13">
        <v>1</v>
      </c>
      <c r="D461" s="13">
        <v>0</v>
      </c>
      <c r="E461" s="13">
        <v>1</v>
      </c>
    </row>
    <row r="462" spans="1:5" x14ac:dyDescent="0.3">
      <c r="A462" s="13" t="s">
        <v>1</v>
      </c>
      <c r="B462" s="13" t="s">
        <v>2569</v>
      </c>
      <c r="C462" s="13">
        <v>1</v>
      </c>
      <c r="D462" s="13">
        <v>0</v>
      </c>
      <c r="E462" s="13">
        <v>1</v>
      </c>
    </row>
    <row r="463" spans="1:5" x14ac:dyDescent="0.3">
      <c r="A463" s="13" t="s">
        <v>1</v>
      </c>
      <c r="B463" s="13" t="s">
        <v>199</v>
      </c>
      <c r="C463" s="13">
        <v>1</v>
      </c>
      <c r="D463" s="13">
        <v>0</v>
      </c>
      <c r="E463" s="13">
        <v>1</v>
      </c>
    </row>
    <row r="464" spans="1:5" x14ac:dyDescent="0.3">
      <c r="A464" s="13" t="s">
        <v>1</v>
      </c>
      <c r="B464" s="13" t="s">
        <v>1405</v>
      </c>
      <c r="C464" s="13">
        <v>1</v>
      </c>
      <c r="D464" s="13">
        <v>0</v>
      </c>
      <c r="E464" s="13">
        <v>2</v>
      </c>
    </row>
    <row r="465" spans="1:5" x14ac:dyDescent="0.3">
      <c r="A465" s="13" t="s">
        <v>1</v>
      </c>
      <c r="B465" s="13" t="s">
        <v>1156</v>
      </c>
      <c r="C465" s="13">
        <v>1</v>
      </c>
      <c r="D465" s="13">
        <v>0</v>
      </c>
      <c r="E465" s="13">
        <v>1</v>
      </c>
    </row>
    <row r="466" spans="1:5" x14ac:dyDescent="0.3">
      <c r="A466" s="13" t="s">
        <v>1</v>
      </c>
      <c r="B466" s="13" t="s">
        <v>489</v>
      </c>
      <c r="C466" s="13">
        <v>1</v>
      </c>
      <c r="D466" s="13">
        <v>0</v>
      </c>
      <c r="E466" s="13">
        <v>1</v>
      </c>
    </row>
    <row r="467" spans="1:5" x14ac:dyDescent="0.3">
      <c r="A467" s="13" t="s">
        <v>1</v>
      </c>
      <c r="B467" s="13" t="s">
        <v>553</v>
      </c>
      <c r="C467" s="13">
        <v>1</v>
      </c>
      <c r="D467" s="13">
        <v>0</v>
      </c>
      <c r="E467" s="13">
        <v>1</v>
      </c>
    </row>
    <row r="468" spans="1:5" x14ac:dyDescent="0.3">
      <c r="A468" s="13" t="s">
        <v>1</v>
      </c>
      <c r="B468" s="13" t="s">
        <v>71</v>
      </c>
      <c r="C468" s="13">
        <v>1</v>
      </c>
      <c r="D468" s="13">
        <v>0</v>
      </c>
      <c r="E468" s="13">
        <v>1</v>
      </c>
    </row>
    <row r="469" spans="1:5" x14ac:dyDescent="0.3">
      <c r="A469" s="13" t="s">
        <v>1</v>
      </c>
      <c r="B469" s="13" t="s">
        <v>72</v>
      </c>
      <c r="C469" s="13">
        <v>1</v>
      </c>
      <c r="D469" s="13">
        <v>0</v>
      </c>
      <c r="E469" s="13">
        <v>1</v>
      </c>
    </row>
    <row r="470" spans="1:5" x14ac:dyDescent="0.3">
      <c r="A470" s="13" t="s">
        <v>1</v>
      </c>
      <c r="B470" s="13" t="s">
        <v>590</v>
      </c>
      <c r="C470" s="13">
        <v>1</v>
      </c>
      <c r="D470" s="13">
        <v>0</v>
      </c>
      <c r="E470" s="13">
        <v>1</v>
      </c>
    </row>
    <row r="471" spans="1:5" x14ac:dyDescent="0.3">
      <c r="A471" s="13" t="s">
        <v>1</v>
      </c>
      <c r="B471" s="13" t="s">
        <v>48</v>
      </c>
      <c r="C471" s="13">
        <v>5</v>
      </c>
      <c r="D471" s="13">
        <v>0</v>
      </c>
      <c r="E471" s="13">
        <v>7</v>
      </c>
    </row>
    <row r="472" spans="1:5" x14ac:dyDescent="0.3">
      <c r="A472" s="13" t="s">
        <v>1</v>
      </c>
      <c r="B472" s="13" t="s">
        <v>203</v>
      </c>
      <c r="C472" s="13">
        <v>1</v>
      </c>
      <c r="D472" s="13">
        <v>0</v>
      </c>
      <c r="E472" s="13">
        <v>1</v>
      </c>
    </row>
    <row r="473" spans="1:5" x14ac:dyDescent="0.3">
      <c r="A473" s="13" t="s">
        <v>1</v>
      </c>
      <c r="B473" s="13" t="s">
        <v>494</v>
      </c>
      <c r="C473" s="13">
        <v>1</v>
      </c>
      <c r="D473" s="13">
        <v>0</v>
      </c>
      <c r="E473" s="13">
        <v>1</v>
      </c>
    </row>
    <row r="474" spans="1:5" x14ac:dyDescent="0.3">
      <c r="A474" s="13" t="s">
        <v>1</v>
      </c>
      <c r="B474" s="13" t="s">
        <v>143</v>
      </c>
      <c r="C474" s="13">
        <v>1</v>
      </c>
      <c r="D474" s="13">
        <v>0</v>
      </c>
      <c r="E474" s="13">
        <v>1</v>
      </c>
    </row>
    <row r="475" spans="1:5" x14ac:dyDescent="0.3">
      <c r="A475" s="13" t="s">
        <v>1</v>
      </c>
      <c r="B475" s="13" t="s">
        <v>78</v>
      </c>
      <c r="C475" s="13">
        <v>1</v>
      </c>
      <c r="D475" s="13">
        <v>0</v>
      </c>
      <c r="E475" s="13">
        <v>1</v>
      </c>
    </row>
    <row r="476" spans="1:5" x14ac:dyDescent="0.3">
      <c r="A476" s="13" t="s">
        <v>1</v>
      </c>
      <c r="B476" s="13" t="s">
        <v>348</v>
      </c>
      <c r="C476" s="13">
        <v>3</v>
      </c>
      <c r="D476" s="13">
        <v>0</v>
      </c>
      <c r="E476" s="13">
        <v>6</v>
      </c>
    </row>
    <row r="477" spans="1:5" x14ac:dyDescent="0.3">
      <c r="A477" s="13" t="s">
        <v>1</v>
      </c>
      <c r="B477" s="13" t="s">
        <v>813</v>
      </c>
      <c r="C477" s="13">
        <v>1</v>
      </c>
      <c r="D477" s="13">
        <v>0</v>
      </c>
      <c r="E477" s="13">
        <v>1</v>
      </c>
    </row>
    <row r="478" spans="1:5" x14ac:dyDescent="0.3">
      <c r="A478" s="13" t="s">
        <v>1</v>
      </c>
      <c r="B478" s="13" t="s">
        <v>209</v>
      </c>
      <c r="C478" s="13">
        <v>1</v>
      </c>
      <c r="D478" s="13">
        <v>0</v>
      </c>
      <c r="E478" s="13">
        <v>1</v>
      </c>
    </row>
    <row r="479" spans="1:5" x14ac:dyDescent="0.3">
      <c r="A479" s="13" t="s">
        <v>1</v>
      </c>
      <c r="B479" s="13" t="s">
        <v>501</v>
      </c>
      <c r="C479" s="13">
        <v>1</v>
      </c>
      <c r="D479" s="13">
        <v>0</v>
      </c>
      <c r="E479" s="13">
        <v>1</v>
      </c>
    </row>
    <row r="480" spans="1:5" x14ac:dyDescent="0.3">
      <c r="A480" s="13" t="s">
        <v>1</v>
      </c>
      <c r="B480" s="13" t="s">
        <v>1472</v>
      </c>
      <c r="C480" s="13">
        <v>1</v>
      </c>
      <c r="D480" s="13">
        <v>0</v>
      </c>
      <c r="E480" s="13">
        <v>2</v>
      </c>
    </row>
    <row r="481" spans="1:5" x14ac:dyDescent="0.3">
      <c r="A481" s="13" t="s">
        <v>1</v>
      </c>
      <c r="B481" s="13" t="s">
        <v>1019</v>
      </c>
      <c r="C481" s="13">
        <v>1</v>
      </c>
      <c r="D481" s="13">
        <v>0</v>
      </c>
      <c r="E481" s="13">
        <v>2</v>
      </c>
    </row>
    <row r="482" spans="1:5" x14ac:dyDescent="0.3">
      <c r="A482" s="13" t="s">
        <v>1</v>
      </c>
      <c r="B482" s="13" t="s">
        <v>305</v>
      </c>
      <c r="C482" s="13">
        <v>2</v>
      </c>
      <c r="D482" s="13">
        <v>0</v>
      </c>
      <c r="E482" s="13">
        <v>3</v>
      </c>
    </row>
    <row r="483" spans="1:5" x14ac:dyDescent="0.3">
      <c r="A483" s="13" t="s">
        <v>1</v>
      </c>
      <c r="B483" s="13" t="s">
        <v>85</v>
      </c>
      <c r="C483" s="13">
        <v>1</v>
      </c>
      <c r="D483" s="13">
        <v>0</v>
      </c>
      <c r="E483" s="13">
        <v>1</v>
      </c>
    </row>
    <row r="484" spans="1:5" x14ac:dyDescent="0.3">
      <c r="A484" s="13" t="s">
        <v>1</v>
      </c>
      <c r="B484" s="13" t="s">
        <v>86</v>
      </c>
      <c r="C484" s="13">
        <v>1</v>
      </c>
      <c r="D484" s="13">
        <v>0</v>
      </c>
      <c r="E484" s="13">
        <v>1</v>
      </c>
    </row>
    <row r="485" spans="1:5" x14ac:dyDescent="0.3">
      <c r="A485" s="13" t="s">
        <v>1</v>
      </c>
      <c r="B485" s="13" t="s">
        <v>674</v>
      </c>
      <c r="C485" s="13">
        <v>1</v>
      </c>
      <c r="D485" s="13">
        <v>0</v>
      </c>
      <c r="E485" s="13">
        <v>1</v>
      </c>
    </row>
    <row r="486" spans="1:5" x14ac:dyDescent="0.3">
      <c r="A486" s="13" t="s">
        <v>1</v>
      </c>
      <c r="B486" s="13" t="s">
        <v>675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351</v>
      </c>
      <c r="C487" s="13">
        <v>1</v>
      </c>
      <c r="D487" s="13">
        <v>0</v>
      </c>
      <c r="E487" s="13">
        <v>0</v>
      </c>
    </row>
    <row r="488" spans="1:5" x14ac:dyDescent="0.3">
      <c r="A488" s="13" t="s">
        <v>1</v>
      </c>
      <c r="B488" s="13" t="s">
        <v>1978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502</v>
      </c>
      <c r="C489" s="13">
        <v>2</v>
      </c>
      <c r="D489" s="13">
        <v>0</v>
      </c>
      <c r="E489" s="13">
        <v>2</v>
      </c>
    </row>
    <row r="490" spans="1:5" x14ac:dyDescent="0.3">
      <c r="A490" s="13" t="s">
        <v>1</v>
      </c>
      <c r="B490" s="13" t="s">
        <v>799</v>
      </c>
      <c r="C490" s="13">
        <v>2</v>
      </c>
      <c r="D490" s="13">
        <v>0</v>
      </c>
      <c r="E490" s="13">
        <v>2</v>
      </c>
    </row>
    <row r="491" spans="1:5" x14ac:dyDescent="0.3">
      <c r="A491" s="13" t="s">
        <v>1</v>
      </c>
      <c r="B491" s="13" t="s">
        <v>991</v>
      </c>
      <c r="C491" s="13">
        <v>3</v>
      </c>
      <c r="D491" s="13">
        <v>0</v>
      </c>
      <c r="E491" s="13">
        <v>3</v>
      </c>
    </row>
    <row r="492" spans="1:5" x14ac:dyDescent="0.3">
      <c r="A492" s="13" t="s">
        <v>1</v>
      </c>
      <c r="B492" s="13" t="s">
        <v>214</v>
      </c>
      <c r="C492" s="13">
        <v>1</v>
      </c>
      <c r="D492" s="13">
        <v>0</v>
      </c>
      <c r="E492" s="13">
        <v>1</v>
      </c>
    </row>
    <row r="493" spans="1:5" x14ac:dyDescent="0.3">
      <c r="A493" s="13" t="s">
        <v>1</v>
      </c>
      <c r="B493" s="13" t="s">
        <v>149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90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1161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609</v>
      </c>
      <c r="C496" s="13">
        <v>1</v>
      </c>
      <c r="D496" s="13">
        <v>0</v>
      </c>
      <c r="E496" s="13">
        <v>1</v>
      </c>
    </row>
    <row r="497" spans="1:5" x14ac:dyDescent="0.3">
      <c r="A497" s="13" t="s">
        <v>1</v>
      </c>
      <c r="B497" s="13" t="s">
        <v>886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449</v>
      </c>
      <c r="C498" s="13">
        <v>2</v>
      </c>
      <c r="D498" s="13">
        <v>0</v>
      </c>
      <c r="E498" s="13">
        <v>2</v>
      </c>
    </row>
    <row r="499" spans="1:5" x14ac:dyDescent="0.3">
      <c r="A499" s="13" t="s">
        <v>1</v>
      </c>
      <c r="B499" s="13" t="s">
        <v>352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353</v>
      </c>
      <c r="C500" s="13">
        <v>1</v>
      </c>
      <c r="D500" s="13">
        <v>0</v>
      </c>
      <c r="E500" s="13">
        <v>1</v>
      </c>
    </row>
    <row r="501" spans="1:5" x14ac:dyDescent="0.3">
      <c r="A501" s="13" t="s">
        <v>1</v>
      </c>
      <c r="B501" s="13" t="s">
        <v>152</v>
      </c>
      <c r="C501" s="13">
        <v>2</v>
      </c>
      <c r="D501" s="13">
        <v>0</v>
      </c>
      <c r="E501" s="13">
        <v>3</v>
      </c>
    </row>
    <row r="502" spans="1:5" x14ac:dyDescent="0.3">
      <c r="A502" s="13" t="s">
        <v>1</v>
      </c>
      <c r="B502" s="13" t="s">
        <v>613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153</v>
      </c>
      <c r="C503" s="13">
        <v>1</v>
      </c>
      <c r="D503" s="13">
        <v>0</v>
      </c>
      <c r="E503" s="13">
        <v>1</v>
      </c>
    </row>
    <row r="504" spans="1:5" x14ac:dyDescent="0.3">
      <c r="A504" s="13" t="s">
        <v>1</v>
      </c>
      <c r="B504" s="13" t="s">
        <v>887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888</v>
      </c>
      <c r="C505" s="13">
        <v>2</v>
      </c>
      <c r="D505" s="13">
        <v>0</v>
      </c>
      <c r="E505" s="13">
        <v>2</v>
      </c>
    </row>
    <row r="506" spans="1:5" x14ac:dyDescent="0.3">
      <c r="A506" s="13" t="s">
        <v>1</v>
      </c>
      <c r="B506" s="13" t="s">
        <v>856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1471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1505</v>
      </c>
      <c r="C508" s="13">
        <v>4</v>
      </c>
      <c r="D508" s="13">
        <v>0</v>
      </c>
      <c r="E508" s="13">
        <v>4</v>
      </c>
    </row>
    <row r="509" spans="1:5" x14ac:dyDescent="0.3">
      <c r="A509" s="13" t="s">
        <v>1</v>
      </c>
      <c r="B509" s="13" t="s">
        <v>1570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1631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1651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2570</v>
      </c>
      <c r="C512" s="13">
        <v>1</v>
      </c>
      <c r="D512" s="13">
        <v>0</v>
      </c>
      <c r="E512" s="13">
        <v>1</v>
      </c>
    </row>
    <row r="513" spans="1:5" x14ac:dyDescent="0.3">
      <c r="A513" s="13" t="s">
        <v>1</v>
      </c>
      <c r="B513" s="13" t="s">
        <v>1670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1696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1740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1753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1761</v>
      </c>
      <c r="C517" s="13">
        <v>1</v>
      </c>
      <c r="D517" s="13">
        <v>0</v>
      </c>
      <c r="E517" s="13">
        <v>0</v>
      </c>
    </row>
    <row r="518" spans="1:5" x14ac:dyDescent="0.3">
      <c r="A518" s="13" t="s">
        <v>1</v>
      </c>
      <c r="B518" s="13" t="s">
        <v>1852</v>
      </c>
      <c r="C518" s="13">
        <v>4</v>
      </c>
      <c r="D518" s="13">
        <v>0</v>
      </c>
      <c r="E518" s="13">
        <v>6</v>
      </c>
    </row>
    <row r="519" spans="1:5" x14ac:dyDescent="0.3">
      <c r="A519" s="13" t="s">
        <v>1</v>
      </c>
      <c r="B519" s="13" t="s">
        <v>1834</v>
      </c>
      <c r="C519" s="13">
        <v>1</v>
      </c>
      <c r="D519" s="13">
        <v>0</v>
      </c>
      <c r="E519" s="13">
        <v>2</v>
      </c>
    </row>
    <row r="520" spans="1:5" x14ac:dyDescent="0.3">
      <c r="A520" s="13" t="s">
        <v>1</v>
      </c>
      <c r="B520" s="13" t="s">
        <v>1866</v>
      </c>
      <c r="C520" s="13">
        <v>3</v>
      </c>
      <c r="D520" s="13">
        <v>0</v>
      </c>
      <c r="E520" s="13">
        <v>3</v>
      </c>
    </row>
    <row r="521" spans="1:5" x14ac:dyDescent="0.3">
      <c r="A521" s="13" t="s">
        <v>1</v>
      </c>
      <c r="B521" s="13" t="s">
        <v>2104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1885</v>
      </c>
      <c r="C522" s="13">
        <v>4</v>
      </c>
      <c r="D522" s="13">
        <v>0</v>
      </c>
      <c r="E522" s="13">
        <v>4</v>
      </c>
    </row>
    <row r="523" spans="1:5" x14ac:dyDescent="0.3">
      <c r="A523" s="13" t="s">
        <v>1</v>
      </c>
      <c r="B523" s="13" t="s">
        <v>1881</v>
      </c>
      <c r="C523" s="13">
        <v>5</v>
      </c>
      <c r="D523" s="13">
        <v>0</v>
      </c>
      <c r="E523" s="13">
        <v>9</v>
      </c>
    </row>
    <row r="524" spans="1:5" x14ac:dyDescent="0.3">
      <c r="A524" s="13" t="s">
        <v>1</v>
      </c>
      <c r="B524" s="13" t="s">
        <v>1908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1899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1909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1900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1883</v>
      </c>
      <c r="C528" s="13">
        <v>2</v>
      </c>
      <c r="D528" s="13">
        <v>0</v>
      </c>
      <c r="E528" s="13">
        <v>2</v>
      </c>
    </row>
    <row r="529" spans="1:5" x14ac:dyDescent="0.3">
      <c r="A529" s="13" t="s">
        <v>1</v>
      </c>
      <c r="B529" s="13" t="s">
        <v>1989</v>
      </c>
      <c r="C529" s="13">
        <v>4</v>
      </c>
      <c r="D529" s="13">
        <v>0</v>
      </c>
      <c r="E529" s="13">
        <v>8</v>
      </c>
    </row>
    <row r="530" spans="1:5" x14ac:dyDescent="0.3">
      <c r="A530" s="13" t="s">
        <v>1</v>
      </c>
      <c r="B530" s="13" t="s">
        <v>2069</v>
      </c>
      <c r="C530" s="13">
        <v>3</v>
      </c>
      <c r="D530" s="13">
        <v>0</v>
      </c>
      <c r="E530" s="13">
        <v>3</v>
      </c>
    </row>
    <row r="531" spans="1:5" x14ac:dyDescent="0.3">
      <c r="A531" s="13" t="s">
        <v>1</v>
      </c>
      <c r="B531" s="13" t="s">
        <v>2138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2149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2148</v>
      </c>
      <c r="C533" s="13">
        <v>6</v>
      </c>
      <c r="D533" s="13">
        <v>0</v>
      </c>
      <c r="E533" s="13">
        <v>6</v>
      </c>
    </row>
    <row r="534" spans="1:5" x14ac:dyDescent="0.3">
      <c r="A534" s="13" t="s">
        <v>1</v>
      </c>
      <c r="B534" s="13" t="s">
        <v>2156</v>
      </c>
      <c r="C534" s="13">
        <v>2</v>
      </c>
      <c r="D534" s="13">
        <v>0</v>
      </c>
      <c r="E534" s="13">
        <v>2</v>
      </c>
    </row>
    <row r="535" spans="1:5" x14ac:dyDescent="0.3">
      <c r="A535" s="13" t="s">
        <v>1</v>
      </c>
      <c r="B535" s="13" t="s">
        <v>2162</v>
      </c>
      <c r="C535" s="13">
        <v>4</v>
      </c>
      <c r="D535" s="13">
        <v>0</v>
      </c>
      <c r="E535" s="13">
        <v>3</v>
      </c>
    </row>
    <row r="536" spans="1:5" x14ac:dyDescent="0.3">
      <c r="A536" s="13" t="s">
        <v>1</v>
      </c>
      <c r="B536" s="13" t="s">
        <v>2164</v>
      </c>
      <c r="C536" s="13">
        <v>2</v>
      </c>
      <c r="D536" s="13">
        <v>0</v>
      </c>
      <c r="E536" s="13">
        <v>2</v>
      </c>
    </row>
    <row r="537" spans="1:5" x14ac:dyDescent="0.3">
      <c r="A537" s="13" t="s">
        <v>1</v>
      </c>
      <c r="B537" s="13" t="s">
        <v>2407</v>
      </c>
      <c r="C537" s="13">
        <v>2</v>
      </c>
      <c r="D537" s="13">
        <v>0</v>
      </c>
      <c r="E537" s="13">
        <v>2</v>
      </c>
    </row>
    <row r="538" spans="1:5" x14ac:dyDescent="0.3">
      <c r="A538" s="13" t="s">
        <v>1</v>
      </c>
      <c r="B538" s="13" t="s">
        <v>2339</v>
      </c>
      <c r="C538" s="13">
        <v>3</v>
      </c>
      <c r="D538" s="13">
        <v>0</v>
      </c>
      <c r="E538" s="13">
        <v>3</v>
      </c>
    </row>
    <row r="539" spans="1:5" x14ac:dyDescent="0.3">
      <c r="A539" s="13" t="s">
        <v>1</v>
      </c>
      <c r="B539" s="13" t="s">
        <v>2408</v>
      </c>
      <c r="C539" s="13">
        <v>2</v>
      </c>
      <c r="D539" s="13">
        <v>0</v>
      </c>
      <c r="E539" s="13">
        <v>2</v>
      </c>
    </row>
    <row r="540" spans="1:5" x14ac:dyDescent="0.3">
      <c r="A540" s="13" t="s">
        <v>1</v>
      </c>
      <c r="B540" s="13" t="s">
        <v>2425</v>
      </c>
      <c r="C540" s="13">
        <v>6</v>
      </c>
      <c r="D540" s="13">
        <v>0</v>
      </c>
      <c r="E540" s="13">
        <v>7</v>
      </c>
    </row>
    <row r="541" spans="1:5" x14ac:dyDescent="0.3">
      <c r="A541" s="13" t="s">
        <v>1</v>
      </c>
      <c r="B541" s="13" t="s">
        <v>426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505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221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1299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1590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97</v>
      </c>
      <c r="C546" s="13">
        <v>2</v>
      </c>
      <c r="D546" s="13">
        <v>0</v>
      </c>
      <c r="E546" s="13">
        <v>4</v>
      </c>
    </row>
    <row r="547" spans="1:5" x14ac:dyDescent="0.3">
      <c r="A547" s="13" t="s">
        <v>1</v>
      </c>
      <c r="B547" s="13" t="s">
        <v>562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341</v>
      </c>
      <c r="C548" s="13">
        <v>2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1035</v>
      </c>
      <c r="C549" s="13">
        <v>1</v>
      </c>
      <c r="D549" s="13">
        <v>0</v>
      </c>
      <c r="E549" s="13">
        <v>0</v>
      </c>
    </row>
    <row r="550" spans="1:5" x14ac:dyDescent="0.3">
      <c r="A550" s="13" t="s">
        <v>1</v>
      </c>
      <c r="B550" s="13" t="s">
        <v>1799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861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395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619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1949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472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2571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513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171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1283</v>
      </c>
      <c r="C559" s="13">
        <v>1</v>
      </c>
      <c r="D559" s="13">
        <v>0</v>
      </c>
      <c r="E559" s="13">
        <v>0</v>
      </c>
    </row>
    <row r="560" spans="1:5" x14ac:dyDescent="0.3">
      <c r="A560" s="13" t="s">
        <v>1</v>
      </c>
      <c r="B560" s="13" t="s">
        <v>1134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1235</v>
      </c>
      <c r="C561" s="13">
        <v>2</v>
      </c>
      <c r="D561" s="13">
        <v>0</v>
      </c>
      <c r="E561" s="13">
        <v>2</v>
      </c>
    </row>
    <row r="562" spans="1:5" x14ac:dyDescent="0.3">
      <c r="A562" s="13" t="s">
        <v>1</v>
      </c>
      <c r="B562" s="13" t="s">
        <v>316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113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1258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2020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971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374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571</v>
      </c>
      <c r="C568" s="13">
        <v>2</v>
      </c>
      <c r="D568" s="13">
        <v>0</v>
      </c>
      <c r="E568" s="13">
        <v>3</v>
      </c>
    </row>
    <row r="569" spans="1:5" x14ac:dyDescent="0.3">
      <c r="A569" s="13" t="s">
        <v>1</v>
      </c>
      <c r="B569" s="13" t="s">
        <v>286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431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580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360</v>
      </c>
      <c r="C572" s="13">
        <v>1</v>
      </c>
      <c r="D572" s="13">
        <v>0</v>
      </c>
      <c r="E572" s="13">
        <v>0</v>
      </c>
    </row>
    <row r="573" spans="1:5" x14ac:dyDescent="0.3">
      <c r="A573" s="13" t="s">
        <v>1</v>
      </c>
      <c r="B573" s="13" t="s">
        <v>525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1138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1087</v>
      </c>
      <c r="C575" s="13">
        <v>2</v>
      </c>
      <c r="D575" s="13">
        <v>0</v>
      </c>
      <c r="E575" s="13">
        <v>2</v>
      </c>
    </row>
    <row r="576" spans="1:5" x14ac:dyDescent="0.3">
      <c r="A576" s="13" t="s">
        <v>1</v>
      </c>
      <c r="B576" s="13" t="s">
        <v>2260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768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648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2572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227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1292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2573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2059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2187</v>
      </c>
      <c r="C584" s="13">
        <v>1</v>
      </c>
      <c r="D584" s="13">
        <v>0</v>
      </c>
      <c r="E584" s="13">
        <v>3</v>
      </c>
    </row>
    <row r="585" spans="1:5" x14ac:dyDescent="0.3">
      <c r="A585" s="13" t="s">
        <v>1</v>
      </c>
      <c r="B585" s="13" t="s">
        <v>122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46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902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174</v>
      </c>
      <c r="C588" s="13">
        <v>2</v>
      </c>
      <c r="D588" s="13">
        <v>0</v>
      </c>
      <c r="E588" s="13">
        <v>1</v>
      </c>
    </row>
    <row r="589" spans="1:5" x14ac:dyDescent="0.3">
      <c r="A589" s="13" t="s">
        <v>1</v>
      </c>
      <c r="B589" s="13" t="s">
        <v>1245</v>
      </c>
      <c r="C589" s="13">
        <v>2</v>
      </c>
      <c r="D589" s="13">
        <v>0</v>
      </c>
      <c r="E589" s="13">
        <v>3</v>
      </c>
    </row>
    <row r="590" spans="1:5" x14ac:dyDescent="0.3">
      <c r="A590" s="13" t="s">
        <v>1</v>
      </c>
      <c r="B590" s="13" t="s">
        <v>1092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704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1558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1042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364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410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973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842</v>
      </c>
      <c r="C597" s="13">
        <v>1</v>
      </c>
      <c r="D597" s="13">
        <v>0</v>
      </c>
      <c r="E597" s="13">
        <v>0</v>
      </c>
    </row>
    <row r="598" spans="1:5" x14ac:dyDescent="0.3">
      <c r="A598" s="13" t="s">
        <v>1</v>
      </c>
      <c r="B598" s="13" t="s">
        <v>536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293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2574</v>
      </c>
      <c r="C600" s="13">
        <v>1</v>
      </c>
      <c r="D600" s="13">
        <v>0</v>
      </c>
      <c r="E600" s="13">
        <v>2</v>
      </c>
    </row>
    <row r="601" spans="1:5" x14ac:dyDescent="0.3">
      <c r="A601" s="13" t="s">
        <v>1</v>
      </c>
      <c r="B601" s="13" t="s">
        <v>1746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294</v>
      </c>
      <c r="C602" s="13">
        <v>2</v>
      </c>
      <c r="D602" s="13">
        <v>0</v>
      </c>
      <c r="E602" s="13">
        <v>2</v>
      </c>
    </row>
    <row r="603" spans="1:5" x14ac:dyDescent="0.3">
      <c r="A603" s="13" t="s">
        <v>1</v>
      </c>
      <c r="B603" s="13" t="s">
        <v>1552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1713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456</v>
      </c>
      <c r="C605" s="13">
        <v>1</v>
      </c>
      <c r="D605" s="13">
        <v>0</v>
      </c>
      <c r="E605" s="13">
        <v>1</v>
      </c>
    </row>
    <row r="606" spans="1:5" x14ac:dyDescent="0.3">
      <c r="A606" s="13" t="s">
        <v>1</v>
      </c>
      <c r="B606" s="13" t="s">
        <v>229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907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1357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2575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1046</v>
      </c>
      <c r="C610" s="13">
        <v>1</v>
      </c>
      <c r="D610" s="13">
        <v>0</v>
      </c>
      <c r="E610" s="13">
        <v>0</v>
      </c>
    </row>
    <row r="611" spans="1:5" x14ac:dyDescent="0.3">
      <c r="A611" s="13" t="s">
        <v>1</v>
      </c>
      <c r="B611" s="13" t="s">
        <v>185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958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715</v>
      </c>
      <c r="C613" s="13">
        <v>1</v>
      </c>
      <c r="D613" s="13">
        <v>0</v>
      </c>
      <c r="E613" s="13">
        <v>0</v>
      </c>
    </row>
    <row r="614" spans="1:5" x14ac:dyDescent="0.3">
      <c r="A614" s="13" t="s">
        <v>1</v>
      </c>
      <c r="B614" s="13" t="s">
        <v>131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1</v>
      </c>
      <c r="B615" s="13" t="s">
        <v>1012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1</v>
      </c>
      <c r="B616" s="13" t="s">
        <v>540</v>
      </c>
      <c r="C616" s="13">
        <v>2</v>
      </c>
      <c r="D616" s="13">
        <v>0</v>
      </c>
      <c r="E616" s="13">
        <v>2</v>
      </c>
    </row>
    <row r="617" spans="1:5" x14ac:dyDescent="0.3">
      <c r="A617" s="13" t="s">
        <v>1</v>
      </c>
      <c r="B617" s="13" t="s">
        <v>2000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1118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1219</v>
      </c>
      <c r="C619" s="13">
        <v>1</v>
      </c>
      <c r="D619" s="13">
        <v>0</v>
      </c>
      <c r="E619" s="13">
        <v>0</v>
      </c>
    </row>
    <row r="620" spans="1:5" x14ac:dyDescent="0.3">
      <c r="A620" s="13" t="s">
        <v>1</v>
      </c>
      <c r="B620" s="13" t="s">
        <v>868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484</v>
      </c>
      <c r="C621" s="14">
        <v>1</v>
      </c>
      <c r="D621" s="14">
        <v>0</v>
      </c>
      <c r="E621" s="14">
        <v>3</v>
      </c>
    </row>
    <row r="622" spans="1:5" x14ac:dyDescent="0.3">
      <c r="A622" s="14" t="s">
        <v>1</v>
      </c>
      <c r="B622" s="14" t="s">
        <v>53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1</v>
      </c>
      <c r="B623" s="14" t="s">
        <v>190</v>
      </c>
      <c r="C623" s="14">
        <v>3</v>
      </c>
      <c r="D623" s="14">
        <v>0</v>
      </c>
      <c r="E623" s="14">
        <v>6</v>
      </c>
    </row>
    <row r="624" spans="1:5" x14ac:dyDescent="0.3">
      <c r="A624" s="14" t="s">
        <v>1</v>
      </c>
      <c r="B624" s="14" t="s">
        <v>1349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1</v>
      </c>
      <c r="B625" s="14" t="s">
        <v>2576</v>
      </c>
      <c r="C625" s="14">
        <v>1</v>
      </c>
      <c r="D625" s="14">
        <v>0</v>
      </c>
      <c r="E625" s="14">
        <v>1</v>
      </c>
    </row>
    <row r="626" spans="1:5" x14ac:dyDescent="0.3">
      <c r="A626" s="14" t="s">
        <v>1</v>
      </c>
      <c r="B626" s="14" t="s">
        <v>231</v>
      </c>
      <c r="C626" s="14">
        <v>10</v>
      </c>
      <c r="D626" s="14">
        <v>0</v>
      </c>
      <c r="E626" s="14">
        <v>16</v>
      </c>
    </row>
    <row r="627" spans="1:5" x14ac:dyDescent="0.3">
      <c r="A627" s="14" t="s">
        <v>1</v>
      </c>
      <c r="B627" s="14" t="s">
        <v>370</v>
      </c>
      <c r="C627" s="14">
        <v>3</v>
      </c>
      <c r="D627" s="14">
        <v>0</v>
      </c>
      <c r="E627" s="14">
        <v>3</v>
      </c>
    </row>
    <row r="628" spans="1:5" x14ac:dyDescent="0.3">
      <c r="A628" s="14" t="s">
        <v>1</v>
      </c>
      <c r="B628" s="14" t="s">
        <v>365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1</v>
      </c>
      <c r="B629" s="14" t="s">
        <v>232</v>
      </c>
      <c r="C629" s="14">
        <v>5</v>
      </c>
      <c r="D629" s="14">
        <v>0</v>
      </c>
      <c r="E629" s="14">
        <v>6</v>
      </c>
    </row>
    <row r="630" spans="1:5" x14ac:dyDescent="0.3">
      <c r="A630" s="14" t="s">
        <v>1</v>
      </c>
      <c r="B630" s="14" t="s">
        <v>460</v>
      </c>
      <c r="C630" s="14">
        <v>3</v>
      </c>
      <c r="D630" s="14">
        <v>0</v>
      </c>
      <c r="E630" s="14">
        <v>4</v>
      </c>
    </row>
    <row r="631" spans="1:5" x14ac:dyDescent="0.3">
      <c r="A631" s="14" t="s">
        <v>1</v>
      </c>
      <c r="B631" s="14" t="s">
        <v>192</v>
      </c>
      <c r="C631" s="14">
        <v>7</v>
      </c>
      <c r="D631" s="14">
        <v>0</v>
      </c>
      <c r="E631" s="14">
        <v>28</v>
      </c>
    </row>
    <row r="632" spans="1:5" x14ac:dyDescent="0.3">
      <c r="A632" s="14" t="s">
        <v>1</v>
      </c>
      <c r="B632" s="14" t="s">
        <v>54</v>
      </c>
      <c r="C632" s="14">
        <v>5</v>
      </c>
      <c r="D632" s="14">
        <v>0</v>
      </c>
      <c r="E632" s="14">
        <v>5</v>
      </c>
    </row>
    <row r="633" spans="1:5" x14ac:dyDescent="0.3">
      <c r="A633" s="14" t="s">
        <v>1</v>
      </c>
      <c r="B633" s="14" t="s">
        <v>234</v>
      </c>
      <c r="C633" s="14">
        <v>3</v>
      </c>
      <c r="D633" s="14">
        <v>0</v>
      </c>
      <c r="E633" s="14">
        <v>3</v>
      </c>
    </row>
    <row r="634" spans="1:5" x14ac:dyDescent="0.3">
      <c r="A634" s="14" t="s">
        <v>1</v>
      </c>
      <c r="B634" s="14" t="s">
        <v>2577</v>
      </c>
      <c r="C634" s="14">
        <v>1</v>
      </c>
      <c r="D634" s="14">
        <v>0</v>
      </c>
      <c r="E634" s="14">
        <v>3</v>
      </c>
    </row>
    <row r="635" spans="1:5" x14ac:dyDescent="0.3">
      <c r="A635" s="14" t="s">
        <v>1</v>
      </c>
      <c r="B635" s="14" t="s">
        <v>1014</v>
      </c>
      <c r="C635" s="14">
        <v>1</v>
      </c>
      <c r="D635" s="14">
        <v>0</v>
      </c>
      <c r="E635" s="14">
        <v>1</v>
      </c>
    </row>
    <row r="636" spans="1:5" x14ac:dyDescent="0.3">
      <c r="A636" s="14" t="s">
        <v>1</v>
      </c>
      <c r="B636" s="14" t="s">
        <v>235</v>
      </c>
      <c r="C636" s="14">
        <v>2</v>
      </c>
      <c r="D636" s="14">
        <v>0</v>
      </c>
      <c r="E636" s="14">
        <v>4</v>
      </c>
    </row>
    <row r="637" spans="1:5" x14ac:dyDescent="0.3">
      <c r="A637" s="14" t="s">
        <v>1</v>
      </c>
      <c r="B637" s="14" t="s">
        <v>639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1</v>
      </c>
      <c r="B638" s="14" t="s">
        <v>236</v>
      </c>
      <c r="C638" s="14">
        <v>7</v>
      </c>
      <c r="D638" s="14">
        <v>0</v>
      </c>
      <c r="E638" s="14">
        <v>20</v>
      </c>
    </row>
    <row r="639" spans="1:5" x14ac:dyDescent="0.3">
      <c r="A639" s="14" t="s">
        <v>1</v>
      </c>
      <c r="B639" s="14" t="s">
        <v>640</v>
      </c>
      <c r="C639" s="14">
        <v>3</v>
      </c>
      <c r="D639" s="14">
        <v>0</v>
      </c>
      <c r="E639" s="14">
        <v>3</v>
      </c>
    </row>
    <row r="640" spans="1:5" x14ac:dyDescent="0.3">
      <c r="A640" s="14" t="s">
        <v>1</v>
      </c>
      <c r="B640" s="14" t="s">
        <v>371</v>
      </c>
      <c r="C640" s="14">
        <v>2</v>
      </c>
      <c r="D640" s="14">
        <v>0</v>
      </c>
      <c r="E640" s="14">
        <v>2</v>
      </c>
    </row>
    <row r="641" spans="1:5" x14ac:dyDescent="0.3">
      <c r="A641" s="14" t="s">
        <v>1</v>
      </c>
      <c r="B641" s="14" t="s">
        <v>366</v>
      </c>
      <c r="C641" s="14">
        <v>2</v>
      </c>
      <c r="D641" s="14">
        <v>0</v>
      </c>
      <c r="E641" s="14">
        <v>1</v>
      </c>
    </row>
    <row r="642" spans="1:5" x14ac:dyDescent="0.3">
      <c r="A642" s="14" t="s">
        <v>1</v>
      </c>
      <c r="B642" s="14" t="s">
        <v>1015</v>
      </c>
      <c r="C642" s="14">
        <v>1</v>
      </c>
      <c r="D642" s="14">
        <v>0</v>
      </c>
      <c r="E642" s="14">
        <v>1</v>
      </c>
    </row>
    <row r="643" spans="1:5" x14ac:dyDescent="0.3">
      <c r="A643" s="14" t="s">
        <v>1</v>
      </c>
      <c r="B643" s="14" t="s">
        <v>461</v>
      </c>
      <c r="C643" s="14">
        <v>2</v>
      </c>
      <c r="D643" s="14">
        <v>0</v>
      </c>
      <c r="E643" s="14">
        <v>2</v>
      </c>
    </row>
    <row r="644" spans="1:5" x14ac:dyDescent="0.3">
      <c r="A644" s="14" t="s">
        <v>1</v>
      </c>
      <c r="B644" s="14" t="s">
        <v>1418</v>
      </c>
      <c r="C644" s="14">
        <v>1</v>
      </c>
      <c r="D644" s="14">
        <v>0</v>
      </c>
      <c r="E644" s="14">
        <v>1</v>
      </c>
    </row>
    <row r="645" spans="1:5" x14ac:dyDescent="0.3">
      <c r="A645" s="14" t="s">
        <v>1</v>
      </c>
      <c r="B645" s="14" t="s">
        <v>786</v>
      </c>
      <c r="C645" s="14">
        <v>1</v>
      </c>
      <c r="D645" s="14">
        <v>0</v>
      </c>
      <c r="E645" s="14">
        <v>2</v>
      </c>
    </row>
    <row r="646" spans="1:5" x14ac:dyDescent="0.3">
      <c r="A646" s="14" t="s">
        <v>1</v>
      </c>
      <c r="B646" s="14" t="s">
        <v>1699</v>
      </c>
      <c r="C646" s="14">
        <v>1</v>
      </c>
      <c r="D646" s="14">
        <v>0</v>
      </c>
      <c r="E646" s="14">
        <v>1</v>
      </c>
    </row>
    <row r="647" spans="1:5" x14ac:dyDescent="0.3">
      <c r="A647" s="14" t="s">
        <v>1</v>
      </c>
      <c r="B647" s="14" t="s">
        <v>2543</v>
      </c>
      <c r="C647" s="14">
        <v>0</v>
      </c>
      <c r="D647" s="14">
        <v>2</v>
      </c>
    </row>
    <row r="648" spans="1:5" x14ac:dyDescent="0.3">
      <c r="A648" s="14" t="s">
        <v>1</v>
      </c>
      <c r="B648" s="14" t="s">
        <v>2118</v>
      </c>
      <c r="C648" s="14">
        <v>1</v>
      </c>
      <c r="D648" s="14">
        <v>0</v>
      </c>
      <c r="E648" s="14">
        <v>1</v>
      </c>
    </row>
    <row r="649" spans="1:5" x14ac:dyDescent="0.3">
      <c r="A649" s="14" t="s">
        <v>1</v>
      </c>
      <c r="B649" s="14" t="s">
        <v>2578</v>
      </c>
      <c r="C649" s="14">
        <v>0</v>
      </c>
      <c r="D649" s="14">
        <v>1</v>
      </c>
    </row>
    <row r="650" spans="1:5" x14ac:dyDescent="0.3">
      <c r="A650" s="14" t="s">
        <v>1</v>
      </c>
      <c r="B650" s="14" t="s">
        <v>1966</v>
      </c>
      <c r="C650" s="14">
        <v>1</v>
      </c>
      <c r="D650" s="14">
        <v>0</v>
      </c>
      <c r="E650" s="14">
        <v>1</v>
      </c>
    </row>
    <row r="651" spans="1:5" x14ac:dyDescent="0.3">
      <c r="A651" s="14" t="s">
        <v>1</v>
      </c>
      <c r="B651" s="14" t="s">
        <v>1393</v>
      </c>
      <c r="C651" s="14">
        <v>1</v>
      </c>
      <c r="D651" s="14">
        <v>0</v>
      </c>
      <c r="E651" s="14">
        <v>1</v>
      </c>
    </row>
    <row r="652" spans="1:5" x14ac:dyDescent="0.3">
      <c r="A652" s="14" t="s">
        <v>1</v>
      </c>
      <c r="B652" s="14" t="s">
        <v>2579</v>
      </c>
      <c r="C652" s="14">
        <v>1</v>
      </c>
      <c r="D652" s="14">
        <v>0</v>
      </c>
      <c r="E652" s="14">
        <v>2</v>
      </c>
    </row>
    <row r="653" spans="1:5" x14ac:dyDescent="0.3">
      <c r="A653" s="14" t="s">
        <v>1</v>
      </c>
      <c r="B653" s="14" t="s">
        <v>2135</v>
      </c>
      <c r="C653" s="14">
        <v>0</v>
      </c>
      <c r="D653" s="14">
        <v>3</v>
      </c>
    </row>
    <row r="654" spans="1:5" x14ac:dyDescent="0.3">
      <c r="A654" s="14" t="s">
        <v>1</v>
      </c>
      <c r="B654" s="14" t="s">
        <v>2347</v>
      </c>
      <c r="C654" s="14">
        <v>1</v>
      </c>
      <c r="D654" s="14">
        <v>0</v>
      </c>
      <c r="E654" s="14">
        <v>2</v>
      </c>
    </row>
    <row r="655" spans="1:5" x14ac:dyDescent="0.3">
      <c r="A655" s="14" t="s">
        <v>1</v>
      </c>
      <c r="B655" s="14" t="s">
        <v>788</v>
      </c>
      <c r="C655" s="14">
        <v>0</v>
      </c>
      <c r="D655" s="14">
        <v>1</v>
      </c>
    </row>
    <row r="656" spans="1:5" x14ac:dyDescent="0.3">
      <c r="A656" s="14" t="s">
        <v>1</v>
      </c>
      <c r="B656" s="14" t="s">
        <v>2271</v>
      </c>
      <c r="C656" s="14">
        <v>1</v>
      </c>
      <c r="D656" s="14">
        <v>0</v>
      </c>
      <c r="E656" s="14">
        <v>3</v>
      </c>
    </row>
    <row r="657" spans="1:5" x14ac:dyDescent="0.3">
      <c r="A657" s="14" t="s">
        <v>1</v>
      </c>
      <c r="B657" s="14" t="s">
        <v>2348</v>
      </c>
      <c r="C657" s="14">
        <v>3</v>
      </c>
      <c r="D657" s="14">
        <v>0</v>
      </c>
      <c r="E657" s="14">
        <v>2</v>
      </c>
    </row>
    <row r="658" spans="1:5" x14ac:dyDescent="0.3">
      <c r="A658" s="14" t="s">
        <v>1</v>
      </c>
      <c r="B658" s="14" t="s">
        <v>2349</v>
      </c>
      <c r="C658" s="14">
        <v>2</v>
      </c>
      <c r="D658" s="14">
        <v>0</v>
      </c>
      <c r="E658" s="14">
        <v>1</v>
      </c>
    </row>
    <row r="659" spans="1:5" x14ac:dyDescent="0.3">
      <c r="A659" s="14" t="s">
        <v>1</v>
      </c>
      <c r="B659" s="14" t="s">
        <v>2352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1</v>
      </c>
      <c r="B660" s="14" t="s">
        <v>2355</v>
      </c>
      <c r="C660" s="14">
        <v>2</v>
      </c>
      <c r="D660" s="14">
        <v>0</v>
      </c>
      <c r="E660" s="14">
        <v>2</v>
      </c>
    </row>
    <row r="661" spans="1:5" x14ac:dyDescent="0.3">
      <c r="A661" s="14" t="s">
        <v>0</v>
      </c>
      <c r="B661" s="14" t="s">
        <v>71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0</v>
      </c>
      <c r="B662" s="14" t="s">
        <v>33</v>
      </c>
      <c r="C662" s="14">
        <v>1</v>
      </c>
      <c r="D662" s="14">
        <v>0</v>
      </c>
      <c r="E662" s="14">
        <v>1</v>
      </c>
    </row>
    <row r="663" spans="1:5" x14ac:dyDescent="0.3">
      <c r="A663" s="14" t="s">
        <v>0</v>
      </c>
      <c r="B663" s="14" t="s">
        <v>596</v>
      </c>
      <c r="C663" s="14">
        <v>1</v>
      </c>
      <c r="D663" s="14">
        <v>0</v>
      </c>
      <c r="E663" s="14">
        <v>1</v>
      </c>
    </row>
    <row r="664" spans="1:5" x14ac:dyDescent="0.3">
      <c r="A664" s="14" t="s">
        <v>0</v>
      </c>
      <c r="B664" s="14" t="s">
        <v>877</v>
      </c>
      <c r="C664" s="14">
        <v>1</v>
      </c>
      <c r="D664" s="14">
        <v>0</v>
      </c>
      <c r="E664" s="14">
        <v>1</v>
      </c>
    </row>
    <row r="665" spans="1:5" x14ac:dyDescent="0.3">
      <c r="A665" s="14" t="s">
        <v>0</v>
      </c>
      <c r="B665" s="14" t="s">
        <v>498</v>
      </c>
      <c r="C665" s="14">
        <v>1</v>
      </c>
      <c r="D665" s="14">
        <v>0</v>
      </c>
      <c r="E665" s="14">
        <v>1</v>
      </c>
    </row>
    <row r="666" spans="1:5" x14ac:dyDescent="0.3">
      <c r="A666" s="14" t="s">
        <v>0</v>
      </c>
      <c r="B666" s="14" t="s">
        <v>269</v>
      </c>
      <c r="C666" s="14">
        <v>1</v>
      </c>
      <c r="D666" s="14">
        <v>0</v>
      </c>
      <c r="E666" s="14">
        <v>1</v>
      </c>
    </row>
    <row r="667" spans="1:5" x14ac:dyDescent="0.3">
      <c r="A667" s="14" t="s">
        <v>0</v>
      </c>
      <c r="B667" s="14" t="s">
        <v>353</v>
      </c>
      <c r="C667" s="14">
        <v>1</v>
      </c>
      <c r="D667" s="14">
        <v>0</v>
      </c>
      <c r="E667" s="14">
        <v>2</v>
      </c>
    </row>
    <row r="668" spans="1:5" x14ac:dyDescent="0.3">
      <c r="A668" s="14" t="s">
        <v>0</v>
      </c>
      <c r="B668" s="14" t="s">
        <v>94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0</v>
      </c>
      <c r="B669" s="14" t="s">
        <v>1885</v>
      </c>
      <c r="C669" s="14">
        <v>1</v>
      </c>
      <c r="D669" s="14">
        <v>0</v>
      </c>
      <c r="E669" s="14">
        <v>1</v>
      </c>
    </row>
    <row r="670" spans="1:5" x14ac:dyDescent="0.3">
      <c r="A670" s="14" t="s">
        <v>0</v>
      </c>
      <c r="B670" s="14" t="s">
        <v>2166</v>
      </c>
      <c r="C670" s="14">
        <v>1</v>
      </c>
      <c r="D670" s="14">
        <v>0</v>
      </c>
      <c r="E670" s="14">
        <v>1</v>
      </c>
    </row>
    <row r="671" spans="1:5" x14ac:dyDescent="0.3">
      <c r="A671" s="14" t="s">
        <v>0</v>
      </c>
      <c r="B671" s="14" t="s">
        <v>1342</v>
      </c>
      <c r="C671" s="14">
        <v>2</v>
      </c>
      <c r="D671" s="14">
        <v>0</v>
      </c>
      <c r="E671" s="14">
        <v>1</v>
      </c>
    </row>
    <row r="672" spans="1:5" x14ac:dyDescent="0.3">
      <c r="A672" s="14" t="s">
        <v>0</v>
      </c>
      <c r="B672" s="14" t="s">
        <v>99</v>
      </c>
      <c r="C672" s="14">
        <v>1</v>
      </c>
      <c r="D672" s="14">
        <v>0</v>
      </c>
      <c r="E672" s="14">
        <v>1</v>
      </c>
    </row>
    <row r="673" spans="1:5" x14ac:dyDescent="0.3">
      <c r="A673" s="14" t="s">
        <v>0</v>
      </c>
      <c r="B673" s="14" t="s">
        <v>616</v>
      </c>
      <c r="C673" s="14">
        <v>1</v>
      </c>
      <c r="D673" s="14">
        <v>0</v>
      </c>
      <c r="E673" s="14">
        <v>2</v>
      </c>
    </row>
    <row r="674" spans="1:5" x14ac:dyDescent="0.3">
      <c r="A674" s="14" t="s">
        <v>0</v>
      </c>
      <c r="B674" s="14" t="s">
        <v>716</v>
      </c>
      <c r="C674" s="14">
        <v>1</v>
      </c>
      <c r="D674" s="14">
        <v>0</v>
      </c>
      <c r="E674" s="14">
        <v>1</v>
      </c>
    </row>
    <row r="675" spans="1:5" x14ac:dyDescent="0.3">
      <c r="A675" s="14" t="s">
        <v>0</v>
      </c>
      <c r="B675" s="14" t="s">
        <v>231</v>
      </c>
      <c r="C675" s="14">
        <v>2</v>
      </c>
      <c r="D675" s="14">
        <v>0</v>
      </c>
      <c r="E675" s="14">
        <v>2</v>
      </c>
    </row>
    <row r="676" spans="1:5" x14ac:dyDescent="0.3">
      <c r="A676" s="14" t="s">
        <v>0</v>
      </c>
      <c r="B676" s="14" t="s">
        <v>192</v>
      </c>
      <c r="C676" s="14">
        <v>1</v>
      </c>
      <c r="D676" s="14">
        <v>0</v>
      </c>
      <c r="E676" s="14">
        <v>1</v>
      </c>
    </row>
    <row r="677" spans="1:5" x14ac:dyDescent="0.3">
      <c r="A677" s="14" t="s">
        <v>0</v>
      </c>
      <c r="B677" s="14" t="s">
        <v>54</v>
      </c>
      <c r="C677" s="14">
        <v>1</v>
      </c>
      <c r="D677" s="14">
        <v>0</v>
      </c>
      <c r="E677" s="14">
        <v>1</v>
      </c>
    </row>
    <row r="678" spans="1:5" x14ac:dyDescent="0.3">
      <c r="A678" s="14" t="s">
        <v>0</v>
      </c>
      <c r="B678" s="14" t="s">
        <v>234</v>
      </c>
      <c r="C678" s="14">
        <v>1</v>
      </c>
      <c r="D678" s="14">
        <v>0</v>
      </c>
      <c r="E678" s="14">
        <v>4</v>
      </c>
    </row>
    <row r="679" spans="1:5" x14ac:dyDescent="0.3">
      <c r="A679" s="14" t="s">
        <v>0</v>
      </c>
      <c r="B679" s="14" t="s">
        <v>2363</v>
      </c>
      <c r="C679" s="14">
        <v>0</v>
      </c>
      <c r="D679" s="14">
        <v>1</v>
      </c>
    </row>
    <row r="680" spans="1:5" x14ac:dyDescent="0.3">
      <c r="A680" s="14" t="s">
        <v>0</v>
      </c>
      <c r="B680" s="14" t="s">
        <v>548</v>
      </c>
      <c r="C680" s="14">
        <v>0</v>
      </c>
      <c r="D680" s="14">
        <v>1</v>
      </c>
    </row>
    <row r="681" spans="1:5" x14ac:dyDescent="0.3">
      <c r="A681" s="14" t="s">
        <v>0</v>
      </c>
      <c r="B681" s="14" t="s">
        <v>32</v>
      </c>
      <c r="C681" s="14">
        <v>3</v>
      </c>
      <c r="D681" s="14">
        <v>0</v>
      </c>
      <c r="E681" s="14">
        <v>4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C0663-0FE6-4C5D-BA32-58F447BB58D0}">
  <sheetPr codeName="Sheet45"/>
  <dimension ref="A1:M635"/>
  <sheetViews>
    <sheetView workbookViewId="0">
      <selection activeCell="A2" sqref="A2:E635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53</v>
      </c>
      <c r="D2" s="13">
        <v>40</v>
      </c>
      <c r="E2" s="13">
        <v>67</v>
      </c>
    </row>
    <row r="3" spans="1:13" customFormat="1" x14ac:dyDescent="0.3">
      <c r="A3" s="13" t="s">
        <v>0</v>
      </c>
      <c r="B3" s="13" t="s">
        <v>1629</v>
      </c>
      <c r="C3" s="13">
        <v>34</v>
      </c>
      <c r="D3" s="13">
        <v>34</v>
      </c>
      <c r="E3" s="13">
        <v>35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37</v>
      </c>
      <c r="C4" s="13">
        <v>38</v>
      </c>
      <c r="D4" s="13">
        <v>32</v>
      </c>
      <c r="E4" s="13">
        <v>50</v>
      </c>
      <c r="G4" s="19" t="s">
        <v>8</v>
      </c>
      <c r="H4" s="15">
        <f>H13+H14</f>
        <v>997</v>
      </c>
      <c r="I4" s="16">
        <f>H4/H$6</f>
        <v>0.72403776325344948</v>
      </c>
      <c r="J4" s="15">
        <f>I13+I14</f>
        <v>561</v>
      </c>
      <c r="K4" s="16">
        <f>J4/J$6</f>
        <v>0.63968072976054735</v>
      </c>
      <c r="L4" s="15">
        <f>J13+J14</f>
        <v>1193</v>
      </c>
      <c r="M4" s="25">
        <f>L4/L$6</f>
        <v>0.72832722832722829</v>
      </c>
    </row>
    <row r="5" spans="1:13" customFormat="1" x14ac:dyDescent="0.3">
      <c r="A5" s="13" t="s">
        <v>1</v>
      </c>
      <c r="B5" s="13" t="s">
        <v>30</v>
      </c>
      <c r="C5" s="13">
        <v>82</v>
      </c>
      <c r="D5" s="13">
        <v>28</v>
      </c>
      <c r="E5" s="13">
        <v>161</v>
      </c>
      <c r="G5" s="19" t="s">
        <v>10</v>
      </c>
      <c r="H5" s="15">
        <f>H15+H16</f>
        <v>380</v>
      </c>
      <c r="I5" s="16">
        <f>H5/H$6</f>
        <v>0.27596223674655046</v>
      </c>
      <c r="J5" s="15">
        <f>I15+I16</f>
        <v>316</v>
      </c>
      <c r="K5" s="16">
        <f>J5/J$6</f>
        <v>0.3603192702394527</v>
      </c>
      <c r="L5" s="15">
        <f>J15+J16</f>
        <v>445</v>
      </c>
      <c r="M5" s="25">
        <f>L5/L$6</f>
        <v>0.27167277167277165</v>
      </c>
    </row>
    <row r="6" spans="1:13" customFormat="1" ht="17.25" thickBot="1" x14ac:dyDescent="0.35">
      <c r="A6" s="13" t="s">
        <v>1</v>
      </c>
      <c r="B6" s="13" t="s">
        <v>1629</v>
      </c>
      <c r="C6" s="13">
        <v>17</v>
      </c>
      <c r="D6" s="13">
        <v>17</v>
      </c>
      <c r="E6" s="13">
        <v>19</v>
      </c>
      <c r="G6" s="22"/>
      <c r="H6" s="26">
        <f>SUM(H4:H5)</f>
        <v>1377</v>
      </c>
      <c r="I6" s="27">
        <f>I4+I5</f>
        <v>1</v>
      </c>
      <c r="J6" s="26">
        <f>SUM(J4:J5)</f>
        <v>877</v>
      </c>
      <c r="K6" s="27">
        <f>K4+K5</f>
        <v>1</v>
      </c>
      <c r="L6" s="26">
        <f>SUM(L4:L5)</f>
        <v>1638</v>
      </c>
      <c r="M6" s="28">
        <f>M4+M5</f>
        <v>1</v>
      </c>
    </row>
    <row r="7" spans="1:13" customFormat="1" x14ac:dyDescent="0.3">
      <c r="A7" s="13" t="s">
        <v>1</v>
      </c>
      <c r="B7" s="13" t="s">
        <v>354</v>
      </c>
      <c r="C7" s="13">
        <v>18</v>
      </c>
      <c r="D7" s="13">
        <v>15</v>
      </c>
      <c r="E7" s="13">
        <v>22</v>
      </c>
    </row>
    <row r="8" spans="1:13" customFormat="1" x14ac:dyDescent="0.3">
      <c r="A8" s="13" t="s">
        <v>0</v>
      </c>
      <c r="B8" s="13" t="s">
        <v>29</v>
      </c>
      <c r="C8" s="13">
        <v>11</v>
      </c>
      <c r="D8" s="13">
        <v>11</v>
      </c>
      <c r="E8" s="13">
        <v>13</v>
      </c>
    </row>
    <row r="9" spans="1:13" customFormat="1" x14ac:dyDescent="0.3">
      <c r="A9" s="13" t="s">
        <v>0</v>
      </c>
      <c r="B9" s="13" t="s">
        <v>31</v>
      </c>
      <c r="C9" s="13">
        <v>11</v>
      </c>
      <c r="D9" s="13">
        <v>11</v>
      </c>
      <c r="E9" s="13">
        <v>11</v>
      </c>
    </row>
    <row r="10" spans="1:13" customFormat="1" ht="17.25" thickBot="1" x14ac:dyDescent="0.35">
      <c r="A10" s="13" t="s">
        <v>1</v>
      </c>
      <c r="B10" s="13" t="s">
        <v>1948</v>
      </c>
      <c r="C10" s="13">
        <v>13</v>
      </c>
      <c r="D10" s="13">
        <v>10</v>
      </c>
      <c r="E10" s="13">
        <v>14</v>
      </c>
    </row>
    <row r="11" spans="1:13" x14ac:dyDescent="0.3">
      <c r="A11" s="13" t="s">
        <v>1</v>
      </c>
      <c r="B11" s="13" t="s">
        <v>148</v>
      </c>
      <c r="C11" s="13">
        <v>9</v>
      </c>
      <c r="D11" s="13">
        <v>8</v>
      </c>
      <c r="E11" s="13">
        <v>10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1988</v>
      </c>
      <c r="C12" s="13">
        <v>16</v>
      </c>
      <c r="D12" s="13">
        <v>8</v>
      </c>
      <c r="E12" s="13">
        <v>18</v>
      </c>
      <c r="G12" s="19"/>
      <c r="H12" s="17">
        <f t="shared" ref="H12:J12" si="0">SUM(H13:H16)</f>
        <v>1377</v>
      </c>
      <c r="I12" s="17">
        <f t="shared" si="0"/>
        <v>877</v>
      </c>
      <c r="J12" s="20">
        <f t="shared" si="0"/>
        <v>1638</v>
      </c>
    </row>
    <row r="13" spans="1:13" x14ac:dyDescent="0.3">
      <c r="A13" s="13" t="s">
        <v>1</v>
      </c>
      <c r="B13" s="13" t="s">
        <v>31</v>
      </c>
      <c r="C13" s="13">
        <v>8</v>
      </c>
      <c r="D13" s="13">
        <v>7</v>
      </c>
      <c r="E13" s="13">
        <v>8</v>
      </c>
      <c r="G13" s="19" t="s">
        <v>7</v>
      </c>
      <c r="H13" s="18">
        <f t="shared" ref="H13:J16" si="1">SUMIF($A$2:$A$9999,$G13,C$2:C$9999)</f>
        <v>997</v>
      </c>
      <c r="I13" s="18">
        <f t="shared" si="1"/>
        <v>561</v>
      </c>
      <c r="J13" s="21">
        <f t="shared" si="1"/>
        <v>1193</v>
      </c>
    </row>
    <row r="14" spans="1:13" x14ac:dyDescent="0.3">
      <c r="A14" s="13" t="s">
        <v>0</v>
      </c>
      <c r="B14" s="13" t="s">
        <v>928</v>
      </c>
      <c r="C14" s="13">
        <v>7</v>
      </c>
      <c r="D14" s="13">
        <v>7</v>
      </c>
      <c r="E14" s="13">
        <v>7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0</v>
      </c>
      <c r="B15" s="13" t="s">
        <v>60</v>
      </c>
      <c r="C15" s="13">
        <v>7</v>
      </c>
      <c r="D15" s="13">
        <v>7</v>
      </c>
      <c r="E15" s="13">
        <v>7</v>
      </c>
      <c r="G15" s="19" t="s">
        <v>11</v>
      </c>
      <c r="H15" s="18">
        <f t="shared" si="1"/>
        <v>368</v>
      </c>
      <c r="I15" s="18">
        <f t="shared" si="1"/>
        <v>305</v>
      </c>
      <c r="J15" s="21">
        <f t="shared" si="1"/>
        <v>433</v>
      </c>
    </row>
    <row r="16" spans="1:13" ht="17.25" thickBot="1" x14ac:dyDescent="0.35">
      <c r="A16" s="13" t="s">
        <v>0</v>
      </c>
      <c r="B16" s="13" t="s">
        <v>37</v>
      </c>
      <c r="C16" s="13">
        <v>7</v>
      </c>
      <c r="D16" s="13">
        <v>7</v>
      </c>
      <c r="E16" s="13">
        <v>7</v>
      </c>
      <c r="G16" s="22" t="s">
        <v>12</v>
      </c>
      <c r="H16" s="23">
        <f t="shared" si="1"/>
        <v>12</v>
      </c>
      <c r="I16" s="23">
        <f t="shared" si="1"/>
        <v>11</v>
      </c>
      <c r="J16" s="24">
        <f t="shared" si="1"/>
        <v>12</v>
      </c>
    </row>
    <row r="17" spans="1:5" x14ac:dyDescent="0.3">
      <c r="A17" s="13" t="s">
        <v>1</v>
      </c>
      <c r="B17" s="13" t="s">
        <v>29</v>
      </c>
      <c r="C17" s="13">
        <v>7</v>
      </c>
      <c r="D17" s="13">
        <v>6</v>
      </c>
      <c r="E17" s="13">
        <v>6</v>
      </c>
    </row>
    <row r="18" spans="1:5" x14ac:dyDescent="0.3">
      <c r="A18" s="13" t="s">
        <v>0</v>
      </c>
      <c r="B18" s="13" t="s">
        <v>30</v>
      </c>
      <c r="C18" s="13">
        <v>10</v>
      </c>
      <c r="D18" s="13">
        <v>6</v>
      </c>
      <c r="E18" s="13">
        <v>25</v>
      </c>
    </row>
    <row r="19" spans="1:5" x14ac:dyDescent="0.3">
      <c r="A19" s="13" t="s">
        <v>0</v>
      </c>
      <c r="B19" s="13" t="s">
        <v>1948</v>
      </c>
      <c r="C19" s="13">
        <v>6</v>
      </c>
      <c r="D19" s="13">
        <v>6</v>
      </c>
      <c r="E19" s="13">
        <v>7</v>
      </c>
    </row>
    <row r="20" spans="1:5" x14ac:dyDescent="0.3">
      <c r="A20" s="13" t="s">
        <v>1</v>
      </c>
      <c r="B20" s="13" t="s">
        <v>60</v>
      </c>
      <c r="C20" s="13">
        <v>6</v>
      </c>
      <c r="D20" s="13">
        <v>5</v>
      </c>
      <c r="E20" s="13">
        <v>6</v>
      </c>
    </row>
    <row r="21" spans="1:5" x14ac:dyDescent="0.3">
      <c r="A21" s="13" t="s">
        <v>1</v>
      </c>
      <c r="B21" s="13" t="s">
        <v>61</v>
      </c>
      <c r="C21" s="13">
        <v>6</v>
      </c>
      <c r="D21" s="13">
        <v>5</v>
      </c>
      <c r="E21" s="13">
        <v>6</v>
      </c>
    </row>
    <row r="22" spans="1:5" x14ac:dyDescent="0.3">
      <c r="A22" s="13" t="s">
        <v>1</v>
      </c>
      <c r="B22" s="13" t="s">
        <v>1741</v>
      </c>
      <c r="C22" s="13">
        <v>5</v>
      </c>
      <c r="D22" s="13">
        <v>5</v>
      </c>
      <c r="E22" s="13">
        <v>5</v>
      </c>
    </row>
    <row r="23" spans="1:5" x14ac:dyDescent="0.3">
      <c r="A23" s="13" t="s">
        <v>1</v>
      </c>
      <c r="B23" s="13" t="s">
        <v>2203</v>
      </c>
      <c r="C23" s="13">
        <v>10</v>
      </c>
      <c r="D23" s="13">
        <v>5</v>
      </c>
      <c r="E23" s="13">
        <v>10</v>
      </c>
    </row>
    <row r="24" spans="1:5" x14ac:dyDescent="0.3">
      <c r="A24" s="13" t="s">
        <v>1</v>
      </c>
      <c r="B24" s="13" t="s">
        <v>154</v>
      </c>
      <c r="C24" s="13">
        <v>6</v>
      </c>
      <c r="D24" s="13">
        <v>5</v>
      </c>
      <c r="E24" s="13">
        <v>7</v>
      </c>
    </row>
    <row r="25" spans="1:5" x14ac:dyDescent="0.3">
      <c r="A25" s="13" t="s">
        <v>0</v>
      </c>
      <c r="B25" s="13" t="s">
        <v>34</v>
      </c>
      <c r="C25" s="13">
        <v>5</v>
      </c>
      <c r="D25" s="13">
        <v>5</v>
      </c>
      <c r="E25" s="13">
        <v>5</v>
      </c>
    </row>
    <row r="26" spans="1:5" x14ac:dyDescent="0.3">
      <c r="A26" s="13" t="s">
        <v>0</v>
      </c>
      <c r="B26" s="13" t="s">
        <v>61</v>
      </c>
      <c r="C26" s="13">
        <v>5</v>
      </c>
      <c r="D26" s="13">
        <v>5</v>
      </c>
      <c r="E26" s="13">
        <v>6</v>
      </c>
    </row>
    <row r="27" spans="1:5" x14ac:dyDescent="0.3">
      <c r="A27" s="13" t="s">
        <v>0</v>
      </c>
      <c r="B27" s="13" t="s">
        <v>1988</v>
      </c>
      <c r="C27" s="13">
        <v>7</v>
      </c>
      <c r="D27" s="13">
        <v>5</v>
      </c>
      <c r="E27" s="13">
        <v>6</v>
      </c>
    </row>
    <row r="28" spans="1:5" x14ac:dyDescent="0.3">
      <c r="A28" s="13" t="s">
        <v>0</v>
      </c>
      <c r="B28" s="13" t="s">
        <v>2203</v>
      </c>
      <c r="C28" s="13">
        <v>5</v>
      </c>
      <c r="D28" s="13">
        <v>5</v>
      </c>
      <c r="E28" s="13">
        <v>5</v>
      </c>
    </row>
    <row r="29" spans="1:5" x14ac:dyDescent="0.3">
      <c r="A29" s="13" t="s">
        <v>0</v>
      </c>
      <c r="B29" s="13" t="s">
        <v>1961</v>
      </c>
      <c r="C29" s="13">
        <v>5</v>
      </c>
      <c r="D29" s="13">
        <v>5</v>
      </c>
      <c r="E29" s="13">
        <v>5</v>
      </c>
    </row>
    <row r="30" spans="1:5" x14ac:dyDescent="0.3">
      <c r="A30" s="13" t="s">
        <v>1</v>
      </c>
      <c r="B30" s="13" t="s">
        <v>145</v>
      </c>
      <c r="C30" s="13">
        <v>4</v>
      </c>
      <c r="D30" s="13">
        <v>4</v>
      </c>
      <c r="E30" s="13">
        <v>4</v>
      </c>
    </row>
    <row r="31" spans="1:5" x14ac:dyDescent="0.3">
      <c r="A31" s="13" t="s">
        <v>1</v>
      </c>
      <c r="B31" s="13" t="s">
        <v>351</v>
      </c>
      <c r="C31" s="13">
        <v>5</v>
      </c>
      <c r="D31" s="13">
        <v>4</v>
      </c>
      <c r="E31" s="13">
        <v>6</v>
      </c>
    </row>
    <row r="32" spans="1:5" x14ac:dyDescent="0.3">
      <c r="A32" s="13" t="s">
        <v>1</v>
      </c>
      <c r="B32" s="13" t="s">
        <v>631</v>
      </c>
      <c r="C32" s="13">
        <v>5</v>
      </c>
      <c r="D32" s="13">
        <v>4</v>
      </c>
      <c r="E32" s="13">
        <v>6</v>
      </c>
    </row>
    <row r="33" spans="1:5" x14ac:dyDescent="0.3">
      <c r="A33" s="13" t="s">
        <v>1</v>
      </c>
      <c r="B33" s="13" t="s">
        <v>716</v>
      </c>
      <c r="C33" s="13">
        <v>5</v>
      </c>
      <c r="D33" s="13">
        <v>4</v>
      </c>
      <c r="E33" s="13">
        <v>5</v>
      </c>
    </row>
    <row r="34" spans="1:5" x14ac:dyDescent="0.3">
      <c r="A34" s="13" t="s">
        <v>1</v>
      </c>
      <c r="B34" s="13" t="s">
        <v>132</v>
      </c>
      <c r="C34" s="13">
        <v>6</v>
      </c>
      <c r="D34" s="13">
        <v>4</v>
      </c>
      <c r="E34" s="13">
        <v>5</v>
      </c>
    </row>
    <row r="35" spans="1:5" x14ac:dyDescent="0.3">
      <c r="A35" s="13" t="s">
        <v>1</v>
      </c>
      <c r="B35" s="13" t="s">
        <v>39</v>
      </c>
      <c r="C35" s="13">
        <v>17</v>
      </c>
      <c r="D35" s="13">
        <v>4</v>
      </c>
      <c r="E35" s="13">
        <v>30</v>
      </c>
    </row>
    <row r="36" spans="1:5" x14ac:dyDescent="0.3">
      <c r="A36" s="13" t="s">
        <v>0</v>
      </c>
      <c r="B36" s="13" t="s">
        <v>354</v>
      </c>
      <c r="C36" s="13">
        <v>6</v>
      </c>
      <c r="D36" s="13">
        <v>4</v>
      </c>
      <c r="E36" s="13">
        <v>7</v>
      </c>
    </row>
    <row r="37" spans="1:5" x14ac:dyDescent="0.3">
      <c r="A37" s="13" t="s">
        <v>0</v>
      </c>
      <c r="B37" s="13" t="s">
        <v>35</v>
      </c>
      <c r="C37" s="13">
        <v>4</v>
      </c>
      <c r="D37" s="13">
        <v>4</v>
      </c>
      <c r="E37" s="13">
        <v>4</v>
      </c>
    </row>
    <row r="38" spans="1:5" x14ac:dyDescent="0.3">
      <c r="A38" s="13" t="s">
        <v>0</v>
      </c>
      <c r="B38" s="13" t="s">
        <v>164</v>
      </c>
      <c r="C38" s="13">
        <v>4</v>
      </c>
      <c r="D38" s="13">
        <v>4</v>
      </c>
      <c r="E38" s="13">
        <v>4</v>
      </c>
    </row>
    <row r="39" spans="1:5" x14ac:dyDescent="0.3">
      <c r="A39" s="13" t="s">
        <v>0</v>
      </c>
      <c r="B39" s="13" t="s">
        <v>126</v>
      </c>
      <c r="C39" s="13">
        <v>5</v>
      </c>
      <c r="D39" s="13">
        <v>4</v>
      </c>
      <c r="E39" s="13">
        <v>5</v>
      </c>
    </row>
    <row r="40" spans="1:5" x14ac:dyDescent="0.3">
      <c r="A40" s="13" t="s">
        <v>0</v>
      </c>
      <c r="B40" s="13" t="s">
        <v>39</v>
      </c>
      <c r="C40" s="13">
        <v>5</v>
      </c>
      <c r="D40" s="13">
        <v>4</v>
      </c>
      <c r="E40" s="13">
        <v>6</v>
      </c>
    </row>
    <row r="41" spans="1:5" x14ac:dyDescent="0.3">
      <c r="A41" s="13" t="s">
        <v>1</v>
      </c>
      <c r="B41" s="13" t="s">
        <v>48</v>
      </c>
      <c r="C41" s="13">
        <v>5</v>
      </c>
      <c r="D41" s="13">
        <v>3</v>
      </c>
      <c r="E41" s="13">
        <v>5</v>
      </c>
    </row>
    <row r="42" spans="1:5" x14ac:dyDescent="0.3">
      <c r="A42" s="13" t="s">
        <v>1</v>
      </c>
      <c r="B42" s="13" t="s">
        <v>76</v>
      </c>
      <c r="C42" s="13">
        <v>4</v>
      </c>
      <c r="D42" s="13">
        <v>3</v>
      </c>
      <c r="E42" s="13">
        <v>7</v>
      </c>
    </row>
    <row r="43" spans="1:5" x14ac:dyDescent="0.3">
      <c r="A43" s="13" t="s">
        <v>1</v>
      </c>
      <c r="B43" s="13" t="s">
        <v>34</v>
      </c>
      <c r="C43" s="13">
        <v>3</v>
      </c>
      <c r="D43" s="13">
        <v>3</v>
      </c>
      <c r="E43" s="13">
        <v>3</v>
      </c>
    </row>
    <row r="44" spans="1:5" x14ac:dyDescent="0.3">
      <c r="A44" s="13" t="s">
        <v>1</v>
      </c>
      <c r="B44" s="13" t="s">
        <v>151</v>
      </c>
      <c r="C44" s="13">
        <v>4</v>
      </c>
      <c r="D44" s="13">
        <v>3</v>
      </c>
      <c r="E44" s="13">
        <v>4</v>
      </c>
    </row>
    <row r="45" spans="1:5" x14ac:dyDescent="0.3">
      <c r="A45" s="13" t="s">
        <v>1</v>
      </c>
      <c r="B45" s="13" t="s">
        <v>41</v>
      </c>
      <c r="C45" s="13">
        <v>4</v>
      </c>
      <c r="D45" s="13">
        <v>3</v>
      </c>
      <c r="E45" s="13">
        <v>4</v>
      </c>
    </row>
    <row r="46" spans="1:5" x14ac:dyDescent="0.3">
      <c r="A46" s="13" t="s">
        <v>1</v>
      </c>
      <c r="B46" s="13" t="s">
        <v>93</v>
      </c>
      <c r="C46" s="13">
        <v>5</v>
      </c>
      <c r="D46" s="13">
        <v>3</v>
      </c>
      <c r="E46" s="13">
        <v>6</v>
      </c>
    </row>
    <row r="47" spans="1:5" x14ac:dyDescent="0.3">
      <c r="A47" s="13" t="s">
        <v>1</v>
      </c>
      <c r="B47" s="13" t="s">
        <v>247</v>
      </c>
      <c r="C47" s="13">
        <v>3</v>
      </c>
      <c r="D47" s="13">
        <v>3</v>
      </c>
      <c r="E47" s="13">
        <v>3</v>
      </c>
    </row>
    <row r="48" spans="1:5" x14ac:dyDescent="0.3">
      <c r="A48" s="13" t="s">
        <v>1</v>
      </c>
      <c r="B48" s="13" t="s">
        <v>94</v>
      </c>
      <c r="C48" s="13">
        <v>5</v>
      </c>
      <c r="D48" s="13">
        <v>3</v>
      </c>
      <c r="E48" s="13">
        <v>5</v>
      </c>
    </row>
    <row r="49" spans="1:5" x14ac:dyDescent="0.3">
      <c r="A49" s="13" t="s">
        <v>1</v>
      </c>
      <c r="B49" s="13" t="s">
        <v>1663</v>
      </c>
      <c r="C49" s="13">
        <v>11</v>
      </c>
      <c r="D49" s="13">
        <v>3</v>
      </c>
      <c r="E49" s="13">
        <v>13</v>
      </c>
    </row>
    <row r="50" spans="1:5" x14ac:dyDescent="0.3">
      <c r="A50" s="13" t="s">
        <v>1</v>
      </c>
      <c r="B50" s="13" t="s">
        <v>164</v>
      </c>
      <c r="C50" s="13">
        <v>3</v>
      </c>
      <c r="D50" s="13">
        <v>3</v>
      </c>
      <c r="E50" s="13">
        <v>3</v>
      </c>
    </row>
    <row r="51" spans="1:5" x14ac:dyDescent="0.3">
      <c r="A51" s="13" t="s">
        <v>1</v>
      </c>
      <c r="B51" s="13" t="s">
        <v>111</v>
      </c>
      <c r="C51" s="13">
        <v>3</v>
      </c>
      <c r="D51" s="13">
        <v>3</v>
      </c>
      <c r="E51" s="13">
        <v>3</v>
      </c>
    </row>
    <row r="52" spans="1:5" x14ac:dyDescent="0.3">
      <c r="A52" s="13" t="s">
        <v>1</v>
      </c>
      <c r="B52" s="13" t="s">
        <v>45</v>
      </c>
      <c r="C52" s="13">
        <v>3</v>
      </c>
      <c r="D52" s="13">
        <v>3</v>
      </c>
      <c r="E52" s="13">
        <v>3</v>
      </c>
    </row>
    <row r="53" spans="1:5" x14ac:dyDescent="0.3">
      <c r="A53" s="13" t="s">
        <v>1</v>
      </c>
      <c r="B53" s="13" t="s">
        <v>115</v>
      </c>
      <c r="C53" s="13">
        <v>4</v>
      </c>
      <c r="D53" s="13">
        <v>3</v>
      </c>
      <c r="E53" s="13">
        <v>4</v>
      </c>
    </row>
    <row r="54" spans="1:5" x14ac:dyDescent="0.3">
      <c r="A54" s="13" t="s">
        <v>1</v>
      </c>
      <c r="B54" s="13" t="s">
        <v>434</v>
      </c>
      <c r="C54" s="13">
        <v>3</v>
      </c>
      <c r="D54" s="13">
        <v>3</v>
      </c>
      <c r="E54" s="13">
        <v>3</v>
      </c>
    </row>
    <row r="55" spans="1:5" x14ac:dyDescent="0.3">
      <c r="A55" s="13" t="s">
        <v>1</v>
      </c>
      <c r="B55" s="13" t="s">
        <v>196</v>
      </c>
      <c r="C55" s="13">
        <v>4</v>
      </c>
      <c r="D55" s="13">
        <v>3</v>
      </c>
      <c r="E55" s="13">
        <v>4</v>
      </c>
    </row>
    <row r="56" spans="1:5" x14ac:dyDescent="0.3">
      <c r="A56" s="13" t="s">
        <v>1</v>
      </c>
      <c r="B56" s="13" t="s">
        <v>866</v>
      </c>
      <c r="C56" s="13">
        <v>7</v>
      </c>
      <c r="D56" s="13">
        <v>3</v>
      </c>
      <c r="E56" s="13">
        <v>6</v>
      </c>
    </row>
    <row r="57" spans="1:5" x14ac:dyDescent="0.3">
      <c r="A57" s="13" t="s">
        <v>1</v>
      </c>
      <c r="B57" s="13" t="s">
        <v>52</v>
      </c>
      <c r="C57" s="13">
        <v>3</v>
      </c>
      <c r="D57" s="13">
        <v>3</v>
      </c>
      <c r="E57" s="13">
        <v>6</v>
      </c>
    </row>
    <row r="58" spans="1:5" x14ac:dyDescent="0.3">
      <c r="A58" s="13" t="s">
        <v>1</v>
      </c>
      <c r="B58" s="13" t="s">
        <v>1490</v>
      </c>
      <c r="C58" s="13">
        <v>6</v>
      </c>
      <c r="D58" s="13">
        <v>3</v>
      </c>
      <c r="E58" s="13">
        <v>5</v>
      </c>
    </row>
    <row r="59" spans="1:5" x14ac:dyDescent="0.3">
      <c r="A59" s="13" t="s">
        <v>1</v>
      </c>
      <c r="B59" s="13" t="s">
        <v>654</v>
      </c>
      <c r="C59" s="13">
        <v>3</v>
      </c>
      <c r="D59" s="13">
        <v>9</v>
      </c>
      <c r="E59" s="13"/>
    </row>
    <row r="60" spans="1:5" x14ac:dyDescent="0.3">
      <c r="A60" s="13" t="s">
        <v>1</v>
      </c>
      <c r="B60" s="13" t="s">
        <v>32</v>
      </c>
      <c r="C60" s="13">
        <v>13</v>
      </c>
      <c r="D60" s="13">
        <v>3</v>
      </c>
      <c r="E60" s="13">
        <v>16</v>
      </c>
    </row>
    <row r="61" spans="1:5" x14ac:dyDescent="0.3">
      <c r="A61" s="13" t="s">
        <v>0</v>
      </c>
      <c r="B61" s="13" t="s">
        <v>260</v>
      </c>
      <c r="C61" s="13">
        <v>3</v>
      </c>
      <c r="D61" s="13">
        <v>3</v>
      </c>
      <c r="E61" s="13">
        <v>3</v>
      </c>
    </row>
    <row r="62" spans="1:5" x14ac:dyDescent="0.3">
      <c r="A62" s="13" t="s">
        <v>0</v>
      </c>
      <c r="B62" s="13" t="s">
        <v>91</v>
      </c>
      <c r="C62" s="13">
        <v>3</v>
      </c>
      <c r="D62" s="13">
        <v>3</v>
      </c>
      <c r="E62" s="13">
        <v>3</v>
      </c>
    </row>
    <row r="63" spans="1:5" x14ac:dyDescent="0.3">
      <c r="A63" s="13" t="s">
        <v>0</v>
      </c>
      <c r="B63" s="13" t="s">
        <v>1674</v>
      </c>
      <c r="C63" s="13">
        <v>3</v>
      </c>
      <c r="D63" s="13">
        <v>3</v>
      </c>
      <c r="E63" s="13">
        <v>4</v>
      </c>
    </row>
    <row r="64" spans="1:5" x14ac:dyDescent="0.3">
      <c r="A64" s="13" t="s">
        <v>0</v>
      </c>
      <c r="B64" s="13" t="s">
        <v>1741</v>
      </c>
      <c r="C64" s="13">
        <v>3</v>
      </c>
      <c r="D64" s="13">
        <v>3</v>
      </c>
      <c r="E64" s="13">
        <v>3</v>
      </c>
    </row>
    <row r="65" spans="1:5" x14ac:dyDescent="0.3">
      <c r="A65" s="13" t="s">
        <v>0</v>
      </c>
      <c r="B65" s="13" t="s">
        <v>2408</v>
      </c>
      <c r="C65" s="13">
        <v>4</v>
      </c>
      <c r="D65" s="13">
        <v>3</v>
      </c>
      <c r="E65" s="13">
        <v>4</v>
      </c>
    </row>
    <row r="66" spans="1:5" x14ac:dyDescent="0.3">
      <c r="A66" s="13" t="s">
        <v>0</v>
      </c>
      <c r="B66" s="13" t="s">
        <v>28</v>
      </c>
      <c r="C66" s="13">
        <v>3</v>
      </c>
      <c r="D66" s="13">
        <v>3</v>
      </c>
      <c r="E66" s="13">
        <v>3</v>
      </c>
    </row>
    <row r="67" spans="1:5" x14ac:dyDescent="0.3">
      <c r="A67" s="13" t="s">
        <v>0</v>
      </c>
      <c r="B67" s="13" t="s">
        <v>115</v>
      </c>
      <c r="C67" s="13">
        <v>3</v>
      </c>
      <c r="D67" s="13">
        <v>3</v>
      </c>
      <c r="E67" s="13">
        <v>4</v>
      </c>
    </row>
    <row r="68" spans="1:5" x14ac:dyDescent="0.3">
      <c r="A68" s="13" t="s">
        <v>0</v>
      </c>
      <c r="B68" s="13" t="s">
        <v>1074</v>
      </c>
      <c r="C68" s="13">
        <v>3</v>
      </c>
      <c r="D68" s="13">
        <v>3</v>
      </c>
      <c r="E68" s="13">
        <v>3</v>
      </c>
    </row>
    <row r="69" spans="1:5" x14ac:dyDescent="0.3">
      <c r="A69" s="13" t="s">
        <v>1</v>
      </c>
      <c r="B69" s="13" t="s">
        <v>473</v>
      </c>
      <c r="C69" s="13">
        <v>2</v>
      </c>
      <c r="D69" s="13">
        <v>2</v>
      </c>
      <c r="E69" s="13">
        <v>3</v>
      </c>
    </row>
    <row r="70" spans="1:5" x14ac:dyDescent="0.3">
      <c r="A70" s="13" t="s">
        <v>1</v>
      </c>
      <c r="B70" s="13" t="s">
        <v>47</v>
      </c>
      <c r="C70" s="13">
        <v>4</v>
      </c>
      <c r="D70" s="13">
        <v>2</v>
      </c>
      <c r="E70" s="13">
        <v>3</v>
      </c>
    </row>
    <row r="71" spans="1:5" x14ac:dyDescent="0.3">
      <c r="A71" s="13" t="s">
        <v>1</v>
      </c>
      <c r="B71" s="13" t="s">
        <v>1208</v>
      </c>
      <c r="C71" s="13">
        <v>2</v>
      </c>
      <c r="D71" s="13">
        <v>2</v>
      </c>
      <c r="E71" s="13">
        <v>2</v>
      </c>
    </row>
    <row r="72" spans="1:5" x14ac:dyDescent="0.3">
      <c r="A72" s="13" t="s">
        <v>1</v>
      </c>
      <c r="B72" s="13" t="s">
        <v>83</v>
      </c>
      <c r="C72" s="13">
        <v>3</v>
      </c>
      <c r="D72" s="13">
        <v>2</v>
      </c>
      <c r="E72" s="13">
        <v>3</v>
      </c>
    </row>
    <row r="73" spans="1:5" x14ac:dyDescent="0.3">
      <c r="A73" s="13" t="s">
        <v>1</v>
      </c>
      <c r="B73" s="13" t="s">
        <v>87</v>
      </c>
      <c r="C73" s="13">
        <v>2</v>
      </c>
      <c r="D73" s="13">
        <v>2</v>
      </c>
      <c r="E73" s="13">
        <v>2</v>
      </c>
    </row>
    <row r="74" spans="1:5" x14ac:dyDescent="0.3">
      <c r="A74" s="13" t="s">
        <v>1</v>
      </c>
      <c r="B74" s="13" t="s">
        <v>272</v>
      </c>
      <c r="C74" s="13">
        <v>3</v>
      </c>
      <c r="D74" s="13">
        <v>2</v>
      </c>
      <c r="E74" s="13">
        <v>3</v>
      </c>
    </row>
    <row r="75" spans="1:5" x14ac:dyDescent="0.3">
      <c r="A75" s="13" t="s">
        <v>1</v>
      </c>
      <c r="B75" s="13" t="s">
        <v>152</v>
      </c>
      <c r="C75" s="13">
        <v>4</v>
      </c>
      <c r="D75" s="13">
        <v>2</v>
      </c>
      <c r="E75" s="13">
        <v>5</v>
      </c>
    </row>
    <row r="76" spans="1:5" x14ac:dyDescent="0.3">
      <c r="A76" s="13" t="s">
        <v>1</v>
      </c>
      <c r="B76" s="13" t="s">
        <v>471</v>
      </c>
      <c r="C76" s="13">
        <v>3</v>
      </c>
      <c r="D76" s="13">
        <v>2</v>
      </c>
      <c r="E76" s="13">
        <v>3</v>
      </c>
    </row>
    <row r="77" spans="1:5" x14ac:dyDescent="0.3">
      <c r="A77" s="13" t="s">
        <v>1</v>
      </c>
      <c r="B77" s="13" t="s">
        <v>856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1645</v>
      </c>
      <c r="C78" s="13">
        <v>2</v>
      </c>
      <c r="D78" s="13">
        <v>2</v>
      </c>
      <c r="E78" s="13">
        <v>2</v>
      </c>
    </row>
    <row r="79" spans="1:5" x14ac:dyDescent="0.3">
      <c r="A79" s="13" t="s">
        <v>1</v>
      </c>
      <c r="B79" s="13" t="s">
        <v>1674</v>
      </c>
      <c r="C79" s="13">
        <v>4</v>
      </c>
      <c r="D79" s="13">
        <v>2</v>
      </c>
      <c r="E79" s="13">
        <v>5</v>
      </c>
    </row>
    <row r="80" spans="1:5" x14ac:dyDescent="0.3">
      <c r="A80" s="13" t="s">
        <v>1</v>
      </c>
      <c r="B80" s="13" t="s">
        <v>1849</v>
      </c>
      <c r="C80" s="13">
        <v>3</v>
      </c>
      <c r="D80" s="13">
        <v>2</v>
      </c>
      <c r="E80" s="13">
        <v>6</v>
      </c>
    </row>
    <row r="81" spans="1:5" x14ac:dyDescent="0.3">
      <c r="A81" s="13" t="s">
        <v>1</v>
      </c>
      <c r="B81" s="13" t="s">
        <v>1885</v>
      </c>
      <c r="C81" s="13">
        <v>5</v>
      </c>
      <c r="D81" s="13">
        <v>2</v>
      </c>
      <c r="E81" s="13">
        <v>5</v>
      </c>
    </row>
    <row r="82" spans="1:5" x14ac:dyDescent="0.3">
      <c r="A82" s="13" t="s">
        <v>1</v>
      </c>
      <c r="B82" s="13" t="s">
        <v>1900</v>
      </c>
      <c r="C82" s="13">
        <v>5</v>
      </c>
      <c r="D82" s="13">
        <v>2</v>
      </c>
      <c r="E82" s="13">
        <v>7</v>
      </c>
    </row>
    <row r="83" spans="1:5" x14ac:dyDescent="0.3">
      <c r="A83" s="13" t="s">
        <v>1</v>
      </c>
      <c r="B83" s="13" t="s">
        <v>2093</v>
      </c>
      <c r="C83" s="13">
        <v>5</v>
      </c>
      <c r="D83" s="13">
        <v>2</v>
      </c>
      <c r="E83" s="13">
        <v>6</v>
      </c>
    </row>
    <row r="84" spans="1:5" x14ac:dyDescent="0.3">
      <c r="A84" s="13" t="s">
        <v>1</v>
      </c>
      <c r="B84" s="13" t="s">
        <v>155</v>
      </c>
      <c r="C84" s="13">
        <v>2</v>
      </c>
      <c r="D84" s="13">
        <v>2</v>
      </c>
      <c r="E84" s="13">
        <v>3</v>
      </c>
    </row>
    <row r="85" spans="1:5" x14ac:dyDescent="0.3">
      <c r="A85" s="13" t="s">
        <v>1</v>
      </c>
      <c r="B85" s="13" t="s">
        <v>889</v>
      </c>
      <c r="C85" s="13">
        <v>3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616</v>
      </c>
      <c r="C86" s="13">
        <v>3</v>
      </c>
      <c r="D86" s="13">
        <v>2</v>
      </c>
      <c r="E86" s="13">
        <v>3</v>
      </c>
    </row>
    <row r="87" spans="1:5" x14ac:dyDescent="0.3">
      <c r="A87" s="13" t="s">
        <v>1</v>
      </c>
      <c r="B87" s="13" t="s">
        <v>195</v>
      </c>
      <c r="C87" s="13">
        <v>4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279</v>
      </c>
      <c r="C88" s="13">
        <v>2</v>
      </c>
      <c r="D88" s="13">
        <v>2</v>
      </c>
      <c r="E88" s="13">
        <v>4</v>
      </c>
    </row>
    <row r="89" spans="1:5" x14ac:dyDescent="0.3">
      <c r="A89" s="13" t="s">
        <v>1</v>
      </c>
      <c r="B89" s="13" t="s">
        <v>51</v>
      </c>
      <c r="C89" s="13">
        <v>5</v>
      </c>
      <c r="D89" s="13">
        <v>2</v>
      </c>
      <c r="E89" s="13">
        <v>7</v>
      </c>
    </row>
    <row r="90" spans="1:5" x14ac:dyDescent="0.3">
      <c r="A90" s="13" t="s">
        <v>1</v>
      </c>
      <c r="B90" s="13" t="s">
        <v>2082</v>
      </c>
      <c r="C90" s="13">
        <v>2</v>
      </c>
      <c r="D90" s="13">
        <v>2</v>
      </c>
      <c r="E90" s="13">
        <v>2</v>
      </c>
    </row>
    <row r="91" spans="1:5" x14ac:dyDescent="0.3">
      <c r="A91" s="13" t="s">
        <v>1</v>
      </c>
      <c r="B91" s="13" t="s">
        <v>661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953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1509</v>
      </c>
      <c r="C93" s="13">
        <v>7</v>
      </c>
      <c r="D93" s="13">
        <v>2</v>
      </c>
      <c r="E93" s="13">
        <v>6</v>
      </c>
    </row>
    <row r="94" spans="1:5" x14ac:dyDescent="0.3">
      <c r="A94" s="13" t="s">
        <v>1</v>
      </c>
      <c r="B94" s="13" t="s">
        <v>191</v>
      </c>
      <c r="C94" s="13">
        <v>3</v>
      </c>
      <c r="D94" s="13">
        <v>2</v>
      </c>
      <c r="E94" s="13">
        <v>7</v>
      </c>
    </row>
    <row r="95" spans="1:5" x14ac:dyDescent="0.3">
      <c r="A95" s="13" t="s">
        <v>1</v>
      </c>
      <c r="B95" s="13" t="s">
        <v>66</v>
      </c>
      <c r="C95" s="13">
        <v>5</v>
      </c>
      <c r="D95" s="13">
        <v>2</v>
      </c>
      <c r="E95" s="13">
        <v>5</v>
      </c>
    </row>
    <row r="96" spans="1:5" x14ac:dyDescent="0.3">
      <c r="A96" s="13" t="s">
        <v>1</v>
      </c>
      <c r="B96" s="13" t="s">
        <v>963</v>
      </c>
      <c r="C96" s="13">
        <v>2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787</v>
      </c>
      <c r="C97" s="13">
        <v>2</v>
      </c>
      <c r="D97" s="13">
        <v>2</v>
      </c>
      <c r="E97" s="13">
        <v>2</v>
      </c>
    </row>
    <row r="98" spans="1:5" x14ac:dyDescent="0.3">
      <c r="A98" s="13" t="s">
        <v>0</v>
      </c>
      <c r="B98" s="13" t="s">
        <v>48</v>
      </c>
      <c r="C98" s="13">
        <v>2</v>
      </c>
      <c r="D98" s="13">
        <v>2</v>
      </c>
      <c r="E98" s="13">
        <v>2</v>
      </c>
    </row>
    <row r="99" spans="1:5" x14ac:dyDescent="0.3">
      <c r="A99" s="13" t="s">
        <v>0</v>
      </c>
      <c r="B99" s="13" t="s">
        <v>94</v>
      </c>
      <c r="C99" s="13">
        <v>2</v>
      </c>
      <c r="D99" s="13">
        <v>2</v>
      </c>
      <c r="E99" s="13">
        <v>2</v>
      </c>
    </row>
    <row r="100" spans="1:5" x14ac:dyDescent="0.3">
      <c r="A100" s="13" t="s">
        <v>0</v>
      </c>
      <c r="B100" s="13" t="s">
        <v>1885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0</v>
      </c>
      <c r="B101" s="13" t="s">
        <v>2179</v>
      </c>
      <c r="C101" s="13">
        <v>3</v>
      </c>
      <c r="D101" s="13">
        <v>2</v>
      </c>
      <c r="E101" s="13">
        <v>3</v>
      </c>
    </row>
    <row r="102" spans="1:5" x14ac:dyDescent="0.3">
      <c r="A102" s="13" t="s">
        <v>0</v>
      </c>
      <c r="B102" s="13" t="s">
        <v>159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0</v>
      </c>
      <c r="B103" s="13" t="s">
        <v>109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0</v>
      </c>
      <c r="B104" s="13" t="s">
        <v>279</v>
      </c>
      <c r="C104" s="13">
        <v>3</v>
      </c>
      <c r="D104" s="13">
        <v>2</v>
      </c>
      <c r="E104" s="13">
        <v>3</v>
      </c>
    </row>
    <row r="105" spans="1:5" x14ac:dyDescent="0.3">
      <c r="A105" s="13" t="s">
        <v>0</v>
      </c>
      <c r="B105" s="13" t="s">
        <v>51</v>
      </c>
      <c r="C105" s="13">
        <v>2</v>
      </c>
      <c r="D105" s="13">
        <v>2</v>
      </c>
      <c r="E105" s="13">
        <v>3</v>
      </c>
    </row>
    <row r="106" spans="1:5" x14ac:dyDescent="0.3">
      <c r="A106" s="13" t="s">
        <v>0</v>
      </c>
      <c r="B106" s="13" t="s">
        <v>737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0</v>
      </c>
      <c r="B107" s="13" t="s">
        <v>523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0</v>
      </c>
      <c r="B108" s="13" t="s">
        <v>172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0</v>
      </c>
      <c r="B109" s="13" t="s">
        <v>121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0</v>
      </c>
      <c r="B110" s="13" t="s">
        <v>365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1</v>
      </c>
      <c r="B111" s="13" t="s">
        <v>485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1063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1351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199</v>
      </c>
      <c r="C114" s="13">
        <v>2</v>
      </c>
      <c r="D114" s="13">
        <v>1</v>
      </c>
      <c r="E114" s="13">
        <v>2</v>
      </c>
    </row>
    <row r="115" spans="1:5" x14ac:dyDescent="0.3">
      <c r="A115" s="13" t="s">
        <v>1</v>
      </c>
      <c r="B115" s="13" t="s">
        <v>261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489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583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490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373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752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586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555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71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72</v>
      </c>
      <c r="C124" s="13">
        <v>2</v>
      </c>
      <c r="D124" s="13">
        <v>1</v>
      </c>
      <c r="E124" s="13">
        <v>2</v>
      </c>
    </row>
    <row r="125" spans="1:5" x14ac:dyDescent="0.3">
      <c r="A125" s="13" t="s">
        <v>1</v>
      </c>
      <c r="B125" s="13" t="s">
        <v>73</v>
      </c>
      <c r="C125" s="13">
        <v>3</v>
      </c>
      <c r="D125" s="13">
        <v>1</v>
      </c>
      <c r="E125" s="13">
        <v>3</v>
      </c>
    </row>
    <row r="126" spans="1:5" x14ac:dyDescent="0.3">
      <c r="A126" s="13" t="s">
        <v>1</v>
      </c>
      <c r="B126" s="13" t="s">
        <v>753</v>
      </c>
      <c r="C126" s="13">
        <v>1</v>
      </c>
      <c r="D126" s="13">
        <v>1</v>
      </c>
      <c r="E126" s="13">
        <v>2</v>
      </c>
    </row>
    <row r="127" spans="1:5" x14ac:dyDescent="0.3">
      <c r="A127" s="13" t="s">
        <v>1</v>
      </c>
      <c r="B127" s="13" t="s">
        <v>446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75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142</v>
      </c>
      <c r="C129" s="13">
        <v>1</v>
      </c>
      <c r="D129" s="13">
        <v>1</v>
      </c>
      <c r="E129" s="13">
        <v>2</v>
      </c>
    </row>
    <row r="130" spans="1:5" x14ac:dyDescent="0.3">
      <c r="A130" s="13" t="s">
        <v>1</v>
      </c>
      <c r="B130" s="13" t="s">
        <v>345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1227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266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77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242</v>
      </c>
      <c r="C134" s="13">
        <v>2</v>
      </c>
      <c r="D134" s="13">
        <v>1</v>
      </c>
      <c r="E134" s="13">
        <v>2</v>
      </c>
    </row>
    <row r="135" spans="1:5" x14ac:dyDescent="0.3">
      <c r="A135" s="13" t="s">
        <v>1</v>
      </c>
      <c r="B135" s="13" t="s">
        <v>2476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1547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260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209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304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82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1472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271</v>
      </c>
      <c r="C142" s="13">
        <v>2</v>
      </c>
      <c r="D142" s="13">
        <v>1</v>
      </c>
      <c r="E142" s="13">
        <v>2</v>
      </c>
    </row>
    <row r="143" spans="1:5" x14ac:dyDescent="0.3">
      <c r="A143" s="13" t="s">
        <v>1</v>
      </c>
      <c r="B143" s="13" t="s">
        <v>988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257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147</v>
      </c>
      <c r="C145" s="13">
        <v>2</v>
      </c>
      <c r="D145" s="13">
        <v>1</v>
      </c>
      <c r="E145" s="13">
        <v>3</v>
      </c>
    </row>
    <row r="146" spans="1:5" x14ac:dyDescent="0.3">
      <c r="A146" s="13" t="s">
        <v>1</v>
      </c>
      <c r="B146" s="13" t="s">
        <v>989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212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817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2580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676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818</v>
      </c>
      <c r="C151" s="13">
        <v>1</v>
      </c>
      <c r="D151" s="13">
        <v>1</v>
      </c>
      <c r="E151" s="13">
        <v>2</v>
      </c>
    </row>
    <row r="152" spans="1:5" x14ac:dyDescent="0.3">
      <c r="A152" s="13" t="s">
        <v>1</v>
      </c>
      <c r="B152" s="13" t="s">
        <v>150</v>
      </c>
      <c r="C152" s="13">
        <v>2</v>
      </c>
      <c r="D152" s="13">
        <v>1</v>
      </c>
      <c r="E152" s="13">
        <v>2</v>
      </c>
    </row>
    <row r="153" spans="1:5" x14ac:dyDescent="0.3">
      <c r="A153" s="13" t="s">
        <v>1</v>
      </c>
      <c r="B153" s="13" t="s">
        <v>92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425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42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1471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1621</v>
      </c>
      <c r="C157" s="13">
        <v>2</v>
      </c>
      <c r="D157" s="13">
        <v>1</v>
      </c>
      <c r="E157" s="13">
        <v>2</v>
      </c>
    </row>
    <row r="158" spans="1:5" x14ac:dyDescent="0.3">
      <c r="A158" s="13" t="s">
        <v>1</v>
      </c>
      <c r="B158" s="13" t="s">
        <v>1696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1886</v>
      </c>
      <c r="C159" s="13">
        <v>2</v>
      </c>
      <c r="D159" s="13">
        <v>1</v>
      </c>
      <c r="E159" s="13">
        <v>2</v>
      </c>
    </row>
    <row r="160" spans="1:5" x14ac:dyDescent="0.3">
      <c r="A160" s="13" t="s">
        <v>1</v>
      </c>
      <c r="B160" s="13" t="s">
        <v>1888</v>
      </c>
      <c r="C160" s="13">
        <v>2</v>
      </c>
      <c r="D160" s="13">
        <v>1</v>
      </c>
      <c r="E160" s="13">
        <v>2</v>
      </c>
    </row>
    <row r="161" spans="1:5" x14ac:dyDescent="0.3">
      <c r="A161" s="13" t="s">
        <v>1</v>
      </c>
      <c r="B161" s="13" t="s">
        <v>1881</v>
      </c>
      <c r="C161" s="13">
        <v>2</v>
      </c>
      <c r="D161" s="13">
        <v>1</v>
      </c>
      <c r="E161" s="13">
        <v>3</v>
      </c>
    </row>
    <row r="162" spans="1:5" x14ac:dyDescent="0.3">
      <c r="A162" s="13" t="s">
        <v>1</v>
      </c>
      <c r="B162" s="13" t="s">
        <v>1910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1882</v>
      </c>
      <c r="C163" s="13">
        <v>4</v>
      </c>
      <c r="D163" s="13">
        <v>1</v>
      </c>
      <c r="E163" s="13">
        <v>5</v>
      </c>
    </row>
    <row r="164" spans="1:5" x14ac:dyDescent="0.3">
      <c r="A164" s="13" t="s">
        <v>1</v>
      </c>
      <c r="B164" s="13" t="s">
        <v>2138</v>
      </c>
      <c r="C164" s="13">
        <v>2</v>
      </c>
      <c r="D164" s="13">
        <v>1</v>
      </c>
      <c r="E164" s="13">
        <v>2</v>
      </c>
    </row>
    <row r="165" spans="1:5" x14ac:dyDescent="0.3">
      <c r="A165" s="13" t="s">
        <v>1</v>
      </c>
      <c r="B165" s="13" t="s">
        <v>2164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2339</v>
      </c>
      <c r="C166" s="13">
        <v>2</v>
      </c>
      <c r="D166" s="13">
        <v>1</v>
      </c>
      <c r="E166" s="13">
        <v>2</v>
      </c>
    </row>
    <row r="167" spans="1:5" x14ac:dyDescent="0.3">
      <c r="A167" s="13" t="s">
        <v>1</v>
      </c>
      <c r="B167" s="13" t="s">
        <v>2277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678</v>
      </c>
      <c r="C168" s="13">
        <v>1</v>
      </c>
      <c r="D168" s="13">
        <v>1</v>
      </c>
      <c r="E168" s="13">
        <v>2</v>
      </c>
    </row>
    <row r="169" spans="1:5" x14ac:dyDescent="0.3">
      <c r="A169" s="13" t="s">
        <v>1</v>
      </c>
      <c r="B169" s="13" t="s">
        <v>819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506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95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49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1032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1958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2581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932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96</v>
      </c>
      <c r="C177" s="13">
        <v>1</v>
      </c>
      <c r="D177" s="13">
        <v>1</v>
      </c>
      <c r="E177" s="13">
        <v>2</v>
      </c>
    </row>
    <row r="178" spans="1:5" x14ac:dyDescent="0.3">
      <c r="A178" s="13" t="s">
        <v>1</v>
      </c>
      <c r="B178" s="13" t="s">
        <v>890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1342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1033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97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680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933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560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795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915</v>
      </c>
      <c r="C186" s="13">
        <v>1</v>
      </c>
      <c r="D186" s="13">
        <v>1</v>
      </c>
      <c r="E186" s="13">
        <v>3</v>
      </c>
    </row>
    <row r="187" spans="1:5" x14ac:dyDescent="0.3">
      <c r="A187" s="13" t="s">
        <v>1</v>
      </c>
      <c r="B187" s="13" t="s">
        <v>2582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1127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1451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2583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937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28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1000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859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161</v>
      </c>
      <c r="C195" s="13">
        <v>2</v>
      </c>
      <c r="D195" s="13">
        <v>1</v>
      </c>
      <c r="E195" s="13">
        <v>2</v>
      </c>
    </row>
    <row r="196" spans="1:5" x14ac:dyDescent="0.3">
      <c r="A196" s="13" t="s">
        <v>1</v>
      </c>
      <c r="B196" s="13" t="s">
        <v>103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1201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1054</v>
      </c>
      <c r="C198" s="13">
        <v>2</v>
      </c>
      <c r="D198" s="13">
        <v>1</v>
      </c>
      <c r="E198" s="13">
        <v>2</v>
      </c>
    </row>
    <row r="199" spans="1:5" x14ac:dyDescent="0.3">
      <c r="A199" s="13" t="s">
        <v>1</v>
      </c>
      <c r="B199" s="13" t="s">
        <v>1327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682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104</v>
      </c>
      <c r="C201" s="13">
        <v>1</v>
      </c>
      <c r="D201" s="13">
        <v>1</v>
      </c>
      <c r="E201" s="13">
        <v>2</v>
      </c>
    </row>
    <row r="202" spans="1:5" x14ac:dyDescent="0.3">
      <c r="A202" s="13" t="s">
        <v>1</v>
      </c>
      <c r="B202" s="13" t="s">
        <v>393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2584</v>
      </c>
      <c r="C203" s="13">
        <v>1</v>
      </c>
      <c r="D203" s="13">
        <v>1</v>
      </c>
      <c r="E203" s="13">
        <v>2</v>
      </c>
    </row>
    <row r="204" spans="1:5" x14ac:dyDescent="0.3">
      <c r="A204" s="13" t="s">
        <v>1</v>
      </c>
      <c r="B204" s="13" t="s">
        <v>1036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2144</v>
      </c>
      <c r="C205" s="13">
        <v>1</v>
      </c>
      <c r="D205" s="13">
        <v>1</v>
      </c>
      <c r="E205" s="13">
        <v>2</v>
      </c>
    </row>
    <row r="206" spans="1:5" x14ac:dyDescent="0.3">
      <c r="A206" s="13" t="s">
        <v>1</v>
      </c>
      <c r="B206" s="13" t="s">
        <v>511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1186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276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1725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1312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1712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108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1096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618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109</v>
      </c>
      <c r="C215" s="13">
        <v>2</v>
      </c>
      <c r="D215" s="13">
        <v>1</v>
      </c>
      <c r="E215" s="13">
        <v>2</v>
      </c>
    </row>
    <row r="216" spans="1:5" x14ac:dyDescent="0.3">
      <c r="A216" s="13" t="s">
        <v>1</v>
      </c>
      <c r="B216" s="13" t="s">
        <v>2585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1328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110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169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620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281</v>
      </c>
      <c r="C221" s="13">
        <v>1</v>
      </c>
      <c r="D221" s="13">
        <v>1</v>
      </c>
      <c r="E221" s="13">
        <v>2</v>
      </c>
    </row>
    <row r="222" spans="1:5" x14ac:dyDescent="0.3">
      <c r="A222" s="13" t="s">
        <v>1</v>
      </c>
      <c r="B222" s="13" t="s">
        <v>2106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2586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943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113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2587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319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2588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945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284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286</v>
      </c>
      <c r="C231" s="13">
        <v>2</v>
      </c>
      <c r="D231" s="13">
        <v>1</v>
      </c>
      <c r="E231" s="13">
        <v>2</v>
      </c>
    </row>
    <row r="232" spans="1:5" x14ac:dyDescent="0.3">
      <c r="A232" s="13" t="s">
        <v>1</v>
      </c>
      <c r="B232" s="13" t="s">
        <v>1137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325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1336</v>
      </c>
      <c r="C234" s="13">
        <v>1</v>
      </c>
      <c r="D234" s="13">
        <v>1</v>
      </c>
      <c r="E234" s="13">
        <v>2</v>
      </c>
    </row>
    <row r="235" spans="1:5" x14ac:dyDescent="0.3">
      <c r="A235" s="13" t="s">
        <v>1</v>
      </c>
      <c r="B235" s="13" t="s">
        <v>1880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1190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1099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947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2450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327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2589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648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1240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2572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918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2590</v>
      </c>
      <c r="C246" s="13">
        <v>1</v>
      </c>
      <c r="D246" s="13">
        <v>1</v>
      </c>
      <c r="E246" s="13">
        <v>3</v>
      </c>
    </row>
    <row r="247" spans="1:5" x14ac:dyDescent="0.3">
      <c r="A247" s="13" t="s">
        <v>1</v>
      </c>
      <c r="B247" s="13" t="s">
        <v>172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2591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2592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837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361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334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120</v>
      </c>
      <c r="C253" s="13">
        <v>2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62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121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775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174</v>
      </c>
      <c r="C257" s="13">
        <v>2</v>
      </c>
      <c r="D257" s="13">
        <v>1</v>
      </c>
      <c r="E257" s="13">
        <v>3</v>
      </c>
    </row>
    <row r="258" spans="1:5" x14ac:dyDescent="0.3">
      <c r="A258" s="13" t="s">
        <v>1</v>
      </c>
      <c r="B258" s="13" t="s">
        <v>1216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2006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575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843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63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708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2593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1559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844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294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2594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1044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181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416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2557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126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184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127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2595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867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131</v>
      </c>
      <c r="C278" s="13">
        <v>2</v>
      </c>
      <c r="D278" s="13">
        <v>1</v>
      </c>
      <c r="E278" s="13">
        <v>2</v>
      </c>
    </row>
    <row r="279" spans="1:5" x14ac:dyDescent="0.3">
      <c r="A279" s="13" t="s">
        <v>1</v>
      </c>
      <c r="B279" s="13" t="s">
        <v>1307</v>
      </c>
      <c r="C279" s="13">
        <v>1</v>
      </c>
      <c r="D279" s="13">
        <v>1</v>
      </c>
      <c r="E279" s="13">
        <v>2</v>
      </c>
    </row>
    <row r="280" spans="1:5" x14ac:dyDescent="0.3">
      <c r="A280" s="13" t="s">
        <v>1</v>
      </c>
      <c r="B280" s="13" t="s">
        <v>1425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539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1025</v>
      </c>
      <c r="C282" s="13">
        <v>5</v>
      </c>
      <c r="D282" s="13">
        <v>1</v>
      </c>
      <c r="E282" s="13">
        <v>5</v>
      </c>
    </row>
    <row r="283" spans="1:5" x14ac:dyDescent="0.3">
      <c r="A283" s="13" t="s">
        <v>1</v>
      </c>
      <c r="B283" s="13" t="s">
        <v>2596</v>
      </c>
      <c r="C283" s="13">
        <v>1</v>
      </c>
      <c r="D283" s="13">
        <v>6</v>
      </c>
      <c r="E283" s="13"/>
    </row>
    <row r="284" spans="1:5" x14ac:dyDescent="0.3">
      <c r="A284" s="13" t="s">
        <v>1</v>
      </c>
      <c r="B284" s="13" t="s">
        <v>783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541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441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1348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296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53</v>
      </c>
      <c r="C289" s="13">
        <v>3</v>
      </c>
      <c r="D289" s="13">
        <v>1</v>
      </c>
      <c r="E289" s="13">
        <v>3</v>
      </c>
    </row>
    <row r="290" spans="1:5" x14ac:dyDescent="0.3">
      <c r="A290" s="13" t="s">
        <v>1</v>
      </c>
      <c r="B290" s="13" t="s">
        <v>256</v>
      </c>
      <c r="C290" s="13">
        <v>6</v>
      </c>
      <c r="D290" s="13">
        <v>1</v>
      </c>
      <c r="E290" s="13">
        <v>5</v>
      </c>
    </row>
    <row r="291" spans="1:5" x14ac:dyDescent="0.3">
      <c r="A291" s="13" t="s">
        <v>1</v>
      </c>
      <c r="B291" s="13" t="s">
        <v>1103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1060</v>
      </c>
      <c r="C292" s="13">
        <v>5</v>
      </c>
      <c r="D292" s="13">
        <v>1</v>
      </c>
      <c r="E292" s="13">
        <v>5</v>
      </c>
    </row>
    <row r="293" spans="1:5" x14ac:dyDescent="0.3">
      <c r="A293" s="13" t="s">
        <v>1</v>
      </c>
      <c r="B293" s="13" t="s">
        <v>365</v>
      </c>
      <c r="C293" s="13">
        <v>4</v>
      </c>
      <c r="D293" s="13">
        <v>1</v>
      </c>
      <c r="E293" s="13">
        <v>5</v>
      </c>
    </row>
    <row r="294" spans="1:5" x14ac:dyDescent="0.3">
      <c r="A294" s="13" t="s">
        <v>1</v>
      </c>
      <c r="B294" s="13" t="s">
        <v>639</v>
      </c>
      <c r="C294" s="13">
        <v>2</v>
      </c>
      <c r="D294" s="13">
        <v>1</v>
      </c>
      <c r="E294" s="13">
        <v>2</v>
      </c>
    </row>
    <row r="295" spans="1:5" x14ac:dyDescent="0.3">
      <c r="A295" s="13" t="s">
        <v>1</v>
      </c>
      <c r="B295" s="13" t="s">
        <v>978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1146</v>
      </c>
      <c r="C296" s="13">
        <v>1</v>
      </c>
      <c r="D296" s="13">
        <v>1</v>
      </c>
      <c r="E296" s="13"/>
    </row>
    <row r="297" spans="1:5" x14ac:dyDescent="0.3">
      <c r="A297" s="13" t="s">
        <v>1</v>
      </c>
      <c r="B297" s="13" t="s">
        <v>2597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1589</v>
      </c>
      <c r="C298" s="13">
        <v>2</v>
      </c>
      <c r="D298" s="13">
        <v>1</v>
      </c>
      <c r="E298" s="13">
        <v>2</v>
      </c>
    </row>
    <row r="299" spans="1:5" x14ac:dyDescent="0.3">
      <c r="A299" s="13" t="s">
        <v>1</v>
      </c>
      <c r="B299" s="13" t="s">
        <v>1959</v>
      </c>
      <c r="C299" s="13">
        <v>1</v>
      </c>
      <c r="D299" s="13">
        <v>4</v>
      </c>
      <c r="E299" s="13"/>
    </row>
    <row r="300" spans="1:5" x14ac:dyDescent="0.3">
      <c r="A300" s="13" t="s">
        <v>1</v>
      </c>
      <c r="B300" s="13" t="s">
        <v>2086</v>
      </c>
      <c r="C300" s="13">
        <v>1</v>
      </c>
      <c r="D300" s="13">
        <v>1</v>
      </c>
      <c r="E300" s="13"/>
    </row>
    <row r="301" spans="1:5" x14ac:dyDescent="0.3">
      <c r="A301" s="13" t="s">
        <v>1</v>
      </c>
      <c r="B301" s="13" t="s">
        <v>1760</v>
      </c>
      <c r="C301" s="13">
        <v>1</v>
      </c>
      <c r="D301" s="13">
        <v>1</v>
      </c>
      <c r="E301" s="13"/>
    </row>
    <row r="302" spans="1:5" x14ac:dyDescent="0.3">
      <c r="A302" s="13" t="s">
        <v>1</v>
      </c>
      <c r="B302" s="13" t="s">
        <v>1309</v>
      </c>
      <c r="C302" s="13">
        <v>1</v>
      </c>
      <c r="D302" s="13">
        <v>1</v>
      </c>
      <c r="E302" s="13">
        <v>3</v>
      </c>
    </row>
    <row r="303" spans="1:5" x14ac:dyDescent="0.3">
      <c r="A303" s="13" t="s">
        <v>1</v>
      </c>
      <c r="B303" s="13" t="s">
        <v>1791</v>
      </c>
      <c r="C303" s="13">
        <v>1</v>
      </c>
      <c r="D303" s="13">
        <v>2</v>
      </c>
      <c r="E303" s="13"/>
    </row>
    <row r="304" spans="1:5" x14ac:dyDescent="0.3">
      <c r="A304" s="13" t="s">
        <v>1</v>
      </c>
      <c r="B304" s="13" t="s">
        <v>2598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2092</v>
      </c>
      <c r="C305" s="13">
        <v>1</v>
      </c>
      <c r="D305" s="13">
        <v>1</v>
      </c>
      <c r="E305" s="13">
        <v>2</v>
      </c>
    </row>
    <row r="306" spans="1:5" x14ac:dyDescent="0.3">
      <c r="A306" s="13" t="s">
        <v>1</v>
      </c>
      <c r="B306" s="13" t="s">
        <v>750</v>
      </c>
      <c r="C306" s="13">
        <v>1</v>
      </c>
      <c r="D306" s="13">
        <v>1</v>
      </c>
      <c r="E306" s="13"/>
    </row>
    <row r="307" spans="1:5" x14ac:dyDescent="0.3">
      <c r="A307" s="13" t="s">
        <v>1</v>
      </c>
      <c r="B307" s="13" t="s">
        <v>1874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1394</v>
      </c>
      <c r="C308" s="13">
        <v>1</v>
      </c>
      <c r="D308" s="13">
        <v>1</v>
      </c>
      <c r="E308" s="13">
        <v>2</v>
      </c>
    </row>
    <row r="309" spans="1:5" x14ac:dyDescent="0.3">
      <c r="A309" s="13" t="s">
        <v>1</v>
      </c>
      <c r="B309" s="13" t="s">
        <v>1684</v>
      </c>
      <c r="C309" s="13">
        <v>1</v>
      </c>
      <c r="D309" s="13">
        <v>1</v>
      </c>
      <c r="E309" s="13"/>
    </row>
    <row r="310" spans="1:5" x14ac:dyDescent="0.3">
      <c r="A310" s="13" t="s">
        <v>1</v>
      </c>
      <c r="B310" s="13" t="s">
        <v>1632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789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1435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1772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2354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964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0</v>
      </c>
      <c r="B316" s="13" t="s">
        <v>965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0</v>
      </c>
      <c r="B317" s="13" t="s">
        <v>1063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0</v>
      </c>
      <c r="B318" s="13" t="s">
        <v>47</v>
      </c>
      <c r="C318" s="13">
        <v>2</v>
      </c>
      <c r="D318" s="13">
        <v>1</v>
      </c>
      <c r="E318" s="13">
        <v>2</v>
      </c>
    </row>
    <row r="319" spans="1:5" x14ac:dyDescent="0.3">
      <c r="A319" s="13" t="s">
        <v>0</v>
      </c>
      <c r="B319" s="13" t="s">
        <v>261</v>
      </c>
      <c r="C319" s="13">
        <v>2</v>
      </c>
      <c r="D319" s="13">
        <v>1</v>
      </c>
      <c r="E319" s="13">
        <v>2</v>
      </c>
    </row>
    <row r="320" spans="1:5" x14ac:dyDescent="0.3">
      <c r="A320" s="13" t="s">
        <v>0</v>
      </c>
      <c r="B320" s="13" t="s">
        <v>262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0</v>
      </c>
      <c r="B321" s="13" t="s">
        <v>1455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0</v>
      </c>
      <c r="B322" s="13" t="s">
        <v>470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0</v>
      </c>
      <c r="B323" s="13" t="s">
        <v>927</v>
      </c>
      <c r="C323" s="13">
        <v>1</v>
      </c>
      <c r="D323" s="13">
        <v>1</v>
      </c>
      <c r="E323" s="13">
        <v>2</v>
      </c>
    </row>
    <row r="324" spans="1:5" x14ac:dyDescent="0.3">
      <c r="A324" s="13" t="s">
        <v>0</v>
      </c>
      <c r="B324" s="13" t="s">
        <v>1296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0</v>
      </c>
      <c r="B325" s="13" t="s">
        <v>446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0</v>
      </c>
      <c r="B326" s="13" t="s">
        <v>811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0</v>
      </c>
      <c r="B327" s="13" t="s">
        <v>420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0</v>
      </c>
      <c r="B328" s="13" t="s">
        <v>1090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0</v>
      </c>
      <c r="B329" s="13" t="s">
        <v>1737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0</v>
      </c>
      <c r="B330" s="13" t="s">
        <v>345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0</v>
      </c>
      <c r="B331" s="13" t="s">
        <v>77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0</v>
      </c>
      <c r="B332" s="13" t="s">
        <v>242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0</v>
      </c>
      <c r="B333" s="13" t="s">
        <v>243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0</v>
      </c>
      <c r="B334" s="13" t="s">
        <v>983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0</v>
      </c>
      <c r="B335" s="13" t="s">
        <v>557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0</v>
      </c>
      <c r="B336" s="13" t="s">
        <v>813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0</v>
      </c>
      <c r="B337" s="13" t="s">
        <v>1208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0</v>
      </c>
      <c r="B338" s="13" t="s">
        <v>304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0</v>
      </c>
      <c r="B339" s="13" t="s">
        <v>501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0</v>
      </c>
      <c r="B340" s="13" t="s">
        <v>986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0</v>
      </c>
      <c r="B341" s="13" t="s">
        <v>602</v>
      </c>
      <c r="C341" s="13">
        <v>1</v>
      </c>
      <c r="D341" s="13">
        <v>1</v>
      </c>
      <c r="E341" s="13">
        <v>2</v>
      </c>
    </row>
    <row r="342" spans="1:5" x14ac:dyDescent="0.3">
      <c r="A342" s="13" t="s">
        <v>0</v>
      </c>
      <c r="B342" s="13" t="s">
        <v>147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0</v>
      </c>
      <c r="B343" s="13" t="s">
        <v>1503</v>
      </c>
      <c r="C343" s="13">
        <v>1</v>
      </c>
      <c r="D343" s="13">
        <v>1</v>
      </c>
      <c r="E343" s="13">
        <v>2</v>
      </c>
    </row>
    <row r="344" spans="1:5" x14ac:dyDescent="0.3">
      <c r="A344" s="13" t="s">
        <v>0</v>
      </c>
      <c r="B344" s="13" t="s">
        <v>148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0</v>
      </c>
      <c r="B345" s="13" t="s">
        <v>799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0</v>
      </c>
      <c r="B346" s="13" t="s">
        <v>605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0</v>
      </c>
      <c r="B347" s="13" t="s">
        <v>212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0</v>
      </c>
      <c r="B348" s="13" t="s">
        <v>149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0</v>
      </c>
      <c r="B349" s="13" t="s">
        <v>90</v>
      </c>
      <c r="C349" s="13">
        <v>1</v>
      </c>
      <c r="D349" s="13">
        <v>1</v>
      </c>
      <c r="E349" s="13">
        <v>2</v>
      </c>
    </row>
    <row r="350" spans="1:5" x14ac:dyDescent="0.3">
      <c r="A350" s="13" t="s">
        <v>0</v>
      </c>
      <c r="B350" s="13" t="s">
        <v>423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0</v>
      </c>
      <c r="B351" s="13" t="s">
        <v>424</v>
      </c>
      <c r="C351" s="13">
        <v>2</v>
      </c>
      <c r="D351" s="13">
        <v>1</v>
      </c>
      <c r="E351" s="13">
        <v>2</v>
      </c>
    </row>
    <row r="352" spans="1:5" x14ac:dyDescent="0.3">
      <c r="A352" s="13" t="s">
        <v>0</v>
      </c>
      <c r="B352" s="13" t="s">
        <v>612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0</v>
      </c>
      <c r="B353" s="13" t="s">
        <v>42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471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0</v>
      </c>
      <c r="B355" s="13" t="s">
        <v>856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1067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1498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1645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1655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1886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1881</v>
      </c>
      <c r="C361" s="13">
        <v>2</v>
      </c>
      <c r="D361" s="13">
        <v>1</v>
      </c>
      <c r="E361" s="13">
        <v>2</v>
      </c>
    </row>
    <row r="362" spans="1:5" x14ac:dyDescent="0.3">
      <c r="A362" s="13" t="s">
        <v>0</v>
      </c>
      <c r="B362" s="13" t="s">
        <v>1908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1882</v>
      </c>
      <c r="C363" s="13">
        <v>2</v>
      </c>
      <c r="D363" s="13">
        <v>1</v>
      </c>
      <c r="E363" s="13">
        <v>2</v>
      </c>
    </row>
    <row r="364" spans="1:5" x14ac:dyDescent="0.3">
      <c r="A364" s="13" t="s">
        <v>0</v>
      </c>
      <c r="B364" s="13" t="s">
        <v>2093</v>
      </c>
      <c r="C364" s="13">
        <v>2</v>
      </c>
      <c r="D364" s="13">
        <v>1</v>
      </c>
      <c r="E364" s="13">
        <v>2</v>
      </c>
    </row>
    <row r="365" spans="1:5" x14ac:dyDescent="0.3">
      <c r="A365" s="13" t="s">
        <v>0</v>
      </c>
      <c r="B365" s="13" t="s">
        <v>1083</v>
      </c>
      <c r="C365" s="13">
        <v>1</v>
      </c>
      <c r="D365" s="13">
        <v>1</v>
      </c>
      <c r="E365" s="13">
        <v>2</v>
      </c>
    </row>
    <row r="366" spans="1:5" x14ac:dyDescent="0.3">
      <c r="A366" s="13" t="s">
        <v>0</v>
      </c>
      <c r="B366" s="13" t="s">
        <v>95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389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1342</v>
      </c>
      <c r="C368" s="13">
        <v>1</v>
      </c>
      <c r="D368" s="13">
        <v>1</v>
      </c>
      <c r="E368" s="13">
        <v>3</v>
      </c>
    </row>
    <row r="369" spans="1:5" x14ac:dyDescent="0.3">
      <c r="A369" s="13" t="s">
        <v>0</v>
      </c>
      <c r="B369" s="13" t="s">
        <v>2599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915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562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158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1457</v>
      </c>
      <c r="C373" s="13">
        <v>2</v>
      </c>
      <c r="D373" s="13">
        <v>1</v>
      </c>
      <c r="E373" s="13">
        <v>2</v>
      </c>
    </row>
    <row r="374" spans="1:5" x14ac:dyDescent="0.3">
      <c r="A374" s="13" t="s">
        <v>0</v>
      </c>
      <c r="B374" s="13" t="s">
        <v>1232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937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100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821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105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1730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2139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763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2490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429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2600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2601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394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1804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1281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567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862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397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512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44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315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1107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2379</v>
      </c>
      <c r="C396" s="13">
        <v>1</v>
      </c>
      <c r="D396" s="13">
        <v>1</v>
      </c>
      <c r="E396" s="13">
        <v>3</v>
      </c>
    </row>
    <row r="397" spans="1:5" x14ac:dyDescent="0.3">
      <c r="A397" s="13" t="s">
        <v>0</v>
      </c>
      <c r="B397" s="13" t="s">
        <v>45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2312</v>
      </c>
      <c r="C398" s="13">
        <v>1</v>
      </c>
      <c r="D398" s="13">
        <v>1</v>
      </c>
      <c r="E398" s="13">
        <v>2</v>
      </c>
    </row>
    <row r="399" spans="1:5" x14ac:dyDescent="0.3">
      <c r="A399" s="13" t="s">
        <v>0</v>
      </c>
      <c r="B399" s="13" t="s">
        <v>320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691</v>
      </c>
      <c r="C400" s="13">
        <v>1</v>
      </c>
      <c r="D400" s="13">
        <v>1</v>
      </c>
      <c r="E400" s="13">
        <v>3</v>
      </c>
    </row>
    <row r="401" spans="1:5" x14ac:dyDescent="0.3">
      <c r="A401" s="13" t="s">
        <v>0</v>
      </c>
      <c r="B401" s="13" t="s">
        <v>1939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285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431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287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580</v>
      </c>
      <c r="C405" s="13">
        <v>1</v>
      </c>
      <c r="D405" s="13">
        <v>1</v>
      </c>
      <c r="E405" s="13">
        <v>3</v>
      </c>
    </row>
    <row r="406" spans="1:5" x14ac:dyDescent="0.3">
      <c r="A406" s="13" t="s">
        <v>0</v>
      </c>
      <c r="B406" s="13" t="s">
        <v>1427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1710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648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2602</v>
      </c>
      <c r="C409" s="13">
        <v>1</v>
      </c>
      <c r="D409" s="13">
        <v>1</v>
      </c>
      <c r="E409" s="13">
        <v>3</v>
      </c>
    </row>
    <row r="410" spans="1:5" x14ac:dyDescent="0.3">
      <c r="A410" s="13" t="s">
        <v>0</v>
      </c>
      <c r="B410" s="13" t="s">
        <v>661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1748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123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1194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178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537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255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182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339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52</v>
      </c>
      <c r="C419" s="13">
        <v>1</v>
      </c>
      <c r="D419" s="13">
        <v>1</v>
      </c>
      <c r="E419" s="13">
        <v>2</v>
      </c>
    </row>
    <row r="420" spans="1:5" x14ac:dyDescent="0.3">
      <c r="A420" s="13" t="s">
        <v>0</v>
      </c>
      <c r="B420" s="13" t="s">
        <v>1058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130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38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1537</v>
      </c>
      <c r="C423" s="13">
        <v>1</v>
      </c>
      <c r="D423" s="13">
        <v>1</v>
      </c>
      <c r="E423" s="13">
        <v>4</v>
      </c>
    </row>
    <row r="424" spans="1:5" x14ac:dyDescent="0.3">
      <c r="A424" s="13" t="s">
        <v>0</v>
      </c>
      <c r="B424" s="13" t="s">
        <v>295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132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797</v>
      </c>
      <c r="C426" s="13">
        <v>1</v>
      </c>
      <c r="D426" s="13">
        <v>1</v>
      </c>
      <c r="E426" s="13">
        <v>2</v>
      </c>
    </row>
    <row r="427" spans="1:5" x14ac:dyDescent="0.3">
      <c r="A427" s="13" t="s">
        <v>0</v>
      </c>
      <c r="B427" s="13" t="s">
        <v>191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66</v>
      </c>
      <c r="C428" s="13">
        <v>1</v>
      </c>
      <c r="D428" s="13">
        <v>1</v>
      </c>
      <c r="E428" s="13">
        <v>2</v>
      </c>
    </row>
    <row r="429" spans="1:5" x14ac:dyDescent="0.3">
      <c r="A429" s="13" t="s">
        <v>0</v>
      </c>
      <c r="B429" s="13" t="s">
        <v>232</v>
      </c>
      <c r="C429" s="13">
        <v>1</v>
      </c>
      <c r="D429" s="13">
        <v>1</v>
      </c>
      <c r="E429" s="13">
        <v>3</v>
      </c>
    </row>
    <row r="430" spans="1:5" x14ac:dyDescent="0.3">
      <c r="A430" s="13" t="s">
        <v>0</v>
      </c>
      <c r="B430" s="13" t="s">
        <v>1608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869</v>
      </c>
      <c r="C431" s="13">
        <v>1</v>
      </c>
      <c r="D431" s="13">
        <v>1</v>
      </c>
      <c r="E431" s="13"/>
    </row>
    <row r="432" spans="1:5" x14ac:dyDescent="0.3">
      <c r="A432" s="13" t="s">
        <v>0</v>
      </c>
      <c r="B432" s="13" t="s">
        <v>2603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2604</v>
      </c>
      <c r="C433" s="13">
        <v>1</v>
      </c>
      <c r="D433" s="13">
        <v>1</v>
      </c>
      <c r="E433" s="13"/>
    </row>
    <row r="434" spans="1:5" x14ac:dyDescent="0.3">
      <c r="A434" s="13" t="s">
        <v>0</v>
      </c>
      <c r="B434" s="13" t="s">
        <v>2282</v>
      </c>
      <c r="C434" s="13">
        <v>1</v>
      </c>
      <c r="D434" s="13">
        <v>1</v>
      </c>
      <c r="E434" s="13"/>
    </row>
    <row r="435" spans="1:5" x14ac:dyDescent="0.3">
      <c r="A435" s="13" t="s">
        <v>0</v>
      </c>
      <c r="B435" s="13" t="s">
        <v>2605</v>
      </c>
      <c r="C435" s="13">
        <v>1</v>
      </c>
      <c r="D435" s="13">
        <v>1</v>
      </c>
      <c r="E435" s="13"/>
    </row>
    <row r="436" spans="1:5" x14ac:dyDescent="0.3">
      <c r="A436" s="13" t="s">
        <v>2</v>
      </c>
      <c r="B436" s="13" t="s">
        <v>34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2</v>
      </c>
      <c r="B437" s="13" t="s">
        <v>1175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2</v>
      </c>
      <c r="B438" s="13" t="s">
        <v>61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2</v>
      </c>
      <c r="B439" s="13" t="s">
        <v>1663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2</v>
      </c>
      <c r="B440" s="13" t="s">
        <v>1885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2</v>
      </c>
      <c r="B441" s="13" t="s">
        <v>1948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2</v>
      </c>
      <c r="B442" s="13" t="s">
        <v>159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2</v>
      </c>
      <c r="B443" s="13" t="s">
        <v>195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2</v>
      </c>
      <c r="B444" s="13" t="s">
        <v>1927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2</v>
      </c>
      <c r="B445" s="13" t="s">
        <v>376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2</v>
      </c>
      <c r="B446" s="13" t="s">
        <v>417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1</v>
      </c>
      <c r="B447" s="13" t="s">
        <v>198</v>
      </c>
      <c r="C447" s="13">
        <v>1</v>
      </c>
      <c r="D447" s="13">
        <v>0</v>
      </c>
      <c r="E447" s="13">
        <v>1</v>
      </c>
    </row>
    <row r="448" spans="1:5" x14ac:dyDescent="0.3">
      <c r="A448" s="13" t="s">
        <v>1</v>
      </c>
      <c r="B448" s="13" t="s">
        <v>926</v>
      </c>
      <c r="C448" s="13">
        <v>1</v>
      </c>
      <c r="D448" s="13">
        <v>0</v>
      </c>
      <c r="E448" s="13">
        <v>1</v>
      </c>
    </row>
    <row r="449" spans="1:5" x14ac:dyDescent="0.3">
      <c r="A449" s="13" t="s">
        <v>1</v>
      </c>
      <c r="B449" s="13" t="s">
        <v>137</v>
      </c>
      <c r="C449" s="13">
        <v>1</v>
      </c>
      <c r="D449" s="13">
        <v>0</v>
      </c>
      <c r="E449" s="13">
        <v>1</v>
      </c>
    </row>
    <row r="450" spans="1:5" x14ac:dyDescent="0.3">
      <c r="A450" s="13" t="s">
        <v>1</v>
      </c>
      <c r="B450" s="13" t="s">
        <v>965</v>
      </c>
      <c r="C450" s="13">
        <v>1</v>
      </c>
      <c r="D450" s="13">
        <v>0</v>
      </c>
      <c r="E450" s="13">
        <v>1</v>
      </c>
    </row>
    <row r="451" spans="1:5" x14ac:dyDescent="0.3">
      <c r="A451" s="13" t="s">
        <v>1</v>
      </c>
      <c r="B451" s="13" t="s">
        <v>36</v>
      </c>
      <c r="C451" s="13">
        <v>2</v>
      </c>
      <c r="D451" s="13">
        <v>0</v>
      </c>
      <c r="E451" s="13">
        <v>2</v>
      </c>
    </row>
    <row r="452" spans="1:5" x14ac:dyDescent="0.3">
      <c r="A452" s="13" t="s">
        <v>1</v>
      </c>
      <c r="B452" s="13" t="s">
        <v>1405</v>
      </c>
      <c r="C452" s="13">
        <v>1</v>
      </c>
      <c r="D452" s="13">
        <v>0</v>
      </c>
      <c r="E452" s="13">
        <v>1</v>
      </c>
    </row>
    <row r="453" spans="1:5" x14ac:dyDescent="0.3">
      <c r="A453" s="13" t="s">
        <v>1</v>
      </c>
      <c r="B453" s="13" t="s">
        <v>1156</v>
      </c>
      <c r="C453" s="13">
        <v>1</v>
      </c>
      <c r="D453" s="13">
        <v>0</v>
      </c>
      <c r="E453" s="13">
        <v>1</v>
      </c>
    </row>
    <row r="454" spans="1:5" x14ac:dyDescent="0.3">
      <c r="A454" s="13" t="s">
        <v>1</v>
      </c>
      <c r="B454" s="13" t="s">
        <v>462</v>
      </c>
      <c r="C454" s="13">
        <v>1</v>
      </c>
      <c r="D454" s="13">
        <v>0</v>
      </c>
      <c r="E454" s="13">
        <v>1</v>
      </c>
    </row>
    <row r="455" spans="1:5" x14ac:dyDescent="0.3">
      <c r="A455" s="13" t="s">
        <v>1</v>
      </c>
      <c r="B455" s="13" t="s">
        <v>590</v>
      </c>
      <c r="C455" s="13">
        <v>1</v>
      </c>
      <c r="D455" s="13">
        <v>0</v>
      </c>
      <c r="E455" s="13">
        <v>1</v>
      </c>
    </row>
    <row r="456" spans="1:5" x14ac:dyDescent="0.3">
      <c r="A456" s="13" t="s">
        <v>1</v>
      </c>
      <c r="B456" s="13" t="s">
        <v>33</v>
      </c>
      <c r="C456" s="13">
        <v>3</v>
      </c>
      <c r="D456" s="13">
        <v>0</v>
      </c>
      <c r="E456" s="13">
        <v>4</v>
      </c>
    </row>
    <row r="457" spans="1:5" x14ac:dyDescent="0.3">
      <c r="A457" s="13" t="s">
        <v>1</v>
      </c>
      <c r="B457" s="13" t="s">
        <v>203</v>
      </c>
      <c r="C457" s="13">
        <v>1</v>
      </c>
      <c r="D457" s="13">
        <v>0</v>
      </c>
      <c r="E457" s="13">
        <v>1</v>
      </c>
    </row>
    <row r="458" spans="1:5" x14ac:dyDescent="0.3">
      <c r="A458" s="13" t="s">
        <v>1</v>
      </c>
      <c r="B458" s="13" t="s">
        <v>140</v>
      </c>
      <c r="C458" s="13">
        <v>1</v>
      </c>
      <c r="D458" s="13">
        <v>0</v>
      </c>
      <c r="E458" s="13">
        <v>1</v>
      </c>
    </row>
    <row r="459" spans="1:5" x14ac:dyDescent="0.3">
      <c r="A459" s="13" t="s">
        <v>1</v>
      </c>
      <c r="B459" s="13" t="s">
        <v>204</v>
      </c>
      <c r="C459" s="13">
        <v>2</v>
      </c>
      <c r="D459" s="13">
        <v>0</v>
      </c>
      <c r="E459" s="13">
        <v>2</v>
      </c>
    </row>
    <row r="460" spans="1:5" x14ac:dyDescent="0.3">
      <c r="A460" s="13" t="s">
        <v>1</v>
      </c>
      <c r="B460" s="13" t="s">
        <v>2606</v>
      </c>
      <c r="C460" s="13">
        <v>1</v>
      </c>
      <c r="D460" s="13">
        <v>0</v>
      </c>
      <c r="E460" s="13">
        <v>5</v>
      </c>
    </row>
    <row r="461" spans="1:5" x14ac:dyDescent="0.3">
      <c r="A461" s="13" t="s">
        <v>1</v>
      </c>
      <c r="B461" s="13" t="s">
        <v>1207</v>
      </c>
      <c r="C461" s="13">
        <v>1</v>
      </c>
      <c r="D461" s="13">
        <v>0</v>
      </c>
      <c r="E461" s="13">
        <v>1</v>
      </c>
    </row>
    <row r="462" spans="1:5" x14ac:dyDescent="0.3">
      <c r="A462" s="13" t="s">
        <v>1</v>
      </c>
      <c r="B462" s="13" t="s">
        <v>928</v>
      </c>
      <c r="C462" s="13">
        <v>1</v>
      </c>
      <c r="D462" s="13">
        <v>0</v>
      </c>
      <c r="E462" s="13">
        <v>1</v>
      </c>
    </row>
    <row r="463" spans="1:5" x14ac:dyDescent="0.3">
      <c r="A463" s="13" t="s">
        <v>1</v>
      </c>
      <c r="B463" s="13" t="s">
        <v>593</v>
      </c>
      <c r="C463" s="13">
        <v>1</v>
      </c>
      <c r="D463" s="13">
        <v>0</v>
      </c>
      <c r="E463" s="13">
        <v>1</v>
      </c>
    </row>
    <row r="464" spans="1:5" x14ac:dyDescent="0.3">
      <c r="A464" s="13" t="s">
        <v>1</v>
      </c>
      <c r="B464" s="13" t="s">
        <v>420</v>
      </c>
      <c r="C464" s="13">
        <v>2</v>
      </c>
      <c r="D464" s="13">
        <v>0</v>
      </c>
      <c r="E464" s="13">
        <v>2</v>
      </c>
    </row>
    <row r="465" spans="1:5" x14ac:dyDescent="0.3">
      <c r="A465" s="13" t="s">
        <v>1</v>
      </c>
      <c r="B465" s="13" t="s">
        <v>790</v>
      </c>
      <c r="C465" s="13">
        <v>1</v>
      </c>
      <c r="D465" s="13">
        <v>0</v>
      </c>
      <c r="E465" s="13">
        <v>1</v>
      </c>
    </row>
    <row r="466" spans="1:5" x14ac:dyDescent="0.3">
      <c r="A466" s="13" t="s">
        <v>1</v>
      </c>
      <c r="B466" s="13" t="s">
        <v>474</v>
      </c>
      <c r="C466" s="13">
        <v>1</v>
      </c>
      <c r="D466" s="13">
        <v>0</v>
      </c>
      <c r="E466" s="13">
        <v>1</v>
      </c>
    </row>
    <row r="467" spans="1:5" x14ac:dyDescent="0.3">
      <c r="A467" s="13" t="s">
        <v>1</v>
      </c>
      <c r="B467" s="13" t="s">
        <v>346</v>
      </c>
      <c r="C467" s="13">
        <v>2</v>
      </c>
      <c r="D467" s="13">
        <v>0</v>
      </c>
      <c r="E467" s="13">
        <v>1</v>
      </c>
    </row>
    <row r="468" spans="1:5" x14ac:dyDescent="0.3">
      <c r="A468" s="13" t="s">
        <v>1</v>
      </c>
      <c r="B468" s="13" t="s">
        <v>207</v>
      </c>
      <c r="C468" s="13">
        <v>1</v>
      </c>
      <c r="D468" s="13">
        <v>0</v>
      </c>
      <c r="E468" s="13">
        <v>0</v>
      </c>
    </row>
    <row r="469" spans="1:5" x14ac:dyDescent="0.3">
      <c r="A469" s="13" t="s">
        <v>1</v>
      </c>
      <c r="B469" s="13" t="s">
        <v>243</v>
      </c>
      <c r="C469" s="13">
        <v>1</v>
      </c>
      <c r="D469" s="13">
        <v>0</v>
      </c>
      <c r="E469" s="13">
        <v>1</v>
      </c>
    </row>
    <row r="470" spans="1:5" x14ac:dyDescent="0.3">
      <c r="A470" s="13" t="s">
        <v>1</v>
      </c>
      <c r="B470" s="13" t="s">
        <v>812</v>
      </c>
      <c r="C470" s="13">
        <v>1</v>
      </c>
      <c r="D470" s="13">
        <v>0</v>
      </c>
      <c r="E470" s="13">
        <v>1</v>
      </c>
    </row>
    <row r="471" spans="1:5" x14ac:dyDescent="0.3">
      <c r="A471" s="13" t="s">
        <v>1</v>
      </c>
      <c r="B471" s="13" t="s">
        <v>269</v>
      </c>
      <c r="C471" s="13">
        <v>3</v>
      </c>
      <c r="D471" s="13">
        <v>0</v>
      </c>
      <c r="E471" s="13">
        <v>3</v>
      </c>
    </row>
    <row r="472" spans="1:5" x14ac:dyDescent="0.3">
      <c r="A472" s="13" t="s">
        <v>1</v>
      </c>
      <c r="B472" s="13" t="s">
        <v>448</v>
      </c>
      <c r="C472" s="13">
        <v>1</v>
      </c>
      <c r="D472" s="13">
        <v>0</v>
      </c>
      <c r="E472" s="13">
        <v>2</v>
      </c>
    </row>
    <row r="473" spans="1:5" x14ac:dyDescent="0.3">
      <c r="A473" s="13" t="s">
        <v>1</v>
      </c>
      <c r="B473" s="13" t="s">
        <v>673</v>
      </c>
      <c r="C473" s="13">
        <v>1</v>
      </c>
      <c r="D473" s="13">
        <v>0</v>
      </c>
      <c r="E473" s="13">
        <v>1</v>
      </c>
    </row>
    <row r="474" spans="1:5" x14ac:dyDescent="0.3">
      <c r="A474" s="13" t="s">
        <v>1</v>
      </c>
      <c r="B474" s="13" t="s">
        <v>81</v>
      </c>
      <c r="C474" s="13">
        <v>1</v>
      </c>
      <c r="D474" s="13">
        <v>0</v>
      </c>
      <c r="E474" s="13">
        <v>1</v>
      </c>
    </row>
    <row r="475" spans="1:5" x14ac:dyDescent="0.3">
      <c r="A475" s="13" t="s">
        <v>1</v>
      </c>
      <c r="B475" s="13" t="s">
        <v>501</v>
      </c>
      <c r="C475" s="13">
        <v>1</v>
      </c>
      <c r="D475" s="13">
        <v>0</v>
      </c>
      <c r="E475" s="13">
        <v>2</v>
      </c>
    </row>
    <row r="476" spans="1:5" x14ac:dyDescent="0.3">
      <c r="A476" s="13" t="s">
        <v>1</v>
      </c>
      <c r="B476" s="13" t="s">
        <v>986</v>
      </c>
      <c r="C476" s="13">
        <v>1</v>
      </c>
      <c r="D476" s="13">
        <v>0</v>
      </c>
      <c r="E476" s="13">
        <v>1</v>
      </c>
    </row>
    <row r="477" spans="1:5" x14ac:dyDescent="0.3">
      <c r="A477" s="13" t="s">
        <v>1</v>
      </c>
      <c r="B477" s="13" t="s">
        <v>385</v>
      </c>
      <c r="C477" s="13">
        <v>1</v>
      </c>
      <c r="D477" s="13">
        <v>0</v>
      </c>
      <c r="E477" s="13">
        <v>1</v>
      </c>
    </row>
    <row r="478" spans="1:5" x14ac:dyDescent="0.3">
      <c r="A478" s="13" t="s">
        <v>1</v>
      </c>
      <c r="B478" s="13" t="s">
        <v>305</v>
      </c>
      <c r="C478" s="13">
        <v>1</v>
      </c>
      <c r="D478" s="13">
        <v>0</v>
      </c>
      <c r="E478" s="13">
        <v>2</v>
      </c>
    </row>
    <row r="479" spans="1:5" x14ac:dyDescent="0.3">
      <c r="A479" s="13" t="s">
        <v>1</v>
      </c>
      <c r="B479" s="13" t="s">
        <v>350</v>
      </c>
      <c r="C479" s="13">
        <v>1</v>
      </c>
      <c r="D479" s="13">
        <v>0</v>
      </c>
      <c r="E479" s="13">
        <v>1</v>
      </c>
    </row>
    <row r="480" spans="1:5" x14ac:dyDescent="0.3">
      <c r="A480" s="13" t="s">
        <v>1</v>
      </c>
      <c r="B480" s="13" t="s">
        <v>675</v>
      </c>
      <c r="C480" s="13">
        <v>1</v>
      </c>
      <c r="D480" s="13">
        <v>0</v>
      </c>
      <c r="E480" s="13">
        <v>1</v>
      </c>
    </row>
    <row r="481" spans="1:5" x14ac:dyDescent="0.3">
      <c r="A481" s="13" t="s">
        <v>1</v>
      </c>
      <c r="B481" s="13" t="s">
        <v>1776</v>
      </c>
      <c r="C481" s="13">
        <v>1</v>
      </c>
      <c r="D481" s="13">
        <v>0</v>
      </c>
      <c r="E481" s="13">
        <v>1</v>
      </c>
    </row>
    <row r="482" spans="1:5" x14ac:dyDescent="0.3">
      <c r="A482" s="13" t="s">
        <v>1</v>
      </c>
      <c r="B482" s="13" t="s">
        <v>465</v>
      </c>
      <c r="C482" s="13">
        <v>1</v>
      </c>
      <c r="D482" s="13">
        <v>0</v>
      </c>
      <c r="E482" s="13">
        <v>1</v>
      </c>
    </row>
    <row r="483" spans="1:5" x14ac:dyDescent="0.3">
      <c r="A483" s="13" t="s">
        <v>1</v>
      </c>
      <c r="B483" s="13" t="s">
        <v>606</v>
      </c>
      <c r="C483" s="13">
        <v>1</v>
      </c>
      <c r="D483" s="13">
        <v>0</v>
      </c>
      <c r="E483" s="13">
        <v>1</v>
      </c>
    </row>
    <row r="484" spans="1:5" x14ac:dyDescent="0.3">
      <c r="A484" s="13" t="s">
        <v>1</v>
      </c>
      <c r="B484" s="13" t="s">
        <v>2607</v>
      </c>
      <c r="C484" s="13">
        <v>1</v>
      </c>
      <c r="D484" s="13">
        <v>0</v>
      </c>
      <c r="E484" s="13">
        <v>1</v>
      </c>
    </row>
    <row r="485" spans="1:5" x14ac:dyDescent="0.3">
      <c r="A485" s="13" t="s">
        <v>1</v>
      </c>
      <c r="B485" s="13" t="s">
        <v>90</v>
      </c>
      <c r="C485" s="13">
        <v>2</v>
      </c>
      <c r="D485" s="13">
        <v>0</v>
      </c>
      <c r="E485" s="13">
        <v>2</v>
      </c>
    </row>
    <row r="486" spans="1:5" x14ac:dyDescent="0.3">
      <c r="A486" s="13" t="s">
        <v>1</v>
      </c>
      <c r="B486" s="13" t="s">
        <v>215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1183</v>
      </c>
      <c r="C487" s="13">
        <v>1</v>
      </c>
      <c r="D487" s="13">
        <v>0</v>
      </c>
      <c r="E487" s="13">
        <v>1</v>
      </c>
    </row>
    <row r="488" spans="1:5" x14ac:dyDescent="0.3">
      <c r="A488" s="13" t="s">
        <v>1</v>
      </c>
      <c r="B488" s="13" t="s">
        <v>607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609</v>
      </c>
      <c r="C489" s="13">
        <v>1</v>
      </c>
      <c r="D489" s="13">
        <v>0</v>
      </c>
      <c r="E489" s="13">
        <v>1</v>
      </c>
    </row>
    <row r="490" spans="1:5" x14ac:dyDescent="0.3">
      <c r="A490" s="13" t="s">
        <v>1</v>
      </c>
      <c r="B490" s="13" t="s">
        <v>611</v>
      </c>
      <c r="C490" s="13">
        <v>1</v>
      </c>
      <c r="D490" s="13">
        <v>0</v>
      </c>
      <c r="E490" s="13">
        <v>1</v>
      </c>
    </row>
    <row r="491" spans="1:5" x14ac:dyDescent="0.3">
      <c r="A491" s="13" t="s">
        <v>1</v>
      </c>
      <c r="B491" s="13" t="s">
        <v>653</v>
      </c>
      <c r="C491" s="13">
        <v>1</v>
      </c>
      <c r="D491" s="13">
        <v>0</v>
      </c>
      <c r="E491" s="13">
        <v>1</v>
      </c>
    </row>
    <row r="492" spans="1:5" x14ac:dyDescent="0.3">
      <c r="A492" s="13" t="s">
        <v>1</v>
      </c>
      <c r="B492" s="13" t="s">
        <v>1370</v>
      </c>
      <c r="C492" s="13">
        <v>1</v>
      </c>
      <c r="D492" s="13">
        <v>0</v>
      </c>
      <c r="E492" s="13">
        <v>1</v>
      </c>
    </row>
    <row r="493" spans="1:5" x14ac:dyDescent="0.3">
      <c r="A493" s="13" t="s">
        <v>1</v>
      </c>
      <c r="B493" s="13" t="s">
        <v>1483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1485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1518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1570</v>
      </c>
      <c r="C496" s="13">
        <v>2</v>
      </c>
      <c r="D496" s="13">
        <v>0</v>
      </c>
      <c r="E496" s="13">
        <v>2</v>
      </c>
    </row>
    <row r="497" spans="1:5" x14ac:dyDescent="0.3">
      <c r="A497" s="13" t="s">
        <v>1</v>
      </c>
      <c r="B497" s="13" t="s">
        <v>1654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1664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1668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1918</v>
      </c>
      <c r="C500" s="13">
        <v>2</v>
      </c>
      <c r="D500" s="13">
        <v>0</v>
      </c>
      <c r="E500" s="13">
        <v>2</v>
      </c>
    </row>
    <row r="501" spans="1:5" x14ac:dyDescent="0.3">
      <c r="A501" s="13" t="s">
        <v>1</v>
      </c>
      <c r="B501" s="13" t="s">
        <v>1906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2024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1883</v>
      </c>
      <c r="C503" s="13">
        <v>3</v>
      </c>
      <c r="D503" s="13">
        <v>0</v>
      </c>
      <c r="E503" s="13">
        <v>3</v>
      </c>
    </row>
    <row r="504" spans="1:5" x14ac:dyDescent="0.3">
      <c r="A504" s="13" t="s">
        <v>1</v>
      </c>
      <c r="B504" s="13" t="s">
        <v>1969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1989</v>
      </c>
      <c r="C505" s="13">
        <v>1</v>
      </c>
      <c r="D505" s="13">
        <v>0</v>
      </c>
      <c r="E505" s="13">
        <v>1</v>
      </c>
    </row>
    <row r="506" spans="1:5" x14ac:dyDescent="0.3">
      <c r="A506" s="13" t="s">
        <v>1</v>
      </c>
      <c r="B506" s="13" t="s">
        <v>2018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2069</v>
      </c>
      <c r="C507" s="13">
        <v>2</v>
      </c>
      <c r="D507" s="13">
        <v>0</v>
      </c>
      <c r="E507" s="13">
        <v>5</v>
      </c>
    </row>
    <row r="508" spans="1:5" x14ac:dyDescent="0.3">
      <c r="A508" s="13" t="s">
        <v>1</v>
      </c>
      <c r="B508" s="13" t="s">
        <v>2149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2148</v>
      </c>
      <c r="C509" s="13">
        <v>4</v>
      </c>
      <c r="D509" s="13">
        <v>0</v>
      </c>
      <c r="E509" s="13">
        <v>5</v>
      </c>
    </row>
    <row r="510" spans="1:5" x14ac:dyDescent="0.3">
      <c r="A510" s="13" t="s">
        <v>1</v>
      </c>
      <c r="B510" s="13" t="s">
        <v>2156</v>
      </c>
      <c r="C510" s="13">
        <v>2</v>
      </c>
      <c r="D510" s="13">
        <v>0</v>
      </c>
      <c r="E510" s="13">
        <v>2</v>
      </c>
    </row>
    <row r="511" spans="1:5" x14ac:dyDescent="0.3">
      <c r="A511" s="13" t="s">
        <v>1</v>
      </c>
      <c r="B511" s="13" t="s">
        <v>2162</v>
      </c>
      <c r="C511" s="13">
        <v>2</v>
      </c>
      <c r="D511" s="13">
        <v>0</v>
      </c>
      <c r="E511" s="13">
        <v>2</v>
      </c>
    </row>
    <row r="512" spans="1:5" x14ac:dyDescent="0.3">
      <c r="A512" s="13" t="s">
        <v>1</v>
      </c>
      <c r="B512" s="13" t="s">
        <v>2179</v>
      </c>
      <c r="C512" s="13">
        <v>1</v>
      </c>
      <c r="D512" s="13">
        <v>0</v>
      </c>
      <c r="E512" s="13">
        <v>1</v>
      </c>
    </row>
    <row r="513" spans="1:5" x14ac:dyDescent="0.3">
      <c r="A513" s="13" t="s">
        <v>1</v>
      </c>
      <c r="B513" s="13" t="s">
        <v>2335</v>
      </c>
      <c r="C513" s="13">
        <v>6</v>
      </c>
      <c r="D513" s="13">
        <v>0</v>
      </c>
      <c r="E513" s="13">
        <v>6</v>
      </c>
    </row>
    <row r="514" spans="1:5" x14ac:dyDescent="0.3">
      <c r="A514" s="13" t="s">
        <v>1</v>
      </c>
      <c r="B514" s="13" t="s">
        <v>2408</v>
      </c>
      <c r="C514" s="13">
        <v>4</v>
      </c>
      <c r="D514" s="13">
        <v>0</v>
      </c>
      <c r="E514" s="13">
        <v>6</v>
      </c>
    </row>
    <row r="515" spans="1:5" x14ac:dyDescent="0.3">
      <c r="A515" s="13" t="s">
        <v>1</v>
      </c>
      <c r="B515" s="13" t="s">
        <v>2425</v>
      </c>
      <c r="C515" s="13">
        <v>2</v>
      </c>
      <c r="D515" s="13">
        <v>0</v>
      </c>
      <c r="E515" s="13">
        <v>5</v>
      </c>
    </row>
    <row r="516" spans="1:5" x14ac:dyDescent="0.3">
      <c r="A516" s="13" t="s">
        <v>1</v>
      </c>
      <c r="B516" s="13" t="s">
        <v>1633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1672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507</v>
      </c>
      <c r="C518" s="13">
        <v>1</v>
      </c>
      <c r="D518" s="13">
        <v>0</v>
      </c>
      <c r="E518" s="13">
        <v>3</v>
      </c>
    </row>
    <row r="519" spans="1:5" x14ac:dyDescent="0.3">
      <c r="A519" s="13" t="s">
        <v>1</v>
      </c>
      <c r="B519" s="13" t="s">
        <v>1590</v>
      </c>
      <c r="C519" s="13">
        <v>1</v>
      </c>
      <c r="D519" s="13">
        <v>0</v>
      </c>
      <c r="E519" s="13">
        <v>1</v>
      </c>
    </row>
    <row r="520" spans="1:5" x14ac:dyDescent="0.3">
      <c r="A520" s="13" t="s">
        <v>1</v>
      </c>
      <c r="B520" s="13" t="s">
        <v>934</v>
      </c>
      <c r="C520" s="13">
        <v>1</v>
      </c>
      <c r="D520" s="13">
        <v>0</v>
      </c>
      <c r="E520" s="13">
        <v>1</v>
      </c>
    </row>
    <row r="521" spans="1:5" x14ac:dyDescent="0.3">
      <c r="A521" s="13" t="s">
        <v>1</v>
      </c>
      <c r="B521" s="13" t="s">
        <v>1457</v>
      </c>
      <c r="C521" s="13">
        <v>2</v>
      </c>
      <c r="D521" s="13">
        <v>0</v>
      </c>
      <c r="E521" s="13">
        <v>2</v>
      </c>
    </row>
    <row r="522" spans="1:5" x14ac:dyDescent="0.3">
      <c r="A522" s="13" t="s">
        <v>1</v>
      </c>
      <c r="B522" s="13" t="s">
        <v>101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341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732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1408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394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1785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1028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2608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1533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920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1315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1135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1541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317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893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320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691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374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921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401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1087</v>
      </c>
      <c r="C542" s="13">
        <v>1</v>
      </c>
      <c r="D542" s="13">
        <v>0</v>
      </c>
      <c r="E542" s="13">
        <v>0</v>
      </c>
    </row>
    <row r="543" spans="1:5" x14ac:dyDescent="0.3">
      <c r="A543" s="13" t="s">
        <v>1</v>
      </c>
      <c r="B543" s="13" t="s">
        <v>626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652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627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2280</v>
      </c>
      <c r="C546" s="13">
        <v>1</v>
      </c>
      <c r="D546" s="13">
        <v>0</v>
      </c>
      <c r="E546" s="13">
        <v>2</v>
      </c>
    </row>
    <row r="547" spans="1:5" x14ac:dyDescent="0.3">
      <c r="A547" s="13" t="s">
        <v>1</v>
      </c>
      <c r="B547" s="13" t="s">
        <v>1038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528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289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404</v>
      </c>
      <c r="C550" s="13">
        <v>2</v>
      </c>
      <c r="D550" s="13">
        <v>0</v>
      </c>
      <c r="E550" s="13">
        <v>2</v>
      </c>
    </row>
    <row r="551" spans="1:5" x14ac:dyDescent="0.3">
      <c r="A551" s="13" t="s">
        <v>1</v>
      </c>
      <c r="B551" s="13" t="s">
        <v>118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774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407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2198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2154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1482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1042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409</v>
      </c>
      <c r="C558" s="13">
        <v>3</v>
      </c>
      <c r="D558" s="13">
        <v>0</v>
      </c>
      <c r="E558" s="13">
        <v>3</v>
      </c>
    </row>
    <row r="559" spans="1:5" x14ac:dyDescent="0.3">
      <c r="A559" s="13" t="s">
        <v>1</v>
      </c>
      <c r="B559" s="13" t="s">
        <v>842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1746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1775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1454</v>
      </c>
      <c r="C562" s="13">
        <v>4</v>
      </c>
      <c r="D562" s="13">
        <v>0</v>
      </c>
      <c r="E562" s="13">
        <v>4</v>
      </c>
    </row>
    <row r="563" spans="1:5" x14ac:dyDescent="0.3">
      <c r="A563" s="13" t="s">
        <v>1</v>
      </c>
      <c r="B563" s="13" t="s">
        <v>38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483</v>
      </c>
      <c r="C564" s="13">
        <v>2</v>
      </c>
      <c r="D564" s="13">
        <v>0</v>
      </c>
      <c r="E564" s="13">
        <v>4</v>
      </c>
    </row>
    <row r="565" spans="1:5" x14ac:dyDescent="0.3">
      <c r="A565" s="13" t="s">
        <v>1</v>
      </c>
      <c r="B565" s="13" t="s">
        <v>1049</v>
      </c>
      <c r="C565" s="13">
        <v>4</v>
      </c>
      <c r="D565" s="13">
        <v>0</v>
      </c>
      <c r="E565" s="13">
        <v>5</v>
      </c>
    </row>
    <row r="566" spans="1:5" x14ac:dyDescent="0.3">
      <c r="A566" s="13" t="s">
        <v>1</v>
      </c>
      <c r="B566" s="13" t="s">
        <v>1264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2326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231</v>
      </c>
      <c r="C568" s="13">
        <v>6</v>
      </c>
      <c r="D568" s="13">
        <v>0</v>
      </c>
      <c r="E568" s="13">
        <v>10</v>
      </c>
    </row>
    <row r="569" spans="1:5" x14ac:dyDescent="0.3">
      <c r="A569" s="13" t="s">
        <v>1</v>
      </c>
      <c r="B569" s="13" t="s">
        <v>232</v>
      </c>
      <c r="C569" s="13">
        <v>2</v>
      </c>
      <c r="D569" s="13">
        <v>0</v>
      </c>
      <c r="E569" s="13">
        <v>2</v>
      </c>
    </row>
    <row r="570" spans="1:5" x14ac:dyDescent="0.3">
      <c r="A570" s="13" t="s">
        <v>1</v>
      </c>
      <c r="B570" s="13" t="s">
        <v>460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67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192</v>
      </c>
      <c r="C572" s="13">
        <v>11</v>
      </c>
      <c r="D572" s="13">
        <v>0</v>
      </c>
      <c r="E572" s="13">
        <v>12</v>
      </c>
    </row>
    <row r="573" spans="1:5" x14ac:dyDescent="0.3">
      <c r="A573" s="13" t="s">
        <v>1</v>
      </c>
      <c r="B573" s="13" t="s">
        <v>54</v>
      </c>
      <c r="C573" s="13">
        <v>3</v>
      </c>
      <c r="D573" s="13">
        <v>0</v>
      </c>
      <c r="E573" s="13">
        <v>3</v>
      </c>
    </row>
    <row r="574" spans="1:5" x14ac:dyDescent="0.3">
      <c r="A574" s="13" t="s">
        <v>1</v>
      </c>
      <c r="B574" s="13" t="s">
        <v>234</v>
      </c>
      <c r="C574" s="13">
        <v>4</v>
      </c>
      <c r="D574" s="13">
        <v>0</v>
      </c>
      <c r="E574" s="13">
        <v>4</v>
      </c>
    </row>
    <row r="575" spans="1:5" x14ac:dyDescent="0.3">
      <c r="A575" s="13" t="s">
        <v>1</v>
      </c>
      <c r="B575" s="13" t="s">
        <v>235</v>
      </c>
      <c r="C575" s="13">
        <v>2</v>
      </c>
      <c r="D575" s="13">
        <v>0</v>
      </c>
      <c r="E575" s="13">
        <v>2</v>
      </c>
    </row>
    <row r="576" spans="1:5" x14ac:dyDescent="0.3">
      <c r="A576" s="13" t="s">
        <v>1</v>
      </c>
      <c r="B576" s="13" t="s">
        <v>236</v>
      </c>
      <c r="C576" s="13">
        <v>4</v>
      </c>
      <c r="D576" s="13">
        <v>0</v>
      </c>
      <c r="E576" s="13">
        <v>4</v>
      </c>
    </row>
    <row r="577" spans="1:5" x14ac:dyDescent="0.3">
      <c r="A577" s="13" t="s">
        <v>1</v>
      </c>
      <c r="B577" s="13" t="s">
        <v>640</v>
      </c>
      <c r="C577" s="13">
        <v>4</v>
      </c>
      <c r="D577" s="13">
        <v>0</v>
      </c>
      <c r="E577" s="13">
        <v>4</v>
      </c>
    </row>
    <row r="578" spans="1:5" x14ac:dyDescent="0.3">
      <c r="A578" s="13" t="s">
        <v>1</v>
      </c>
      <c r="B578" s="13" t="s">
        <v>1319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371</v>
      </c>
      <c r="C579" s="13">
        <v>5</v>
      </c>
      <c r="D579" s="13">
        <v>0</v>
      </c>
      <c r="E579" s="13">
        <v>11</v>
      </c>
    </row>
    <row r="580" spans="1:5" x14ac:dyDescent="0.3">
      <c r="A580" s="13" t="s">
        <v>1</v>
      </c>
      <c r="B580" s="13" t="s">
        <v>366</v>
      </c>
      <c r="C580" s="13">
        <v>2</v>
      </c>
      <c r="D580" s="13">
        <v>0</v>
      </c>
      <c r="E580" s="13">
        <v>2</v>
      </c>
    </row>
    <row r="581" spans="1:5" x14ac:dyDescent="0.3">
      <c r="A581" s="13" t="s">
        <v>1</v>
      </c>
      <c r="B581" s="13" t="s">
        <v>1015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461</v>
      </c>
      <c r="C582" s="13">
        <v>3</v>
      </c>
      <c r="D582" s="13">
        <v>0</v>
      </c>
      <c r="E582" s="13">
        <v>3</v>
      </c>
    </row>
    <row r="583" spans="1:5" x14ac:dyDescent="0.3">
      <c r="A583" s="13" t="s">
        <v>1</v>
      </c>
      <c r="B583" s="13" t="s">
        <v>1111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1699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2609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749</v>
      </c>
      <c r="C586" s="13">
        <v>1</v>
      </c>
      <c r="D586" s="13">
        <v>0</v>
      </c>
      <c r="E586" s="13">
        <v>3</v>
      </c>
    </row>
    <row r="587" spans="1:5" x14ac:dyDescent="0.3">
      <c r="A587" s="13" t="s">
        <v>1</v>
      </c>
      <c r="B587" s="13" t="s">
        <v>667</v>
      </c>
      <c r="C587" s="13">
        <v>0</v>
      </c>
      <c r="D587" s="13">
        <v>2</v>
      </c>
      <c r="E587" s="13"/>
    </row>
    <row r="588" spans="1:5" x14ac:dyDescent="0.3">
      <c r="A588" s="13" t="s">
        <v>1</v>
      </c>
      <c r="B588" s="13" t="s">
        <v>2610</v>
      </c>
      <c r="C588" s="13">
        <v>0</v>
      </c>
      <c r="D588" s="13">
        <v>1</v>
      </c>
      <c r="E588" s="13"/>
    </row>
    <row r="589" spans="1:5" x14ac:dyDescent="0.3">
      <c r="A589" s="13" t="s">
        <v>1</v>
      </c>
      <c r="B589" s="13" t="s">
        <v>2611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1844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2348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2349</v>
      </c>
      <c r="C592" s="13">
        <v>3</v>
      </c>
      <c r="D592" s="13">
        <v>0</v>
      </c>
      <c r="E592" s="13">
        <v>3</v>
      </c>
    </row>
    <row r="593" spans="1:5" x14ac:dyDescent="0.3">
      <c r="A593" s="13" t="s">
        <v>1</v>
      </c>
      <c r="B593" s="13" t="s">
        <v>2351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2353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68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0</v>
      </c>
      <c r="B596" s="13" t="s">
        <v>488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0</v>
      </c>
      <c r="B597" s="13" t="s">
        <v>553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0</v>
      </c>
      <c r="B598" s="13" t="s">
        <v>40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0</v>
      </c>
      <c r="B599" s="13" t="s">
        <v>83</v>
      </c>
      <c r="C599" s="13">
        <v>1</v>
      </c>
      <c r="D599" s="13">
        <v>0</v>
      </c>
      <c r="E599" s="13">
        <v>2</v>
      </c>
    </row>
    <row r="600" spans="1:5" x14ac:dyDescent="0.3">
      <c r="A600" s="13" t="s">
        <v>0</v>
      </c>
      <c r="B600" s="13" t="s">
        <v>1181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0</v>
      </c>
      <c r="B601" s="13" t="s">
        <v>465</v>
      </c>
      <c r="C601" s="13">
        <v>1</v>
      </c>
      <c r="D601" s="13">
        <v>0</v>
      </c>
      <c r="E601" s="13">
        <v>2</v>
      </c>
    </row>
    <row r="602" spans="1:5" x14ac:dyDescent="0.3">
      <c r="A602" s="13" t="s">
        <v>0</v>
      </c>
      <c r="B602" s="13" t="s">
        <v>1849</v>
      </c>
      <c r="C602" s="13">
        <v>1</v>
      </c>
      <c r="D602" s="13">
        <v>0</v>
      </c>
      <c r="E602" s="13">
        <v>3</v>
      </c>
    </row>
    <row r="603" spans="1:5" x14ac:dyDescent="0.3">
      <c r="A603" s="13" t="s">
        <v>0</v>
      </c>
      <c r="B603" s="13" t="s">
        <v>1888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0</v>
      </c>
      <c r="B604" s="13" t="s">
        <v>1883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0</v>
      </c>
      <c r="B605" s="13" t="s">
        <v>2148</v>
      </c>
      <c r="C605" s="13">
        <v>1</v>
      </c>
      <c r="D605" s="13">
        <v>0</v>
      </c>
      <c r="E605" s="13">
        <v>1</v>
      </c>
    </row>
    <row r="606" spans="1:5" x14ac:dyDescent="0.3">
      <c r="A606" s="13" t="s">
        <v>0</v>
      </c>
      <c r="B606" s="13" t="s">
        <v>2335</v>
      </c>
      <c r="C606" s="13">
        <v>3</v>
      </c>
      <c r="D606" s="13">
        <v>0</v>
      </c>
      <c r="E606" s="13">
        <v>4</v>
      </c>
    </row>
    <row r="607" spans="1:5" x14ac:dyDescent="0.3">
      <c r="A607" s="13" t="s">
        <v>0</v>
      </c>
      <c r="B607" s="13" t="s">
        <v>560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0</v>
      </c>
      <c r="B608" s="13" t="s">
        <v>156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0</v>
      </c>
      <c r="B609" s="13" t="s">
        <v>1343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0</v>
      </c>
      <c r="B610" s="13" t="s">
        <v>101</v>
      </c>
      <c r="C610" s="13">
        <v>1</v>
      </c>
      <c r="D610" s="13">
        <v>0</v>
      </c>
      <c r="E610" s="13">
        <v>2</v>
      </c>
    </row>
    <row r="611" spans="1:5" x14ac:dyDescent="0.3">
      <c r="A611" s="13" t="s">
        <v>0</v>
      </c>
      <c r="B611" s="13" t="s">
        <v>342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0</v>
      </c>
      <c r="B612" s="13" t="s">
        <v>111</v>
      </c>
      <c r="C612" s="13">
        <v>1</v>
      </c>
      <c r="D612" s="13">
        <v>0</v>
      </c>
      <c r="E612" s="13">
        <v>8</v>
      </c>
    </row>
    <row r="613" spans="1:5" x14ac:dyDescent="0.3">
      <c r="A613" s="13" t="s">
        <v>0</v>
      </c>
      <c r="B613" s="13" t="s">
        <v>1024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0</v>
      </c>
      <c r="B614" s="13" t="s">
        <v>252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0</v>
      </c>
      <c r="B615" s="13" t="s">
        <v>46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0</v>
      </c>
      <c r="B616" s="13" t="s">
        <v>174</v>
      </c>
      <c r="C616" s="13">
        <v>1</v>
      </c>
      <c r="D616" s="13">
        <v>0</v>
      </c>
      <c r="E616" s="13">
        <v>2</v>
      </c>
    </row>
    <row r="617" spans="1:5" x14ac:dyDescent="0.3">
      <c r="A617" s="13" t="s">
        <v>0</v>
      </c>
      <c r="B617" s="13" t="s">
        <v>1607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0</v>
      </c>
      <c r="B618" s="13" t="s">
        <v>467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0</v>
      </c>
      <c r="B619" s="13" t="s">
        <v>64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0</v>
      </c>
      <c r="B620" s="13" t="s">
        <v>231</v>
      </c>
      <c r="C620" s="13">
        <v>2</v>
      </c>
      <c r="D620" s="13">
        <v>0</v>
      </c>
      <c r="E620" s="13">
        <v>3</v>
      </c>
    </row>
    <row r="621" spans="1:5" x14ac:dyDescent="0.3">
      <c r="A621" s="14" t="s">
        <v>0</v>
      </c>
      <c r="B621" s="14" t="s">
        <v>235</v>
      </c>
      <c r="C621" s="14">
        <v>1</v>
      </c>
      <c r="D621" s="14">
        <v>0</v>
      </c>
      <c r="E621" s="14">
        <v>2</v>
      </c>
    </row>
    <row r="622" spans="1:5" x14ac:dyDescent="0.3">
      <c r="A622" s="14" t="s">
        <v>0</v>
      </c>
      <c r="B622" s="14" t="s">
        <v>55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0</v>
      </c>
      <c r="B623" s="14" t="s">
        <v>371</v>
      </c>
      <c r="C623" s="14">
        <v>2</v>
      </c>
      <c r="D623" s="14">
        <v>0</v>
      </c>
      <c r="E623" s="14">
        <v>3</v>
      </c>
    </row>
    <row r="624" spans="1:5" x14ac:dyDescent="0.3">
      <c r="A624" s="14" t="s">
        <v>0</v>
      </c>
      <c r="B624" s="14" t="s">
        <v>461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0</v>
      </c>
      <c r="B625" s="14" t="s">
        <v>135</v>
      </c>
      <c r="C625" s="14">
        <v>2</v>
      </c>
      <c r="D625" s="14">
        <v>0</v>
      </c>
      <c r="E625" s="14">
        <v>2</v>
      </c>
    </row>
    <row r="626" spans="1:5" x14ac:dyDescent="0.3">
      <c r="A626" s="14" t="s">
        <v>0</v>
      </c>
      <c r="B626" s="14" t="s">
        <v>1947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0</v>
      </c>
      <c r="B627" s="14" t="s">
        <v>2176</v>
      </c>
      <c r="C627" s="14">
        <v>0</v>
      </c>
      <c r="D627" s="14">
        <v>1</v>
      </c>
    </row>
    <row r="628" spans="1:5" x14ac:dyDescent="0.3">
      <c r="A628" s="14" t="s">
        <v>0</v>
      </c>
      <c r="B628" s="14" t="s">
        <v>2178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0</v>
      </c>
      <c r="B629" s="14" t="s">
        <v>2349</v>
      </c>
      <c r="C629" s="14">
        <v>1</v>
      </c>
      <c r="D629" s="14">
        <v>0</v>
      </c>
      <c r="E629" s="14">
        <v>2</v>
      </c>
    </row>
    <row r="630" spans="1:5" x14ac:dyDescent="0.3">
      <c r="A630" s="14" t="s">
        <v>0</v>
      </c>
      <c r="B630" s="14" t="s">
        <v>2352</v>
      </c>
      <c r="C630" s="14">
        <v>1</v>
      </c>
      <c r="D630" s="14">
        <v>0</v>
      </c>
      <c r="E630" s="14">
        <v>1</v>
      </c>
    </row>
    <row r="631" spans="1:5" x14ac:dyDescent="0.3">
      <c r="A631" s="14" t="s">
        <v>0</v>
      </c>
      <c r="B631" s="14" t="s">
        <v>2354</v>
      </c>
      <c r="C631" s="14">
        <v>1</v>
      </c>
      <c r="D631" s="14">
        <v>0</v>
      </c>
      <c r="E631" s="14">
        <v>1</v>
      </c>
    </row>
    <row r="632" spans="1:5" x14ac:dyDescent="0.3">
      <c r="A632" s="14" t="s">
        <v>0</v>
      </c>
      <c r="B632" s="14" t="s">
        <v>2355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0</v>
      </c>
      <c r="B633" s="14" t="s">
        <v>2612</v>
      </c>
      <c r="C633" s="14">
        <v>1</v>
      </c>
      <c r="D633" s="14">
        <v>0</v>
      </c>
      <c r="E633" s="14">
        <v>1</v>
      </c>
    </row>
    <row r="634" spans="1:5" x14ac:dyDescent="0.3">
      <c r="A634" s="14" t="s">
        <v>0</v>
      </c>
      <c r="B634" s="14" t="s">
        <v>32</v>
      </c>
      <c r="C634" s="14">
        <v>2</v>
      </c>
      <c r="D634" s="14">
        <v>0</v>
      </c>
      <c r="E634" s="14">
        <v>5</v>
      </c>
    </row>
    <row r="635" spans="1:5" x14ac:dyDescent="0.3">
      <c r="A635" s="14" t="s">
        <v>2</v>
      </c>
      <c r="B635" s="14" t="s">
        <v>122</v>
      </c>
      <c r="C635" s="14">
        <v>1</v>
      </c>
      <c r="D635" s="14">
        <v>0</v>
      </c>
      <c r="E635" s="14">
        <v>1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7A9C3-8969-449E-B20D-B7ED1E7CFC54}">
  <sheetPr codeName="Sheet46"/>
  <dimension ref="A1:M620"/>
  <sheetViews>
    <sheetView workbookViewId="0">
      <selection activeCell="A2" sqref="A2:E372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49</v>
      </c>
      <c r="D2" s="13">
        <v>48</v>
      </c>
      <c r="E2" s="13">
        <v>49</v>
      </c>
    </row>
    <row r="3" spans="1:13" customFormat="1" x14ac:dyDescent="0.3">
      <c r="A3" s="13" t="s">
        <v>0</v>
      </c>
      <c r="B3" s="13" t="s">
        <v>29</v>
      </c>
      <c r="C3" s="13">
        <v>19</v>
      </c>
      <c r="D3" s="13">
        <v>19</v>
      </c>
      <c r="E3" s="13">
        <v>21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20</v>
      </c>
      <c r="D4" s="13">
        <v>11</v>
      </c>
      <c r="E4" s="13">
        <v>35</v>
      </c>
      <c r="G4" s="19" t="s">
        <v>8</v>
      </c>
      <c r="H4" s="15">
        <f>H13+H14</f>
        <v>354</v>
      </c>
      <c r="I4" s="16">
        <f>H4/H$6</f>
        <v>0.55054432348367033</v>
      </c>
      <c r="J4" s="15">
        <f>I13+I14</f>
        <v>239</v>
      </c>
      <c r="K4" s="16">
        <f>J4/J$6</f>
        <v>0.49585062240663902</v>
      </c>
      <c r="L4" s="15">
        <f>J13+J14</f>
        <v>400</v>
      </c>
      <c r="M4" s="25">
        <f>L4/L$6</f>
        <v>0.55865921787709494</v>
      </c>
    </row>
    <row r="5" spans="1:13" customFormat="1" x14ac:dyDescent="0.3">
      <c r="A5" s="13" t="s">
        <v>0</v>
      </c>
      <c r="B5" s="13" t="s">
        <v>1183</v>
      </c>
      <c r="C5" s="13">
        <v>11</v>
      </c>
      <c r="D5" s="13">
        <v>11</v>
      </c>
      <c r="E5" s="13">
        <v>12</v>
      </c>
      <c r="G5" s="19" t="s">
        <v>10</v>
      </c>
      <c r="H5" s="15">
        <f>H15+H16</f>
        <v>289</v>
      </c>
      <c r="I5" s="16">
        <f>H5/H$6</f>
        <v>0.44945567651632973</v>
      </c>
      <c r="J5" s="15">
        <f>I15+I16</f>
        <v>243</v>
      </c>
      <c r="K5" s="16">
        <f>J5/J$6</f>
        <v>0.50414937759336098</v>
      </c>
      <c r="L5" s="15">
        <f>J15+J16</f>
        <v>316</v>
      </c>
      <c r="M5" s="25">
        <f>L5/L$6</f>
        <v>0.44134078212290501</v>
      </c>
    </row>
    <row r="6" spans="1:13" customFormat="1" ht="17.25" thickBot="1" x14ac:dyDescent="0.35">
      <c r="A6" s="13" t="s">
        <v>0</v>
      </c>
      <c r="B6" s="13" t="s">
        <v>31</v>
      </c>
      <c r="C6" s="13">
        <v>11</v>
      </c>
      <c r="D6" s="13">
        <v>11</v>
      </c>
      <c r="E6" s="13">
        <v>11</v>
      </c>
      <c r="G6" s="22"/>
      <c r="H6" s="26">
        <f>SUM(H4:H5)</f>
        <v>643</v>
      </c>
      <c r="I6" s="27">
        <f>I4+I5</f>
        <v>1</v>
      </c>
      <c r="J6" s="26">
        <f>SUM(J4:J5)</f>
        <v>482</v>
      </c>
      <c r="K6" s="27">
        <f>K4+K5</f>
        <v>1</v>
      </c>
      <c r="L6" s="26">
        <f>SUM(L4:L5)</f>
        <v>716</v>
      </c>
      <c r="M6" s="28">
        <f>M4+M5</f>
        <v>1</v>
      </c>
    </row>
    <row r="7" spans="1:13" customFormat="1" x14ac:dyDescent="0.3">
      <c r="A7" s="13" t="s">
        <v>1</v>
      </c>
      <c r="B7" s="13" t="s">
        <v>37</v>
      </c>
      <c r="C7" s="13">
        <v>8</v>
      </c>
      <c r="D7" s="13">
        <v>6</v>
      </c>
      <c r="E7" s="13">
        <v>9</v>
      </c>
    </row>
    <row r="8" spans="1:13" customFormat="1" x14ac:dyDescent="0.3">
      <c r="A8" s="13" t="s">
        <v>1</v>
      </c>
      <c r="B8" s="13" t="s">
        <v>61</v>
      </c>
      <c r="C8" s="13">
        <v>7</v>
      </c>
      <c r="D8" s="13">
        <v>5</v>
      </c>
      <c r="E8" s="13">
        <v>9</v>
      </c>
    </row>
    <row r="9" spans="1:13" customFormat="1" x14ac:dyDescent="0.3">
      <c r="A9" s="13" t="s">
        <v>1</v>
      </c>
      <c r="B9" s="13" t="s">
        <v>29</v>
      </c>
      <c r="C9" s="13">
        <v>7</v>
      </c>
      <c r="D9" s="13">
        <v>5</v>
      </c>
      <c r="E9" s="13">
        <v>6</v>
      </c>
    </row>
    <row r="10" spans="1:13" customFormat="1" ht="17.25" thickBot="1" x14ac:dyDescent="0.35">
      <c r="A10" s="13" t="s">
        <v>0</v>
      </c>
      <c r="B10" s="13" t="s">
        <v>94</v>
      </c>
      <c r="C10" s="13">
        <v>5</v>
      </c>
      <c r="D10" s="13">
        <v>5</v>
      </c>
      <c r="E10" s="13">
        <v>6</v>
      </c>
    </row>
    <row r="11" spans="1:13" x14ac:dyDescent="0.3">
      <c r="A11" s="13" t="s">
        <v>0</v>
      </c>
      <c r="B11" s="13" t="s">
        <v>37</v>
      </c>
      <c r="C11" s="13">
        <v>7</v>
      </c>
      <c r="D11" s="13">
        <v>5</v>
      </c>
      <c r="E11" s="13">
        <v>7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354</v>
      </c>
      <c r="C12" s="13">
        <v>4</v>
      </c>
      <c r="D12" s="13">
        <v>4</v>
      </c>
      <c r="E12" s="13">
        <v>4</v>
      </c>
      <c r="G12" s="19"/>
      <c r="H12" s="17">
        <f t="shared" ref="H12:J12" si="0">SUM(H13:H16)</f>
        <v>643</v>
      </c>
      <c r="I12" s="17">
        <f t="shared" si="0"/>
        <v>482</v>
      </c>
      <c r="J12" s="20">
        <f t="shared" si="0"/>
        <v>716</v>
      </c>
    </row>
    <row r="13" spans="1:13" x14ac:dyDescent="0.3">
      <c r="A13" s="13" t="s">
        <v>1</v>
      </c>
      <c r="B13" s="13" t="s">
        <v>1741</v>
      </c>
      <c r="C13" s="13">
        <v>5</v>
      </c>
      <c r="D13" s="13">
        <v>4</v>
      </c>
      <c r="E13" s="13">
        <v>5</v>
      </c>
      <c r="G13" s="19" t="s">
        <v>7</v>
      </c>
      <c r="H13" s="18">
        <f t="shared" ref="H13:J16" si="1">SUMIF($A$2:$A$9999,$G13,C$2:C$9999)</f>
        <v>354</v>
      </c>
      <c r="I13" s="18">
        <f t="shared" si="1"/>
        <v>239</v>
      </c>
      <c r="J13" s="21">
        <f t="shared" si="1"/>
        <v>400</v>
      </c>
    </row>
    <row r="14" spans="1:13" x14ac:dyDescent="0.3">
      <c r="A14" s="13" t="s">
        <v>0</v>
      </c>
      <c r="B14" s="13" t="s">
        <v>60</v>
      </c>
      <c r="C14" s="13">
        <v>4</v>
      </c>
      <c r="D14" s="13">
        <v>4</v>
      </c>
      <c r="E14" s="13">
        <v>6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0</v>
      </c>
      <c r="B15" s="13" t="s">
        <v>1741</v>
      </c>
      <c r="C15" s="13">
        <v>5</v>
      </c>
      <c r="D15" s="13">
        <v>4</v>
      </c>
      <c r="E15" s="13">
        <v>5</v>
      </c>
      <c r="G15" s="19" t="s">
        <v>11</v>
      </c>
      <c r="H15" s="18">
        <f t="shared" si="1"/>
        <v>278</v>
      </c>
      <c r="I15" s="18">
        <f t="shared" si="1"/>
        <v>233</v>
      </c>
      <c r="J15" s="21">
        <f t="shared" si="1"/>
        <v>303</v>
      </c>
    </row>
    <row r="16" spans="1:13" ht="17.25" thickBot="1" x14ac:dyDescent="0.35">
      <c r="A16" s="13" t="s">
        <v>0</v>
      </c>
      <c r="B16" s="13" t="s">
        <v>2203</v>
      </c>
      <c r="C16" s="13">
        <v>4</v>
      </c>
      <c r="D16" s="13">
        <v>4</v>
      </c>
      <c r="E16" s="13">
        <v>4</v>
      </c>
      <c r="G16" s="22" t="s">
        <v>12</v>
      </c>
      <c r="H16" s="23">
        <f t="shared" si="1"/>
        <v>11</v>
      </c>
      <c r="I16" s="23">
        <f t="shared" si="1"/>
        <v>10</v>
      </c>
      <c r="J16" s="24">
        <f t="shared" si="1"/>
        <v>13</v>
      </c>
    </row>
    <row r="17" spans="1:5" x14ac:dyDescent="0.3">
      <c r="A17" s="13" t="s">
        <v>0</v>
      </c>
      <c r="B17" s="13" t="s">
        <v>63</v>
      </c>
      <c r="C17" s="13">
        <v>4</v>
      </c>
      <c r="D17" s="13">
        <v>4</v>
      </c>
      <c r="E17" s="13">
        <v>4</v>
      </c>
    </row>
    <row r="18" spans="1:5" x14ac:dyDescent="0.3">
      <c r="A18" s="13" t="s">
        <v>0</v>
      </c>
      <c r="B18" s="13" t="s">
        <v>39</v>
      </c>
      <c r="C18" s="13">
        <v>6</v>
      </c>
      <c r="D18" s="13">
        <v>4</v>
      </c>
      <c r="E18" s="13">
        <v>6</v>
      </c>
    </row>
    <row r="19" spans="1:5" x14ac:dyDescent="0.3">
      <c r="A19" s="13" t="s">
        <v>1</v>
      </c>
      <c r="B19" s="13" t="s">
        <v>48</v>
      </c>
      <c r="C19" s="13">
        <v>8</v>
      </c>
      <c r="D19" s="13">
        <v>3</v>
      </c>
      <c r="E19" s="13">
        <v>9</v>
      </c>
    </row>
    <row r="20" spans="1:5" x14ac:dyDescent="0.3">
      <c r="A20" s="13" t="s">
        <v>1</v>
      </c>
      <c r="B20" s="13" t="s">
        <v>471</v>
      </c>
      <c r="C20" s="13">
        <v>4</v>
      </c>
      <c r="D20" s="13">
        <v>3</v>
      </c>
      <c r="E20" s="13">
        <v>5</v>
      </c>
    </row>
    <row r="21" spans="1:5" x14ac:dyDescent="0.3">
      <c r="A21" s="13" t="s">
        <v>1</v>
      </c>
      <c r="B21" s="13" t="s">
        <v>1663</v>
      </c>
      <c r="C21" s="13">
        <v>4</v>
      </c>
      <c r="D21" s="13">
        <v>3</v>
      </c>
      <c r="E21" s="13">
        <v>7</v>
      </c>
    </row>
    <row r="22" spans="1:5" x14ac:dyDescent="0.3">
      <c r="A22" s="13" t="s">
        <v>1</v>
      </c>
      <c r="B22" s="13" t="s">
        <v>1948</v>
      </c>
      <c r="C22" s="13">
        <v>5</v>
      </c>
      <c r="D22" s="13">
        <v>3</v>
      </c>
      <c r="E22" s="13">
        <v>5</v>
      </c>
    </row>
    <row r="23" spans="1:5" x14ac:dyDescent="0.3">
      <c r="A23" s="13" t="s">
        <v>1</v>
      </c>
      <c r="B23" s="13" t="s">
        <v>102</v>
      </c>
      <c r="C23" s="13">
        <v>3</v>
      </c>
      <c r="D23" s="13">
        <v>3</v>
      </c>
      <c r="E23" s="13">
        <v>4</v>
      </c>
    </row>
    <row r="24" spans="1:5" x14ac:dyDescent="0.3">
      <c r="A24" s="13" t="s">
        <v>1</v>
      </c>
      <c r="B24" s="13" t="s">
        <v>51</v>
      </c>
      <c r="C24" s="13">
        <v>4</v>
      </c>
      <c r="D24" s="13">
        <v>3</v>
      </c>
      <c r="E24" s="13">
        <v>4</v>
      </c>
    </row>
    <row r="25" spans="1:5" x14ac:dyDescent="0.3">
      <c r="A25" s="13" t="s">
        <v>1</v>
      </c>
      <c r="B25" s="13" t="s">
        <v>120</v>
      </c>
      <c r="C25" s="13">
        <v>3</v>
      </c>
      <c r="D25" s="13">
        <v>3</v>
      </c>
      <c r="E25" s="13">
        <v>3</v>
      </c>
    </row>
    <row r="26" spans="1:5" x14ac:dyDescent="0.3">
      <c r="A26" s="13" t="s">
        <v>1</v>
      </c>
      <c r="B26" s="13" t="s">
        <v>32</v>
      </c>
      <c r="C26" s="13">
        <v>5</v>
      </c>
      <c r="D26" s="13">
        <v>3</v>
      </c>
      <c r="E26" s="13">
        <v>9</v>
      </c>
    </row>
    <row r="27" spans="1:5" x14ac:dyDescent="0.3">
      <c r="A27" s="13" t="s">
        <v>0</v>
      </c>
      <c r="B27" s="13" t="s">
        <v>30</v>
      </c>
      <c r="C27" s="13">
        <v>4</v>
      </c>
      <c r="D27" s="13">
        <v>3</v>
      </c>
      <c r="E27" s="13">
        <v>5</v>
      </c>
    </row>
    <row r="28" spans="1:5" x14ac:dyDescent="0.3">
      <c r="A28" s="13" t="s">
        <v>0</v>
      </c>
      <c r="B28" s="13" t="s">
        <v>47</v>
      </c>
      <c r="C28" s="13">
        <v>3</v>
      </c>
      <c r="D28" s="13">
        <v>3</v>
      </c>
      <c r="E28" s="13">
        <v>3</v>
      </c>
    </row>
    <row r="29" spans="1:5" x14ac:dyDescent="0.3">
      <c r="A29" s="13" t="s">
        <v>0</v>
      </c>
      <c r="B29" s="13" t="s">
        <v>1663</v>
      </c>
      <c r="C29" s="13">
        <v>3</v>
      </c>
      <c r="D29" s="13">
        <v>3</v>
      </c>
      <c r="E29" s="13">
        <v>4</v>
      </c>
    </row>
    <row r="30" spans="1:5" x14ac:dyDescent="0.3">
      <c r="A30" s="13" t="s">
        <v>0</v>
      </c>
      <c r="B30" s="13" t="s">
        <v>2148</v>
      </c>
      <c r="C30" s="13">
        <v>3</v>
      </c>
      <c r="D30" s="13">
        <v>3</v>
      </c>
      <c r="E30" s="13">
        <v>3</v>
      </c>
    </row>
    <row r="31" spans="1:5" x14ac:dyDescent="0.3">
      <c r="A31" s="13" t="s">
        <v>0</v>
      </c>
      <c r="B31" s="13" t="s">
        <v>1629</v>
      </c>
      <c r="C31" s="13">
        <v>3</v>
      </c>
      <c r="D31" s="13">
        <v>3</v>
      </c>
      <c r="E31" s="13">
        <v>4</v>
      </c>
    </row>
    <row r="32" spans="1:5" x14ac:dyDescent="0.3">
      <c r="A32" s="13" t="s">
        <v>0</v>
      </c>
      <c r="B32" s="13" t="s">
        <v>44</v>
      </c>
      <c r="C32" s="13">
        <v>3</v>
      </c>
      <c r="D32" s="13">
        <v>3</v>
      </c>
      <c r="E32" s="13">
        <v>3</v>
      </c>
    </row>
    <row r="33" spans="1:5" x14ac:dyDescent="0.3">
      <c r="A33" s="13" t="s">
        <v>0</v>
      </c>
      <c r="B33" s="13" t="s">
        <v>339</v>
      </c>
      <c r="C33" s="13">
        <v>3</v>
      </c>
      <c r="D33" s="13">
        <v>3</v>
      </c>
      <c r="E33" s="13">
        <v>3</v>
      </c>
    </row>
    <row r="34" spans="1:5" x14ac:dyDescent="0.3">
      <c r="A34" s="13" t="s">
        <v>0</v>
      </c>
      <c r="B34" s="13" t="s">
        <v>66</v>
      </c>
      <c r="C34" s="13">
        <v>3</v>
      </c>
      <c r="D34" s="13">
        <v>3</v>
      </c>
      <c r="E34" s="13">
        <v>4</v>
      </c>
    </row>
    <row r="35" spans="1:5" x14ac:dyDescent="0.3">
      <c r="A35" s="13" t="s">
        <v>0</v>
      </c>
      <c r="B35" s="13" t="s">
        <v>365</v>
      </c>
      <c r="C35" s="13">
        <v>3</v>
      </c>
      <c r="D35" s="13">
        <v>3</v>
      </c>
      <c r="E35" s="13">
        <v>4</v>
      </c>
    </row>
    <row r="36" spans="1:5" x14ac:dyDescent="0.3">
      <c r="A36" s="13" t="s">
        <v>1</v>
      </c>
      <c r="B36" s="13" t="s">
        <v>36</v>
      </c>
      <c r="C36" s="13">
        <v>2</v>
      </c>
      <c r="D36" s="13">
        <v>2</v>
      </c>
      <c r="E36" s="13">
        <v>3</v>
      </c>
    </row>
    <row r="37" spans="1:5" x14ac:dyDescent="0.3">
      <c r="A37" s="13" t="s">
        <v>1</v>
      </c>
      <c r="B37" s="13" t="s">
        <v>140</v>
      </c>
      <c r="C37" s="13">
        <v>2</v>
      </c>
      <c r="D37" s="13">
        <v>2</v>
      </c>
      <c r="E37" s="13">
        <v>2</v>
      </c>
    </row>
    <row r="38" spans="1:5" x14ac:dyDescent="0.3">
      <c r="A38" s="13" t="s">
        <v>1</v>
      </c>
      <c r="B38" s="13" t="s">
        <v>83</v>
      </c>
      <c r="C38" s="13">
        <v>2</v>
      </c>
      <c r="D38" s="13">
        <v>2</v>
      </c>
      <c r="E38" s="13">
        <v>2</v>
      </c>
    </row>
    <row r="39" spans="1:5" x14ac:dyDescent="0.3">
      <c r="A39" s="13" t="s">
        <v>1</v>
      </c>
      <c r="B39" s="13" t="s">
        <v>145</v>
      </c>
      <c r="C39" s="13">
        <v>2</v>
      </c>
      <c r="D39" s="13">
        <v>2</v>
      </c>
      <c r="E39" s="13">
        <v>2</v>
      </c>
    </row>
    <row r="40" spans="1:5" x14ac:dyDescent="0.3">
      <c r="A40" s="13" t="s">
        <v>1</v>
      </c>
      <c r="B40" s="13" t="s">
        <v>1849</v>
      </c>
      <c r="C40" s="13">
        <v>3</v>
      </c>
      <c r="D40" s="13">
        <v>2</v>
      </c>
      <c r="E40" s="13">
        <v>3</v>
      </c>
    </row>
    <row r="41" spans="1:5" x14ac:dyDescent="0.3">
      <c r="A41" s="13" t="s">
        <v>1</v>
      </c>
      <c r="B41" s="13" t="s">
        <v>2203</v>
      </c>
      <c r="C41" s="13">
        <v>3</v>
      </c>
      <c r="D41" s="13">
        <v>2</v>
      </c>
      <c r="E41" s="13">
        <v>3</v>
      </c>
    </row>
    <row r="42" spans="1:5" x14ac:dyDescent="0.3">
      <c r="A42" s="13" t="s">
        <v>1</v>
      </c>
      <c r="B42" s="13" t="s">
        <v>195</v>
      </c>
      <c r="C42" s="13">
        <v>2</v>
      </c>
      <c r="D42" s="13">
        <v>2</v>
      </c>
      <c r="E42" s="13">
        <v>2</v>
      </c>
    </row>
    <row r="43" spans="1:5" x14ac:dyDescent="0.3">
      <c r="A43" s="13" t="s">
        <v>1</v>
      </c>
      <c r="B43" s="13" t="s">
        <v>314</v>
      </c>
      <c r="C43" s="13">
        <v>2</v>
      </c>
      <c r="D43" s="13">
        <v>2</v>
      </c>
      <c r="E43" s="13">
        <v>2</v>
      </c>
    </row>
    <row r="44" spans="1:5" x14ac:dyDescent="0.3">
      <c r="A44" s="13" t="s">
        <v>1</v>
      </c>
      <c r="B44" s="13" t="s">
        <v>118</v>
      </c>
      <c r="C44" s="13">
        <v>2</v>
      </c>
      <c r="D44" s="13">
        <v>2</v>
      </c>
      <c r="E44" s="13">
        <v>2</v>
      </c>
    </row>
    <row r="45" spans="1:5" x14ac:dyDescent="0.3">
      <c r="A45" s="13" t="s">
        <v>1</v>
      </c>
      <c r="B45" s="13" t="s">
        <v>31</v>
      </c>
      <c r="C45" s="13">
        <v>2</v>
      </c>
      <c r="D45" s="13">
        <v>2</v>
      </c>
      <c r="E45" s="13">
        <v>2</v>
      </c>
    </row>
    <row r="46" spans="1:5" x14ac:dyDescent="0.3">
      <c r="A46" s="13" t="s">
        <v>0</v>
      </c>
      <c r="B46" s="13" t="s">
        <v>1122</v>
      </c>
      <c r="C46" s="13">
        <v>2</v>
      </c>
      <c r="D46" s="13">
        <v>2</v>
      </c>
      <c r="E46" s="13">
        <v>2</v>
      </c>
    </row>
    <row r="47" spans="1:5" x14ac:dyDescent="0.3">
      <c r="A47" s="13" t="s">
        <v>0</v>
      </c>
      <c r="B47" s="13" t="s">
        <v>240</v>
      </c>
      <c r="C47" s="13">
        <v>2</v>
      </c>
      <c r="D47" s="13">
        <v>2</v>
      </c>
      <c r="E47" s="13">
        <v>2</v>
      </c>
    </row>
    <row r="48" spans="1:5" x14ac:dyDescent="0.3">
      <c r="A48" s="13" t="s">
        <v>0</v>
      </c>
      <c r="B48" s="13" t="s">
        <v>669</v>
      </c>
      <c r="C48" s="13">
        <v>2</v>
      </c>
      <c r="D48" s="13">
        <v>2</v>
      </c>
      <c r="E48" s="13">
        <v>2</v>
      </c>
    </row>
    <row r="49" spans="1:5" x14ac:dyDescent="0.3">
      <c r="A49" s="13" t="s">
        <v>0</v>
      </c>
      <c r="B49" s="13" t="s">
        <v>242</v>
      </c>
      <c r="C49" s="13">
        <v>2</v>
      </c>
      <c r="D49" s="13">
        <v>2</v>
      </c>
      <c r="E49" s="13">
        <v>2</v>
      </c>
    </row>
    <row r="50" spans="1:5" x14ac:dyDescent="0.3">
      <c r="A50" s="13" t="s">
        <v>0</v>
      </c>
      <c r="B50" s="13" t="s">
        <v>147</v>
      </c>
      <c r="C50" s="13">
        <v>2</v>
      </c>
      <c r="D50" s="13">
        <v>2</v>
      </c>
      <c r="E50" s="13">
        <v>2</v>
      </c>
    </row>
    <row r="51" spans="1:5" x14ac:dyDescent="0.3">
      <c r="A51" s="13" t="s">
        <v>0</v>
      </c>
      <c r="B51" s="13" t="s">
        <v>354</v>
      </c>
      <c r="C51" s="13">
        <v>3</v>
      </c>
      <c r="D51" s="13">
        <v>2</v>
      </c>
      <c r="E51" s="13">
        <v>3</v>
      </c>
    </row>
    <row r="52" spans="1:5" x14ac:dyDescent="0.3">
      <c r="A52" s="13" t="s">
        <v>0</v>
      </c>
      <c r="B52" s="13" t="s">
        <v>61</v>
      </c>
      <c r="C52" s="13">
        <v>2</v>
      </c>
      <c r="D52" s="13">
        <v>2</v>
      </c>
      <c r="E52" s="13">
        <v>2</v>
      </c>
    </row>
    <row r="53" spans="1:5" x14ac:dyDescent="0.3">
      <c r="A53" s="13" t="s">
        <v>0</v>
      </c>
      <c r="B53" s="13" t="s">
        <v>1885</v>
      </c>
      <c r="C53" s="13">
        <v>2</v>
      </c>
      <c r="D53" s="13">
        <v>2</v>
      </c>
      <c r="E53" s="13">
        <v>2</v>
      </c>
    </row>
    <row r="54" spans="1:5" x14ac:dyDescent="0.3">
      <c r="A54" s="13" t="s">
        <v>0</v>
      </c>
      <c r="B54" s="13" t="s">
        <v>1882</v>
      </c>
      <c r="C54" s="13">
        <v>2</v>
      </c>
      <c r="D54" s="13">
        <v>2</v>
      </c>
      <c r="E54" s="13">
        <v>3</v>
      </c>
    </row>
    <row r="55" spans="1:5" x14ac:dyDescent="0.3">
      <c r="A55" s="13" t="s">
        <v>0</v>
      </c>
      <c r="B55" s="13" t="s">
        <v>1948</v>
      </c>
      <c r="C55" s="13">
        <v>2</v>
      </c>
      <c r="D55" s="13">
        <v>2</v>
      </c>
      <c r="E55" s="13">
        <v>2</v>
      </c>
    </row>
    <row r="56" spans="1:5" x14ac:dyDescent="0.3">
      <c r="A56" s="13" t="s">
        <v>0</v>
      </c>
      <c r="B56" s="13" t="s">
        <v>1342</v>
      </c>
      <c r="C56" s="13">
        <v>2</v>
      </c>
      <c r="D56" s="13">
        <v>2</v>
      </c>
      <c r="E56" s="13">
        <v>2</v>
      </c>
    </row>
    <row r="57" spans="1:5" x14ac:dyDescent="0.3">
      <c r="A57" s="13" t="s">
        <v>0</v>
      </c>
      <c r="B57" s="13" t="s">
        <v>43</v>
      </c>
      <c r="C57" s="13">
        <v>2</v>
      </c>
      <c r="D57" s="13">
        <v>2</v>
      </c>
      <c r="E57" s="13">
        <v>2</v>
      </c>
    </row>
    <row r="58" spans="1:5" x14ac:dyDescent="0.3">
      <c r="A58" s="13" t="s">
        <v>0</v>
      </c>
      <c r="B58" s="13" t="s">
        <v>164</v>
      </c>
      <c r="C58" s="13">
        <v>2</v>
      </c>
      <c r="D58" s="13">
        <v>2</v>
      </c>
      <c r="E58" s="13">
        <v>4</v>
      </c>
    </row>
    <row r="59" spans="1:5" x14ac:dyDescent="0.3">
      <c r="A59" s="13" t="s">
        <v>0</v>
      </c>
      <c r="B59" s="13" t="s">
        <v>222</v>
      </c>
      <c r="C59" s="13">
        <v>2</v>
      </c>
      <c r="D59" s="13">
        <v>2</v>
      </c>
      <c r="E59" s="13">
        <v>2</v>
      </c>
    </row>
    <row r="60" spans="1:5" x14ac:dyDescent="0.3">
      <c r="A60" s="13" t="s">
        <v>0</v>
      </c>
      <c r="B60" s="13" t="s">
        <v>109</v>
      </c>
      <c r="C60" s="13">
        <v>2</v>
      </c>
      <c r="D60" s="13">
        <v>2</v>
      </c>
      <c r="E60" s="13">
        <v>2</v>
      </c>
    </row>
    <row r="61" spans="1:5" x14ac:dyDescent="0.3">
      <c r="A61" s="13" t="s">
        <v>0</v>
      </c>
      <c r="B61" s="13" t="s">
        <v>51</v>
      </c>
      <c r="C61" s="13">
        <v>2</v>
      </c>
      <c r="D61" s="13">
        <v>2</v>
      </c>
      <c r="E61" s="13">
        <v>2</v>
      </c>
    </row>
    <row r="62" spans="1:5" x14ac:dyDescent="0.3">
      <c r="A62" s="13" t="s">
        <v>0</v>
      </c>
      <c r="B62" s="13" t="s">
        <v>45</v>
      </c>
      <c r="C62" s="13">
        <v>2</v>
      </c>
      <c r="D62" s="13">
        <v>2</v>
      </c>
      <c r="E62" s="13">
        <v>2</v>
      </c>
    </row>
    <row r="63" spans="1:5" x14ac:dyDescent="0.3">
      <c r="A63" s="13" t="s">
        <v>0</v>
      </c>
      <c r="B63" s="13" t="s">
        <v>114</v>
      </c>
      <c r="C63" s="13">
        <v>2</v>
      </c>
      <c r="D63" s="13">
        <v>2</v>
      </c>
      <c r="E63" s="13">
        <v>2</v>
      </c>
    </row>
    <row r="64" spans="1:5" x14ac:dyDescent="0.3">
      <c r="A64" s="13" t="s">
        <v>0</v>
      </c>
      <c r="B64" s="13" t="s">
        <v>175</v>
      </c>
      <c r="C64" s="13">
        <v>2</v>
      </c>
      <c r="D64" s="13">
        <v>2</v>
      </c>
      <c r="E64" s="13">
        <v>3</v>
      </c>
    </row>
    <row r="65" spans="1:5" x14ac:dyDescent="0.3">
      <c r="A65" s="13" t="s">
        <v>0</v>
      </c>
      <c r="B65" s="13" t="s">
        <v>537</v>
      </c>
      <c r="C65" s="13">
        <v>2</v>
      </c>
      <c r="D65" s="13">
        <v>2</v>
      </c>
      <c r="E65" s="13">
        <v>3</v>
      </c>
    </row>
    <row r="66" spans="1:5" x14ac:dyDescent="0.3">
      <c r="A66" s="13" t="s">
        <v>0</v>
      </c>
      <c r="B66" s="13" t="s">
        <v>255</v>
      </c>
      <c r="C66" s="13">
        <v>2</v>
      </c>
      <c r="D66" s="13">
        <v>2</v>
      </c>
      <c r="E66" s="13">
        <v>2</v>
      </c>
    </row>
    <row r="67" spans="1:5" x14ac:dyDescent="0.3">
      <c r="A67" s="13" t="s">
        <v>0</v>
      </c>
      <c r="B67" s="13" t="s">
        <v>130</v>
      </c>
      <c r="C67" s="13">
        <v>2</v>
      </c>
      <c r="D67" s="13">
        <v>2</v>
      </c>
      <c r="E67" s="13">
        <v>2</v>
      </c>
    </row>
    <row r="68" spans="1:5" x14ac:dyDescent="0.3">
      <c r="A68" s="13" t="s">
        <v>1</v>
      </c>
      <c r="B68" s="13" t="s">
        <v>473</v>
      </c>
      <c r="C68" s="13">
        <v>1</v>
      </c>
      <c r="D68" s="13">
        <v>1</v>
      </c>
      <c r="E68" s="13">
        <v>1</v>
      </c>
    </row>
    <row r="69" spans="1:5" x14ac:dyDescent="0.3">
      <c r="A69" s="13" t="s">
        <v>1</v>
      </c>
      <c r="B69" s="13" t="s">
        <v>965</v>
      </c>
      <c r="C69" s="13">
        <v>1</v>
      </c>
      <c r="D69" s="13">
        <v>1</v>
      </c>
      <c r="E69" s="13">
        <v>1</v>
      </c>
    </row>
    <row r="70" spans="1:5" x14ac:dyDescent="0.3">
      <c r="A70" s="13" t="s">
        <v>1</v>
      </c>
      <c r="B70" s="13" t="s">
        <v>966</v>
      </c>
      <c r="C70" s="13">
        <v>1</v>
      </c>
      <c r="D70" s="13">
        <v>1</v>
      </c>
      <c r="E70" s="13">
        <v>1</v>
      </c>
    </row>
    <row r="71" spans="1:5" x14ac:dyDescent="0.3">
      <c r="A71" s="13" t="s">
        <v>1</v>
      </c>
      <c r="B71" s="13" t="s">
        <v>47</v>
      </c>
      <c r="C71" s="13">
        <v>2</v>
      </c>
      <c r="D71" s="13">
        <v>1</v>
      </c>
      <c r="E71" s="13">
        <v>2</v>
      </c>
    </row>
    <row r="72" spans="1:5" x14ac:dyDescent="0.3">
      <c r="A72" s="13" t="s">
        <v>1</v>
      </c>
      <c r="B72" s="13" t="s">
        <v>379</v>
      </c>
      <c r="C72" s="13">
        <v>1</v>
      </c>
      <c r="D72" s="13">
        <v>1</v>
      </c>
      <c r="E72" s="13">
        <v>1</v>
      </c>
    </row>
    <row r="73" spans="1:5" x14ac:dyDescent="0.3">
      <c r="A73" s="13" t="s">
        <v>1</v>
      </c>
      <c r="B73" s="13" t="s">
        <v>2008</v>
      </c>
      <c r="C73" s="13">
        <v>1</v>
      </c>
      <c r="D73" s="13">
        <v>1</v>
      </c>
      <c r="E73" s="13">
        <v>1</v>
      </c>
    </row>
    <row r="74" spans="1:5" x14ac:dyDescent="0.3">
      <c r="A74" s="13" t="s">
        <v>1</v>
      </c>
      <c r="B74" s="13" t="s">
        <v>590</v>
      </c>
      <c r="C74" s="13">
        <v>2</v>
      </c>
      <c r="D74" s="13">
        <v>1</v>
      </c>
      <c r="E74" s="13">
        <v>1</v>
      </c>
    </row>
    <row r="75" spans="1:5" x14ac:dyDescent="0.3">
      <c r="A75" s="13" t="s">
        <v>1</v>
      </c>
      <c r="B75" s="13" t="s">
        <v>1574</v>
      </c>
      <c r="C75" s="13">
        <v>1</v>
      </c>
      <c r="D75" s="13">
        <v>1</v>
      </c>
      <c r="E75" s="13">
        <v>1</v>
      </c>
    </row>
    <row r="76" spans="1:5" x14ac:dyDescent="0.3">
      <c r="A76" s="13" t="s">
        <v>1</v>
      </c>
      <c r="B76" s="13" t="s">
        <v>33</v>
      </c>
      <c r="C76" s="13">
        <v>1</v>
      </c>
      <c r="D76" s="13">
        <v>1</v>
      </c>
      <c r="E76" s="13">
        <v>1</v>
      </c>
    </row>
    <row r="77" spans="1:5" x14ac:dyDescent="0.3">
      <c r="A77" s="13" t="s">
        <v>1</v>
      </c>
      <c r="B77" s="13" t="s">
        <v>203</v>
      </c>
      <c r="C77" s="13">
        <v>1</v>
      </c>
      <c r="D77" s="13">
        <v>1</v>
      </c>
      <c r="E77" s="13">
        <v>1</v>
      </c>
    </row>
    <row r="78" spans="1:5" x14ac:dyDescent="0.3">
      <c r="A78" s="13" t="s">
        <v>1</v>
      </c>
      <c r="B78" s="13" t="s">
        <v>206</v>
      </c>
      <c r="C78" s="13">
        <v>1</v>
      </c>
      <c r="D78" s="13">
        <v>1</v>
      </c>
      <c r="E78" s="13">
        <v>1</v>
      </c>
    </row>
    <row r="79" spans="1:5" x14ac:dyDescent="0.3">
      <c r="A79" s="13" t="s">
        <v>1</v>
      </c>
      <c r="B79" s="13" t="s">
        <v>266</v>
      </c>
      <c r="C79" s="13">
        <v>1</v>
      </c>
      <c r="D79" s="13">
        <v>1</v>
      </c>
      <c r="E79" s="13">
        <v>1</v>
      </c>
    </row>
    <row r="80" spans="1:5" x14ac:dyDescent="0.3">
      <c r="A80" s="13" t="s">
        <v>1</v>
      </c>
      <c r="B80" s="13" t="s">
        <v>59</v>
      </c>
      <c r="C80" s="13">
        <v>1</v>
      </c>
      <c r="D80" s="13">
        <v>1</v>
      </c>
      <c r="E80" s="13">
        <v>1</v>
      </c>
    </row>
    <row r="81" spans="1:5" x14ac:dyDescent="0.3">
      <c r="A81" s="13" t="s">
        <v>1</v>
      </c>
      <c r="B81" s="13" t="s">
        <v>1208</v>
      </c>
      <c r="C81" s="13">
        <v>1</v>
      </c>
      <c r="D81" s="13">
        <v>1</v>
      </c>
      <c r="E81" s="13">
        <v>1</v>
      </c>
    </row>
    <row r="82" spans="1:5" x14ac:dyDescent="0.3">
      <c r="A82" s="13" t="s">
        <v>1</v>
      </c>
      <c r="B82" s="13" t="s">
        <v>211</v>
      </c>
      <c r="C82" s="13">
        <v>1</v>
      </c>
      <c r="D82" s="13">
        <v>1</v>
      </c>
      <c r="E82" s="13">
        <v>1</v>
      </c>
    </row>
    <row r="83" spans="1:5" x14ac:dyDescent="0.3">
      <c r="A83" s="13" t="s">
        <v>1</v>
      </c>
      <c r="B83" s="13" t="s">
        <v>1112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674</v>
      </c>
      <c r="C84" s="13">
        <v>1</v>
      </c>
      <c r="D84" s="13">
        <v>1</v>
      </c>
      <c r="E84" s="13">
        <v>1</v>
      </c>
    </row>
    <row r="85" spans="1:5" x14ac:dyDescent="0.3">
      <c r="A85" s="13" t="s">
        <v>1</v>
      </c>
      <c r="B85" s="13" t="s">
        <v>148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87</v>
      </c>
      <c r="C86" s="13">
        <v>1</v>
      </c>
      <c r="D86" s="13">
        <v>1</v>
      </c>
      <c r="E86" s="13">
        <v>3</v>
      </c>
    </row>
    <row r="87" spans="1:5" x14ac:dyDescent="0.3">
      <c r="A87" s="13" t="s">
        <v>1</v>
      </c>
      <c r="B87" s="13" t="s">
        <v>91</v>
      </c>
      <c r="C87" s="13">
        <v>1</v>
      </c>
      <c r="D87" s="13">
        <v>1</v>
      </c>
      <c r="E87" s="13">
        <v>1</v>
      </c>
    </row>
    <row r="88" spans="1:5" x14ac:dyDescent="0.3">
      <c r="A88" s="13" t="s">
        <v>1</v>
      </c>
      <c r="B88" s="13" t="s">
        <v>150</v>
      </c>
      <c r="C88" s="13">
        <v>1</v>
      </c>
      <c r="D88" s="13">
        <v>1</v>
      </c>
      <c r="E88" s="13">
        <v>1</v>
      </c>
    </row>
    <row r="89" spans="1:5" x14ac:dyDescent="0.3">
      <c r="A89" s="13" t="s">
        <v>1</v>
      </c>
      <c r="B89" s="13" t="s">
        <v>41</v>
      </c>
      <c r="C89" s="13">
        <v>2</v>
      </c>
      <c r="D89" s="13">
        <v>1</v>
      </c>
      <c r="E89" s="13">
        <v>2</v>
      </c>
    </row>
    <row r="90" spans="1:5" x14ac:dyDescent="0.3">
      <c r="A90" s="13" t="s">
        <v>1</v>
      </c>
      <c r="B90" s="13" t="s">
        <v>60</v>
      </c>
      <c r="C90" s="13">
        <v>1</v>
      </c>
      <c r="D90" s="13">
        <v>1</v>
      </c>
      <c r="E90" s="13">
        <v>1</v>
      </c>
    </row>
    <row r="91" spans="1:5" x14ac:dyDescent="0.3">
      <c r="A91" s="13" t="s">
        <v>1</v>
      </c>
      <c r="B91" s="13" t="s">
        <v>42</v>
      </c>
      <c r="C91" s="13">
        <v>3</v>
      </c>
      <c r="D91" s="13">
        <v>1</v>
      </c>
      <c r="E91" s="13">
        <v>3</v>
      </c>
    </row>
    <row r="92" spans="1:5" x14ac:dyDescent="0.3">
      <c r="A92" s="13" t="s">
        <v>1</v>
      </c>
      <c r="B92" s="13" t="s">
        <v>356</v>
      </c>
      <c r="C92" s="13">
        <v>1</v>
      </c>
      <c r="D92" s="13">
        <v>1</v>
      </c>
      <c r="E92" s="13">
        <v>1</v>
      </c>
    </row>
    <row r="93" spans="1:5" x14ac:dyDescent="0.3">
      <c r="A93" s="13" t="s">
        <v>1</v>
      </c>
      <c r="B93" s="13" t="s">
        <v>93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1485</v>
      </c>
      <c r="C94" s="13">
        <v>1</v>
      </c>
      <c r="D94" s="13">
        <v>1</v>
      </c>
      <c r="E94" s="13">
        <v>1</v>
      </c>
    </row>
    <row r="95" spans="1:5" x14ac:dyDescent="0.3">
      <c r="A95" s="13" t="s">
        <v>1</v>
      </c>
      <c r="B95" s="13" t="s">
        <v>1645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1674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1882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1960</v>
      </c>
      <c r="C98" s="13">
        <v>1</v>
      </c>
      <c r="D98" s="13">
        <v>1</v>
      </c>
      <c r="E98" s="13">
        <v>1</v>
      </c>
    </row>
    <row r="99" spans="1:5" x14ac:dyDescent="0.3">
      <c r="A99" s="13" t="s">
        <v>1</v>
      </c>
      <c r="B99" s="13" t="s">
        <v>819</v>
      </c>
      <c r="C99" s="13">
        <v>1</v>
      </c>
      <c r="D99" s="13">
        <v>1</v>
      </c>
      <c r="E99" s="13">
        <v>2</v>
      </c>
    </row>
    <row r="100" spans="1:5" x14ac:dyDescent="0.3">
      <c r="A100" s="13" t="s">
        <v>1</v>
      </c>
      <c r="B100" s="13" t="s">
        <v>1508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388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559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49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932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476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889</v>
      </c>
      <c r="C106" s="13">
        <v>2</v>
      </c>
      <c r="D106" s="13">
        <v>1</v>
      </c>
      <c r="E106" s="13">
        <v>2</v>
      </c>
    </row>
    <row r="107" spans="1:5" x14ac:dyDescent="0.3">
      <c r="A107" s="13" t="s">
        <v>1</v>
      </c>
      <c r="B107" s="13" t="s">
        <v>258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159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1457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28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564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101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341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161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105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429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108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111</v>
      </c>
      <c r="C118" s="13">
        <v>2</v>
      </c>
      <c r="D118" s="13">
        <v>1</v>
      </c>
      <c r="E118" s="13">
        <v>2</v>
      </c>
    </row>
    <row r="119" spans="1:5" x14ac:dyDescent="0.3">
      <c r="A119" s="13" t="s">
        <v>1</v>
      </c>
      <c r="B119" s="13" t="s">
        <v>1411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1397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660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1355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451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317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223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1604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45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319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896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696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326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626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402</v>
      </c>
      <c r="C133" s="13">
        <v>1</v>
      </c>
      <c r="D133" s="13">
        <v>1</v>
      </c>
      <c r="E133" s="13">
        <v>2</v>
      </c>
    </row>
    <row r="134" spans="1:5" x14ac:dyDescent="0.3">
      <c r="A134" s="13" t="s">
        <v>1</v>
      </c>
      <c r="B134" s="13" t="s">
        <v>114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648</v>
      </c>
      <c r="C135" s="13">
        <v>1</v>
      </c>
      <c r="D135" s="13">
        <v>1</v>
      </c>
      <c r="E135" s="13">
        <v>2</v>
      </c>
    </row>
    <row r="136" spans="1:5" x14ac:dyDescent="0.3">
      <c r="A136" s="13" t="s">
        <v>1</v>
      </c>
      <c r="B136" s="13" t="s">
        <v>1038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331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196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631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661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2613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1765</v>
      </c>
      <c r="C142" s="13">
        <v>1</v>
      </c>
      <c r="D142" s="13">
        <v>1</v>
      </c>
      <c r="E142" s="13">
        <v>2</v>
      </c>
    </row>
    <row r="143" spans="1:5" x14ac:dyDescent="0.3">
      <c r="A143" s="13" t="s">
        <v>1</v>
      </c>
      <c r="B143" s="13" t="s">
        <v>335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2614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408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1120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409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842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668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904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2502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906</v>
      </c>
      <c r="C152" s="13">
        <v>1</v>
      </c>
      <c r="D152" s="13">
        <v>1</v>
      </c>
      <c r="E152" s="13">
        <v>2</v>
      </c>
    </row>
    <row r="153" spans="1:5" x14ac:dyDescent="0.3">
      <c r="A153" s="13" t="s">
        <v>1</v>
      </c>
      <c r="B153" s="13" t="s">
        <v>2231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458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635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52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780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1046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715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253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1218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64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540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541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802</v>
      </c>
      <c r="C165" s="13">
        <v>1</v>
      </c>
      <c r="D165" s="13">
        <v>1</v>
      </c>
      <c r="E165" s="13">
        <v>2</v>
      </c>
    </row>
    <row r="166" spans="1:5" x14ac:dyDescent="0.3">
      <c r="A166" s="13" t="s">
        <v>1</v>
      </c>
      <c r="B166" s="13" t="s">
        <v>1348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191</v>
      </c>
      <c r="C167" s="13">
        <v>2</v>
      </c>
      <c r="D167" s="13">
        <v>1</v>
      </c>
      <c r="E167" s="13">
        <v>2</v>
      </c>
    </row>
    <row r="168" spans="1:5" x14ac:dyDescent="0.3">
      <c r="A168" s="13" t="s">
        <v>1</v>
      </c>
      <c r="B168" s="13" t="s">
        <v>55</v>
      </c>
      <c r="C168" s="13">
        <v>2</v>
      </c>
      <c r="D168" s="13">
        <v>1</v>
      </c>
      <c r="E168" s="13">
        <v>2</v>
      </c>
    </row>
    <row r="169" spans="1:5" x14ac:dyDescent="0.3">
      <c r="A169" s="13" t="s">
        <v>1</v>
      </c>
      <c r="B169" s="13" t="s">
        <v>56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442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1589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259</v>
      </c>
      <c r="C172" s="13">
        <v>2</v>
      </c>
      <c r="D172" s="13">
        <v>1</v>
      </c>
      <c r="E172" s="13">
        <v>2</v>
      </c>
    </row>
    <row r="173" spans="1:5" x14ac:dyDescent="0.3">
      <c r="A173" s="13" t="s">
        <v>1</v>
      </c>
      <c r="B173" s="13" t="s">
        <v>641</v>
      </c>
      <c r="C173" s="13">
        <v>1</v>
      </c>
      <c r="D173" s="13">
        <v>1</v>
      </c>
      <c r="E173" s="13"/>
    </row>
    <row r="174" spans="1:5" x14ac:dyDescent="0.3">
      <c r="A174" s="13" t="s">
        <v>1</v>
      </c>
      <c r="B174" s="13" t="s">
        <v>2615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2122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1656</v>
      </c>
      <c r="C176" s="13">
        <v>1</v>
      </c>
      <c r="D176" s="13">
        <v>1</v>
      </c>
      <c r="E176" s="13"/>
    </row>
    <row r="177" spans="1:5" x14ac:dyDescent="0.3">
      <c r="A177" s="13" t="s">
        <v>1</v>
      </c>
      <c r="B177" s="13" t="s">
        <v>2052</v>
      </c>
      <c r="C177" s="13">
        <v>1</v>
      </c>
      <c r="D177" s="13">
        <v>1</v>
      </c>
      <c r="E177" s="13"/>
    </row>
    <row r="178" spans="1:5" x14ac:dyDescent="0.3">
      <c r="A178" s="13" t="s">
        <v>1</v>
      </c>
      <c r="B178" s="13" t="s">
        <v>1320</v>
      </c>
      <c r="C178" s="13">
        <v>1</v>
      </c>
      <c r="D178" s="13">
        <v>1</v>
      </c>
      <c r="E178" s="13"/>
    </row>
    <row r="179" spans="1:5" x14ac:dyDescent="0.3">
      <c r="A179" s="13" t="s">
        <v>0</v>
      </c>
      <c r="B179" s="13" t="s">
        <v>261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0</v>
      </c>
      <c r="B180" s="13" t="s">
        <v>851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0</v>
      </c>
      <c r="B181" s="13" t="s">
        <v>1296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0</v>
      </c>
      <c r="B182" s="13" t="s">
        <v>57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0</v>
      </c>
      <c r="B183" s="13" t="s">
        <v>76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0</v>
      </c>
      <c r="B184" s="13" t="s">
        <v>243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0</v>
      </c>
      <c r="B185" s="13" t="s">
        <v>34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0</v>
      </c>
      <c r="B186" s="13" t="s">
        <v>1479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0</v>
      </c>
      <c r="B187" s="13" t="s">
        <v>40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260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0</v>
      </c>
      <c r="B189" s="13" t="s">
        <v>1180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0</v>
      </c>
      <c r="B190" s="13" t="s">
        <v>81</v>
      </c>
      <c r="C190" s="13">
        <v>2</v>
      </c>
      <c r="D190" s="13">
        <v>1</v>
      </c>
      <c r="E190" s="13">
        <v>3</v>
      </c>
    </row>
    <row r="191" spans="1:5" x14ac:dyDescent="0.3">
      <c r="A191" s="13" t="s">
        <v>0</v>
      </c>
      <c r="B191" s="13" t="s">
        <v>599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0</v>
      </c>
      <c r="B192" s="13" t="s">
        <v>464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0</v>
      </c>
      <c r="B193" s="13" t="s">
        <v>87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0</v>
      </c>
      <c r="B194" s="13" t="s">
        <v>423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0</v>
      </c>
      <c r="B195" s="13" t="s">
        <v>245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0</v>
      </c>
      <c r="B196" s="13" t="s">
        <v>151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41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152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153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1067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1471</v>
      </c>
      <c r="C201" s="13">
        <v>1</v>
      </c>
      <c r="D201" s="13">
        <v>1</v>
      </c>
      <c r="E201" s="13">
        <v>2</v>
      </c>
    </row>
    <row r="202" spans="1:5" x14ac:dyDescent="0.3">
      <c r="A202" s="13" t="s">
        <v>0</v>
      </c>
      <c r="B202" s="13" t="s">
        <v>1484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1505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1553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1645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1655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1664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1926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1881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2179</v>
      </c>
      <c r="C210" s="13">
        <v>2</v>
      </c>
      <c r="D210" s="13">
        <v>1</v>
      </c>
      <c r="E210" s="13">
        <v>2</v>
      </c>
    </row>
    <row r="211" spans="1:5" x14ac:dyDescent="0.3">
      <c r="A211" s="13" t="s">
        <v>0</v>
      </c>
      <c r="B211" s="13" t="s">
        <v>2408</v>
      </c>
      <c r="C211" s="13">
        <v>2</v>
      </c>
      <c r="D211" s="13">
        <v>1</v>
      </c>
      <c r="E211" s="13">
        <v>2</v>
      </c>
    </row>
    <row r="212" spans="1:5" x14ac:dyDescent="0.3">
      <c r="A212" s="13" t="s">
        <v>0</v>
      </c>
      <c r="B212" s="13" t="s">
        <v>559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507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35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476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1436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0</v>
      </c>
      <c r="B217" s="13" t="s">
        <v>258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731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159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860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1255</v>
      </c>
      <c r="C221" s="13">
        <v>2</v>
      </c>
      <c r="D221" s="13">
        <v>1</v>
      </c>
      <c r="E221" s="13">
        <v>2</v>
      </c>
    </row>
    <row r="222" spans="1:5" x14ac:dyDescent="0.3">
      <c r="A222" s="13" t="s">
        <v>0</v>
      </c>
      <c r="B222" s="13" t="s">
        <v>105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163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1186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0</v>
      </c>
      <c r="B225" s="13" t="s">
        <v>1388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0</v>
      </c>
      <c r="B226" s="13" t="s">
        <v>111</v>
      </c>
      <c r="C226" s="13">
        <v>2</v>
      </c>
      <c r="D226" s="13">
        <v>1</v>
      </c>
      <c r="E226" s="13">
        <v>2</v>
      </c>
    </row>
    <row r="227" spans="1:5" x14ac:dyDescent="0.3">
      <c r="A227" s="13" t="s">
        <v>0</v>
      </c>
      <c r="B227" s="13" t="s">
        <v>2616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0</v>
      </c>
      <c r="B228" s="13" t="s">
        <v>513</v>
      </c>
      <c r="C228" s="13">
        <v>1</v>
      </c>
      <c r="D228" s="13">
        <v>1</v>
      </c>
      <c r="E228" s="13">
        <v>2</v>
      </c>
    </row>
    <row r="229" spans="1:5" x14ac:dyDescent="0.3">
      <c r="A229" s="13" t="s">
        <v>0</v>
      </c>
      <c r="B229" s="13" t="s">
        <v>1355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0</v>
      </c>
      <c r="B230" s="13" t="s">
        <v>430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0</v>
      </c>
      <c r="B231" s="13" t="s">
        <v>317</v>
      </c>
      <c r="C231" s="13">
        <v>1</v>
      </c>
      <c r="D231" s="13">
        <v>1</v>
      </c>
      <c r="E231" s="13">
        <v>2</v>
      </c>
    </row>
    <row r="232" spans="1:5" x14ac:dyDescent="0.3">
      <c r="A232" s="13" t="s">
        <v>0</v>
      </c>
      <c r="B232" s="13" t="s">
        <v>113</v>
      </c>
      <c r="C232" s="13">
        <v>2</v>
      </c>
      <c r="D232" s="13">
        <v>1</v>
      </c>
      <c r="E232" s="13">
        <v>2</v>
      </c>
    </row>
    <row r="233" spans="1:5" x14ac:dyDescent="0.3">
      <c r="A233" s="13" t="s">
        <v>0</v>
      </c>
      <c r="B233" s="13" t="s">
        <v>320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0</v>
      </c>
      <c r="B234" s="13" t="s">
        <v>374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0</v>
      </c>
      <c r="B235" s="13" t="s">
        <v>737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0</v>
      </c>
      <c r="B236" s="13" t="s">
        <v>431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0</v>
      </c>
      <c r="B237" s="13" t="s">
        <v>523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0</v>
      </c>
      <c r="B238" s="13" t="s">
        <v>1099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0</v>
      </c>
      <c r="B239" s="13" t="s">
        <v>627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0</v>
      </c>
      <c r="B240" s="13" t="s">
        <v>115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0</v>
      </c>
      <c r="B241" s="13" t="s">
        <v>2617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0</v>
      </c>
      <c r="B242" s="13" t="s">
        <v>433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0</v>
      </c>
      <c r="B243" s="13" t="s">
        <v>1039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0</v>
      </c>
      <c r="B244" s="13" t="s">
        <v>1203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0</v>
      </c>
      <c r="B245" s="13" t="s">
        <v>1400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0</v>
      </c>
      <c r="B246" s="13" t="s">
        <v>1109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0</v>
      </c>
      <c r="B247" s="13" t="s">
        <v>196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0</v>
      </c>
      <c r="B248" s="13" t="s">
        <v>123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0</v>
      </c>
      <c r="B249" s="13" t="s">
        <v>1643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0</v>
      </c>
      <c r="B250" s="13" t="s">
        <v>976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0</v>
      </c>
      <c r="B251" s="13" t="s">
        <v>866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0</v>
      </c>
      <c r="B252" s="13" t="s">
        <v>126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0</v>
      </c>
      <c r="B253" s="13" t="s">
        <v>438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0</v>
      </c>
      <c r="B254" s="13" t="s">
        <v>38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0</v>
      </c>
      <c r="B255" s="13" t="s">
        <v>483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0</v>
      </c>
      <c r="B256" s="13" t="s">
        <v>64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0</v>
      </c>
      <c r="B257" s="13" t="s">
        <v>540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0</v>
      </c>
      <c r="B258" s="13" t="s">
        <v>716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0</v>
      </c>
      <c r="B259" s="13" t="s">
        <v>1049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0</v>
      </c>
      <c r="B260" s="13" t="s">
        <v>1426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0</v>
      </c>
      <c r="B261" s="13" t="s">
        <v>190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0</v>
      </c>
      <c r="B262" s="13" t="s">
        <v>191</v>
      </c>
      <c r="C262" s="13">
        <v>2</v>
      </c>
      <c r="D262" s="13">
        <v>1</v>
      </c>
      <c r="E262" s="13">
        <v>3</v>
      </c>
    </row>
    <row r="263" spans="1:5" x14ac:dyDescent="0.3">
      <c r="A263" s="13" t="s">
        <v>0</v>
      </c>
      <c r="B263" s="13" t="s">
        <v>1605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0</v>
      </c>
      <c r="B264" s="13" t="s">
        <v>1563</v>
      </c>
      <c r="C264" s="13">
        <v>1</v>
      </c>
      <c r="D264" s="13">
        <v>2</v>
      </c>
      <c r="E264" s="13"/>
    </row>
    <row r="265" spans="1:5" x14ac:dyDescent="0.3">
      <c r="A265" s="13" t="s">
        <v>0</v>
      </c>
      <c r="B265" s="13" t="s">
        <v>259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0</v>
      </c>
      <c r="B266" s="13" t="s">
        <v>2618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0</v>
      </c>
      <c r="B267" s="13" t="s">
        <v>1656</v>
      </c>
      <c r="C267" s="13">
        <v>1</v>
      </c>
      <c r="D267" s="13">
        <v>1</v>
      </c>
      <c r="E267" s="13"/>
    </row>
    <row r="268" spans="1:5" x14ac:dyDescent="0.3">
      <c r="A268" s="13" t="s">
        <v>2</v>
      </c>
      <c r="B268" s="13" t="s">
        <v>347</v>
      </c>
      <c r="C268" s="13">
        <v>1</v>
      </c>
      <c r="D268" s="13">
        <v>1</v>
      </c>
      <c r="E268" s="13">
        <v>2</v>
      </c>
    </row>
    <row r="269" spans="1:5" x14ac:dyDescent="0.3">
      <c r="A269" s="13" t="s">
        <v>2</v>
      </c>
      <c r="B269" s="13" t="s">
        <v>34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2</v>
      </c>
      <c r="B270" s="13" t="s">
        <v>147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2</v>
      </c>
      <c r="B271" s="13" t="s">
        <v>1881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2</v>
      </c>
      <c r="B272" s="13" t="s">
        <v>111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2</v>
      </c>
      <c r="B273" s="13" t="s">
        <v>279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2</v>
      </c>
      <c r="B274" s="13" t="s">
        <v>579</v>
      </c>
      <c r="C274" s="13">
        <v>1</v>
      </c>
      <c r="D274" s="13">
        <v>1</v>
      </c>
      <c r="E274" s="13">
        <v>2</v>
      </c>
    </row>
    <row r="275" spans="1:5" x14ac:dyDescent="0.3">
      <c r="A275" s="13" t="s">
        <v>2</v>
      </c>
      <c r="B275" s="13" t="s">
        <v>374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2</v>
      </c>
      <c r="B276" s="13" t="s">
        <v>120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2</v>
      </c>
      <c r="B277" s="13" t="s">
        <v>2502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198</v>
      </c>
      <c r="C278" s="13">
        <v>1</v>
      </c>
      <c r="D278" s="13">
        <v>0</v>
      </c>
      <c r="E278" s="13">
        <v>1</v>
      </c>
    </row>
    <row r="279" spans="1:5" x14ac:dyDescent="0.3">
      <c r="A279" s="13" t="s">
        <v>1</v>
      </c>
      <c r="B279" s="13" t="s">
        <v>345</v>
      </c>
      <c r="C279" s="13">
        <v>1</v>
      </c>
      <c r="D279" s="13">
        <v>0</v>
      </c>
      <c r="E279" s="13">
        <v>1</v>
      </c>
    </row>
    <row r="280" spans="1:5" x14ac:dyDescent="0.3">
      <c r="A280" s="13" t="s">
        <v>1</v>
      </c>
      <c r="B280" s="13" t="s">
        <v>347</v>
      </c>
      <c r="C280" s="13">
        <v>1</v>
      </c>
      <c r="D280" s="13">
        <v>0</v>
      </c>
      <c r="E280" s="13">
        <v>1</v>
      </c>
    </row>
    <row r="281" spans="1:5" x14ac:dyDescent="0.3">
      <c r="A281" s="13" t="s">
        <v>1</v>
      </c>
      <c r="B281" s="13" t="s">
        <v>81</v>
      </c>
      <c r="C281" s="13">
        <v>1</v>
      </c>
      <c r="D281" s="13">
        <v>0</v>
      </c>
      <c r="E281" s="13">
        <v>2</v>
      </c>
    </row>
    <row r="282" spans="1:5" x14ac:dyDescent="0.3">
      <c r="A282" s="13" t="s">
        <v>1</v>
      </c>
      <c r="B282" s="13" t="s">
        <v>304</v>
      </c>
      <c r="C282" s="13">
        <v>1</v>
      </c>
      <c r="D282" s="13">
        <v>0</v>
      </c>
      <c r="E282" s="13">
        <v>2</v>
      </c>
    </row>
    <row r="283" spans="1:5" x14ac:dyDescent="0.3">
      <c r="A283" s="13" t="s">
        <v>1</v>
      </c>
      <c r="B283" s="13" t="s">
        <v>350</v>
      </c>
      <c r="C283" s="13">
        <v>1</v>
      </c>
      <c r="D283" s="13">
        <v>0</v>
      </c>
      <c r="E283" s="13">
        <v>1</v>
      </c>
    </row>
    <row r="284" spans="1:5" x14ac:dyDescent="0.3">
      <c r="A284" s="13" t="s">
        <v>1</v>
      </c>
      <c r="B284" s="13" t="s">
        <v>86</v>
      </c>
      <c r="C284" s="13">
        <v>1</v>
      </c>
      <c r="D284" s="13">
        <v>0</v>
      </c>
      <c r="E284" s="13">
        <v>2</v>
      </c>
    </row>
    <row r="285" spans="1:5" x14ac:dyDescent="0.3">
      <c r="A285" s="13" t="s">
        <v>1</v>
      </c>
      <c r="B285" s="13" t="s">
        <v>1531</v>
      </c>
      <c r="C285" s="13">
        <v>1</v>
      </c>
      <c r="D285" s="13">
        <v>0</v>
      </c>
      <c r="E285" s="13">
        <v>1</v>
      </c>
    </row>
    <row r="286" spans="1:5" x14ac:dyDescent="0.3">
      <c r="A286" s="13" t="s">
        <v>1</v>
      </c>
      <c r="B286" s="13" t="s">
        <v>1978</v>
      </c>
      <c r="C286" s="13">
        <v>1</v>
      </c>
      <c r="D286" s="13">
        <v>0</v>
      </c>
      <c r="E286" s="13">
        <v>1</v>
      </c>
    </row>
    <row r="287" spans="1:5" x14ac:dyDescent="0.3">
      <c r="A287" s="13" t="s">
        <v>1</v>
      </c>
      <c r="B287" s="13" t="s">
        <v>214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1</v>
      </c>
      <c r="B288" s="13" t="s">
        <v>272</v>
      </c>
      <c r="C288" s="13">
        <v>2</v>
      </c>
      <c r="D288" s="13">
        <v>0</v>
      </c>
      <c r="E288" s="13">
        <v>2</v>
      </c>
    </row>
    <row r="289" spans="1:5" x14ac:dyDescent="0.3">
      <c r="A289" s="13" t="s">
        <v>1</v>
      </c>
      <c r="B289" s="13" t="s">
        <v>993</v>
      </c>
      <c r="C289" s="13">
        <v>1</v>
      </c>
      <c r="D289" s="13">
        <v>0</v>
      </c>
      <c r="E289" s="13">
        <v>1</v>
      </c>
    </row>
    <row r="290" spans="1:5" x14ac:dyDescent="0.3">
      <c r="A290" s="13" t="s">
        <v>1</v>
      </c>
      <c r="B290" s="13" t="s">
        <v>2619</v>
      </c>
      <c r="C290" s="13">
        <v>1</v>
      </c>
      <c r="D290" s="13">
        <v>0</v>
      </c>
      <c r="E290" s="13">
        <v>1</v>
      </c>
    </row>
    <row r="291" spans="1:5" x14ac:dyDescent="0.3">
      <c r="A291" s="13" t="s">
        <v>1</v>
      </c>
      <c r="B291" s="13" t="s">
        <v>94</v>
      </c>
      <c r="C291" s="13">
        <v>1</v>
      </c>
      <c r="D291" s="13">
        <v>0</v>
      </c>
      <c r="E291" s="13">
        <v>1</v>
      </c>
    </row>
    <row r="292" spans="1:5" x14ac:dyDescent="0.3">
      <c r="A292" s="13" t="s">
        <v>1</v>
      </c>
      <c r="B292" s="13" t="s">
        <v>888</v>
      </c>
      <c r="C292" s="13">
        <v>1</v>
      </c>
      <c r="D292" s="13">
        <v>0</v>
      </c>
      <c r="E292" s="13">
        <v>1</v>
      </c>
    </row>
    <row r="293" spans="1:5" x14ac:dyDescent="0.3">
      <c r="A293" s="13" t="s">
        <v>1</v>
      </c>
      <c r="B293" s="13" t="s">
        <v>1570</v>
      </c>
      <c r="C293" s="13">
        <v>1</v>
      </c>
      <c r="D293" s="13">
        <v>0</v>
      </c>
      <c r="E293" s="13">
        <v>1</v>
      </c>
    </row>
    <row r="294" spans="1:5" x14ac:dyDescent="0.3">
      <c r="A294" s="13" t="s">
        <v>1</v>
      </c>
      <c r="B294" s="13" t="s">
        <v>1651</v>
      </c>
      <c r="C294" s="13">
        <v>1</v>
      </c>
      <c r="D294" s="13">
        <v>0</v>
      </c>
      <c r="E294" s="13">
        <v>1</v>
      </c>
    </row>
    <row r="295" spans="1:5" x14ac:dyDescent="0.3">
      <c r="A295" s="13" t="s">
        <v>1</v>
      </c>
      <c r="B295" s="13" t="s">
        <v>1740</v>
      </c>
      <c r="C295" s="13">
        <v>1</v>
      </c>
      <c r="D295" s="13">
        <v>0</v>
      </c>
      <c r="E295" s="13">
        <v>1</v>
      </c>
    </row>
    <row r="296" spans="1:5" x14ac:dyDescent="0.3">
      <c r="A296" s="13" t="s">
        <v>1</v>
      </c>
      <c r="B296" s="13" t="s">
        <v>1761</v>
      </c>
      <c r="C296" s="13">
        <v>1</v>
      </c>
      <c r="D296" s="13">
        <v>0</v>
      </c>
      <c r="E296" s="13">
        <v>1</v>
      </c>
    </row>
    <row r="297" spans="1:5" x14ac:dyDescent="0.3">
      <c r="A297" s="13" t="s">
        <v>1</v>
      </c>
      <c r="B297" s="13" t="s">
        <v>1854</v>
      </c>
      <c r="C297" s="13">
        <v>1</v>
      </c>
      <c r="D297" s="13">
        <v>0</v>
      </c>
      <c r="E297" s="13">
        <v>1</v>
      </c>
    </row>
    <row r="298" spans="1:5" x14ac:dyDescent="0.3">
      <c r="A298" s="13" t="s">
        <v>1</v>
      </c>
      <c r="B298" s="13" t="s">
        <v>2104</v>
      </c>
      <c r="C298" s="13">
        <v>1</v>
      </c>
      <c r="D298" s="13">
        <v>0</v>
      </c>
      <c r="E298" s="13">
        <v>1</v>
      </c>
    </row>
    <row r="299" spans="1:5" x14ac:dyDescent="0.3">
      <c r="A299" s="13" t="s">
        <v>1</v>
      </c>
      <c r="B299" s="13" t="s">
        <v>1887</v>
      </c>
      <c r="C299" s="13">
        <v>1</v>
      </c>
      <c r="D299" s="13">
        <v>0</v>
      </c>
      <c r="E299" s="13">
        <v>1</v>
      </c>
    </row>
    <row r="300" spans="1:5" x14ac:dyDescent="0.3">
      <c r="A300" s="13" t="s">
        <v>1</v>
      </c>
      <c r="B300" s="13" t="s">
        <v>1918</v>
      </c>
      <c r="C300" s="13">
        <v>1</v>
      </c>
      <c r="D300" s="13">
        <v>0</v>
      </c>
      <c r="E300" s="13">
        <v>1</v>
      </c>
    </row>
    <row r="301" spans="1:5" x14ac:dyDescent="0.3">
      <c r="A301" s="13" t="s">
        <v>1</v>
      </c>
      <c r="B301" s="13" t="s">
        <v>1906</v>
      </c>
      <c r="C301" s="13">
        <v>1</v>
      </c>
      <c r="D301" s="13">
        <v>0</v>
      </c>
      <c r="E301" s="13">
        <v>1</v>
      </c>
    </row>
    <row r="302" spans="1:5" x14ac:dyDescent="0.3">
      <c r="A302" s="13" t="s">
        <v>1</v>
      </c>
      <c r="B302" s="13" t="s">
        <v>1900</v>
      </c>
      <c r="C302" s="13">
        <v>1</v>
      </c>
      <c r="D302" s="13">
        <v>0</v>
      </c>
      <c r="E302" s="13">
        <v>1</v>
      </c>
    </row>
    <row r="303" spans="1:5" x14ac:dyDescent="0.3">
      <c r="A303" s="13" t="s">
        <v>1</v>
      </c>
      <c r="B303" s="13" t="s">
        <v>1988</v>
      </c>
      <c r="C303" s="13">
        <v>2</v>
      </c>
      <c r="D303" s="13">
        <v>0</v>
      </c>
      <c r="E303" s="13">
        <v>4</v>
      </c>
    </row>
    <row r="304" spans="1:5" x14ac:dyDescent="0.3">
      <c r="A304" s="13" t="s">
        <v>1</v>
      </c>
      <c r="B304" s="13" t="s">
        <v>1969</v>
      </c>
      <c r="C304" s="13">
        <v>3</v>
      </c>
      <c r="D304" s="13">
        <v>0</v>
      </c>
      <c r="E304" s="13">
        <v>2</v>
      </c>
    </row>
    <row r="305" spans="1:5" x14ac:dyDescent="0.3">
      <c r="A305" s="13" t="s">
        <v>1</v>
      </c>
      <c r="B305" s="13" t="s">
        <v>1989</v>
      </c>
      <c r="C305" s="13">
        <v>1</v>
      </c>
      <c r="D305" s="13">
        <v>0</v>
      </c>
      <c r="E305" s="13">
        <v>1</v>
      </c>
    </row>
    <row r="306" spans="1:5" x14ac:dyDescent="0.3">
      <c r="A306" s="13" t="s">
        <v>1</v>
      </c>
      <c r="B306" s="13" t="s">
        <v>2061</v>
      </c>
      <c r="C306" s="13">
        <v>1</v>
      </c>
      <c r="D306" s="13">
        <v>0</v>
      </c>
      <c r="E306" s="13">
        <v>1</v>
      </c>
    </row>
    <row r="307" spans="1:5" x14ac:dyDescent="0.3">
      <c r="A307" s="13" t="s">
        <v>1</v>
      </c>
      <c r="B307" s="13" t="s">
        <v>2156</v>
      </c>
      <c r="C307" s="13">
        <v>1</v>
      </c>
      <c r="D307" s="13">
        <v>0</v>
      </c>
      <c r="E307" s="13">
        <v>1</v>
      </c>
    </row>
    <row r="308" spans="1:5" x14ac:dyDescent="0.3">
      <c r="A308" s="13" t="s">
        <v>1</v>
      </c>
      <c r="B308" s="13" t="s">
        <v>2229</v>
      </c>
      <c r="C308" s="13">
        <v>1</v>
      </c>
      <c r="D308" s="13">
        <v>0</v>
      </c>
      <c r="E308" s="13">
        <v>1</v>
      </c>
    </row>
    <row r="309" spans="1:5" x14ac:dyDescent="0.3">
      <c r="A309" s="13" t="s">
        <v>1</v>
      </c>
      <c r="B309" s="13" t="s">
        <v>2339</v>
      </c>
      <c r="C309" s="13">
        <v>4</v>
      </c>
      <c r="D309" s="13">
        <v>0</v>
      </c>
      <c r="E309" s="13">
        <v>3</v>
      </c>
    </row>
    <row r="310" spans="1:5" x14ac:dyDescent="0.3">
      <c r="A310" s="13" t="s">
        <v>1</v>
      </c>
      <c r="B310" s="13" t="s">
        <v>2408</v>
      </c>
      <c r="C310" s="13">
        <v>2</v>
      </c>
      <c r="D310" s="13">
        <v>0</v>
      </c>
      <c r="E310" s="13">
        <v>5</v>
      </c>
    </row>
    <row r="311" spans="1:5" x14ac:dyDescent="0.3">
      <c r="A311" s="13" t="s">
        <v>1</v>
      </c>
      <c r="B311" s="13" t="s">
        <v>2425</v>
      </c>
      <c r="C311" s="13">
        <v>1</v>
      </c>
      <c r="D311" s="13">
        <v>0</v>
      </c>
      <c r="E311" s="13">
        <v>1</v>
      </c>
    </row>
    <row r="312" spans="1:5" x14ac:dyDescent="0.3">
      <c r="A312" s="13" t="s">
        <v>1</v>
      </c>
      <c r="B312" s="13" t="s">
        <v>390</v>
      </c>
      <c r="C312" s="13">
        <v>1</v>
      </c>
      <c r="D312" s="13">
        <v>0</v>
      </c>
      <c r="E312" s="13">
        <v>1</v>
      </c>
    </row>
    <row r="313" spans="1:5" x14ac:dyDescent="0.3">
      <c r="A313" s="13" t="s">
        <v>1</v>
      </c>
      <c r="B313" s="13" t="s">
        <v>1683</v>
      </c>
      <c r="C313" s="13">
        <v>1</v>
      </c>
      <c r="D313" s="13">
        <v>0</v>
      </c>
      <c r="E313" s="13">
        <v>1</v>
      </c>
    </row>
    <row r="314" spans="1:5" x14ac:dyDescent="0.3">
      <c r="A314" s="13" t="s">
        <v>1</v>
      </c>
      <c r="B314" s="13" t="s">
        <v>99</v>
      </c>
      <c r="C314" s="13">
        <v>1</v>
      </c>
      <c r="D314" s="13">
        <v>0</v>
      </c>
      <c r="E314" s="13">
        <v>1</v>
      </c>
    </row>
    <row r="315" spans="1:5" x14ac:dyDescent="0.3">
      <c r="A315" s="13" t="s">
        <v>1</v>
      </c>
      <c r="B315" s="13" t="s">
        <v>795</v>
      </c>
      <c r="C315" s="13">
        <v>1</v>
      </c>
      <c r="D315" s="13">
        <v>0</v>
      </c>
      <c r="E315" s="13">
        <v>1</v>
      </c>
    </row>
    <row r="316" spans="1:5" x14ac:dyDescent="0.3">
      <c r="A316" s="13" t="s">
        <v>1</v>
      </c>
      <c r="B316" s="13" t="s">
        <v>1054</v>
      </c>
      <c r="C316" s="13">
        <v>1</v>
      </c>
      <c r="D316" s="13">
        <v>0</v>
      </c>
      <c r="E316" s="13">
        <v>1</v>
      </c>
    </row>
    <row r="317" spans="1:5" x14ac:dyDescent="0.3">
      <c r="A317" s="13" t="s">
        <v>1</v>
      </c>
      <c r="B317" s="13" t="s">
        <v>249</v>
      </c>
      <c r="C317" s="13">
        <v>1</v>
      </c>
      <c r="D317" s="13">
        <v>0</v>
      </c>
      <c r="E317" s="13">
        <v>1</v>
      </c>
    </row>
    <row r="318" spans="1:5" x14ac:dyDescent="0.3">
      <c r="A318" s="13" t="s">
        <v>1</v>
      </c>
      <c r="B318" s="13" t="s">
        <v>109</v>
      </c>
      <c r="C318" s="13">
        <v>1</v>
      </c>
      <c r="D318" s="13">
        <v>0</v>
      </c>
      <c r="E318" s="13">
        <v>1</v>
      </c>
    </row>
    <row r="319" spans="1:5" x14ac:dyDescent="0.3">
      <c r="A319" s="13" t="s">
        <v>1</v>
      </c>
      <c r="B319" s="13" t="s">
        <v>1410</v>
      </c>
      <c r="C319" s="13">
        <v>1</v>
      </c>
      <c r="D319" s="13">
        <v>0</v>
      </c>
      <c r="E319" s="13">
        <v>1</v>
      </c>
    </row>
    <row r="320" spans="1:5" x14ac:dyDescent="0.3">
      <c r="A320" s="13" t="s">
        <v>1</v>
      </c>
      <c r="B320" s="13" t="s">
        <v>325</v>
      </c>
      <c r="C320" s="13">
        <v>1</v>
      </c>
      <c r="D320" s="13">
        <v>0</v>
      </c>
      <c r="E320" s="13">
        <v>1</v>
      </c>
    </row>
    <row r="321" spans="1:5" x14ac:dyDescent="0.3">
      <c r="A321" s="13" t="s">
        <v>1</v>
      </c>
      <c r="B321" s="13" t="s">
        <v>2620</v>
      </c>
      <c r="C321" s="13">
        <v>1</v>
      </c>
      <c r="D321" s="13">
        <v>0</v>
      </c>
      <c r="E321" s="13">
        <v>1</v>
      </c>
    </row>
    <row r="322" spans="1:5" x14ac:dyDescent="0.3">
      <c r="A322" s="13" t="s">
        <v>1</v>
      </c>
      <c r="B322" s="13" t="s">
        <v>2621</v>
      </c>
      <c r="C322" s="13">
        <v>1</v>
      </c>
      <c r="D322" s="13">
        <v>0</v>
      </c>
      <c r="E322" s="13">
        <v>1</v>
      </c>
    </row>
    <row r="323" spans="1:5" x14ac:dyDescent="0.3">
      <c r="A323" s="13" t="s">
        <v>1</v>
      </c>
      <c r="B323" s="13" t="s">
        <v>778</v>
      </c>
      <c r="C323" s="13">
        <v>1</v>
      </c>
      <c r="D323" s="13">
        <v>0</v>
      </c>
      <c r="E323" s="13">
        <v>1</v>
      </c>
    </row>
    <row r="324" spans="1:5" x14ac:dyDescent="0.3">
      <c r="A324" s="13" t="s">
        <v>1</v>
      </c>
      <c r="B324" s="13" t="s">
        <v>182</v>
      </c>
      <c r="C324" s="13">
        <v>1</v>
      </c>
      <c r="D324" s="13">
        <v>0</v>
      </c>
      <c r="E324" s="13">
        <v>1</v>
      </c>
    </row>
    <row r="325" spans="1:5" x14ac:dyDescent="0.3">
      <c r="A325" s="13" t="s">
        <v>1</v>
      </c>
      <c r="B325" s="13" t="s">
        <v>1432</v>
      </c>
      <c r="C325" s="13">
        <v>1</v>
      </c>
      <c r="D325" s="13">
        <v>0</v>
      </c>
      <c r="E325" s="13">
        <v>1</v>
      </c>
    </row>
    <row r="326" spans="1:5" x14ac:dyDescent="0.3">
      <c r="A326" s="13" t="s">
        <v>1</v>
      </c>
      <c r="B326" s="13" t="s">
        <v>190</v>
      </c>
      <c r="C326" s="13">
        <v>1</v>
      </c>
      <c r="D326" s="13">
        <v>0</v>
      </c>
      <c r="E326" s="13">
        <v>1</v>
      </c>
    </row>
    <row r="327" spans="1:5" x14ac:dyDescent="0.3">
      <c r="A327" s="13" t="s">
        <v>1</v>
      </c>
      <c r="B327" s="13" t="s">
        <v>231</v>
      </c>
      <c r="C327" s="13">
        <v>2</v>
      </c>
      <c r="D327" s="13">
        <v>0</v>
      </c>
      <c r="E327" s="13">
        <v>3</v>
      </c>
    </row>
    <row r="328" spans="1:5" x14ac:dyDescent="0.3">
      <c r="A328" s="13" t="s">
        <v>1</v>
      </c>
      <c r="B328" s="13" t="s">
        <v>232</v>
      </c>
      <c r="C328" s="13">
        <v>2</v>
      </c>
      <c r="D328" s="13">
        <v>0</v>
      </c>
      <c r="E328" s="13">
        <v>2</v>
      </c>
    </row>
    <row r="329" spans="1:5" x14ac:dyDescent="0.3">
      <c r="A329" s="13" t="s">
        <v>1</v>
      </c>
      <c r="B329" s="13" t="s">
        <v>192</v>
      </c>
      <c r="C329" s="13">
        <v>2</v>
      </c>
      <c r="D329" s="13">
        <v>0</v>
      </c>
      <c r="E329" s="13">
        <v>7</v>
      </c>
    </row>
    <row r="330" spans="1:5" x14ac:dyDescent="0.3">
      <c r="A330" s="13" t="s">
        <v>1</v>
      </c>
      <c r="B330" s="13" t="s">
        <v>54</v>
      </c>
      <c r="C330" s="13">
        <v>1</v>
      </c>
      <c r="D330" s="13">
        <v>0</v>
      </c>
      <c r="E330" s="13">
        <v>1</v>
      </c>
    </row>
    <row r="331" spans="1:5" x14ac:dyDescent="0.3">
      <c r="A331" s="13" t="s">
        <v>1</v>
      </c>
      <c r="B331" s="13" t="s">
        <v>234</v>
      </c>
      <c r="C331" s="13">
        <v>1</v>
      </c>
      <c r="D331" s="13">
        <v>0</v>
      </c>
      <c r="E331" s="13">
        <v>1</v>
      </c>
    </row>
    <row r="332" spans="1:5" x14ac:dyDescent="0.3">
      <c r="A332" s="13" t="s">
        <v>1</v>
      </c>
      <c r="B332" s="13" t="s">
        <v>1013</v>
      </c>
      <c r="C332" s="13">
        <v>1</v>
      </c>
      <c r="D332" s="13">
        <v>0</v>
      </c>
      <c r="E332" s="13">
        <v>1</v>
      </c>
    </row>
    <row r="333" spans="1:5" x14ac:dyDescent="0.3">
      <c r="A333" s="13" t="s">
        <v>1</v>
      </c>
      <c r="B333" s="13" t="s">
        <v>639</v>
      </c>
      <c r="C333" s="13">
        <v>2</v>
      </c>
      <c r="D333" s="13">
        <v>0</v>
      </c>
      <c r="E333" s="13">
        <v>2</v>
      </c>
    </row>
    <row r="334" spans="1:5" x14ac:dyDescent="0.3">
      <c r="A334" s="13" t="s">
        <v>1</v>
      </c>
      <c r="B334" s="13" t="s">
        <v>236</v>
      </c>
      <c r="C334" s="13">
        <v>2</v>
      </c>
      <c r="D334" s="13">
        <v>0</v>
      </c>
      <c r="E334" s="13">
        <v>3</v>
      </c>
    </row>
    <row r="335" spans="1:5" x14ac:dyDescent="0.3">
      <c r="A335" s="13" t="s">
        <v>1</v>
      </c>
      <c r="B335" s="13" t="s">
        <v>640</v>
      </c>
      <c r="C335" s="13">
        <v>1</v>
      </c>
      <c r="D335" s="13">
        <v>0</v>
      </c>
      <c r="E335" s="13">
        <v>1</v>
      </c>
    </row>
    <row r="336" spans="1:5" x14ac:dyDescent="0.3">
      <c r="A336" s="13" t="s">
        <v>1</v>
      </c>
      <c r="B336" s="13" t="s">
        <v>371</v>
      </c>
      <c r="C336" s="13">
        <v>4</v>
      </c>
      <c r="D336" s="13">
        <v>0</v>
      </c>
      <c r="E336" s="13">
        <v>6</v>
      </c>
    </row>
    <row r="337" spans="1:5" x14ac:dyDescent="0.3">
      <c r="A337" s="13" t="s">
        <v>1</v>
      </c>
      <c r="B337" s="13" t="s">
        <v>1771</v>
      </c>
      <c r="C337" s="13">
        <v>0</v>
      </c>
      <c r="D337" s="13">
        <v>1</v>
      </c>
      <c r="E337" s="13"/>
    </row>
    <row r="338" spans="1:5" x14ac:dyDescent="0.3">
      <c r="A338" s="13" t="s">
        <v>0</v>
      </c>
      <c r="B338" s="13" t="s">
        <v>36</v>
      </c>
      <c r="C338" s="13">
        <v>1</v>
      </c>
      <c r="D338" s="13">
        <v>0</v>
      </c>
      <c r="E338" s="13">
        <v>2</v>
      </c>
    </row>
    <row r="339" spans="1:5" x14ac:dyDescent="0.3">
      <c r="A339" s="13" t="s">
        <v>0</v>
      </c>
      <c r="B339" s="13" t="s">
        <v>239</v>
      </c>
      <c r="C339" s="13">
        <v>1</v>
      </c>
      <c r="D339" s="13">
        <v>0</v>
      </c>
      <c r="E339" s="13">
        <v>2</v>
      </c>
    </row>
    <row r="340" spans="1:5" x14ac:dyDescent="0.3">
      <c r="A340" s="13" t="s">
        <v>0</v>
      </c>
      <c r="B340" s="13" t="s">
        <v>470</v>
      </c>
      <c r="C340" s="13">
        <v>1</v>
      </c>
      <c r="D340" s="13">
        <v>0</v>
      </c>
      <c r="E340" s="13">
        <v>1</v>
      </c>
    </row>
    <row r="341" spans="1:5" x14ac:dyDescent="0.3">
      <c r="A341" s="13" t="s">
        <v>0</v>
      </c>
      <c r="B341" s="13" t="s">
        <v>420</v>
      </c>
      <c r="C341" s="13">
        <v>1</v>
      </c>
      <c r="D341" s="13">
        <v>0</v>
      </c>
      <c r="E341" s="13">
        <v>1</v>
      </c>
    </row>
    <row r="342" spans="1:5" x14ac:dyDescent="0.3">
      <c r="A342" s="13" t="s">
        <v>0</v>
      </c>
      <c r="B342" s="13" t="s">
        <v>347</v>
      </c>
      <c r="C342" s="13">
        <v>1</v>
      </c>
      <c r="D342" s="13">
        <v>0</v>
      </c>
      <c r="E342" s="13">
        <v>1</v>
      </c>
    </row>
    <row r="343" spans="1:5" x14ac:dyDescent="0.3">
      <c r="A343" s="13" t="s">
        <v>0</v>
      </c>
      <c r="B343" s="13" t="s">
        <v>83</v>
      </c>
      <c r="C343" s="13">
        <v>1</v>
      </c>
      <c r="D343" s="13">
        <v>0</v>
      </c>
      <c r="E343" s="13">
        <v>1</v>
      </c>
    </row>
    <row r="344" spans="1:5" x14ac:dyDescent="0.3">
      <c r="A344" s="13" t="s">
        <v>0</v>
      </c>
      <c r="B344" s="13" t="s">
        <v>351</v>
      </c>
      <c r="C344" s="13">
        <v>1</v>
      </c>
      <c r="D344" s="13">
        <v>0</v>
      </c>
      <c r="E344" s="13">
        <v>1</v>
      </c>
    </row>
    <row r="345" spans="1:5" x14ac:dyDescent="0.3">
      <c r="A345" s="13" t="s">
        <v>0</v>
      </c>
      <c r="B345" s="13" t="s">
        <v>149</v>
      </c>
      <c r="C345" s="13">
        <v>1</v>
      </c>
      <c r="D345" s="13">
        <v>0</v>
      </c>
      <c r="E345" s="13">
        <v>1</v>
      </c>
    </row>
    <row r="346" spans="1:5" x14ac:dyDescent="0.3">
      <c r="A346" s="13" t="s">
        <v>0</v>
      </c>
      <c r="B346" s="13" t="s">
        <v>1651</v>
      </c>
      <c r="C346" s="13">
        <v>1</v>
      </c>
      <c r="D346" s="13">
        <v>0</v>
      </c>
      <c r="E346" s="13">
        <v>1</v>
      </c>
    </row>
    <row r="347" spans="1:5" x14ac:dyDescent="0.3">
      <c r="A347" s="13" t="s">
        <v>0</v>
      </c>
      <c r="B347" s="13" t="s">
        <v>1908</v>
      </c>
      <c r="C347" s="13">
        <v>1</v>
      </c>
      <c r="D347" s="13">
        <v>0</v>
      </c>
      <c r="E347" s="13">
        <v>1</v>
      </c>
    </row>
    <row r="348" spans="1:5" x14ac:dyDescent="0.3">
      <c r="A348" s="13" t="s">
        <v>0</v>
      </c>
      <c r="B348" s="13" t="s">
        <v>1929</v>
      </c>
      <c r="C348" s="13">
        <v>1</v>
      </c>
      <c r="D348" s="13">
        <v>0</v>
      </c>
      <c r="E348" s="13">
        <v>1</v>
      </c>
    </row>
    <row r="349" spans="1:5" x14ac:dyDescent="0.3">
      <c r="A349" s="13" t="s">
        <v>0</v>
      </c>
      <c r="B349" s="13" t="s">
        <v>2093</v>
      </c>
      <c r="C349" s="13">
        <v>1</v>
      </c>
      <c r="D349" s="13">
        <v>0</v>
      </c>
      <c r="E349" s="13">
        <v>1</v>
      </c>
    </row>
    <row r="350" spans="1:5" x14ac:dyDescent="0.3">
      <c r="A350" s="13" t="s">
        <v>0</v>
      </c>
      <c r="B350" s="13" t="s">
        <v>2339</v>
      </c>
      <c r="C350" s="13">
        <v>1</v>
      </c>
      <c r="D350" s="13">
        <v>0</v>
      </c>
      <c r="E350" s="13">
        <v>1</v>
      </c>
    </row>
    <row r="351" spans="1:5" x14ac:dyDescent="0.3">
      <c r="A351" s="13" t="s">
        <v>0</v>
      </c>
      <c r="B351" s="13" t="s">
        <v>2425</v>
      </c>
      <c r="C351" s="13">
        <v>1</v>
      </c>
      <c r="D351" s="13">
        <v>0</v>
      </c>
      <c r="E351" s="13">
        <v>1</v>
      </c>
    </row>
    <row r="352" spans="1:5" x14ac:dyDescent="0.3">
      <c r="A352" s="13" t="s">
        <v>0</v>
      </c>
      <c r="B352" s="13" t="s">
        <v>1034</v>
      </c>
      <c r="C352" s="13">
        <v>1</v>
      </c>
      <c r="D352" s="13">
        <v>0</v>
      </c>
      <c r="E352" s="13">
        <v>1</v>
      </c>
    </row>
    <row r="353" spans="1:5" x14ac:dyDescent="0.3">
      <c r="A353" s="13" t="s">
        <v>0</v>
      </c>
      <c r="B353" s="13" t="s">
        <v>250</v>
      </c>
      <c r="C353" s="13">
        <v>1</v>
      </c>
      <c r="D353" s="13">
        <v>0</v>
      </c>
      <c r="E353" s="13">
        <v>1</v>
      </c>
    </row>
    <row r="354" spans="1:5" x14ac:dyDescent="0.3">
      <c r="A354" s="13" t="s">
        <v>0</v>
      </c>
      <c r="B354" s="13" t="s">
        <v>567</v>
      </c>
      <c r="C354" s="13">
        <v>1</v>
      </c>
      <c r="D354" s="13">
        <v>0</v>
      </c>
      <c r="E354" s="13">
        <v>1</v>
      </c>
    </row>
    <row r="355" spans="1:5" x14ac:dyDescent="0.3">
      <c r="A355" s="13" t="s">
        <v>0</v>
      </c>
      <c r="B355" s="13" t="s">
        <v>315</v>
      </c>
      <c r="C355" s="13">
        <v>1</v>
      </c>
      <c r="D355" s="13">
        <v>0</v>
      </c>
      <c r="E355" s="13">
        <v>1</v>
      </c>
    </row>
    <row r="356" spans="1:5" x14ac:dyDescent="0.3">
      <c r="A356" s="13" t="s">
        <v>0</v>
      </c>
      <c r="B356" s="13" t="s">
        <v>322</v>
      </c>
      <c r="C356" s="13">
        <v>1</v>
      </c>
      <c r="D356" s="13">
        <v>0</v>
      </c>
      <c r="E356" s="13">
        <v>1</v>
      </c>
    </row>
    <row r="357" spans="1:5" x14ac:dyDescent="0.3">
      <c r="A357" s="13" t="s">
        <v>0</v>
      </c>
      <c r="B357" s="13" t="s">
        <v>626</v>
      </c>
      <c r="C357" s="13">
        <v>1</v>
      </c>
      <c r="D357" s="13">
        <v>0</v>
      </c>
      <c r="E357" s="13">
        <v>1</v>
      </c>
    </row>
    <row r="358" spans="1:5" x14ac:dyDescent="0.3">
      <c r="A358" s="13" t="s">
        <v>0</v>
      </c>
      <c r="B358" s="13" t="s">
        <v>252</v>
      </c>
      <c r="C358" s="13">
        <v>1</v>
      </c>
      <c r="D358" s="13">
        <v>0</v>
      </c>
      <c r="E358" s="13">
        <v>1</v>
      </c>
    </row>
    <row r="359" spans="1:5" x14ac:dyDescent="0.3">
      <c r="A359" s="13" t="s">
        <v>0</v>
      </c>
      <c r="B359" s="13" t="s">
        <v>120</v>
      </c>
      <c r="C359" s="13">
        <v>1</v>
      </c>
      <c r="D359" s="13">
        <v>0</v>
      </c>
      <c r="E359" s="13">
        <v>1</v>
      </c>
    </row>
    <row r="360" spans="1:5" x14ac:dyDescent="0.3">
      <c r="A360" s="13" t="s">
        <v>0</v>
      </c>
      <c r="B360" s="13" t="s">
        <v>2140</v>
      </c>
      <c r="C360" s="13">
        <v>1</v>
      </c>
      <c r="D360" s="13">
        <v>0</v>
      </c>
      <c r="E360" s="13">
        <v>1</v>
      </c>
    </row>
    <row r="361" spans="1:5" x14ac:dyDescent="0.3">
      <c r="A361" s="13" t="s">
        <v>0</v>
      </c>
      <c r="B361" s="13" t="s">
        <v>128</v>
      </c>
      <c r="C361" s="13">
        <v>1</v>
      </c>
      <c r="D361" s="13">
        <v>0</v>
      </c>
      <c r="E361" s="13">
        <v>2</v>
      </c>
    </row>
    <row r="362" spans="1:5" x14ac:dyDescent="0.3">
      <c r="A362" s="13" t="s">
        <v>0</v>
      </c>
      <c r="B362" s="13" t="s">
        <v>2622</v>
      </c>
      <c r="C362" s="13">
        <v>1</v>
      </c>
      <c r="D362" s="13">
        <v>0</v>
      </c>
      <c r="E362" s="13">
        <v>1</v>
      </c>
    </row>
    <row r="363" spans="1:5" x14ac:dyDescent="0.3">
      <c r="A363" s="13" t="s">
        <v>0</v>
      </c>
      <c r="B363" s="13" t="s">
        <v>1612</v>
      </c>
      <c r="C363" s="13">
        <v>1</v>
      </c>
      <c r="D363" s="13">
        <v>0</v>
      </c>
      <c r="E363" s="13">
        <v>1</v>
      </c>
    </row>
    <row r="364" spans="1:5" x14ac:dyDescent="0.3">
      <c r="A364" s="13" t="s">
        <v>0</v>
      </c>
      <c r="B364" s="13" t="s">
        <v>232</v>
      </c>
      <c r="C364" s="13">
        <v>1</v>
      </c>
      <c r="D364" s="13">
        <v>0</v>
      </c>
      <c r="E364" s="13">
        <v>2</v>
      </c>
    </row>
    <row r="365" spans="1:5" x14ac:dyDescent="0.3">
      <c r="A365" s="13" t="s">
        <v>0</v>
      </c>
      <c r="B365" s="13" t="s">
        <v>233</v>
      </c>
      <c r="C365" s="13">
        <v>1</v>
      </c>
      <c r="D365" s="13">
        <v>0</v>
      </c>
      <c r="E365" s="13">
        <v>1</v>
      </c>
    </row>
    <row r="366" spans="1:5" x14ac:dyDescent="0.3">
      <c r="A366" s="13" t="s">
        <v>0</v>
      </c>
      <c r="B366" s="13" t="s">
        <v>54</v>
      </c>
      <c r="C366" s="13">
        <v>1</v>
      </c>
      <c r="D366" s="13">
        <v>0</v>
      </c>
      <c r="E366" s="13">
        <v>1</v>
      </c>
    </row>
    <row r="367" spans="1:5" x14ac:dyDescent="0.3">
      <c r="A367" s="13" t="s">
        <v>0</v>
      </c>
      <c r="B367" s="13" t="s">
        <v>371</v>
      </c>
      <c r="C367" s="13">
        <v>1</v>
      </c>
      <c r="D367" s="13">
        <v>0</v>
      </c>
      <c r="E367" s="13">
        <v>2</v>
      </c>
    </row>
    <row r="368" spans="1:5" x14ac:dyDescent="0.3">
      <c r="A368" s="13" t="s">
        <v>0</v>
      </c>
      <c r="B368" s="13" t="s">
        <v>2178</v>
      </c>
      <c r="C368" s="13">
        <v>1</v>
      </c>
      <c r="D368" s="13">
        <v>0</v>
      </c>
      <c r="E368" s="13">
        <v>1</v>
      </c>
    </row>
    <row r="369" spans="1:5" x14ac:dyDescent="0.3">
      <c r="A369" s="13" t="s">
        <v>0</v>
      </c>
      <c r="B369" s="13" t="s">
        <v>1733</v>
      </c>
      <c r="C369" s="13">
        <v>1</v>
      </c>
      <c r="D369" s="13">
        <v>0</v>
      </c>
      <c r="E369" s="13">
        <v>1</v>
      </c>
    </row>
    <row r="370" spans="1:5" x14ac:dyDescent="0.3">
      <c r="A370" s="13" t="s">
        <v>0</v>
      </c>
      <c r="B370" s="13" t="s">
        <v>2623</v>
      </c>
      <c r="C370" s="13">
        <v>0</v>
      </c>
      <c r="D370" s="13">
        <v>1</v>
      </c>
      <c r="E370" s="13"/>
    </row>
    <row r="371" spans="1:5" x14ac:dyDescent="0.3">
      <c r="A371" s="13" t="s">
        <v>0</v>
      </c>
      <c r="B371" s="13" t="s">
        <v>469</v>
      </c>
      <c r="C371" s="13">
        <v>1</v>
      </c>
      <c r="D371" s="13">
        <v>0</v>
      </c>
      <c r="E371" s="13">
        <v>2</v>
      </c>
    </row>
    <row r="372" spans="1:5" x14ac:dyDescent="0.3">
      <c r="A372" s="13" t="s">
        <v>2</v>
      </c>
      <c r="B372" s="13" t="s">
        <v>77</v>
      </c>
      <c r="C372" s="13">
        <v>1</v>
      </c>
      <c r="D372" s="13">
        <v>0</v>
      </c>
      <c r="E372" s="13">
        <v>1</v>
      </c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F7288-A3E6-49AE-9F1B-5EC311125586}">
  <sheetPr codeName="Sheet47"/>
  <dimension ref="A1:M620"/>
  <sheetViews>
    <sheetView workbookViewId="0">
      <selection activeCell="A2" sqref="A2:E557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47</v>
      </c>
      <c r="D2" s="13">
        <v>36</v>
      </c>
      <c r="E2" s="13">
        <v>54</v>
      </c>
    </row>
    <row r="3" spans="1:13" customFormat="1" x14ac:dyDescent="0.3">
      <c r="A3" s="13" t="s">
        <v>1</v>
      </c>
      <c r="B3" s="13" t="s">
        <v>30</v>
      </c>
      <c r="C3" s="13">
        <v>61</v>
      </c>
      <c r="D3" s="13">
        <v>24</v>
      </c>
      <c r="E3" s="13">
        <v>116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37</v>
      </c>
      <c r="C4" s="13">
        <v>25</v>
      </c>
      <c r="D4" s="13">
        <v>21</v>
      </c>
      <c r="E4" s="13">
        <v>27</v>
      </c>
      <c r="G4" s="19" t="s">
        <v>8</v>
      </c>
      <c r="H4" s="15">
        <f>H13+H14</f>
        <v>849</v>
      </c>
      <c r="I4" s="16">
        <f>H4/H$6</f>
        <v>0.74019180470793378</v>
      </c>
      <c r="J4" s="15">
        <f>I13+I14</f>
        <v>456</v>
      </c>
      <c r="K4" s="16">
        <f>J4/J$6</f>
        <v>0.63598326359832635</v>
      </c>
      <c r="L4" s="15">
        <f>J13+J14</f>
        <v>1005</v>
      </c>
      <c r="M4" s="25">
        <f>L4/L$6</f>
        <v>0.74665676077265974</v>
      </c>
    </row>
    <row r="5" spans="1:13" customFormat="1" x14ac:dyDescent="0.3">
      <c r="A5" s="13" t="s">
        <v>0</v>
      </c>
      <c r="B5" s="13" t="s">
        <v>29</v>
      </c>
      <c r="C5" s="13">
        <v>19</v>
      </c>
      <c r="D5" s="13">
        <v>19</v>
      </c>
      <c r="E5" s="13">
        <v>20</v>
      </c>
      <c r="G5" s="19" t="s">
        <v>10</v>
      </c>
      <c r="H5" s="15">
        <f>H15+H16</f>
        <v>298</v>
      </c>
      <c r="I5" s="16">
        <f>H5/H$6</f>
        <v>0.25980819529206628</v>
      </c>
      <c r="J5" s="15">
        <f>I15+I16</f>
        <v>261</v>
      </c>
      <c r="K5" s="16">
        <f>J5/J$6</f>
        <v>0.36401673640167365</v>
      </c>
      <c r="L5" s="15">
        <f>J15+J16</f>
        <v>341</v>
      </c>
      <c r="M5" s="25">
        <f>L5/L$6</f>
        <v>0.25334323922734026</v>
      </c>
    </row>
    <row r="6" spans="1:13" customFormat="1" ht="17.25" thickBot="1" x14ac:dyDescent="0.35">
      <c r="A6" s="13" t="s">
        <v>1</v>
      </c>
      <c r="B6" s="13" t="s">
        <v>154</v>
      </c>
      <c r="C6" s="13">
        <v>10</v>
      </c>
      <c r="D6" s="13">
        <v>10</v>
      </c>
      <c r="E6" s="13">
        <v>10</v>
      </c>
      <c r="G6" s="22"/>
      <c r="H6" s="26">
        <f>SUM(H4:H5)</f>
        <v>1147</v>
      </c>
      <c r="I6" s="27">
        <f>I4+I5</f>
        <v>1</v>
      </c>
      <c r="J6" s="26">
        <f>SUM(J4:J5)</f>
        <v>717</v>
      </c>
      <c r="K6" s="27">
        <f>K4+K5</f>
        <v>1</v>
      </c>
      <c r="L6" s="26">
        <f>SUM(L4:L5)</f>
        <v>1346</v>
      </c>
      <c r="M6" s="28">
        <f>M4+M5</f>
        <v>1</v>
      </c>
    </row>
    <row r="7" spans="1:13" customFormat="1" x14ac:dyDescent="0.3">
      <c r="A7" s="13" t="s">
        <v>1</v>
      </c>
      <c r="B7" s="13" t="s">
        <v>354</v>
      </c>
      <c r="C7" s="13">
        <v>11</v>
      </c>
      <c r="D7" s="13">
        <v>9</v>
      </c>
      <c r="E7" s="13">
        <v>13</v>
      </c>
    </row>
    <row r="8" spans="1:13" customFormat="1" x14ac:dyDescent="0.3">
      <c r="A8" s="13" t="s">
        <v>0</v>
      </c>
      <c r="B8" s="13" t="s">
        <v>2624</v>
      </c>
      <c r="C8" s="13">
        <v>12</v>
      </c>
      <c r="D8" s="13">
        <v>9</v>
      </c>
      <c r="E8" s="13">
        <v>14</v>
      </c>
    </row>
    <row r="9" spans="1:13" customFormat="1" x14ac:dyDescent="0.3">
      <c r="A9" s="13" t="s">
        <v>0</v>
      </c>
      <c r="B9" s="13" t="s">
        <v>31</v>
      </c>
      <c r="C9" s="13">
        <v>9</v>
      </c>
      <c r="D9" s="13">
        <v>9</v>
      </c>
      <c r="E9" s="13">
        <v>10</v>
      </c>
    </row>
    <row r="10" spans="1:13" customFormat="1" ht="17.25" thickBot="1" x14ac:dyDescent="0.35">
      <c r="A10" s="13" t="s">
        <v>0</v>
      </c>
      <c r="B10" s="13" t="s">
        <v>2093</v>
      </c>
      <c r="C10" s="13">
        <v>8</v>
      </c>
      <c r="D10" s="13">
        <v>8</v>
      </c>
      <c r="E10" s="13">
        <v>8</v>
      </c>
    </row>
    <row r="11" spans="1:13" x14ac:dyDescent="0.3">
      <c r="A11" s="13" t="s">
        <v>0</v>
      </c>
      <c r="B11" s="13" t="s">
        <v>2203</v>
      </c>
      <c r="C11" s="13">
        <v>9</v>
      </c>
      <c r="D11" s="13">
        <v>8</v>
      </c>
      <c r="E11" s="13">
        <v>10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48</v>
      </c>
      <c r="C12" s="13">
        <v>11</v>
      </c>
      <c r="D12" s="13">
        <v>7</v>
      </c>
      <c r="E12" s="13">
        <v>12</v>
      </c>
      <c r="G12" s="19"/>
      <c r="H12" s="17">
        <f t="shared" ref="H12:J12" si="0">SUM(H13:H16)</f>
        <v>1147</v>
      </c>
      <c r="I12" s="17">
        <f t="shared" si="0"/>
        <v>717</v>
      </c>
      <c r="J12" s="20">
        <f t="shared" si="0"/>
        <v>1346</v>
      </c>
    </row>
    <row r="13" spans="1:13" x14ac:dyDescent="0.3">
      <c r="A13" s="13" t="s">
        <v>0</v>
      </c>
      <c r="B13" s="13" t="s">
        <v>60</v>
      </c>
      <c r="C13" s="13">
        <v>7</v>
      </c>
      <c r="D13" s="13">
        <v>7</v>
      </c>
      <c r="E13" s="13">
        <v>7</v>
      </c>
      <c r="G13" s="19" t="s">
        <v>7</v>
      </c>
      <c r="H13" s="18">
        <f t="shared" ref="H13:J16" si="1">SUMIF($A$2:$A$9999,$G13,C$2:C$9999)</f>
        <v>849</v>
      </c>
      <c r="I13" s="18">
        <f t="shared" si="1"/>
        <v>456</v>
      </c>
      <c r="J13" s="21">
        <f t="shared" si="1"/>
        <v>1005</v>
      </c>
    </row>
    <row r="14" spans="1:13" x14ac:dyDescent="0.3">
      <c r="A14" s="13" t="s">
        <v>1</v>
      </c>
      <c r="B14" s="13" t="s">
        <v>1663</v>
      </c>
      <c r="C14" s="13">
        <v>8</v>
      </c>
      <c r="D14" s="13">
        <v>6</v>
      </c>
      <c r="E14" s="13">
        <v>9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1948</v>
      </c>
      <c r="C15" s="13">
        <v>9</v>
      </c>
      <c r="D15" s="13">
        <v>6</v>
      </c>
      <c r="E15" s="13">
        <v>10</v>
      </c>
      <c r="G15" s="19" t="s">
        <v>11</v>
      </c>
      <c r="H15" s="18">
        <f t="shared" si="1"/>
        <v>291</v>
      </c>
      <c r="I15" s="18">
        <f t="shared" si="1"/>
        <v>255</v>
      </c>
      <c r="J15" s="21">
        <f t="shared" si="1"/>
        <v>333</v>
      </c>
    </row>
    <row r="16" spans="1:13" ht="17.25" thickBot="1" x14ac:dyDescent="0.35">
      <c r="A16" s="13" t="s">
        <v>1</v>
      </c>
      <c r="B16" s="13" t="s">
        <v>2093</v>
      </c>
      <c r="C16" s="13">
        <v>8</v>
      </c>
      <c r="D16" s="13">
        <v>6</v>
      </c>
      <c r="E16" s="13">
        <v>8</v>
      </c>
      <c r="G16" s="22" t="s">
        <v>12</v>
      </c>
      <c r="H16" s="23">
        <f t="shared" si="1"/>
        <v>7</v>
      </c>
      <c r="I16" s="23">
        <f t="shared" si="1"/>
        <v>6</v>
      </c>
      <c r="J16" s="24">
        <f t="shared" si="1"/>
        <v>8</v>
      </c>
    </row>
    <row r="17" spans="1:5" x14ac:dyDescent="0.3">
      <c r="A17" s="13" t="s">
        <v>1</v>
      </c>
      <c r="B17" s="13" t="s">
        <v>31</v>
      </c>
      <c r="C17" s="13">
        <v>6</v>
      </c>
      <c r="D17" s="13">
        <v>6</v>
      </c>
      <c r="E17" s="13">
        <v>9</v>
      </c>
    </row>
    <row r="18" spans="1:5" x14ac:dyDescent="0.3">
      <c r="A18" s="13" t="s">
        <v>0</v>
      </c>
      <c r="B18" s="13" t="s">
        <v>1948</v>
      </c>
      <c r="C18" s="13">
        <v>6</v>
      </c>
      <c r="D18" s="13">
        <v>6</v>
      </c>
      <c r="E18" s="13">
        <v>6</v>
      </c>
    </row>
    <row r="19" spans="1:5" x14ac:dyDescent="0.3">
      <c r="A19" s="13" t="s">
        <v>1</v>
      </c>
      <c r="B19" s="13" t="s">
        <v>1988</v>
      </c>
      <c r="C19" s="13">
        <v>12</v>
      </c>
      <c r="D19" s="13">
        <v>5</v>
      </c>
      <c r="E19" s="13">
        <v>12</v>
      </c>
    </row>
    <row r="20" spans="1:5" x14ac:dyDescent="0.3">
      <c r="A20" s="13" t="s">
        <v>1</v>
      </c>
      <c r="B20" s="13" t="s">
        <v>2624</v>
      </c>
      <c r="C20" s="13">
        <v>13</v>
      </c>
      <c r="D20" s="13">
        <v>5</v>
      </c>
      <c r="E20" s="13">
        <v>17</v>
      </c>
    </row>
    <row r="21" spans="1:5" x14ac:dyDescent="0.3">
      <c r="A21" s="13" t="s">
        <v>0</v>
      </c>
      <c r="B21" s="13" t="s">
        <v>30</v>
      </c>
      <c r="C21" s="13">
        <v>9</v>
      </c>
      <c r="D21" s="13">
        <v>5</v>
      </c>
      <c r="E21" s="13">
        <v>26</v>
      </c>
    </row>
    <row r="22" spans="1:5" x14ac:dyDescent="0.3">
      <c r="A22" s="13" t="s">
        <v>1</v>
      </c>
      <c r="B22" s="13" t="s">
        <v>33</v>
      </c>
      <c r="C22" s="13">
        <v>5</v>
      </c>
      <c r="D22" s="13">
        <v>4</v>
      </c>
      <c r="E22" s="13">
        <v>6</v>
      </c>
    </row>
    <row r="23" spans="1:5" x14ac:dyDescent="0.3">
      <c r="A23" s="13" t="s">
        <v>1</v>
      </c>
      <c r="B23" s="13" t="s">
        <v>145</v>
      </c>
      <c r="C23" s="13">
        <v>5</v>
      </c>
      <c r="D23" s="13">
        <v>4</v>
      </c>
      <c r="E23" s="13">
        <v>5</v>
      </c>
    </row>
    <row r="24" spans="1:5" x14ac:dyDescent="0.3">
      <c r="A24" s="13" t="s">
        <v>1</v>
      </c>
      <c r="B24" s="13" t="s">
        <v>1645</v>
      </c>
      <c r="C24" s="13">
        <v>4</v>
      </c>
      <c r="D24" s="13">
        <v>4</v>
      </c>
      <c r="E24" s="13">
        <v>4</v>
      </c>
    </row>
    <row r="25" spans="1:5" x14ac:dyDescent="0.3">
      <c r="A25" s="13" t="s">
        <v>1</v>
      </c>
      <c r="B25" s="13" t="s">
        <v>1881</v>
      </c>
      <c r="C25" s="13">
        <v>7</v>
      </c>
      <c r="D25" s="13">
        <v>4</v>
      </c>
      <c r="E25" s="13">
        <v>8</v>
      </c>
    </row>
    <row r="26" spans="1:5" x14ac:dyDescent="0.3">
      <c r="A26" s="13" t="s">
        <v>1</v>
      </c>
      <c r="B26" s="13" t="s">
        <v>2203</v>
      </c>
      <c r="C26" s="13">
        <v>8</v>
      </c>
      <c r="D26" s="13">
        <v>4</v>
      </c>
      <c r="E26" s="13">
        <v>8</v>
      </c>
    </row>
    <row r="27" spans="1:5" x14ac:dyDescent="0.3">
      <c r="A27" s="13" t="s">
        <v>1</v>
      </c>
      <c r="B27" s="13" t="s">
        <v>29</v>
      </c>
      <c r="C27" s="13">
        <v>4</v>
      </c>
      <c r="D27" s="13">
        <v>4</v>
      </c>
      <c r="E27" s="13">
        <v>4</v>
      </c>
    </row>
    <row r="28" spans="1:5" x14ac:dyDescent="0.3">
      <c r="A28" s="13" t="s">
        <v>1</v>
      </c>
      <c r="B28" s="13" t="s">
        <v>195</v>
      </c>
      <c r="C28" s="13">
        <v>4</v>
      </c>
      <c r="D28" s="13">
        <v>4</v>
      </c>
      <c r="E28" s="13">
        <v>4</v>
      </c>
    </row>
    <row r="29" spans="1:5" x14ac:dyDescent="0.3">
      <c r="A29" s="13" t="s">
        <v>1</v>
      </c>
      <c r="B29" s="13" t="s">
        <v>279</v>
      </c>
      <c r="C29" s="13">
        <v>4</v>
      </c>
      <c r="D29" s="13">
        <v>4</v>
      </c>
      <c r="E29" s="13">
        <v>4</v>
      </c>
    </row>
    <row r="30" spans="1:5" x14ac:dyDescent="0.3">
      <c r="A30" s="13" t="s">
        <v>0</v>
      </c>
      <c r="B30" s="13" t="s">
        <v>1183</v>
      </c>
      <c r="C30" s="13">
        <v>4</v>
      </c>
      <c r="D30" s="13">
        <v>4</v>
      </c>
      <c r="E30" s="13">
        <v>5</v>
      </c>
    </row>
    <row r="31" spans="1:5" x14ac:dyDescent="0.3">
      <c r="A31" s="13" t="s">
        <v>0</v>
      </c>
      <c r="B31" s="13" t="s">
        <v>35</v>
      </c>
      <c r="C31" s="13">
        <v>4</v>
      </c>
      <c r="D31" s="13">
        <v>4</v>
      </c>
      <c r="E31" s="13">
        <v>5</v>
      </c>
    </row>
    <row r="32" spans="1:5" x14ac:dyDescent="0.3">
      <c r="A32" s="13" t="s">
        <v>0</v>
      </c>
      <c r="B32" s="13" t="s">
        <v>37</v>
      </c>
      <c r="C32" s="13">
        <v>4</v>
      </c>
      <c r="D32" s="13">
        <v>4</v>
      </c>
      <c r="E32" s="13">
        <v>4</v>
      </c>
    </row>
    <row r="33" spans="1:5" x14ac:dyDescent="0.3">
      <c r="A33" s="13" t="s">
        <v>1</v>
      </c>
      <c r="B33" s="13" t="s">
        <v>34</v>
      </c>
      <c r="C33" s="13">
        <v>3</v>
      </c>
      <c r="D33" s="13">
        <v>3</v>
      </c>
      <c r="E33" s="13">
        <v>3</v>
      </c>
    </row>
    <row r="34" spans="1:5" x14ac:dyDescent="0.3">
      <c r="A34" s="13" t="s">
        <v>1</v>
      </c>
      <c r="B34" s="13" t="s">
        <v>87</v>
      </c>
      <c r="C34" s="13">
        <v>5</v>
      </c>
      <c r="D34" s="13">
        <v>3</v>
      </c>
      <c r="E34" s="13">
        <v>4</v>
      </c>
    </row>
    <row r="35" spans="1:5" x14ac:dyDescent="0.3">
      <c r="A35" s="13" t="s">
        <v>1</v>
      </c>
      <c r="B35" s="13" t="s">
        <v>94</v>
      </c>
      <c r="C35" s="13">
        <v>5</v>
      </c>
      <c r="D35" s="13">
        <v>3</v>
      </c>
      <c r="E35" s="13">
        <v>5</v>
      </c>
    </row>
    <row r="36" spans="1:5" x14ac:dyDescent="0.3">
      <c r="A36" s="13" t="s">
        <v>1</v>
      </c>
      <c r="B36" s="13" t="s">
        <v>1674</v>
      </c>
      <c r="C36" s="13">
        <v>3</v>
      </c>
      <c r="D36" s="13">
        <v>3</v>
      </c>
      <c r="E36" s="13">
        <v>3</v>
      </c>
    </row>
    <row r="37" spans="1:5" x14ac:dyDescent="0.3">
      <c r="A37" s="13" t="s">
        <v>1</v>
      </c>
      <c r="B37" s="13" t="s">
        <v>1885</v>
      </c>
      <c r="C37" s="13">
        <v>6</v>
      </c>
      <c r="D37" s="13">
        <v>3</v>
      </c>
      <c r="E37" s="13">
        <v>6</v>
      </c>
    </row>
    <row r="38" spans="1:5" x14ac:dyDescent="0.3">
      <c r="A38" s="13" t="s">
        <v>1</v>
      </c>
      <c r="B38" s="13" t="s">
        <v>661</v>
      </c>
      <c r="C38" s="13">
        <v>3</v>
      </c>
      <c r="D38" s="13">
        <v>3</v>
      </c>
      <c r="E38" s="13">
        <v>3</v>
      </c>
    </row>
    <row r="39" spans="1:5" x14ac:dyDescent="0.3">
      <c r="A39" s="13" t="s">
        <v>1</v>
      </c>
      <c r="B39" s="13" t="s">
        <v>174</v>
      </c>
      <c r="C39" s="13">
        <v>3</v>
      </c>
      <c r="D39" s="13">
        <v>3</v>
      </c>
      <c r="E39" s="13">
        <v>3</v>
      </c>
    </row>
    <row r="40" spans="1:5" x14ac:dyDescent="0.3">
      <c r="A40" s="13" t="s">
        <v>1</v>
      </c>
      <c r="B40" s="13" t="s">
        <v>779</v>
      </c>
      <c r="C40" s="13">
        <v>3</v>
      </c>
      <c r="D40" s="13">
        <v>3</v>
      </c>
      <c r="E40" s="13">
        <v>3</v>
      </c>
    </row>
    <row r="41" spans="1:5" x14ac:dyDescent="0.3">
      <c r="A41" s="13" t="s">
        <v>1</v>
      </c>
      <c r="B41" s="13" t="s">
        <v>190</v>
      </c>
      <c r="C41" s="13">
        <v>3</v>
      </c>
      <c r="D41" s="13">
        <v>3</v>
      </c>
      <c r="E41" s="13">
        <v>4</v>
      </c>
    </row>
    <row r="42" spans="1:5" x14ac:dyDescent="0.3">
      <c r="A42" s="13" t="s">
        <v>1</v>
      </c>
      <c r="B42" s="13" t="s">
        <v>39</v>
      </c>
      <c r="C42" s="13">
        <v>13</v>
      </c>
      <c r="D42" s="13">
        <v>3</v>
      </c>
      <c r="E42" s="13">
        <v>23</v>
      </c>
    </row>
    <row r="43" spans="1:5" x14ac:dyDescent="0.3">
      <c r="A43" s="13" t="s">
        <v>1</v>
      </c>
      <c r="B43" s="13" t="s">
        <v>56</v>
      </c>
      <c r="C43" s="13">
        <v>4</v>
      </c>
      <c r="D43" s="13">
        <v>3</v>
      </c>
      <c r="E43" s="13">
        <v>4</v>
      </c>
    </row>
    <row r="44" spans="1:5" x14ac:dyDescent="0.3">
      <c r="A44" s="13" t="s">
        <v>1</v>
      </c>
      <c r="B44" s="13" t="s">
        <v>32</v>
      </c>
      <c r="C44" s="13">
        <v>9</v>
      </c>
      <c r="D44" s="13">
        <v>3</v>
      </c>
      <c r="E44" s="13">
        <v>16</v>
      </c>
    </row>
    <row r="45" spans="1:5" x14ac:dyDescent="0.3">
      <c r="A45" s="13" t="s">
        <v>0</v>
      </c>
      <c r="B45" s="13" t="s">
        <v>34</v>
      </c>
      <c r="C45" s="13">
        <v>3</v>
      </c>
      <c r="D45" s="13">
        <v>3</v>
      </c>
      <c r="E45" s="13">
        <v>3</v>
      </c>
    </row>
    <row r="46" spans="1:5" x14ac:dyDescent="0.3">
      <c r="A46" s="13" t="s">
        <v>0</v>
      </c>
      <c r="B46" s="13" t="s">
        <v>42</v>
      </c>
      <c r="C46" s="13">
        <v>3</v>
      </c>
      <c r="D46" s="13">
        <v>3</v>
      </c>
      <c r="E46" s="13">
        <v>4</v>
      </c>
    </row>
    <row r="47" spans="1:5" x14ac:dyDescent="0.3">
      <c r="A47" s="13" t="s">
        <v>0</v>
      </c>
      <c r="B47" s="13" t="s">
        <v>61</v>
      </c>
      <c r="C47" s="13">
        <v>3</v>
      </c>
      <c r="D47" s="13">
        <v>3</v>
      </c>
      <c r="E47" s="13">
        <v>3</v>
      </c>
    </row>
    <row r="48" spans="1:5" x14ac:dyDescent="0.3">
      <c r="A48" s="13" t="s">
        <v>0</v>
      </c>
      <c r="B48" s="13" t="s">
        <v>1741</v>
      </c>
      <c r="C48" s="13">
        <v>3</v>
      </c>
      <c r="D48" s="13">
        <v>3</v>
      </c>
      <c r="E48" s="13">
        <v>4</v>
      </c>
    </row>
    <row r="49" spans="1:5" x14ac:dyDescent="0.3">
      <c r="A49" s="13" t="s">
        <v>0</v>
      </c>
      <c r="B49" s="13" t="s">
        <v>2408</v>
      </c>
      <c r="C49" s="13">
        <v>3</v>
      </c>
      <c r="D49" s="13">
        <v>3</v>
      </c>
      <c r="E49" s="13">
        <v>3</v>
      </c>
    </row>
    <row r="50" spans="1:5" x14ac:dyDescent="0.3">
      <c r="A50" s="13" t="s">
        <v>0</v>
      </c>
      <c r="B50" s="13" t="s">
        <v>1457</v>
      </c>
      <c r="C50" s="13">
        <v>5</v>
      </c>
      <c r="D50" s="13">
        <v>3</v>
      </c>
      <c r="E50" s="13">
        <v>6</v>
      </c>
    </row>
    <row r="51" spans="1:5" x14ac:dyDescent="0.3">
      <c r="A51" s="13" t="s">
        <v>0</v>
      </c>
      <c r="B51" s="13" t="s">
        <v>195</v>
      </c>
      <c r="C51" s="13">
        <v>3</v>
      </c>
      <c r="D51" s="13">
        <v>3</v>
      </c>
      <c r="E51" s="13">
        <v>3</v>
      </c>
    </row>
    <row r="52" spans="1:5" x14ac:dyDescent="0.3">
      <c r="A52" s="13" t="s">
        <v>0</v>
      </c>
      <c r="B52" s="13" t="s">
        <v>121</v>
      </c>
      <c r="C52" s="13">
        <v>3</v>
      </c>
      <c r="D52" s="13">
        <v>3</v>
      </c>
      <c r="E52" s="13">
        <v>4</v>
      </c>
    </row>
    <row r="53" spans="1:5" x14ac:dyDescent="0.3">
      <c r="A53" s="13" t="s">
        <v>1</v>
      </c>
      <c r="B53" s="13" t="s">
        <v>47</v>
      </c>
      <c r="C53" s="13">
        <v>2</v>
      </c>
      <c r="D53" s="13">
        <v>2</v>
      </c>
      <c r="E53" s="13">
        <v>2</v>
      </c>
    </row>
    <row r="54" spans="1:5" x14ac:dyDescent="0.3">
      <c r="A54" s="13" t="s">
        <v>1</v>
      </c>
      <c r="B54" s="13" t="s">
        <v>380</v>
      </c>
      <c r="C54" s="13">
        <v>3</v>
      </c>
      <c r="D54" s="13">
        <v>2</v>
      </c>
      <c r="E54" s="13">
        <v>3</v>
      </c>
    </row>
    <row r="55" spans="1:5" x14ac:dyDescent="0.3">
      <c r="A55" s="13" t="s">
        <v>1</v>
      </c>
      <c r="B55" s="13" t="s">
        <v>586</v>
      </c>
      <c r="C55" s="13">
        <v>2</v>
      </c>
      <c r="D55" s="13">
        <v>2</v>
      </c>
      <c r="E55" s="13">
        <v>2</v>
      </c>
    </row>
    <row r="56" spans="1:5" x14ac:dyDescent="0.3">
      <c r="A56" s="13" t="s">
        <v>1</v>
      </c>
      <c r="B56" s="13" t="s">
        <v>346</v>
      </c>
      <c r="C56" s="13">
        <v>2</v>
      </c>
      <c r="D56" s="13">
        <v>2</v>
      </c>
      <c r="E56" s="13">
        <v>2</v>
      </c>
    </row>
    <row r="57" spans="1:5" x14ac:dyDescent="0.3">
      <c r="A57" s="13" t="s">
        <v>1</v>
      </c>
      <c r="B57" s="13" t="s">
        <v>499</v>
      </c>
      <c r="C57" s="13">
        <v>2</v>
      </c>
      <c r="D57" s="13">
        <v>2</v>
      </c>
      <c r="E57" s="13">
        <v>2</v>
      </c>
    </row>
    <row r="58" spans="1:5" x14ac:dyDescent="0.3">
      <c r="A58" s="13" t="s">
        <v>1</v>
      </c>
      <c r="B58" s="13" t="s">
        <v>77</v>
      </c>
      <c r="C58" s="13">
        <v>2</v>
      </c>
      <c r="D58" s="13">
        <v>2</v>
      </c>
      <c r="E58" s="13">
        <v>2</v>
      </c>
    </row>
    <row r="59" spans="1:5" x14ac:dyDescent="0.3">
      <c r="A59" s="13" t="s">
        <v>1</v>
      </c>
      <c r="B59" s="13" t="s">
        <v>304</v>
      </c>
      <c r="C59" s="13">
        <v>3</v>
      </c>
      <c r="D59" s="13">
        <v>2</v>
      </c>
      <c r="E59" s="13">
        <v>3</v>
      </c>
    </row>
    <row r="60" spans="1:5" x14ac:dyDescent="0.3">
      <c r="A60" s="13" t="s">
        <v>1</v>
      </c>
      <c r="B60" s="13" t="s">
        <v>351</v>
      </c>
      <c r="C60" s="13">
        <v>4</v>
      </c>
      <c r="D60" s="13">
        <v>2</v>
      </c>
      <c r="E60" s="13">
        <v>4</v>
      </c>
    </row>
    <row r="61" spans="1:5" x14ac:dyDescent="0.3">
      <c r="A61" s="13" t="s">
        <v>1</v>
      </c>
      <c r="B61" s="13" t="s">
        <v>272</v>
      </c>
      <c r="C61" s="13">
        <v>3</v>
      </c>
      <c r="D61" s="13">
        <v>2</v>
      </c>
      <c r="E61" s="13">
        <v>3</v>
      </c>
    </row>
    <row r="62" spans="1:5" x14ac:dyDescent="0.3">
      <c r="A62" s="13" t="s">
        <v>1</v>
      </c>
      <c r="B62" s="13" t="s">
        <v>151</v>
      </c>
      <c r="C62" s="13">
        <v>4</v>
      </c>
      <c r="D62" s="13">
        <v>2</v>
      </c>
      <c r="E62" s="13">
        <v>4</v>
      </c>
    </row>
    <row r="63" spans="1:5" x14ac:dyDescent="0.3">
      <c r="A63" s="13" t="s">
        <v>1</v>
      </c>
      <c r="B63" s="13" t="s">
        <v>42</v>
      </c>
      <c r="C63" s="13">
        <v>3</v>
      </c>
      <c r="D63" s="13">
        <v>2</v>
      </c>
      <c r="E63" s="13">
        <v>3</v>
      </c>
    </row>
    <row r="64" spans="1:5" x14ac:dyDescent="0.3">
      <c r="A64" s="13" t="s">
        <v>1</v>
      </c>
      <c r="B64" s="13" t="s">
        <v>93</v>
      </c>
      <c r="C64" s="13">
        <v>3</v>
      </c>
      <c r="D64" s="13">
        <v>2</v>
      </c>
      <c r="E64" s="13">
        <v>4</v>
      </c>
    </row>
    <row r="65" spans="1:5" x14ac:dyDescent="0.3">
      <c r="A65" s="13" t="s">
        <v>1</v>
      </c>
      <c r="B65" s="13" t="s">
        <v>61</v>
      </c>
      <c r="C65" s="13">
        <v>6</v>
      </c>
      <c r="D65" s="13">
        <v>2</v>
      </c>
      <c r="E65" s="13">
        <v>6</v>
      </c>
    </row>
    <row r="66" spans="1:5" x14ac:dyDescent="0.3">
      <c r="A66" s="13" t="s">
        <v>1</v>
      </c>
      <c r="B66" s="13" t="s">
        <v>1741</v>
      </c>
      <c r="C66" s="13">
        <v>4</v>
      </c>
      <c r="D66" s="13">
        <v>2</v>
      </c>
      <c r="E66" s="13">
        <v>4</v>
      </c>
    </row>
    <row r="67" spans="1:5" x14ac:dyDescent="0.3">
      <c r="A67" s="13" t="s">
        <v>1</v>
      </c>
      <c r="B67" s="13" t="s">
        <v>35</v>
      </c>
      <c r="C67" s="13">
        <v>2</v>
      </c>
      <c r="D67" s="13">
        <v>2</v>
      </c>
      <c r="E67" s="13">
        <v>2</v>
      </c>
    </row>
    <row r="68" spans="1:5" x14ac:dyDescent="0.3">
      <c r="A68" s="13" t="s">
        <v>1</v>
      </c>
      <c r="B68" s="13" t="s">
        <v>258</v>
      </c>
      <c r="C68" s="13">
        <v>2</v>
      </c>
      <c r="D68" s="13">
        <v>2</v>
      </c>
      <c r="E68" s="13">
        <v>2</v>
      </c>
    </row>
    <row r="69" spans="1:5" x14ac:dyDescent="0.3">
      <c r="A69" s="13" t="s">
        <v>1</v>
      </c>
      <c r="B69" s="13" t="s">
        <v>860</v>
      </c>
      <c r="C69" s="13">
        <v>2</v>
      </c>
      <c r="D69" s="13">
        <v>2</v>
      </c>
      <c r="E69" s="13">
        <v>2</v>
      </c>
    </row>
    <row r="70" spans="1:5" x14ac:dyDescent="0.3">
      <c r="A70" s="13" t="s">
        <v>1</v>
      </c>
      <c r="B70" s="13" t="s">
        <v>104</v>
      </c>
      <c r="C70" s="13">
        <v>2</v>
      </c>
      <c r="D70" s="13">
        <v>2</v>
      </c>
      <c r="E70" s="13">
        <v>2</v>
      </c>
    </row>
    <row r="71" spans="1:5" x14ac:dyDescent="0.3">
      <c r="A71" s="13" t="s">
        <v>1</v>
      </c>
      <c r="B71" s="13" t="s">
        <v>43</v>
      </c>
      <c r="C71" s="13">
        <v>2</v>
      </c>
      <c r="D71" s="13">
        <v>2</v>
      </c>
      <c r="E71" s="13">
        <v>2</v>
      </c>
    </row>
    <row r="72" spans="1:5" x14ac:dyDescent="0.3">
      <c r="A72" s="13" t="s">
        <v>1</v>
      </c>
      <c r="B72" s="13" t="s">
        <v>108</v>
      </c>
      <c r="C72" s="13">
        <v>2</v>
      </c>
      <c r="D72" s="13">
        <v>2</v>
      </c>
      <c r="E72" s="13">
        <v>4</v>
      </c>
    </row>
    <row r="73" spans="1:5" x14ac:dyDescent="0.3">
      <c r="A73" s="13" t="s">
        <v>1</v>
      </c>
      <c r="B73" s="13" t="s">
        <v>620</v>
      </c>
      <c r="C73" s="13">
        <v>2</v>
      </c>
      <c r="D73" s="13">
        <v>2</v>
      </c>
      <c r="E73" s="13">
        <v>2</v>
      </c>
    </row>
    <row r="74" spans="1:5" x14ac:dyDescent="0.3">
      <c r="A74" s="13" t="s">
        <v>1</v>
      </c>
      <c r="B74" s="13" t="s">
        <v>111</v>
      </c>
      <c r="C74" s="13">
        <v>3</v>
      </c>
      <c r="D74" s="13">
        <v>2</v>
      </c>
      <c r="E74" s="13">
        <v>3</v>
      </c>
    </row>
    <row r="75" spans="1:5" x14ac:dyDescent="0.3">
      <c r="A75" s="13" t="s">
        <v>1</v>
      </c>
      <c r="B75" s="13" t="s">
        <v>51</v>
      </c>
      <c r="C75" s="13">
        <v>2</v>
      </c>
      <c r="D75" s="13">
        <v>2</v>
      </c>
      <c r="E75" s="13">
        <v>3</v>
      </c>
    </row>
    <row r="76" spans="1:5" x14ac:dyDescent="0.3">
      <c r="A76" s="13" t="s">
        <v>1</v>
      </c>
      <c r="B76" s="13" t="s">
        <v>44</v>
      </c>
      <c r="C76" s="13">
        <v>2</v>
      </c>
      <c r="D76" s="13">
        <v>2</v>
      </c>
      <c r="E76" s="13">
        <v>3</v>
      </c>
    </row>
    <row r="77" spans="1:5" x14ac:dyDescent="0.3">
      <c r="A77" s="13" t="s">
        <v>1</v>
      </c>
      <c r="B77" s="13" t="s">
        <v>835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114</v>
      </c>
      <c r="C78" s="13">
        <v>2</v>
      </c>
      <c r="D78" s="13">
        <v>2</v>
      </c>
      <c r="E78" s="13">
        <v>2</v>
      </c>
    </row>
    <row r="79" spans="1:5" x14ac:dyDescent="0.3">
      <c r="A79" s="13" t="s">
        <v>1</v>
      </c>
      <c r="B79" s="13" t="s">
        <v>115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172</v>
      </c>
      <c r="C80" s="13">
        <v>3</v>
      </c>
      <c r="D80" s="13">
        <v>2</v>
      </c>
      <c r="E80" s="13">
        <v>3</v>
      </c>
    </row>
    <row r="81" spans="1:5" x14ac:dyDescent="0.3">
      <c r="A81" s="13" t="s">
        <v>1</v>
      </c>
      <c r="B81" s="13" t="s">
        <v>119</v>
      </c>
      <c r="C81" s="13">
        <v>2</v>
      </c>
      <c r="D81" s="13">
        <v>2</v>
      </c>
      <c r="E81" s="13">
        <v>2</v>
      </c>
    </row>
    <row r="82" spans="1:5" x14ac:dyDescent="0.3">
      <c r="A82" s="13" t="s">
        <v>1</v>
      </c>
      <c r="B82" s="13" t="s">
        <v>631</v>
      </c>
      <c r="C82" s="13">
        <v>3</v>
      </c>
      <c r="D82" s="13">
        <v>2</v>
      </c>
      <c r="E82" s="13">
        <v>3</v>
      </c>
    </row>
    <row r="83" spans="1:5" x14ac:dyDescent="0.3">
      <c r="A83" s="13" t="s">
        <v>1</v>
      </c>
      <c r="B83" s="13" t="s">
        <v>120</v>
      </c>
      <c r="C83" s="13">
        <v>2</v>
      </c>
      <c r="D83" s="13">
        <v>2</v>
      </c>
      <c r="E83" s="13">
        <v>2</v>
      </c>
    </row>
    <row r="84" spans="1:5" x14ac:dyDescent="0.3">
      <c r="A84" s="13" t="s">
        <v>1</v>
      </c>
      <c r="B84" s="13" t="s">
        <v>121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122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63</v>
      </c>
      <c r="C86" s="13">
        <v>2</v>
      </c>
      <c r="D86" s="13">
        <v>2</v>
      </c>
      <c r="E86" s="13">
        <v>2</v>
      </c>
    </row>
    <row r="87" spans="1:5" x14ac:dyDescent="0.3">
      <c r="A87" s="13" t="s">
        <v>1</v>
      </c>
      <c r="B87" s="13" t="s">
        <v>132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191</v>
      </c>
      <c r="C88" s="13">
        <v>8</v>
      </c>
      <c r="D88" s="13">
        <v>2</v>
      </c>
      <c r="E88" s="13">
        <v>13</v>
      </c>
    </row>
    <row r="89" spans="1:5" x14ac:dyDescent="0.3">
      <c r="A89" s="13" t="s">
        <v>0</v>
      </c>
      <c r="B89" s="13" t="s">
        <v>373</v>
      </c>
      <c r="C89" s="13">
        <v>2</v>
      </c>
      <c r="D89" s="13">
        <v>2</v>
      </c>
      <c r="E89" s="13">
        <v>2</v>
      </c>
    </row>
    <row r="90" spans="1:5" x14ac:dyDescent="0.3">
      <c r="A90" s="13" t="s">
        <v>0</v>
      </c>
      <c r="B90" s="13" t="s">
        <v>586</v>
      </c>
      <c r="C90" s="13">
        <v>2</v>
      </c>
      <c r="D90" s="13">
        <v>2</v>
      </c>
      <c r="E90" s="13">
        <v>4</v>
      </c>
    </row>
    <row r="91" spans="1:5" x14ac:dyDescent="0.3">
      <c r="A91" s="13" t="s">
        <v>0</v>
      </c>
      <c r="B91" s="13" t="s">
        <v>346</v>
      </c>
      <c r="C91" s="13">
        <v>2</v>
      </c>
      <c r="D91" s="13">
        <v>2</v>
      </c>
      <c r="E91" s="13">
        <v>2</v>
      </c>
    </row>
    <row r="92" spans="1:5" x14ac:dyDescent="0.3">
      <c r="A92" s="13" t="s">
        <v>0</v>
      </c>
      <c r="B92" s="13" t="s">
        <v>77</v>
      </c>
      <c r="C92" s="13">
        <v>2</v>
      </c>
      <c r="D92" s="13">
        <v>2</v>
      </c>
      <c r="E92" s="13">
        <v>2</v>
      </c>
    </row>
    <row r="93" spans="1:5" x14ac:dyDescent="0.3">
      <c r="A93" s="13" t="s">
        <v>0</v>
      </c>
      <c r="B93" s="13" t="s">
        <v>145</v>
      </c>
      <c r="C93" s="13">
        <v>2</v>
      </c>
      <c r="D93" s="13">
        <v>2</v>
      </c>
      <c r="E93" s="13">
        <v>4</v>
      </c>
    </row>
    <row r="94" spans="1:5" x14ac:dyDescent="0.3">
      <c r="A94" s="13" t="s">
        <v>0</v>
      </c>
      <c r="B94" s="13" t="s">
        <v>147</v>
      </c>
      <c r="C94" s="13">
        <v>2</v>
      </c>
      <c r="D94" s="13">
        <v>2</v>
      </c>
      <c r="E94" s="13">
        <v>2</v>
      </c>
    </row>
    <row r="95" spans="1:5" x14ac:dyDescent="0.3">
      <c r="A95" s="13" t="s">
        <v>0</v>
      </c>
      <c r="B95" s="13" t="s">
        <v>354</v>
      </c>
      <c r="C95" s="13">
        <v>2</v>
      </c>
      <c r="D95" s="13">
        <v>2</v>
      </c>
      <c r="E95" s="13">
        <v>3</v>
      </c>
    </row>
    <row r="96" spans="1:5" x14ac:dyDescent="0.3">
      <c r="A96" s="13" t="s">
        <v>0</v>
      </c>
      <c r="B96" s="13" t="s">
        <v>1988</v>
      </c>
      <c r="C96" s="13">
        <v>2</v>
      </c>
      <c r="D96" s="13">
        <v>2</v>
      </c>
      <c r="E96" s="13">
        <v>3</v>
      </c>
    </row>
    <row r="97" spans="1:5" x14ac:dyDescent="0.3">
      <c r="A97" s="13" t="s">
        <v>0</v>
      </c>
      <c r="B97" s="13" t="s">
        <v>2148</v>
      </c>
      <c r="C97" s="13">
        <v>2</v>
      </c>
      <c r="D97" s="13">
        <v>2</v>
      </c>
      <c r="E97" s="13">
        <v>2</v>
      </c>
    </row>
    <row r="98" spans="1:5" x14ac:dyDescent="0.3">
      <c r="A98" s="13" t="s">
        <v>0</v>
      </c>
      <c r="B98" s="13" t="s">
        <v>2179</v>
      </c>
      <c r="C98" s="13">
        <v>2</v>
      </c>
      <c r="D98" s="13">
        <v>2</v>
      </c>
      <c r="E98" s="13">
        <v>2</v>
      </c>
    </row>
    <row r="99" spans="1:5" x14ac:dyDescent="0.3">
      <c r="A99" s="13" t="s">
        <v>0</v>
      </c>
      <c r="B99" s="13" t="s">
        <v>159</v>
      </c>
      <c r="C99" s="13">
        <v>2</v>
      </c>
      <c r="D99" s="13">
        <v>2</v>
      </c>
      <c r="E99" s="13">
        <v>2</v>
      </c>
    </row>
    <row r="100" spans="1:5" x14ac:dyDescent="0.3">
      <c r="A100" s="13" t="s">
        <v>0</v>
      </c>
      <c r="B100" s="13" t="s">
        <v>429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0</v>
      </c>
      <c r="B101" s="13" t="s">
        <v>51</v>
      </c>
      <c r="C101" s="13">
        <v>3</v>
      </c>
      <c r="D101" s="13">
        <v>2</v>
      </c>
      <c r="E101" s="13">
        <v>3</v>
      </c>
    </row>
    <row r="102" spans="1:5" x14ac:dyDescent="0.3">
      <c r="A102" s="13" t="s">
        <v>0</v>
      </c>
      <c r="B102" s="13" t="s">
        <v>44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0</v>
      </c>
      <c r="B103" s="13" t="s">
        <v>1107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0</v>
      </c>
      <c r="B104" s="13" t="s">
        <v>374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0</v>
      </c>
      <c r="B105" s="13" t="s">
        <v>120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0</v>
      </c>
      <c r="B106" s="13" t="s">
        <v>46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0</v>
      </c>
      <c r="B107" s="13" t="s">
        <v>339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0</v>
      </c>
      <c r="B108" s="13" t="s">
        <v>130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0</v>
      </c>
      <c r="B109" s="13" t="s">
        <v>66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0</v>
      </c>
      <c r="B110" s="13" t="s">
        <v>39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1</v>
      </c>
      <c r="B111" s="13" t="s">
        <v>377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137</v>
      </c>
      <c r="C112" s="13">
        <v>2</v>
      </c>
      <c r="D112" s="13">
        <v>1</v>
      </c>
      <c r="E112" s="13">
        <v>2</v>
      </c>
    </row>
    <row r="113" spans="1:5" x14ac:dyDescent="0.3">
      <c r="A113" s="13" t="s">
        <v>1</v>
      </c>
      <c r="B113" s="13" t="s">
        <v>238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2625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199</v>
      </c>
      <c r="C115" s="13">
        <v>2</v>
      </c>
      <c r="D115" s="13">
        <v>1</v>
      </c>
      <c r="E115" s="13">
        <v>2</v>
      </c>
    </row>
    <row r="116" spans="1:5" x14ac:dyDescent="0.3">
      <c r="A116" s="13" t="s">
        <v>1</v>
      </c>
      <c r="B116" s="13" t="s">
        <v>2626</v>
      </c>
      <c r="C116" s="13">
        <v>1</v>
      </c>
      <c r="D116" s="13">
        <v>1</v>
      </c>
      <c r="E116" s="13">
        <v>2</v>
      </c>
    </row>
    <row r="117" spans="1:5" x14ac:dyDescent="0.3">
      <c r="A117" s="13" t="s">
        <v>1</v>
      </c>
      <c r="B117" s="13" t="s">
        <v>138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2627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470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73</v>
      </c>
      <c r="C120" s="13">
        <v>2</v>
      </c>
      <c r="D120" s="13">
        <v>1</v>
      </c>
      <c r="E120" s="13">
        <v>2</v>
      </c>
    </row>
    <row r="121" spans="1:5" x14ac:dyDescent="0.3">
      <c r="A121" s="13" t="s">
        <v>1</v>
      </c>
      <c r="B121" s="13" t="s">
        <v>753</v>
      </c>
      <c r="C121" s="13">
        <v>1</v>
      </c>
      <c r="D121" s="13">
        <v>1</v>
      </c>
      <c r="E121" s="13">
        <v>2</v>
      </c>
    </row>
    <row r="122" spans="1:5" x14ac:dyDescent="0.3">
      <c r="A122" s="13" t="s">
        <v>1</v>
      </c>
      <c r="B122" s="13" t="s">
        <v>670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204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420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382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264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141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206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142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497</v>
      </c>
      <c r="C130" s="13">
        <v>1</v>
      </c>
      <c r="D130" s="13">
        <v>1</v>
      </c>
      <c r="E130" s="13">
        <v>2</v>
      </c>
    </row>
    <row r="131" spans="1:5" x14ac:dyDescent="0.3">
      <c r="A131" s="13" t="s">
        <v>1</v>
      </c>
      <c r="B131" s="13" t="s">
        <v>1226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1517</v>
      </c>
      <c r="C132" s="13">
        <v>1</v>
      </c>
      <c r="D132" s="13">
        <v>1</v>
      </c>
      <c r="E132" s="13">
        <v>2</v>
      </c>
    </row>
    <row r="133" spans="1:5" x14ac:dyDescent="0.3">
      <c r="A133" s="13" t="s">
        <v>1</v>
      </c>
      <c r="B133" s="13" t="s">
        <v>59</v>
      </c>
      <c r="C133" s="13">
        <v>2</v>
      </c>
      <c r="D133" s="13">
        <v>1</v>
      </c>
      <c r="E133" s="13">
        <v>2</v>
      </c>
    </row>
    <row r="134" spans="1:5" x14ac:dyDescent="0.3">
      <c r="A134" s="13" t="s">
        <v>1</v>
      </c>
      <c r="B134" s="13" t="s">
        <v>207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813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209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83</v>
      </c>
      <c r="C137" s="13">
        <v>3</v>
      </c>
      <c r="D137" s="13">
        <v>1</v>
      </c>
      <c r="E137" s="13">
        <v>4</v>
      </c>
    </row>
    <row r="138" spans="1:5" x14ac:dyDescent="0.3">
      <c r="A138" s="13" t="s">
        <v>1</v>
      </c>
      <c r="B138" s="13" t="s">
        <v>500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1382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728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1249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1031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147</v>
      </c>
      <c r="C143" s="13">
        <v>2</v>
      </c>
      <c r="D143" s="13">
        <v>1</v>
      </c>
      <c r="E143" s="13">
        <v>2</v>
      </c>
    </row>
    <row r="144" spans="1:5" x14ac:dyDescent="0.3">
      <c r="A144" s="13" t="s">
        <v>1</v>
      </c>
      <c r="B144" s="13" t="s">
        <v>1052</v>
      </c>
      <c r="C144" s="13">
        <v>1</v>
      </c>
      <c r="D144" s="13">
        <v>1</v>
      </c>
      <c r="E144" s="13">
        <v>5</v>
      </c>
    </row>
    <row r="145" spans="1:5" x14ac:dyDescent="0.3">
      <c r="A145" s="13" t="s">
        <v>1</v>
      </c>
      <c r="B145" s="13" t="s">
        <v>214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149</v>
      </c>
      <c r="C146" s="13">
        <v>3</v>
      </c>
      <c r="D146" s="13">
        <v>1</v>
      </c>
      <c r="E146" s="13">
        <v>3</v>
      </c>
    </row>
    <row r="147" spans="1:5" x14ac:dyDescent="0.3">
      <c r="A147" s="13" t="s">
        <v>1</v>
      </c>
      <c r="B147" s="13" t="s">
        <v>1268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872</v>
      </c>
      <c r="C148" s="13">
        <v>2</v>
      </c>
      <c r="D148" s="13">
        <v>1</v>
      </c>
      <c r="E148" s="13">
        <v>3</v>
      </c>
    </row>
    <row r="149" spans="1:5" x14ac:dyDescent="0.3">
      <c r="A149" s="13" t="s">
        <v>1</v>
      </c>
      <c r="B149" s="13" t="s">
        <v>1183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91</v>
      </c>
      <c r="C150" s="13">
        <v>3</v>
      </c>
      <c r="D150" s="13">
        <v>1</v>
      </c>
      <c r="E150" s="13">
        <v>3</v>
      </c>
    </row>
    <row r="151" spans="1:5" x14ac:dyDescent="0.3">
      <c r="A151" s="13" t="s">
        <v>1</v>
      </c>
      <c r="B151" s="13" t="s">
        <v>92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352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658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152</v>
      </c>
      <c r="C154" s="13">
        <v>2</v>
      </c>
      <c r="D154" s="13">
        <v>1</v>
      </c>
      <c r="E154" s="13">
        <v>2</v>
      </c>
    </row>
    <row r="155" spans="1:5" x14ac:dyDescent="0.3">
      <c r="A155" s="13" t="s">
        <v>1</v>
      </c>
      <c r="B155" s="13" t="s">
        <v>2085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471</v>
      </c>
      <c r="C156" s="13">
        <v>3</v>
      </c>
      <c r="D156" s="13">
        <v>1</v>
      </c>
      <c r="E156" s="13">
        <v>5</v>
      </c>
    </row>
    <row r="157" spans="1:5" x14ac:dyDescent="0.3">
      <c r="A157" s="13" t="s">
        <v>1</v>
      </c>
      <c r="B157" s="13" t="s">
        <v>1492</v>
      </c>
      <c r="C157" s="13">
        <v>2</v>
      </c>
      <c r="D157" s="13">
        <v>1</v>
      </c>
      <c r="E157" s="13">
        <v>2</v>
      </c>
    </row>
    <row r="158" spans="1:5" x14ac:dyDescent="0.3">
      <c r="A158" s="13" t="s">
        <v>1</v>
      </c>
      <c r="B158" s="13" t="s">
        <v>1498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1570</v>
      </c>
      <c r="C159" s="13">
        <v>5</v>
      </c>
      <c r="D159" s="13">
        <v>1</v>
      </c>
      <c r="E159" s="13">
        <v>5</v>
      </c>
    </row>
    <row r="160" spans="1:5" x14ac:dyDescent="0.3">
      <c r="A160" s="13" t="s">
        <v>1</v>
      </c>
      <c r="B160" s="13" t="s">
        <v>1854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2111</v>
      </c>
      <c r="C161" s="13">
        <v>1</v>
      </c>
      <c r="D161" s="13">
        <v>1</v>
      </c>
      <c r="E161" s="13"/>
    </row>
    <row r="162" spans="1:5" x14ac:dyDescent="0.3">
      <c r="A162" s="13" t="s">
        <v>1</v>
      </c>
      <c r="B162" s="13" t="s">
        <v>1883</v>
      </c>
      <c r="C162" s="13">
        <v>4</v>
      </c>
      <c r="D162" s="13">
        <v>1</v>
      </c>
      <c r="E162" s="13">
        <v>4</v>
      </c>
    </row>
    <row r="163" spans="1:5" x14ac:dyDescent="0.3">
      <c r="A163" s="13" t="s">
        <v>1</v>
      </c>
      <c r="B163" s="13" t="s">
        <v>1882</v>
      </c>
      <c r="C163" s="13">
        <v>3</v>
      </c>
      <c r="D163" s="13">
        <v>1</v>
      </c>
      <c r="E163" s="13">
        <v>3</v>
      </c>
    </row>
    <row r="164" spans="1:5" x14ac:dyDescent="0.3">
      <c r="A164" s="13" t="s">
        <v>1</v>
      </c>
      <c r="B164" s="13" t="s">
        <v>1969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1989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819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155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559</v>
      </c>
      <c r="C168" s="13">
        <v>2</v>
      </c>
      <c r="D168" s="13">
        <v>1</v>
      </c>
      <c r="E168" s="13">
        <v>2</v>
      </c>
    </row>
    <row r="169" spans="1:5" x14ac:dyDescent="0.3">
      <c r="A169" s="13" t="s">
        <v>1</v>
      </c>
      <c r="B169" s="13" t="s">
        <v>1958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932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2628</v>
      </c>
      <c r="C171" s="13">
        <v>1</v>
      </c>
      <c r="D171" s="13">
        <v>1</v>
      </c>
      <c r="E171" s="13">
        <v>2</v>
      </c>
    </row>
    <row r="172" spans="1:5" x14ac:dyDescent="0.3">
      <c r="A172" s="13" t="s">
        <v>1</v>
      </c>
      <c r="B172" s="13" t="s">
        <v>476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274</v>
      </c>
      <c r="C173" s="13">
        <v>2</v>
      </c>
      <c r="D173" s="13">
        <v>1</v>
      </c>
      <c r="E173" s="13">
        <v>2</v>
      </c>
    </row>
    <row r="174" spans="1:5" x14ac:dyDescent="0.3">
      <c r="A174" s="13" t="s">
        <v>1</v>
      </c>
      <c r="B174" s="13" t="s">
        <v>1342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679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97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2629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680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156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391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562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934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341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161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162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1233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163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939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429</v>
      </c>
      <c r="C189" s="13">
        <v>2</v>
      </c>
      <c r="D189" s="13">
        <v>1</v>
      </c>
      <c r="E189" s="13">
        <v>2</v>
      </c>
    </row>
    <row r="190" spans="1:5" x14ac:dyDescent="0.3">
      <c r="A190" s="13" t="s">
        <v>1</v>
      </c>
      <c r="B190" s="13" t="s">
        <v>1577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50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395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619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2630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2631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281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1638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170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477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1355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2447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568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1214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1107</v>
      </c>
      <c r="C204" s="13">
        <v>2</v>
      </c>
      <c r="D204" s="13">
        <v>1</v>
      </c>
      <c r="E204" s="13">
        <v>2</v>
      </c>
    </row>
    <row r="205" spans="1:5" x14ac:dyDescent="0.3">
      <c r="A205" s="13" t="s">
        <v>1</v>
      </c>
      <c r="B205" s="13" t="s">
        <v>1794</v>
      </c>
      <c r="C205" s="13">
        <v>1</v>
      </c>
      <c r="D205" s="13">
        <v>1</v>
      </c>
      <c r="E205" s="13">
        <v>2</v>
      </c>
    </row>
    <row r="206" spans="1:5" x14ac:dyDescent="0.3">
      <c r="A206" s="13" t="s">
        <v>1</v>
      </c>
      <c r="B206" s="13" t="s">
        <v>736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570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1846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1939</v>
      </c>
      <c r="C209" s="13">
        <v>1</v>
      </c>
      <c r="D209" s="13">
        <v>1</v>
      </c>
      <c r="E209" s="13">
        <v>2</v>
      </c>
    </row>
    <row r="210" spans="1:5" x14ac:dyDescent="0.3">
      <c r="A210" s="13" t="s">
        <v>1</v>
      </c>
      <c r="B210" s="13" t="s">
        <v>226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325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580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1880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2082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525</v>
      </c>
      <c r="C215" s="13">
        <v>3</v>
      </c>
      <c r="D215" s="13">
        <v>1</v>
      </c>
      <c r="E215" s="13">
        <v>3</v>
      </c>
    </row>
    <row r="216" spans="1:5" x14ac:dyDescent="0.3">
      <c r="A216" s="13" t="s">
        <v>1</v>
      </c>
      <c r="B216" s="13" t="s">
        <v>1099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326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626</v>
      </c>
      <c r="C218" s="13">
        <v>1</v>
      </c>
      <c r="D218" s="13">
        <v>1</v>
      </c>
      <c r="E218" s="13">
        <v>3</v>
      </c>
    </row>
    <row r="219" spans="1:5" x14ac:dyDescent="0.3">
      <c r="A219" s="13" t="s">
        <v>1</v>
      </c>
      <c r="B219" s="13" t="s">
        <v>327</v>
      </c>
      <c r="C219" s="13">
        <v>1</v>
      </c>
      <c r="D219" s="13">
        <v>1</v>
      </c>
      <c r="E219" s="13">
        <v>2</v>
      </c>
    </row>
    <row r="220" spans="1:5" x14ac:dyDescent="0.3">
      <c r="A220" s="13" t="s">
        <v>1</v>
      </c>
      <c r="B220" s="13" t="s">
        <v>328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629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1101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1202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288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1548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117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2632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404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434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1168</v>
      </c>
      <c r="C230" s="13">
        <v>1</v>
      </c>
      <c r="D230" s="13">
        <v>1</v>
      </c>
      <c r="E230" s="13">
        <v>2</v>
      </c>
    </row>
    <row r="231" spans="1:5" x14ac:dyDescent="0.3">
      <c r="A231" s="13" t="s">
        <v>1</v>
      </c>
      <c r="B231" s="13" t="s">
        <v>118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196</v>
      </c>
      <c r="C232" s="13">
        <v>1</v>
      </c>
      <c r="D232" s="13">
        <v>1</v>
      </c>
      <c r="E232" s="13">
        <v>2</v>
      </c>
    </row>
    <row r="233" spans="1:5" x14ac:dyDescent="0.3">
      <c r="A233" s="13" t="s">
        <v>1</v>
      </c>
      <c r="B233" s="13" t="s">
        <v>632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62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123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1092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903</v>
      </c>
      <c r="C237" s="13">
        <v>1</v>
      </c>
      <c r="D237" s="13">
        <v>1</v>
      </c>
      <c r="E237" s="13">
        <v>2</v>
      </c>
    </row>
    <row r="238" spans="1:5" x14ac:dyDescent="0.3">
      <c r="A238" s="13" t="s">
        <v>1</v>
      </c>
      <c r="B238" s="13" t="s">
        <v>1120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953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1142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709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668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1295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1756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179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711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975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845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467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578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2633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2634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416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339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52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126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130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38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483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64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541</v>
      </c>
      <c r="C261" s="13">
        <v>1</v>
      </c>
      <c r="D261" s="13">
        <v>1</v>
      </c>
      <c r="E261" s="13">
        <v>2</v>
      </c>
    </row>
    <row r="262" spans="1:5" x14ac:dyDescent="0.3">
      <c r="A262" s="13" t="s">
        <v>1</v>
      </c>
      <c r="B262" s="13" t="s">
        <v>716</v>
      </c>
      <c r="C262" s="13">
        <v>3</v>
      </c>
      <c r="D262" s="13">
        <v>1</v>
      </c>
      <c r="E262" s="13">
        <v>3</v>
      </c>
    </row>
    <row r="263" spans="1:5" x14ac:dyDescent="0.3">
      <c r="A263" s="13" t="s">
        <v>1</v>
      </c>
      <c r="B263" s="13" t="s">
        <v>2622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542</v>
      </c>
      <c r="C264" s="13">
        <v>3</v>
      </c>
      <c r="D264" s="13">
        <v>1</v>
      </c>
      <c r="E264" s="13">
        <v>5</v>
      </c>
    </row>
    <row r="265" spans="1:5" x14ac:dyDescent="0.3">
      <c r="A265" s="13" t="s">
        <v>1</v>
      </c>
      <c r="B265" s="13" t="s">
        <v>53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67</v>
      </c>
      <c r="C266" s="13">
        <v>3</v>
      </c>
      <c r="D266" s="13">
        <v>1</v>
      </c>
      <c r="E266" s="13">
        <v>3</v>
      </c>
    </row>
    <row r="267" spans="1:5" x14ac:dyDescent="0.3">
      <c r="A267" s="13" t="s">
        <v>1</v>
      </c>
      <c r="B267" s="13" t="s">
        <v>55</v>
      </c>
      <c r="C267" s="13">
        <v>5</v>
      </c>
      <c r="D267" s="13">
        <v>1</v>
      </c>
      <c r="E267" s="13">
        <v>12</v>
      </c>
    </row>
    <row r="268" spans="1:5" x14ac:dyDescent="0.3">
      <c r="A268" s="13" t="s">
        <v>1</v>
      </c>
      <c r="B268" s="13" t="s">
        <v>1111</v>
      </c>
      <c r="C268" s="13">
        <v>1</v>
      </c>
      <c r="D268" s="13">
        <v>1</v>
      </c>
      <c r="E268" s="13">
        <v>2</v>
      </c>
    </row>
    <row r="269" spans="1:5" x14ac:dyDescent="0.3">
      <c r="A269" s="13" t="s">
        <v>1</v>
      </c>
      <c r="B269" s="13" t="s">
        <v>1563</v>
      </c>
      <c r="C269" s="13">
        <v>1</v>
      </c>
      <c r="D269" s="13">
        <v>1</v>
      </c>
      <c r="E269" s="13"/>
    </row>
    <row r="270" spans="1:5" x14ac:dyDescent="0.3">
      <c r="A270" s="13" t="s">
        <v>1</v>
      </c>
      <c r="B270" s="13" t="s">
        <v>869</v>
      </c>
      <c r="C270" s="13">
        <v>1</v>
      </c>
      <c r="D270" s="13">
        <v>1</v>
      </c>
      <c r="E270" s="13"/>
    </row>
    <row r="271" spans="1:5" x14ac:dyDescent="0.3">
      <c r="A271" s="13" t="s">
        <v>1</v>
      </c>
      <c r="B271" s="13" t="s">
        <v>2635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1952</v>
      </c>
      <c r="C272" s="13">
        <v>1</v>
      </c>
      <c r="D272" s="13">
        <v>2</v>
      </c>
      <c r="E272" s="13"/>
    </row>
    <row r="273" spans="1:5" x14ac:dyDescent="0.3">
      <c r="A273" s="13" t="s">
        <v>1</v>
      </c>
      <c r="B273" s="13" t="s">
        <v>1966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1767</v>
      </c>
      <c r="C274" s="13">
        <v>1</v>
      </c>
      <c r="D274" s="13">
        <v>1</v>
      </c>
      <c r="E274" s="13"/>
    </row>
    <row r="275" spans="1:5" x14ac:dyDescent="0.3">
      <c r="A275" s="13" t="s">
        <v>1</v>
      </c>
      <c r="B275" s="13" t="s">
        <v>2636</v>
      </c>
      <c r="C275" s="13">
        <v>1</v>
      </c>
      <c r="D275" s="13">
        <v>3</v>
      </c>
      <c r="E275" s="13"/>
    </row>
    <row r="276" spans="1:5" x14ac:dyDescent="0.3">
      <c r="A276" s="13" t="s">
        <v>1</v>
      </c>
      <c r="B276" s="13" t="s">
        <v>1630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2637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1566</v>
      </c>
      <c r="C278" s="13">
        <v>1</v>
      </c>
      <c r="D278" s="13">
        <v>1</v>
      </c>
      <c r="E278" s="13"/>
    </row>
    <row r="279" spans="1:5" x14ac:dyDescent="0.3">
      <c r="A279" s="13" t="s">
        <v>1</v>
      </c>
      <c r="B279" s="13" t="s">
        <v>1199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1897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2016</v>
      </c>
      <c r="C281" s="13">
        <v>1</v>
      </c>
      <c r="D281" s="13">
        <v>1</v>
      </c>
      <c r="E281" s="13">
        <v>2</v>
      </c>
    </row>
    <row r="282" spans="1:5" x14ac:dyDescent="0.3">
      <c r="A282" s="13" t="s">
        <v>0</v>
      </c>
      <c r="B282" s="13" t="s">
        <v>1122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0</v>
      </c>
      <c r="B283" s="13" t="s">
        <v>238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0</v>
      </c>
      <c r="B284" s="13" t="s">
        <v>486</v>
      </c>
      <c r="C284" s="13">
        <v>1</v>
      </c>
      <c r="D284" s="13">
        <v>1</v>
      </c>
      <c r="E284" s="13">
        <v>2</v>
      </c>
    </row>
    <row r="285" spans="1:5" x14ac:dyDescent="0.3">
      <c r="A285" s="13" t="s">
        <v>0</v>
      </c>
      <c r="B285" s="13" t="s">
        <v>47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0</v>
      </c>
      <c r="B286" s="13" t="s">
        <v>372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0</v>
      </c>
      <c r="B287" s="13" t="s">
        <v>73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0</v>
      </c>
      <c r="B288" s="13" t="s">
        <v>48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0</v>
      </c>
      <c r="B289" s="13" t="s">
        <v>670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0</v>
      </c>
      <c r="B290" s="13" t="s">
        <v>75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0</v>
      </c>
      <c r="B291" s="13" t="s">
        <v>556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0</v>
      </c>
      <c r="B292" s="13" t="s">
        <v>206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0</v>
      </c>
      <c r="B293" s="13" t="s">
        <v>267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0</v>
      </c>
      <c r="B294" s="13" t="s">
        <v>269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0</v>
      </c>
      <c r="B295" s="13" t="s">
        <v>796</v>
      </c>
      <c r="C295" s="13">
        <v>2</v>
      </c>
      <c r="D295" s="13">
        <v>1</v>
      </c>
      <c r="E295" s="13">
        <v>2</v>
      </c>
    </row>
    <row r="296" spans="1:5" x14ac:dyDescent="0.3">
      <c r="A296" s="13" t="s">
        <v>0</v>
      </c>
      <c r="B296" s="13" t="s">
        <v>304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0</v>
      </c>
      <c r="B297" s="13" t="s">
        <v>83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0</v>
      </c>
      <c r="B298" s="13" t="s">
        <v>349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0</v>
      </c>
      <c r="B299" s="13" t="s">
        <v>351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0</v>
      </c>
      <c r="B300" s="13" t="s">
        <v>87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0</v>
      </c>
      <c r="B301" s="13" t="s">
        <v>760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0</v>
      </c>
      <c r="B302" s="13" t="s">
        <v>90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0</v>
      </c>
      <c r="B303" s="13" t="s">
        <v>272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0</v>
      </c>
      <c r="B304" s="13" t="s">
        <v>993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0</v>
      </c>
      <c r="B305" s="13" t="s">
        <v>94</v>
      </c>
      <c r="C305" s="13">
        <v>2</v>
      </c>
      <c r="D305" s="13">
        <v>1</v>
      </c>
      <c r="E305" s="13">
        <v>2</v>
      </c>
    </row>
    <row r="306" spans="1:5" x14ac:dyDescent="0.3">
      <c r="A306" s="13" t="s">
        <v>0</v>
      </c>
      <c r="B306" s="13" t="s">
        <v>1570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0</v>
      </c>
      <c r="B307" s="13" t="s">
        <v>1624</v>
      </c>
      <c r="C307" s="13">
        <v>1</v>
      </c>
      <c r="D307" s="13">
        <v>1</v>
      </c>
      <c r="E307" s="13">
        <v>2</v>
      </c>
    </row>
    <row r="308" spans="1:5" x14ac:dyDescent="0.3">
      <c r="A308" s="13" t="s">
        <v>0</v>
      </c>
      <c r="B308" s="13" t="s">
        <v>1663</v>
      </c>
      <c r="C308" s="13">
        <v>3</v>
      </c>
      <c r="D308" s="13">
        <v>1</v>
      </c>
      <c r="E308" s="13">
        <v>4</v>
      </c>
    </row>
    <row r="309" spans="1:5" x14ac:dyDescent="0.3">
      <c r="A309" s="13" t="s">
        <v>0</v>
      </c>
      <c r="B309" s="13" t="s">
        <v>1852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0</v>
      </c>
      <c r="B310" s="13" t="s">
        <v>1905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0</v>
      </c>
      <c r="B311" s="13" t="s">
        <v>1918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0</v>
      </c>
      <c r="B312" s="13" t="s">
        <v>2197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0</v>
      </c>
      <c r="B313" s="13" t="s">
        <v>1885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0</v>
      </c>
      <c r="B314" s="13" t="s">
        <v>1883</v>
      </c>
      <c r="C314" s="13">
        <v>3</v>
      </c>
      <c r="D314" s="13">
        <v>1</v>
      </c>
      <c r="E314" s="13">
        <v>3</v>
      </c>
    </row>
    <row r="315" spans="1:5" x14ac:dyDescent="0.3">
      <c r="A315" s="13" t="s">
        <v>0</v>
      </c>
      <c r="B315" s="13" t="s">
        <v>1960</v>
      </c>
      <c r="C315" s="13">
        <v>1</v>
      </c>
      <c r="D315" s="13">
        <v>1</v>
      </c>
      <c r="E315" s="13">
        <v>2</v>
      </c>
    </row>
    <row r="316" spans="1:5" x14ac:dyDescent="0.3">
      <c r="A316" s="13" t="s">
        <v>0</v>
      </c>
      <c r="B316" s="13" t="s">
        <v>273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0</v>
      </c>
      <c r="B317" s="13" t="s">
        <v>1629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0</v>
      </c>
      <c r="B318" s="13" t="s">
        <v>506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0</v>
      </c>
      <c r="B319" s="13" t="s">
        <v>155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0</v>
      </c>
      <c r="B320" s="13" t="s">
        <v>95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0</v>
      </c>
      <c r="B321" s="13" t="s">
        <v>389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0</v>
      </c>
      <c r="B322" s="13" t="s">
        <v>1299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0</v>
      </c>
      <c r="B323" s="13" t="s">
        <v>1126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0</v>
      </c>
      <c r="B324" s="13" t="s">
        <v>889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0</v>
      </c>
      <c r="B325" s="13" t="s">
        <v>730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0</v>
      </c>
      <c r="B326" s="13" t="s">
        <v>156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0</v>
      </c>
      <c r="B327" s="13" t="s">
        <v>392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0</v>
      </c>
      <c r="B328" s="13" t="s">
        <v>936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0</v>
      </c>
      <c r="B329" s="13" t="s">
        <v>937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0</v>
      </c>
      <c r="B330" s="13" t="s">
        <v>792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0</v>
      </c>
      <c r="B331" s="13" t="s">
        <v>342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0</v>
      </c>
      <c r="B332" s="13" t="s">
        <v>1763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0</v>
      </c>
      <c r="B333" s="13" t="s">
        <v>393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0</v>
      </c>
      <c r="B334" s="13" t="s">
        <v>1084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0</v>
      </c>
      <c r="B335" s="13" t="s">
        <v>43</v>
      </c>
      <c r="C335" s="13">
        <v>2</v>
      </c>
      <c r="D335" s="13">
        <v>1</v>
      </c>
      <c r="E335" s="13">
        <v>2</v>
      </c>
    </row>
    <row r="336" spans="1:5" x14ac:dyDescent="0.3">
      <c r="A336" s="13" t="s">
        <v>0</v>
      </c>
      <c r="B336" s="13" t="s">
        <v>165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0</v>
      </c>
      <c r="B337" s="13" t="s">
        <v>2638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0</v>
      </c>
      <c r="B338" s="13" t="s">
        <v>2390</v>
      </c>
      <c r="C338" s="13">
        <v>1</v>
      </c>
      <c r="D338" s="13">
        <v>1</v>
      </c>
      <c r="E338" s="13">
        <v>2</v>
      </c>
    </row>
    <row r="339" spans="1:5" x14ac:dyDescent="0.3">
      <c r="A339" s="13" t="s">
        <v>0</v>
      </c>
      <c r="B339" s="13" t="s">
        <v>618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0</v>
      </c>
      <c r="B340" s="13" t="s">
        <v>109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0</v>
      </c>
      <c r="B341" s="13" t="s">
        <v>1986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0</v>
      </c>
      <c r="B342" s="13" t="s">
        <v>168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0</v>
      </c>
      <c r="B343" s="13" t="s">
        <v>279</v>
      </c>
      <c r="C343" s="13">
        <v>1</v>
      </c>
      <c r="D343" s="13">
        <v>1</v>
      </c>
      <c r="E343" s="13">
        <v>2</v>
      </c>
    </row>
    <row r="344" spans="1:5" x14ac:dyDescent="0.3">
      <c r="A344" s="13" t="s">
        <v>0</v>
      </c>
      <c r="B344" s="13" t="s">
        <v>579</v>
      </c>
      <c r="C344" s="13">
        <v>1</v>
      </c>
      <c r="D344" s="13">
        <v>1</v>
      </c>
      <c r="E344" s="13">
        <v>2</v>
      </c>
    </row>
    <row r="345" spans="1:5" x14ac:dyDescent="0.3">
      <c r="A345" s="13" t="s">
        <v>0</v>
      </c>
      <c r="B345" s="13" t="s">
        <v>314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0</v>
      </c>
      <c r="B346" s="13" t="s">
        <v>1134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0</v>
      </c>
      <c r="B347" s="13" t="s">
        <v>1316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0</v>
      </c>
      <c r="B348" s="13" t="s">
        <v>223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0</v>
      </c>
      <c r="B349" s="13" t="s">
        <v>319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0</v>
      </c>
      <c r="B350" s="13" t="s">
        <v>1754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0</v>
      </c>
      <c r="B351" s="13" t="s">
        <v>696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0</v>
      </c>
      <c r="B352" s="13" t="s">
        <v>114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0</v>
      </c>
      <c r="B353" s="13" t="s">
        <v>115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648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0</v>
      </c>
      <c r="B355" s="13" t="s">
        <v>1150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118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62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574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122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123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409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63</v>
      </c>
      <c r="C362" s="13">
        <v>1</v>
      </c>
      <c r="D362" s="13">
        <v>1</v>
      </c>
      <c r="E362" s="13">
        <v>2</v>
      </c>
    </row>
    <row r="363" spans="1:5" x14ac:dyDescent="0.3">
      <c r="A363" s="13" t="s">
        <v>0</v>
      </c>
      <c r="B363" s="13" t="s">
        <v>292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177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178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2171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2639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1359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1218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64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2060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188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1537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295</v>
      </c>
      <c r="C374" s="13">
        <v>1</v>
      </c>
      <c r="D374" s="13">
        <v>1</v>
      </c>
      <c r="E374" s="13">
        <v>2</v>
      </c>
    </row>
    <row r="375" spans="1:5" x14ac:dyDescent="0.3">
      <c r="A375" s="13" t="s">
        <v>0</v>
      </c>
      <c r="B375" s="13" t="s">
        <v>132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1219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2465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484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922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67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2640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641</v>
      </c>
      <c r="C382" s="13">
        <v>1</v>
      </c>
      <c r="D382" s="13">
        <v>1</v>
      </c>
      <c r="E382" s="13"/>
    </row>
    <row r="383" spans="1:5" x14ac:dyDescent="0.3">
      <c r="A383" s="13" t="s">
        <v>0</v>
      </c>
      <c r="B383" s="13" t="s">
        <v>1554</v>
      </c>
      <c r="C383" s="13">
        <v>1</v>
      </c>
      <c r="D383" s="13">
        <v>1</v>
      </c>
      <c r="E383" s="13"/>
    </row>
    <row r="384" spans="1:5" x14ac:dyDescent="0.3">
      <c r="A384" s="13" t="s">
        <v>0</v>
      </c>
      <c r="B384" s="13" t="s">
        <v>721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2</v>
      </c>
      <c r="B385" s="13" t="s">
        <v>1948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2</v>
      </c>
      <c r="B386" s="13" t="s">
        <v>2624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2</v>
      </c>
      <c r="B387" s="13" t="s">
        <v>559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2</v>
      </c>
      <c r="B388" s="13" t="s">
        <v>29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2</v>
      </c>
      <c r="B389" s="13" t="s">
        <v>1312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2</v>
      </c>
      <c r="B390" s="13" t="s">
        <v>132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1</v>
      </c>
      <c r="B391" s="13" t="s">
        <v>2569</v>
      </c>
      <c r="C391" s="13">
        <v>1</v>
      </c>
      <c r="D391" s="13">
        <v>0</v>
      </c>
      <c r="E391" s="13">
        <v>1</v>
      </c>
    </row>
    <row r="392" spans="1:5" x14ac:dyDescent="0.3">
      <c r="A392" s="13" t="s">
        <v>1</v>
      </c>
      <c r="B392" s="13" t="s">
        <v>300</v>
      </c>
      <c r="C392" s="13">
        <v>1</v>
      </c>
      <c r="D392" s="13">
        <v>0</v>
      </c>
      <c r="E392" s="13">
        <v>1</v>
      </c>
    </row>
    <row r="393" spans="1:5" x14ac:dyDescent="0.3">
      <c r="A393" s="13" t="s">
        <v>1</v>
      </c>
      <c r="B393" s="13" t="s">
        <v>1155</v>
      </c>
      <c r="C393" s="13">
        <v>1</v>
      </c>
      <c r="D393" s="13">
        <v>0</v>
      </c>
      <c r="E393" s="13">
        <v>1</v>
      </c>
    </row>
    <row r="394" spans="1:5" x14ac:dyDescent="0.3">
      <c r="A394" s="13" t="s">
        <v>1</v>
      </c>
      <c r="B394" s="13" t="s">
        <v>261</v>
      </c>
      <c r="C394" s="13">
        <v>1</v>
      </c>
      <c r="D394" s="13">
        <v>0</v>
      </c>
      <c r="E394" s="13">
        <v>1</v>
      </c>
    </row>
    <row r="395" spans="1:5" x14ac:dyDescent="0.3">
      <c r="A395" s="13" t="s">
        <v>1</v>
      </c>
      <c r="B395" s="13" t="s">
        <v>2008</v>
      </c>
      <c r="C395" s="13">
        <v>1</v>
      </c>
      <c r="D395" s="13">
        <v>0</v>
      </c>
      <c r="E395" s="13">
        <v>1</v>
      </c>
    </row>
    <row r="396" spans="1:5" x14ac:dyDescent="0.3">
      <c r="A396" s="13" t="s">
        <v>1</v>
      </c>
      <c r="B396" s="13" t="s">
        <v>375</v>
      </c>
      <c r="C396" s="13">
        <v>1</v>
      </c>
      <c r="D396" s="13">
        <v>0</v>
      </c>
      <c r="E396" s="13">
        <v>1</v>
      </c>
    </row>
    <row r="397" spans="1:5" x14ac:dyDescent="0.3">
      <c r="A397" s="13" t="s">
        <v>1</v>
      </c>
      <c r="B397" s="13" t="s">
        <v>591</v>
      </c>
      <c r="C397" s="13">
        <v>1</v>
      </c>
      <c r="D397" s="13">
        <v>0</v>
      </c>
      <c r="E397" s="13">
        <v>1</v>
      </c>
    </row>
    <row r="398" spans="1:5" x14ac:dyDescent="0.3">
      <c r="A398" s="13" t="s">
        <v>1</v>
      </c>
      <c r="B398" s="13" t="s">
        <v>381</v>
      </c>
      <c r="C398" s="13">
        <v>1</v>
      </c>
      <c r="D398" s="13">
        <v>0</v>
      </c>
      <c r="E398" s="13">
        <v>2</v>
      </c>
    </row>
    <row r="399" spans="1:5" x14ac:dyDescent="0.3">
      <c r="A399" s="13" t="s">
        <v>1</v>
      </c>
      <c r="B399" s="13" t="s">
        <v>593</v>
      </c>
      <c r="C399" s="13">
        <v>2</v>
      </c>
      <c r="D399" s="13">
        <v>0</v>
      </c>
      <c r="E399" s="13">
        <v>2</v>
      </c>
    </row>
    <row r="400" spans="1:5" x14ac:dyDescent="0.3">
      <c r="A400" s="13" t="s">
        <v>1</v>
      </c>
      <c r="B400" s="13" t="s">
        <v>790</v>
      </c>
      <c r="C400" s="13">
        <v>1</v>
      </c>
      <c r="D400" s="13">
        <v>0</v>
      </c>
      <c r="E400" s="13">
        <v>1</v>
      </c>
    </row>
    <row r="401" spans="1:5" x14ac:dyDescent="0.3">
      <c r="A401" s="13" t="s">
        <v>1</v>
      </c>
      <c r="B401" s="13" t="s">
        <v>266</v>
      </c>
      <c r="C401" s="13">
        <v>1</v>
      </c>
      <c r="D401" s="13">
        <v>0</v>
      </c>
      <c r="E401" s="13">
        <v>0</v>
      </c>
    </row>
    <row r="402" spans="1:5" x14ac:dyDescent="0.3">
      <c r="A402" s="13" t="s">
        <v>1</v>
      </c>
      <c r="B402" s="13" t="s">
        <v>348</v>
      </c>
      <c r="C402" s="13">
        <v>1</v>
      </c>
      <c r="D402" s="13">
        <v>0</v>
      </c>
      <c r="E402" s="13">
        <v>1</v>
      </c>
    </row>
    <row r="403" spans="1:5" x14ac:dyDescent="0.3">
      <c r="A403" s="13" t="s">
        <v>1</v>
      </c>
      <c r="B403" s="13" t="s">
        <v>880</v>
      </c>
      <c r="C403" s="13">
        <v>1</v>
      </c>
      <c r="D403" s="13">
        <v>0</v>
      </c>
      <c r="E403" s="13">
        <v>1</v>
      </c>
    </row>
    <row r="404" spans="1:5" x14ac:dyDescent="0.3">
      <c r="A404" s="13" t="s">
        <v>1</v>
      </c>
      <c r="B404" s="13" t="s">
        <v>855</v>
      </c>
      <c r="C404" s="13">
        <v>1</v>
      </c>
      <c r="D404" s="13">
        <v>0</v>
      </c>
      <c r="E404" s="13">
        <v>1</v>
      </c>
    </row>
    <row r="405" spans="1:5" x14ac:dyDescent="0.3">
      <c r="A405" s="13" t="s">
        <v>1</v>
      </c>
      <c r="B405" s="13" t="s">
        <v>1180</v>
      </c>
      <c r="C405" s="13">
        <v>1</v>
      </c>
      <c r="D405" s="13">
        <v>0</v>
      </c>
      <c r="E405" s="13">
        <v>1</v>
      </c>
    </row>
    <row r="406" spans="1:5" x14ac:dyDescent="0.3">
      <c r="A406" s="13" t="s">
        <v>1</v>
      </c>
      <c r="B406" s="13" t="s">
        <v>1830</v>
      </c>
      <c r="C406" s="13">
        <v>1</v>
      </c>
      <c r="D406" s="13">
        <v>0</v>
      </c>
      <c r="E406" s="13">
        <v>1</v>
      </c>
    </row>
    <row r="407" spans="1:5" x14ac:dyDescent="0.3">
      <c r="A407" s="13" t="s">
        <v>1</v>
      </c>
      <c r="B407" s="13" t="s">
        <v>349</v>
      </c>
      <c r="C407" s="13">
        <v>3</v>
      </c>
      <c r="D407" s="13">
        <v>0</v>
      </c>
      <c r="E407" s="13">
        <v>3</v>
      </c>
    </row>
    <row r="408" spans="1:5" x14ac:dyDescent="0.3">
      <c r="A408" s="13" t="s">
        <v>1</v>
      </c>
      <c r="B408" s="13" t="s">
        <v>271</v>
      </c>
      <c r="C408" s="13">
        <v>1</v>
      </c>
      <c r="D408" s="13">
        <v>0</v>
      </c>
      <c r="E408" s="13">
        <v>1</v>
      </c>
    </row>
    <row r="409" spans="1:5" x14ac:dyDescent="0.3">
      <c r="A409" s="13" t="s">
        <v>1</v>
      </c>
      <c r="B409" s="13" t="s">
        <v>305</v>
      </c>
      <c r="C409" s="13">
        <v>1</v>
      </c>
      <c r="D409" s="13">
        <v>0</v>
      </c>
      <c r="E409" s="13">
        <v>0</v>
      </c>
    </row>
    <row r="410" spans="1:5" x14ac:dyDescent="0.3">
      <c r="A410" s="13" t="s">
        <v>1</v>
      </c>
      <c r="B410" s="13" t="s">
        <v>350</v>
      </c>
      <c r="C410" s="13">
        <v>1</v>
      </c>
      <c r="D410" s="13">
        <v>0</v>
      </c>
      <c r="E410" s="13">
        <v>1</v>
      </c>
    </row>
    <row r="411" spans="1:5" x14ac:dyDescent="0.3">
      <c r="A411" s="13" t="s">
        <v>1</v>
      </c>
      <c r="B411" s="13" t="s">
        <v>215</v>
      </c>
      <c r="C411" s="13">
        <v>2</v>
      </c>
      <c r="D411" s="13">
        <v>0</v>
      </c>
      <c r="E411" s="13">
        <v>2</v>
      </c>
    </row>
    <row r="412" spans="1:5" x14ac:dyDescent="0.3">
      <c r="A412" s="13" t="s">
        <v>1</v>
      </c>
      <c r="B412" s="13" t="s">
        <v>609</v>
      </c>
      <c r="C412" s="13">
        <v>1</v>
      </c>
      <c r="D412" s="13">
        <v>0</v>
      </c>
      <c r="E412" s="13">
        <v>1</v>
      </c>
    </row>
    <row r="413" spans="1:5" x14ac:dyDescent="0.3">
      <c r="A413" s="13" t="s">
        <v>1</v>
      </c>
      <c r="B413" s="13" t="s">
        <v>217</v>
      </c>
      <c r="C413" s="13">
        <v>2</v>
      </c>
      <c r="D413" s="13">
        <v>0</v>
      </c>
      <c r="E413" s="13">
        <v>2</v>
      </c>
    </row>
    <row r="414" spans="1:5" x14ac:dyDescent="0.3">
      <c r="A414" s="13" t="s">
        <v>1</v>
      </c>
      <c r="B414" s="13" t="s">
        <v>150</v>
      </c>
      <c r="C414" s="13">
        <v>2</v>
      </c>
      <c r="D414" s="13">
        <v>0</v>
      </c>
      <c r="E414" s="13">
        <v>2</v>
      </c>
    </row>
    <row r="415" spans="1:5" x14ac:dyDescent="0.3">
      <c r="A415" s="13" t="s">
        <v>1</v>
      </c>
      <c r="B415" s="13" t="s">
        <v>424</v>
      </c>
      <c r="C415" s="13">
        <v>1</v>
      </c>
      <c r="D415" s="13">
        <v>0</v>
      </c>
      <c r="E415" s="13">
        <v>2</v>
      </c>
    </row>
    <row r="416" spans="1:5" x14ac:dyDescent="0.3">
      <c r="A416" s="13" t="s">
        <v>1</v>
      </c>
      <c r="B416" s="13" t="s">
        <v>194</v>
      </c>
      <c r="C416" s="13">
        <v>1</v>
      </c>
      <c r="D416" s="13">
        <v>0</v>
      </c>
      <c r="E416" s="13">
        <v>2</v>
      </c>
    </row>
    <row r="417" spans="1:5" x14ac:dyDescent="0.3">
      <c r="A417" s="13" t="s">
        <v>1</v>
      </c>
      <c r="B417" s="13" t="s">
        <v>60</v>
      </c>
      <c r="C417" s="13">
        <v>1</v>
      </c>
      <c r="D417" s="13">
        <v>0</v>
      </c>
      <c r="E417" s="13">
        <v>1</v>
      </c>
    </row>
    <row r="418" spans="1:5" x14ac:dyDescent="0.3">
      <c r="A418" s="13" t="s">
        <v>1</v>
      </c>
      <c r="B418" s="13" t="s">
        <v>356</v>
      </c>
      <c r="C418" s="13">
        <v>1</v>
      </c>
      <c r="D418" s="13">
        <v>0</v>
      </c>
      <c r="E418" s="13">
        <v>1</v>
      </c>
    </row>
    <row r="419" spans="1:5" x14ac:dyDescent="0.3">
      <c r="A419" s="13" t="s">
        <v>1</v>
      </c>
      <c r="B419" s="13" t="s">
        <v>153</v>
      </c>
      <c r="C419" s="13">
        <v>1</v>
      </c>
      <c r="D419" s="13">
        <v>0</v>
      </c>
      <c r="E419" s="13">
        <v>1</v>
      </c>
    </row>
    <row r="420" spans="1:5" x14ac:dyDescent="0.3">
      <c r="A420" s="13" t="s">
        <v>1</v>
      </c>
      <c r="B420" s="13" t="s">
        <v>653</v>
      </c>
      <c r="C420" s="13">
        <v>2</v>
      </c>
      <c r="D420" s="13">
        <v>0</v>
      </c>
      <c r="E420" s="13">
        <v>2</v>
      </c>
    </row>
    <row r="421" spans="1:5" x14ac:dyDescent="0.3">
      <c r="A421" s="13" t="s">
        <v>1</v>
      </c>
      <c r="B421" s="13" t="s">
        <v>888</v>
      </c>
      <c r="C421" s="13">
        <v>1</v>
      </c>
      <c r="D421" s="13">
        <v>0</v>
      </c>
      <c r="E421" s="13">
        <v>1</v>
      </c>
    </row>
    <row r="422" spans="1:5" x14ac:dyDescent="0.3">
      <c r="A422" s="13" t="s">
        <v>1</v>
      </c>
      <c r="B422" s="13" t="s">
        <v>1485</v>
      </c>
      <c r="C422" s="13">
        <v>1</v>
      </c>
      <c r="D422" s="13">
        <v>0</v>
      </c>
      <c r="E422" s="13">
        <v>1</v>
      </c>
    </row>
    <row r="423" spans="1:5" x14ac:dyDescent="0.3">
      <c r="A423" s="13" t="s">
        <v>1</v>
      </c>
      <c r="B423" s="13" t="s">
        <v>1505</v>
      </c>
      <c r="C423" s="13">
        <v>2</v>
      </c>
      <c r="D423" s="13">
        <v>0</v>
      </c>
      <c r="E423" s="13">
        <v>2</v>
      </c>
    </row>
    <row r="424" spans="1:5" x14ac:dyDescent="0.3">
      <c r="A424" s="13" t="s">
        <v>1</v>
      </c>
      <c r="B424" s="13" t="s">
        <v>1521</v>
      </c>
      <c r="C424" s="13">
        <v>1</v>
      </c>
      <c r="D424" s="13">
        <v>0</v>
      </c>
      <c r="E424" s="13">
        <v>1</v>
      </c>
    </row>
    <row r="425" spans="1:5" x14ac:dyDescent="0.3">
      <c r="A425" s="13" t="s">
        <v>1</v>
      </c>
      <c r="B425" s="13" t="s">
        <v>1610</v>
      </c>
      <c r="C425" s="13">
        <v>1</v>
      </c>
      <c r="D425" s="13">
        <v>0</v>
      </c>
      <c r="E425" s="13">
        <v>1</v>
      </c>
    </row>
    <row r="426" spans="1:5" x14ac:dyDescent="0.3">
      <c r="A426" s="13" t="s">
        <v>1</v>
      </c>
      <c r="B426" s="13" t="s">
        <v>1654</v>
      </c>
      <c r="C426" s="13">
        <v>2</v>
      </c>
      <c r="D426" s="13">
        <v>0</v>
      </c>
      <c r="E426" s="13">
        <v>3</v>
      </c>
    </row>
    <row r="427" spans="1:5" x14ac:dyDescent="0.3">
      <c r="A427" s="13" t="s">
        <v>1</v>
      </c>
      <c r="B427" s="13" t="s">
        <v>1738</v>
      </c>
      <c r="C427" s="13">
        <v>1</v>
      </c>
      <c r="D427" s="13">
        <v>0</v>
      </c>
      <c r="E427" s="13">
        <v>1</v>
      </c>
    </row>
    <row r="428" spans="1:5" x14ac:dyDescent="0.3">
      <c r="A428" s="13" t="s">
        <v>1</v>
      </c>
      <c r="B428" s="13" t="s">
        <v>1852</v>
      </c>
      <c r="C428" s="13">
        <v>1</v>
      </c>
      <c r="D428" s="13">
        <v>0</v>
      </c>
      <c r="E428" s="13">
        <v>1</v>
      </c>
    </row>
    <row r="429" spans="1:5" x14ac:dyDescent="0.3">
      <c r="A429" s="13" t="s">
        <v>1</v>
      </c>
      <c r="B429" s="13" t="s">
        <v>1849</v>
      </c>
      <c r="C429" s="13">
        <v>2</v>
      </c>
      <c r="D429" s="13">
        <v>0</v>
      </c>
      <c r="E429" s="13">
        <v>1</v>
      </c>
    </row>
    <row r="430" spans="1:5" x14ac:dyDescent="0.3">
      <c r="A430" s="13" t="s">
        <v>1</v>
      </c>
      <c r="B430" s="13" t="s">
        <v>1926</v>
      </c>
      <c r="C430" s="13">
        <v>1</v>
      </c>
      <c r="D430" s="13">
        <v>0</v>
      </c>
      <c r="E430" s="13">
        <v>1</v>
      </c>
    </row>
    <row r="431" spans="1:5" x14ac:dyDescent="0.3">
      <c r="A431" s="13" t="s">
        <v>1</v>
      </c>
      <c r="B431" s="13" t="s">
        <v>1886</v>
      </c>
      <c r="C431" s="13">
        <v>1</v>
      </c>
      <c r="D431" s="13">
        <v>0</v>
      </c>
      <c r="E431" s="13">
        <v>2</v>
      </c>
    </row>
    <row r="432" spans="1:5" x14ac:dyDescent="0.3">
      <c r="A432" s="13" t="s">
        <v>1</v>
      </c>
      <c r="B432" s="13" t="s">
        <v>1905</v>
      </c>
      <c r="C432" s="13">
        <v>1</v>
      </c>
      <c r="D432" s="13">
        <v>0</v>
      </c>
      <c r="E432" s="13">
        <v>1</v>
      </c>
    </row>
    <row r="433" spans="1:5" x14ac:dyDescent="0.3">
      <c r="A433" s="13" t="s">
        <v>1</v>
      </c>
      <c r="B433" s="13" t="s">
        <v>1918</v>
      </c>
      <c r="C433" s="13">
        <v>1</v>
      </c>
      <c r="D433" s="13">
        <v>0</v>
      </c>
      <c r="E433" s="13">
        <v>1</v>
      </c>
    </row>
    <row r="434" spans="1:5" x14ac:dyDescent="0.3">
      <c r="A434" s="13" t="s">
        <v>1</v>
      </c>
      <c r="B434" s="13" t="s">
        <v>1906</v>
      </c>
      <c r="C434" s="13">
        <v>1</v>
      </c>
      <c r="D434" s="13">
        <v>0</v>
      </c>
      <c r="E434" s="13">
        <v>1</v>
      </c>
    </row>
    <row r="435" spans="1:5" x14ac:dyDescent="0.3">
      <c r="A435" s="13" t="s">
        <v>1</v>
      </c>
      <c r="B435" s="13" t="s">
        <v>1888</v>
      </c>
      <c r="C435" s="13">
        <v>3</v>
      </c>
      <c r="D435" s="13">
        <v>0</v>
      </c>
      <c r="E435" s="13">
        <v>3</v>
      </c>
    </row>
    <row r="436" spans="1:5" x14ac:dyDescent="0.3">
      <c r="A436" s="13" t="s">
        <v>1</v>
      </c>
      <c r="B436" s="13" t="s">
        <v>1884</v>
      </c>
      <c r="C436" s="13">
        <v>1</v>
      </c>
      <c r="D436" s="13">
        <v>0</v>
      </c>
      <c r="E436" s="13">
        <v>1</v>
      </c>
    </row>
    <row r="437" spans="1:5" x14ac:dyDescent="0.3">
      <c r="A437" s="13" t="s">
        <v>1</v>
      </c>
      <c r="B437" s="13" t="s">
        <v>1900</v>
      </c>
      <c r="C437" s="13">
        <v>2</v>
      </c>
      <c r="D437" s="13">
        <v>0</v>
      </c>
      <c r="E437" s="13">
        <v>2</v>
      </c>
    </row>
    <row r="438" spans="1:5" x14ac:dyDescent="0.3">
      <c r="A438" s="13" t="s">
        <v>1</v>
      </c>
      <c r="B438" s="13" t="s">
        <v>1960</v>
      </c>
      <c r="C438" s="13">
        <v>2</v>
      </c>
      <c r="D438" s="13">
        <v>0</v>
      </c>
      <c r="E438" s="13">
        <v>2</v>
      </c>
    </row>
    <row r="439" spans="1:5" x14ac:dyDescent="0.3">
      <c r="A439" s="13" t="s">
        <v>1</v>
      </c>
      <c r="B439" s="13" t="s">
        <v>2018</v>
      </c>
      <c r="C439" s="13">
        <v>1</v>
      </c>
      <c r="D439" s="13">
        <v>0</v>
      </c>
      <c r="E439" s="13">
        <v>1</v>
      </c>
    </row>
    <row r="440" spans="1:5" x14ac:dyDescent="0.3">
      <c r="A440" s="13" t="s">
        <v>1</v>
      </c>
      <c r="B440" s="13" t="s">
        <v>2069</v>
      </c>
      <c r="C440" s="13">
        <v>3</v>
      </c>
      <c r="D440" s="13">
        <v>0</v>
      </c>
      <c r="E440" s="13">
        <v>5</v>
      </c>
    </row>
    <row r="441" spans="1:5" x14ac:dyDescent="0.3">
      <c r="A441" s="13" t="s">
        <v>1</v>
      </c>
      <c r="B441" s="13" t="s">
        <v>2149</v>
      </c>
      <c r="C441" s="13">
        <v>1</v>
      </c>
      <c r="D441" s="13">
        <v>0</v>
      </c>
      <c r="E441" s="13">
        <v>1</v>
      </c>
    </row>
    <row r="442" spans="1:5" x14ac:dyDescent="0.3">
      <c r="A442" s="13" t="s">
        <v>1</v>
      </c>
      <c r="B442" s="13" t="s">
        <v>2148</v>
      </c>
      <c r="C442" s="13">
        <v>2</v>
      </c>
      <c r="D442" s="13">
        <v>0</v>
      </c>
      <c r="E442" s="13">
        <v>2</v>
      </c>
    </row>
    <row r="443" spans="1:5" x14ac:dyDescent="0.3">
      <c r="A443" s="13" t="s">
        <v>1</v>
      </c>
      <c r="B443" s="13" t="s">
        <v>2164</v>
      </c>
      <c r="C443" s="13">
        <v>1</v>
      </c>
      <c r="D443" s="13">
        <v>0</v>
      </c>
      <c r="E443" s="13">
        <v>1</v>
      </c>
    </row>
    <row r="444" spans="1:5" x14ac:dyDescent="0.3">
      <c r="A444" s="13" t="s">
        <v>1</v>
      </c>
      <c r="B444" s="13" t="s">
        <v>2179</v>
      </c>
      <c r="C444" s="13">
        <v>2</v>
      </c>
      <c r="D444" s="13">
        <v>0</v>
      </c>
      <c r="E444" s="13">
        <v>2</v>
      </c>
    </row>
    <row r="445" spans="1:5" x14ac:dyDescent="0.3">
      <c r="A445" s="13" t="s">
        <v>1</v>
      </c>
      <c r="B445" s="13" t="s">
        <v>2407</v>
      </c>
      <c r="C445" s="13">
        <v>1</v>
      </c>
      <c r="D445" s="13">
        <v>0</v>
      </c>
      <c r="E445" s="13">
        <v>1</v>
      </c>
    </row>
    <row r="446" spans="1:5" x14ac:dyDescent="0.3">
      <c r="A446" s="13" t="s">
        <v>1</v>
      </c>
      <c r="B446" s="13" t="s">
        <v>2339</v>
      </c>
      <c r="C446" s="13">
        <v>1</v>
      </c>
      <c r="D446" s="13">
        <v>0</v>
      </c>
      <c r="E446" s="13">
        <v>1</v>
      </c>
    </row>
    <row r="447" spans="1:5" x14ac:dyDescent="0.3">
      <c r="A447" s="13" t="s">
        <v>1</v>
      </c>
      <c r="B447" s="13" t="s">
        <v>2335</v>
      </c>
      <c r="C447" s="13">
        <v>3</v>
      </c>
      <c r="D447" s="13">
        <v>0</v>
      </c>
      <c r="E447" s="13">
        <v>4</v>
      </c>
    </row>
    <row r="448" spans="1:5" x14ac:dyDescent="0.3">
      <c r="A448" s="13" t="s">
        <v>1</v>
      </c>
      <c r="B448" s="13" t="s">
        <v>2408</v>
      </c>
      <c r="C448" s="13">
        <v>5</v>
      </c>
      <c r="D448" s="13">
        <v>0</v>
      </c>
      <c r="E448" s="13">
        <v>5</v>
      </c>
    </row>
    <row r="449" spans="1:5" x14ac:dyDescent="0.3">
      <c r="A449" s="13" t="s">
        <v>1</v>
      </c>
      <c r="B449" s="13" t="s">
        <v>2425</v>
      </c>
      <c r="C449" s="13">
        <v>3</v>
      </c>
      <c r="D449" s="13">
        <v>0</v>
      </c>
      <c r="E449" s="13">
        <v>4</v>
      </c>
    </row>
    <row r="450" spans="1:5" x14ac:dyDescent="0.3">
      <c r="A450" s="13" t="s">
        <v>1</v>
      </c>
      <c r="B450" s="13" t="s">
        <v>509</v>
      </c>
      <c r="C450" s="13">
        <v>1</v>
      </c>
      <c r="D450" s="13">
        <v>0</v>
      </c>
      <c r="E450" s="13">
        <v>1</v>
      </c>
    </row>
    <row r="451" spans="1:5" x14ac:dyDescent="0.3">
      <c r="A451" s="13" t="s">
        <v>1</v>
      </c>
      <c r="B451" s="13" t="s">
        <v>99</v>
      </c>
      <c r="C451" s="13">
        <v>1</v>
      </c>
      <c r="D451" s="13">
        <v>0</v>
      </c>
      <c r="E451" s="13">
        <v>1</v>
      </c>
    </row>
    <row r="452" spans="1:5" x14ac:dyDescent="0.3">
      <c r="A452" s="13" t="s">
        <v>1</v>
      </c>
      <c r="B452" s="13" t="s">
        <v>1867</v>
      </c>
      <c r="C452" s="13">
        <v>1</v>
      </c>
      <c r="D452" s="13">
        <v>0</v>
      </c>
      <c r="E452" s="13">
        <v>1</v>
      </c>
    </row>
    <row r="453" spans="1:5" x14ac:dyDescent="0.3">
      <c r="A453" s="13" t="s">
        <v>1</v>
      </c>
      <c r="B453" s="13" t="s">
        <v>1369</v>
      </c>
      <c r="C453" s="13">
        <v>1</v>
      </c>
      <c r="D453" s="13">
        <v>0</v>
      </c>
      <c r="E453" s="13">
        <v>1</v>
      </c>
    </row>
    <row r="454" spans="1:5" x14ac:dyDescent="0.3">
      <c r="A454" s="13" t="s">
        <v>1</v>
      </c>
      <c r="B454" s="13" t="s">
        <v>2641</v>
      </c>
      <c r="C454" s="13">
        <v>1</v>
      </c>
      <c r="D454" s="13">
        <v>0</v>
      </c>
      <c r="E454" s="13">
        <v>1</v>
      </c>
    </row>
    <row r="455" spans="1:5" x14ac:dyDescent="0.3">
      <c r="A455" s="13" t="s">
        <v>1</v>
      </c>
      <c r="B455" s="13" t="s">
        <v>101</v>
      </c>
      <c r="C455" s="13">
        <v>2</v>
      </c>
      <c r="D455" s="13">
        <v>0</v>
      </c>
      <c r="E455" s="13">
        <v>1</v>
      </c>
    </row>
    <row r="456" spans="1:5" x14ac:dyDescent="0.3">
      <c r="A456" s="13" t="s">
        <v>1</v>
      </c>
      <c r="B456" s="13" t="s">
        <v>681</v>
      </c>
      <c r="C456" s="13">
        <v>1</v>
      </c>
      <c r="D456" s="13">
        <v>0</v>
      </c>
      <c r="E456" s="13">
        <v>1</v>
      </c>
    </row>
    <row r="457" spans="1:5" x14ac:dyDescent="0.3">
      <c r="A457" s="13" t="s">
        <v>1</v>
      </c>
      <c r="B457" s="13" t="s">
        <v>1070</v>
      </c>
      <c r="C457" s="13">
        <v>1</v>
      </c>
      <c r="D457" s="13">
        <v>0</v>
      </c>
      <c r="E457" s="13">
        <v>1</v>
      </c>
    </row>
    <row r="458" spans="1:5" x14ac:dyDescent="0.3">
      <c r="A458" s="13" t="s">
        <v>1</v>
      </c>
      <c r="B458" s="13" t="s">
        <v>102</v>
      </c>
      <c r="C458" s="13">
        <v>1</v>
      </c>
      <c r="D458" s="13">
        <v>0</v>
      </c>
      <c r="E458" s="13">
        <v>1</v>
      </c>
    </row>
    <row r="459" spans="1:5" x14ac:dyDescent="0.3">
      <c r="A459" s="13" t="s">
        <v>1</v>
      </c>
      <c r="B459" s="13" t="s">
        <v>309</v>
      </c>
      <c r="C459" s="13">
        <v>1</v>
      </c>
      <c r="D459" s="13">
        <v>0</v>
      </c>
      <c r="E459" s="13">
        <v>1</v>
      </c>
    </row>
    <row r="460" spans="1:5" x14ac:dyDescent="0.3">
      <c r="A460" s="13" t="s">
        <v>1</v>
      </c>
      <c r="B460" s="13" t="s">
        <v>393</v>
      </c>
      <c r="C460" s="13">
        <v>1</v>
      </c>
      <c r="D460" s="13">
        <v>0</v>
      </c>
      <c r="E460" s="13">
        <v>1</v>
      </c>
    </row>
    <row r="461" spans="1:5" x14ac:dyDescent="0.3">
      <c r="A461" s="13" t="s">
        <v>1</v>
      </c>
      <c r="B461" s="13" t="s">
        <v>822</v>
      </c>
      <c r="C461" s="13">
        <v>1</v>
      </c>
      <c r="D461" s="13">
        <v>0</v>
      </c>
      <c r="E461" s="13">
        <v>1</v>
      </c>
    </row>
    <row r="462" spans="1:5" x14ac:dyDescent="0.3">
      <c r="A462" s="13" t="s">
        <v>1</v>
      </c>
      <c r="B462" s="13" t="s">
        <v>164</v>
      </c>
      <c r="C462" s="13">
        <v>1</v>
      </c>
      <c r="D462" s="13">
        <v>0</v>
      </c>
      <c r="E462" s="13">
        <v>5</v>
      </c>
    </row>
    <row r="463" spans="1:5" x14ac:dyDescent="0.3">
      <c r="A463" s="13" t="s">
        <v>1</v>
      </c>
      <c r="B463" s="13" t="s">
        <v>1576</v>
      </c>
      <c r="C463" s="13">
        <v>1</v>
      </c>
      <c r="D463" s="13">
        <v>0</v>
      </c>
      <c r="E463" s="13">
        <v>1</v>
      </c>
    </row>
    <row r="464" spans="1:5" x14ac:dyDescent="0.3">
      <c r="A464" s="13" t="s">
        <v>1</v>
      </c>
      <c r="B464" s="13" t="s">
        <v>109</v>
      </c>
      <c r="C464" s="13">
        <v>1</v>
      </c>
      <c r="D464" s="13">
        <v>0</v>
      </c>
      <c r="E464" s="13">
        <v>1</v>
      </c>
    </row>
    <row r="465" spans="1:5" x14ac:dyDescent="0.3">
      <c r="A465" s="13" t="s">
        <v>1</v>
      </c>
      <c r="B465" s="13" t="s">
        <v>1313</v>
      </c>
      <c r="C465" s="13">
        <v>1</v>
      </c>
      <c r="D465" s="13">
        <v>0</v>
      </c>
      <c r="E465" s="13">
        <v>1</v>
      </c>
    </row>
    <row r="466" spans="1:5" x14ac:dyDescent="0.3">
      <c r="A466" s="13" t="s">
        <v>1</v>
      </c>
      <c r="B466" s="13" t="s">
        <v>2642</v>
      </c>
      <c r="C466" s="13">
        <v>1</v>
      </c>
      <c r="D466" s="13">
        <v>0</v>
      </c>
      <c r="E466" s="13">
        <v>1</v>
      </c>
    </row>
    <row r="467" spans="1:5" x14ac:dyDescent="0.3">
      <c r="A467" s="13" t="s">
        <v>1</v>
      </c>
      <c r="B467" s="13" t="s">
        <v>1412</v>
      </c>
      <c r="C467" s="13">
        <v>1</v>
      </c>
      <c r="D467" s="13">
        <v>0</v>
      </c>
      <c r="E467" s="13">
        <v>1</v>
      </c>
    </row>
    <row r="468" spans="1:5" x14ac:dyDescent="0.3">
      <c r="A468" s="13" t="s">
        <v>1</v>
      </c>
      <c r="B468" s="13" t="s">
        <v>513</v>
      </c>
      <c r="C468" s="13">
        <v>1</v>
      </c>
      <c r="D468" s="13">
        <v>0</v>
      </c>
      <c r="E468" s="13">
        <v>1</v>
      </c>
    </row>
    <row r="469" spans="1:5" x14ac:dyDescent="0.3">
      <c r="A469" s="13" t="s">
        <v>1</v>
      </c>
      <c r="B469" s="13" t="s">
        <v>2106</v>
      </c>
      <c r="C469" s="13">
        <v>1</v>
      </c>
      <c r="D469" s="13">
        <v>0</v>
      </c>
      <c r="E469" s="13">
        <v>1</v>
      </c>
    </row>
    <row r="470" spans="1:5" x14ac:dyDescent="0.3">
      <c r="A470" s="13" t="s">
        <v>1</v>
      </c>
      <c r="B470" s="13" t="s">
        <v>451</v>
      </c>
      <c r="C470" s="13">
        <v>1</v>
      </c>
      <c r="D470" s="13">
        <v>0</v>
      </c>
      <c r="E470" s="13">
        <v>2</v>
      </c>
    </row>
    <row r="471" spans="1:5" x14ac:dyDescent="0.3">
      <c r="A471" s="13" t="s">
        <v>1</v>
      </c>
      <c r="B471" s="13" t="s">
        <v>453</v>
      </c>
      <c r="C471" s="13">
        <v>1</v>
      </c>
      <c r="D471" s="13">
        <v>0</v>
      </c>
      <c r="E471" s="13">
        <v>1</v>
      </c>
    </row>
    <row r="472" spans="1:5" x14ac:dyDescent="0.3">
      <c r="A472" s="13" t="s">
        <v>1</v>
      </c>
      <c r="B472" s="13" t="s">
        <v>571</v>
      </c>
      <c r="C472" s="13">
        <v>1</v>
      </c>
      <c r="D472" s="13">
        <v>0</v>
      </c>
      <c r="E472" s="13">
        <v>1</v>
      </c>
    </row>
    <row r="473" spans="1:5" x14ac:dyDescent="0.3">
      <c r="A473" s="13" t="s">
        <v>1</v>
      </c>
      <c r="B473" s="13" t="s">
        <v>454</v>
      </c>
      <c r="C473" s="13">
        <v>1</v>
      </c>
      <c r="D473" s="13">
        <v>0</v>
      </c>
      <c r="E473" s="13">
        <v>0</v>
      </c>
    </row>
    <row r="474" spans="1:5" x14ac:dyDescent="0.3">
      <c r="A474" s="13" t="s">
        <v>1</v>
      </c>
      <c r="B474" s="13" t="s">
        <v>834</v>
      </c>
      <c r="C474" s="13">
        <v>1</v>
      </c>
      <c r="D474" s="13">
        <v>0</v>
      </c>
      <c r="E474" s="13">
        <v>1</v>
      </c>
    </row>
    <row r="475" spans="1:5" x14ac:dyDescent="0.3">
      <c r="A475" s="13" t="s">
        <v>1</v>
      </c>
      <c r="B475" s="13" t="s">
        <v>402</v>
      </c>
      <c r="C475" s="13">
        <v>1</v>
      </c>
      <c r="D475" s="13">
        <v>0</v>
      </c>
      <c r="E475" s="13">
        <v>1</v>
      </c>
    </row>
    <row r="476" spans="1:5" x14ac:dyDescent="0.3">
      <c r="A476" s="13" t="s">
        <v>1</v>
      </c>
      <c r="B476" s="13" t="s">
        <v>768</v>
      </c>
      <c r="C476" s="13">
        <v>1</v>
      </c>
      <c r="D476" s="13">
        <v>0</v>
      </c>
      <c r="E476" s="13">
        <v>1</v>
      </c>
    </row>
    <row r="477" spans="1:5" x14ac:dyDescent="0.3">
      <c r="A477" s="13" t="s">
        <v>1</v>
      </c>
      <c r="B477" s="13" t="s">
        <v>1093</v>
      </c>
      <c r="C477" s="13">
        <v>1</v>
      </c>
      <c r="D477" s="13">
        <v>0</v>
      </c>
      <c r="E477" s="13">
        <v>1</v>
      </c>
    </row>
    <row r="478" spans="1:5" x14ac:dyDescent="0.3">
      <c r="A478" s="13" t="s">
        <v>1</v>
      </c>
      <c r="B478" s="13" t="s">
        <v>403</v>
      </c>
      <c r="C478" s="13">
        <v>1</v>
      </c>
      <c r="D478" s="13">
        <v>0</v>
      </c>
      <c r="E478" s="13">
        <v>1</v>
      </c>
    </row>
    <row r="479" spans="1:5" x14ac:dyDescent="0.3">
      <c r="A479" s="13" t="s">
        <v>1</v>
      </c>
      <c r="B479" s="13" t="s">
        <v>2163</v>
      </c>
      <c r="C479" s="13">
        <v>1</v>
      </c>
      <c r="D479" s="13">
        <v>0</v>
      </c>
      <c r="E479" s="13">
        <v>1</v>
      </c>
    </row>
    <row r="480" spans="1:5" x14ac:dyDescent="0.3">
      <c r="A480" s="13" t="s">
        <v>1</v>
      </c>
      <c r="B480" s="13" t="s">
        <v>2572</v>
      </c>
      <c r="C480" s="13">
        <v>1</v>
      </c>
      <c r="D480" s="13">
        <v>0</v>
      </c>
      <c r="E480" s="13">
        <v>0</v>
      </c>
    </row>
    <row r="481" spans="1:5" x14ac:dyDescent="0.3">
      <c r="A481" s="13" t="s">
        <v>1</v>
      </c>
      <c r="B481" s="13" t="s">
        <v>770</v>
      </c>
      <c r="C481" s="13">
        <v>1</v>
      </c>
      <c r="D481" s="13">
        <v>0</v>
      </c>
      <c r="E481" s="13">
        <v>1</v>
      </c>
    </row>
    <row r="482" spans="1:5" x14ac:dyDescent="0.3">
      <c r="A482" s="13" t="s">
        <v>1</v>
      </c>
      <c r="B482" s="13" t="s">
        <v>771</v>
      </c>
      <c r="C482" s="13">
        <v>1</v>
      </c>
      <c r="D482" s="13">
        <v>0</v>
      </c>
      <c r="E482" s="13">
        <v>1</v>
      </c>
    </row>
    <row r="483" spans="1:5" x14ac:dyDescent="0.3">
      <c r="A483" s="13" t="s">
        <v>1</v>
      </c>
      <c r="B483" s="13" t="s">
        <v>836</v>
      </c>
      <c r="C483" s="13">
        <v>1</v>
      </c>
      <c r="D483" s="13">
        <v>0</v>
      </c>
      <c r="E483" s="13">
        <v>1</v>
      </c>
    </row>
    <row r="484" spans="1:5" x14ac:dyDescent="0.3">
      <c r="A484" s="13" t="s">
        <v>1</v>
      </c>
      <c r="B484" s="13" t="s">
        <v>116</v>
      </c>
      <c r="C484" s="13">
        <v>1</v>
      </c>
      <c r="D484" s="13">
        <v>0</v>
      </c>
      <c r="E484" s="13">
        <v>1</v>
      </c>
    </row>
    <row r="485" spans="1:5" x14ac:dyDescent="0.3">
      <c r="A485" s="13" t="s">
        <v>1</v>
      </c>
      <c r="B485" s="13" t="s">
        <v>1241</v>
      </c>
      <c r="C485" s="13">
        <v>1</v>
      </c>
      <c r="D485" s="13">
        <v>0</v>
      </c>
      <c r="E485" s="13">
        <v>1</v>
      </c>
    </row>
    <row r="486" spans="1:5" x14ac:dyDescent="0.3">
      <c r="A486" s="13" t="s">
        <v>1</v>
      </c>
      <c r="B486" s="13" t="s">
        <v>1243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2643</v>
      </c>
      <c r="C487" s="13">
        <v>1</v>
      </c>
      <c r="D487" s="13">
        <v>0</v>
      </c>
      <c r="E487" s="13">
        <v>1</v>
      </c>
    </row>
    <row r="488" spans="1:5" x14ac:dyDescent="0.3">
      <c r="A488" s="13" t="s">
        <v>1</v>
      </c>
      <c r="B488" s="13" t="s">
        <v>700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334</v>
      </c>
      <c r="C489" s="13">
        <v>1</v>
      </c>
      <c r="D489" s="13">
        <v>0</v>
      </c>
      <c r="E489" s="13">
        <v>1</v>
      </c>
    </row>
    <row r="490" spans="1:5" x14ac:dyDescent="0.3">
      <c r="A490" s="13" t="s">
        <v>1</v>
      </c>
      <c r="B490" s="13" t="s">
        <v>1711</v>
      </c>
      <c r="C490" s="13">
        <v>1</v>
      </c>
      <c r="D490" s="13">
        <v>0</v>
      </c>
      <c r="E490" s="13">
        <v>1</v>
      </c>
    </row>
    <row r="491" spans="1:5" x14ac:dyDescent="0.3">
      <c r="A491" s="13" t="s">
        <v>1</v>
      </c>
      <c r="B491" s="13" t="s">
        <v>774</v>
      </c>
      <c r="C491" s="13">
        <v>1</v>
      </c>
      <c r="D491" s="13">
        <v>0</v>
      </c>
      <c r="E491" s="13">
        <v>1</v>
      </c>
    </row>
    <row r="492" spans="1:5" x14ac:dyDescent="0.3">
      <c r="A492" s="13" t="s">
        <v>1</v>
      </c>
      <c r="B492" s="13" t="s">
        <v>1294</v>
      </c>
      <c r="C492" s="13">
        <v>1</v>
      </c>
      <c r="D492" s="13">
        <v>0</v>
      </c>
      <c r="E492" s="13">
        <v>2</v>
      </c>
    </row>
    <row r="493" spans="1:5" x14ac:dyDescent="0.3">
      <c r="A493" s="13" t="s">
        <v>1</v>
      </c>
      <c r="B493" s="13" t="s">
        <v>406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1940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662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704</v>
      </c>
      <c r="C496" s="13">
        <v>1</v>
      </c>
      <c r="D496" s="13">
        <v>0</v>
      </c>
      <c r="E496" s="13">
        <v>1</v>
      </c>
    </row>
    <row r="497" spans="1:5" x14ac:dyDescent="0.3">
      <c r="A497" s="13" t="s">
        <v>1</v>
      </c>
      <c r="B497" s="13" t="s">
        <v>1193</v>
      </c>
      <c r="C497" s="13">
        <v>1</v>
      </c>
      <c r="D497" s="13">
        <v>0</v>
      </c>
      <c r="E497" s="13">
        <v>2</v>
      </c>
    </row>
    <row r="498" spans="1:5" x14ac:dyDescent="0.3">
      <c r="A498" s="13" t="s">
        <v>1</v>
      </c>
      <c r="B498" s="13" t="s">
        <v>843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1378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1110</v>
      </c>
      <c r="C500" s="13">
        <v>1</v>
      </c>
      <c r="D500" s="13">
        <v>0</v>
      </c>
      <c r="E500" s="13">
        <v>1</v>
      </c>
    </row>
    <row r="501" spans="1:5" x14ac:dyDescent="0.3">
      <c r="A501" s="13" t="s">
        <v>1</v>
      </c>
      <c r="B501" s="13" t="s">
        <v>2502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338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2141</v>
      </c>
      <c r="C503" s="13">
        <v>1</v>
      </c>
      <c r="D503" s="13">
        <v>0</v>
      </c>
      <c r="E503" s="13">
        <v>1</v>
      </c>
    </row>
    <row r="504" spans="1:5" x14ac:dyDescent="0.3">
      <c r="A504" s="13" t="s">
        <v>1</v>
      </c>
      <c r="B504" s="13" t="s">
        <v>131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2644</v>
      </c>
      <c r="C505" s="13">
        <v>0</v>
      </c>
      <c r="D505" s="13">
        <v>1</v>
      </c>
      <c r="E505" s="13"/>
    </row>
    <row r="506" spans="1:5" x14ac:dyDescent="0.3">
      <c r="A506" s="13" t="s">
        <v>1</v>
      </c>
      <c r="B506" s="13" t="s">
        <v>1012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540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2046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1348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1219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1367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1432</v>
      </c>
      <c r="C512" s="13">
        <v>1</v>
      </c>
      <c r="D512" s="13">
        <v>0</v>
      </c>
      <c r="E512" s="13">
        <v>0</v>
      </c>
    </row>
    <row r="513" spans="1:5" x14ac:dyDescent="0.3">
      <c r="A513" s="13" t="s">
        <v>1</v>
      </c>
      <c r="B513" s="13" t="s">
        <v>1050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231</v>
      </c>
      <c r="C514" s="13">
        <v>9</v>
      </c>
      <c r="D514" s="13">
        <v>0</v>
      </c>
      <c r="E514" s="13">
        <v>15</v>
      </c>
    </row>
    <row r="515" spans="1:5" x14ac:dyDescent="0.3">
      <c r="A515" s="13" t="s">
        <v>1</v>
      </c>
      <c r="B515" s="13" t="s">
        <v>66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365</v>
      </c>
      <c r="C516" s="13">
        <v>2</v>
      </c>
      <c r="D516" s="13">
        <v>0</v>
      </c>
      <c r="E516" s="13">
        <v>2</v>
      </c>
    </row>
    <row r="517" spans="1:5" x14ac:dyDescent="0.3">
      <c r="A517" s="13" t="s">
        <v>1</v>
      </c>
      <c r="B517" s="13" t="s">
        <v>232</v>
      </c>
      <c r="C517" s="13">
        <v>4</v>
      </c>
      <c r="D517" s="13">
        <v>0</v>
      </c>
      <c r="E517" s="13">
        <v>4</v>
      </c>
    </row>
    <row r="518" spans="1:5" x14ac:dyDescent="0.3">
      <c r="A518" s="13" t="s">
        <v>1</v>
      </c>
      <c r="B518" s="13" t="s">
        <v>192</v>
      </c>
      <c r="C518" s="13">
        <v>7</v>
      </c>
      <c r="D518" s="13">
        <v>0</v>
      </c>
      <c r="E518" s="13">
        <v>10</v>
      </c>
    </row>
    <row r="519" spans="1:5" x14ac:dyDescent="0.3">
      <c r="A519" s="13" t="s">
        <v>1</v>
      </c>
      <c r="B519" s="13" t="s">
        <v>54</v>
      </c>
      <c r="C519" s="13">
        <v>8</v>
      </c>
      <c r="D519" s="13">
        <v>0</v>
      </c>
      <c r="E519" s="13">
        <v>10</v>
      </c>
    </row>
    <row r="520" spans="1:5" x14ac:dyDescent="0.3">
      <c r="A520" s="13" t="s">
        <v>1</v>
      </c>
      <c r="B520" s="13" t="s">
        <v>234</v>
      </c>
      <c r="C520" s="13">
        <v>5</v>
      </c>
      <c r="D520" s="13">
        <v>0</v>
      </c>
      <c r="E520" s="13">
        <v>5</v>
      </c>
    </row>
    <row r="521" spans="1:5" x14ac:dyDescent="0.3">
      <c r="A521" s="13" t="s">
        <v>1</v>
      </c>
      <c r="B521" s="13" t="s">
        <v>235</v>
      </c>
      <c r="C521" s="13">
        <v>7</v>
      </c>
      <c r="D521" s="13">
        <v>0</v>
      </c>
      <c r="E521" s="13">
        <v>10</v>
      </c>
    </row>
    <row r="522" spans="1:5" x14ac:dyDescent="0.3">
      <c r="A522" s="13" t="s">
        <v>1</v>
      </c>
      <c r="B522" s="13" t="s">
        <v>639</v>
      </c>
      <c r="C522" s="13">
        <v>2</v>
      </c>
      <c r="D522" s="13">
        <v>0</v>
      </c>
      <c r="E522" s="13">
        <v>2</v>
      </c>
    </row>
    <row r="523" spans="1:5" x14ac:dyDescent="0.3">
      <c r="A523" s="13" t="s">
        <v>1</v>
      </c>
      <c r="B523" s="13" t="s">
        <v>236</v>
      </c>
      <c r="C523" s="13">
        <v>6</v>
      </c>
      <c r="D523" s="13">
        <v>0</v>
      </c>
      <c r="E523" s="13">
        <v>8</v>
      </c>
    </row>
    <row r="524" spans="1:5" x14ac:dyDescent="0.3">
      <c r="A524" s="13" t="s">
        <v>1</v>
      </c>
      <c r="B524" s="13" t="s">
        <v>640</v>
      </c>
      <c r="C524" s="13">
        <v>3</v>
      </c>
      <c r="D524" s="13">
        <v>0</v>
      </c>
      <c r="E524" s="13">
        <v>3</v>
      </c>
    </row>
    <row r="525" spans="1:5" x14ac:dyDescent="0.3">
      <c r="A525" s="13" t="s">
        <v>1</v>
      </c>
      <c r="B525" s="13" t="s">
        <v>371</v>
      </c>
      <c r="C525" s="13">
        <v>2</v>
      </c>
      <c r="D525" s="13">
        <v>0</v>
      </c>
      <c r="E525" s="13">
        <v>2</v>
      </c>
    </row>
    <row r="526" spans="1:5" x14ac:dyDescent="0.3">
      <c r="A526" s="13" t="s">
        <v>1</v>
      </c>
      <c r="B526" s="13" t="s">
        <v>366</v>
      </c>
      <c r="C526" s="13">
        <v>3</v>
      </c>
      <c r="D526" s="13">
        <v>0</v>
      </c>
      <c r="E526" s="13">
        <v>3</v>
      </c>
    </row>
    <row r="527" spans="1:5" x14ac:dyDescent="0.3">
      <c r="A527" s="13" t="s">
        <v>1</v>
      </c>
      <c r="B527" s="13" t="s">
        <v>461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1418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259</v>
      </c>
      <c r="C529" s="13">
        <v>1</v>
      </c>
      <c r="D529" s="13">
        <v>0</v>
      </c>
      <c r="E529" s="13">
        <v>0</v>
      </c>
    </row>
    <row r="530" spans="1:5" x14ac:dyDescent="0.3">
      <c r="A530" s="13" t="s">
        <v>1</v>
      </c>
      <c r="B530" s="13" t="s">
        <v>1736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963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2348</v>
      </c>
      <c r="C532" s="13">
        <v>1</v>
      </c>
      <c r="D532" s="13">
        <v>0</v>
      </c>
      <c r="E532" s="13">
        <v>2</v>
      </c>
    </row>
    <row r="533" spans="1:5" x14ac:dyDescent="0.3">
      <c r="A533" s="13" t="s">
        <v>1</v>
      </c>
      <c r="B533" s="13" t="s">
        <v>2349</v>
      </c>
      <c r="C533" s="13">
        <v>2</v>
      </c>
      <c r="D533" s="13">
        <v>0</v>
      </c>
      <c r="E533" s="13">
        <v>2</v>
      </c>
    </row>
    <row r="534" spans="1:5" x14ac:dyDescent="0.3">
      <c r="A534" s="13" t="s">
        <v>1</v>
      </c>
      <c r="B534" s="13" t="s">
        <v>2353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68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644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0</v>
      </c>
      <c r="B537" s="13" t="s">
        <v>463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0</v>
      </c>
      <c r="B538" s="13" t="s">
        <v>1687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0</v>
      </c>
      <c r="B539" s="13" t="s">
        <v>81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0</v>
      </c>
      <c r="B540" s="13" t="s">
        <v>1503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0</v>
      </c>
      <c r="B541" s="13" t="s">
        <v>244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0</v>
      </c>
      <c r="B542" s="13" t="s">
        <v>1518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0</v>
      </c>
      <c r="B543" s="13" t="s">
        <v>1674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0</v>
      </c>
      <c r="B544" s="13" t="s">
        <v>1990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0</v>
      </c>
      <c r="B545" s="13" t="s">
        <v>111</v>
      </c>
      <c r="C545" s="13">
        <v>1</v>
      </c>
      <c r="D545" s="13">
        <v>0</v>
      </c>
      <c r="E545" s="13">
        <v>3</v>
      </c>
    </row>
    <row r="546" spans="1:5" x14ac:dyDescent="0.3">
      <c r="A546" s="13" t="s">
        <v>0</v>
      </c>
      <c r="B546" s="13" t="s">
        <v>660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0</v>
      </c>
      <c r="B547" s="13" t="s">
        <v>315</v>
      </c>
      <c r="C547" s="13">
        <v>1</v>
      </c>
      <c r="D547" s="13">
        <v>0</v>
      </c>
      <c r="E547" s="13">
        <v>0</v>
      </c>
    </row>
    <row r="548" spans="1:5" x14ac:dyDescent="0.3">
      <c r="A548" s="13" t="s">
        <v>0</v>
      </c>
      <c r="B548" s="13" t="s">
        <v>1599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0</v>
      </c>
      <c r="B549" s="13" t="s">
        <v>955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0</v>
      </c>
      <c r="B550" s="13" t="s">
        <v>296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0</v>
      </c>
      <c r="B551" s="13" t="s">
        <v>231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0</v>
      </c>
      <c r="B552" s="13" t="s">
        <v>192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0</v>
      </c>
      <c r="B553" s="13" t="s">
        <v>236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0</v>
      </c>
      <c r="B554" s="13" t="s">
        <v>1673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0</v>
      </c>
      <c r="B555" s="13" t="s">
        <v>2178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0</v>
      </c>
      <c r="B556" s="13" t="s">
        <v>1148</v>
      </c>
      <c r="C556" s="13">
        <v>0</v>
      </c>
      <c r="D556" s="13">
        <v>1</v>
      </c>
      <c r="E556" s="13"/>
    </row>
    <row r="557" spans="1:5" x14ac:dyDescent="0.3">
      <c r="A557" s="13" t="s">
        <v>2</v>
      </c>
      <c r="B557" s="13" t="s">
        <v>278</v>
      </c>
      <c r="C557" s="13">
        <v>1</v>
      </c>
      <c r="D557" s="13">
        <v>0</v>
      </c>
      <c r="E557" s="13">
        <v>2</v>
      </c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19900-B281-4D99-9567-906B4110FC2E}">
  <sheetPr codeName="Sheet48"/>
  <dimension ref="A1:M620"/>
  <sheetViews>
    <sheetView workbookViewId="0">
      <selection activeCell="A2" sqref="A2:E303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45</v>
      </c>
      <c r="D2" s="13">
        <v>44</v>
      </c>
      <c r="E2" s="13">
        <v>45</v>
      </c>
    </row>
    <row r="3" spans="1:13" customFormat="1" x14ac:dyDescent="0.3">
      <c r="A3" s="13" t="s">
        <v>0</v>
      </c>
      <c r="B3" s="13" t="s">
        <v>29</v>
      </c>
      <c r="C3" s="13">
        <v>24</v>
      </c>
      <c r="D3" s="13">
        <v>24</v>
      </c>
      <c r="E3" s="13">
        <v>29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23</v>
      </c>
      <c r="D4" s="13">
        <v>18</v>
      </c>
      <c r="E4" s="13">
        <v>33</v>
      </c>
      <c r="G4" s="19" t="s">
        <v>8</v>
      </c>
      <c r="H4" s="15">
        <f>H13+H14</f>
        <v>304</v>
      </c>
      <c r="I4" s="16">
        <f>H4/H$6</f>
        <v>0.51351351351351349</v>
      </c>
      <c r="J4" s="15">
        <f>I13+I14</f>
        <v>216</v>
      </c>
      <c r="K4" s="16">
        <f>J4/J$6</f>
        <v>0.45859872611464969</v>
      </c>
      <c r="L4" s="15">
        <f>J13+J14</f>
        <v>341</v>
      </c>
      <c r="M4" s="25">
        <f>L4/L$6</f>
        <v>0.51902587519025878</v>
      </c>
    </row>
    <row r="5" spans="1:13" customFormat="1" x14ac:dyDescent="0.3">
      <c r="A5" s="13" t="s">
        <v>0</v>
      </c>
      <c r="B5" s="13" t="s">
        <v>31</v>
      </c>
      <c r="C5" s="13">
        <v>17</v>
      </c>
      <c r="D5" s="13">
        <v>15</v>
      </c>
      <c r="E5" s="13">
        <v>17</v>
      </c>
      <c r="G5" s="19" t="s">
        <v>10</v>
      </c>
      <c r="H5" s="15">
        <f>H15+H16</f>
        <v>288</v>
      </c>
      <c r="I5" s="16">
        <f>H5/H$6</f>
        <v>0.48648648648648651</v>
      </c>
      <c r="J5" s="15">
        <f>I15+I16</f>
        <v>255</v>
      </c>
      <c r="K5" s="16">
        <f>J5/J$6</f>
        <v>0.54140127388535031</v>
      </c>
      <c r="L5" s="15">
        <f>J15+J16</f>
        <v>316</v>
      </c>
      <c r="M5" s="25">
        <f>L5/L$6</f>
        <v>0.48097412480974122</v>
      </c>
    </row>
    <row r="6" spans="1:13" customFormat="1" ht="17.25" thickBot="1" x14ac:dyDescent="0.35">
      <c r="A6" s="13" t="s">
        <v>0</v>
      </c>
      <c r="B6" s="13" t="s">
        <v>1948</v>
      </c>
      <c r="C6" s="13">
        <v>10</v>
      </c>
      <c r="D6" s="13">
        <v>10</v>
      </c>
      <c r="E6" s="13">
        <v>10</v>
      </c>
      <c r="G6" s="22"/>
      <c r="H6" s="26">
        <f>SUM(H4:H5)</f>
        <v>592</v>
      </c>
      <c r="I6" s="27">
        <f>I4+I5</f>
        <v>1</v>
      </c>
      <c r="J6" s="26">
        <f>SUM(J4:J5)</f>
        <v>471</v>
      </c>
      <c r="K6" s="27">
        <f>K4+K5</f>
        <v>1</v>
      </c>
      <c r="L6" s="26">
        <f>SUM(L4:L5)</f>
        <v>657</v>
      </c>
      <c r="M6" s="28">
        <f>M4+M5</f>
        <v>1</v>
      </c>
    </row>
    <row r="7" spans="1:13" customFormat="1" x14ac:dyDescent="0.3">
      <c r="A7" s="13" t="s">
        <v>1</v>
      </c>
      <c r="B7" s="13" t="s">
        <v>29</v>
      </c>
      <c r="C7" s="13">
        <v>9</v>
      </c>
      <c r="D7" s="13">
        <v>9</v>
      </c>
      <c r="E7" s="13">
        <v>10</v>
      </c>
    </row>
    <row r="8" spans="1:13" customFormat="1" x14ac:dyDescent="0.3">
      <c r="A8" s="13" t="s">
        <v>0</v>
      </c>
      <c r="B8" s="13" t="s">
        <v>1741</v>
      </c>
      <c r="C8" s="13">
        <v>9</v>
      </c>
      <c r="D8" s="13">
        <v>9</v>
      </c>
      <c r="E8" s="13">
        <v>9</v>
      </c>
    </row>
    <row r="9" spans="1:13" customFormat="1" x14ac:dyDescent="0.3">
      <c r="A9" s="13" t="s">
        <v>1</v>
      </c>
      <c r="B9" s="13" t="s">
        <v>1948</v>
      </c>
      <c r="C9" s="13">
        <v>12</v>
      </c>
      <c r="D9" s="13">
        <v>8</v>
      </c>
      <c r="E9" s="13">
        <v>13</v>
      </c>
    </row>
    <row r="10" spans="1:13" customFormat="1" ht="17.25" thickBot="1" x14ac:dyDescent="0.35">
      <c r="A10" s="13" t="s">
        <v>0</v>
      </c>
      <c r="B10" s="13" t="s">
        <v>60</v>
      </c>
      <c r="C10" s="13">
        <v>9</v>
      </c>
      <c r="D10" s="13">
        <v>8</v>
      </c>
      <c r="E10" s="13">
        <v>9</v>
      </c>
    </row>
    <row r="11" spans="1:13" x14ac:dyDescent="0.3">
      <c r="A11" s="13" t="s">
        <v>0</v>
      </c>
      <c r="B11" s="13" t="s">
        <v>37</v>
      </c>
      <c r="C11" s="13">
        <v>8</v>
      </c>
      <c r="D11" s="13">
        <v>8</v>
      </c>
      <c r="E11" s="13">
        <v>9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1663</v>
      </c>
      <c r="C12" s="13">
        <v>9</v>
      </c>
      <c r="D12" s="13">
        <v>7</v>
      </c>
      <c r="E12" s="13">
        <v>15</v>
      </c>
      <c r="G12" s="19"/>
      <c r="H12" s="17">
        <f t="shared" ref="H12:J12" si="0">SUM(H13:H16)</f>
        <v>592</v>
      </c>
      <c r="I12" s="17">
        <f t="shared" si="0"/>
        <v>471</v>
      </c>
      <c r="J12" s="20">
        <f t="shared" si="0"/>
        <v>657</v>
      </c>
    </row>
    <row r="13" spans="1:13" x14ac:dyDescent="0.3">
      <c r="A13" s="13" t="s">
        <v>1</v>
      </c>
      <c r="B13" s="13" t="s">
        <v>37</v>
      </c>
      <c r="C13" s="13">
        <v>10</v>
      </c>
      <c r="D13" s="13">
        <v>6</v>
      </c>
      <c r="E13" s="13">
        <v>11</v>
      </c>
      <c r="G13" s="19" t="s">
        <v>7</v>
      </c>
      <c r="H13" s="18">
        <f t="shared" ref="H13:J16" si="1">SUMIF($A$2:$A$9999,$G13,C$2:C$9999)</f>
        <v>303</v>
      </c>
      <c r="I13" s="18">
        <f t="shared" si="1"/>
        <v>215</v>
      </c>
      <c r="J13" s="21">
        <f t="shared" si="1"/>
        <v>340</v>
      </c>
    </row>
    <row r="14" spans="1:13" x14ac:dyDescent="0.3">
      <c r="A14" s="13" t="s">
        <v>0</v>
      </c>
      <c r="B14" s="13" t="s">
        <v>354</v>
      </c>
      <c r="C14" s="13">
        <v>5</v>
      </c>
      <c r="D14" s="13">
        <v>5</v>
      </c>
      <c r="E14" s="13">
        <v>5</v>
      </c>
      <c r="G14" s="19" t="s">
        <v>9</v>
      </c>
      <c r="H14" s="18">
        <f t="shared" si="1"/>
        <v>1</v>
      </c>
      <c r="I14" s="18">
        <f t="shared" si="1"/>
        <v>1</v>
      </c>
      <c r="J14" s="21">
        <f t="shared" si="1"/>
        <v>1</v>
      </c>
    </row>
    <row r="15" spans="1:13" x14ac:dyDescent="0.3">
      <c r="A15" s="13" t="s">
        <v>0</v>
      </c>
      <c r="B15" s="13" t="s">
        <v>105</v>
      </c>
      <c r="C15" s="13">
        <v>5</v>
      </c>
      <c r="D15" s="13">
        <v>5</v>
      </c>
      <c r="E15" s="13">
        <v>5</v>
      </c>
      <c r="G15" s="19" t="s">
        <v>11</v>
      </c>
      <c r="H15" s="18">
        <f t="shared" si="1"/>
        <v>282</v>
      </c>
      <c r="I15" s="18">
        <f t="shared" si="1"/>
        <v>250</v>
      </c>
      <c r="J15" s="21">
        <f t="shared" si="1"/>
        <v>309</v>
      </c>
    </row>
    <row r="16" spans="1:13" ht="17.25" thickBot="1" x14ac:dyDescent="0.35">
      <c r="A16" s="13" t="s">
        <v>1</v>
      </c>
      <c r="B16" s="13" t="s">
        <v>32</v>
      </c>
      <c r="C16" s="13">
        <v>4</v>
      </c>
      <c r="D16" s="13">
        <v>4</v>
      </c>
      <c r="E16" s="13">
        <v>7</v>
      </c>
      <c r="G16" s="22" t="s">
        <v>12</v>
      </c>
      <c r="H16" s="23">
        <f t="shared" si="1"/>
        <v>6</v>
      </c>
      <c r="I16" s="23">
        <f t="shared" si="1"/>
        <v>5</v>
      </c>
      <c r="J16" s="24">
        <f t="shared" si="1"/>
        <v>7</v>
      </c>
    </row>
    <row r="17" spans="1:5" x14ac:dyDescent="0.3">
      <c r="A17" s="13" t="s">
        <v>0</v>
      </c>
      <c r="B17" s="13" t="s">
        <v>34</v>
      </c>
      <c r="C17" s="13">
        <v>5</v>
      </c>
      <c r="D17" s="13">
        <v>4</v>
      </c>
      <c r="E17" s="13">
        <v>7</v>
      </c>
    </row>
    <row r="18" spans="1:5" x14ac:dyDescent="0.3">
      <c r="A18" s="13" t="s">
        <v>0</v>
      </c>
      <c r="B18" s="13" t="s">
        <v>93</v>
      </c>
      <c r="C18" s="13">
        <v>4</v>
      </c>
      <c r="D18" s="13">
        <v>4</v>
      </c>
      <c r="E18" s="13">
        <v>4</v>
      </c>
    </row>
    <row r="19" spans="1:5" x14ac:dyDescent="0.3">
      <c r="A19" s="13" t="s">
        <v>0</v>
      </c>
      <c r="B19" s="13" t="s">
        <v>61</v>
      </c>
      <c r="C19" s="13">
        <v>4</v>
      </c>
      <c r="D19" s="13">
        <v>4</v>
      </c>
      <c r="E19" s="13">
        <v>4</v>
      </c>
    </row>
    <row r="20" spans="1:5" x14ac:dyDescent="0.3">
      <c r="A20" s="13" t="s">
        <v>0</v>
      </c>
      <c r="B20" s="13" t="s">
        <v>471</v>
      </c>
      <c r="C20" s="13">
        <v>4</v>
      </c>
      <c r="D20" s="13">
        <v>4</v>
      </c>
      <c r="E20" s="13">
        <v>5</v>
      </c>
    </row>
    <row r="21" spans="1:5" x14ac:dyDescent="0.3">
      <c r="A21" s="13" t="s">
        <v>0</v>
      </c>
      <c r="B21" s="13" t="s">
        <v>1663</v>
      </c>
      <c r="C21" s="13">
        <v>4</v>
      </c>
      <c r="D21" s="13">
        <v>4</v>
      </c>
      <c r="E21" s="13">
        <v>4</v>
      </c>
    </row>
    <row r="22" spans="1:5" x14ac:dyDescent="0.3">
      <c r="A22" s="13" t="s">
        <v>0</v>
      </c>
      <c r="B22" s="13" t="s">
        <v>109</v>
      </c>
      <c r="C22" s="13">
        <v>4</v>
      </c>
      <c r="D22" s="13">
        <v>4</v>
      </c>
      <c r="E22" s="13">
        <v>4</v>
      </c>
    </row>
    <row r="23" spans="1:5" x14ac:dyDescent="0.3">
      <c r="A23" s="13" t="s">
        <v>0</v>
      </c>
      <c r="B23" s="13" t="s">
        <v>120</v>
      </c>
      <c r="C23" s="13">
        <v>4</v>
      </c>
      <c r="D23" s="13">
        <v>4</v>
      </c>
      <c r="E23" s="13">
        <v>4</v>
      </c>
    </row>
    <row r="24" spans="1:5" x14ac:dyDescent="0.3">
      <c r="A24" s="13" t="s">
        <v>0</v>
      </c>
      <c r="B24" s="13" t="s">
        <v>66</v>
      </c>
      <c r="C24" s="13">
        <v>4</v>
      </c>
      <c r="D24" s="13">
        <v>4</v>
      </c>
      <c r="E24" s="13">
        <v>6</v>
      </c>
    </row>
    <row r="25" spans="1:5" x14ac:dyDescent="0.3">
      <c r="A25" s="13" t="s">
        <v>1</v>
      </c>
      <c r="B25" s="13" t="s">
        <v>87</v>
      </c>
      <c r="C25" s="13">
        <v>3</v>
      </c>
      <c r="D25" s="13">
        <v>3</v>
      </c>
      <c r="E25" s="13">
        <v>3</v>
      </c>
    </row>
    <row r="26" spans="1:5" x14ac:dyDescent="0.3">
      <c r="A26" s="13" t="s">
        <v>1</v>
      </c>
      <c r="B26" s="13" t="s">
        <v>354</v>
      </c>
      <c r="C26" s="13">
        <v>3</v>
      </c>
      <c r="D26" s="13">
        <v>3</v>
      </c>
      <c r="E26" s="13">
        <v>3</v>
      </c>
    </row>
    <row r="27" spans="1:5" x14ac:dyDescent="0.3">
      <c r="A27" s="13" t="s">
        <v>1</v>
      </c>
      <c r="B27" s="13" t="s">
        <v>1741</v>
      </c>
      <c r="C27" s="13">
        <v>3</v>
      </c>
      <c r="D27" s="13">
        <v>3</v>
      </c>
      <c r="E27" s="13">
        <v>3</v>
      </c>
    </row>
    <row r="28" spans="1:5" x14ac:dyDescent="0.3">
      <c r="A28" s="13" t="s">
        <v>1</v>
      </c>
      <c r="B28" s="13" t="s">
        <v>2203</v>
      </c>
      <c r="C28" s="13">
        <v>5</v>
      </c>
      <c r="D28" s="13">
        <v>3</v>
      </c>
      <c r="E28" s="13">
        <v>6</v>
      </c>
    </row>
    <row r="29" spans="1:5" x14ac:dyDescent="0.3">
      <c r="A29" s="13" t="s">
        <v>1</v>
      </c>
      <c r="B29" s="13" t="s">
        <v>132</v>
      </c>
      <c r="C29" s="13">
        <v>3</v>
      </c>
      <c r="D29" s="13">
        <v>3</v>
      </c>
      <c r="E29" s="13">
        <v>3</v>
      </c>
    </row>
    <row r="30" spans="1:5" x14ac:dyDescent="0.3">
      <c r="A30" s="13" t="s">
        <v>0</v>
      </c>
      <c r="B30" s="13" t="s">
        <v>94</v>
      </c>
      <c r="C30" s="13">
        <v>4</v>
      </c>
      <c r="D30" s="13">
        <v>3</v>
      </c>
      <c r="E30" s="13">
        <v>4</v>
      </c>
    </row>
    <row r="31" spans="1:5" x14ac:dyDescent="0.3">
      <c r="A31" s="13" t="s">
        <v>0</v>
      </c>
      <c r="B31" s="13" t="s">
        <v>1342</v>
      </c>
      <c r="C31" s="13">
        <v>3</v>
      </c>
      <c r="D31" s="13">
        <v>3</v>
      </c>
      <c r="E31" s="13">
        <v>3</v>
      </c>
    </row>
    <row r="32" spans="1:5" x14ac:dyDescent="0.3">
      <c r="A32" s="13" t="s">
        <v>0</v>
      </c>
      <c r="B32" s="13" t="s">
        <v>195</v>
      </c>
      <c r="C32" s="13">
        <v>3</v>
      </c>
      <c r="D32" s="13">
        <v>3</v>
      </c>
      <c r="E32" s="13">
        <v>3</v>
      </c>
    </row>
    <row r="33" spans="1:5" x14ac:dyDescent="0.3">
      <c r="A33" s="13" t="s">
        <v>0</v>
      </c>
      <c r="B33" s="13" t="s">
        <v>51</v>
      </c>
      <c r="C33" s="13">
        <v>3</v>
      </c>
      <c r="D33" s="13">
        <v>3</v>
      </c>
      <c r="E33" s="13">
        <v>5</v>
      </c>
    </row>
    <row r="34" spans="1:5" x14ac:dyDescent="0.3">
      <c r="A34" s="13" t="s">
        <v>0</v>
      </c>
      <c r="B34" s="13" t="s">
        <v>2645</v>
      </c>
      <c r="C34" s="13">
        <v>3</v>
      </c>
      <c r="D34" s="13">
        <v>3</v>
      </c>
      <c r="E34" s="13">
        <v>3</v>
      </c>
    </row>
    <row r="35" spans="1:5" x14ac:dyDescent="0.3">
      <c r="A35" s="13" t="s">
        <v>0</v>
      </c>
      <c r="B35" s="13" t="s">
        <v>115</v>
      </c>
      <c r="C35" s="13">
        <v>3</v>
      </c>
      <c r="D35" s="13">
        <v>3</v>
      </c>
      <c r="E35" s="13">
        <v>3</v>
      </c>
    </row>
    <row r="36" spans="1:5" x14ac:dyDescent="0.3">
      <c r="A36" s="13" t="s">
        <v>0</v>
      </c>
      <c r="B36" s="13" t="s">
        <v>376</v>
      </c>
      <c r="C36" s="13">
        <v>3</v>
      </c>
      <c r="D36" s="13">
        <v>3</v>
      </c>
      <c r="E36" s="13">
        <v>4</v>
      </c>
    </row>
    <row r="37" spans="1:5" x14ac:dyDescent="0.3">
      <c r="A37" s="13" t="s">
        <v>0</v>
      </c>
      <c r="B37" s="13" t="s">
        <v>62</v>
      </c>
      <c r="C37" s="13">
        <v>3</v>
      </c>
      <c r="D37" s="13">
        <v>3</v>
      </c>
      <c r="E37" s="13">
        <v>3</v>
      </c>
    </row>
    <row r="38" spans="1:5" x14ac:dyDescent="0.3">
      <c r="A38" s="13" t="s">
        <v>1</v>
      </c>
      <c r="B38" s="13" t="s">
        <v>2646</v>
      </c>
      <c r="C38" s="13">
        <v>2</v>
      </c>
      <c r="D38" s="13">
        <v>2</v>
      </c>
      <c r="E38" s="13">
        <v>2</v>
      </c>
    </row>
    <row r="39" spans="1:5" x14ac:dyDescent="0.3">
      <c r="A39" s="13" t="s">
        <v>1</v>
      </c>
      <c r="B39" s="13" t="s">
        <v>47</v>
      </c>
      <c r="C39" s="13">
        <v>3</v>
      </c>
      <c r="D39" s="13">
        <v>2</v>
      </c>
      <c r="E39" s="13">
        <v>3</v>
      </c>
    </row>
    <row r="40" spans="1:5" x14ac:dyDescent="0.3">
      <c r="A40" s="13" t="s">
        <v>1</v>
      </c>
      <c r="B40" s="13" t="s">
        <v>48</v>
      </c>
      <c r="C40" s="13">
        <v>3</v>
      </c>
      <c r="D40" s="13">
        <v>2</v>
      </c>
      <c r="E40" s="13">
        <v>3</v>
      </c>
    </row>
    <row r="41" spans="1:5" x14ac:dyDescent="0.3">
      <c r="A41" s="13" t="s">
        <v>1</v>
      </c>
      <c r="B41" s="13" t="s">
        <v>345</v>
      </c>
      <c r="C41" s="13">
        <v>2</v>
      </c>
      <c r="D41" s="13">
        <v>2</v>
      </c>
      <c r="E41" s="13">
        <v>3</v>
      </c>
    </row>
    <row r="42" spans="1:5" x14ac:dyDescent="0.3">
      <c r="A42" s="13" t="s">
        <v>1</v>
      </c>
      <c r="B42" s="13" t="s">
        <v>937</v>
      </c>
      <c r="C42" s="13">
        <v>2</v>
      </c>
      <c r="D42" s="13">
        <v>2</v>
      </c>
      <c r="E42" s="13">
        <v>2</v>
      </c>
    </row>
    <row r="43" spans="1:5" x14ac:dyDescent="0.3">
      <c r="A43" s="13" t="s">
        <v>1</v>
      </c>
      <c r="B43" s="13" t="s">
        <v>28</v>
      </c>
      <c r="C43" s="13">
        <v>3</v>
      </c>
      <c r="D43" s="13">
        <v>2</v>
      </c>
      <c r="E43" s="13">
        <v>3</v>
      </c>
    </row>
    <row r="44" spans="1:5" x14ac:dyDescent="0.3">
      <c r="A44" s="13" t="s">
        <v>1</v>
      </c>
      <c r="B44" s="13" t="s">
        <v>195</v>
      </c>
      <c r="C44" s="13">
        <v>2</v>
      </c>
      <c r="D44" s="13">
        <v>2</v>
      </c>
      <c r="E44" s="13">
        <v>2</v>
      </c>
    </row>
    <row r="45" spans="1:5" x14ac:dyDescent="0.3">
      <c r="A45" s="13" t="s">
        <v>1</v>
      </c>
      <c r="B45" s="13" t="s">
        <v>51</v>
      </c>
      <c r="C45" s="13">
        <v>2</v>
      </c>
      <c r="D45" s="13">
        <v>2</v>
      </c>
      <c r="E45" s="13">
        <v>2</v>
      </c>
    </row>
    <row r="46" spans="1:5" x14ac:dyDescent="0.3">
      <c r="A46" s="13" t="s">
        <v>1</v>
      </c>
      <c r="B46" s="13" t="s">
        <v>39</v>
      </c>
      <c r="C46" s="13">
        <v>5</v>
      </c>
      <c r="D46" s="13">
        <v>2</v>
      </c>
      <c r="E46" s="13">
        <v>7</v>
      </c>
    </row>
    <row r="47" spans="1:5" x14ac:dyDescent="0.3">
      <c r="A47" s="13" t="s">
        <v>0</v>
      </c>
      <c r="B47" s="13" t="s">
        <v>30</v>
      </c>
      <c r="C47" s="13">
        <v>3</v>
      </c>
      <c r="D47" s="13">
        <v>2</v>
      </c>
      <c r="E47" s="13">
        <v>3</v>
      </c>
    </row>
    <row r="48" spans="1:5" x14ac:dyDescent="0.3">
      <c r="A48" s="13" t="s">
        <v>0</v>
      </c>
      <c r="B48" s="13" t="s">
        <v>260</v>
      </c>
      <c r="C48" s="13">
        <v>2</v>
      </c>
      <c r="D48" s="13">
        <v>2</v>
      </c>
      <c r="E48" s="13">
        <v>2</v>
      </c>
    </row>
    <row r="49" spans="1:5" x14ac:dyDescent="0.3">
      <c r="A49" s="13" t="s">
        <v>0</v>
      </c>
      <c r="B49" s="13" t="s">
        <v>1882</v>
      </c>
      <c r="C49" s="13">
        <v>4</v>
      </c>
      <c r="D49" s="13">
        <v>2</v>
      </c>
      <c r="E49" s="13">
        <v>4</v>
      </c>
    </row>
    <row r="50" spans="1:5" x14ac:dyDescent="0.3">
      <c r="A50" s="13" t="s">
        <v>0</v>
      </c>
      <c r="B50" s="13" t="s">
        <v>2093</v>
      </c>
      <c r="C50" s="13">
        <v>2</v>
      </c>
      <c r="D50" s="13">
        <v>2</v>
      </c>
      <c r="E50" s="13">
        <v>2</v>
      </c>
    </row>
    <row r="51" spans="1:5" x14ac:dyDescent="0.3">
      <c r="A51" s="13" t="s">
        <v>0</v>
      </c>
      <c r="B51" s="13" t="s">
        <v>2203</v>
      </c>
      <c r="C51" s="13">
        <v>2</v>
      </c>
      <c r="D51" s="13">
        <v>2</v>
      </c>
      <c r="E51" s="13">
        <v>2</v>
      </c>
    </row>
    <row r="52" spans="1:5" x14ac:dyDescent="0.3">
      <c r="A52" s="13" t="s">
        <v>0</v>
      </c>
      <c r="B52" s="13" t="s">
        <v>427</v>
      </c>
      <c r="C52" s="13">
        <v>2</v>
      </c>
      <c r="D52" s="13">
        <v>2</v>
      </c>
      <c r="E52" s="13">
        <v>2</v>
      </c>
    </row>
    <row r="53" spans="1:5" x14ac:dyDescent="0.3">
      <c r="A53" s="13" t="s">
        <v>0</v>
      </c>
      <c r="B53" s="13" t="s">
        <v>35</v>
      </c>
      <c r="C53" s="13">
        <v>2</v>
      </c>
      <c r="D53" s="13">
        <v>2</v>
      </c>
      <c r="E53" s="13">
        <v>2</v>
      </c>
    </row>
    <row r="54" spans="1:5" x14ac:dyDescent="0.3">
      <c r="A54" s="13" t="s">
        <v>0</v>
      </c>
      <c r="B54" s="13" t="s">
        <v>648</v>
      </c>
      <c r="C54" s="13">
        <v>2</v>
      </c>
      <c r="D54" s="13">
        <v>2</v>
      </c>
      <c r="E54" s="13">
        <v>2</v>
      </c>
    </row>
    <row r="55" spans="1:5" x14ac:dyDescent="0.3">
      <c r="A55" s="13" t="s">
        <v>0</v>
      </c>
      <c r="B55" s="13" t="s">
        <v>121</v>
      </c>
      <c r="C55" s="13">
        <v>2</v>
      </c>
      <c r="D55" s="13">
        <v>2</v>
      </c>
      <c r="E55" s="13">
        <v>2</v>
      </c>
    </row>
    <row r="56" spans="1:5" x14ac:dyDescent="0.3">
      <c r="A56" s="13" t="s">
        <v>0</v>
      </c>
      <c r="B56" s="13" t="s">
        <v>123</v>
      </c>
      <c r="C56" s="13">
        <v>2</v>
      </c>
      <c r="D56" s="13">
        <v>2</v>
      </c>
      <c r="E56" s="13">
        <v>3</v>
      </c>
    </row>
    <row r="57" spans="1:5" x14ac:dyDescent="0.3">
      <c r="A57" s="13" t="s">
        <v>0</v>
      </c>
      <c r="B57" s="13" t="s">
        <v>255</v>
      </c>
      <c r="C57" s="13">
        <v>2</v>
      </c>
      <c r="D57" s="13">
        <v>2</v>
      </c>
      <c r="E57" s="13">
        <v>2</v>
      </c>
    </row>
    <row r="58" spans="1:5" x14ac:dyDescent="0.3">
      <c r="A58" s="13" t="s">
        <v>1</v>
      </c>
      <c r="B58" s="13" t="s">
        <v>199</v>
      </c>
      <c r="C58" s="13">
        <v>1</v>
      </c>
      <c r="D58" s="13">
        <v>1</v>
      </c>
      <c r="E58" s="13">
        <v>1</v>
      </c>
    </row>
    <row r="59" spans="1:5" x14ac:dyDescent="0.3">
      <c r="A59" s="13" t="s">
        <v>1</v>
      </c>
      <c r="B59" s="13" t="s">
        <v>553</v>
      </c>
      <c r="C59" s="13">
        <v>1</v>
      </c>
      <c r="D59" s="13">
        <v>1</v>
      </c>
      <c r="E59" s="13">
        <v>1</v>
      </c>
    </row>
    <row r="60" spans="1:5" x14ac:dyDescent="0.3">
      <c r="A60" s="13" t="s">
        <v>1</v>
      </c>
      <c r="B60" s="13" t="s">
        <v>554</v>
      </c>
      <c r="C60" s="13">
        <v>1</v>
      </c>
      <c r="D60" s="13">
        <v>1</v>
      </c>
      <c r="E60" s="13">
        <v>1</v>
      </c>
    </row>
    <row r="61" spans="1:5" x14ac:dyDescent="0.3">
      <c r="A61" s="13" t="s">
        <v>1</v>
      </c>
      <c r="B61" s="13" t="s">
        <v>752</v>
      </c>
      <c r="C61" s="13">
        <v>1</v>
      </c>
      <c r="D61" s="13">
        <v>1</v>
      </c>
      <c r="E61" s="13">
        <v>1</v>
      </c>
    </row>
    <row r="62" spans="1:5" x14ac:dyDescent="0.3">
      <c r="A62" s="13" t="s">
        <v>1</v>
      </c>
      <c r="B62" s="13" t="s">
        <v>593</v>
      </c>
      <c r="C62" s="13">
        <v>1</v>
      </c>
      <c r="D62" s="13">
        <v>1</v>
      </c>
      <c r="E62" s="13">
        <v>1</v>
      </c>
    </row>
    <row r="63" spans="1:5" x14ac:dyDescent="0.3">
      <c r="A63" s="13" t="s">
        <v>1</v>
      </c>
      <c r="B63" s="13" t="s">
        <v>34</v>
      </c>
      <c r="C63" s="13">
        <v>1</v>
      </c>
      <c r="D63" s="13">
        <v>1</v>
      </c>
      <c r="E63" s="13">
        <v>1</v>
      </c>
    </row>
    <row r="64" spans="1:5" x14ac:dyDescent="0.3">
      <c r="A64" s="13" t="s">
        <v>1</v>
      </c>
      <c r="B64" s="13" t="s">
        <v>855</v>
      </c>
      <c r="C64" s="13">
        <v>1</v>
      </c>
      <c r="D64" s="13">
        <v>1</v>
      </c>
      <c r="E64" s="13">
        <v>1</v>
      </c>
    </row>
    <row r="65" spans="1:5" x14ac:dyDescent="0.3">
      <c r="A65" s="13" t="s">
        <v>1</v>
      </c>
      <c r="B65" s="13" t="s">
        <v>257</v>
      </c>
      <c r="C65" s="13">
        <v>1</v>
      </c>
      <c r="D65" s="13">
        <v>1</v>
      </c>
      <c r="E65" s="13">
        <v>1</v>
      </c>
    </row>
    <row r="66" spans="1:5" x14ac:dyDescent="0.3">
      <c r="A66" s="13" t="s">
        <v>1</v>
      </c>
      <c r="B66" s="13" t="s">
        <v>883</v>
      </c>
      <c r="C66" s="13">
        <v>1</v>
      </c>
      <c r="D66" s="13">
        <v>1</v>
      </c>
      <c r="E66" s="13">
        <v>1</v>
      </c>
    </row>
    <row r="67" spans="1:5" x14ac:dyDescent="0.3">
      <c r="A67" s="13" t="s">
        <v>1</v>
      </c>
      <c r="B67" s="13" t="s">
        <v>147</v>
      </c>
      <c r="C67" s="13">
        <v>1</v>
      </c>
      <c r="D67" s="13">
        <v>1</v>
      </c>
      <c r="E67" s="13">
        <v>1</v>
      </c>
    </row>
    <row r="68" spans="1:5" x14ac:dyDescent="0.3">
      <c r="A68" s="13" t="s">
        <v>1</v>
      </c>
      <c r="B68" s="13" t="s">
        <v>1685</v>
      </c>
      <c r="C68" s="13">
        <v>1</v>
      </c>
      <c r="D68" s="13">
        <v>1</v>
      </c>
      <c r="E68" s="13">
        <v>4</v>
      </c>
    </row>
    <row r="69" spans="1:5" x14ac:dyDescent="0.3">
      <c r="A69" s="13" t="s">
        <v>1</v>
      </c>
      <c r="B69" s="13" t="s">
        <v>148</v>
      </c>
      <c r="C69" s="13">
        <v>1</v>
      </c>
      <c r="D69" s="13">
        <v>1</v>
      </c>
      <c r="E69" s="13">
        <v>1</v>
      </c>
    </row>
    <row r="70" spans="1:5" x14ac:dyDescent="0.3">
      <c r="A70" s="13" t="s">
        <v>1</v>
      </c>
      <c r="B70" s="13" t="s">
        <v>272</v>
      </c>
      <c r="C70" s="13">
        <v>1</v>
      </c>
      <c r="D70" s="13">
        <v>1</v>
      </c>
      <c r="E70" s="13">
        <v>1</v>
      </c>
    </row>
    <row r="71" spans="1:5" x14ac:dyDescent="0.3">
      <c r="A71" s="13" t="s">
        <v>1</v>
      </c>
      <c r="B71" s="13" t="s">
        <v>151</v>
      </c>
      <c r="C71" s="13">
        <v>2</v>
      </c>
      <c r="D71" s="13">
        <v>1</v>
      </c>
      <c r="E71" s="13">
        <v>1</v>
      </c>
    </row>
    <row r="72" spans="1:5" x14ac:dyDescent="0.3">
      <c r="A72" s="13" t="s">
        <v>1</v>
      </c>
      <c r="B72" s="13" t="s">
        <v>885</v>
      </c>
      <c r="C72" s="13">
        <v>1</v>
      </c>
      <c r="D72" s="13">
        <v>1</v>
      </c>
      <c r="E72" s="13">
        <v>1</v>
      </c>
    </row>
    <row r="73" spans="1:5" x14ac:dyDescent="0.3">
      <c r="A73" s="13" t="s">
        <v>1</v>
      </c>
      <c r="B73" s="13" t="s">
        <v>41</v>
      </c>
      <c r="C73" s="13">
        <v>1</v>
      </c>
      <c r="D73" s="13">
        <v>1</v>
      </c>
      <c r="E73" s="13">
        <v>1</v>
      </c>
    </row>
    <row r="74" spans="1:5" x14ac:dyDescent="0.3">
      <c r="A74" s="13" t="s">
        <v>1</v>
      </c>
      <c r="B74" s="13" t="s">
        <v>503</v>
      </c>
      <c r="C74" s="13">
        <v>1</v>
      </c>
      <c r="D74" s="13">
        <v>1</v>
      </c>
      <c r="E74" s="13">
        <v>1</v>
      </c>
    </row>
    <row r="75" spans="1:5" x14ac:dyDescent="0.3">
      <c r="A75" s="13" t="s">
        <v>1</v>
      </c>
      <c r="B75" s="13" t="s">
        <v>60</v>
      </c>
      <c r="C75" s="13">
        <v>1</v>
      </c>
      <c r="D75" s="13">
        <v>1</v>
      </c>
      <c r="E75" s="13">
        <v>1</v>
      </c>
    </row>
    <row r="76" spans="1:5" x14ac:dyDescent="0.3">
      <c r="A76" s="13" t="s">
        <v>1</v>
      </c>
      <c r="B76" s="13" t="s">
        <v>61</v>
      </c>
      <c r="C76" s="13">
        <v>2</v>
      </c>
      <c r="D76" s="13">
        <v>1</v>
      </c>
      <c r="E76" s="13">
        <v>1</v>
      </c>
    </row>
    <row r="77" spans="1:5" x14ac:dyDescent="0.3">
      <c r="A77" s="13" t="s">
        <v>1</v>
      </c>
      <c r="B77" s="13" t="s">
        <v>471</v>
      </c>
      <c r="C77" s="13">
        <v>1</v>
      </c>
      <c r="D77" s="13">
        <v>1</v>
      </c>
      <c r="E77" s="13">
        <v>1</v>
      </c>
    </row>
    <row r="78" spans="1:5" x14ac:dyDescent="0.3">
      <c r="A78" s="13" t="s">
        <v>1</v>
      </c>
      <c r="B78" s="13" t="s">
        <v>1833</v>
      </c>
      <c r="C78" s="13">
        <v>1</v>
      </c>
      <c r="D78" s="13">
        <v>1</v>
      </c>
      <c r="E78" s="13">
        <v>1</v>
      </c>
    </row>
    <row r="79" spans="1:5" x14ac:dyDescent="0.3">
      <c r="A79" s="13" t="s">
        <v>1</v>
      </c>
      <c r="B79" s="13" t="s">
        <v>1885</v>
      </c>
      <c r="C79" s="13">
        <v>1</v>
      </c>
      <c r="D79" s="13">
        <v>1</v>
      </c>
      <c r="E79" s="13">
        <v>2</v>
      </c>
    </row>
    <row r="80" spans="1:5" x14ac:dyDescent="0.3">
      <c r="A80" s="13" t="s">
        <v>1</v>
      </c>
      <c r="B80" s="13" t="s">
        <v>1989</v>
      </c>
      <c r="C80" s="13">
        <v>2</v>
      </c>
      <c r="D80" s="13">
        <v>1</v>
      </c>
      <c r="E80" s="13">
        <v>2</v>
      </c>
    </row>
    <row r="81" spans="1:5" x14ac:dyDescent="0.3">
      <c r="A81" s="13" t="s">
        <v>1</v>
      </c>
      <c r="B81" s="13" t="s">
        <v>2093</v>
      </c>
      <c r="C81" s="13">
        <v>2</v>
      </c>
      <c r="D81" s="13">
        <v>1</v>
      </c>
      <c r="E81" s="13">
        <v>1</v>
      </c>
    </row>
    <row r="82" spans="1:5" x14ac:dyDescent="0.3">
      <c r="A82" s="13" t="s">
        <v>1</v>
      </c>
      <c r="B82" s="13" t="s">
        <v>2179</v>
      </c>
      <c r="C82" s="13">
        <v>1</v>
      </c>
      <c r="D82" s="13">
        <v>1</v>
      </c>
      <c r="E82" s="13">
        <v>1</v>
      </c>
    </row>
    <row r="83" spans="1:5" x14ac:dyDescent="0.3">
      <c r="A83" s="13" t="s">
        <v>1</v>
      </c>
      <c r="B83" s="13" t="s">
        <v>2624</v>
      </c>
      <c r="C83" s="13">
        <v>4</v>
      </c>
      <c r="D83" s="13">
        <v>1</v>
      </c>
      <c r="E83" s="13">
        <v>5</v>
      </c>
    </row>
    <row r="84" spans="1:5" x14ac:dyDescent="0.3">
      <c r="A84" s="13" t="s">
        <v>1</v>
      </c>
      <c r="B84" s="13" t="s">
        <v>819</v>
      </c>
      <c r="C84" s="13">
        <v>1</v>
      </c>
      <c r="D84" s="13">
        <v>1</v>
      </c>
      <c r="E84" s="13">
        <v>1</v>
      </c>
    </row>
    <row r="85" spans="1:5" x14ac:dyDescent="0.3">
      <c r="A85" s="13" t="s">
        <v>1</v>
      </c>
      <c r="B85" s="13" t="s">
        <v>1231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95</v>
      </c>
      <c r="C86" s="13">
        <v>1</v>
      </c>
      <c r="D86" s="13">
        <v>1</v>
      </c>
      <c r="E86" s="13">
        <v>1</v>
      </c>
    </row>
    <row r="87" spans="1:5" x14ac:dyDescent="0.3">
      <c r="A87" s="13" t="s">
        <v>1</v>
      </c>
      <c r="B87" s="13" t="s">
        <v>932</v>
      </c>
      <c r="C87" s="13">
        <v>1</v>
      </c>
      <c r="D87" s="13">
        <v>1</v>
      </c>
      <c r="E87" s="13">
        <v>1</v>
      </c>
    </row>
    <row r="88" spans="1:5" x14ac:dyDescent="0.3">
      <c r="A88" s="13" t="s">
        <v>1</v>
      </c>
      <c r="B88" s="13" t="s">
        <v>1053</v>
      </c>
      <c r="C88" s="13">
        <v>1</v>
      </c>
      <c r="D88" s="13">
        <v>1</v>
      </c>
      <c r="E88" s="13">
        <v>1</v>
      </c>
    </row>
    <row r="89" spans="1:5" x14ac:dyDescent="0.3">
      <c r="A89" s="13" t="s">
        <v>1</v>
      </c>
      <c r="B89" s="13" t="s">
        <v>159</v>
      </c>
      <c r="C89" s="13">
        <v>1</v>
      </c>
      <c r="D89" s="13">
        <v>1</v>
      </c>
      <c r="E89" s="13">
        <v>1</v>
      </c>
    </row>
    <row r="90" spans="1:5" x14ac:dyDescent="0.3">
      <c r="A90" s="13" t="s">
        <v>1</v>
      </c>
      <c r="B90" s="13" t="s">
        <v>1447</v>
      </c>
      <c r="C90" s="13">
        <v>1</v>
      </c>
      <c r="D90" s="13">
        <v>1</v>
      </c>
      <c r="E90" s="13">
        <v>1</v>
      </c>
    </row>
    <row r="91" spans="1:5" x14ac:dyDescent="0.3">
      <c r="A91" s="13" t="s">
        <v>1</v>
      </c>
      <c r="B91" s="13" t="s">
        <v>1201</v>
      </c>
      <c r="C91" s="13">
        <v>1</v>
      </c>
      <c r="D91" s="13">
        <v>1</v>
      </c>
      <c r="E91" s="13">
        <v>1</v>
      </c>
    </row>
    <row r="92" spans="1:5" x14ac:dyDescent="0.3">
      <c r="A92" s="13" t="s">
        <v>1</v>
      </c>
      <c r="B92" s="13" t="s">
        <v>1524</v>
      </c>
      <c r="C92" s="13">
        <v>1</v>
      </c>
      <c r="D92" s="13">
        <v>1</v>
      </c>
      <c r="E92" s="13">
        <v>1</v>
      </c>
    </row>
    <row r="93" spans="1:5" x14ac:dyDescent="0.3">
      <c r="A93" s="13" t="s">
        <v>1</v>
      </c>
      <c r="B93" s="13" t="s">
        <v>1233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1922</v>
      </c>
      <c r="C94" s="13">
        <v>1</v>
      </c>
      <c r="D94" s="13">
        <v>1</v>
      </c>
      <c r="E94" s="13">
        <v>1</v>
      </c>
    </row>
    <row r="95" spans="1:5" x14ac:dyDescent="0.3">
      <c r="A95" s="13" t="s">
        <v>1</v>
      </c>
      <c r="B95" s="13" t="s">
        <v>50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394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618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109</v>
      </c>
      <c r="C98" s="13">
        <v>2</v>
      </c>
      <c r="D98" s="13">
        <v>1</v>
      </c>
      <c r="E98" s="13">
        <v>2</v>
      </c>
    </row>
    <row r="99" spans="1:5" x14ac:dyDescent="0.3">
      <c r="A99" s="13" t="s">
        <v>1</v>
      </c>
      <c r="B99" s="13" t="s">
        <v>2647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1528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1997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568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736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319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571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2648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2649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580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1588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402</v>
      </c>
      <c r="C110" s="13">
        <v>2</v>
      </c>
      <c r="D110" s="13">
        <v>1</v>
      </c>
      <c r="E110" s="13">
        <v>3</v>
      </c>
    </row>
    <row r="111" spans="1:5" x14ac:dyDescent="0.3">
      <c r="A111" s="13" t="s">
        <v>1</v>
      </c>
      <c r="B111" s="13" t="s">
        <v>115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403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1101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836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900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118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196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631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120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574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123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175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668</v>
      </c>
      <c r="C123" s="13">
        <v>2</v>
      </c>
      <c r="D123" s="13">
        <v>1</v>
      </c>
      <c r="E123" s="13">
        <v>2</v>
      </c>
    </row>
    <row r="124" spans="1:5" x14ac:dyDescent="0.3">
      <c r="A124" s="13" t="s">
        <v>1</v>
      </c>
      <c r="B124" s="13" t="s">
        <v>124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2481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865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340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38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64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188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441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230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1219</v>
      </c>
      <c r="C133" s="13">
        <v>1</v>
      </c>
      <c r="D133" s="13">
        <v>1</v>
      </c>
      <c r="E133" s="13">
        <v>2</v>
      </c>
    </row>
    <row r="134" spans="1:5" x14ac:dyDescent="0.3">
      <c r="A134" s="13" t="s">
        <v>1</v>
      </c>
      <c r="B134" s="13" t="s">
        <v>134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55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1965</v>
      </c>
      <c r="C136" s="13">
        <v>1</v>
      </c>
      <c r="D136" s="13">
        <v>1</v>
      </c>
      <c r="E136" s="13">
        <v>2</v>
      </c>
    </row>
    <row r="137" spans="1:5" x14ac:dyDescent="0.3">
      <c r="A137" s="13" t="s">
        <v>1</v>
      </c>
      <c r="B137" s="13" t="s">
        <v>1333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722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2650</v>
      </c>
      <c r="C139" s="13">
        <v>1</v>
      </c>
      <c r="D139" s="13">
        <v>1</v>
      </c>
      <c r="E139" s="13"/>
    </row>
    <row r="140" spans="1:5" x14ac:dyDescent="0.3">
      <c r="A140" s="13" t="s">
        <v>1</v>
      </c>
      <c r="B140" s="13" t="s">
        <v>1470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418</v>
      </c>
      <c r="C141" s="13">
        <v>1</v>
      </c>
      <c r="D141" s="13">
        <v>1</v>
      </c>
      <c r="E141" s="13"/>
    </row>
    <row r="142" spans="1:5" x14ac:dyDescent="0.3">
      <c r="A142" s="13" t="s">
        <v>1</v>
      </c>
      <c r="B142" s="13" t="s">
        <v>850</v>
      </c>
      <c r="C142" s="13">
        <v>1</v>
      </c>
      <c r="D142" s="13">
        <v>1</v>
      </c>
      <c r="E142" s="13">
        <v>2</v>
      </c>
    </row>
    <row r="143" spans="1:5" x14ac:dyDescent="0.3">
      <c r="A143" s="13" t="s">
        <v>0</v>
      </c>
      <c r="B143" s="13" t="s">
        <v>36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0</v>
      </c>
      <c r="B144" s="13" t="s">
        <v>47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0</v>
      </c>
      <c r="B145" s="13" t="s">
        <v>301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0</v>
      </c>
      <c r="B146" s="13" t="s">
        <v>584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0</v>
      </c>
      <c r="B147" s="13" t="s">
        <v>48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0</v>
      </c>
      <c r="B148" s="13" t="s">
        <v>928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0</v>
      </c>
      <c r="B149" s="13" t="s">
        <v>1159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0</v>
      </c>
      <c r="B150" s="13" t="s">
        <v>1123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0</v>
      </c>
      <c r="B151" s="13" t="s">
        <v>497</v>
      </c>
      <c r="C151" s="13">
        <v>1</v>
      </c>
      <c r="D151" s="13">
        <v>1</v>
      </c>
      <c r="E151" s="13">
        <v>2</v>
      </c>
    </row>
    <row r="152" spans="1:5" x14ac:dyDescent="0.3">
      <c r="A152" s="13" t="s">
        <v>0</v>
      </c>
      <c r="B152" s="13" t="s">
        <v>143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0</v>
      </c>
      <c r="B153" s="13" t="s">
        <v>1845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0</v>
      </c>
      <c r="B154" s="13" t="s">
        <v>880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0</v>
      </c>
      <c r="B155" s="13" t="s">
        <v>1208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0</v>
      </c>
      <c r="B156" s="13" t="s">
        <v>40</v>
      </c>
      <c r="C156" s="13">
        <v>2</v>
      </c>
      <c r="D156" s="13">
        <v>1</v>
      </c>
      <c r="E156" s="13">
        <v>2</v>
      </c>
    </row>
    <row r="157" spans="1:5" x14ac:dyDescent="0.3">
      <c r="A157" s="13" t="s">
        <v>0</v>
      </c>
      <c r="B157" s="13" t="s">
        <v>81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0</v>
      </c>
      <c r="B158" s="13" t="s">
        <v>211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0</v>
      </c>
      <c r="B159" s="13" t="s">
        <v>385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0</v>
      </c>
      <c r="B160" s="13" t="s">
        <v>600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0</v>
      </c>
      <c r="B161" s="13" t="s">
        <v>305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0</v>
      </c>
      <c r="B162" s="13" t="s">
        <v>1249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0</v>
      </c>
      <c r="B163" s="13" t="s">
        <v>350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0</v>
      </c>
      <c r="B164" s="13" t="s">
        <v>152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0</v>
      </c>
      <c r="B165" s="13" t="s">
        <v>153</v>
      </c>
      <c r="C165" s="13">
        <v>1</v>
      </c>
      <c r="D165" s="13">
        <v>1</v>
      </c>
      <c r="E165" s="13">
        <v>2</v>
      </c>
    </row>
    <row r="166" spans="1:5" x14ac:dyDescent="0.3">
      <c r="A166" s="13" t="s">
        <v>0</v>
      </c>
      <c r="B166" s="13" t="s">
        <v>1067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0</v>
      </c>
      <c r="B167" s="13" t="s">
        <v>1370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0</v>
      </c>
      <c r="B168" s="13" t="s">
        <v>1624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0</v>
      </c>
      <c r="B169" s="13" t="s">
        <v>1885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0</v>
      </c>
      <c r="B170" s="13" t="s">
        <v>1988</v>
      </c>
      <c r="C170" s="13">
        <v>2</v>
      </c>
      <c r="D170" s="13">
        <v>1</v>
      </c>
      <c r="E170" s="13">
        <v>2</v>
      </c>
    </row>
    <row r="171" spans="1:5" x14ac:dyDescent="0.3">
      <c r="A171" s="13" t="s">
        <v>0</v>
      </c>
      <c r="B171" s="13" t="s">
        <v>2148</v>
      </c>
      <c r="C171" s="13">
        <v>2</v>
      </c>
      <c r="D171" s="13">
        <v>1</v>
      </c>
      <c r="E171" s="13">
        <v>6</v>
      </c>
    </row>
    <row r="172" spans="1:5" x14ac:dyDescent="0.3">
      <c r="A172" s="13" t="s">
        <v>0</v>
      </c>
      <c r="B172" s="13" t="s">
        <v>1083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0</v>
      </c>
      <c r="B173" s="13" t="s">
        <v>1629</v>
      </c>
      <c r="C173" s="13">
        <v>1</v>
      </c>
      <c r="D173" s="13">
        <v>1</v>
      </c>
      <c r="E173" s="13">
        <v>2</v>
      </c>
    </row>
    <row r="174" spans="1:5" x14ac:dyDescent="0.3">
      <c r="A174" s="13" t="s">
        <v>0</v>
      </c>
      <c r="B174" s="13" t="s">
        <v>155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0</v>
      </c>
      <c r="B175" s="13" t="s">
        <v>2628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0</v>
      </c>
      <c r="B176" s="13" t="s">
        <v>997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0</v>
      </c>
      <c r="B177" s="13" t="s">
        <v>1034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0</v>
      </c>
      <c r="B178" s="13" t="s">
        <v>562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0</v>
      </c>
      <c r="B179" s="13" t="s">
        <v>157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0</v>
      </c>
      <c r="B180" s="13" t="s">
        <v>1069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0</v>
      </c>
      <c r="B181" s="13" t="s">
        <v>1447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0</v>
      </c>
      <c r="B182" s="13" t="s">
        <v>102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0</v>
      </c>
      <c r="B183" s="13" t="s">
        <v>1128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0</v>
      </c>
      <c r="B184" s="13" t="s">
        <v>43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0</v>
      </c>
      <c r="B185" s="13" t="s">
        <v>2651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0</v>
      </c>
      <c r="B186" s="13" t="s">
        <v>164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0</v>
      </c>
      <c r="B187" s="13" t="s">
        <v>165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108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0</v>
      </c>
      <c r="B189" s="13" t="s">
        <v>512</v>
      </c>
      <c r="C189" s="13">
        <v>1</v>
      </c>
      <c r="D189" s="13">
        <v>1</v>
      </c>
      <c r="E189" s="13">
        <v>2</v>
      </c>
    </row>
    <row r="190" spans="1:5" x14ac:dyDescent="0.3">
      <c r="A190" s="13" t="s">
        <v>0</v>
      </c>
      <c r="B190" s="13" t="s">
        <v>579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0</v>
      </c>
      <c r="B191" s="13" t="s">
        <v>223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0</v>
      </c>
      <c r="B192" s="13" t="s">
        <v>516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0</v>
      </c>
      <c r="B193" s="13" t="s">
        <v>1542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0</v>
      </c>
      <c r="B194" s="13" t="s">
        <v>1005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0</v>
      </c>
      <c r="B195" s="13" t="s">
        <v>45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0</v>
      </c>
      <c r="B196" s="13" t="s">
        <v>1259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431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523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326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835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114</v>
      </c>
      <c r="C201" s="13">
        <v>2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172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2652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1285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1868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574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174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175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705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1678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52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1046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38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64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541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1537</v>
      </c>
      <c r="C216" s="13">
        <v>1</v>
      </c>
      <c r="D216" s="13">
        <v>1</v>
      </c>
      <c r="E216" s="13">
        <v>2</v>
      </c>
    </row>
    <row r="217" spans="1:5" x14ac:dyDescent="0.3">
      <c r="A217" s="13" t="s">
        <v>0</v>
      </c>
      <c r="B217" s="13" t="s">
        <v>1119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53</v>
      </c>
      <c r="C218" s="13">
        <v>1</v>
      </c>
      <c r="D218" s="13">
        <v>1</v>
      </c>
      <c r="E218" s="13">
        <v>2</v>
      </c>
    </row>
    <row r="219" spans="1:5" x14ac:dyDescent="0.3">
      <c r="A219" s="13" t="s">
        <v>0</v>
      </c>
      <c r="B219" s="13" t="s">
        <v>666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39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2653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547</v>
      </c>
      <c r="C222" s="13">
        <v>1</v>
      </c>
      <c r="D222" s="13">
        <v>2</v>
      </c>
      <c r="E222" s="13"/>
    </row>
    <row r="223" spans="1:5" x14ac:dyDescent="0.3">
      <c r="A223" s="13" t="s">
        <v>0</v>
      </c>
      <c r="B223" s="13" t="s">
        <v>2108</v>
      </c>
      <c r="C223" s="13">
        <v>1</v>
      </c>
      <c r="D223" s="13">
        <v>1</v>
      </c>
      <c r="E223" s="13">
        <v>3</v>
      </c>
    </row>
    <row r="224" spans="1:5" x14ac:dyDescent="0.3">
      <c r="A224" s="13" t="s">
        <v>0</v>
      </c>
      <c r="B224" s="13" t="s">
        <v>721</v>
      </c>
      <c r="C224" s="13">
        <v>1</v>
      </c>
      <c r="D224" s="13">
        <v>1</v>
      </c>
      <c r="E224" s="13">
        <v>2</v>
      </c>
    </row>
    <row r="225" spans="1:5" x14ac:dyDescent="0.3">
      <c r="A225" s="13" t="s">
        <v>0</v>
      </c>
      <c r="B225" s="13" t="s">
        <v>2125</v>
      </c>
      <c r="C225" s="13">
        <v>1</v>
      </c>
      <c r="D225" s="13">
        <v>3</v>
      </c>
      <c r="E225" s="13"/>
    </row>
    <row r="226" spans="1:5" x14ac:dyDescent="0.3">
      <c r="A226" s="13" t="s">
        <v>2654</v>
      </c>
      <c r="B226" s="13" t="s">
        <v>2646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2</v>
      </c>
      <c r="B227" s="13" t="s">
        <v>94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2</v>
      </c>
      <c r="B228" s="13" t="s">
        <v>195</v>
      </c>
      <c r="C228" s="13">
        <v>1</v>
      </c>
      <c r="D228" s="13">
        <v>1</v>
      </c>
      <c r="E228" s="13">
        <v>2</v>
      </c>
    </row>
    <row r="229" spans="1:5" x14ac:dyDescent="0.3">
      <c r="A229" s="13" t="s">
        <v>2</v>
      </c>
      <c r="B229" s="13" t="s">
        <v>431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2</v>
      </c>
      <c r="B230" s="13" t="s">
        <v>479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2</v>
      </c>
      <c r="B231" s="13" t="s">
        <v>31</v>
      </c>
      <c r="C231" s="13">
        <v>2</v>
      </c>
      <c r="D231" s="13">
        <v>1</v>
      </c>
      <c r="E231" s="13">
        <v>2</v>
      </c>
    </row>
    <row r="232" spans="1:5" x14ac:dyDescent="0.3">
      <c r="A232" s="13" t="s">
        <v>1</v>
      </c>
      <c r="B232" s="13" t="s">
        <v>470</v>
      </c>
      <c r="C232" s="13">
        <v>1</v>
      </c>
      <c r="D232" s="13">
        <v>0</v>
      </c>
      <c r="E232" s="13">
        <v>1</v>
      </c>
    </row>
    <row r="233" spans="1:5" x14ac:dyDescent="0.3">
      <c r="A233" s="13" t="s">
        <v>1</v>
      </c>
      <c r="B233" s="13" t="s">
        <v>2655</v>
      </c>
      <c r="C233" s="13">
        <v>1</v>
      </c>
      <c r="D233" s="13">
        <v>0</v>
      </c>
      <c r="E233" s="13">
        <v>1</v>
      </c>
    </row>
    <row r="234" spans="1:5" x14ac:dyDescent="0.3">
      <c r="A234" s="13" t="s">
        <v>1</v>
      </c>
      <c r="B234" s="13" t="s">
        <v>143</v>
      </c>
      <c r="C234" s="13">
        <v>1</v>
      </c>
      <c r="D234" s="13">
        <v>0</v>
      </c>
      <c r="E234" s="13">
        <v>1</v>
      </c>
    </row>
    <row r="235" spans="1:5" x14ac:dyDescent="0.3">
      <c r="A235" s="13" t="s">
        <v>1</v>
      </c>
      <c r="B235" s="13" t="s">
        <v>350</v>
      </c>
      <c r="C235" s="13">
        <v>1</v>
      </c>
      <c r="D235" s="13">
        <v>0</v>
      </c>
      <c r="E235" s="13">
        <v>1</v>
      </c>
    </row>
    <row r="236" spans="1:5" x14ac:dyDescent="0.3">
      <c r="A236" s="13" t="s">
        <v>1</v>
      </c>
      <c r="B236" s="13" t="s">
        <v>602</v>
      </c>
      <c r="C236" s="13">
        <v>1</v>
      </c>
      <c r="D236" s="13">
        <v>0</v>
      </c>
      <c r="E236" s="13">
        <v>2</v>
      </c>
    </row>
    <row r="237" spans="1:5" x14ac:dyDescent="0.3">
      <c r="A237" s="13" t="s">
        <v>1</v>
      </c>
      <c r="B237" s="13" t="s">
        <v>674</v>
      </c>
      <c r="C237" s="13">
        <v>1</v>
      </c>
      <c r="D237" s="13">
        <v>0</v>
      </c>
      <c r="E237" s="13">
        <v>0</v>
      </c>
    </row>
    <row r="238" spans="1:5" x14ac:dyDescent="0.3">
      <c r="A238" s="13" t="s">
        <v>1</v>
      </c>
      <c r="B238" s="13" t="s">
        <v>605</v>
      </c>
      <c r="C238" s="13">
        <v>1</v>
      </c>
      <c r="D238" s="13">
        <v>0</v>
      </c>
      <c r="E238" s="13">
        <v>1</v>
      </c>
    </row>
    <row r="239" spans="1:5" x14ac:dyDescent="0.3">
      <c r="A239" s="13" t="s">
        <v>1</v>
      </c>
      <c r="B239" s="13" t="s">
        <v>150</v>
      </c>
      <c r="C239" s="13">
        <v>1</v>
      </c>
      <c r="D239" s="13">
        <v>0</v>
      </c>
      <c r="E239" s="13">
        <v>1</v>
      </c>
    </row>
    <row r="240" spans="1:5" x14ac:dyDescent="0.3">
      <c r="A240" s="13" t="s">
        <v>1</v>
      </c>
      <c r="B240" s="13" t="s">
        <v>42</v>
      </c>
      <c r="C240" s="13">
        <v>1</v>
      </c>
      <c r="D240" s="13">
        <v>0</v>
      </c>
      <c r="E240" s="13">
        <v>1</v>
      </c>
    </row>
    <row r="241" spans="1:5" x14ac:dyDescent="0.3">
      <c r="A241" s="13" t="s">
        <v>1</v>
      </c>
      <c r="B241" s="13" t="s">
        <v>653</v>
      </c>
      <c r="C241" s="13">
        <v>1</v>
      </c>
      <c r="D241" s="13">
        <v>0</v>
      </c>
      <c r="E241" s="13">
        <v>1</v>
      </c>
    </row>
    <row r="242" spans="1:5" x14ac:dyDescent="0.3">
      <c r="A242" s="13" t="s">
        <v>1</v>
      </c>
      <c r="B242" s="13" t="s">
        <v>1471</v>
      </c>
      <c r="C242" s="13">
        <v>1</v>
      </c>
      <c r="D242" s="13">
        <v>0</v>
      </c>
      <c r="E242" s="13">
        <v>1</v>
      </c>
    </row>
    <row r="243" spans="1:5" x14ac:dyDescent="0.3">
      <c r="A243" s="13" t="s">
        <v>1</v>
      </c>
      <c r="B243" s="13" t="s">
        <v>1518</v>
      </c>
      <c r="C243" s="13">
        <v>1</v>
      </c>
      <c r="D243" s="13">
        <v>0</v>
      </c>
      <c r="E243" s="13">
        <v>1</v>
      </c>
    </row>
    <row r="244" spans="1:5" x14ac:dyDescent="0.3">
      <c r="A244" s="13" t="s">
        <v>1</v>
      </c>
      <c r="B244" s="13" t="s">
        <v>1570</v>
      </c>
      <c r="C244" s="13">
        <v>1</v>
      </c>
      <c r="D244" s="13">
        <v>0</v>
      </c>
      <c r="E244" s="13">
        <v>0</v>
      </c>
    </row>
    <row r="245" spans="1:5" x14ac:dyDescent="0.3">
      <c r="A245" s="13" t="s">
        <v>1</v>
      </c>
      <c r="B245" s="13" t="s">
        <v>1651</v>
      </c>
      <c r="C245" s="13">
        <v>1</v>
      </c>
      <c r="D245" s="13">
        <v>0</v>
      </c>
      <c r="E245" s="13">
        <v>1</v>
      </c>
    </row>
    <row r="246" spans="1:5" x14ac:dyDescent="0.3">
      <c r="A246" s="13" t="s">
        <v>1</v>
      </c>
      <c r="B246" s="13" t="s">
        <v>2656</v>
      </c>
      <c r="C246" s="13">
        <v>1</v>
      </c>
      <c r="D246" s="13">
        <v>0</v>
      </c>
      <c r="E246" s="13">
        <v>1</v>
      </c>
    </row>
    <row r="247" spans="1:5" x14ac:dyDescent="0.3">
      <c r="A247" s="13" t="s">
        <v>1</v>
      </c>
      <c r="B247" s="13" t="s">
        <v>1988</v>
      </c>
      <c r="C247" s="13">
        <v>4</v>
      </c>
      <c r="D247" s="13">
        <v>0</v>
      </c>
      <c r="E247" s="13">
        <v>4</v>
      </c>
    </row>
    <row r="248" spans="1:5" x14ac:dyDescent="0.3">
      <c r="A248" s="13" t="s">
        <v>1</v>
      </c>
      <c r="B248" s="13" t="s">
        <v>2335</v>
      </c>
      <c r="C248" s="13">
        <v>1</v>
      </c>
      <c r="D248" s="13">
        <v>0</v>
      </c>
      <c r="E248" s="13">
        <v>1</v>
      </c>
    </row>
    <row r="249" spans="1:5" x14ac:dyDescent="0.3">
      <c r="A249" s="13" t="s">
        <v>1</v>
      </c>
      <c r="B249" s="13" t="s">
        <v>2657</v>
      </c>
      <c r="C249" s="13">
        <v>1</v>
      </c>
      <c r="D249" s="13">
        <v>0</v>
      </c>
      <c r="E249" s="13">
        <v>1</v>
      </c>
    </row>
    <row r="250" spans="1:5" x14ac:dyDescent="0.3">
      <c r="A250" s="13" t="s">
        <v>1</v>
      </c>
      <c r="B250" s="13" t="s">
        <v>274</v>
      </c>
      <c r="C250" s="13">
        <v>1</v>
      </c>
      <c r="D250" s="13">
        <v>0</v>
      </c>
      <c r="E250" s="13">
        <v>1</v>
      </c>
    </row>
    <row r="251" spans="1:5" x14ac:dyDescent="0.3">
      <c r="A251" s="13" t="s">
        <v>1</v>
      </c>
      <c r="B251" s="13" t="s">
        <v>889</v>
      </c>
      <c r="C251" s="13">
        <v>1</v>
      </c>
      <c r="D251" s="13">
        <v>0</v>
      </c>
      <c r="E251" s="13">
        <v>0</v>
      </c>
    </row>
    <row r="252" spans="1:5" x14ac:dyDescent="0.3">
      <c r="A252" s="13" t="s">
        <v>1</v>
      </c>
      <c r="B252" s="13" t="s">
        <v>99</v>
      </c>
      <c r="C252" s="13">
        <v>1</v>
      </c>
      <c r="D252" s="13">
        <v>0</v>
      </c>
      <c r="E252" s="13">
        <v>2</v>
      </c>
    </row>
    <row r="253" spans="1:5" x14ac:dyDescent="0.3">
      <c r="A253" s="13" t="s">
        <v>1</v>
      </c>
      <c r="B253" s="13" t="s">
        <v>892</v>
      </c>
      <c r="C253" s="13">
        <v>1</v>
      </c>
      <c r="D253" s="13">
        <v>0</v>
      </c>
      <c r="E253" s="13">
        <v>1</v>
      </c>
    </row>
    <row r="254" spans="1:5" x14ac:dyDescent="0.3">
      <c r="A254" s="13" t="s">
        <v>1</v>
      </c>
      <c r="B254" s="13" t="s">
        <v>616</v>
      </c>
      <c r="C254" s="13">
        <v>1</v>
      </c>
      <c r="D254" s="13">
        <v>0</v>
      </c>
      <c r="E254" s="13">
        <v>1</v>
      </c>
    </row>
    <row r="255" spans="1:5" x14ac:dyDescent="0.3">
      <c r="A255" s="13" t="s">
        <v>1</v>
      </c>
      <c r="B255" s="13" t="s">
        <v>111</v>
      </c>
      <c r="C255" s="13">
        <v>1</v>
      </c>
      <c r="D255" s="13">
        <v>0</v>
      </c>
      <c r="E255" s="13">
        <v>1</v>
      </c>
    </row>
    <row r="256" spans="1:5" x14ac:dyDescent="0.3">
      <c r="A256" s="13" t="s">
        <v>1</v>
      </c>
      <c r="B256" s="13" t="s">
        <v>279</v>
      </c>
      <c r="C256" s="13">
        <v>1</v>
      </c>
      <c r="D256" s="13">
        <v>0</v>
      </c>
      <c r="E256" s="13">
        <v>1</v>
      </c>
    </row>
    <row r="257" spans="1:5" x14ac:dyDescent="0.3">
      <c r="A257" s="13" t="s">
        <v>1</v>
      </c>
      <c r="B257" s="13" t="s">
        <v>579</v>
      </c>
      <c r="C257" s="13">
        <v>1</v>
      </c>
      <c r="D257" s="13">
        <v>0</v>
      </c>
      <c r="E257" s="13">
        <v>1</v>
      </c>
    </row>
    <row r="258" spans="1:5" x14ac:dyDescent="0.3">
      <c r="A258" s="13" t="s">
        <v>1</v>
      </c>
      <c r="B258" s="13" t="s">
        <v>1818</v>
      </c>
      <c r="C258" s="13">
        <v>1</v>
      </c>
      <c r="D258" s="13">
        <v>0</v>
      </c>
      <c r="E258" s="13">
        <v>1</v>
      </c>
    </row>
    <row r="259" spans="1:5" x14ac:dyDescent="0.3">
      <c r="A259" s="13" t="s">
        <v>1</v>
      </c>
      <c r="B259" s="13" t="s">
        <v>835</v>
      </c>
      <c r="C259" s="13">
        <v>1</v>
      </c>
      <c r="D259" s="13">
        <v>0</v>
      </c>
      <c r="E259" s="13">
        <v>0</v>
      </c>
    </row>
    <row r="260" spans="1:5" x14ac:dyDescent="0.3">
      <c r="A260" s="13" t="s">
        <v>1</v>
      </c>
      <c r="B260" s="13" t="s">
        <v>1093</v>
      </c>
      <c r="C260" s="13">
        <v>1</v>
      </c>
      <c r="D260" s="13">
        <v>0</v>
      </c>
      <c r="E260" s="13">
        <v>1</v>
      </c>
    </row>
    <row r="261" spans="1:5" x14ac:dyDescent="0.3">
      <c r="A261" s="13" t="s">
        <v>1</v>
      </c>
      <c r="B261" s="13" t="s">
        <v>335</v>
      </c>
      <c r="C261" s="13">
        <v>1</v>
      </c>
      <c r="D261" s="13">
        <v>0</v>
      </c>
      <c r="E261" s="13">
        <v>1</v>
      </c>
    </row>
    <row r="262" spans="1:5" x14ac:dyDescent="0.3">
      <c r="A262" s="13" t="s">
        <v>1</v>
      </c>
      <c r="B262" s="13" t="s">
        <v>840</v>
      </c>
      <c r="C262" s="13">
        <v>1</v>
      </c>
      <c r="D262" s="13">
        <v>0</v>
      </c>
      <c r="E262" s="13">
        <v>1</v>
      </c>
    </row>
    <row r="263" spans="1:5" x14ac:dyDescent="0.3">
      <c r="A263" s="13" t="s">
        <v>1</v>
      </c>
      <c r="B263" s="13" t="s">
        <v>2343</v>
      </c>
      <c r="C263" s="13">
        <v>1</v>
      </c>
      <c r="D263" s="13">
        <v>0</v>
      </c>
      <c r="E263" s="13">
        <v>1</v>
      </c>
    </row>
    <row r="264" spans="1:5" x14ac:dyDescent="0.3">
      <c r="A264" s="13" t="s">
        <v>1</v>
      </c>
      <c r="B264" s="13" t="s">
        <v>541</v>
      </c>
      <c r="C264" s="13">
        <v>1</v>
      </c>
      <c r="D264" s="13">
        <v>0</v>
      </c>
      <c r="E264" s="13">
        <v>2</v>
      </c>
    </row>
    <row r="265" spans="1:5" x14ac:dyDescent="0.3">
      <c r="A265" s="13" t="s">
        <v>1</v>
      </c>
      <c r="B265" s="13" t="s">
        <v>231</v>
      </c>
      <c r="C265" s="13">
        <v>1</v>
      </c>
      <c r="D265" s="13">
        <v>0</v>
      </c>
      <c r="E265" s="13">
        <v>1</v>
      </c>
    </row>
    <row r="266" spans="1:5" x14ac:dyDescent="0.3">
      <c r="A266" s="13" t="s">
        <v>1</v>
      </c>
      <c r="B266" s="13" t="s">
        <v>191</v>
      </c>
      <c r="C266" s="13">
        <v>1</v>
      </c>
      <c r="D266" s="13">
        <v>0</v>
      </c>
      <c r="E266" s="13">
        <v>1</v>
      </c>
    </row>
    <row r="267" spans="1:5" x14ac:dyDescent="0.3">
      <c r="A267" s="13" t="s">
        <v>1</v>
      </c>
      <c r="B267" s="13" t="s">
        <v>232</v>
      </c>
      <c r="C267" s="13">
        <v>1</v>
      </c>
      <c r="D267" s="13">
        <v>0</v>
      </c>
      <c r="E267" s="13">
        <v>0</v>
      </c>
    </row>
    <row r="268" spans="1:5" x14ac:dyDescent="0.3">
      <c r="A268" s="13" t="s">
        <v>1</v>
      </c>
      <c r="B268" s="13" t="s">
        <v>460</v>
      </c>
      <c r="C268" s="13">
        <v>1</v>
      </c>
      <c r="D268" s="13">
        <v>0</v>
      </c>
      <c r="E268" s="13">
        <v>2</v>
      </c>
    </row>
    <row r="269" spans="1:5" x14ac:dyDescent="0.3">
      <c r="A269" s="13" t="s">
        <v>1</v>
      </c>
      <c r="B269" s="13" t="s">
        <v>192</v>
      </c>
      <c r="C269" s="13">
        <v>3</v>
      </c>
      <c r="D269" s="13">
        <v>0</v>
      </c>
      <c r="E269" s="13">
        <v>5</v>
      </c>
    </row>
    <row r="270" spans="1:5" x14ac:dyDescent="0.3">
      <c r="A270" s="13" t="s">
        <v>1</v>
      </c>
      <c r="B270" s="13" t="s">
        <v>236</v>
      </c>
      <c r="C270" s="13">
        <v>1</v>
      </c>
      <c r="D270" s="13">
        <v>0</v>
      </c>
      <c r="E270" s="13">
        <v>2</v>
      </c>
    </row>
    <row r="271" spans="1:5" x14ac:dyDescent="0.3">
      <c r="A271" s="13" t="s">
        <v>1</v>
      </c>
      <c r="B271" s="13" t="s">
        <v>640</v>
      </c>
      <c r="C271" s="13">
        <v>3</v>
      </c>
      <c r="D271" s="13">
        <v>0</v>
      </c>
      <c r="E271" s="13">
        <v>7</v>
      </c>
    </row>
    <row r="272" spans="1:5" x14ac:dyDescent="0.3">
      <c r="A272" s="13" t="s">
        <v>1</v>
      </c>
      <c r="B272" s="13" t="s">
        <v>366</v>
      </c>
      <c r="C272" s="13">
        <v>1</v>
      </c>
      <c r="D272" s="13">
        <v>0</v>
      </c>
      <c r="E272" s="13">
        <v>2</v>
      </c>
    </row>
    <row r="273" spans="1:5" x14ac:dyDescent="0.3">
      <c r="A273" s="13" t="s">
        <v>1</v>
      </c>
      <c r="B273" s="13" t="s">
        <v>1154</v>
      </c>
      <c r="C273" s="13">
        <v>0</v>
      </c>
      <c r="D273" s="13">
        <v>1</v>
      </c>
      <c r="E273" s="13"/>
    </row>
    <row r="274" spans="1:5" x14ac:dyDescent="0.3">
      <c r="A274" s="13" t="s">
        <v>1</v>
      </c>
      <c r="B274" s="13" t="s">
        <v>789</v>
      </c>
      <c r="C274" s="13">
        <v>1</v>
      </c>
      <c r="D274" s="13">
        <v>0</v>
      </c>
      <c r="E274" s="13">
        <v>1</v>
      </c>
    </row>
    <row r="275" spans="1:5" x14ac:dyDescent="0.3">
      <c r="A275" s="13" t="s">
        <v>1</v>
      </c>
      <c r="B275" s="13" t="s">
        <v>2348</v>
      </c>
      <c r="C275" s="13">
        <v>1</v>
      </c>
      <c r="D275" s="13">
        <v>0</v>
      </c>
      <c r="E275" s="13">
        <v>1</v>
      </c>
    </row>
    <row r="276" spans="1:5" x14ac:dyDescent="0.3">
      <c r="A276" s="13" t="s">
        <v>1</v>
      </c>
      <c r="B276" s="13" t="s">
        <v>2350</v>
      </c>
      <c r="C276" s="13">
        <v>1</v>
      </c>
      <c r="D276" s="13">
        <v>0</v>
      </c>
      <c r="E276" s="13">
        <v>1</v>
      </c>
    </row>
    <row r="277" spans="1:5" x14ac:dyDescent="0.3">
      <c r="A277" s="13" t="s">
        <v>1</v>
      </c>
      <c r="B277" s="13" t="s">
        <v>2352</v>
      </c>
      <c r="C277" s="13">
        <v>1</v>
      </c>
      <c r="D277" s="13">
        <v>0</v>
      </c>
      <c r="E277" s="13">
        <v>1</v>
      </c>
    </row>
    <row r="278" spans="1:5" x14ac:dyDescent="0.3">
      <c r="A278" s="13" t="s">
        <v>1</v>
      </c>
      <c r="B278" s="13" t="s">
        <v>2353</v>
      </c>
      <c r="C278" s="13">
        <v>1</v>
      </c>
      <c r="D278" s="13">
        <v>0</v>
      </c>
      <c r="E278" s="13">
        <v>1</v>
      </c>
    </row>
    <row r="279" spans="1:5" x14ac:dyDescent="0.3">
      <c r="A279" s="13" t="s">
        <v>1</v>
      </c>
      <c r="B279" s="13" t="s">
        <v>2354</v>
      </c>
      <c r="C279" s="13">
        <v>1</v>
      </c>
      <c r="D279" s="13">
        <v>0</v>
      </c>
      <c r="E279" s="13">
        <v>1</v>
      </c>
    </row>
    <row r="280" spans="1:5" x14ac:dyDescent="0.3">
      <c r="A280" s="13" t="s">
        <v>1</v>
      </c>
      <c r="B280" s="13" t="s">
        <v>2355</v>
      </c>
      <c r="C280" s="13">
        <v>1</v>
      </c>
      <c r="D280" s="13">
        <v>0</v>
      </c>
      <c r="E280" s="13">
        <v>1</v>
      </c>
    </row>
    <row r="281" spans="1:5" x14ac:dyDescent="0.3">
      <c r="A281" s="13" t="s">
        <v>0</v>
      </c>
      <c r="B281" s="13" t="s">
        <v>554</v>
      </c>
      <c r="C281" s="13">
        <v>1</v>
      </c>
      <c r="D281" s="13">
        <v>0</v>
      </c>
      <c r="E281" s="13">
        <v>1</v>
      </c>
    </row>
    <row r="282" spans="1:5" x14ac:dyDescent="0.3">
      <c r="A282" s="13" t="s">
        <v>0</v>
      </c>
      <c r="B282" s="13" t="s">
        <v>203</v>
      </c>
      <c r="C282" s="13">
        <v>1</v>
      </c>
      <c r="D282" s="13">
        <v>0</v>
      </c>
      <c r="E282" s="13">
        <v>1</v>
      </c>
    </row>
    <row r="283" spans="1:5" x14ac:dyDescent="0.3">
      <c r="A283" s="13" t="s">
        <v>0</v>
      </c>
      <c r="B283" s="13" t="s">
        <v>345</v>
      </c>
      <c r="C283" s="13">
        <v>1</v>
      </c>
      <c r="D283" s="13">
        <v>0</v>
      </c>
      <c r="E283" s="13">
        <v>1</v>
      </c>
    </row>
    <row r="284" spans="1:5" x14ac:dyDescent="0.3">
      <c r="A284" s="13" t="s">
        <v>0</v>
      </c>
      <c r="B284" s="13" t="s">
        <v>269</v>
      </c>
      <c r="C284" s="13">
        <v>1</v>
      </c>
      <c r="D284" s="13">
        <v>0</v>
      </c>
      <c r="E284" s="13">
        <v>1</v>
      </c>
    </row>
    <row r="285" spans="1:5" x14ac:dyDescent="0.3">
      <c r="A285" s="13" t="s">
        <v>0</v>
      </c>
      <c r="B285" s="13" t="s">
        <v>147</v>
      </c>
      <c r="C285" s="13">
        <v>1</v>
      </c>
      <c r="D285" s="13">
        <v>0</v>
      </c>
      <c r="E285" s="13">
        <v>1</v>
      </c>
    </row>
    <row r="286" spans="1:5" x14ac:dyDescent="0.3">
      <c r="A286" s="13" t="s">
        <v>0</v>
      </c>
      <c r="B286" s="13" t="s">
        <v>608</v>
      </c>
      <c r="C286" s="13">
        <v>1</v>
      </c>
      <c r="D286" s="13">
        <v>0</v>
      </c>
      <c r="E286" s="13">
        <v>1</v>
      </c>
    </row>
    <row r="287" spans="1:5" x14ac:dyDescent="0.3">
      <c r="A287" s="13" t="s">
        <v>0</v>
      </c>
      <c r="B287" s="13" t="s">
        <v>888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0</v>
      </c>
      <c r="B288" s="13" t="s">
        <v>1471</v>
      </c>
      <c r="C288" s="13">
        <v>1</v>
      </c>
      <c r="D288" s="13">
        <v>0</v>
      </c>
      <c r="E288" s="13">
        <v>1</v>
      </c>
    </row>
    <row r="289" spans="1:5" x14ac:dyDescent="0.3">
      <c r="A289" s="13" t="s">
        <v>0</v>
      </c>
      <c r="B289" s="13" t="s">
        <v>1518</v>
      </c>
      <c r="C289" s="13">
        <v>1</v>
      </c>
      <c r="D289" s="13">
        <v>0</v>
      </c>
      <c r="E289" s="13">
        <v>1</v>
      </c>
    </row>
    <row r="290" spans="1:5" x14ac:dyDescent="0.3">
      <c r="A290" s="13" t="s">
        <v>0</v>
      </c>
      <c r="B290" s="13" t="s">
        <v>1900</v>
      </c>
      <c r="C290" s="13">
        <v>1</v>
      </c>
      <c r="D290" s="13">
        <v>0</v>
      </c>
      <c r="E290" s="13">
        <v>1</v>
      </c>
    </row>
    <row r="291" spans="1:5" x14ac:dyDescent="0.3">
      <c r="A291" s="13" t="s">
        <v>0</v>
      </c>
      <c r="B291" s="13" t="s">
        <v>1883</v>
      </c>
      <c r="C291" s="13">
        <v>2</v>
      </c>
      <c r="D291" s="13">
        <v>0</v>
      </c>
      <c r="E291" s="13">
        <v>2</v>
      </c>
    </row>
    <row r="292" spans="1:5" x14ac:dyDescent="0.3">
      <c r="A292" s="13" t="s">
        <v>0</v>
      </c>
      <c r="B292" s="13" t="s">
        <v>2408</v>
      </c>
      <c r="C292" s="13">
        <v>2</v>
      </c>
      <c r="D292" s="13">
        <v>0</v>
      </c>
      <c r="E292" s="13">
        <v>2</v>
      </c>
    </row>
    <row r="293" spans="1:5" x14ac:dyDescent="0.3">
      <c r="A293" s="13" t="s">
        <v>0</v>
      </c>
      <c r="B293" s="13" t="s">
        <v>476</v>
      </c>
      <c r="C293" s="13">
        <v>2</v>
      </c>
      <c r="D293" s="13">
        <v>0</v>
      </c>
      <c r="E293" s="13">
        <v>2</v>
      </c>
    </row>
    <row r="294" spans="1:5" x14ac:dyDescent="0.3">
      <c r="A294" s="13" t="s">
        <v>0</v>
      </c>
      <c r="B294" s="13" t="s">
        <v>99</v>
      </c>
      <c r="C294" s="13">
        <v>1</v>
      </c>
      <c r="D294" s="13">
        <v>0</v>
      </c>
      <c r="E294" s="13">
        <v>1</v>
      </c>
    </row>
    <row r="295" spans="1:5" x14ac:dyDescent="0.3">
      <c r="A295" s="13" t="s">
        <v>0</v>
      </c>
      <c r="B295" s="13" t="s">
        <v>163</v>
      </c>
      <c r="C295" s="13">
        <v>1</v>
      </c>
      <c r="D295" s="13">
        <v>0</v>
      </c>
      <c r="E295" s="13">
        <v>2</v>
      </c>
    </row>
    <row r="296" spans="1:5" x14ac:dyDescent="0.3">
      <c r="A296" s="13" t="s">
        <v>0</v>
      </c>
      <c r="B296" s="13" t="s">
        <v>118</v>
      </c>
      <c r="C296" s="13">
        <v>1</v>
      </c>
      <c r="D296" s="13">
        <v>0</v>
      </c>
      <c r="E296" s="13">
        <v>1</v>
      </c>
    </row>
    <row r="297" spans="1:5" x14ac:dyDescent="0.3">
      <c r="A297" s="13" t="s">
        <v>0</v>
      </c>
      <c r="B297" s="13" t="s">
        <v>1481</v>
      </c>
      <c r="C297" s="13">
        <v>1</v>
      </c>
      <c r="D297" s="13">
        <v>0</v>
      </c>
      <c r="E297" s="13">
        <v>1</v>
      </c>
    </row>
    <row r="298" spans="1:5" x14ac:dyDescent="0.3">
      <c r="A298" s="13" t="s">
        <v>0</v>
      </c>
      <c r="B298" s="13" t="s">
        <v>1951</v>
      </c>
      <c r="C298" s="13">
        <v>1</v>
      </c>
      <c r="D298" s="13">
        <v>0</v>
      </c>
      <c r="E298" s="13">
        <v>1</v>
      </c>
    </row>
    <row r="299" spans="1:5" x14ac:dyDescent="0.3">
      <c r="A299" s="13" t="s">
        <v>0</v>
      </c>
      <c r="B299" s="13" t="s">
        <v>67</v>
      </c>
      <c r="C299" s="13">
        <v>1</v>
      </c>
      <c r="D299" s="13">
        <v>0</v>
      </c>
      <c r="E299" s="13">
        <v>1</v>
      </c>
    </row>
    <row r="300" spans="1:5" x14ac:dyDescent="0.3">
      <c r="A300" s="13" t="s">
        <v>0</v>
      </c>
      <c r="B300" s="13" t="s">
        <v>2658</v>
      </c>
      <c r="C300" s="13">
        <v>1</v>
      </c>
      <c r="D300" s="13">
        <v>0</v>
      </c>
      <c r="E300" s="13">
        <v>2</v>
      </c>
    </row>
    <row r="301" spans="1:5" x14ac:dyDescent="0.3">
      <c r="A301" s="13" t="s">
        <v>0</v>
      </c>
      <c r="B301" s="13" t="s">
        <v>961</v>
      </c>
      <c r="C301" s="13">
        <v>1</v>
      </c>
      <c r="D301" s="13">
        <v>0</v>
      </c>
      <c r="E301" s="13">
        <v>1</v>
      </c>
    </row>
    <row r="302" spans="1:5" x14ac:dyDescent="0.3">
      <c r="A302" s="13" t="s">
        <v>0</v>
      </c>
      <c r="B302" s="13" t="s">
        <v>1566</v>
      </c>
      <c r="C302" s="13">
        <v>0</v>
      </c>
      <c r="D302" s="13">
        <v>2</v>
      </c>
      <c r="E302" s="13"/>
    </row>
    <row r="303" spans="1:5" x14ac:dyDescent="0.3">
      <c r="A303" s="13" t="s">
        <v>0</v>
      </c>
      <c r="B303" s="13" t="s">
        <v>68</v>
      </c>
      <c r="C303" s="13">
        <v>1</v>
      </c>
      <c r="D303" s="13">
        <v>0</v>
      </c>
      <c r="E303" s="13">
        <v>1</v>
      </c>
    </row>
    <row r="304" spans="1:5" x14ac:dyDescent="0.3">
      <c r="A304" s="13"/>
      <c r="B304" s="13"/>
      <c r="C304" s="13"/>
      <c r="D304" s="13"/>
      <c r="E304" s="13"/>
    </row>
    <row r="305" spans="1:5" x14ac:dyDescent="0.3">
      <c r="A305" s="13"/>
      <c r="B305" s="13"/>
      <c r="C305" s="13"/>
      <c r="D305" s="13"/>
      <c r="E305" s="13"/>
    </row>
    <row r="306" spans="1:5" x14ac:dyDescent="0.3">
      <c r="A306" s="13"/>
      <c r="B306" s="13"/>
      <c r="C306" s="13"/>
      <c r="D306" s="13"/>
      <c r="E306" s="13"/>
    </row>
    <row r="307" spans="1:5" x14ac:dyDescent="0.3">
      <c r="A307" s="13"/>
      <c r="B307" s="13"/>
      <c r="C307" s="13"/>
      <c r="D307" s="13"/>
      <c r="E307" s="13"/>
    </row>
    <row r="308" spans="1:5" x14ac:dyDescent="0.3">
      <c r="A308" s="13"/>
      <c r="B308" s="13"/>
      <c r="C308" s="13"/>
      <c r="D308" s="13"/>
      <c r="E308" s="13"/>
    </row>
    <row r="309" spans="1:5" x14ac:dyDescent="0.3">
      <c r="A309" s="13"/>
      <c r="B309" s="13"/>
      <c r="C309" s="13"/>
      <c r="D309" s="13"/>
      <c r="E309" s="13"/>
    </row>
    <row r="310" spans="1:5" x14ac:dyDescent="0.3">
      <c r="A310" s="13"/>
      <c r="B310" s="13"/>
      <c r="C310" s="13"/>
      <c r="D310" s="13"/>
      <c r="E310" s="13"/>
    </row>
    <row r="311" spans="1:5" x14ac:dyDescent="0.3">
      <c r="A311" s="13"/>
      <c r="B311" s="13"/>
      <c r="C311" s="13"/>
      <c r="D311" s="13"/>
      <c r="E311" s="13"/>
    </row>
    <row r="312" spans="1:5" x14ac:dyDescent="0.3">
      <c r="A312" s="13"/>
      <c r="B312" s="13"/>
      <c r="C312" s="13"/>
      <c r="D312" s="13"/>
      <c r="E312" s="13"/>
    </row>
    <row r="313" spans="1:5" x14ac:dyDescent="0.3">
      <c r="A313" s="13"/>
      <c r="B313" s="13"/>
      <c r="C313" s="13"/>
      <c r="D313" s="13"/>
      <c r="E313" s="13"/>
    </row>
    <row r="314" spans="1:5" x14ac:dyDescent="0.3">
      <c r="A314" s="13"/>
      <c r="B314" s="13"/>
      <c r="C314" s="13"/>
      <c r="D314" s="13"/>
      <c r="E314" s="13"/>
    </row>
    <row r="315" spans="1:5" x14ac:dyDescent="0.3">
      <c r="A315" s="13"/>
      <c r="B315" s="13"/>
      <c r="C315" s="13"/>
      <c r="D315" s="13"/>
      <c r="E315" s="13"/>
    </row>
    <row r="316" spans="1:5" x14ac:dyDescent="0.3">
      <c r="A316" s="13"/>
      <c r="B316" s="13"/>
      <c r="C316" s="13"/>
      <c r="D316" s="13"/>
      <c r="E316" s="13"/>
    </row>
    <row r="317" spans="1:5" x14ac:dyDescent="0.3">
      <c r="A317" s="13"/>
      <c r="B317" s="13"/>
      <c r="C317" s="13"/>
      <c r="D317" s="13"/>
      <c r="E317" s="13"/>
    </row>
    <row r="318" spans="1:5" x14ac:dyDescent="0.3">
      <c r="A318" s="13"/>
      <c r="B318" s="13"/>
      <c r="C318" s="13"/>
      <c r="D318" s="13"/>
      <c r="E318" s="13"/>
    </row>
    <row r="319" spans="1:5" x14ac:dyDescent="0.3">
      <c r="A319" s="13"/>
      <c r="B319" s="13"/>
      <c r="C319" s="13"/>
      <c r="D319" s="13"/>
      <c r="E319" s="13"/>
    </row>
    <row r="320" spans="1:5" x14ac:dyDescent="0.3">
      <c r="A320" s="13"/>
      <c r="B320" s="13"/>
      <c r="C320" s="13"/>
      <c r="D320" s="13"/>
      <c r="E320" s="13"/>
    </row>
    <row r="321" spans="1:5" x14ac:dyDescent="0.3">
      <c r="A321" s="13"/>
      <c r="B321" s="13"/>
      <c r="C321" s="13"/>
      <c r="D321" s="13"/>
      <c r="E321" s="13"/>
    </row>
    <row r="322" spans="1:5" x14ac:dyDescent="0.3">
      <c r="A322" s="13"/>
      <c r="B322" s="13"/>
      <c r="C322" s="13"/>
      <c r="D322" s="13"/>
      <c r="E322" s="13"/>
    </row>
    <row r="323" spans="1:5" x14ac:dyDescent="0.3">
      <c r="A323" s="13"/>
      <c r="B323" s="13"/>
      <c r="C323" s="13"/>
      <c r="D323" s="13"/>
      <c r="E323" s="13"/>
    </row>
    <row r="324" spans="1:5" x14ac:dyDescent="0.3">
      <c r="A324" s="13"/>
      <c r="B324" s="13"/>
      <c r="C324" s="13"/>
      <c r="D324" s="13"/>
      <c r="E324" s="13"/>
    </row>
    <row r="325" spans="1:5" x14ac:dyDescent="0.3">
      <c r="A325" s="13"/>
      <c r="B325" s="13"/>
      <c r="C325" s="13"/>
      <c r="D325" s="13"/>
      <c r="E325" s="13"/>
    </row>
    <row r="326" spans="1:5" x14ac:dyDescent="0.3">
      <c r="A326" s="13"/>
      <c r="B326" s="13"/>
      <c r="C326" s="13"/>
      <c r="D326" s="13"/>
      <c r="E326" s="13"/>
    </row>
    <row r="327" spans="1:5" x14ac:dyDescent="0.3">
      <c r="A327" s="13"/>
      <c r="B327" s="13"/>
      <c r="C327" s="13"/>
      <c r="D327" s="13"/>
      <c r="E327" s="13"/>
    </row>
    <row r="328" spans="1:5" x14ac:dyDescent="0.3">
      <c r="A328" s="13"/>
      <c r="B328" s="13"/>
      <c r="C328" s="13"/>
      <c r="D328" s="13"/>
      <c r="E328" s="13"/>
    </row>
    <row r="329" spans="1:5" x14ac:dyDescent="0.3">
      <c r="A329" s="13"/>
      <c r="B329" s="13"/>
      <c r="C329" s="13"/>
      <c r="D329" s="13"/>
      <c r="E329" s="13"/>
    </row>
    <row r="330" spans="1:5" x14ac:dyDescent="0.3">
      <c r="A330" s="13"/>
      <c r="B330" s="13"/>
      <c r="C330" s="13"/>
      <c r="D330" s="13"/>
      <c r="E330" s="13"/>
    </row>
    <row r="331" spans="1:5" x14ac:dyDescent="0.3">
      <c r="A331" s="13"/>
      <c r="B331" s="13"/>
      <c r="C331" s="13"/>
      <c r="D331" s="13"/>
      <c r="E331" s="13"/>
    </row>
    <row r="332" spans="1:5" x14ac:dyDescent="0.3">
      <c r="A332" s="13"/>
      <c r="B332" s="13"/>
      <c r="C332" s="13"/>
      <c r="D332" s="13"/>
      <c r="E332" s="13"/>
    </row>
    <row r="333" spans="1:5" x14ac:dyDescent="0.3">
      <c r="A333" s="13"/>
      <c r="B333" s="13"/>
      <c r="C333" s="13"/>
      <c r="D333" s="13"/>
      <c r="E333" s="13"/>
    </row>
    <row r="334" spans="1:5" x14ac:dyDescent="0.3">
      <c r="A334" s="13"/>
      <c r="B334" s="13"/>
      <c r="C334" s="13"/>
      <c r="D334" s="13"/>
      <c r="E334" s="13"/>
    </row>
    <row r="335" spans="1:5" x14ac:dyDescent="0.3">
      <c r="A335" s="13"/>
      <c r="B335" s="13"/>
      <c r="C335" s="13"/>
      <c r="D335" s="13"/>
      <c r="E335" s="13"/>
    </row>
    <row r="336" spans="1:5" x14ac:dyDescent="0.3">
      <c r="A336" s="13"/>
      <c r="B336" s="13"/>
      <c r="C336" s="13"/>
      <c r="D336" s="13"/>
      <c r="E336" s="13"/>
    </row>
    <row r="337" spans="1:5" x14ac:dyDescent="0.3">
      <c r="A337" s="13"/>
      <c r="B337" s="13"/>
      <c r="C337" s="13"/>
      <c r="D337" s="13"/>
      <c r="E337" s="13"/>
    </row>
    <row r="338" spans="1:5" x14ac:dyDescent="0.3">
      <c r="A338" s="13"/>
      <c r="B338" s="13"/>
      <c r="C338" s="13"/>
      <c r="D338" s="13"/>
      <c r="E338" s="13"/>
    </row>
    <row r="339" spans="1:5" x14ac:dyDescent="0.3">
      <c r="A339" s="13"/>
      <c r="B339" s="13"/>
      <c r="C339" s="13"/>
      <c r="D339" s="13"/>
      <c r="E339" s="13"/>
    </row>
    <row r="340" spans="1:5" x14ac:dyDescent="0.3">
      <c r="A340" s="13"/>
      <c r="B340" s="13"/>
      <c r="C340" s="13"/>
      <c r="D340" s="13"/>
      <c r="E340" s="13"/>
    </row>
    <row r="341" spans="1:5" x14ac:dyDescent="0.3">
      <c r="A341" s="13"/>
      <c r="B341" s="13"/>
      <c r="C341" s="13"/>
      <c r="D341" s="13"/>
      <c r="E341" s="13"/>
    </row>
    <row r="342" spans="1:5" x14ac:dyDescent="0.3">
      <c r="A342" s="13"/>
      <c r="B342" s="13"/>
      <c r="C342" s="13"/>
      <c r="D342" s="13"/>
      <c r="E342" s="13"/>
    </row>
    <row r="343" spans="1:5" x14ac:dyDescent="0.3">
      <c r="A343" s="13"/>
      <c r="B343" s="13"/>
      <c r="C343" s="13"/>
      <c r="D343" s="13"/>
      <c r="E343" s="13"/>
    </row>
    <row r="344" spans="1:5" x14ac:dyDescent="0.3">
      <c r="A344" s="13"/>
      <c r="B344" s="13"/>
      <c r="C344" s="13"/>
      <c r="D344" s="13"/>
      <c r="E344" s="13"/>
    </row>
    <row r="345" spans="1:5" x14ac:dyDescent="0.3">
      <c r="A345" s="13"/>
      <c r="B345" s="13"/>
      <c r="C345" s="13"/>
      <c r="D345" s="13"/>
      <c r="E345" s="13"/>
    </row>
    <row r="346" spans="1:5" x14ac:dyDescent="0.3">
      <c r="A346" s="13"/>
      <c r="B346" s="13"/>
      <c r="C346" s="13"/>
      <c r="D346" s="13"/>
      <c r="E346" s="13"/>
    </row>
    <row r="347" spans="1:5" x14ac:dyDescent="0.3">
      <c r="A347" s="13"/>
      <c r="B347" s="13"/>
      <c r="C347" s="13"/>
      <c r="D347" s="13"/>
      <c r="E347" s="13"/>
    </row>
    <row r="348" spans="1:5" x14ac:dyDescent="0.3">
      <c r="A348" s="13"/>
      <c r="B348" s="13"/>
      <c r="C348" s="13"/>
      <c r="D348" s="13"/>
      <c r="E348" s="13"/>
    </row>
    <row r="349" spans="1:5" x14ac:dyDescent="0.3">
      <c r="A349" s="13"/>
      <c r="B349" s="13"/>
      <c r="C349" s="13"/>
      <c r="D349" s="13"/>
      <c r="E349" s="13"/>
    </row>
    <row r="350" spans="1:5" x14ac:dyDescent="0.3">
      <c r="A350" s="13"/>
      <c r="B350" s="13"/>
      <c r="C350" s="13"/>
      <c r="D350" s="13"/>
      <c r="E350" s="13"/>
    </row>
    <row r="351" spans="1:5" x14ac:dyDescent="0.3">
      <c r="A351" s="13"/>
      <c r="B351" s="13"/>
      <c r="C351" s="13"/>
      <c r="D351" s="13"/>
      <c r="E351" s="13"/>
    </row>
    <row r="352" spans="1:5" x14ac:dyDescent="0.3">
      <c r="A352" s="13"/>
      <c r="B352" s="13"/>
      <c r="C352" s="13"/>
      <c r="D352" s="13"/>
      <c r="E352" s="13"/>
    </row>
    <row r="353" spans="1:5" x14ac:dyDescent="0.3">
      <c r="A353" s="13"/>
      <c r="B353" s="13"/>
      <c r="C353" s="13"/>
      <c r="D353" s="13"/>
      <c r="E353" s="13"/>
    </row>
    <row r="354" spans="1:5" x14ac:dyDescent="0.3">
      <c r="A354" s="13"/>
      <c r="B354" s="13"/>
      <c r="C354" s="13"/>
      <c r="D354" s="13"/>
      <c r="E354" s="13"/>
    </row>
    <row r="355" spans="1:5" x14ac:dyDescent="0.3">
      <c r="A355" s="13"/>
      <c r="B355" s="13"/>
      <c r="C355" s="13"/>
      <c r="D355" s="13"/>
      <c r="E355" s="13"/>
    </row>
    <row r="356" spans="1:5" x14ac:dyDescent="0.3">
      <c r="A356" s="13"/>
      <c r="B356" s="13"/>
      <c r="C356" s="13"/>
      <c r="D356" s="13"/>
      <c r="E356" s="13"/>
    </row>
    <row r="357" spans="1:5" x14ac:dyDescent="0.3">
      <c r="A357" s="13"/>
      <c r="B357" s="13"/>
      <c r="C357" s="13"/>
      <c r="D357" s="13"/>
      <c r="E357" s="13"/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2695E-80E4-45AE-BC72-F88E53038D73}">
  <sheetPr codeName="Sheet49"/>
  <dimension ref="A1:M620"/>
  <sheetViews>
    <sheetView workbookViewId="0">
      <selection activeCell="A2" sqref="A2:E354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50</v>
      </c>
      <c r="D2" s="13">
        <v>48</v>
      </c>
      <c r="E2" s="13">
        <v>50</v>
      </c>
    </row>
    <row r="3" spans="1:13" customFormat="1" x14ac:dyDescent="0.3">
      <c r="A3" s="13" t="s">
        <v>0</v>
      </c>
      <c r="B3" s="13" t="s">
        <v>29</v>
      </c>
      <c r="C3" s="13">
        <v>20</v>
      </c>
      <c r="D3" s="13">
        <v>20</v>
      </c>
      <c r="E3" s="13">
        <v>23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24</v>
      </c>
      <c r="D4" s="13">
        <v>15</v>
      </c>
      <c r="E4" s="13">
        <v>34</v>
      </c>
      <c r="G4" s="19" t="s">
        <v>8</v>
      </c>
      <c r="H4" s="15">
        <f>H13+H14</f>
        <v>381</v>
      </c>
      <c r="I4" s="16">
        <f>H4/H$6</f>
        <v>0.58525345622119818</v>
      </c>
      <c r="J4" s="15">
        <f>I13+I14</f>
        <v>253</v>
      </c>
      <c r="K4" s="16">
        <f>J4/J$6</f>
        <v>0.51950718685831621</v>
      </c>
      <c r="L4" s="15">
        <f>J13+J14</f>
        <v>432</v>
      </c>
      <c r="M4" s="25">
        <f>L4/L$6</f>
        <v>0.58775510204081638</v>
      </c>
    </row>
    <row r="5" spans="1:13" customFormat="1" x14ac:dyDescent="0.3">
      <c r="A5" s="13" t="s">
        <v>0</v>
      </c>
      <c r="B5" s="13" t="s">
        <v>31</v>
      </c>
      <c r="C5" s="13">
        <v>13</v>
      </c>
      <c r="D5" s="13">
        <v>13</v>
      </c>
      <c r="E5" s="13">
        <v>14</v>
      </c>
      <c r="G5" s="19" t="s">
        <v>10</v>
      </c>
      <c r="H5" s="15">
        <f>H15+H16</f>
        <v>270</v>
      </c>
      <c r="I5" s="16">
        <f>H5/H$6</f>
        <v>0.41474654377880182</v>
      </c>
      <c r="J5" s="15">
        <f>I15+I16</f>
        <v>234</v>
      </c>
      <c r="K5" s="16">
        <f>J5/J$6</f>
        <v>0.48049281314168379</v>
      </c>
      <c r="L5" s="15">
        <f>J15+J16</f>
        <v>303</v>
      </c>
      <c r="M5" s="25">
        <f>L5/L$6</f>
        <v>0.41224489795918368</v>
      </c>
    </row>
    <row r="6" spans="1:13" customFormat="1" ht="17.25" thickBot="1" x14ac:dyDescent="0.35">
      <c r="A6" s="13" t="s">
        <v>0</v>
      </c>
      <c r="B6" s="13" t="s">
        <v>354</v>
      </c>
      <c r="C6" s="13">
        <v>10</v>
      </c>
      <c r="D6" s="13">
        <v>10</v>
      </c>
      <c r="E6" s="13">
        <v>10</v>
      </c>
      <c r="G6" s="22"/>
      <c r="H6" s="26">
        <f>SUM(H4:H5)</f>
        <v>651</v>
      </c>
      <c r="I6" s="27">
        <f>I4+I5</f>
        <v>1</v>
      </c>
      <c r="J6" s="26">
        <f>SUM(J4:J5)</f>
        <v>487</v>
      </c>
      <c r="K6" s="27">
        <f>K4+K5</f>
        <v>1</v>
      </c>
      <c r="L6" s="26">
        <f>SUM(L4:L5)</f>
        <v>735</v>
      </c>
      <c r="M6" s="28">
        <f>M4+M5</f>
        <v>1</v>
      </c>
    </row>
    <row r="7" spans="1:13" customFormat="1" x14ac:dyDescent="0.3">
      <c r="A7" s="13" t="s">
        <v>0</v>
      </c>
      <c r="B7" s="13" t="s">
        <v>1948</v>
      </c>
      <c r="C7" s="13">
        <v>10</v>
      </c>
      <c r="D7" s="13">
        <v>9</v>
      </c>
      <c r="E7" s="13">
        <v>12</v>
      </c>
    </row>
    <row r="8" spans="1:13" customFormat="1" x14ac:dyDescent="0.3">
      <c r="A8" s="13" t="s">
        <v>0</v>
      </c>
      <c r="B8" s="13" t="s">
        <v>37</v>
      </c>
      <c r="C8" s="13">
        <v>8</v>
      </c>
      <c r="D8" s="13">
        <v>8</v>
      </c>
      <c r="E8" s="13">
        <v>9</v>
      </c>
    </row>
    <row r="9" spans="1:13" customFormat="1" x14ac:dyDescent="0.3">
      <c r="A9" s="13" t="s">
        <v>1</v>
      </c>
      <c r="B9" s="13" t="s">
        <v>1741</v>
      </c>
      <c r="C9" s="13">
        <v>9</v>
      </c>
      <c r="D9" s="13">
        <v>7</v>
      </c>
      <c r="E9" s="13">
        <v>10</v>
      </c>
    </row>
    <row r="10" spans="1:13" customFormat="1" ht="17.25" thickBot="1" x14ac:dyDescent="0.35">
      <c r="A10" s="13" t="s">
        <v>1</v>
      </c>
      <c r="B10" s="13" t="s">
        <v>61</v>
      </c>
      <c r="C10" s="13">
        <v>6</v>
      </c>
      <c r="D10" s="13">
        <v>6</v>
      </c>
      <c r="E10" s="13">
        <v>6</v>
      </c>
    </row>
    <row r="11" spans="1:13" x14ac:dyDescent="0.3">
      <c r="A11" s="13" t="s">
        <v>1</v>
      </c>
      <c r="B11" s="13" t="s">
        <v>37</v>
      </c>
      <c r="C11" s="13">
        <v>8</v>
      </c>
      <c r="D11" s="13">
        <v>6</v>
      </c>
      <c r="E11" s="13">
        <v>9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60</v>
      </c>
      <c r="C12" s="13">
        <v>6</v>
      </c>
      <c r="D12" s="13">
        <v>6</v>
      </c>
      <c r="E12" s="13">
        <v>6</v>
      </c>
      <c r="G12" s="19"/>
      <c r="H12" s="17">
        <f t="shared" ref="H12:J12" si="0">SUM(H13:H16)</f>
        <v>651</v>
      </c>
      <c r="I12" s="17">
        <f t="shared" si="0"/>
        <v>487</v>
      </c>
      <c r="J12" s="20">
        <f t="shared" si="0"/>
        <v>735</v>
      </c>
    </row>
    <row r="13" spans="1:13" x14ac:dyDescent="0.3">
      <c r="A13" s="13" t="s">
        <v>1</v>
      </c>
      <c r="B13" s="13" t="s">
        <v>1948</v>
      </c>
      <c r="C13" s="13">
        <v>10</v>
      </c>
      <c r="D13" s="13">
        <v>5</v>
      </c>
      <c r="E13" s="13">
        <v>8</v>
      </c>
      <c r="G13" s="19" t="s">
        <v>7</v>
      </c>
      <c r="H13" s="18">
        <f t="shared" ref="H13:J16" si="1">SUMIF($A$2:$A$9999,$G13,C$2:C$9999)</f>
        <v>381</v>
      </c>
      <c r="I13" s="18">
        <f t="shared" si="1"/>
        <v>253</v>
      </c>
      <c r="J13" s="21">
        <f t="shared" si="1"/>
        <v>432</v>
      </c>
    </row>
    <row r="14" spans="1:13" x14ac:dyDescent="0.3">
      <c r="A14" s="13" t="s">
        <v>1</v>
      </c>
      <c r="B14" s="13" t="s">
        <v>29</v>
      </c>
      <c r="C14" s="13">
        <v>6</v>
      </c>
      <c r="D14" s="13">
        <v>5</v>
      </c>
      <c r="E14" s="13">
        <v>6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51</v>
      </c>
      <c r="C15" s="13">
        <v>6</v>
      </c>
      <c r="D15" s="13">
        <v>5</v>
      </c>
      <c r="E15" s="13">
        <v>6</v>
      </c>
      <c r="G15" s="19" t="s">
        <v>11</v>
      </c>
      <c r="H15" s="18">
        <f t="shared" si="1"/>
        <v>261</v>
      </c>
      <c r="I15" s="18">
        <f t="shared" si="1"/>
        <v>226</v>
      </c>
      <c r="J15" s="21">
        <f t="shared" si="1"/>
        <v>292</v>
      </c>
    </row>
    <row r="16" spans="1:13" ht="17.25" thickBot="1" x14ac:dyDescent="0.35">
      <c r="A16" s="13" t="s">
        <v>1</v>
      </c>
      <c r="B16" s="13" t="s">
        <v>1663</v>
      </c>
      <c r="C16" s="13">
        <v>8</v>
      </c>
      <c r="D16" s="13">
        <v>4</v>
      </c>
      <c r="E16" s="13">
        <v>15</v>
      </c>
      <c r="G16" s="22" t="s">
        <v>12</v>
      </c>
      <c r="H16" s="23">
        <f t="shared" si="1"/>
        <v>9</v>
      </c>
      <c r="I16" s="23">
        <f t="shared" si="1"/>
        <v>8</v>
      </c>
      <c r="J16" s="24">
        <f t="shared" si="1"/>
        <v>11</v>
      </c>
    </row>
    <row r="17" spans="1:5" x14ac:dyDescent="0.3">
      <c r="A17" s="13" t="s">
        <v>1</v>
      </c>
      <c r="B17" s="13" t="s">
        <v>1988</v>
      </c>
      <c r="C17" s="13">
        <v>7</v>
      </c>
      <c r="D17" s="13">
        <v>4</v>
      </c>
      <c r="E17" s="13">
        <v>7</v>
      </c>
    </row>
    <row r="18" spans="1:5" x14ac:dyDescent="0.3">
      <c r="A18" s="13" t="s">
        <v>1</v>
      </c>
      <c r="B18" s="13" t="s">
        <v>120</v>
      </c>
      <c r="C18" s="13">
        <v>4</v>
      </c>
      <c r="D18" s="13">
        <v>4</v>
      </c>
      <c r="E18" s="13">
        <v>4</v>
      </c>
    </row>
    <row r="19" spans="1:5" x14ac:dyDescent="0.3">
      <c r="A19" s="13" t="s">
        <v>0</v>
      </c>
      <c r="B19" s="13" t="s">
        <v>34</v>
      </c>
      <c r="C19" s="13">
        <v>5</v>
      </c>
      <c r="D19" s="13">
        <v>4</v>
      </c>
      <c r="E19" s="13">
        <v>6</v>
      </c>
    </row>
    <row r="20" spans="1:5" x14ac:dyDescent="0.3">
      <c r="A20" s="13" t="s">
        <v>0</v>
      </c>
      <c r="B20" s="13" t="s">
        <v>1741</v>
      </c>
      <c r="C20" s="13">
        <v>6</v>
      </c>
      <c r="D20" s="13">
        <v>4</v>
      </c>
      <c r="E20" s="13">
        <v>7</v>
      </c>
    </row>
    <row r="21" spans="1:5" x14ac:dyDescent="0.3">
      <c r="A21" s="13" t="s">
        <v>0</v>
      </c>
      <c r="B21" s="13" t="s">
        <v>2203</v>
      </c>
      <c r="C21" s="13">
        <v>4</v>
      </c>
      <c r="D21" s="13">
        <v>4</v>
      </c>
      <c r="E21" s="13">
        <v>4</v>
      </c>
    </row>
    <row r="22" spans="1:5" x14ac:dyDescent="0.3">
      <c r="A22" s="13" t="s">
        <v>0</v>
      </c>
      <c r="B22" s="13" t="s">
        <v>661</v>
      </c>
      <c r="C22" s="13">
        <v>4</v>
      </c>
      <c r="D22" s="13">
        <v>4</v>
      </c>
      <c r="E22" s="13">
        <v>4</v>
      </c>
    </row>
    <row r="23" spans="1:5" x14ac:dyDescent="0.3">
      <c r="A23" s="13" t="s">
        <v>0</v>
      </c>
      <c r="B23" s="13" t="s">
        <v>64</v>
      </c>
      <c r="C23" s="13">
        <v>4</v>
      </c>
      <c r="D23" s="13">
        <v>4</v>
      </c>
      <c r="E23" s="13">
        <v>5</v>
      </c>
    </row>
    <row r="24" spans="1:5" x14ac:dyDescent="0.3">
      <c r="A24" s="13" t="s">
        <v>1</v>
      </c>
      <c r="B24" s="13" t="s">
        <v>48</v>
      </c>
      <c r="C24" s="13">
        <v>4</v>
      </c>
      <c r="D24" s="13">
        <v>3</v>
      </c>
      <c r="E24" s="13">
        <v>4</v>
      </c>
    </row>
    <row r="25" spans="1:5" x14ac:dyDescent="0.3">
      <c r="A25" s="13" t="s">
        <v>1</v>
      </c>
      <c r="B25" s="13" t="s">
        <v>34</v>
      </c>
      <c r="C25" s="13">
        <v>3</v>
      </c>
      <c r="D25" s="13">
        <v>3</v>
      </c>
      <c r="E25" s="13">
        <v>3</v>
      </c>
    </row>
    <row r="26" spans="1:5" x14ac:dyDescent="0.3">
      <c r="A26" s="13" t="s">
        <v>1</v>
      </c>
      <c r="B26" s="13" t="s">
        <v>354</v>
      </c>
      <c r="C26" s="13">
        <v>4</v>
      </c>
      <c r="D26" s="13">
        <v>3</v>
      </c>
      <c r="E26" s="13">
        <v>4</v>
      </c>
    </row>
    <row r="27" spans="1:5" x14ac:dyDescent="0.3">
      <c r="A27" s="13" t="s">
        <v>1</v>
      </c>
      <c r="B27" s="13" t="s">
        <v>45</v>
      </c>
      <c r="C27" s="13">
        <v>3</v>
      </c>
      <c r="D27" s="13">
        <v>3</v>
      </c>
      <c r="E27" s="13">
        <v>4</v>
      </c>
    </row>
    <row r="28" spans="1:5" x14ac:dyDescent="0.3">
      <c r="A28" s="13" t="s">
        <v>1</v>
      </c>
      <c r="B28" s="13" t="s">
        <v>63</v>
      </c>
      <c r="C28" s="13">
        <v>3</v>
      </c>
      <c r="D28" s="13">
        <v>3</v>
      </c>
      <c r="E28" s="13">
        <v>3</v>
      </c>
    </row>
    <row r="29" spans="1:5" x14ac:dyDescent="0.3">
      <c r="A29" s="13" t="s">
        <v>1</v>
      </c>
      <c r="B29" s="13" t="s">
        <v>31</v>
      </c>
      <c r="C29" s="13">
        <v>3</v>
      </c>
      <c r="D29" s="13">
        <v>3</v>
      </c>
      <c r="E29" s="13">
        <v>3</v>
      </c>
    </row>
    <row r="30" spans="1:5" x14ac:dyDescent="0.3">
      <c r="A30" s="13" t="s">
        <v>1</v>
      </c>
      <c r="B30" s="13" t="s">
        <v>39</v>
      </c>
      <c r="C30" s="13">
        <v>6</v>
      </c>
      <c r="D30" s="13">
        <v>3</v>
      </c>
      <c r="E30" s="13">
        <v>11</v>
      </c>
    </row>
    <row r="31" spans="1:5" x14ac:dyDescent="0.3">
      <c r="A31" s="13" t="s">
        <v>1</v>
      </c>
      <c r="B31" s="13" t="s">
        <v>32</v>
      </c>
      <c r="C31" s="13">
        <v>4</v>
      </c>
      <c r="D31" s="13">
        <v>3</v>
      </c>
      <c r="E31" s="13">
        <v>7</v>
      </c>
    </row>
    <row r="32" spans="1:5" x14ac:dyDescent="0.3">
      <c r="A32" s="13" t="s">
        <v>0</v>
      </c>
      <c r="B32" s="13" t="s">
        <v>35</v>
      </c>
      <c r="C32" s="13">
        <v>3</v>
      </c>
      <c r="D32" s="13">
        <v>3</v>
      </c>
      <c r="E32" s="13">
        <v>3</v>
      </c>
    </row>
    <row r="33" spans="1:5" x14ac:dyDescent="0.3">
      <c r="A33" s="13" t="s">
        <v>0</v>
      </c>
      <c r="B33" s="13" t="s">
        <v>111</v>
      </c>
      <c r="C33" s="13">
        <v>4</v>
      </c>
      <c r="D33" s="13">
        <v>3</v>
      </c>
      <c r="E33" s="13">
        <v>5</v>
      </c>
    </row>
    <row r="34" spans="1:5" x14ac:dyDescent="0.3">
      <c r="A34" s="13" t="s">
        <v>0</v>
      </c>
      <c r="B34" s="13" t="s">
        <v>51</v>
      </c>
      <c r="C34" s="13">
        <v>4</v>
      </c>
      <c r="D34" s="13">
        <v>3</v>
      </c>
      <c r="E34" s="13">
        <v>5</v>
      </c>
    </row>
    <row r="35" spans="1:5" x14ac:dyDescent="0.3">
      <c r="A35" s="13" t="s">
        <v>0</v>
      </c>
      <c r="B35" s="13" t="s">
        <v>120</v>
      </c>
      <c r="C35" s="13">
        <v>3</v>
      </c>
      <c r="D35" s="13">
        <v>3</v>
      </c>
      <c r="E35" s="13">
        <v>3</v>
      </c>
    </row>
    <row r="36" spans="1:5" x14ac:dyDescent="0.3">
      <c r="A36" s="13" t="s">
        <v>1</v>
      </c>
      <c r="B36" s="13" t="s">
        <v>145</v>
      </c>
      <c r="C36" s="13">
        <v>2</v>
      </c>
      <c r="D36" s="13">
        <v>2</v>
      </c>
      <c r="E36" s="13">
        <v>3</v>
      </c>
    </row>
    <row r="37" spans="1:5" x14ac:dyDescent="0.3">
      <c r="A37" s="13" t="s">
        <v>1</v>
      </c>
      <c r="B37" s="13" t="s">
        <v>114</v>
      </c>
      <c r="C37" s="13">
        <v>2</v>
      </c>
      <c r="D37" s="13">
        <v>2</v>
      </c>
      <c r="E37" s="13">
        <v>2</v>
      </c>
    </row>
    <row r="38" spans="1:5" x14ac:dyDescent="0.3">
      <c r="A38" s="13" t="s">
        <v>1</v>
      </c>
      <c r="B38" s="13" t="s">
        <v>123</v>
      </c>
      <c r="C38" s="13">
        <v>2</v>
      </c>
      <c r="D38" s="13">
        <v>2</v>
      </c>
      <c r="E38" s="13">
        <v>2</v>
      </c>
    </row>
    <row r="39" spans="1:5" x14ac:dyDescent="0.3">
      <c r="A39" s="13" t="s">
        <v>1</v>
      </c>
      <c r="B39" s="13" t="s">
        <v>336</v>
      </c>
      <c r="C39" s="13">
        <v>2</v>
      </c>
      <c r="D39" s="13">
        <v>2</v>
      </c>
      <c r="E39" s="13">
        <v>2</v>
      </c>
    </row>
    <row r="40" spans="1:5" x14ac:dyDescent="0.3">
      <c r="A40" s="13" t="s">
        <v>1</v>
      </c>
      <c r="B40" s="13" t="s">
        <v>188</v>
      </c>
      <c r="C40" s="13">
        <v>2</v>
      </c>
      <c r="D40" s="13">
        <v>2</v>
      </c>
      <c r="E40" s="13">
        <v>2</v>
      </c>
    </row>
    <row r="41" spans="1:5" x14ac:dyDescent="0.3">
      <c r="A41" s="13" t="s">
        <v>0</v>
      </c>
      <c r="B41" s="13" t="s">
        <v>30</v>
      </c>
      <c r="C41" s="13">
        <v>5</v>
      </c>
      <c r="D41" s="13">
        <v>2</v>
      </c>
      <c r="E41" s="13">
        <v>5</v>
      </c>
    </row>
    <row r="42" spans="1:5" x14ac:dyDescent="0.3">
      <c r="A42" s="13" t="s">
        <v>0</v>
      </c>
      <c r="B42" s="13" t="s">
        <v>557</v>
      </c>
      <c r="C42" s="13">
        <v>2</v>
      </c>
      <c r="D42" s="13">
        <v>2</v>
      </c>
      <c r="E42" s="13">
        <v>2</v>
      </c>
    </row>
    <row r="43" spans="1:5" x14ac:dyDescent="0.3">
      <c r="A43" s="13" t="s">
        <v>0</v>
      </c>
      <c r="B43" s="13" t="s">
        <v>81</v>
      </c>
      <c r="C43" s="13">
        <v>2</v>
      </c>
      <c r="D43" s="13">
        <v>2</v>
      </c>
      <c r="E43" s="13">
        <v>2</v>
      </c>
    </row>
    <row r="44" spans="1:5" x14ac:dyDescent="0.3">
      <c r="A44" s="13" t="s">
        <v>0</v>
      </c>
      <c r="B44" s="13" t="s">
        <v>304</v>
      </c>
      <c r="C44" s="13">
        <v>2</v>
      </c>
      <c r="D44" s="13">
        <v>2</v>
      </c>
      <c r="E44" s="13">
        <v>2</v>
      </c>
    </row>
    <row r="45" spans="1:5" x14ac:dyDescent="0.3">
      <c r="A45" s="13" t="s">
        <v>0</v>
      </c>
      <c r="B45" s="13" t="s">
        <v>61</v>
      </c>
      <c r="C45" s="13">
        <v>2</v>
      </c>
      <c r="D45" s="13">
        <v>2</v>
      </c>
      <c r="E45" s="13">
        <v>2</v>
      </c>
    </row>
    <row r="46" spans="1:5" x14ac:dyDescent="0.3">
      <c r="A46" s="13" t="s">
        <v>0</v>
      </c>
      <c r="B46" s="13" t="s">
        <v>94</v>
      </c>
      <c r="C46" s="13">
        <v>3</v>
      </c>
      <c r="D46" s="13">
        <v>2</v>
      </c>
      <c r="E46" s="13">
        <v>3</v>
      </c>
    </row>
    <row r="47" spans="1:5" x14ac:dyDescent="0.3">
      <c r="A47" s="13" t="s">
        <v>0</v>
      </c>
      <c r="B47" s="13" t="s">
        <v>1370</v>
      </c>
      <c r="C47" s="13">
        <v>2</v>
      </c>
      <c r="D47" s="13">
        <v>2</v>
      </c>
      <c r="E47" s="13">
        <v>2</v>
      </c>
    </row>
    <row r="48" spans="1:5" x14ac:dyDescent="0.3">
      <c r="A48" s="13" t="s">
        <v>0</v>
      </c>
      <c r="B48" s="13" t="s">
        <v>101</v>
      </c>
      <c r="C48" s="13">
        <v>2</v>
      </c>
      <c r="D48" s="13">
        <v>2</v>
      </c>
      <c r="E48" s="13">
        <v>2</v>
      </c>
    </row>
    <row r="49" spans="1:5" x14ac:dyDescent="0.3">
      <c r="A49" s="13" t="s">
        <v>0</v>
      </c>
      <c r="B49" s="13" t="s">
        <v>1312</v>
      </c>
      <c r="C49" s="13">
        <v>2</v>
      </c>
      <c r="D49" s="13">
        <v>2</v>
      </c>
      <c r="E49" s="13">
        <v>2</v>
      </c>
    </row>
    <row r="50" spans="1:5" x14ac:dyDescent="0.3">
      <c r="A50" s="13" t="s">
        <v>0</v>
      </c>
      <c r="B50" s="13" t="s">
        <v>195</v>
      </c>
      <c r="C50" s="13">
        <v>2</v>
      </c>
      <c r="D50" s="13">
        <v>2</v>
      </c>
      <c r="E50" s="13">
        <v>2</v>
      </c>
    </row>
    <row r="51" spans="1:5" x14ac:dyDescent="0.3">
      <c r="A51" s="13" t="s">
        <v>0</v>
      </c>
      <c r="B51" s="13" t="s">
        <v>824</v>
      </c>
      <c r="C51" s="13">
        <v>2</v>
      </c>
      <c r="D51" s="13">
        <v>2</v>
      </c>
      <c r="E51" s="13">
        <v>2</v>
      </c>
    </row>
    <row r="52" spans="1:5" x14ac:dyDescent="0.3">
      <c r="A52" s="13" t="s">
        <v>0</v>
      </c>
      <c r="B52" s="13" t="s">
        <v>523</v>
      </c>
      <c r="C52" s="13">
        <v>2</v>
      </c>
      <c r="D52" s="13">
        <v>2</v>
      </c>
      <c r="E52" s="13">
        <v>2</v>
      </c>
    </row>
    <row r="53" spans="1:5" x14ac:dyDescent="0.3">
      <c r="A53" s="13" t="s">
        <v>0</v>
      </c>
      <c r="B53" s="13" t="s">
        <v>631</v>
      </c>
      <c r="C53" s="13">
        <v>2</v>
      </c>
      <c r="D53" s="13">
        <v>2</v>
      </c>
      <c r="E53" s="13">
        <v>2</v>
      </c>
    </row>
    <row r="54" spans="1:5" x14ac:dyDescent="0.3">
      <c r="A54" s="13" t="s">
        <v>0</v>
      </c>
      <c r="B54" s="13" t="s">
        <v>62</v>
      </c>
      <c r="C54" s="13">
        <v>2</v>
      </c>
      <c r="D54" s="13">
        <v>2</v>
      </c>
      <c r="E54" s="13">
        <v>2</v>
      </c>
    </row>
    <row r="55" spans="1:5" x14ac:dyDescent="0.3">
      <c r="A55" s="13" t="s">
        <v>0</v>
      </c>
      <c r="B55" s="13" t="s">
        <v>121</v>
      </c>
      <c r="C55" s="13">
        <v>2</v>
      </c>
      <c r="D55" s="13">
        <v>2</v>
      </c>
      <c r="E55" s="13">
        <v>2</v>
      </c>
    </row>
    <row r="56" spans="1:5" x14ac:dyDescent="0.3">
      <c r="A56" s="13" t="s">
        <v>0</v>
      </c>
      <c r="B56" s="13" t="s">
        <v>178</v>
      </c>
      <c r="C56" s="13">
        <v>2</v>
      </c>
      <c r="D56" s="13">
        <v>2</v>
      </c>
      <c r="E56" s="13">
        <v>2</v>
      </c>
    </row>
    <row r="57" spans="1:5" x14ac:dyDescent="0.3">
      <c r="A57" s="13" t="s">
        <v>0</v>
      </c>
      <c r="B57" s="13" t="s">
        <v>339</v>
      </c>
      <c r="C57" s="13">
        <v>2</v>
      </c>
      <c r="D57" s="13">
        <v>2</v>
      </c>
      <c r="E57" s="13">
        <v>2</v>
      </c>
    </row>
    <row r="58" spans="1:5" x14ac:dyDescent="0.3">
      <c r="A58" s="13" t="s">
        <v>0</v>
      </c>
      <c r="B58" s="13" t="s">
        <v>130</v>
      </c>
      <c r="C58" s="13">
        <v>3</v>
      </c>
      <c r="D58" s="13">
        <v>2</v>
      </c>
      <c r="E58" s="13">
        <v>5</v>
      </c>
    </row>
    <row r="59" spans="1:5" x14ac:dyDescent="0.3">
      <c r="A59" s="13" t="s">
        <v>0</v>
      </c>
      <c r="B59" s="13" t="s">
        <v>39</v>
      </c>
      <c r="C59" s="13">
        <v>2</v>
      </c>
      <c r="D59" s="13">
        <v>2</v>
      </c>
      <c r="E59" s="13">
        <v>3</v>
      </c>
    </row>
    <row r="60" spans="1:5" x14ac:dyDescent="0.3">
      <c r="A60" s="13" t="s">
        <v>1</v>
      </c>
      <c r="B60" s="13" t="s">
        <v>47</v>
      </c>
      <c r="C60" s="13">
        <v>1</v>
      </c>
      <c r="D60" s="13">
        <v>1</v>
      </c>
      <c r="E60" s="13">
        <v>1</v>
      </c>
    </row>
    <row r="61" spans="1:5" x14ac:dyDescent="0.3">
      <c r="A61" s="13" t="s">
        <v>1</v>
      </c>
      <c r="B61" s="13" t="s">
        <v>199</v>
      </c>
      <c r="C61" s="13">
        <v>1</v>
      </c>
      <c r="D61" s="13">
        <v>1</v>
      </c>
      <c r="E61" s="13">
        <v>1</v>
      </c>
    </row>
    <row r="62" spans="1:5" x14ac:dyDescent="0.3">
      <c r="A62" s="13" t="s">
        <v>1</v>
      </c>
      <c r="B62" s="13" t="s">
        <v>875</v>
      </c>
      <c r="C62" s="13">
        <v>1</v>
      </c>
      <c r="D62" s="13">
        <v>1</v>
      </c>
      <c r="E62" s="13">
        <v>1</v>
      </c>
    </row>
    <row r="63" spans="1:5" x14ac:dyDescent="0.3">
      <c r="A63" s="13" t="s">
        <v>1</v>
      </c>
      <c r="B63" s="13" t="s">
        <v>33</v>
      </c>
      <c r="C63" s="13">
        <v>2</v>
      </c>
      <c r="D63" s="13">
        <v>1</v>
      </c>
      <c r="E63" s="13">
        <v>1</v>
      </c>
    </row>
    <row r="64" spans="1:5" x14ac:dyDescent="0.3">
      <c r="A64" s="13" t="s">
        <v>1</v>
      </c>
      <c r="B64" s="13" t="s">
        <v>656</v>
      </c>
      <c r="C64" s="13">
        <v>1</v>
      </c>
      <c r="D64" s="13">
        <v>1</v>
      </c>
      <c r="E64" s="13">
        <v>1</v>
      </c>
    </row>
    <row r="65" spans="1:5" x14ac:dyDescent="0.3">
      <c r="A65" s="13" t="s">
        <v>1</v>
      </c>
      <c r="B65" s="13" t="s">
        <v>204</v>
      </c>
      <c r="C65" s="13">
        <v>1</v>
      </c>
      <c r="D65" s="13">
        <v>1</v>
      </c>
      <c r="E65" s="13">
        <v>1</v>
      </c>
    </row>
    <row r="66" spans="1:5" x14ac:dyDescent="0.3">
      <c r="A66" s="13" t="s">
        <v>1</v>
      </c>
      <c r="B66" s="13" t="s">
        <v>876</v>
      </c>
      <c r="C66" s="13">
        <v>1</v>
      </c>
      <c r="D66" s="13">
        <v>1</v>
      </c>
      <c r="E66" s="13">
        <v>1</v>
      </c>
    </row>
    <row r="67" spans="1:5" x14ac:dyDescent="0.3">
      <c r="A67" s="13" t="s">
        <v>1</v>
      </c>
      <c r="B67" s="13" t="s">
        <v>263</v>
      </c>
      <c r="C67" s="13">
        <v>1</v>
      </c>
      <c r="D67" s="13">
        <v>1</v>
      </c>
      <c r="E67" s="13">
        <v>1</v>
      </c>
    </row>
    <row r="68" spans="1:5" x14ac:dyDescent="0.3">
      <c r="A68" s="13" t="s">
        <v>1</v>
      </c>
      <c r="B68" s="13" t="s">
        <v>474</v>
      </c>
      <c r="C68" s="13">
        <v>1</v>
      </c>
      <c r="D68" s="13">
        <v>1</v>
      </c>
      <c r="E68" s="13">
        <v>2</v>
      </c>
    </row>
    <row r="69" spans="1:5" x14ac:dyDescent="0.3">
      <c r="A69" s="13" t="s">
        <v>1</v>
      </c>
      <c r="B69" s="13" t="s">
        <v>499</v>
      </c>
      <c r="C69" s="13">
        <v>1</v>
      </c>
      <c r="D69" s="13">
        <v>1</v>
      </c>
      <c r="E69" s="13">
        <v>1</v>
      </c>
    </row>
    <row r="70" spans="1:5" x14ac:dyDescent="0.3">
      <c r="A70" s="13" t="s">
        <v>1</v>
      </c>
      <c r="B70" s="13" t="s">
        <v>77</v>
      </c>
      <c r="C70" s="13">
        <v>1</v>
      </c>
      <c r="D70" s="13">
        <v>1</v>
      </c>
      <c r="E70" s="13">
        <v>1</v>
      </c>
    </row>
    <row r="71" spans="1:5" x14ac:dyDescent="0.3">
      <c r="A71" s="13" t="s">
        <v>1</v>
      </c>
      <c r="B71" s="13" t="s">
        <v>242</v>
      </c>
      <c r="C71" s="13">
        <v>1</v>
      </c>
      <c r="D71" s="13">
        <v>1</v>
      </c>
      <c r="E71" s="13">
        <v>1</v>
      </c>
    </row>
    <row r="72" spans="1:5" x14ac:dyDescent="0.3">
      <c r="A72" s="13" t="s">
        <v>1</v>
      </c>
      <c r="B72" s="13" t="s">
        <v>243</v>
      </c>
      <c r="C72" s="13">
        <v>1</v>
      </c>
      <c r="D72" s="13">
        <v>1</v>
      </c>
      <c r="E72" s="13">
        <v>1</v>
      </c>
    </row>
    <row r="73" spans="1:5" x14ac:dyDescent="0.3">
      <c r="A73" s="13" t="s">
        <v>1</v>
      </c>
      <c r="B73" s="13" t="s">
        <v>985</v>
      </c>
      <c r="C73" s="13">
        <v>1</v>
      </c>
      <c r="D73" s="13">
        <v>1</v>
      </c>
      <c r="E73" s="13">
        <v>1</v>
      </c>
    </row>
    <row r="74" spans="1:5" x14ac:dyDescent="0.3">
      <c r="A74" s="13" t="s">
        <v>1</v>
      </c>
      <c r="B74" s="13" t="s">
        <v>80</v>
      </c>
      <c r="C74" s="13">
        <v>1</v>
      </c>
      <c r="D74" s="13">
        <v>1</v>
      </c>
      <c r="E74" s="13">
        <v>1</v>
      </c>
    </row>
    <row r="75" spans="1:5" x14ac:dyDescent="0.3">
      <c r="A75" s="13" t="s">
        <v>1</v>
      </c>
      <c r="B75" s="13" t="s">
        <v>1208</v>
      </c>
      <c r="C75" s="13">
        <v>1</v>
      </c>
      <c r="D75" s="13">
        <v>1</v>
      </c>
      <c r="E75" s="13">
        <v>1</v>
      </c>
    </row>
    <row r="76" spans="1:5" x14ac:dyDescent="0.3">
      <c r="A76" s="13" t="s">
        <v>1</v>
      </c>
      <c r="B76" s="13" t="s">
        <v>260</v>
      </c>
      <c r="C76" s="13">
        <v>1</v>
      </c>
      <c r="D76" s="13">
        <v>1</v>
      </c>
      <c r="E76" s="13">
        <v>1</v>
      </c>
    </row>
    <row r="77" spans="1:5" x14ac:dyDescent="0.3">
      <c r="A77" s="13" t="s">
        <v>1</v>
      </c>
      <c r="B77" s="13" t="s">
        <v>210</v>
      </c>
      <c r="C77" s="13">
        <v>1</v>
      </c>
      <c r="D77" s="13">
        <v>1</v>
      </c>
      <c r="E77" s="13">
        <v>1</v>
      </c>
    </row>
    <row r="78" spans="1:5" x14ac:dyDescent="0.3">
      <c r="A78" s="13" t="s">
        <v>1</v>
      </c>
      <c r="B78" s="13" t="s">
        <v>83</v>
      </c>
      <c r="C78" s="13">
        <v>1</v>
      </c>
      <c r="D78" s="13">
        <v>1</v>
      </c>
      <c r="E78" s="13">
        <v>1</v>
      </c>
    </row>
    <row r="79" spans="1:5" x14ac:dyDescent="0.3">
      <c r="A79" s="13" t="s">
        <v>1</v>
      </c>
      <c r="B79" s="13" t="s">
        <v>84</v>
      </c>
      <c r="C79" s="13">
        <v>2</v>
      </c>
      <c r="D79" s="13">
        <v>1</v>
      </c>
      <c r="E79" s="13">
        <v>2</v>
      </c>
    </row>
    <row r="80" spans="1:5" x14ac:dyDescent="0.3">
      <c r="A80" s="13" t="s">
        <v>1</v>
      </c>
      <c r="B80" s="13" t="s">
        <v>386</v>
      </c>
      <c r="C80" s="13">
        <v>1</v>
      </c>
      <c r="D80" s="13">
        <v>1</v>
      </c>
      <c r="E80" s="13">
        <v>1</v>
      </c>
    </row>
    <row r="81" spans="1:5" x14ac:dyDescent="0.3">
      <c r="A81" s="13" t="s">
        <v>1</v>
      </c>
      <c r="B81" s="13" t="s">
        <v>87</v>
      </c>
      <c r="C81" s="13">
        <v>1</v>
      </c>
      <c r="D81" s="13">
        <v>1</v>
      </c>
      <c r="E81" s="13">
        <v>1</v>
      </c>
    </row>
    <row r="82" spans="1:5" x14ac:dyDescent="0.3">
      <c r="A82" s="13" t="s">
        <v>1</v>
      </c>
      <c r="B82" s="13" t="s">
        <v>605</v>
      </c>
      <c r="C82" s="13">
        <v>1</v>
      </c>
      <c r="D82" s="13">
        <v>1</v>
      </c>
      <c r="E82" s="13">
        <v>4</v>
      </c>
    </row>
    <row r="83" spans="1:5" x14ac:dyDescent="0.3">
      <c r="A83" s="13" t="s">
        <v>1</v>
      </c>
      <c r="B83" s="13" t="s">
        <v>215</v>
      </c>
      <c r="C83" s="13">
        <v>2</v>
      </c>
      <c r="D83" s="13">
        <v>1</v>
      </c>
      <c r="E83" s="13">
        <v>2</v>
      </c>
    </row>
    <row r="84" spans="1:5" x14ac:dyDescent="0.3">
      <c r="A84" s="13" t="s">
        <v>1</v>
      </c>
      <c r="B84" s="13" t="s">
        <v>272</v>
      </c>
      <c r="C84" s="13">
        <v>1</v>
      </c>
      <c r="D84" s="13">
        <v>1</v>
      </c>
      <c r="E84" s="13">
        <v>1</v>
      </c>
    </row>
    <row r="85" spans="1:5" x14ac:dyDescent="0.3">
      <c r="A85" s="13" t="s">
        <v>1</v>
      </c>
      <c r="B85" s="13" t="s">
        <v>676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217</v>
      </c>
      <c r="C86" s="13">
        <v>2</v>
      </c>
      <c r="D86" s="13">
        <v>1</v>
      </c>
      <c r="E86" s="13">
        <v>2</v>
      </c>
    </row>
    <row r="87" spans="1:5" x14ac:dyDescent="0.3">
      <c r="A87" s="13" t="s">
        <v>1</v>
      </c>
      <c r="B87" s="13" t="s">
        <v>91</v>
      </c>
      <c r="C87" s="13">
        <v>1</v>
      </c>
      <c r="D87" s="13">
        <v>1</v>
      </c>
      <c r="E87" s="13">
        <v>1</v>
      </c>
    </row>
    <row r="88" spans="1:5" x14ac:dyDescent="0.3">
      <c r="A88" s="13" t="s">
        <v>1</v>
      </c>
      <c r="B88" s="13" t="s">
        <v>151</v>
      </c>
      <c r="C88" s="13">
        <v>2</v>
      </c>
      <c r="D88" s="13">
        <v>1</v>
      </c>
      <c r="E88" s="13">
        <v>2</v>
      </c>
    </row>
    <row r="89" spans="1:5" x14ac:dyDescent="0.3">
      <c r="A89" s="13" t="s">
        <v>1</v>
      </c>
      <c r="B89" s="13" t="s">
        <v>60</v>
      </c>
      <c r="C89" s="13">
        <v>1</v>
      </c>
      <c r="D89" s="13">
        <v>1</v>
      </c>
      <c r="E89" s="13">
        <v>1</v>
      </c>
    </row>
    <row r="90" spans="1:5" x14ac:dyDescent="0.3">
      <c r="A90" s="13" t="s">
        <v>1</v>
      </c>
      <c r="B90" s="13" t="s">
        <v>653</v>
      </c>
      <c r="C90" s="13">
        <v>1</v>
      </c>
      <c r="D90" s="13">
        <v>1</v>
      </c>
      <c r="E90" s="13">
        <v>1</v>
      </c>
    </row>
    <row r="91" spans="1:5" x14ac:dyDescent="0.3">
      <c r="A91" s="13" t="s">
        <v>1</v>
      </c>
      <c r="B91" s="13" t="s">
        <v>856</v>
      </c>
      <c r="C91" s="13">
        <v>1</v>
      </c>
      <c r="D91" s="13">
        <v>1</v>
      </c>
      <c r="E91" s="13">
        <v>1</v>
      </c>
    </row>
    <row r="92" spans="1:5" x14ac:dyDescent="0.3">
      <c r="A92" s="13" t="s">
        <v>1</v>
      </c>
      <c r="B92" s="13" t="s">
        <v>1645</v>
      </c>
      <c r="C92" s="13">
        <v>2</v>
      </c>
      <c r="D92" s="13">
        <v>1</v>
      </c>
      <c r="E92" s="13">
        <v>2</v>
      </c>
    </row>
    <row r="93" spans="1:5" x14ac:dyDescent="0.3">
      <c r="A93" s="13" t="s">
        <v>1</v>
      </c>
      <c r="B93" s="13" t="s">
        <v>1886</v>
      </c>
      <c r="C93" s="13">
        <v>1</v>
      </c>
      <c r="D93" s="13">
        <v>1</v>
      </c>
      <c r="E93" s="13">
        <v>2</v>
      </c>
    </row>
    <row r="94" spans="1:5" x14ac:dyDescent="0.3">
      <c r="A94" s="13" t="s">
        <v>1</v>
      </c>
      <c r="B94" s="13" t="s">
        <v>1899</v>
      </c>
      <c r="C94" s="13">
        <v>2</v>
      </c>
      <c r="D94" s="13">
        <v>1</v>
      </c>
      <c r="E94" s="13">
        <v>2</v>
      </c>
    </row>
    <row r="95" spans="1:5" x14ac:dyDescent="0.3">
      <c r="A95" s="13" t="s">
        <v>1</v>
      </c>
      <c r="B95" s="13" t="s">
        <v>1960</v>
      </c>
      <c r="C95" s="13">
        <v>2</v>
      </c>
      <c r="D95" s="13">
        <v>1</v>
      </c>
      <c r="E95" s="13">
        <v>2</v>
      </c>
    </row>
    <row r="96" spans="1:5" x14ac:dyDescent="0.3">
      <c r="A96" s="13" t="s">
        <v>1</v>
      </c>
      <c r="B96" s="13" t="s">
        <v>2093</v>
      </c>
      <c r="C96" s="13">
        <v>2</v>
      </c>
      <c r="D96" s="13">
        <v>1</v>
      </c>
      <c r="E96" s="13">
        <v>2</v>
      </c>
    </row>
    <row r="97" spans="1:5" x14ac:dyDescent="0.3">
      <c r="A97" s="13" t="s">
        <v>1</v>
      </c>
      <c r="B97" s="13" t="s">
        <v>2203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2624</v>
      </c>
      <c r="C98" s="13">
        <v>3</v>
      </c>
      <c r="D98" s="13">
        <v>1</v>
      </c>
      <c r="E98" s="13">
        <v>4</v>
      </c>
    </row>
    <row r="99" spans="1:5" x14ac:dyDescent="0.3">
      <c r="A99" s="13" t="s">
        <v>1</v>
      </c>
      <c r="B99" s="13" t="s">
        <v>506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1231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49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2470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509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1342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391</v>
      </c>
      <c r="C105" s="13">
        <v>1</v>
      </c>
      <c r="D105" s="13">
        <v>1</v>
      </c>
      <c r="E105" s="13">
        <v>2</v>
      </c>
    </row>
    <row r="106" spans="1:5" x14ac:dyDescent="0.3">
      <c r="A106" s="13" t="s">
        <v>1</v>
      </c>
      <c r="B106" s="13" t="s">
        <v>562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1232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681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161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342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310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311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105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1730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164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276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429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165</v>
      </c>
      <c r="C118" s="13">
        <v>2</v>
      </c>
      <c r="D118" s="13">
        <v>1</v>
      </c>
      <c r="E118" s="13">
        <v>3</v>
      </c>
    </row>
    <row r="119" spans="1:5" x14ac:dyDescent="0.3">
      <c r="A119" s="13" t="s">
        <v>1</v>
      </c>
      <c r="B119" s="13" t="s">
        <v>1096</v>
      </c>
      <c r="C119" s="13">
        <v>1</v>
      </c>
      <c r="D119" s="13">
        <v>1</v>
      </c>
      <c r="E119" s="13">
        <v>2</v>
      </c>
    </row>
    <row r="120" spans="1:5" x14ac:dyDescent="0.3">
      <c r="A120" s="13" t="s">
        <v>1</v>
      </c>
      <c r="B120" s="13" t="s">
        <v>278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109</v>
      </c>
      <c r="C121" s="13">
        <v>2</v>
      </c>
      <c r="D121" s="13">
        <v>1</v>
      </c>
      <c r="E121" s="13">
        <v>2</v>
      </c>
    </row>
    <row r="122" spans="1:5" x14ac:dyDescent="0.3">
      <c r="A122" s="13" t="s">
        <v>1</v>
      </c>
      <c r="B122" s="13" t="s">
        <v>110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111</v>
      </c>
      <c r="C123" s="13">
        <v>2</v>
      </c>
      <c r="D123" s="13">
        <v>1</v>
      </c>
      <c r="E123" s="13">
        <v>2</v>
      </c>
    </row>
    <row r="124" spans="1:5" x14ac:dyDescent="0.3">
      <c r="A124" s="13" t="s">
        <v>1</v>
      </c>
      <c r="B124" s="13" t="s">
        <v>279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824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1272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1528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1459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515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568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1376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1005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2659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283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523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580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118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631</v>
      </c>
      <c r="C138" s="13">
        <v>1</v>
      </c>
      <c r="D138" s="13">
        <v>1</v>
      </c>
      <c r="E138" s="13">
        <v>2</v>
      </c>
    </row>
    <row r="139" spans="1:5" x14ac:dyDescent="0.3">
      <c r="A139" s="13" t="s">
        <v>1</v>
      </c>
      <c r="B139" s="13" t="s">
        <v>121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122</v>
      </c>
      <c r="C140" s="13">
        <v>2</v>
      </c>
      <c r="D140" s="13">
        <v>1</v>
      </c>
      <c r="E140" s="13">
        <v>2</v>
      </c>
    </row>
    <row r="141" spans="1:5" x14ac:dyDescent="0.3">
      <c r="A141" s="13" t="s">
        <v>1</v>
      </c>
      <c r="B141" s="13" t="s">
        <v>174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175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335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705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1558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364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124</v>
      </c>
      <c r="C147" s="13">
        <v>1</v>
      </c>
      <c r="D147" s="13">
        <v>1</v>
      </c>
      <c r="E147" s="13">
        <v>2</v>
      </c>
    </row>
    <row r="148" spans="1:5" x14ac:dyDescent="0.3">
      <c r="A148" s="13" t="s">
        <v>1</v>
      </c>
      <c r="B148" s="13" t="s">
        <v>1796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415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416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185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130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1144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253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340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541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132</v>
      </c>
      <c r="C157" s="13">
        <v>2</v>
      </c>
      <c r="D157" s="13">
        <v>1</v>
      </c>
      <c r="E157" s="13">
        <v>2</v>
      </c>
    </row>
    <row r="158" spans="1:5" x14ac:dyDescent="0.3">
      <c r="A158" s="13" t="s">
        <v>1</v>
      </c>
      <c r="B158" s="13" t="s">
        <v>797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1277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2660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1440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55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2086</v>
      </c>
      <c r="C163" s="13">
        <v>1</v>
      </c>
      <c r="D163" s="13">
        <v>1</v>
      </c>
      <c r="E163" s="13"/>
    </row>
    <row r="164" spans="1:5" x14ac:dyDescent="0.3">
      <c r="A164" s="13" t="s">
        <v>1</v>
      </c>
      <c r="B164" s="13" t="s">
        <v>869</v>
      </c>
      <c r="C164" s="13">
        <v>1</v>
      </c>
      <c r="D164" s="13">
        <v>1</v>
      </c>
      <c r="E164" s="13"/>
    </row>
    <row r="165" spans="1:5" x14ac:dyDescent="0.3">
      <c r="A165" s="13" t="s">
        <v>1</v>
      </c>
      <c r="B165" s="13" t="s">
        <v>2661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548</v>
      </c>
      <c r="C166" s="13">
        <v>1</v>
      </c>
      <c r="D166" s="13">
        <v>1</v>
      </c>
      <c r="E166" s="13"/>
    </row>
    <row r="167" spans="1:5" x14ac:dyDescent="0.3">
      <c r="A167" s="13" t="s">
        <v>1</v>
      </c>
      <c r="B167" s="13" t="s">
        <v>1394</v>
      </c>
      <c r="C167" s="13">
        <v>1</v>
      </c>
      <c r="D167" s="13">
        <v>1</v>
      </c>
      <c r="E167" s="13">
        <v>2</v>
      </c>
    </row>
    <row r="168" spans="1:5" x14ac:dyDescent="0.3">
      <c r="A168" s="13" t="s">
        <v>1</v>
      </c>
      <c r="B168" s="13" t="s">
        <v>1538</v>
      </c>
      <c r="C168" s="13">
        <v>1</v>
      </c>
      <c r="D168" s="13">
        <v>1</v>
      </c>
      <c r="E168" s="13"/>
    </row>
    <row r="169" spans="1:5" x14ac:dyDescent="0.3">
      <c r="A169" s="13" t="s">
        <v>0</v>
      </c>
      <c r="B169" s="13" t="s">
        <v>1122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0</v>
      </c>
      <c r="B170" s="13" t="s">
        <v>36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0</v>
      </c>
      <c r="B171" s="13" t="s">
        <v>1744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0</v>
      </c>
      <c r="B172" s="13" t="s">
        <v>262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0</v>
      </c>
      <c r="B173" s="13" t="s">
        <v>372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0</v>
      </c>
      <c r="B174" s="13" t="s">
        <v>2662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0</v>
      </c>
      <c r="B175" s="13" t="s">
        <v>71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0</v>
      </c>
      <c r="B176" s="13" t="s">
        <v>33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0</v>
      </c>
      <c r="B177" s="13" t="s">
        <v>493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0</v>
      </c>
      <c r="B178" s="13" t="s">
        <v>928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0</v>
      </c>
      <c r="B179" s="13" t="s">
        <v>263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0</v>
      </c>
      <c r="B180" s="13" t="s">
        <v>474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0</v>
      </c>
      <c r="B181" s="13" t="s">
        <v>498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0</v>
      </c>
      <c r="B182" s="13" t="s">
        <v>77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0</v>
      </c>
      <c r="B183" s="13" t="s">
        <v>1209</v>
      </c>
      <c r="C183" s="13">
        <v>1</v>
      </c>
      <c r="D183" s="13">
        <v>1</v>
      </c>
      <c r="E183" s="13">
        <v>3</v>
      </c>
    </row>
    <row r="184" spans="1:5" x14ac:dyDescent="0.3">
      <c r="A184" s="13" t="s">
        <v>0</v>
      </c>
      <c r="B184" s="13" t="s">
        <v>145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0</v>
      </c>
      <c r="B185" s="13" t="s">
        <v>148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0</v>
      </c>
      <c r="B186" s="13" t="s">
        <v>87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0</v>
      </c>
      <c r="B187" s="13" t="s">
        <v>91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150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0</v>
      </c>
      <c r="B189" s="13" t="s">
        <v>41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0</v>
      </c>
      <c r="B190" s="13" t="s">
        <v>152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0</v>
      </c>
      <c r="B191" s="13" t="s">
        <v>471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0</v>
      </c>
      <c r="B192" s="13" t="s">
        <v>653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0</v>
      </c>
      <c r="B193" s="13" t="s">
        <v>856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0</v>
      </c>
      <c r="B194" s="13" t="s">
        <v>1471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0</v>
      </c>
      <c r="B195" s="13" t="s">
        <v>1663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0</v>
      </c>
      <c r="B196" s="13" t="s">
        <v>1881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2179</v>
      </c>
      <c r="C197" s="13">
        <v>1</v>
      </c>
      <c r="D197" s="13">
        <v>1</v>
      </c>
      <c r="E197" s="13">
        <v>2</v>
      </c>
    </row>
    <row r="198" spans="1:5" x14ac:dyDescent="0.3">
      <c r="A198" s="13" t="s">
        <v>0</v>
      </c>
      <c r="B198" s="13" t="s">
        <v>2408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2277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2624</v>
      </c>
      <c r="C200" s="13">
        <v>1</v>
      </c>
      <c r="D200" s="13">
        <v>1</v>
      </c>
      <c r="E200" s="13">
        <v>2</v>
      </c>
    </row>
    <row r="201" spans="1:5" x14ac:dyDescent="0.3">
      <c r="A201" s="13" t="s">
        <v>0</v>
      </c>
      <c r="B201" s="13" t="s">
        <v>427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1889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96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476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889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509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1342</v>
      </c>
      <c r="C207" s="13">
        <v>1</v>
      </c>
      <c r="D207" s="13">
        <v>1</v>
      </c>
      <c r="E207" s="13">
        <v>3</v>
      </c>
    </row>
    <row r="208" spans="1:5" x14ac:dyDescent="0.3">
      <c r="A208" s="13" t="s">
        <v>0</v>
      </c>
      <c r="B208" s="13" t="s">
        <v>1816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98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730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156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935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159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857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564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681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0</v>
      </c>
      <c r="B217" s="13" t="s">
        <v>102</v>
      </c>
      <c r="C217" s="13">
        <v>2</v>
      </c>
      <c r="D217" s="13">
        <v>1</v>
      </c>
      <c r="E217" s="13">
        <v>2</v>
      </c>
    </row>
    <row r="218" spans="1:5" x14ac:dyDescent="0.3">
      <c r="A218" s="13" t="s">
        <v>0</v>
      </c>
      <c r="B218" s="13" t="s">
        <v>161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105</v>
      </c>
      <c r="C219" s="13">
        <v>1</v>
      </c>
      <c r="D219" s="13">
        <v>1</v>
      </c>
      <c r="E219" s="13">
        <v>2</v>
      </c>
    </row>
    <row r="220" spans="1:5" x14ac:dyDescent="0.3">
      <c r="A220" s="13" t="s">
        <v>0</v>
      </c>
      <c r="B220" s="13" t="s">
        <v>162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43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1353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394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167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0</v>
      </c>
      <c r="B225" s="13" t="s">
        <v>1718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0</v>
      </c>
      <c r="B226" s="13" t="s">
        <v>944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0</v>
      </c>
      <c r="B227" s="13" t="s">
        <v>45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0</v>
      </c>
      <c r="B228" s="13" t="s">
        <v>580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0</v>
      </c>
      <c r="B229" s="13" t="s">
        <v>625</v>
      </c>
      <c r="C229" s="13">
        <v>1</v>
      </c>
      <c r="D229" s="13">
        <v>1</v>
      </c>
      <c r="E229" s="13">
        <v>2</v>
      </c>
    </row>
    <row r="230" spans="1:5" x14ac:dyDescent="0.3">
      <c r="A230" s="13" t="s">
        <v>0</v>
      </c>
      <c r="B230" s="13" t="s">
        <v>648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0</v>
      </c>
      <c r="B231" s="13" t="s">
        <v>196</v>
      </c>
      <c r="C231" s="13">
        <v>2</v>
      </c>
      <c r="D231" s="13">
        <v>1</v>
      </c>
      <c r="E231" s="13">
        <v>3</v>
      </c>
    </row>
    <row r="232" spans="1:5" x14ac:dyDescent="0.3">
      <c r="A232" s="13" t="s">
        <v>0</v>
      </c>
      <c r="B232" s="13" t="s">
        <v>1365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0</v>
      </c>
      <c r="B233" s="13" t="s">
        <v>46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0</v>
      </c>
      <c r="B234" s="13" t="s">
        <v>705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0</v>
      </c>
      <c r="B235" s="13" t="s">
        <v>409</v>
      </c>
      <c r="C235" s="13">
        <v>1</v>
      </c>
      <c r="D235" s="13">
        <v>1</v>
      </c>
      <c r="E235" s="13">
        <v>2</v>
      </c>
    </row>
    <row r="236" spans="1:5" x14ac:dyDescent="0.3">
      <c r="A236" s="13" t="s">
        <v>0</v>
      </c>
      <c r="B236" s="13" t="s">
        <v>1879</v>
      </c>
      <c r="C236" s="13">
        <v>1</v>
      </c>
      <c r="D236" s="13">
        <v>1</v>
      </c>
      <c r="E236" s="13">
        <v>2</v>
      </c>
    </row>
    <row r="237" spans="1:5" x14ac:dyDescent="0.3">
      <c r="A237" s="13" t="s">
        <v>0</v>
      </c>
      <c r="B237" s="13" t="s">
        <v>179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0</v>
      </c>
      <c r="B238" s="13" t="s">
        <v>2663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0</v>
      </c>
      <c r="B239" s="13" t="s">
        <v>253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0</v>
      </c>
      <c r="B240" s="13" t="s">
        <v>2060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0</v>
      </c>
      <c r="B241" s="13" t="s">
        <v>188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0</v>
      </c>
      <c r="B242" s="13" t="s">
        <v>295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0</v>
      </c>
      <c r="B243" s="13" t="s">
        <v>2021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0</v>
      </c>
      <c r="B244" s="13" t="s">
        <v>2664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0</v>
      </c>
      <c r="B245" s="13" t="s">
        <v>67</v>
      </c>
      <c r="C245" s="13">
        <v>1</v>
      </c>
      <c r="D245" s="13">
        <v>1</v>
      </c>
      <c r="E245" s="13">
        <v>2</v>
      </c>
    </row>
    <row r="246" spans="1:5" x14ac:dyDescent="0.3">
      <c r="A246" s="13" t="s">
        <v>0</v>
      </c>
      <c r="B246" s="13" t="s">
        <v>192</v>
      </c>
      <c r="C246" s="13">
        <v>2</v>
      </c>
      <c r="D246" s="13">
        <v>1</v>
      </c>
      <c r="E246" s="13">
        <v>2</v>
      </c>
    </row>
    <row r="247" spans="1:5" x14ac:dyDescent="0.3">
      <c r="A247" s="13" t="s">
        <v>0</v>
      </c>
      <c r="B247" s="13" t="s">
        <v>2665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0</v>
      </c>
      <c r="B248" s="13" t="s">
        <v>259</v>
      </c>
      <c r="C248" s="13">
        <v>1</v>
      </c>
      <c r="D248" s="13">
        <v>1</v>
      </c>
      <c r="E248" s="13">
        <v>2</v>
      </c>
    </row>
    <row r="249" spans="1:5" x14ac:dyDescent="0.3">
      <c r="A249" s="13" t="s">
        <v>0</v>
      </c>
      <c r="B249" s="13" t="s">
        <v>2666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0</v>
      </c>
      <c r="B250" s="13" t="s">
        <v>1368</v>
      </c>
      <c r="C250" s="13">
        <v>1</v>
      </c>
      <c r="D250" s="13">
        <v>2</v>
      </c>
      <c r="E250" s="13"/>
    </row>
    <row r="251" spans="1:5" x14ac:dyDescent="0.3">
      <c r="A251" s="13" t="s">
        <v>0</v>
      </c>
      <c r="B251" s="13" t="s">
        <v>1924</v>
      </c>
      <c r="C251" s="13">
        <v>1</v>
      </c>
      <c r="D251" s="13">
        <v>1</v>
      </c>
      <c r="E251" s="13"/>
    </row>
    <row r="252" spans="1:5" x14ac:dyDescent="0.3">
      <c r="A252" s="13" t="s">
        <v>0</v>
      </c>
      <c r="B252" s="13" t="s">
        <v>2092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0</v>
      </c>
      <c r="B253" s="13" t="s">
        <v>1728</v>
      </c>
      <c r="C253" s="13">
        <v>1</v>
      </c>
      <c r="D253" s="13">
        <v>1</v>
      </c>
      <c r="E253" s="13"/>
    </row>
    <row r="254" spans="1:5" x14ac:dyDescent="0.3">
      <c r="A254" s="13" t="s">
        <v>0</v>
      </c>
      <c r="B254" s="13" t="s">
        <v>2667</v>
      </c>
      <c r="C254" s="13">
        <v>1</v>
      </c>
      <c r="D254" s="13">
        <v>1</v>
      </c>
      <c r="E254" s="13">
        <v>2</v>
      </c>
    </row>
    <row r="255" spans="1:5" x14ac:dyDescent="0.3">
      <c r="A255" s="13" t="s">
        <v>0</v>
      </c>
      <c r="B255" s="13" t="s">
        <v>1435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2</v>
      </c>
      <c r="B256" s="13" t="s">
        <v>30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2</v>
      </c>
      <c r="B257" s="13" t="s">
        <v>2668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2</v>
      </c>
      <c r="B258" s="13" t="s">
        <v>151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2</v>
      </c>
      <c r="B259" s="13" t="s">
        <v>1948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2</v>
      </c>
      <c r="B260" s="13" t="s">
        <v>105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2</v>
      </c>
      <c r="B261" s="13" t="s">
        <v>29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2</v>
      </c>
      <c r="B262" s="13" t="s">
        <v>111</v>
      </c>
      <c r="C262" s="13">
        <v>1</v>
      </c>
      <c r="D262" s="13">
        <v>1</v>
      </c>
      <c r="E262" s="13">
        <v>3</v>
      </c>
    </row>
    <row r="263" spans="1:5" x14ac:dyDescent="0.3">
      <c r="A263" s="13" t="s">
        <v>2</v>
      </c>
      <c r="B263" s="13" t="s">
        <v>1376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752</v>
      </c>
      <c r="C264" s="13">
        <v>1</v>
      </c>
      <c r="D264" s="13">
        <v>0</v>
      </c>
      <c r="E264" s="13">
        <v>1</v>
      </c>
    </row>
    <row r="265" spans="1:5" x14ac:dyDescent="0.3">
      <c r="A265" s="13" t="s">
        <v>1</v>
      </c>
      <c r="B265" s="13" t="s">
        <v>445</v>
      </c>
      <c r="C265" s="13">
        <v>1</v>
      </c>
      <c r="D265" s="13">
        <v>0</v>
      </c>
      <c r="E265" s="13">
        <v>1</v>
      </c>
    </row>
    <row r="266" spans="1:5" x14ac:dyDescent="0.3">
      <c r="A266" s="13" t="s">
        <v>1</v>
      </c>
      <c r="B266" s="13" t="s">
        <v>381</v>
      </c>
      <c r="C266" s="13">
        <v>1</v>
      </c>
      <c r="D266" s="13">
        <v>0</v>
      </c>
      <c r="E266" s="13">
        <v>2</v>
      </c>
    </row>
    <row r="267" spans="1:5" x14ac:dyDescent="0.3">
      <c r="A267" s="13" t="s">
        <v>1</v>
      </c>
      <c r="B267" s="13" t="s">
        <v>813</v>
      </c>
      <c r="C267" s="13">
        <v>1</v>
      </c>
      <c r="D267" s="13">
        <v>0</v>
      </c>
      <c r="E267" s="13">
        <v>1</v>
      </c>
    </row>
    <row r="268" spans="1:5" x14ac:dyDescent="0.3">
      <c r="A268" s="13" t="s">
        <v>1</v>
      </c>
      <c r="B268" s="13" t="s">
        <v>269</v>
      </c>
      <c r="C268" s="13">
        <v>1</v>
      </c>
      <c r="D268" s="13">
        <v>0</v>
      </c>
      <c r="E268" s="13">
        <v>3</v>
      </c>
    </row>
    <row r="269" spans="1:5" x14ac:dyDescent="0.3">
      <c r="A269" s="13" t="s">
        <v>1</v>
      </c>
      <c r="B269" s="13" t="s">
        <v>211</v>
      </c>
      <c r="C269" s="13">
        <v>1</v>
      </c>
      <c r="D269" s="13">
        <v>0</v>
      </c>
      <c r="E269" s="13">
        <v>1</v>
      </c>
    </row>
    <row r="270" spans="1:5" x14ac:dyDescent="0.3">
      <c r="A270" s="13" t="s">
        <v>1</v>
      </c>
      <c r="B270" s="13" t="s">
        <v>2192</v>
      </c>
      <c r="C270" s="13">
        <v>1</v>
      </c>
      <c r="D270" s="13">
        <v>0</v>
      </c>
      <c r="E270" s="13">
        <v>1</v>
      </c>
    </row>
    <row r="271" spans="1:5" x14ac:dyDescent="0.3">
      <c r="A271" s="13" t="s">
        <v>1</v>
      </c>
      <c r="B271" s="13" t="s">
        <v>1064</v>
      </c>
      <c r="C271" s="13">
        <v>1</v>
      </c>
      <c r="D271" s="13">
        <v>0</v>
      </c>
      <c r="E271" s="13">
        <v>1</v>
      </c>
    </row>
    <row r="272" spans="1:5" x14ac:dyDescent="0.3">
      <c r="A272" s="13" t="s">
        <v>1</v>
      </c>
      <c r="B272" s="13" t="s">
        <v>349</v>
      </c>
      <c r="C272" s="13">
        <v>1</v>
      </c>
      <c r="D272" s="13">
        <v>0</v>
      </c>
      <c r="E272" s="13">
        <v>1</v>
      </c>
    </row>
    <row r="273" spans="1:5" x14ac:dyDescent="0.3">
      <c r="A273" s="13" t="s">
        <v>1</v>
      </c>
      <c r="B273" s="13" t="s">
        <v>271</v>
      </c>
      <c r="C273" s="13">
        <v>1</v>
      </c>
      <c r="D273" s="13">
        <v>0</v>
      </c>
      <c r="E273" s="13">
        <v>1</v>
      </c>
    </row>
    <row r="274" spans="1:5" x14ac:dyDescent="0.3">
      <c r="A274" s="13" t="s">
        <v>1</v>
      </c>
      <c r="B274" s="13" t="s">
        <v>147</v>
      </c>
      <c r="C274" s="13">
        <v>1</v>
      </c>
      <c r="D274" s="13">
        <v>0</v>
      </c>
      <c r="E274" s="13">
        <v>0</v>
      </c>
    </row>
    <row r="275" spans="1:5" x14ac:dyDescent="0.3">
      <c r="A275" s="13" t="s">
        <v>1</v>
      </c>
      <c r="B275" s="13" t="s">
        <v>502</v>
      </c>
      <c r="C275" s="13">
        <v>1</v>
      </c>
      <c r="D275" s="13">
        <v>0</v>
      </c>
      <c r="E275" s="13">
        <v>1</v>
      </c>
    </row>
    <row r="276" spans="1:5" x14ac:dyDescent="0.3">
      <c r="A276" s="13" t="s">
        <v>1</v>
      </c>
      <c r="B276" s="13" t="s">
        <v>991</v>
      </c>
      <c r="C276" s="13">
        <v>1</v>
      </c>
      <c r="D276" s="13">
        <v>0</v>
      </c>
      <c r="E276" s="13">
        <v>1</v>
      </c>
    </row>
    <row r="277" spans="1:5" x14ac:dyDescent="0.3">
      <c r="A277" s="13" t="s">
        <v>1</v>
      </c>
      <c r="B277" s="13" t="s">
        <v>150</v>
      </c>
      <c r="C277" s="13">
        <v>1</v>
      </c>
      <c r="D277" s="13">
        <v>0</v>
      </c>
      <c r="E277" s="13">
        <v>1</v>
      </c>
    </row>
    <row r="278" spans="1:5" x14ac:dyDescent="0.3">
      <c r="A278" s="13" t="s">
        <v>1</v>
      </c>
      <c r="B278" s="13" t="s">
        <v>352</v>
      </c>
      <c r="C278" s="13">
        <v>1</v>
      </c>
      <c r="D278" s="13">
        <v>0</v>
      </c>
      <c r="E278" s="13">
        <v>1</v>
      </c>
    </row>
    <row r="279" spans="1:5" x14ac:dyDescent="0.3">
      <c r="A279" s="13" t="s">
        <v>1</v>
      </c>
      <c r="B279" s="13" t="s">
        <v>42</v>
      </c>
      <c r="C279" s="13">
        <v>1</v>
      </c>
      <c r="D279" s="13">
        <v>0</v>
      </c>
      <c r="E279" s="13">
        <v>1</v>
      </c>
    </row>
    <row r="280" spans="1:5" x14ac:dyDescent="0.3">
      <c r="A280" s="13" t="s">
        <v>1</v>
      </c>
      <c r="B280" s="13" t="s">
        <v>220</v>
      </c>
      <c r="C280" s="13">
        <v>2</v>
      </c>
      <c r="D280" s="13">
        <v>0</v>
      </c>
      <c r="E280" s="13">
        <v>2</v>
      </c>
    </row>
    <row r="281" spans="1:5" x14ac:dyDescent="0.3">
      <c r="A281" s="13" t="s">
        <v>1</v>
      </c>
      <c r="B281" s="13" t="s">
        <v>1370</v>
      </c>
      <c r="C281" s="13">
        <v>1</v>
      </c>
      <c r="D281" s="13">
        <v>0</v>
      </c>
      <c r="E281" s="13">
        <v>1</v>
      </c>
    </row>
    <row r="282" spans="1:5" x14ac:dyDescent="0.3">
      <c r="A282" s="13" t="s">
        <v>1</v>
      </c>
      <c r="B282" s="13" t="s">
        <v>1492</v>
      </c>
      <c r="C282" s="13">
        <v>1</v>
      </c>
      <c r="D282" s="13">
        <v>0</v>
      </c>
      <c r="E282" s="13">
        <v>1</v>
      </c>
    </row>
    <row r="283" spans="1:5" x14ac:dyDescent="0.3">
      <c r="A283" s="13" t="s">
        <v>1</v>
      </c>
      <c r="B283" s="13" t="s">
        <v>1521</v>
      </c>
      <c r="C283" s="13">
        <v>2</v>
      </c>
      <c r="D283" s="13">
        <v>0</v>
      </c>
      <c r="E283" s="13">
        <v>2</v>
      </c>
    </row>
    <row r="284" spans="1:5" x14ac:dyDescent="0.3">
      <c r="A284" s="13" t="s">
        <v>1</v>
      </c>
      <c r="B284" s="13" t="s">
        <v>1570</v>
      </c>
      <c r="C284" s="13">
        <v>1</v>
      </c>
      <c r="D284" s="13">
        <v>0</v>
      </c>
      <c r="E284" s="13">
        <v>1</v>
      </c>
    </row>
    <row r="285" spans="1:5" x14ac:dyDescent="0.3">
      <c r="A285" s="13" t="s">
        <v>1</v>
      </c>
      <c r="B285" s="13" t="s">
        <v>1674</v>
      </c>
      <c r="C285" s="13">
        <v>2</v>
      </c>
      <c r="D285" s="13">
        <v>0</v>
      </c>
      <c r="E285" s="13">
        <v>2</v>
      </c>
    </row>
    <row r="286" spans="1:5" x14ac:dyDescent="0.3">
      <c r="A286" s="13" t="s">
        <v>1</v>
      </c>
      <c r="B286" s="13" t="s">
        <v>1849</v>
      </c>
      <c r="C286" s="13">
        <v>2</v>
      </c>
      <c r="D286" s="13">
        <v>0</v>
      </c>
      <c r="E286" s="13">
        <v>2</v>
      </c>
    </row>
    <row r="287" spans="1:5" x14ac:dyDescent="0.3">
      <c r="A287" s="13" t="s">
        <v>1</v>
      </c>
      <c r="B287" s="13" t="s">
        <v>1909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1</v>
      </c>
      <c r="B288" s="13" t="s">
        <v>1900</v>
      </c>
      <c r="C288" s="13">
        <v>1</v>
      </c>
      <c r="D288" s="13">
        <v>0</v>
      </c>
      <c r="E288" s="13">
        <v>1</v>
      </c>
    </row>
    <row r="289" spans="1:5" x14ac:dyDescent="0.3">
      <c r="A289" s="13" t="s">
        <v>1</v>
      </c>
      <c r="B289" s="13" t="s">
        <v>1883</v>
      </c>
      <c r="C289" s="13">
        <v>1</v>
      </c>
      <c r="D289" s="13">
        <v>0</v>
      </c>
      <c r="E289" s="13">
        <v>2</v>
      </c>
    </row>
    <row r="290" spans="1:5" x14ac:dyDescent="0.3">
      <c r="A290" s="13" t="s">
        <v>1</v>
      </c>
      <c r="B290" s="13" t="s">
        <v>1882</v>
      </c>
      <c r="C290" s="13">
        <v>2</v>
      </c>
      <c r="D290" s="13">
        <v>0</v>
      </c>
      <c r="E290" s="13">
        <v>2</v>
      </c>
    </row>
    <row r="291" spans="1:5" x14ac:dyDescent="0.3">
      <c r="A291" s="13" t="s">
        <v>1</v>
      </c>
      <c r="B291" s="13" t="s">
        <v>1989</v>
      </c>
      <c r="C291" s="13">
        <v>1</v>
      </c>
      <c r="D291" s="13">
        <v>0</v>
      </c>
      <c r="E291" s="13">
        <v>1</v>
      </c>
    </row>
    <row r="292" spans="1:5" x14ac:dyDescent="0.3">
      <c r="A292" s="13" t="s">
        <v>1</v>
      </c>
      <c r="B292" s="13" t="s">
        <v>2148</v>
      </c>
      <c r="C292" s="13">
        <v>2</v>
      </c>
      <c r="D292" s="13">
        <v>0</v>
      </c>
      <c r="E292" s="13">
        <v>2</v>
      </c>
    </row>
    <row r="293" spans="1:5" x14ac:dyDescent="0.3">
      <c r="A293" s="13" t="s">
        <v>1</v>
      </c>
      <c r="B293" s="13" t="s">
        <v>2425</v>
      </c>
      <c r="C293" s="13">
        <v>2</v>
      </c>
      <c r="D293" s="13">
        <v>0</v>
      </c>
      <c r="E293" s="13">
        <v>2</v>
      </c>
    </row>
    <row r="294" spans="1:5" x14ac:dyDescent="0.3">
      <c r="A294" s="13" t="s">
        <v>1</v>
      </c>
      <c r="B294" s="13" t="s">
        <v>95</v>
      </c>
      <c r="C294" s="13">
        <v>1</v>
      </c>
      <c r="D294" s="13">
        <v>0</v>
      </c>
      <c r="E294" s="13">
        <v>0</v>
      </c>
    </row>
    <row r="295" spans="1:5" x14ac:dyDescent="0.3">
      <c r="A295" s="13" t="s">
        <v>1</v>
      </c>
      <c r="B295" s="13" t="s">
        <v>258</v>
      </c>
      <c r="C295" s="13">
        <v>1</v>
      </c>
      <c r="D295" s="13">
        <v>0</v>
      </c>
      <c r="E295" s="13">
        <v>1</v>
      </c>
    </row>
    <row r="296" spans="1:5" x14ac:dyDescent="0.3">
      <c r="A296" s="13" t="s">
        <v>1</v>
      </c>
      <c r="B296" s="13" t="s">
        <v>101</v>
      </c>
      <c r="C296" s="13">
        <v>1</v>
      </c>
      <c r="D296" s="13">
        <v>0</v>
      </c>
      <c r="E296" s="13">
        <v>0</v>
      </c>
    </row>
    <row r="297" spans="1:5" x14ac:dyDescent="0.3">
      <c r="A297" s="13" t="s">
        <v>1</v>
      </c>
      <c r="B297" s="13" t="s">
        <v>2669</v>
      </c>
      <c r="C297" s="13">
        <v>1</v>
      </c>
      <c r="D297" s="13">
        <v>0</v>
      </c>
      <c r="E297" s="13">
        <v>2</v>
      </c>
    </row>
    <row r="298" spans="1:5" x14ac:dyDescent="0.3">
      <c r="A298" s="13" t="s">
        <v>1</v>
      </c>
      <c r="B298" s="13" t="s">
        <v>195</v>
      </c>
      <c r="C298" s="13">
        <v>1</v>
      </c>
      <c r="D298" s="13">
        <v>0</v>
      </c>
      <c r="E298" s="13">
        <v>0</v>
      </c>
    </row>
    <row r="299" spans="1:5" x14ac:dyDescent="0.3">
      <c r="A299" s="13" t="s">
        <v>1</v>
      </c>
      <c r="B299" s="13" t="s">
        <v>916</v>
      </c>
      <c r="C299" s="13">
        <v>1</v>
      </c>
      <c r="D299" s="13">
        <v>0</v>
      </c>
      <c r="E299" s="13">
        <v>1</v>
      </c>
    </row>
    <row r="300" spans="1:5" x14ac:dyDescent="0.3">
      <c r="A300" s="13" t="s">
        <v>1</v>
      </c>
      <c r="B300" s="13" t="s">
        <v>44</v>
      </c>
      <c r="C300" s="13">
        <v>1</v>
      </c>
      <c r="D300" s="13">
        <v>0</v>
      </c>
      <c r="E300" s="13">
        <v>1</v>
      </c>
    </row>
    <row r="301" spans="1:5" x14ac:dyDescent="0.3">
      <c r="A301" s="13" t="s">
        <v>1</v>
      </c>
      <c r="B301" s="13" t="s">
        <v>1413</v>
      </c>
      <c r="C301" s="13">
        <v>1</v>
      </c>
      <c r="D301" s="13">
        <v>0</v>
      </c>
      <c r="E301" s="13">
        <v>1</v>
      </c>
    </row>
    <row r="302" spans="1:5" x14ac:dyDescent="0.3">
      <c r="A302" s="13" t="s">
        <v>1</v>
      </c>
      <c r="B302" s="13" t="s">
        <v>2447</v>
      </c>
      <c r="C302" s="13">
        <v>1</v>
      </c>
      <c r="D302" s="13">
        <v>0</v>
      </c>
      <c r="E302" s="13">
        <v>1</v>
      </c>
    </row>
    <row r="303" spans="1:5" x14ac:dyDescent="0.3">
      <c r="A303" s="13" t="s">
        <v>1</v>
      </c>
      <c r="B303" s="13" t="s">
        <v>1236</v>
      </c>
      <c r="C303" s="13">
        <v>1</v>
      </c>
      <c r="D303" s="13">
        <v>0</v>
      </c>
      <c r="E303" s="13">
        <v>1</v>
      </c>
    </row>
    <row r="304" spans="1:5" x14ac:dyDescent="0.3">
      <c r="A304" s="13" t="s">
        <v>1</v>
      </c>
      <c r="B304" s="13" t="s">
        <v>286</v>
      </c>
      <c r="C304" s="13">
        <v>1</v>
      </c>
      <c r="D304" s="13">
        <v>0</v>
      </c>
      <c r="E304" s="13">
        <v>1</v>
      </c>
    </row>
    <row r="305" spans="1:5" x14ac:dyDescent="0.3">
      <c r="A305" s="13" t="s">
        <v>1</v>
      </c>
      <c r="B305" s="13" t="s">
        <v>402</v>
      </c>
      <c r="C305" s="13">
        <v>1</v>
      </c>
      <c r="D305" s="13">
        <v>0</v>
      </c>
      <c r="E305" s="13">
        <v>0</v>
      </c>
    </row>
    <row r="306" spans="1:5" x14ac:dyDescent="0.3">
      <c r="A306" s="13" t="s">
        <v>1</v>
      </c>
      <c r="B306" s="13" t="s">
        <v>741</v>
      </c>
      <c r="C306" s="13">
        <v>1</v>
      </c>
      <c r="D306" s="13">
        <v>0</v>
      </c>
      <c r="E306" s="13">
        <v>1</v>
      </c>
    </row>
    <row r="307" spans="1:5" x14ac:dyDescent="0.3">
      <c r="A307" s="13" t="s">
        <v>1</v>
      </c>
      <c r="B307" s="13" t="s">
        <v>376</v>
      </c>
      <c r="C307" s="13">
        <v>1</v>
      </c>
      <c r="D307" s="13">
        <v>0</v>
      </c>
      <c r="E307" s="13">
        <v>1</v>
      </c>
    </row>
    <row r="308" spans="1:5" x14ac:dyDescent="0.3">
      <c r="A308" s="13" t="s">
        <v>1</v>
      </c>
      <c r="B308" s="13" t="s">
        <v>1216</v>
      </c>
      <c r="C308" s="13">
        <v>1</v>
      </c>
      <c r="D308" s="13">
        <v>0</v>
      </c>
      <c r="E308" s="13">
        <v>1</v>
      </c>
    </row>
    <row r="309" spans="1:5" x14ac:dyDescent="0.3">
      <c r="A309" s="13" t="s">
        <v>1</v>
      </c>
      <c r="B309" s="13" t="s">
        <v>435</v>
      </c>
      <c r="C309" s="13">
        <v>1</v>
      </c>
      <c r="D309" s="13">
        <v>0</v>
      </c>
      <c r="E309" s="13">
        <v>1</v>
      </c>
    </row>
    <row r="310" spans="1:5" x14ac:dyDescent="0.3">
      <c r="A310" s="13" t="s">
        <v>1</v>
      </c>
      <c r="B310" s="13" t="s">
        <v>2670</v>
      </c>
      <c r="C310" s="13">
        <v>1</v>
      </c>
      <c r="D310" s="13">
        <v>0</v>
      </c>
      <c r="E310" s="13">
        <v>1</v>
      </c>
    </row>
    <row r="311" spans="1:5" x14ac:dyDescent="0.3">
      <c r="A311" s="13" t="s">
        <v>1</v>
      </c>
      <c r="B311" s="13" t="s">
        <v>867</v>
      </c>
      <c r="C311" s="13">
        <v>1</v>
      </c>
      <c r="D311" s="13">
        <v>0</v>
      </c>
      <c r="E311" s="13">
        <v>2</v>
      </c>
    </row>
    <row r="312" spans="1:5" x14ac:dyDescent="0.3">
      <c r="A312" s="13" t="s">
        <v>1</v>
      </c>
      <c r="B312" s="13" t="s">
        <v>785</v>
      </c>
      <c r="C312" s="13">
        <v>1</v>
      </c>
      <c r="D312" s="13">
        <v>0</v>
      </c>
      <c r="E312" s="13">
        <v>1</v>
      </c>
    </row>
    <row r="313" spans="1:5" x14ac:dyDescent="0.3">
      <c r="A313" s="13" t="s">
        <v>1</v>
      </c>
      <c r="B313" s="13" t="s">
        <v>231</v>
      </c>
      <c r="C313" s="13">
        <v>1</v>
      </c>
      <c r="D313" s="13">
        <v>0</v>
      </c>
      <c r="E313" s="13">
        <v>1</v>
      </c>
    </row>
    <row r="314" spans="1:5" x14ac:dyDescent="0.3">
      <c r="A314" s="13" t="s">
        <v>1</v>
      </c>
      <c r="B314" s="13" t="s">
        <v>191</v>
      </c>
      <c r="C314" s="13">
        <v>1</v>
      </c>
      <c r="D314" s="13">
        <v>0</v>
      </c>
      <c r="E314" s="13">
        <v>1</v>
      </c>
    </row>
    <row r="315" spans="1:5" x14ac:dyDescent="0.3">
      <c r="A315" s="13" t="s">
        <v>1</v>
      </c>
      <c r="B315" s="13" t="s">
        <v>232</v>
      </c>
      <c r="C315" s="13">
        <v>2</v>
      </c>
      <c r="D315" s="13">
        <v>0</v>
      </c>
      <c r="E315" s="13">
        <v>10</v>
      </c>
    </row>
    <row r="316" spans="1:5" x14ac:dyDescent="0.3">
      <c r="A316" s="13" t="s">
        <v>1</v>
      </c>
      <c r="B316" s="13" t="s">
        <v>192</v>
      </c>
      <c r="C316" s="13">
        <v>3</v>
      </c>
      <c r="D316" s="13">
        <v>0</v>
      </c>
      <c r="E316" s="13">
        <v>8</v>
      </c>
    </row>
    <row r="317" spans="1:5" x14ac:dyDescent="0.3">
      <c r="A317" s="13" t="s">
        <v>1</v>
      </c>
      <c r="B317" s="13" t="s">
        <v>54</v>
      </c>
      <c r="C317" s="13">
        <v>1</v>
      </c>
      <c r="D317" s="13">
        <v>0</v>
      </c>
      <c r="E317" s="13">
        <v>1</v>
      </c>
    </row>
    <row r="318" spans="1:5" x14ac:dyDescent="0.3">
      <c r="A318" s="13" t="s">
        <v>1</v>
      </c>
      <c r="B318" s="13" t="s">
        <v>235</v>
      </c>
      <c r="C318" s="13">
        <v>1</v>
      </c>
      <c r="D318" s="13">
        <v>0</v>
      </c>
      <c r="E318" s="13">
        <v>1</v>
      </c>
    </row>
    <row r="319" spans="1:5" x14ac:dyDescent="0.3">
      <c r="A319" s="13" t="s">
        <v>1</v>
      </c>
      <c r="B319" s="13" t="s">
        <v>639</v>
      </c>
      <c r="C319" s="13">
        <v>2</v>
      </c>
      <c r="D319" s="13">
        <v>0</v>
      </c>
      <c r="E319" s="13">
        <v>2</v>
      </c>
    </row>
    <row r="320" spans="1:5" x14ac:dyDescent="0.3">
      <c r="A320" s="13" t="s">
        <v>1</v>
      </c>
      <c r="B320" s="13" t="s">
        <v>236</v>
      </c>
      <c r="C320" s="13">
        <v>2</v>
      </c>
      <c r="D320" s="13">
        <v>0</v>
      </c>
      <c r="E320" s="13">
        <v>4</v>
      </c>
    </row>
    <row r="321" spans="1:5" x14ac:dyDescent="0.3">
      <c r="A321" s="13" t="s">
        <v>1</v>
      </c>
      <c r="B321" s="13" t="s">
        <v>640</v>
      </c>
      <c r="C321" s="13">
        <v>3</v>
      </c>
      <c r="D321" s="13">
        <v>0</v>
      </c>
      <c r="E321" s="13">
        <v>3</v>
      </c>
    </row>
    <row r="322" spans="1:5" x14ac:dyDescent="0.3">
      <c r="A322" s="13" t="s">
        <v>1</v>
      </c>
      <c r="B322" s="13" t="s">
        <v>371</v>
      </c>
      <c r="C322" s="13">
        <v>2</v>
      </c>
      <c r="D322" s="13">
        <v>0</v>
      </c>
      <c r="E322" s="13">
        <v>2</v>
      </c>
    </row>
    <row r="323" spans="1:5" x14ac:dyDescent="0.3">
      <c r="A323" s="13" t="s">
        <v>1</v>
      </c>
      <c r="B323" s="13" t="s">
        <v>366</v>
      </c>
      <c r="C323" s="13">
        <v>1</v>
      </c>
      <c r="D323" s="13">
        <v>0</v>
      </c>
      <c r="E323" s="13">
        <v>1</v>
      </c>
    </row>
    <row r="324" spans="1:5" x14ac:dyDescent="0.3">
      <c r="A324" s="13" t="s">
        <v>1</v>
      </c>
      <c r="B324" s="13" t="s">
        <v>461</v>
      </c>
      <c r="C324" s="13">
        <v>1</v>
      </c>
      <c r="D324" s="13">
        <v>0</v>
      </c>
      <c r="E324" s="13">
        <v>1</v>
      </c>
    </row>
    <row r="325" spans="1:5" x14ac:dyDescent="0.3">
      <c r="A325" s="13" t="s">
        <v>1</v>
      </c>
      <c r="B325" s="13" t="s">
        <v>136</v>
      </c>
      <c r="C325" s="13">
        <v>0</v>
      </c>
      <c r="D325" s="13">
        <v>1</v>
      </c>
      <c r="E325" s="13"/>
    </row>
    <row r="326" spans="1:5" x14ac:dyDescent="0.3">
      <c r="A326" s="13" t="s">
        <v>1</v>
      </c>
      <c r="B326" s="13" t="s">
        <v>2671</v>
      </c>
      <c r="C326" s="13">
        <v>1</v>
      </c>
      <c r="D326" s="13">
        <v>0</v>
      </c>
      <c r="E326" s="13">
        <v>1</v>
      </c>
    </row>
    <row r="327" spans="1:5" x14ac:dyDescent="0.3">
      <c r="A327" s="13" t="s">
        <v>1</v>
      </c>
      <c r="B327" s="13" t="s">
        <v>68</v>
      </c>
      <c r="C327" s="13">
        <v>1</v>
      </c>
      <c r="D327" s="13">
        <v>0</v>
      </c>
      <c r="E327" s="13">
        <v>2</v>
      </c>
    </row>
    <row r="328" spans="1:5" x14ac:dyDescent="0.3">
      <c r="A328" s="13" t="s">
        <v>0</v>
      </c>
      <c r="B328" s="13" t="s">
        <v>48</v>
      </c>
      <c r="C328" s="13">
        <v>1</v>
      </c>
      <c r="D328" s="13">
        <v>0</v>
      </c>
      <c r="E328" s="13">
        <v>0</v>
      </c>
    </row>
    <row r="329" spans="1:5" x14ac:dyDescent="0.3">
      <c r="A329" s="13" t="s">
        <v>0</v>
      </c>
      <c r="B329" s="13" t="s">
        <v>463</v>
      </c>
      <c r="C329" s="13">
        <v>1</v>
      </c>
      <c r="D329" s="13">
        <v>0</v>
      </c>
      <c r="E329" s="13">
        <v>1</v>
      </c>
    </row>
    <row r="330" spans="1:5" x14ac:dyDescent="0.3">
      <c r="A330" s="13" t="s">
        <v>0</v>
      </c>
      <c r="B330" s="13" t="s">
        <v>211</v>
      </c>
      <c r="C330" s="13">
        <v>1</v>
      </c>
      <c r="D330" s="13">
        <v>0</v>
      </c>
      <c r="E330" s="13">
        <v>1</v>
      </c>
    </row>
    <row r="331" spans="1:5" x14ac:dyDescent="0.3">
      <c r="A331" s="13" t="s">
        <v>0</v>
      </c>
      <c r="B331" s="13" t="s">
        <v>351</v>
      </c>
      <c r="C331" s="13">
        <v>1</v>
      </c>
      <c r="D331" s="13">
        <v>0</v>
      </c>
      <c r="E331" s="13">
        <v>1</v>
      </c>
    </row>
    <row r="332" spans="1:5" x14ac:dyDescent="0.3">
      <c r="A332" s="13" t="s">
        <v>0</v>
      </c>
      <c r="B332" s="13" t="s">
        <v>1645</v>
      </c>
      <c r="C332" s="13">
        <v>1</v>
      </c>
      <c r="D332" s="13">
        <v>0</v>
      </c>
      <c r="E332" s="13">
        <v>1</v>
      </c>
    </row>
    <row r="333" spans="1:5" x14ac:dyDescent="0.3">
      <c r="A333" s="13" t="s">
        <v>0</v>
      </c>
      <c r="B333" s="13" t="s">
        <v>1852</v>
      </c>
      <c r="C333" s="13">
        <v>1</v>
      </c>
      <c r="D333" s="13">
        <v>0</v>
      </c>
      <c r="E333" s="13">
        <v>1</v>
      </c>
    </row>
    <row r="334" spans="1:5" x14ac:dyDescent="0.3">
      <c r="A334" s="13" t="s">
        <v>0</v>
      </c>
      <c r="B334" s="13" t="s">
        <v>1884</v>
      </c>
      <c r="C334" s="13">
        <v>1</v>
      </c>
      <c r="D334" s="13">
        <v>0</v>
      </c>
      <c r="E334" s="13">
        <v>1</v>
      </c>
    </row>
    <row r="335" spans="1:5" x14ac:dyDescent="0.3">
      <c r="A335" s="13" t="s">
        <v>0</v>
      </c>
      <c r="B335" s="13" t="s">
        <v>1988</v>
      </c>
      <c r="C335" s="13">
        <v>1</v>
      </c>
      <c r="D335" s="13">
        <v>0</v>
      </c>
      <c r="E335" s="13">
        <v>2</v>
      </c>
    </row>
    <row r="336" spans="1:5" x14ac:dyDescent="0.3">
      <c r="A336" s="13" t="s">
        <v>0</v>
      </c>
      <c r="B336" s="13" t="s">
        <v>1882</v>
      </c>
      <c r="C336" s="13">
        <v>1</v>
      </c>
      <c r="D336" s="13">
        <v>0</v>
      </c>
      <c r="E336" s="13">
        <v>1</v>
      </c>
    </row>
    <row r="337" spans="1:5" x14ac:dyDescent="0.3">
      <c r="A337" s="13" t="s">
        <v>0</v>
      </c>
      <c r="B337" s="13" t="s">
        <v>2162</v>
      </c>
      <c r="C337" s="13">
        <v>1</v>
      </c>
      <c r="D337" s="13">
        <v>0</v>
      </c>
      <c r="E337" s="13">
        <v>1</v>
      </c>
    </row>
    <row r="338" spans="1:5" x14ac:dyDescent="0.3">
      <c r="A338" s="13" t="s">
        <v>0</v>
      </c>
      <c r="B338" s="13" t="s">
        <v>429</v>
      </c>
      <c r="C338" s="13">
        <v>1</v>
      </c>
      <c r="D338" s="13">
        <v>0</v>
      </c>
      <c r="E338" s="13">
        <v>2</v>
      </c>
    </row>
    <row r="339" spans="1:5" x14ac:dyDescent="0.3">
      <c r="A339" s="13" t="s">
        <v>0</v>
      </c>
      <c r="B339" s="13" t="s">
        <v>1911</v>
      </c>
      <c r="C339" s="13">
        <v>1</v>
      </c>
      <c r="D339" s="13">
        <v>0</v>
      </c>
      <c r="E339" s="13">
        <v>1</v>
      </c>
    </row>
    <row r="340" spans="1:5" x14ac:dyDescent="0.3">
      <c r="A340" s="13" t="s">
        <v>0</v>
      </c>
      <c r="B340" s="13" t="s">
        <v>1785</v>
      </c>
      <c r="C340" s="13">
        <v>1</v>
      </c>
      <c r="D340" s="13">
        <v>0</v>
      </c>
      <c r="E340" s="13">
        <v>1</v>
      </c>
    </row>
    <row r="341" spans="1:5" x14ac:dyDescent="0.3">
      <c r="A341" s="13" t="s">
        <v>0</v>
      </c>
      <c r="B341" s="13" t="s">
        <v>1021</v>
      </c>
      <c r="C341" s="13">
        <v>1</v>
      </c>
      <c r="D341" s="13">
        <v>0</v>
      </c>
      <c r="E341" s="13">
        <v>1</v>
      </c>
    </row>
    <row r="342" spans="1:5" x14ac:dyDescent="0.3">
      <c r="A342" s="13" t="s">
        <v>0</v>
      </c>
      <c r="B342" s="13" t="s">
        <v>1283</v>
      </c>
      <c r="C342" s="13">
        <v>1</v>
      </c>
      <c r="D342" s="13">
        <v>0</v>
      </c>
      <c r="E342" s="13">
        <v>1</v>
      </c>
    </row>
    <row r="343" spans="1:5" x14ac:dyDescent="0.3">
      <c r="A343" s="13" t="s">
        <v>0</v>
      </c>
      <c r="B343" s="13" t="s">
        <v>285</v>
      </c>
      <c r="C343" s="13">
        <v>1</v>
      </c>
      <c r="D343" s="13">
        <v>0</v>
      </c>
      <c r="E343" s="13">
        <v>2</v>
      </c>
    </row>
    <row r="344" spans="1:5" x14ac:dyDescent="0.3">
      <c r="A344" s="13" t="s">
        <v>0</v>
      </c>
      <c r="B344" s="13" t="s">
        <v>415</v>
      </c>
      <c r="C344" s="13">
        <v>1</v>
      </c>
      <c r="D344" s="13">
        <v>0</v>
      </c>
      <c r="E344" s="13">
        <v>2</v>
      </c>
    </row>
    <row r="345" spans="1:5" x14ac:dyDescent="0.3">
      <c r="A345" s="13" t="s">
        <v>0</v>
      </c>
      <c r="B345" s="13" t="s">
        <v>456</v>
      </c>
      <c r="C345" s="13">
        <v>1</v>
      </c>
      <c r="D345" s="13">
        <v>0</v>
      </c>
      <c r="E345" s="13">
        <v>1</v>
      </c>
    </row>
    <row r="346" spans="1:5" x14ac:dyDescent="0.3">
      <c r="A346" s="13" t="s">
        <v>0</v>
      </c>
      <c r="B346" s="13" t="s">
        <v>191</v>
      </c>
      <c r="C346" s="13">
        <v>1</v>
      </c>
      <c r="D346" s="13">
        <v>0</v>
      </c>
      <c r="E346" s="13">
        <v>1</v>
      </c>
    </row>
    <row r="347" spans="1:5" x14ac:dyDescent="0.3">
      <c r="A347" s="13" t="s">
        <v>0</v>
      </c>
      <c r="B347" s="13" t="s">
        <v>232</v>
      </c>
      <c r="C347" s="13">
        <v>1</v>
      </c>
      <c r="D347" s="13">
        <v>0</v>
      </c>
      <c r="E347" s="13">
        <v>2</v>
      </c>
    </row>
    <row r="348" spans="1:5" x14ac:dyDescent="0.3">
      <c r="A348" s="13" t="s">
        <v>0</v>
      </c>
      <c r="B348" s="13" t="s">
        <v>236</v>
      </c>
      <c r="C348" s="13">
        <v>1</v>
      </c>
      <c r="D348" s="13">
        <v>0</v>
      </c>
      <c r="E348" s="13">
        <v>2</v>
      </c>
    </row>
    <row r="349" spans="1:5" x14ac:dyDescent="0.3">
      <c r="A349" s="13" t="s">
        <v>0</v>
      </c>
      <c r="B349" s="13" t="s">
        <v>371</v>
      </c>
      <c r="C349" s="13">
        <v>1</v>
      </c>
      <c r="D349" s="13">
        <v>0</v>
      </c>
      <c r="E349" s="13">
        <v>1</v>
      </c>
    </row>
    <row r="350" spans="1:5" x14ac:dyDescent="0.3">
      <c r="A350" s="13" t="s">
        <v>0</v>
      </c>
      <c r="B350" s="13" t="s">
        <v>2672</v>
      </c>
      <c r="C350" s="13">
        <v>0</v>
      </c>
      <c r="D350" s="13">
        <v>1</v>
      </c>
      <c r="E350" s="13"/>
    </row>
    <row r="351" spans="1:5" x14ac:dyDescent="0.3">
      <c r="A351" s="13" t="s">
        <v>0</v>
      </c>
      <c r="B351" s="13" t="s">
        <v>2548</v>
      </c>
      <c r="C351" s="13">
        <v>0</v>
      </c>
      <c r="D351" s="13">
        <v>1</v>
      </c>
      <c r="E351" s="13"/>
    </row>
    <row r="352" spans="1:5" x14ac:dyDescent="0.3">
      <c r="A352" s="13" t="s">
        <v>0</v>
      </c>
      <c r="B352" s="13" t="s">
        <v>1896</v>
      </c>
      <c r="C352" s="13">
        <v>1</v>
      </c>
      <c r="D352" s="13">
        <v>0</v>
      </c>
      <c r="E352" s="13">
        <v>1</v>
      </c>
    </row>
    <row r="353" spans="1:5" x14ac:dyDescent="0.3">
      <c r="A353" s="13" t="s">
        <v>0</v>
      </c>
      <c r="B353" s="13" t="s">
        <v>68</v>
      </c>
      <c r="C353" s="13">
        <v>1</v>
      </c>
      <c r="D353" s="13">
        <v>0</v>
      </c>
      <c r="E353" s="13">
        <v>1</v>
      </c>
    </row>
    <row r="354" spans="1:5" x14ac:dyDescent="0.3">
      <c r="A354" s="13" t="s">
        <v>2</v>
      </c>
      <c r="B354" s="13" t="s">
        <v>1900</v>
      </c>
      <c r="C354" s="13">
        <v>1</v>
      </c>
      <c r="D354" s="13">
        <v>0</v>
      </c>
      <c r="E354" s="13">
        <v>1</v>
      </c>
    </row>
    <row r="355" spans="1:5" x14ac:dyDescent="0.3">
      <c r="A355" s="13"/>
      <c r="B355" s="13"/>
      <c r="C355" s="13"/>
      <c r="D355" s="13"/>
      <c r="E355" s="13"/>
    </row>
    <row r="356" spans="1:5" x14ac:dyDescent="0.3">
      <c r="A356" s="13"/>
      <c r="B356" s="13"/>
      <c r="C356" s="13"/>
      <c r="D356" s="13"/>
      <c r="E356" s="13"/>
    </row>
    <row r="357" spans="1:5" x14ac:dyDescent="0.3">
      <c r="A357" s="13"/>
      <c r="B357" s="13"/>
      <c r="C357" s="13"/>
      <c r="D357" s="13"/>
      <c r="E357" s="13"/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DB66C-5B3C-48AE-9535-BD0B4558D393}">
  <sheetPr codeName="Sheet50"/>
  <dimension ref="A1:M733"/>
  <sheetViews>
    <sheetView workbookViewId="0">
      <selection activeCell="A2" sqref="A2:E733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65</v>
      </c>
      <c r="D2" s="13">
        <v>49</v>
      </c>
      <c r="E2" s="13">
        <v>69</v>
      </c>
    </row>
    <row r="3" spans="1:13" customFormat="1" x14ac:dyDescent="0.3">
      <c r="A3" s="13" t="s">
        <v>1</v>
      </c>
      <c r="B3" s="13" t="s">
        <v>30</v>
      </c>
      <c r="C3" s="13">
        <v>100</v>
      </c>
      <c r="D3" s="13">
        <v>39</v>
      </c>
      <c r="E3" s="13">
        <v>193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29</v>
      </c>
      <c r="C4" s="13">
        <v>21</v>
      </c>
      <c r="D4" s="13">
        <v>21</v>
      </c>
      <c r="E4" s="13">
        <v>24</v>
      </c>
      <c r="G4" s="19" t="s">
        <v>8</v>
      </c>
      <c r="H4" s="15">
        <f>H13+H14</f>
        <v>1189</v>
      </c>
      <c r="I4" s="16">
        <f>H4/H$6</f>
        <v>0.77007772020725385</v>
      </c>
      <c r="J4" s="15">
        <f>I13+I14</f>
        <v>598</v>
      </c>
      <c r="K4" s="16">
        <f>J4/J$6</f>
        <v>0.68109339407744873</v>
      </c>
      <c r="L4" s="15">
        <f>J13+J14</f>
        <v>1440</v>
      </c>
      <c r="M4" s="25">
        <f>L4/L$6</f>
        <v>0.77087794432548185</v>
      </c>
    </row>
    <row r="5" spans="1:13" customFormat="1" x14ac:dyDescent="0.3">
      <c r="A5" s="13" t="s">
        <v>1</v>
      </c>
      <c r="B5" s="13" t="s">
        <v>37</v>
      </c>
      <c r="C5" s="13">
        <v>24</v>
      </c>
      <c r="D5" s="13">
        <v>20</v>
      </c>
      <c r="E5" s="13">
        <v>23</v>
      </c>
      <c r="G5" s="19" t="s">
        <v>10</v>
      </c>
      <c r="H5" s="15">
        <f>H15+H16</f>
        <v>355</v>
      </c>
      <c r="I5" s="16">
        <f>H5/H$6</f>
        <v>0.22992227979274613</v>
      </c>
      <c r="J5" s="15">
        <f>I15+I16</f>
        <v>280</v>
      </c>
      <c r="K5" s="16">
        <f>J5/J$6</f>
        <v>0.31890660592255127</v>
      </c>
      <c r="L5" s="15">
        <f>J15+J16</f>
        <v>428</v>
      </c>
      <c r="M5" s="25">
        <f>L5/L$6</f>
        <v>0.22912205567451821</v>
      </c>
    </row>
    <row r="6" spans="1:13" customFormat="1" ht="17.25" thickBot="1" x14ac:dyDescent="0.35">
      <c r="A6" s="13" t="s">
        <v>0</v>
      </c>
      <c r="B6" s="13" t="s">
        <v>31</v>
      </c>
      <c r="C6" s="13">
        <v>17</v>
      </c>
      <c r="D6" s="13">
        <v>16</v>
      </c>
      <c r="E6" s="13">
        <v>17</v>
      </c>
      <c r="G6" s="22"/>
      <c r="H6" s="26">
        <f>SUM(H4:H5)</f>
        <v>1544</v>
      </c>
      <c r="I6" s="27">
        <f>I4+I5</f>
        <v>1</v>
      </c>
      <c r="J6" s="26">
        <f>SUM(J4:J5)</f>
        <v>878</v>
      </c>
      <c r="K6" s="27">
        <f>K4+K5</f>
        <v>1</v>
      </c>
      <c r="L6" s="26">
        <f>SUM(L4:L5)</f>
        <v>1868</v>
      </c>
      <c r="M6" s="28">
        <f>M4+M5</f>
        <v>1</v>
      </c>
    </row>
    <row r="7" spans="1:13" customFormat="1" x14ac:dyDescent="0.3">
      <c r="A7" s="13" t="s">
        <v>1</v>
      </c>
      <c r="B7" s="13" t="s">
        <v>354</v>
      </c>
      <c r="C7" s="13">
        <v>19</v>
      </c>
      <c r="D7" s="13">
        <v>13</v>
      </c>
      <c r="E7" s="13">
        <v>22</v>
      </c>
    </row>
    <row r="8" spans="1:13" customFormat="1" x14ac:dyDescent="0.3">
      <c r="A8" s="13" t="s">
        <v>1</v>
      </c>
      <c r="B8" s="13" t="s">
        <v>1741</v>
      </c>
      <c r="C8" s="13">
        <v>13</v>
      </c>
      <c r="D8" s="13">
        <v>13</v>
      </c>
      <c r="E8" s="13">
        <v>16</v>
      </c>
    </row>
    <row r="9" spans="1:13" customFormat="1" x14ac:dyDescent="0.3">
      <c r="A9" s="13" t="s">
        <v>1</v>
      </c>
      <c r="B9" s="13" t="s">
        <v>1988</v>
      </c>
      <c r="C9" s="13">
        <v>22</v>
      </c>
      <c r="D9" s="13">
        <v>12</v>
      </c>
      <c r="E9" s="13">
        <v>20</v>
      </c>
    </row>
    <row r="10" spans="1:13" customFormat="1" ht="17.25" thickBot="1" x14ac:dyDescent="0.35">
      <c r="A10" s="13" t="s">
        <v>1</v>
      </c>
      <c r="B10" s="13" t="s">
        <v>1948</v>
      </c>
      <c r="C10" s="13">
        <v>16</v>
      </c>
      <c r="D10" s="13">
        <v>11</v>
      </c>
      <c r="E10" s="13">
        <v>18</v>
      </c>
    </row>
    <row r="11" spans="1:13" x14ac:dyDescent="0.3">
      <c r="A11" s="13" t="s">
        <v>0</v>
      </c>
      <c r="B11" s="13" t="s">
        <v>30</v>
      </c>
      <c r="C11" s="13">
        <v>14</v>
      </c>
      <c r="D11" s="13">
        <v>9</v>
      </c>
      <c r="E11" s="13">
        <v>24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48</v>
      </c>
      <c r="C12" s="13">
        <v>10</v>
      </c>
      <c r="D12" s="13">
        <v>7</v>
      </c>
      <c r="E12" s="13">
        <v>10</v>
      </c>
      <c r="G12" s="19"/>
      <c r="H12" s="17">
        <f t="shared" ref="H12:J12" si="0">SUM(H13:H16)</f>
        <v>1544</v>
      </c>
      <c r="I12" s="17">
        <f t="shared" si="0"/>
        <v>878</v>
      </c>
      <c r="J12" s="20">
        <f t="shared" si="0"/>
        <v>1868</v>
      </c>
    </row>
    <row r="13" spans="1:13" x14ac:dyDescent="0.3">
      <c r="A13" s="13" t="s">
        <v>1</v>
      </c>
      <c r="B13" s="13" t="s">
        <v>61</v>
      </c>
      <c r="C13" s="13">
        <v>10</v>
      </c>
      <c r="D13" s="13">
        <v>7</v>
      </c>
      <c r="E13" s="13">
        <v>10</v>
      </c>
      <c r="G13" s="19" t="s">
        <v>7</v>
      </c>
      <c r="H13" s="18">
        <f t="shared" ref="H13:J16" si="1">SUMIF($A$2:$A$9999,$G13,C$2:C$9999)</f>
        <v>1189</v>
      </c>
      <c r="I13" s="18">
        <f t="shared" si="1"/>
        <v>598</v>
      </c>
      <c r="J13" s="21">
        <f t="shared" si="1"/>
        <v>1440</v>
      </c>
    </row>
    <row r="14" spans="1:13" x14ac:dyDescent="0.3">
      <c r="A14" s="13" t="s">
        <v>1</v>
      </c>
      <c r="B14" s="13" t="s">
        <v>1663</v>
      </c>
      <c r="C14" s="13">
        <v>9</v>
      </c>
      <c r="D14" s="13">
        <v>7</v>
      </c>
      <c r="E14" s="13">
        <v>9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0</v>
      </c>
      <c r="B15" s="13" t="s">
        <v>354</v>
      </c>
      <c r="C15" s="13">
        <v>7</v>
      </c>
      <c r="D15" s="13">
        <v>6</v>
      </c>
      <c r="E15" s="13">
        <v>7</v>
      </c>
      <c r="G15" s="19" t="s">
        <v>11</v>
      </c>
      <c r="H15" s="18">
        <f t="shared" si="1"/>
        <v>328</v>
      </c>
      <c r="I15" s="18">
        <f t="shared" si="1"/>
        <v>258</v>
      </c>
      <c r="J15" s="21">
        <f t="shared" si="1"/>
        <v>392</v>
      </c>
    </row>
    <row r="16" spans="1:13" ht="17.25" thickBot="1" x14ac:dyDescent="0.35">
      <c r="A16" s="13" t="s">
        <v>0</v>
      </c>
      <c r="B16" s="13" t="s">
        <v>1741</v>
      </c>
      <c r="C16" s="13">
        <v>6</v>
      </c>
      <c r="D16" s="13">
        <v>6</v>
      </c>
      <c r="E16" s="13">
        <v>6</v>
      </c>
      <c r="G16" s="22" t="s">
        <v>12</v>
      </c>
      <c r="H16" s="23">
        <f t="shared" si="1"/>
        <v>27</v>
      </c>
      <c r="I16" s="23">
        <f t="shared" si="1"/>
        <v>22</v>
      </c>
      <c r="J16" s="24">
        <f t="shared" si="1"/>
        <v>36</v>
      </c>
    </row>
    <row r="17" spans="1:5" x14ac:dyDescent="0.3">
      <c r="A17" s="13" t="s">
        <v>0</v>
      </c>
      <c r="B17" s="13" t="s">
        <v>2203</v>
      </c>
      <c r="C17" s="13">
        <v>6</v>
      </c>
      <c r="D17" s="13">
        <v>6</v>
      </c>
      <c r="E17" s="13">
        <v>9</v>
      </c>
    </row>
    <row r="18" spans="1:5" x14ac:dyDescent="0.3">
      <c r="A18" s="13" t="s">
        <v>2</v>
      </c>
      <c r="B18" s="13" t="s">
        <v>1741</v>
      </c>
      <c r="C18" s="13">
        <v>6</v>
      </c>
      <c r="D18" s="13">
        <v>6</v>
      </c>
      <c r="E18" s="13">
        <v>11</v>
      </c>
    </row>
    <row r="19" spans="1:5" x14ac:dyDescent="0.3">
      <c r="A19" s="13" t="s">
        <v>1</v>
      </c>
      <c r="B19" s="13" t="s">
        <v>60</v>
      </c>
      <c r="C19" s="13">
        <v>6</v>
      </c>
      <c r="D19" s="13">
        <v>5</v>
      </c>
      <c r="E19" s="13">
        <v>7</v>
      </c>
    </row>
    <row r="20" spans="1:5" x14ac:dyDescent="0.3">
      <c r="A20" s="13" t="s">
        <v>1</v>
      </c>
      <c r="B20" s="13" t="s">
        <v>1881</v>
      </c>
      <c r="C20" s="13">
        <v>9</v>
      </c>
      <c r="D20" s="13">
        <v>5</v>
      </c>
      <c r="E20" s="13">
        <v>14</v>
      </c>
    </row>
    <row r="21" spans="1:5" x14ac:dyDescent="0.3">
      <c r="A21" s="13" t="s">
        <v>1</v>
      </c>
      <c r="B21" s="13" t="s">
        <v>2624</v>
      </c>
      <c r="C21" s="13">
        <v>21</v>
      </c>
      <c r="D21" s="13">
        <v>5</v>
      </c>
      <c r="E21" s="13">
        <v>24</v>
      </c>
    </row>
    <row r="22" spans="1:5" x14ac:dyDescent="0.3">
      <c r="A22" s="13" t="s">
        <v>1</v>
      </c>
      <c r="B22" s="13" t="s">
        <v>279</v>
      </c>
      <c r="C22" s="13">
        <v>8</v>
      </c>
      <c r="D22" s="13">
        <v>5</v>
      </c>
      <c r="E22" s="13">
        <v>8</v>
      </c>
    </row>
    <row r="23" spans="1:5" x14ac:dyDescent="0.3">
      <c r="A23" s="13" t="s">
        <v>0</v>
      </c>
      <c r="B23" s="13" t="s">
        <v>1948</v>
      </c>
      <c r="C23" s="13">
        <v>5</v>
      </c>
      <c r="D23" s="13">
        <v>5</v>
      </c>
      <c r="E23" s="13">
        <v>5</v>
      </c>
    </row>
    <row r="24" spans="1:5" x14ac:dyDescent="0.3">
      <c r="A24" s="13" t="s">
        <v>0</v>
      </c>
      <c r="B24" s="13" t="s">
        <v>339</v>
      </c>
      <c r="C24" s="13">
        <v>5</v>
      </c>
      <c r="D24" s="13">
        <v>5</v>
      </c>
      <c r="E24" s="13">
        <v>7</v>
      </c>
    </row>
    <row r="25" spans="1:5" x14ac:dyDescent="0.3">
      <c r="A25" s="13" t="s">
        <v>1</v>
      </c>
      <c r="B25" s="13" t="s">
        <v>33</v>
      </c>
      <c r="C25" s="13">
        <v>5</v>
      </c>
      <c r="D25" s="13">
        <v>4</v>
      </c>
      <c r="E25" s="13">
        <v>6</v>
      </c>
    </row>
    <row r="26" spans="1:5" x14ac:dyDescent="0.3">
      <c r="A26" s="13" t="s">
        <v>1</v>
      </c>
      <c r="B26" s="13" t="s">
        <v>77</v>
      </c>
      <c r="C26" s="13">
        <v>5</v>
      </c>
      <c r="D26" s="13">
        <v>4</v>
      </c>
      <c r="E26" s="13">
        <v>5</v>
      </c>
    </row>
    <row r="27" spans="1:5" x14ac:dyDescent="0.3">
      <c r="A27" s="13" t="s">
        <v>1</v>
      </c>
      <c r="B27" s="13" t="s">
        <v>87</v>
      </c>
      <c r="C27" s="13">
        <v>4</v>
      </c>
      <c r="D27" s="13">
        <v>4</v>
      </c>
      <c r="E27" s="13">
        <v>9</v>
      </c>
    </row>
    <row r="28" spans="1:5" x14ac:dyDescent="0.3">
      <c r="A28" s="13" t="s">
        <v>1</v>
      </c>
      <c r="B28" s="13" t="s">
        <v>1882</v>
      </c>
      <c r="C28" s="13">
        <v>4</v>
      </c>
      <c r="D28" s="13">
        <v>4</v>
      </c>
      <c r="E28" s="13">
        <v>5</v>
      </c>
    </row>
    <row r="29" spans="1:5" x14ac:dyDescent="0.3">
      <c r="A29" s="13" t="s">
        <v>1</v>
      </c>
      <c r="B29" s="13" t="s">
        <v>2203</v>
      </c>
      <c r="C29" s="13">
        <v>8</v>
      </c>
      <c r="D29" s="13">
        <v>4</v>
      </c>
      <c r="E29" s="13">
        <v>14</v>
      </c>
    </row>
    <row r="30" spans="1:5" x14ac:dyDescent="0.3">
      <c r="A30" s="13" t="s">
        <v>1</v>
      </c>
      <c r="B30" s="13" t="s">
        <v>154</v>
      </c>
      <c r="C30" s="13">
        <v>6</v>
      </c>
      <c r="D30" s="13">
        <v>4</v>
      </c>
      <c r="E30" s="13">
        <v>6</v>
      </c>
    </row>
    <row r="31" spans="1:5" x14ac:dyDescent="0.3">
      <c r="A31" s="13" t="s">
        <v>1</v>
      </c>
      <c r="B31" s="13" t="s">
        <v>97</v>
      </c>
      <c r="C31" s="13">
        <v>4</v>
      </c>
      <c r="D31" s="13">
        <v>4</v>
      </c>
      <c r="E31" s="13">
        <v>6</v>
      </c>
    </row>
    <row r="32" spans="1:5" x14ac:dyDescent="0.3">
      <c r="A32" s="13" t="s">
        <v>1</v>
      </c>
      <c r="B32" s="13" t="s">
        <v>45</v>
      </c>
      <c r="C32" s="13">
        <v>6</v>
      </c>
      <c r="D32" s="13">
        <v>4</v>
      </c>
      <c r="E32" s="13">
        <v>8</v>
      </c>
    </row>
    <row r="33" spans="1:5" x14ac:dyDescent="0.3">
      <c r="A33" s="13" t="s">
        <v>1</v>
      </c>
      <c r="B33" s="13" t="s">
        <v>434</v>
      </c>
      <c r="C33" s="13">
        <v>6</v>
      </c>
      <c r="D33" s="13">
        <v>4</v>
      </c>
      <c r="E33" s="13">
        <v>7</v>
      </c>
    </row>
    <row r="34" spans="1:5" x14ac:dyDescent="0.3">
      <c r="A34" s="13" t="s">
        <v>1</v>
      </c>
      <c r="B34" s="13" t="s">
        <v>196</v>
      </c>
      <c r="C34" s="13">
        <v>4</v>
      </c>
      <c r="D34" s="13">
        <v>4</v>
      </c>
      <c r="E34" s="13">
        <v>4</v>
      </c>
    </row>
    <row r="35" spans="1:5" x14ac:dyDescent="0.3">
      <c r="A35" s="13" t="s">
        <v>1</v>
      </c>
      <c r="B35" s="13" t="s">
        <v>31</v>
      </c>
      <c r="C35" s="13">
        <v>4</v>
      </c>
      <c r="D35" s="13">
        <v>4</v>
      </c>
      <c r="E35" s="13">
        <v>4</v>
      </c>
    </row>
    <row r="36" spans="1:5" x14ac:dyDescent="0.3">
      <c r="A36" s="13" t="s">
        <v>1</v>
      </c>
      <c r="B36" s="13" t="s">
        <v>53</v>
      </c>
      <c r="C36" s="13">
        <v>5</v>
      </c>
      <c r="D36" s="13">
        <v>4</v>
      </c>
      <c r="E36" s="13">
        <v>7</v>
      </c>
    </row>
    <row r="37" spans="1:5" x14ac:dyDescent="0.3">
      <c r="A37" s="13" t="s">
        <v>0</v>
      </c>
      <c r="B37" s="13" t="s">
        <v>60</v>
      </c>
      <c r="C37" s="13">
        <v>4</v>
      </c>
      <c r="D37" s="13">
        <v>4</v>
      </c>
      <c r="E37" s="13">
        <v>4</v>
      </c>
    </row>
    <row r="38" spans="1:5" x14ac:dyDescent="0.3">
      <c r="A38" s="13" t="s">
        <v>0</v>
      </c>
      <c r="B38" s="13" t="s">
        <v>37</v>
      </c>
      <c r="C38" s="13">
        <v>4</v>
      </c>
      <c r="D38" s="13">
        <v>4</v>
      </c>
      <c r="E38" s="13">
        <v>4</v>
      </c>
    </row>
    <row r="39" spans="1:5" x14ac:dyDescent="0.3">
      <c r="A39" s="13" t="s">
        <v>1</v>
      </c>
      <c r="B39" s="13" t="s">
        <v>351</v>
      </c>
      <c r="C39" s="13">
        <v>3</v>
      </c>
      <c r="D39" s="13">
        <v>3</v>
      </c>
      <c r="E39" s="13">
        <v>3</v>
      </c>
    </row>
    <row r="40" spans="1:5" x14ac:dyDescent="0.3">
      <c r="A40" s="13" t="s">
        <v>1</v>
      </c>
      <c r="B40" s="13" t="s">
        <v>93</v>
      </c>
      <c r="C40" s="13">
        <v>3</v>
      </c>
      <c r="D40" s="13">
        <v>3</v>
      </c>
      <c r="E40" s="13">
        <v>3</v>
      </c>
    </row>
    <row r="41" spans="1:5" x14ac:dyDescent="0.3">
      <c r="A41" s="13" t="s">
        <v>1</v>
      </c>
      <c r="B41" s="13" t="s">
        <v>1645</v>
      </c>
      <c r="C41" s="13">
        <v>3</v>
      </c>
      <c r="D41" s="13">
        <v>3</v>
      </c>
      <c r="E41" s="13">
        <v>3</v>
      </c>
    </row>
    <row r="42" spans="1:5" x14ac:dyDescent="0.3">
      <c r="A42" s="13" t="s">
        <v>1</v>
      </c>
      <c r="B42" s="13" t="s">
        <v>1885</v>
      </c>
      <c r="C42" s="13">
        <v>5</v>
      </c>
      <c r="D42" s="13">
        <v>3</v>
      </c>
      <c r="E42" s="13">
        <v>5</v>
      </c>
    </row>
    <row r="43" spans="1:5" x14ac:dyDescent="0.3">
      <c r="A43" s="13" t="s">
        <v>1</v>
      </c>
      <c r="B43" s="13" t="s">
        <v>2093</v>
      </c>
      <c r="C43" s="13">
        <v>7</v>
      </c>
      <c r="D43" s="13">
        <v>3</v>
      </c>
      <c r="E43" s="13">
        <v>7</v>
      </c>
    </row>
    <row r="44" spans="1:5" x14ac:dyDescent="0.3">
      <c r="A44" s="13" t="s">
        <v>1</v>
      </c>
      <c r="B44" s="13" t="s">
        <v>506</v>
      </c>
      <c r="C44" s="13">
        <v>3</v>
      </c>
      <c r="D44" s="13">
        <v>3</v>
      </c>
      <c r="E44" s="13">
        <v>3</v>
      </c>
    </row>
    <row r="45" spans="1:5" x14ac:dyDescent="0.3">
      <c r="A45" s="13" t="s">
        <v>1</v>
      </c>
      <c r="B45" s="13" t="s">
        <v>2673</v>
      </c>
      <c r="C45" s="13">
        <v>4</v>
      </c>
      <c r="D45" s="13">
        <v>3</v>
      </c>
      <c r="E45" s="13">
        <v>5</v>
      </c>
    </row>
    <row r="46" spans="1:5" x14ac:dyDescent="0.3">
      <c r="A46" s="13" t="s">
        <v>1</v>
      </c>
      <c r="B46" s="13" t="s">
        <v>29</v>
      </c>
      <c r="C46" s="13">
        <v>3</v>
      </c>
      <c r="D46" s="13">
        <v>3</v>
      </c>
      <c r="E46" s="13">
        <v>3</v>
      </c>
    </row>
    <row r="47" spans="1:5" x14ac:dyDescent="0.3">
      <c r="A47" s="13" t="s">
        <v>1</v>
      </c>
      <c r="B47" s="13" t="s">
        <v>44</v>
      </c>
      <c r="C47" s="13">
        <v>4</v>
      </c>
      <c r="D47" s="13">
        <v>3</v>
      </c>
      <c r="E47" s="13">
        <v>4</v>
      </c>
    </row>
    <row r="48" spans="1:5" x14ac:dyDescent="0.3">
      <c r="A48" s="13" t="s">
        <v>1</v>
      </c>
      <c r="B48" s="13" t="s">
        <v>631</v>
      </c>
      <c r="C48" s="13">
        <v>4</v>
      </c>
      <c r="D48" s="13">
        <v>3</v>
      </c>
      <c r="E48" s="13">
        <v>4</v>
      </c>
    </row>
    <row r="49" spans="1:5" x14ac:dyDescent="0.3">
      <c r="A49" s="13" t="s">
        <v>1</v>
      </c>
      <c r="B49" s="13" t="s">
        <v>121</v>
      </c>
      <c r="C49" s="13">
        <v>3</v>
      </c>
      <c r="D49" s="13">
        <v>3</v>
      </c>
      <c r="E49" s="13">
        <v>3</v>
      </c>
    </row>
    <row r="50" spans="1:5" x14ac:dyDescent="0.3">
      <c r="A50" s="13" t="s">
        <v>1</v>
      </c>
      <c r="B50" s="13" t="s">
        <v>661</v>
      </c>
      <c r="C50" s="13">
        <v>4</v>
      </c>
      <c r="D50" s="13">
        <v>3</v>
      </c>
      <c r="E50" s="13">
        <v>4</v>
      </c>
    </row>
    <row r="51" spans="1:5" x14ac:dyDescent="0.3">
      <c r="A51" s="13" t="s">
        <v>1</v>
      </c>
      <c r="B51" s="13" t="s">
        <v>132</v>
      </c>
      <c r="C51" s="13">
        <v>3</v>
      </c>
      <c r="D51" s="13">
        <v>3</v>
      </c>
      <c r="E51" s="13">
        <v>3</v>
      </c>
    </row>
    <row r="52" spans="1:5" x14ac:dyDescent="0.3">
      <c r="A52" s="13" t="s">
        <v>1</v>
      </c>
      <c r="B52" s="13" t="s">
        <v>66</v>
      </c>
      <c r="C52" s="13">
        <v>5</v>
      </c>
      <c r="D52" s="13">
        <v>3</v>
      </c>
      <c r="E52" s="13">
        <v>9</v>
      </c>
    </row>
    <row r="53" spans="1:5" x14ac:dyDescent="0.3">
      <c r="A53" s="13" t="s">
        <v>0</v>
      </c>
      <c r="B53" s="13" t="s">
        <v>48</v>
      </c>
      <c r="C53" s="13">
        <v>4</v>
      </c>
      <c r="D53" s="13">
        <v>3</v>
      </c>
      <c r="E53" s="13">
        <v>4</v>
      </c>
    </row>
    <row r="54" spans="1:5" x14ac:dyDescent="0.3">
      <c r="A54" s="13" t="s">
        <v>0</v>
      </c>
      <c r="B54" s="13" t="s">
        <v>61</v>
      </c>
      <c r="C54" s="13">
        <v>3</v>
      </c>
      <c r="D54" s="13">
        <v>3</v>
      </c>
      <c r="E54" s="13">
        <v>3</v>
      </c>
    </row>
    <row r="55" spans="1:5" x14ac:dyDescent="0.3">
      <c r="A55" s="13" t="s">
        <v>0</v>
      </c>
      <c r="B55" s="13" t="s">
        <v>1988</v>
      </c>
      <c r="C55" s="13">
        <v>4</v>
      </c>
      <c r="D55" s="13">
        <v>3</v>
      </c>
      <c r="E55" s="13">
        <v>4</v>
      </c>
    </row>
    <row r="56" spans="1:5" x14ac:dyDescent="0.3">
      <c r="A56" s="13" t="s">
        <v>0</v>
      </c>
      <c r="B56" s="13" t="s">
        <v>51</v>
      </c>
      <c r="C56" s="13">
        <v>3</v>
      </c>
      <c r="D56" s="13">
        <v>3</v>
      </c>
      <c r="E56" s="13">
        <v>3</v>
      </c>
    </row>
    <row r="57" spans="1:5" x14ac:dyDescent="0.3">
      <c r="A57" s="13" t="s">
        <v>0</v>
      </c>
      <c r="B57" s="13" t="s">
        <v>2674</v>
      </c>
      <c r="C57" s="13">
        <v>3</v>
      </c>
      <c r="D57" s="13">
        <v>3</v>
      </c>
      <c r="E57" s="13">
        <v>3</v>
      </c>
    </row>
    <row r="58" spans="1:5" x14ac:dyDescent="0.3">
      <c r="A58" s="13" t="s">
        <v>1</v>
      </c>
      <c r="B58" s="13" t="s">
        <v>69</v>
      </c>
      <c r="C58" s="13">
        <v>2</v>
      </c>
      <c r="D58" s="13">
        <v>2</v>
      </c>
      <c r="E58" s="13">
        <v>2</v>
      </c>
    </row>
    <row r="59" spans="1:5" x14ac:dyDescent="0.3">
      <c r="A59" s="13" t="s">
        <v>1</v>
      </c>
      <c r="B59" s="13" t="s">
        <v>487</v>
      </c>
      <c r="C59" s="13">
        <v>2</v>
      </c>
      <c r="D59" s="13">
        <v>2</v>
      </c>
      <c r="E59" s="13">
        <v>3</v>
      </c>
    </row>
    <row r="60" spans="1:5" x14ac:dyDescent="0.3">
      <c r="A60" s="13" t="s">
        <v>1</v>
      </c>
      <c r="B60" s="13" t="s">
        <v>381</v>
      </c>
      <c r="C60" s="13">
        <v>2</v>
      </c>
      <c r="D60" s="13">
        <v>2</v>
      </c>
      <c r="E60" s="13">
        <v>4</v>
      </c>
    </row>
    <row r="61" spans="1:5" x14ac:dyDescent="0.3">
      <c r="A61" s="13" t="s">
        <v>1</v>
      </c>
      <c r="B61" s="13" t="s">
        <v>264</v>
      </c>
      <c r="C61" s="13">
        <v>2</v>
      </c>
      <c r="D61" s="13">
        <v>2</v>
      </c>
      <c r="E61" s="13">
        <v>2</v>
      </c>
    </row>
    <row r="62" spans="1:5" x14ac:dyDescent="0.3">
      <c r="A62" s="13" t="s">
        <v>1</v>
      </c>
      <c r="B62" s="13" t="s">
        <v>34</v>
      </c>
      <c r="C62" s="13">
        <v>2</v>
      </c>
      <c r="D62" s="13">
        <v>2</v>
      </c>
      <c r="E62" s="13">
        <v>3</v>
      </c>
    </row>
    <row r="63" spans="1:5" x14ac:dyDescent="0.3">
      <c r="A63" s="13" t="s">
        <v>1</v>
      </c>
      <c r="B63" s="13" t="s">
        <v>260</v>
      </c>
      <c r="C63" s="13">
        <v>2</v>
      </c>
      <c r="D63" s="13">
        <v>2</v>
      </c>
      <c r="E63" s="13">
        <v>2</v>
      </c>
    </row>
    <row r="64" spans="1:5" x14ac:dyDescent="0.3">
      <c r="A64" s="13" t="s">
        <v>1</v>
      </c>
      <c r="B64" s="13" t="s">
        <v>209</v>
      </c>
      <c r="C64" s="13">
        <v>3</v>
      </c>
      <c r="D64" s="13">
        <v>2</v>
      </c>
      <c r="E64" s="13">
        <v>5</v>
      </c>
    </row>
    <row r="65" spans="1:5" x14ac:dyDescent="0.3">
      <c r="A65" s="13" t="s">
        <v>1</v>
      </c>
      <c r="B65" s="13" t="s">
        <v>215</v>
      </c>
      <c r="C65" s="13">
        <v>5</v>
      </c>
      <c r="D65" s="13">
        <v>2</v>
      </c>
      <c r="E65" s="13">
        <v>5</v>
      </c>
    </row>
    <row r="66" spans="1:5" x14ac:dyDescent="0.3">
      <c r="A66" s="13" t="s">
        <v>1</v>
      </c>
      <c r="B66" s="13" t="s">
        <v>272</v>
      </c>
      <c r="C66" s="13">
        <v>4</v>
      </c>
      <c r="D66" s="13">
        <v>2</v>
      </c>
      <c r="E66" s="13">
        <v>5</v>
      </c>
    </row>
    <row r="67" spans="1:5" x14ac:dyDescent="0.3">
      <c r="A67" s="13" t="s">
        <v>1</v>
      </c>
      <c r="B67" s="13" t="s">
        <v>151</v>
      </c>
      <c r="C67" s="13">
        <v>2</v>
      </c>
      <c r="D67" s="13">
        <v>2</v>
      </c>
      <c r="E67" s="13">
        <v>2</v>
      </c>
    </row>
    <row r="68" spans="1:5" x14ac:dyDescent="0.3">
      <c r="A68" s="13" t="s">
        <v>1</v>
      </c>
      <c r="B68" s="13" t="s">
        <v>94</v>
      </c>
      <c r="C68" s="13">
        <v>3</v>
      </c>
      <c r="D68" s="13">
        <v>2</v>
      </c>
      <c r="E68" s="13">
        <v>3</v>
      </c>
    </row>
    <row r="69" spans="1:5" x14ac:dyDescent="0.3">
      <c r="A69" s="13" t="s">
        <v>1</v>
      </c>
      <c r="B69" s="13" t="s">
        <v>1900</v>
      </c>
      <c r="C69" s="13">
        <v>2</v>
      </c>
      <c r="D69" s="13">
        <v>2</v>
      </c>
      <c r="E69" s="13">
        <v>2</v>
      </c>
    </row>
    <row r="70" spans="1:5" x14ac:dyDescent="0.3">
      <c r="A70" s="13" t="s">
        <v>1</v>
      </c>
      <c r="B70" s="13" t="s">
        <v>95</v>
      </c>
      <c r="C70" s="13">
        <v>3</v>
      </c>
      <c r="D70" s="13">
        <v>2</v>
      </c>
      <c r="E70" s="13">
        <v>3</v>
      </c>
    </row>
    <row r="71" spans="1:5" x14ac:dyDescent="0.3">
      <c r="A71" s="13" t="s">
        <v>1</v>
      </c>
      <c r="B71" s="13" t="s">
        <v>258</v>
      </c>
      <c r="C71" s="13">
        <v>2</v>
      </c>
      <c r="D71" s="13">
        <v>2</v>
      </c>
      <c r="E71" s="13">
        <v>2</v>
      </c>
    </row>
    <row r="72" spans="1:5" x14ac:dyDescent="0.3">
      <c r="A72" s="13" t="s">
        <v>1</v>
      </c>
      <c r="B72" s="13" t="s">
        <v>1069</v>
      </c>
      <c r="C72" s="13">
        <v>2</v>
      </c>
      <c r="D72" s="13">
        <v>2</v>
      </c>
      <c r="E72" s="13">
        <v>2</v>
      </c>
    </row>
    <row r="73" spans="1:5" x14ac:dyDescent="0.3">
      <c r="A73" s="13" t="s">
        <v>1</v>
      </c>
      <c r="B73" s="13" t="s">
        <v>159</v>
      </c>
      <c r="C73" s="13">
        <v>2</v>
      </c>
      <c r="D73" s="13">
        <v>2</v>
      </c>
      <c r="E73" s="13">
        <v>2</v>
      </c>
    </row>
    <row r="74" spans="1:5" x14ac:dyDescent="0.3">
      <c r="A74" s="13" t="s">
        <v>1</v>
      </c>
      <c r="B74" s="13" t="s">
        <v>102</v>
      </c>
      <c r="C74" s="13">
        <v>3</v>
      </c>
      <c r="D74" s="13">
        <v>2</v>
      </c>
      <c r="E74" s="13">
        <v>3</v>
      </c>
    </row>
    <row r="75" spans="1:5" x14ac:dyDescent="0.3">
      <c r="A75" s="13" t="s">
        <v>1</v>
      </c>
      <c r="B75" s="13" t="s">
        <v>104</v>
      </c>
      <c r="C75" s="13">
        <v>2</v>
      </c>
      <c r="D75" s="13">
        <v>2</v>
      </c>
      <c r="E75" s="13">
        <v>2</v>
      </c>
    </row>
    <row r="76" spans="1:5" x14ac:dyDescent="0.3">
      <c r="A76" s="13" t="s">
        <v>1</v>
      </c>
      <c r="B76" s="13" t="s">
        <v>1510</v>
      </c>
      <c r="C76" s="13">
        <v>2</v>
      </c>
      <c r="D76" s="13">
        <v>2</v>
      </c>
      <c r="E76" s="13">
        <v>2</v>
      </c>
    </row>
    <row r="77" spans="1:5" x14ac:dyDescent="0.3">
      <c r="A77" s="13" t="s">
        <v>1</v>
      </c>
      <c r="B77" s="13" t="s">
        <v>195</v>
      </c>
      <c r="C77" s="13">
        <v>2</v>
      </c>
      <c r="D77" s="13">
        <v>2</v>
      </c>
      <c r="E77" s="13">
        <v>3</v>
      </c>
    </row>
    <row r="78" spans="1:5" x14ac:dyDescent="0.3">
      <c r="A78" s="13" t="s">
        <v>1</v>
      </c>
      <c r="B78" s="13" t="s">
        <v>111</v>
      </c>
      <c r="C78" s="13">
        <v>3</v>
      </c>
      <c r="D78" s="13">
        <v>2</v>
      </c>
      <c r="E78" s="13">
        <v>3</v>
      </c>
    </row>
    <row r="79" spans="1:5" x14ac:dyDescent="0.3">
      <c r="A79" s="13" t="s">
        <v>1</v>
      </c>
      <c r="B79" s="13" t="s">
        <v>824</v>
      </c>
      <c r="C79" s="13">
        <v>2</v>
      </c>
      <c r="D79" s="13">
        <v>2</v>
      </c>
      <c r="E79" s="13">
        <v>3</v>
      </c>
    </row>
    <row r="80" spans="1:5" x14ac:dyDescent="0.3">
      <c r="A80" s="13" t="s">
        <v>1</v>
      </c>
      <c r="B80" s="13" t="s">
        <v>51</v>
      </c>
      <c r="C80" s="13">
        <v>3</v>
      </c>
      <c r="D80" s="13">
        <v>2</v>
      </c>
      <c r="E80" s="13">
        <v>3</v>
      </c>
    </row>
    <row r="81" spans="1:5" x14ac:dyDescent="0.3">
      <c r="A81" s="13" t="s">
        <v>1</v>
      </c>
      <c r="B81" s="13" t="s">
        <v>281</v>
      </c>
      <c r="C81" s="13">
        <v>3</v>
      </c>
      <c r="D81" s="13">
        <v>2</v>
      </c>
      <c r="E81" s="13">
        <v>3</v>
      </c>
    </row>
    <row r="82" spans="1:5" x14ac:dyDescent="0.3">
      <c r="A82" s="13" t="s">
        <v>1</v>
      </c>
      <c r="B82" s="13" t="s">
        <v>516</v>
      </c>
      <c r="C82" s="13">
        <v>2</v>
      </c>
      <c r="D82" s="13">
        <v>2</v>
      </c>
      <c r="E82" s="13">
        <v>2</v>
      </c>
    </row>
    <row r="83" spans="1:5" x14ac:dyDescent="0.3">
      <c r="A83" s="13" t="s">
        <v>1</v>
      </c>
      <c r="B83" s="13" t="s">
        <v>113</v>
      </c>
      <c r="C83" s="13">
        <v>3</v>
      </c>
      <c r="D83" s="13">
        <v>2</v>
      </c>
      <c r="E83" s="13">
        <v>3</v>
      </c>
    </row>
    <row r="84" spans="1:5" x14ac:dyDescent="0.3">
      <c r="A84" s="13" t="s">
        <v>1</v>
      </c>
      <c r="B84" s="13" t="s">
        <v>431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895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648</v>
      </c>
      <c r="C86" s="13">
        <v>2</v>
      </c>
      <c r="D86" s="13">
        <v>2</v>
      </c>
      <c r="E86" s="13">
        <v>2</v>
      </c>
    </row>
    <row r="87" spans="1:5" x14ac:dyDescent="0.3">
      <c r="A87" s="13" t="s">
        <v>1</v>
      </c>
      <c r="B87" s="13" t="s">
        <v>120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2675</v>
      </c>
      <c r="C88" s="13">
        <v>2</v>
      </c>
      <c r="D88" s="13">
        <v>2</v>
      </c>
      <c r="E88" s="13">
        <v>3</v>
      </c>
    </row>
    <row r="89" spans="1:5" x14ac:dyDescent="0.3">
      <c r="A89" s="13" t="s">
        <v>1</v>
      </c>
      <c r="B89" s="13" t="s">
        <v>122</v>
      </c>
      <c r="C89" s="13">
        <v>4</v>
      </c>
      <c r="D89" s="13">
        <v>2</v>
      </c>
      <c r="E89" s="13">
        <v>4</v>
      </c>
    </row>
    <row r="90" spans="1:5" x14ac:dyDescent="0.3">
      <c r="A90" s="13" t="s">
        <v>1</v>
      </c>
      <c r="B90" s="13" t="s">
        <v>174</v>
      </c>
      <c r="C90" s="13">
        <v>5</v>
      </c>
      <c r="D90" s="13">
        <v>2</v>
      </c>
      <c r="E90" s="13">
        <v>6</v>
      </c>
    </row>
    <row r="91" spans="1:5" x14ac:dyDescent="0.3">
      <c r="A91" s="13" t="s">
        <v>1</v>
      </c>
      <c r="B91" s="13" t="s">
        <v>63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178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866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38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483</v>
      </c>
      <c r="C95" s="13">
        <v>3</v>
      </c>
      <c r="D95" s="13">
        <v>2</v>
      </c>
      <c r="E95" s="13">
        <v>4</v>
      </c>
    </row>
    <row r="96" spans="1:5" x14ac:dyDescent="0.3">
      <c r="A96" s="13" t="s">
        <v>1</v>
      </c>
      <c r="B96" s="13" t="s">
        <v>543</v>
      </c>
      <c r="C96" s="13">
        <v>2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2676</v>
      </c>
      <c r="C97" s="13">
        <v>2</v>
      </c>
      <c r="D97" s="13">
        <v>2</v>
      </c>
      <c r="E97" s="13"/>
    </row>
    <row r="98" spans="1:5" x14ac:dyDescent="0.3">
      <c r="A98" s="13" t="s">
        <v>1</v>
      </c>
      <c r="B98" s="13" t="s">
        <v>667</v>
      </c>
      <c r="C98" s="13">
        <v>2</v>
      </c>
      <c r="D98" s="13">
        <v>2</v>
      </c>
      <c r="E98" s="13"/>
    </row>
    <row r="99" spans="1:5" x14ac:dyDescent="0.3">
      <c r="A99" s="13" t="s">
        <v>1</v>
      </c>
      <c r="B99" s="13" t="s">
        <v>963</v>
      </c>
      <c r="C99" s="13">
        <v>4</v>
      </c>
      <c r="D99" s="13">
        <v>2</v>
      </c>
      <c r="E99" s="13">
        <v>4</v>
      </c>
    </row>
    <row r="100" spans="1:5" x14ac:dyDescent="0.3">
      <c r="A100" s="13" t="s">
        <v>1</v>
      </c>
      <c r="B100" s="13" t="s">
        <v>722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1</v>
      </c>
      <c r="B101" s="13" t="s">
        <v>32</v>
      </c>
      <c r="C101" s="13">
        <v>10</v>
      </c>
      <c r="D101" s="13">
        <v>2</v>
      </c>
      <c r="E101" s="13">
        <v>13</v>
      </c>
    </row>
    <row r="102" spans="1:5" x14ac:dyDescent="0.3">
      <c r="A102" s="13" t="s">
        <v>0</v>
      </c>
      <c r="B102" s="13" t="s">
        <v>77</v>
      </c>
      <c r="C102" s="13">
        <v>2</v>
      </c>
      <c r="D102" s="13">
        <v>2</v>
      </c>
      <c r="E102" s="13">
        <v>3</v>
      </c>
    </row>
    <row r="103" spans="1:5" x14ac:dyDescent="0.3">
      <c r="A103" s="13" t="s">
        <v>0</v>
      </c>
      <c r="B103" s="13" t="s">
        <v>34</v>
      </c>
      <c r="C103" s="13">
        <v>3</v>
      </c>
      <c r="D103" s="13">
        <v>2</v>
      </c>
      <c r="E103" s="13">
        <v>3</v>
      </c>
    </row>
    <row r="104" spans="1:5" x14ac:dyDescent="0.3">
      <c r="A104" s="13" t="s">
        <v>0</v>
      </c>
      <c r="B104" s="13" t="s">
        <v>81</v>
      </c>
      <c r="C104" s="13">
        <v>2</v>
      </c>
      <c r="D104" s="13">
        <v>2</v>
      </c>
      <c r="E104" s="13">
        <v>3</v>
      </c>
    </row>
    <row r="105" spans="1:5" x14ac:dyDescent="0.3">
      <c r="A105" s="13" t="s">
        <v>0</v>
      </c>
      <c r="B105" s="13" t="s">
        <v>145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0</v>
      </c>
      <c r="B106" s="13" t="s">
        <v>151</v>
      </c>
      <c r="C106" s="13">
        <v>3</v>
      </c>
      <c r="D106" s="13">
        <v>2</v>
      </c>
      <c r="E106" s="13">
        <v>3</v>
      </c>
    </row>
    <row r="107" spans="1:5" x14ac:dyDescent="0.3">
      <c r="A107" s="13" t="s">
        <v>0</v>
      </c>
      <c r="B107" s="13" t="s">
        <v>94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0</v>
      </c>
      <c r="B108" s="13" t="s">
        <v>1370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0</v>
      </c>
      <c r="B109" s="13" t="s">
        <v>1663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0</v>
      </c>
      <c r="B110" s="13" t="s">
        <v>1674</v>
      </c>
      <c r="C110" s="13">
        <v>3</v>
      </c>
      <c r="D110" s="13">
        <v>2</v>
      </c>
      <c r="E110" s="13">
        <v>4</v>
      </c>
    </row>
    <row r="111" spans="1:5" x14ac:dyDescent="0.3">
      <c r="A111" s="13" t="s">
        <v>0</v>
      </c>
      <c r="B111" s="13" t="s">
        <v>155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0</v>
      </c>
      <c r="B112" s="13" t="s">
        <v>341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0</v>
      </c>
      <c r="B113" s="13" t="s">
        <v>429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0</v>
      </c>
      <c r="B114" s="13" t="s">
        <v>195</v>
      </c>
      <c r="C114" s="13">
        <v>2</v>
      </c>
      <c r="D114" s="13">
        <v>2</v>
      </c>
      <c r="E114" s="13">
        <v>3</v>
      </c>
    </row>
    <row r="115" spans="1:5" x14ac:dyDescent="0.3">
      <c r="A115" s="13" t="s">
        <v>0</v>
      </c>
      <c r="B115" s="13" t="s">
        <v>285</v>
      </c>
      <c r="C115" s="13">
        <v>2</v>
      </c>
      <c r="D115" s="13">
        <v>2</v>
      </c>
      <c r="E115" s="13">
        <v>2</v>
      </c>
    </row>
    <row r="116" spans="1:5" x14ac:dyDescent="0.3">
      <c r="A116" s="13" t="s">
        <v>0</v>
      </c>
      <c r="B116" s="13" t="s">
        <v>115</v>
      </c>
      <c r="C116" s="13">
        <v>2</v>
      </c>
      <c r="D116" s="13">
        <v>2</v>
      </c>
      <c r="E116" s="13">
        <v>5</v>
      </c>
    </row>
    <row r="117" spans="1:5" x14ac:dyDescent="0.3">
      <c r="A117" s="13" t="s">
        <v>0</v>
      </c>
      <c r="B117" s="13" t="s">
        <v>120</v>
      </c>
      <c r="C117" s="13">
        <v>2</v>
      </c>
      <c r="D117" s="13">
        <v>2</v>
      </c>
      <c r="E117" s="13">
        <v>3</v>
      </c>
    </row>
    <row r="118" spans="1:5" x14ac:dyDescent="0.3">
      <c r="A118" s="13" t="s">
        <v>0</v>
      </c>
      <c r="B118" s="13" t="s">
        <v>178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0</v>
      </c>
      <c r="B119" s="13" t="s">
        <v>126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0</v>
      </c>
      <c r="B120" s="13" t="s">
        <v>365</v>
      </c>
      <c r="C120" s="13">
        <v>3</v>
      </c>
      <c r="D120" s="13">
        <v>2</v>
      </c>
      <c r="E120" s="13">
        <v>4</v>
      </c>
    </row>
    <row r="121" spans="1:5" x14ac:dyDescent="0.3">
      <c r="A121" s="13" t="s">
        <v>0</v>
      </c>
      <c r="B121" s="13" t="s">
        <v>39</v>
      </c>
      <c r="C121" s="13">
        <v>4</v>
      </c>
      <c r="D121" s="13">
        <v>2</v>
      </c>
      <c r="E121" s="13">
        <v>8</v>
      </c>
    </row>
    <row r="122" spans="1:5" x14ac:dyDescent="0.3">
      <c r="A122" s="13" t="s">
        <v>2</v>
      </c>
      <c r="B122" s="13" t="s">
        <v>824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1</v>
      </c>
      <c r="B123" s="13" t="s">
        <v>137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1200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47</v>
      </c>
      <c r="C125" s="13">
        <v>3</v>
      </c>
      <c r="D125" s="13">
        <v>1</v>
      </c>
      <c r="E125" s="13">
        <v>5</v>
      </c>
    </row>
    <row r="126" spans="1:5" x14ac:dyDescent="0.3">
      <c r="A126" s="13" t="s">
        <v>1</v>
      </c>
      <c r="B126" s="13" t="s">
        <v>300</v>
      </c>
      <c r="C126" s="13">
        <v>3</v>
      </c>
      <c r="D126" s="13">
        <v>1</v>
      </c>
      <c r="E126" s="13">
        <v>3</v>
      </c>
    </row>
    <row r="127" spans="1:5" x14ac:dyDescent="0.3">
      <c r="A127" s="13" t="s">
        <v>1</v>
      </c>
      <c r="B127" s="13" t="s">
        <v>261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419</v>
      </c>
      <c r="C128" s="13">
        <v>2</v>
      </c>
      <c r="D128" s="13">
        <v>1</v>
      </c>
      <c r="E128" s="13">
        <v>2</v>
      </c>
    </row>
    <row r="129" spans="1:5" x14ac:dyDescent="0.3">
      <c r="A129" s="13" t="s">
        <v>1</v>
      </c>
      <c r="B129" s="13" t="s">
        <v>851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490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444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752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656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670</v>
      </c>
      <c r="C134" s="13">
        <v>1</v>
      </c>
      <c r="D134" s="13">
        <v>1</v>
      </c>
      <c r="E134" s="13">
        <v>2</v>
      </c>
    </row>
    <row r="135" spans="1:5" x14ac:dyDescent="0.3">
      <c r="A135" s="13" t="s">
        <v>1</v>
      </c>
      <c r="B135" s="13" t="s">
        <v>876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852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75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1444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206</v>
      </c>
      <c r="C139" s="13">
        <v>2</v>
      </c>
      <c r="D139" s="13">
        <v>1</v>
      </c>
      <c r="E139" s="13">
        <v>3</v>
      </c>
    </row>
    <row r="140" spans="1:5" x14ac:dyDescent="0.3">
      <c r="A140" s="13" t="s">
        <v>1</v>
      </c>
      <c r="B140" s="13" t="s">
        <v>672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345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267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498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1517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59</v>
      </c>
      <c r="C145" s="13">
        <v>3</v>
      </c>
      <c r="D145" s="13">
        <v>1</v>
      </c>
      <c r="E145" s="13">
        <v>3</v>
      </c>
    </row>
    <row r="146" spans="1:5" x14ac:dyDescent="0.3">
      <c r="A146" s="13" t="s">
        <v>1</v>
      </c>
      <c r="B146" s="13" t="s">
        <v>984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985</v>
      </c>
      <c r="C147" s="13">
        <v>2</v>
      </c>
      <c r="D147" s="13">
        <v>1</v>
      </c>
      <c r="E147" s="13">
        <v>2</v>
      </c>
    </row>
    <row r="148" spans="1:5" x14ac:dyDescent="0.3">
      <c r="A148" s="13" t="s">
        <v>1</v>
      </c>
      <c r="B148" s="13" t="s">
        <v>813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268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1208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269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81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304</v>
      </c>
      <c r="C153" s="13">
        <v>2</v>
      </c>
      <c r="D153" s="13">
        <v>1</v>
      </c>
      <c r="E153" s="13">
        <v>2</v>
      </c>
    </row>
    <row r="154" spans="1:5" x14ac:dyDescent="0.3">
      <c r="A154" s="13" t="s">
        <v>1</v>
      </c>
      <c r="B154" s="13" t="s">
        <v>211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82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83</v>
      </c>
      <c r="C156" s="13">
        <v>2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500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84</v>
      </c>
      <c r="C158" s="13">
        <v>1</v>
      </c>
      <c r="D158" s="13">
        <v>1</v>
      </c>
      <c r="E158" s="13">
        <v>2</v>
      </c>
    </row>
    <row r="159" spans="1:5" x14ac:dyDescent="0.3">
      <c r="A159" s="13" t="s">
        <v>1</v>
      </c>
      <c r="B159" s="13" t="s">
        <v>271</v>
      </c>
      <c r="C159" s="13">
        <v>2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86</v>
      </c>
      <c r="C160" s="13">
        <v>3</v>
      </c>
      <c r="D160" s="13">
        <v>1</v>
      </c>
      <c r="E160" s="13">
        <v>3</v>
      </c>
    </row>
    <row r="161" spans="1:5" x14ac:dyDescent="0.3">
      <c r="A161" s="13" t="s">
        <v>1</v>
      </c>
      <c r="B161" s="13" t="s">
        <v>1031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148</v>
      </c>
      <c r="C162" s="13">
        <v>4</v>
      </c>
      <c r="D162" s="13">
        <v>1</v>
      </c>
      <c r="E162" s="13">
        <v>4</v>
      </c>
    </row>
    <row r="163" spans="1:5" x14ac:dyDescent="0.3">
      <c r="A163" s="13" t="s">
        <v>1</v>
      </c>
      <c r="B163" s="13" t="s">
        <v>1125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1429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90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1727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1161</v>
      </c>
      <c r="C167" s="13">
        <v>2</v>
      </c>
      <c r="D167" s="13">
        <v>1</v>
      </c>
      <c r="E167" s="13">
        <v>2</v>
      </c>
    </row>
    <row r="168" spans="1:5" x14ac:dyDescent="0.3">
      <c r="A168" s="13" t="s">
        <v>1</v>
      </c>
      <c r="B168" s="13" t="s">
        <v>91</v>
      </c>
      <c r="C168" s="13">
        <v>2</v>
      </c>
      <c r="D168" s="13">
        <v>1</v>
      </c>
      <c r="E168" s="13">
        <v>3</v>
      </c>
    </row>
    <row r="169" spans="1:5" x14ac:dyDescent="0.3">
      <c r="A169" s="13" t="s">
        <v>1</v>
      </c>
      <c r="B169" s="13" t="s">
        <v>424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645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1171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353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503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152</v>
      </c>
      <c r="C174" s="13">
        <v>2</v>
      </c>
      <c r="D174" s="13">
        <v>1</v>
      </c>
      <c r="E174" s="13">
        <v>3</v>
      </c>
    </row>
    <row r="175" spans="1:5" x14ac:dyDescent="0.3">
      <c r="A175" s="13" t="s">
        <v>1</v>
      </c>
      <c r="B175" s="13" t="s">
        <v>153</v>
      </c>
      <c r="C175" s="13">
        <v>2</v>
      </c>
      <c r="D175" s="13">
        <v>1</v>
      </c>
      <c r="E175" s="13">
        <v>2</v>
      </c>
    </row>
    <row r="176" spans="1:5" x14ac:dyDescent="0.3">
      <c r="A176" s="13" t="s">
        <v>1</v>
      </c>
      <c r="B176" s="13" t="s">
        <v>471</v>
      </c>
      <c r="C176" s="13">
        <v>3</v>
      </c>
      <c r="D176" s="13">
        <v>1</v>
      </c>
      <c r="E176" s="13">
        <v>3</v>
      </c>
    </row>
    <row r="177" spans="1:5" x14ac:dyDescent="0.3">
      <c r="A177" s="13" t="s">
        <v>1</v>
      </c>
      <c r="B177" s="13" t="s">
        <v>1567</v>
      </c>
      <c r="C177" s="13">
        <v>2</v>
      </c>
      <c r="D177" s="13">
        <v>1</v>
      </c>
      <c r="E177" s="13">
        <v>2</v>
      </c>
    </row>
    <row r="178" spans="1:5" x14ac:dyDescent="0.3">
      <c r="A178" s="13" t="s">
        <v>1</v>
      </c>
      <c r="B178" s="13" t="s">
        <v>1570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1631</v>
      </c>
      <c r="C179" s="13">
        <v>2</v>
      </c>
      <c r="D179" s="13">
        <v>1</v>
      </c>
      <c r="E179" s="13">
        <v>2</v>
      </c>
    </row>
    <row r="180" spans="1:5" x14ac:dyDescent="0.3">
      <c r="A180" s="13" t="s">
        <v>1</v>
      </c>
      <c r="B180" s="13" t="s">
        <v>1655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1674</v>
      </c>
      <c r="C181" s="13">
        <v>2</v>
      </c>
      <c r="D181" s="13">
        <v>1</v>
      </c>
      <c r="E181" s="13">
        <v>2</v>
      </c>
    </row>
    <row r="182" spans="1:5" x14ac:dyDescent="0.3">
      <c r="A182" s="13" t="s">
        <v>1</v>
      </c>
      <c r="B182" s="13" t="s">
        <v>1696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1926</v>
      </c>
      <c r="C183" s="13">
        <v>2</v>
      </c>
      <c r="D183" s="13">
        <v>1</v>
      </c>
      <c r="E183" s="13">
        <v>2</v>
      </c>
    </row>
    <row r="184" spans="1:5" x14ac:dyDescent="0.3">
      <c r="A184" s="13" t="s">
        <v>1</v>
      </c>
      <c r="B184" s="13" t="s">
        <v>1918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1899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1989</v>
      </c>
      <c r="C186" s="13">
        <v>3</v>
      </c>
      <c r="D186" s="13">
        <v>1</v>
      </c>
      <c r="E186" s="13">
        <v>3</v>
      </c>
    </row>
    <row r="187" spans="1:5" x14ac:dyDescent="0.3">
      <c r="A187" s="13" t="s">
        <v>1</v>
      </c>
      <c r="B187" s="13" t="s">
        <v>2018</v>
      </c>
      <c r="C187" s="13">
        <v>3</v>
      </c>
      <c r="D187" s="13">
        <v>1</v>
      </c>
      <c r="E187" s="13">
        <v>3</v>
      </c>
    </row>
    <row r="188" spans="1:5" x14ac:dyDescent="0.3">
      <c r="A188" s="13" t="s">
        <v>1</v>
      </c>
      <c r="B188" s="13" t="s">
        <v>2164</v>
      </c>
      <c r="C188" s="13">
        <v>3</v>
      </c>
      <c r="D188" s="13">
        <v>1</v>
      </c>
      <c r="E188" s="13">
        <v>4</v>
      </c>
    </row>
    <row r="189" spans="1:5" x14ac:dyDescent="0.3">
      <c r="A189" s="13" t="s">
        <v>1</v>
      </c>
      <c r="B189" s="13" t="s">
        <v>2407</v>
      </c>
      <c r="C189" s="13">
        <v>4</v>
      </c>
      <c r="D189" s="13">
        <v>1</v>
      </c>
      <c r="E189" s="13">
        <v>4</v>
      </c>
    </row>
    <row r="190" spans="1:5" x14ac:dyDescent="0.3">
      <c r="A190" s="13" t="s">
        <v>1</v>
      </c>
      <c r="B190" s="13" t="s">
        <v>2335</v>
      </c>
      <c r="C190" s="13">
        <v>7</v>
      </c>
      <c r="D190" s="13">
        <v>1</v>
      </c>
      <c r="E190" s="13">
        <v>7</v>
      </c>
    </row>
    <row r="191" spans="1:5" x14ac:dyDescent="0.3">
      <c r="A191" s="13" t="s">
        <v>1</v>
      </c>
      <c r="B191" s="13" t="s">
        <v>2425</v>
      </c>
      <c r="C191" s="13">
        <v>8</v>
      </c>
      <c r="D191" s="13">
        <v>1</v>
      </c>
      <c r="E191" s="13">
        <v>8</v>
      </c>
    </row>
    <row r="192" spans="1:5" x14ac:dyDescent="0.3">
      <c r="A192" s="13" t="s">
        <v>1</v>
      </c>
      <c r="B192" s="13" t="s">
        <v>2677</v>
      </c>
      <c r="C192" s="13">
        <v>2</v>
      </c>
      <c r="D192" s="13">
        <v>1</v>
      </c>
      <c r="E192" s="13">
        <v>2</v>
      </c>
    </row>
    <row r="193" spans="1:5" x14ac:dyDescent="0.3">
      <c r="A193" s="13" t="s">
        <v>1</v>
      </c>
      <c r="B193" s="13" t="s">
        <v>1185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819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1615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49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1590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2678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1179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96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997</v>
      </c>
      <c r="C201" s="13">
        <v>2</v>
      </c>
      <c r="D201" s="13">
        <v>1</v>
      </c>
      <c r="E201" s="13">
        <v>2</v>
      </c>
    </row>
    <row r="202" spans="1:5" x14ac:dyDescent="0.3">
      <c r="A202" s="13" t="s">
        <v>1</v>
      </c>
      <c r="B202" s="13" t="s">
        <v>2075</v>
      </c>
      <c r="C202" s="13">
        <v>1</v>
      </c>
      <c r="D202" s="13">
        <v>1</v>
      </c>
      <c r="E202" s="13">
        <v>3</v>
      </c>
    </row>
    <row r="203" spans="1:5" x14ac:dyDescent="0.3">
      <c r="A203" s="13" t="s">
        <v>1</v>
      </c>
      <c r="B203" s="13" t="s">
        <v>1342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762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1522</v>
      </c>
      <c r="C205" s="13">
        <v>1</v>
      </c>
      <c r="D205" s="13">
        <v>1</v>
      </c>
      <c r="E205" s="13">
        <v>2</v>
      </c>
    </row>
    <row r="206" spans="1:5" x14ac:dyDescent="0.3">
      <c r="A206" s="13" t="s">
        <v>1</v>
      </c>
      <c r="B206" s="13" t="s">
        <v>308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562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563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392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1345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858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681</v>
      </c>
      <c r="C212" s="13">
        <v>3</v>
      </c>
      <c r="D212" s="13">
        <v>1</v>
      </c>
      <c r="E212" s="13">
        <v>5</v>
      </c>
    </row>
    <row r="213" spans="1:5" x14ac:dyDescent="0.3">
      <c r="A213" s="13" t="s">
        <v>1</v>
      </c>
      <c r="B213" s="13" t="s">
        <v>161</v>
      </c>
      <c r="C213" s="13">
        <v>2</v>
      </c>
      <c r="D213" s="13">
        <v>1</v>
      </c>
      <c r="E213" s="13">
        <v>2</v>
      </c>
    </row>
    <row r="214" spans="1:5" x14ac:dyDescent="0.3">
      <c r="A214" s="13" t="s">
        <v>1</v>
      </c>
      <c r="B214" s="13" t="s">
        <v>1054</v>
      </c>
      <c r="C214" s="13">
        <v>1</v>
      </c>
      <c r="D214" s="13">
        <v>1</v>
      </c>
      <c r="E214" s="13">
        <v>2</v>
      </c>
    </row>
    <row r="215" spans="1:5" x14ac:dyDescent="0.3">
      <c r="A215" s="13" t="s">
        <v>1</v>
      </c>
      <c r="B215" s="13" t="s">
        <v>2679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310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393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1374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105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1036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1129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1055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1598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939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276</v>
      </c>
      <c r="C225" s="13">
        <v>1</v>
      </c>
      <c r="D225" s="13">
        <v>1</v>
      </c>
      <c r="E225" s="13">
        <v>2</v>
      </c>
    </row>
    <row r="226" spans="1:5" x14ac:dyDescent="0.3">
      <c r="A226" s="13" t="s">
        <v>1</v>
      </c>
      <c r="B226" s="13" t="s">
        <v>429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861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616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165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2680</v>
      </c>
      <c r="C230" s="13">
        <v>1</v>
      </c>
      <c r="D230" s="13">
        <v>1</v>
      </c>
      <c r="E230" s="13">
        <v>2</v>
      </c>
    </row>
    <row r="231" spans="1:5" x14ac:dyDescent="0.3">
      <c r="A231" s="13" t="s">
        <v>1</v>
      </c>
      <c r="B231" s="13" t="s">
        <v>108</v>
      </c>
      <c r="C231" s="13">
        <v>2</v>
      </c>
      <c r="D231" s="13">
        <v>1</v>
      </c>
      <c r="E231" s="13">
        <v>2</v>
      </c>
    </row>
    <row r="232" spans="1:5" x14ac:dyDescent="0.3">
      <c r="A232" s="13" t="s">
        <v>1</v>
      </c>
      <c r="B232" s="13" t="s">
        <v>1096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395</v>
      </c>
      <c r="C233" s="13">
        <v>2</v>
      </c>
      <c r="D233" s="13">
        <v>1</v>
      </c>
      <c r="E233" s="13">
        <v>2</v>
      </c>
    </row>
    <row r="234" spans="1:5" x14ac:dyDescent="0.3">
      <c r="A234" s="13" t="s">
        <v>1</v>
      </c>
      <c r="B234" s="13" t="s">
        <v>793</v>
      </c>
      <c r="C234" s="13">
        <v>2</v>
      </c>
      <c r="D234" s="13">
        <v>1</v>
      </c>
      <c r="E234" s="13">
        <v>2</v>
      </c>
    </row>
    <row r="235" spans="1:5" x14ac:dyDescent="0.3">
      <c r="A235" s="13" t="s">
        <v>1</v>
      </c>
      <c r="B235" s="13" t="s">
        <v>1172</v>
      </c>
      <c r="C235" s="13">
        <v>2</v>
      </c>
      <c r="D235" s="13">
        <v>1</v>
      </c>
      <c r="E235" s="13">
        <v>2</v>
      </c>
    </row>
    <row r="236" spans="1:5" x14ac:dyDescent="0.3">
      <c r="A236" s="13" t="s">
        <v>1</v>
      </c>
      <c r="B236" s="13" t="s">
        <v>278</v>
      </c>
      <c r="C236" s="13">
        <v>1</v>
      </c>
      <c r="D236" s="13">
        <v>1</v>
      </c>
      <c r="E236" s="13">
        <v>2</v>
      </c>
    </row>
    <row r="237" spans="1:5" x14ac:dyDescent="0.3">
      <c r="A237" s="13" t="s">
        <v>1</v>
      </c>
      <c r="B237" s="13" t="s">
        <v>109</v>
      </c>
      <c r="C237" s="13">
        <v>4</v>
      </c>
      <c r="D237" s="13">
        <v>1</v>
      </c>
      <c r="E237" s="13">
        <v>3</v>
      </c>
    </row>
    <row r="238" spans="1:5" x14ac:dyDescent="0.3">
      <c r="A238" s="13" t="s">
        <v>1</v>
      </c>
      <c r="B238" s="13" t="s">
        <v>167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620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1330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2681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765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827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568</v>
      </c>
      <c r="C244" s="13">
        <v>1</v>
      </c>
      <c r="D244" s="13">
        <v>1</v>
      </c>
      <c r="E244" s="13">
        <v>2</v>
      </c>
    </row>
    <row r="245" spans="1:5" x14ac:dyDescent="0.3">
      <c r="A245" s="13" t="s">
        <v>1</v>
      </c>
      <c r="B245" s="13" t="s">
        <v>1213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315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686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317</v>
      </c>
      <c r="C248" s="13">
        <v>1</v>
      </c>
      <c r="D248" s="13">
        <v>1</v>
      </c>
      <c r="E248" s="13">
        <v>2</v>
      </c>
    </row>
    <row r="249" spans="1:5" x14ac:dyDescent="0.3">
      <c r="A249" s="13" t="s">
        <v>1</v>
      </c>
      <c r="B249" s="13" t="s">
        <v>1460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690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736</v>
      </c>
      <c r="C251" s="13">
        <v>1</v>
      </c>
      <c r="D251" s="13">
        <v>1</v>
      </c>
      <c r="E251" s="13">
        <v>2</v>
      </c>
    </row>
    <row r="252" spans="1:5" x14ac:dyDescent="0.3">
      <c r="A252" s="13" t="s">
        <v>1</v>
      </c>
      <c r="B252" s="13" t="s">
        <v>1005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893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832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569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1187</v>
      </c>
      <c r="C256" s="13">
        <v>2</v>
      </c>
      <c r="D256" s="13">
        <v>1</v>
      </c>
      <c r="E256" s="13">
        <v>6</v>
      </c>
    </row>
    <row r="257" spans="1:5" x14ac:dyDescent="0.3">
      <c r="A257" s="13" t="s">
        <v>1</v>
      </c>
      <c r="B257" s="13" t="s">
        <v>571</v>
      </c>
      <c r="C257" s="13">
        <v>3</v>
      </c>
      <c r="D257" s="13">
        <v>1</v>
      </c>
      <c r="E257" s="13">
        <v>3</v>
      </c>
    </row>
    <row r="258" spans="1:5" x14ac:dyDescent="0.3">
      <c r="A258" s="13" t="s">
        <v>1</v>
      </c>
      <c r="B258" s="13" t="s">
        <v>737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864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287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1414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2682</v>
      </c>
      <c r="C262" s="13">
        <v>1</v>
      </c>
      <c r="D262" s="13">
        <v>1</v>
      </c>
      <c r="E262" s="13">
        <v>2</v>
      </c>
    </row>
    <row r="263" spans="1:5" x14ac:dyDescent="0.3">
      <c r="A263" s="13" t="s">
        <v>1</v>
      </c>
      <c r="B263" s="13" t="s">
        <v>794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2683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946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1336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1691</v>
      </c>
      <c r="C267" s="13">
        <v>1</v>
      </c>
      <c r="D267" s="13">
        <v>1</v>
      </c>
      <c r="E267" s="13">
        <v>2</v>
      </c>
    </row>
    <row r="268" spans="1:5" x14ac:dyDescent="0.3">
      <c r="A268" s="13" t="s">
        <v>1</v>
      </c>
      <c r="B268" s="13" t="s">
        <v>624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2181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835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115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739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403</v>
      </c>
      <c r="C273" s="13">
        <v>1</v>
      </c>
      <c r="D273" s="13">
        <v>1</v>
      </c>
      <c r="E273" s="13">
        <v>2</v>
      </c>
    </row>
    <row r="274" spans="1:5" x14ac:dyDescent="0.3">
      <c r="A274" s="13" t="s">
        <v>1</v>
      </c>
      <c r="B274" s="13" t="s">
        <v>328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1038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172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1241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1242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2684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1168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699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2685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901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334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119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1109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1894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2686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2687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123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838</v>
      </c>
      <c r="C291" s="13">
        <v>1</v>
      </c>
      <c r="D291" s="13">
        <v>1</v>
      </c>
      <c r="E291" s="13">
        <v>2</v>
      </c>
    </row>
    <row r="292" spans="1:5" x14ac:dyDescent="0.3">
      <c r="A292" s="13" t="s">
        <v>1</v>
      </c>
      <c r="B292" s="13" t="s">
        <v>1502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364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1366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1415</v>
      </c>
      <c r="C295" s="13">
        <v>2</v>
      </c>
      <c r="D295" s="13">
        <v>1</v>
      </c>
      <c r="E295" s="13">
        <v>2</v>
      </c>
    </row>
    <row r="296" spans="1:5" x14ac:dyDescent="0.3">
      <c r="A296" s="13" t="s">
        <v>1</v>
      </c>
      <c r="B296" s="13" t="s">
        <v>533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865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1439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777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415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2634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416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907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185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1058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130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439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867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131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253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1025</v>
      </c>
      <c r="C311" s="13">
        <v>4</v>
      </c>
      <c r="D311" s="13">
        <v>1</v>
      </c>
      <c r="E311" s="13">
        <v>4</v>
      </c>
    </row>
    <row r="312" spans="1:5" x14ac:dyDescent="0.3">
      <c r="A312" s="13" t="s">
        <v>1</v>
      </c>
      <c r="B312" s="13" t="s">
        <v>541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295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1118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2688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803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190</v>
      </c>
      <c r="C317" s="13">
        <v>2</v>
      </c>
      <c r="D317" s="13">
        <v>1</v>
      </c>
      <c r="E317" s="13">
        <v>2</v>
      </c>
    </row>
    <row r="318" spans="1:5" x14ac:dyDescent="0.3">
      <c r="A318" s="13" t="s">
        <v>1</v>
      </c>
      <c r="B318" s="13" t="s">
        <v>191</v>
      </c>
      <c r="C318" s="13">
        <v>7</v>
      </c>
      <c r="D318" s="13">
        <v>1</v>
      </c>
      <c r="E318" s="13">
        <v>13</v>
      </c>
    </row>
    <row r="319" spans="1:5" x14ac:dyDescent="0.3">
      <c r="A319" s="13" t="s">
        <v>1</v>
      </c>
      <c r="B319" s="13" t="s">
        <v>233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54</v>
      </c>
      <c r="C320" s="13">
        <v>6</v>
      </c>
      <c r="D320" s="13">
        <v>1</v>
      </c>
      <c r="E320" s="13">
        <v>7</v>
      </c>
    </row>
    <row r="321" spans="1:5" x14ac:dyDescent="0.3">
      <c r="A321" s="13" t="s">
        <v>1</v>
      </c>
      <c r="B321" s="13" t="s">
        <v>640</v>
      </c>
      <c r="C321" s="13">
        <v>7</v>
      </c>
      <c r="D321" s="13">
        <v>1</v>
      </c>
      <c r="E321" s="13">
        <v>12</v>
      </c>
    </row>
    <row r="322" spans="1:5" x14ac:dyDescent="0.3">
      <c r="A322" s="13" t="s">
        <v>1</v>
      </c>
      <c r="B322" s="13" t="s">
        <v>56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1198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1903</v>
      </c>
      <c r="C324" s="13">
        <v>1</v>
      </c>
      <c r="D324" s="13">
        <v>1</v>
      </c>
      <c r="E324" s="13">
        <v>3</v>
      </c>
    </row>
    <row r="325" spans="1:5" x14ac:dyDescent="0.3">
      <c r="A325" s="13" t="s">
        <v>1</v>
      </c>
      <c r="B325" s="13" t="s">
        <v>2218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1739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547</v>
      </c>
      <c r="C327" s="13">
        <v>1</v>
      </c>
      <c r="D327" s="13">
        <v>1</v>
      </c>
      <c r="E327" s="13"/>
    </row>
    <row r="328" spans="1:5" x14ac:dyDescent="0.3">
      <c r="A328" s="13" t="s">
        <v>1</v>
      </c>
      <c r="B328" s="13" t="s">
        <v>2689</v>
      </c>
      <c r="C328" s="13">
        <v>1</v>
      </c>
      <c r="D328" s="13">
        <v>1</v>
      </c>
      <c r="E328" s="13"/>
    </row>
    <row r="329" spans="1:5" x14ac:dyDescent="0.3">
      <c r="A329" s="13" t="s">
        <v>1</v>
      </c>
      <c r="B329" s="13" t="s">
        <v>869</v>
      </c>
      <c r="C329" s="13">
        <v>1</v>
      </c>
      <c r="D329" s="13">
        <v>2</v>
      </c>
      <c r="E329" s="13"/>
    </row>
    <row r="330" spans="1:5" x14ac:dyDescent="0.3">
      <c r="A330" s="13" t="s">
        <v>1</v>
      </c>
      <c r="B330" s="13" t="s">
        <v>1358</v>
      </c>
      <c r="C330" s="13">
        <v>1</v>
      </c>
      <c r="D330" s="13">
        <v>1</v>
      </c>
      <c r="E330" s="13">
        <v>3</v>
      </c>
    </row>
    <row r="331" spans="1:5" x14ac:dyDescent="0.3">
      <c r="A331" s="13" t="s">
        <v>1</v>
      </c>
      <c r="B331" s="13" t="s">
        <v>136</v>
      </c>
      <c r="C331" s="13">
        <v>1</v>
      </c>
      <c r="D331" s="13">
        <v>1</v>
      </c>
      <c r="E331" s="13"/>
    </row>
    <row r="332" spans="1:5" x14ac:dyDescent="0.3">
      <c r="A332" s="13" t="s">
        <v>1</v>
      </c>
      <c r="B332" s="13" t="s">
        <v>2063</v>
      </c>
      <c r="C332" s="13">
        <v>1</v>
      </c>
      <c r="D332" s="13">
        <v>1</v>
      </c>
      <c r="E332" s="13"/>
    </row>
    <row r="333" spans="1:5" x14ac:dyDescent="0.3">
      <c r="A333" s="13" t="s">
        <v>1</v>
      </c>
      <c r="B333" s="13" t="s">
        <v>548</v>
      </c>
      <c r="C333" s="13">
        <v>1</v>
      </c>
      <c r="D333" s="13">
        <v>1</v>
      </c>
      <c r="E333" s="13"/>
    </row>
    <row r="334" spans="1:5" x14ac:dyDescent="0.3">
      <c r="A334" s="13" t="s">
        <v>1</v>
      </c>
      <c r="B334" s="13" t="s">
        <v>1394</v>
      </c>
      <c r="C334" s="13">
        <v>1</v>
      </c>
      <c r="D334" s="13">
        <v>1</v>
      </c>
      <c r="E334" s="13">
        <v>3</v>
      </c>
    </row>
    <row r="335" spans="1:5" x14ac:dyDescent="0.3">
      <c r="A335" s="13" t="s">
        <v>1</v>
      </c>
      <c r="B335" s="13" t="s">
        <v>2690</v>
      </c>
      <c r="C335" s="13">
        <v>1</v>
      </c>
      <c r="D335" s="13">
        <v>1</v>
      </c>
      <c r="E335" s="13"/>
    </row>
    <row r="336" spans="1:5" x14ac:dyDescent="0.3">
      <c r="A336" s="13" t="s">
        <v>1</v>
      </c>
      <c r="B336" s="13" t="s">
        <v>1435</v>
      </c>
      <c r="C336" s="13">
        <v>2</v>
      </c>
      <c r="D336" s="13">
        <v>1</v>
      </c>
      <c r="E336" s="13">
        <v>2</v>
      </c>
    </row>
    <row r="337" spans="1:5" x14ac:dyDescent="0.3">
      <c r="A337" s="13" t="s">
        <v>1</v>
      </c>
      <c r="B337" s="13" t="s">
        <v>1121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0</v>
      </c>
      <c r="B338" s="13" t="s">
        <v>925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0</v>
      </c>
      <c r="B339" s="13" t="s">
        <v>199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0</v>
      </c>
      <c r="B340" s="13" t="s">
        <v>1224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0</v>
      </c>
      <c r="B341" s="13" t="s">
        <v>726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0</v>
      </c>
      <c r="B342" s="13" t="s">
        <v>372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0</v>
      </c>
      <c r="B343" s="13" t="s">
        <v>71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0</v>
      </c>
      <c r="B344" s="13" t="s">
        <v>72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0</v>
      </c>
      <c r="B345" s="13" t="s">
        <v>57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0</v>
      </c>
      <c r="B346" s="13" t="s">
        <v>73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0</v>
      </c>
      <c r="B347" s="13" t="s">
        <v>2691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0</v>
      </c>
      <c r="B348" s="13" t="s">
        <v>670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0</v>
      </c>
      <c r="B349" s="13" t="s">
        <v>474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0</v>
      </c>
      <c r="B350" s="13" t="s">
        <v>345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0</v>
      </c>
      <c r="B351" s="13" t="s">
        <v>498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0</v>
      </c>
      <c r="B352" s="13" t="s">
        <v>59</v>
      </c>
      <c r="C352" s="13">
        <v>2</v>
      </c>
      <c r="D352" s="13">
        <v>1</v>
      </c>
      <c r="E352" s="13">
        <v>2</v>
      </c>
    </row>
    <row r="353" spans="1:5" x14ac:dyDescent="0.3">
      <c r="A353" s="13" t="s">
        <v>0</v>
      </c>
      <c r="B353" s="13" t="s">
        <v>2692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260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0</v>
      </c>
      <c r="B355" s="13" t="s">
        <v>304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211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815</v>
      </c>
      <c r="C357" s="13">
        <v>1</v>
      </c>
      <c r="D357" s="13">
        <v>1</v>
      </c>
      <c r="E357" s="13">
        <v>2</v>
      </c>
    </row>
    <row r="358" spans="1:5" x14ac:dyDescent="0.3">
      <c r="A358" s="13" t="s">
        <v>0</v>
      </c>
      <c r="B358" s="13" t="s">
        <v>500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84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349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1288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1181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1503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87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91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612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2693</v>
      </c>
      <c r="C367" s="13">
        <v>1</v>
      </c>
      <c r="D367" s="13">
        <v>1</v>
      </c>
      <c r="E367" s="13"/>
    </row>
    <row r="368" spans="1:5" x14ac:dyDescent="0.3">
      <c r="A368" s="13" t="s">
        <v>0</v>
      </c>
      <c r="B368" s="13" t="s">
        <v>42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1471</v>
      </c>
      <c r="C369" s="13">
        <v>1</v>
      </c>
      <c r="D369" s="13">
        <v>1</v>
      </c>
      <c r="E369" s="13">
        <v>3</v>
      </c>
    </row>
    <row r="370" spans="1:5" x14ac:dyDescent="0.3">
      <c r="A370" s="13" t="s">
        <v>0</v>
      </c>
      <c r="B370" s="13" t="s">
        <v>1485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1484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1645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1926</v>
      </c>
      <c r="C373" s="13">
        <v>2</v>
      </c>
      <c r="D373" s="13">
        <v>1</v>
      </c>
      <c r="E373" s="13">
        <v>3</v>
      </c>
    </row>
    <row r="374" spans="1:5" x14ac:dyDescent="0.3">
      <c r="A374" s="13" t="s">
        <v>0</v>
      </c>
      <c r="B374" s="13" t="s">
        <v>1885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1960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2069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2179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2624</v>
      </c>
      <c r="C378" s="13">
        <v>4</v>
      </c>
      <c r="D378" s="13">
        <v>1</v>
      </c>
      <c r="E378" s="13">
        <v>6</v>
      </c>
    </row>
    <row r="379" spans="1:5" x14ac:dyDescent="0.3">
      <c r="A379" s="13" t="s">
        <v>0</v>
      </c>
      <c r="B379" s="13" t="s">
        <v>273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1083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388</v>
      </c>
      <c r="C381" s="13">
        <v>1</v>
      </c>
      <c r="D381" s="13">
        <v>1</v>
      </c>
      <c r="E381" s="13">
        <v>2</v>
      </c>
    </row>
    <row r="382" spans="1:5" x14ac:dyDescent="0.3">
      <c r="A382" s="13" t="s">
        <v>0</v>
      </c>
      <c r="B382" s="13" t="s">
        <v>35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476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729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156</v>
      </c>
      <c r="C385" s="13">
        <v>2</v>
      </c>
      <c r="D385" s="13">
        <v>1</v>
      </c>
      <c r="E385" s="13">
        <v>2</v>
      </c>
    </row>
    <row r="386" spans="1:5" x14ac:dyDescent="0.3">
      <c r="A386" s="13" t="s">
        <v>0</v>
      </c>
      <c r="B386" s="13" t="s">
        <v>936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937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342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1255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1724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105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615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43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2409</v>
      </c>
      <c r="C394" s="13">
        <v>1</v>
      </c>
      <c r="D394" s="13">
        <v>1</v>
      </c>
      <c r="E394" s="13">
        <v>2</v>
      </c>
    </row>
    <row r="395" spans="1:5" x14ac:dyDescent="0.3">
      <c r="A395" s="13" t="s">
        <v>0</v>
      </c>
      <c r="B395" s="13" t="s">
        <v>164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107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165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734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168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942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111</v>
      </c>
      <c r="C401" s="13">
        <v>2</v>
      </c>
      <c r="D401" s="13">
        <v>1</v>
      </c>
      <c r="E401" s="13">
        <v>5</v>
      </c>
    </row>
    <row r="402" spans="1:5" x14ac:dyDescent="0.3">
      <c r="A402" s="13" t="s">
        <v>0</v>
      </c>
      <c r="B402" s="13" t="s">
        <v>1410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279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824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2694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513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579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1133</v>
      </c>
      <c r="C408" s="13">
        <v>1</v>
      </c>
      <c r="D408" s="13">
        <v>1</v>
      </c>
      <c r="E408" s="13">
        <v>2</v>
      </c>
    </row>
    <row r="409" spans="1:5" x14ac:dyDescent="0.3">
      <c r="A409" s="13" t="s">
        <v>0</v>
      </c>
      <c r="B409" s="13" t="s">
        <v>568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1107</v>
      </c>
      <c r="C410" s="13">
        <v>1</v>
      </c>
      <c r="D410" s="13">
        <v>1</v>
      </c>
      <c r="E410" s="13">
        <v>2</v>
      </c>
    </row>
    <row r="411" spans="1:5" x14ac:dyDescent="0.3">
      <c r="A411" s="13" t="s">
        <v>0</v>
      </c>
      <c r="B411" s="13" t="s">
        <v>1421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516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45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2588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692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431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2695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1188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572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769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528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479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2066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118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2102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631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121</v>
      </c>
      <c r="C427" s="13">
        <v>1</v>
      </c>
      <c r="D427" s="13">
        <v>1</v>
      </c>
      <c r="E427" s="13">
        <v>3</v>
      </c>
    </row>
    <row r="428" spans="1:5" x14ac:dyDescent="0.3">
      <c r="A428" s="13" t="s">
        <v>0</v>
      </c>
      <c r="B428" s="13" t="s">
        <v>46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123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175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1642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2696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435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63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177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668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2533</v>
      </c>
      <c r="C437" s="13">
        <v>1</v>
      </c>
      <c r="D437" s="13">
        <v>1</v>
      </c>
      <c r="E437" s="13">
        <v>2</v>
      </c>
    </row>
    <row r="438" spans="1:5" x14ac:dyDescent="0.3">
      <c r="A438" s="13" t="s">
        <v>0</v>
      </c>
      <c r="B438" s="13" t="s">
        <v>413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456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182</v>
      </c>
      <c r="C440" s="13">
        <v>1</v>
      </c>
      <c r="D440" s="13">
        <v>1</v>
      </c>
      <c r="E440" s="13">
        <v>2</v>
      </c>
    </row>
    <row r="441" spans="1:5" x14ac:dyDescent="0.3">
      <c r="A441" s="13" t="s">
        <v>0</v>
      </c>
      <c r="B441" s="13" t="s">
        <v>416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130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340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483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909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1060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191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67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2697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869</v>
      </c>
      <c r="C450" s="13">
        <v>1</v>
      </c>
      <c r="D450" s="13">
        <v>1</v>
      </c>
      <c r="E450" s="13"/>
    </row>
    <row r="451" spans="1:5" x14ac:dyDescent="0.3">
      <c r="A451" s="13" t="s">
        <v>0</v>
      </c>
      <c r="B451" s="13" t="s">
        <v>1966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468</v>
      </c>
      <c r="C452" s="13">
        <v>1</v>
      </c>
      <c r="D452" s="13">
        <v>1</v>
      </c>
      <c r="E452" s="13"/>
    </row>
    <row r="453" spans="1:5" x14ac:dyDescent="0.3">
      <c r="A453" s="13" t="s">
        <v>0</v>
      </c>
      <c r="B453" s="13" t="s">
        <v>1148</v>
      </c>
      <c r="C453" s="13">
        <v>1</v>
      </c>
      <c r="D453" s="13">
        <v>1</v>
      </c>
      <c r="E453" s="13"/>
    </row>
    <row r="454" spans="1:5" x14ac:dyDescent="0.3">
      <c r="A454" s="13" t="s">
        <v>0</v>
      </c>
      <c r="B454" s="13" t="s">
        <v>1527</v>
      </c>
      <c r="C454" s="13">
        <v>1</v>
      </c>
      <c r="D454" s="13">
        <v>1</v>
      </c>
      <c r="E454" s="13">
        <v>2</v>
      </c>
    </row>
    <row r="455" spans="1:5" x14ac:dyDescent="0.3">
      <c r="A455" s="13" t="s">
        <v>0</v>
      </c>
      <c r="B455" s="13" t="s">
        <v>1619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2</v>
      </c>
      <c r="B456" s="13" t="s">
        <v>30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2</v>
      </c>
      <c r="B457" s="13" t="s">
        <v>147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2</v>
      </c>
      <c r="B458" s="13" t="s">
        <v>1663</v>
      </c>
      <c r="C458" s="13">
        <v>2</v>
      </c>
      <c r="D458" s="13">
        <v>1</v>
      </c>
      <c r="E458" s="13">
        <v>3</v>
      </c>
    </row>
    <row r="459" spans="1:5" x14ac:dyDescent="0.3">
      <c r="A459" s="13" t="s">
        <v>2</v>
      </c>
      <c r="B459" s="13" t="s">
        <v>1738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2</v>
      </c>
      <c r="B460" s="13" t="s">
        <v>559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2</v>
      </c>
      <c r="B461" s="13" t="s">
        <v>2520</v>
      </c>
      <c r="C461" s="13">
        <v>1</v>
      </c>
      <c r="D461" s="13">
        <v>1</v>
      </c>
      <c r="E461" s="13">
        <v>2</v>
      </c>
    </row>
    <row r="462" spans="1:5" x14ac:dyDescent="0.3">
      <c r="A462" s="13" t="s">
        <v>2</v>
      </c>
      <c r="B462" s="13" t="s">
        <v>105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2</v>
      </c>
      <c r="B463" s="13" t="s">
        <v>29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2</v>
      </c>
      <c r="B464" s="13" t="s">
        <v>165</v>
      </c>
      <c r="C464" s="13">
        <v>1</v>
      </c>
      <c r="D464" s="13">
        <v>1</v>
      </c>
      <c r="E464" s="13">
        <v>2</v>
      </c>
    </row>
    <row r="465" spans="1:5" x14ac:dyDescent="0.3">
      <c r="A465" s="13" t="s">
        <v>2</v>
      </c>
      <c r="B465" s="13" t="s">
        <v>51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2</v>
      </c>
      <c r="B466" s="13" t="s">
        <v>568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2</v>
      </c>
      <c r="B467" s="13" t="s">
        <v>1107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2</v>
      </c>
      <c r="B468" s="13" t="s">
        <v>37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2</v>
      </c>
      <c r="B469" s="13" t="s">
        <v>130</v>
      </c>
      <c r="C469" s="13">
        <v>1</v>
      </c>
      <c r="D469" s="13">
        <v>1</v>
      </c>
      <c r="E469" s="13">
        <v>2</v>
      </c>
    </row>
    <row r="470" spans="1:5" x14ac:dyDescent="0.3">
      <c r="A470" s="13" t="s">
        <v>1</v>
      </c>
      <c r="B470" s="13" t="s">
        <v>198</v>
      </c>
      <c r="C470" s="13">
        <v>1</v>
      </c>
      <c r="D470" s="13">
        <v>0</v>
      </c>
      <c r="E470" s="13">
        <v>2</v>
      </c>
    </row>
    <row r="471" spans="1:5" x14ac:dyDescent="0.3">
      <c r="A471" s="13" t="s">
        <v>1</v>
      </c>
      <c r="B471" s="13" t="s">
        <v>925</v>
      </c>
      <c r="C471" s="13">
        <v>1</v>
      </c>
      <c r="D471" s="13">
        <v>0</v>
      </c>
      <c r="E471" s="13">
        <v>1</v>
      </c>
    </row>
    <row r="472" spans="1:5" x14ac:dyDescent="0.3">
      <c r="A472" s="13" t="s">
        <v>1</v>
      </c>
      <c r="B472" s="13" t="s">
        <v>966</v>
      </c>
      <c r="C472" s="13">
        <v>1</v>
      </c>
      <c r="D472" s="13">
        <v>0</v>
      </c>
      <c r="E472" s="13">
        <v>1</v>
      </c>
    </row>
    <row r="473" spans="1:5" x14ac:dyDescent="0.3">
      <c r="A473" s="13" t="s">
        <v>1</v>
      </c>
      <c r="B473" s="13" t="s">
        <v>2698</v>
      </c>
      <c r="C473" s="13">
        <v>1</v>
      </c>
      <c r="D473" s="13">
        <v>0</v>
      </c>
      <c r="E473" s="13">
        <v>1</v>
      </c>
    </row>
    <row r="474" spans="1:5" x14ac:dyDescent="0.3">
      <c r="A474" s="13" t="s">
        <v>1</v>
      </c>
      <c r="B474" s="13" t="s">
        <v>239</v>
      </c>
      <c r="C474" s="13">
        <v>2</v>
      </c>
      <c r="D474" s="13">
        <v>0</v>
      </c>
      <c r="E474" s="13">
        <v>3</v>
      </c>
    </row>
    <row r="475" spans="1:5" x14ac:dyDescent="0.3">
      <c r="A475" s="13" t="s">
        <v>1</v>
      </c>
      <c r="B475" s="13" t="s">
        <v>368</v>
      </c>
      <c r="C475" s="13">
        <v>1</v>
      </c>
      <c r="D475" s="13">
        <v>0</v>
      </c>
      <c r="E475" s="13">
        <v>2</v>
      </c>
    </row>
    <row r="476" spans="1:5" x14ac:dyDescent="0.3">
      <c r="A476" s="13" t="s">
        <v>1</v>
      </c>
      <c r="B476" s="13" t="s">
        <v>2699</v>
      </c>
      <c r="C476" s="13">
        <v>2</v>
      </c>
      <c r="D476" s="13">
        <v>0</v>
      </c>
      <c r="E476" s="13">
        <v>2</v>
      </c>
    </row>
    <row r="477" spans="1:5" x14ac:dyDescent="0.3">
      <c r="A477" s="13" t="s">
        <v>1</v>
      </c>
      <c r="B477" s="13" t="s">
        <v>199</v>
      </c>
      <c r="C477" s="13">
        <v>2</v>
      </c>
      <c r="D477" s="13">
        <v>0</v>
      </c>
      <c r="E477" s="13">
        <v>2</v>
      </c>
    </row>
    <row r="478" spans="1:5" x14ac:dyDescent="0.3">
      <c r="A478" s="13" t="s">
        <v>1</v>
      </c>
      <c r="B478" s="13" t="s">
        <v>1361</v>
      </c>
      <c r="C478" s="13">
        <v>1</v>
      </c>
      <c r="D478" s="13">
        <v>0</v>
      </c>
      <c r="E478" s="13">
        <v>1</v>
      </c>
    </row>
    <row r="479" spans="1:5" x14ac:dyDescent="0.3">
      <c r="A479" s="13" t="s">
        <v>1</v>
      </c>
      <c r="B479" s="13" t="s">
        <v>138</v>
      </c>
      <c r="C479" s="13">
        <v>2</v>
      </c>
      <c r="D479" s="13">
        <v>0</v>
      </c>
      <c r="E479" s="13">
        <v>2</v>
      </c>
    </row>
    <row r="480" spans="1:5" x14ac:dyDescent="0.3">
      <c r="A480" s="13" t="s">
        <v>1</v>
      </c>
      <c r="B480" s="13" t="s">
        <v>583</v>
      </c>
      <c r="C480" s="13">
        <v>1</v>
      </c>
      <c r="D480" s="13">
        <v>0</v>
      </c>
      <c r="E480" s="13">
        <v>1</v>
      </c>
    </row>
    <row r="481" spans="1:5" x14ac:dyDescent="0.3">
      <c r="A481" s="13" t="s">
        <v>1</v>
      </c>
      <c r="B481" s="13" t="s">
        <v>380</v>
      </c>
      <c r="C481" s="13">
        <v>1</v>
      </c>
      <c r="D481" s="13">
        <v>0</v>
      </c>
      <c r="E481" s="13">
        <v>0</v>
      </c>
    </row>
    <row r="482" spans="1:5" x14ac:dyDescent="0.3">
      <c r="A482" s="13" t="s">
        <v>1</v>
      </c>
      <c r="B482" s="13" t="s">
        <v>462</v>
      </c>
      <c r="C482" s="13">
        <v>1</v>
      </c>
      <c r="D482" s="13">
        <v>0</v>
      </c>
      <c r="E482" s="13">
        <v>1</v>
      </c>
    </row>
    <row r="483" spans="1:5" x14ac:dyDescent="0.3">
      <c r="A483" s="13" t="s">
        <v>1</v>
      </c>
      <c r="B483" s="13" t="s">
        <v>553</v>
      </c>
      <c r="C483" s="13">
        <v>1</v>
      </c>
      <c r="D483" s="13">
        <v>0</v>
      </c>
      <c r="E483" s="13">
        <v>1</v>
      </c>
    </row>
    <row r="484" spans="1:5" x14ac:dyDescent="0.3">
      <c r="A484" s="13" t="s">
        <v>1</v>
      </c>
      <c r="B484" s="13" t="s">
        <v>202</v>
      </c>
      <c r="C484" s="13">
        <v>1</v>
      </c>
      <c r="D484" s="13">
        <v>0</v>
      </c>
      <c r="E484" s="13">
        <v>1</v>
      </c>
    </row>
    <row r="485" spans="1:5" x14ac:dyDescent="0.3">
      <c r="A485" s="13" t="s">
        <v>1</v>
      </c>
      <c r="B485" s="13" t="s">
        <v>470</v>
      </c>
      <c r="C485" s="13">
        <v>1</v>
      </c>
      <c r="D485" s="13">
        <v>0</v>
      </c>
      <c r="E485" s="13">
        <v>1</v>
      </c>
    </row>
    <row r="486" spans="1:5" x14ac:dyDescent="0.3">
      <c r="A486" s="13" t="s">
        <v>1</v>
      </c>
      <c r="B486" s="13" t="s">
        <v>445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73</v>
      </c>
      <c r="C487" s="13">
        <v>1</v>
      </c>
      <c r="D487" s="13">
        <v>0</v>
      </c>
      <c r="E487" s="13">
        <v>1</v>
      </c>
    </row>
    <row r="488" spans="1:5" x14ac:dyDescent="0.3">
      <c r="A488" s="13" t="s">
        <v>1</v>
      </c>
      <c r="B488" s="13" t="s">
        <v>753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2606</v>
      </c>
      <c r="C489" s="13">
        <v>1</v>
      </c>
      <c r="D489" s="13">
        <v>0</v>
      </c>
      <c r="E489" s="13">
        <v>2</v>
      </c>
    </row>
    <row r="490" spans="1:5" x14ac:dyDescent="0.3">
      <c r="A490" s="13" t="s">
        <v>1</v>
      </c>
      <c r="B490" s="13" t="s">
        <v>1207</v>
      </c>
      <c r="C490" s="13">
        <v>1</v>
      </c>
      <c r="D490" s="13">
        <v>0</v>
      </c>
      <c r="E490" s="13">
        <v>1</v>
      </c>
    </row>
    <row r="491" spans="1:5" x14ac:dyDescent="0.3">
      <c r="A491" s="13" t="s">
        <v>1</v>
      </c>
      <c r="B491" s="13" t="s">
        <v>446</v>
      </c>
      <c r="C491" s="13">
        <v>2</v>
      </c>
      <c r="D491" s="13">
        <v>0</v>
      </c>
      <c r="E491" s="13">
        <v>2</v>
      </c>
    </row>
    <row r="492" spans="1:5" x14ac:dyDescent="0.3">
      <c r="A492" s="13" t="s">
        <v>1</v>
      </c>
      <c r="B492" s="13" t="s">
        <v>2161</v>
      </c>
      <c r="C492" s="13">
        <v>1</v>
      </c>
      <c r="D492" s="13">
        <v>0</v>
      </c>
      <c r="E492" s="13">
        <v>1</v>
      </c>
    </row>
    <row r="493" spans="1:5" x14ac:dyDescent="0.3">
      <c r="A493" s="13" t="s">
        <v>1</v>
      </c>
      <c r="B493" s="13" t="s">
        <v>205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811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74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382</v>
      </c>
      <c r="C496" s="13">
        <v>1</v>
      </c>
      <c r="D496" s="13">
        <v>0</v>
      </c>
      <c r="E496" s="13">
        <v>1</v>
      </c>
    </row>
    <row r="497" spans="1:5" x14ac:dyDescent="0.3">
      <c r="A497" s="13" t="s">
        <v>1</v>
      </c>
      <c r="B497" s="13" t="s">
        <v>1266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1159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1946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346</v>
      </c>
      <c r="C500" s="13">
        <v>4</v>
      </c>
      <c r="D500" s="13">
        <v>0</v>
      </c>
      <c r="E500" s="13">
        <v>5</v>
      </c>
    </row>
    <row r="501" spans="1:5" x14ac:dyDescent="0.3">
      <c r="A501" s="13" t="s">
        <v>1</v>
      </c>
      <c r="B501" s="13" t="s">
        <v>243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930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348</v>
      </c>
      <c r="C503" s="13">
        <v>1</v>
      </c>
      <c r="D503" s="13">
        <v>0</v>
      </c>
      <c r="E503" s="13">
        <v>2</v>
      </c>
    </row>
    <row r="504" spans="1:5" x14ac:dyDescent="0.3">
      <c r="A504" s="13" t="s">
        <v>1</v>
      </c>
      <c r="B504" s="13" t="s">
        <v>79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463</v>
      </c>
      <c r="C505" s="13">
        <v>1</v>
      </c>
      <c r="D505" s="13">
        <v>0</v>
      </c>
      <c r="E505" s="13">
        <v>2</v>
      </c>
    </row>
    <row r="506" spans="1:5" x14ac:dyDescent="0.3">
      <c r="A506" s="13" t="s">
        <v>1</v>
      </c>
      <c r="B506" s="13" t="s">
        <v>855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673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144</v>
      </c>
      <c r="C508" s="13">
        <v>2</v>
      </c>
      <c r="D508" s="13">
        <v>0</v>
      </c>
      <c r="E508" s="13">
        <v>2</v>
      </c>
    </row>
    <row r="509" spans="1:5" x14ac:dyDescent="0.3">
      <c r="A509" s="13" t="s">
        <v>1</v>
      </c>
      <c r="B509" s="13" t="s">
        <v>501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270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986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349</v>
      </c>
      <c r="C512" s="13">
        <v>3</v>
      </c>
      <c r="D512" s="13">
        <v>0</v>
      </c>
      <c r="E512" s="13">
        <v>3</v>
      </c>
    </row>
    <row r="513" spans="1:5" x14ac:dyDescent="0.3">
      <c r="A513" s="13" t="s">
        <v>1</v>
      </c>
      <c r="B513" s="13" t="s">
        <v>988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1181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675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147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603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502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605</v>
      </c>
      <c r="C519" s="13">
        <v>2</v>
      </c>
      <c r="D519" s="13">
        <v>0</v>
      </c>
      <c r="E519" s="13">
        <v>2</v>
      </c>
    </row>
    <row r="520" spans="1:5" x14ac:dyDescent="0.3">
      <c r="A520" s="13" t="s">
        <v>1</v>
      </c>
      <c r="B520" s="13" t="s">
        <v>914</v>
      </c>
      <c r="C520" s="13">
        <v>1</v>
      </c>
      <c r="D520" s="13">
        <v>0</v>
      </c>
      <c r="E520" s="13">
        <v>1</v>
      </c>
    </row>
    <row r="521" spans="1:5" x14ac:dyDescent="0.3">
      <c r="A521" s="13" t="s">
        <v>1</v>
      </c>
      <c r="B521" s="13" t="s">
        <v>465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606</v>
      </c>
      <c r="C522" s="13">
        <v>3</v>
      </c>
      <c r="D522" s="13">
        <v>0</v>
      </c>
      <c r="E522" s="13">
        <v>3</v>
      </c>
    </row>
    <row r="523" spans="1:5" x14ac:dyDescent="0.3">
      <c r="A523" s="13" t="s">
        <v>1</v>
      </c>
      <c r="B523" s="13" t="s">
        <v>214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149</v>
      </c>
      <c r="C524" s="13">
        <v>2</v>
      </c>
      <c r="D524" s="13">
        <v>0</v>
      </c>
      <c r="E524" s="13">
        <v>2</v>
      </c>
    </row>
    <row r="525" spans="1:5" x14ac:dyDescent="0.3">
      <c r="A525" s="13" t="s">
        <v>1</v>
      </c>
      <c r="B525" s="13" t="s">
        <v>872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609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150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2700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658</v>
      </c>
      <c r="C529" s="13">
        <v>1</v>
      </c>
      <c r="D529" s="13">
        <v>0</v>
      </c>
      <c r="E529" s="13">
        <v>2</v>
      </c>
    </row>
    <row r="530" spans="1:5" x14ac:dyDescent="0.3">
      <c r="A530" s="13" t="s">
        <v>1</v>
      </c>
      <c r="B530" s="13" t="s">
        <v>41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42</v>
      </c>
      <c r="C531" s="13">
        <v>2</v>
      </c>
      <c r="D531" s="13">
        <v>0</v>
      </c>
      <c r="E531" s="13">
        <v>3</v>
      </c>
    </row>
    <row r="532" spans="1:5" x14ac:dyDescent="0.3">
      <c r="A532" s="13" t="s">
        <v>1</v>
      </c>
      <c r="B532" s="13" t="s">
        <v>356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220</v>
      </c>
      <c r="C533" s="13">
        <v>1</v>
      </c>
      <c r="D533" s="13">
        <v>0</v>
      </c>
      <c r="E533" s="13">
        <v>0</v>
      </c>
    </row>
    <row r="534" spans="1:5" x14ac:dyDescent="0.3">
      <c r="A534" s="13" t="s">
        <v>1</v>
      </c>
      <c r="B534" s="13" t="s">
        <v>653</v>
      </c>
      <c r="C534" s="13">
        <v>5</v>
      </c>
      <c r="D534" s="13">
        <v>0</v>
      </c>
      <c r="E534" s="13">
        <v>6</v>
      </c>
    </row>
    <row r="535" spans="1:5" x14ac:dyDescent="0.3">
      <c r="A535" s="13" t="s">
        <v>1</v>
      </c>
      <c r="B535" s="13" t="s">
        <v>1020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888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856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1471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1485</v>
      </c>
      <c r="C539" s="13">
        <v>2</v>
      </c>
      <c r="D539" s="13">
        <v>0</v>
      </c>
      <c r="E539" s="13">
        <v>2</v>
      </c>
    </row>
    <row r="540" spans="1:5" x14ac:dyDescent="0.3">
      <c r="A540" s="13" t="s">
        <v>1</v>
      </c>
      <c r="B540" s="13" t="s">
        <v>1505</v>
      </c>
      <c r="C540" s="13">
        <v>2</v>
      </c>
      <c r="D540" s="13">
        <v>0</v>
      </c>
      <c r="E540" s="13">
        <v>2</v>
      </c>
    </row>
    <row r="541" spans="1:5" x14ac:dyDescent="0.3">
      <c r="A541" s="13" t="s">
        <v>1</v>
      </c>
      <c r="B541" s="13" t="s">
        <v>1518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1740</v>
      </c>
      <c r="C542" s="13">
        <v>2</v>
      </c>
      <c r="D542" s="13">
        <v>0</v>
      </c>
      <c r="E542" s="13">
        <v>2</v>
      </c>
    </row>
    <row r="543" spans="1:5" x14ac:dyDescent="0.3">
      <c r="A543" s="13" t="s">
        <v>1</v>
      </c>
      <c r="B543" s="13" t="s">
        <v>1852</v>
      </c>
      <c r="C543" s="13">
        <v>1</v>
      </c>
      <c r="D543" s="13">
        <v>0</v>
      </c>
      <c r="E543" s="13">
        <v>3</v>
      </c>
    </row>
    <row r="544" spans="1:5" x14ac:dyDescent="0.3">
      <c r="A544" s="13" t="s">
        <v>1</v>
      </c>
      <c r="B544" s="13" t="s">
        <v>1849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2366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2104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1886</v>
      </c>
      <c r="C547" s="13">
        <v>1</v>
      </c>
      <c r="D547" s="13">
        <v>0</v>
      </c>
      <c r="E547" s="13">
        <v>3</v>
      </c>
    </row>
    <row r="548" spans="1:5" x14ac:dyDescent="0.3">
      <c r="A548" s="13" t="s">
        <v>1</v>
      </c>
      <c r="B548" s="13" t="s">
        <v>1888</v>
      </c>
      <c r="C548" s="13">
        <v>4</v>
      </c>
      <c r="D548" s="13">
        <v>0</v>
      </c>
      <c r="E548" s="13">
        <v>4</v>
      </c>
    </row>
    <row r="549" spans="1:5" x14ac:dyDescent="0.3">
      <c r="A549" s="13" t="s">
        <v>1</v>
      </c>
      <c r="B549" s="13" t="s">
        <v>1883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1960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1969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2069</v>
      </c>
      <c r="C552" s="13">
        <v>3</v>
      </c>
      <c r="D552" s="13">
        <v>0</v>
      </c>
      <c r="E552" s="13">
        <v>3</v>
      </c>
    </row>
    <row r="553" spans="1:5" x14ac:dyDescent="0.3">
      <c r="A553" s="13" t="s">
        <v>1</v>
      </c>
      <c r="B553" s="13" t="s">
        <v>2149</v>
      </c>
      <c r="C553" s="13">
        <v>3</v>
      </c>
      <c r="D553" s="13">
        <v>0</v>
      </c>
      <c r="E553" s="13">
        <v>4</v>
      </c>
    </row>
    <row r="554" spans="1:5" x14ac:dyDescent="0.3">
      <c r="A554" s="13" t="s">
        <v>1</v>
      </c>
      <c r="B554" s="13" t="s">
        <v>2148</v>
      </c>
      <c r="C554" s="13">
        <v>3</v>
      </c>
      <c r="D554" s="13">
        <v>0</v>
      </c>
      <c r="E554" s="13">
        <v>3</v>
      </c>
    </row>
    <row r="555" spans="1:5" x14ac:dyDescent="0.3">
      <c r="A555" s="13" t="s">
        <v>1</v>
      </c>
      <c r="B555" s="13" t="s">
        <v>2156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2162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2179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2339</v>
      </c>
      <c r="C558" s="13">
        <v>2</v>
      </c>
      <c r="D558" s="13">
        <v>0</v>
      </c>
      <c r="E558" s="13">
        <v>2</v>
      </c>
    </row>
    <row r="559" spans="1:5" x14ac:dyDescent="0.3">
      <c r="A559" s="13" t="s">
        <v>1</v>
      </c>
      <c r="B559" s="13" t="s">
        <v>2408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2701</v>
      </c>
      <c r="C560" s="13">
        <v>1</v>
      </c>
      <c r="D560" s="13">
        <v>0</v>
      </c>
      <c r="E560" s="13">
        <v>3</v>
      </c>
    </row>
    <row r="561" spans="1:5" x14ac:dyDescent="0.3">
      <c r="A561" s="13" t="s">
        <v>1</v>
      </c>
      <c r="B561" s="13" t="s">
        <v>155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1032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1385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795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428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357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2702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101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341</v>
      </c>
      <c r="C569" s="13">
        <v>3</v>
      </c>
      <c r="D569" s="13">
        <v>0</v>
      </c>
      <c r="E569" s="13">
        <v>3</v>
      </c>
    </row>
    <row r="570" spans="1:5" x14ac:dyDescent="0.3">
      <c r="A570" s="13" t="s">
        <v>1</v>
      </c>
      <c r="B570" s="13" t="s">
        <v>106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1475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2703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619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1582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1606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800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2447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1167</v>
      </c>
      <c r="C578" s="13">
        <v>1</v>
      </c>
      <c r="D578" s="13">
        <v>0</v>
      </c>
      <c r="E578" s="13">
        <v>4</v>
      </c>
    </row>
    <row r="579" spans="1:5" x14ac:dyDescent="0.3">
      <c r="A579" s="13" t="s">
        <v>1</v>
      </c>
      <c r="B579" s="13" t="s">
        <v>1135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1107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1812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518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1236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251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2704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1023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1961</v>
      </c>
      <c r="C587" s="13">
        <v>2</v>
      </c>
      <c r="D587" s="13">
        <v>0</v>
      </c>
      <c r="E587" s="13">
        <v>3</v>
      </c>
    </row>
    <row r="588" spans="1:5" x14ac:dyDescent="0.3">
      <c r="A588" s="13" t="s">
        <v>1</v>
      </c>
      <c r="B588" s="13" t="s">
        <v>319</v>
      </c>
      <c r="C588" s="13">
        <v>1</v>
      </c>
      <c r="D588" s="13">
        <v>0</v>
      </c>
      <c r="E588" s="13">
        <v>4</v>
      </c>
    </row>
    <row r="589" spans="1:5" x14ac:dyDescent="0.3">
      <c r="A589" s="13" t="s">
        <v>1</v>
      </c>
      <c r="B589" s="13" t="s">
        <v>320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284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2648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286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738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1087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625</v>
      </c>
      <c r="C595" s="13">
        <v>2</v>
      </c>
      <c r="D595" s="13">
        <v>0</v>
      </c>
      <c r="E595" s="13">
        <v>4</v>
      </c>
    </row>
    <row r="596" spans="1:5" x14ac:dyDescent="0.3">
      <c r="A596" s="13" t="s">
        <v>1</v>
      </c>
      <c r="B596" s="13" t="s">
        <v>402</v>
      </c>
      <c r="C596" s="13">
        <v>2</v>
      </c>
      <c r="D596" s="13">
        <v>0</v>
      </c>
      <c r="E596" s="13">
        <v>2</v>
      </c>
    </row>
    <row r="597" spans="1:5" x14ac:dyDescent="0.3">
      <c r="A597" s="13" t="s">
        <v>1</v>
      </c>
      <c r="B597" s="13" t="s">
        <v>740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1</v>
      </c>
      <c r="B598" s="13" t="s">
        <v>1009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771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1141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1</v>
      </c>
      <c r="B601" s="13" t="s">
        <v>118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801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1549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407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1216</v>
      </c>
      <c r="C605" s="13">
        <v>1</v>
      </c>
      <c r="D605" s="13">
        <v>0</v>
      </c>
      <c r="E605" s="13">
        <v>1</v>
      </c>
    </row>
    <row r="606" spans="1:5" x14ac:dyDescent="0.3">
      <c r="A606" s="13" t="s">
        <v>1</v>
      </c>
      <c r="B606" s="13" t="s">
        <v>2293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1092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1430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2705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668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1</v>
      </c>
      <c r="B611" s="13" t="s">
        <v>2706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337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1509</v>
      </c>
      <c r="C613" s="13">
        <v>2</v>
      </c>
      <c r="D613" s="13">
        <v>0</v>
      </c>
      <c r="E613" s="13">
        <v>2</v>
      </c>
    </row>
    <row r="614" spans="1:5" x14ac:dyDescent="0.3">
      <c r="A614" s="13" t="s">
        <v>1</v>
      </c>
      <c r="B614" s="13" t="s">
        <v>2707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1</v>
      </c>
      <c r="B615" s="13" t="s">
        <v>745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1</v>
      </c>
      <c r="B616" s="13" t="s">
        <v>127</v>
      </c>
      <c r="C616" s="13">
        <v>1</v>
      </c>
      <c r="D616" s="13">
        <v>0</v>
      </c>
      <c r="E616" s="13">
        <v>2</v>
      </c>
    </row>
    <row r="617" spans="1:5" x14ac:dyDescent="0.3">
      <c r="A617" s="13" t="s">
        <v>1</v>
      </c>
      <c r="B617" s="13" t="s">
        <v>780</v>
      </c>
      <c r="C617" s="13">
        <v>1</v>
      </c>
      <c r="D617" s="13">
        <v>0</v>
      </c>
      <c r="E617" s="13">
        <v>2</v>
      </c>
    </row>
    <row r="618" spans="1:5" x14ac:dyDescent="0.3">
      <c r="A618" s="13" t="s">
        <v>1</v>
      </c>
      <c r="B618" s="13" t="s">
        <v>1045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480</v>
      </c>
      <c r="C619" s="13">
        <v>2</v>
      </c>
      <c r="D619" s="13">
        <v>0</v>
      </c>
      <c r="E619" s="13">
        <v>4</v>
      </c>
    </row>
    <row r="620" spans="1:5" x14ac:dyDescent="0.3">
      <c r="A620" s="13" t="s">
        <v>1</v>
      </c>
      <c r="B620" s="13" t="s">
        <v>636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1981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1454</v>
      </c>
      <c r="C622" s="14">
        <v>2</v>
      </c>
      <c r="D622" s="14">
        <v>0</v>
      </c>
      <c r="E622" s="14">
        <v>2</v>
      </c>
    </row>
    <row r="623" spans="1:5" x14ac:dyDescent="0.3">
      <c r="A623" s="14" t="s">
        <v>1</v>
      </c>
      <c r="B623" s="14" t="s">
        <v>2361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2708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1</v>
      </c>
      <c r="B625" s="14" t="s">
        <v>540</v>
      </c>
      <c r="C625" s="14">
        <v>1</v>
      </c>
      <c r="D625" s="14">
        <v>0</v>
      </c>
      <c r="E625" s="14">
        <v>1</v>
      </c>
    </row>
    <row r="626" spans="1:5" x14ac:dyDescent="0.3">
      <c r="A626" s="14" t="s">
        <v>1</v>
      </c>
      <c r="B626" s="14" t="s">
        <v>188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1</v>
      </c>
      <c r="B627" s="14" t="s">
        <v>441</v>
      </c>
      <c r="C627" s="14">
        <v>1</v>
      </c>
      <c r="D627" s="14">
        <v>0</v>
      </c>
      <c r="E627" s="14">
        <v>1</v>
      </c>
    </row>
    <row r="628" spans="1:5" x14ac:dyDescent="0.3">
      <c r="A628" s="14" t="s">
        <v>1</v>
      </c>
      <c r="B628" s="14" t="s">
        <v>1537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1</v>
      </c>
      <c r="B629" s="14" t="s">
        <v>1490</v>
      </c>
      <c r="C629" s="14">
        <v>2</v>
      </c>
      <c r="D629" s="14">
        <v>0</v>
      </c>
      <c r="E629" s="14">
        <v>2</v>
      </c>
    </row>
    <row r="630" spans="1:5" x14ac:dyDescent="0.3">
      <c r="A630" s="14" t="s">
        <v>1</v>
      </c>
      <c r="B630" s="14" t="s">
        <v>230</v>
      </c>
      <c r="C630" s="14">
        <v>1</v>
      </c>
      <c r="D630" s="14">
        <v>0</v>
      </c>
      <c r="E630" s="14">
        <v>1</v>
      </c>
    </row>
    <row r="631" spans="1:5" x14ac:dyDescent="0.3">
      <c r="A631" s="14" t="s">
        <v>1</v>
      </c>
      <c r="B631" s="14" t="s">
        <v>1145</v>
      </c>
      <c r="C631" s="14">
        <v>1</v>
      </c>
      <c r="D631" s="14">
        <v>0</v>
      </c>
      <c r="E631" s="14">
        <v>1</v>
      </c>
    </row>
    <row r="632" spans="1:5" x14ac:dyDescent="0.3">
      <c r="A632" s="14" t="s">
        <v>1</v>
      </c>
      <c r="B632" s="14" t="s">
        <v>797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542</v>
      </c>
      <c r="C633" s="14">
        <v>1</v>
      </c>
      <c r="D633" s="14">
        <v>0</v>
      </c>
      <c r="E633" s="14">
        <v>1</v>
      </c>
    </row>
    <row r="634" spans="1:5" x14ac:dyDescent="0.3">
      <c r="A634" s="14" t="s">
        <v>1</v>
      </c>
      <c r="B634" s="14" t="s">
        <v>459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1</v>
      </c>
      <c r="B635" s="14" t="s">
        <v>296</v>
      </c>
      <c r="C635" s="14">
        <v>1</v>
      </c>
      <c r="D635" s="14">
        <v>0</v>
      </c>
      <c r="E635" s="14">
        <v>1</v>
      </c>
    </row>
    <row r="636" spans="1:5" x14ac:dyDescent="0.3">
      <c r="A636" s="14" t="s">
        <v>1</v>
      </c>
      <c r="B636" s="14" t="s">
        <v>256</v>
      </c>
      <c r="C636" s="14">
        <v>2</v>
      </c>
      <c r="D636" s="14">
        <v>0</v>
      </c>
      <c r="E636" s="14">
        <v>2</v>
      </c>
    </row>
    <row r="637" spans="1:5" x14ac:dyDescent="0.3">
      <c r="A637" s="14" t="s">
        <v>1</v>
      </c>
      <c r="B637" s="14" t="s">
        <v>959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1</v>
      </c>
      <c r="B638" s="14" t="s">
        <v>638</v>
      </c>
      <c r="C638" s="14">
        <v>1</v>
      </c>
      <c r="D638" s="14">
        <v>0</v>
      </c>
      <c r="E638" s="14">
        <v>1</v>
      </c>
    </row>
    <row r="639" spans="1:5" x14ac:dyDescent="0.3">
      <c r="A639" s="14" t="s">
        <v>1</v>
      </c>
      <c r="B639" s="14" t="s">
        <v>2709</v>
      </c>
      <c r="C639" s="14">
        <v>1</v>
      </c>
      <c r="D639" s="14">
        <v>0</v>
      </c>
      <c r="E639" s="14">
        <v>1</v>
      </c>
    </row>
    <row r="640" spans="1:5" x14ac:dyDescent="0.3">
      <c r="A640" s="14" t="s">
        <v>1</v>
      </c>
      <c r="B640" s="14" t="s">
        <v>1060</v>
      </c>
      <c r="C640" s="14">
        <v>2</v>
      </c>
      <c r="D640" s="14">
        <v>0</v>
      </c>
      <c r="E640" s="14">
        <v>2</v>
      </c>
    </row>
    <row r="641" spans="1:5" x14ac:dyDescent="0.3">
      <c r="A641" s="14" t="s">
        <v>1</v>
      </c>
      <c r="B641" s="14" t="s">
        <v>2710</v>
      </c>
      <c r="C641" s="14">
        <v>1</v>
      </c>
      <c r="D641" s="14">
        <v>0</v>
      </c>
      <c r="E641" s="14">
        <v>3</v>
      </c>
    </row>
    <row r="642" spans="1:5" x14ac:dyDescent="0.3">
      <c r="A642" s="14" t="s">
        <v>1</v>
      </c>
      <c r="B642" s="14" t="s">
        <v>231</v>
      </c>
      <c r="C642" s="14">
        <v>8</v>
      </c>
      <c r="D642" s="14">
        <v>0</v>
      </c>
      <c r="E642" s="14">
        <v>13</v>
      </c>
    </row>
    <row r="643" spans="1:5" x14ac:dyDescent="0.3">
      <c r="A643" s="14" t="s">
        <v>1</v>
      </c>
      <c r="B643" s="14" t="s">
        <v>370</v>
      </c>
      <c r="C643" s="14">
        <v>1</v>
      </c>
      <c r="D643" s="14">
        <v>0</v>
      </c>
      <c r="E643" s="14">
        <v>1</v>
      </c>
    </row>
    <row r="644" spans="1:5" x14ac:dyDescent="0.3">
      <c r="A644" s="14" t="s">
        <v>1</v>
      </c>
      <c r="B644" s="14" t="s">
        <v>365</v>
      </c>
      <c r="C644" s="14">
        <v>3</v>
      </c>
      <c r="D644" s="14">
        <v>0</v>
      </c>
      <c r="E644" s="14">
        <v>4</v>
      </c>
    </row>
    <row r="645" spans="1:5" x14ac:dyDescent="0.3">
      <c r="A645" s="14" t="s">
        <v>1</v>
      </c>
      <c r="B645" s="14" t="s">
        <v>232</v>
      </c>
      <c r="C645" s="14">
        <v>6</v>
      </c>
      <c r="D645" s="14">
        <v>0</v>
      </c>
      <c r="E645" s="14">
        <v>11</v>
      </c>
    </row>
    <row r="646" spans="1:5" x14ac:dyDescent="0.3">
      <c r="A646" s="14" t="s">
        <v>1</v>
      </c>
      <c r="B646" s="14" t="s">
        <v>460</v>
      </c>
      <c r="C646" s="14">
        <v>1</v>
      </c>
      <c r="D646" s="14">
        <v>0</v>
      </c>
      <c r="E646" s="14">
        <v>2</v>
      </c>
    </row>
    <row r="647" spans="1:5" x14ac:dyDescent="0.3">
      <c r="A647" s="14" t="s">
        <v>1</v>
      </c>
      <c r="B647" s="14" t="s">
        <v>67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1</v>
      </c>
      <c r="B648" s="14" t="s">
        <v>192</v>
      </c>
      <c r="C648" s="14">
        <v>14</v>
      </c>
      <c r="D648" s="14">
        <v>0</v>
      </c>
      <c r="E648" s="14">
        <v>21</v>
      </c>
    </row>
    <row r="649" spans="1:5" x14ac:dyDescent="0.3">
      <c r="A649" s="14" t="s">
        <v>1</v>
      </c>
      <c r="B649" s="14" t="s">
        <v>39</v>
      </c>
      <c r="C649" s="14">
        <v>15</v>
      </c>
      <c r="D649" s="14">
        <v>0</v>
      </c>
      <c r="E649" s="14">
        <v>26</v>
      </c>
    </row>
    <row r="650" spans="1:5" x14ac:dyDescent="0.3">
      <c r="A650" s="14" t="s">
        <v>1</v>
      </c>
      <c r="B650" s="14" t="s">
        <v>234</v>
      </c>
      <c r="C650" s="14">
        <v>4</v>
      </c>
      <c r="D650" s="14">
        <v>0</v>
      </c>
      <c r="E650" s="14">
        <v>3</v>
      </c>
    </row>
    <row r="651" spans="1:5" x14ac:dyDescent="0.3">
      <c r="A651" s="14" t="s">
        <v>1</v>
      </c>
      <c r="B651" s="14" t="s">
        <v>235</v>
      </c>
      <c r="C651" s="14">
        <v>1</v>
      </c>
      <c r="D651" s="14">
        <v>0</v>
      </c>
      <c r="E651" s="14">
        <v>1</v>
      </c>
    </row>
    <row r="652" spans="1:5" x14ac:dyDescent="0.3">
      <c r="A652" s="14" t="s">
        <v>1</v>
      </c>
      <c r="B652" s="14" t="s">
        <v>639</v>
      </c>
      <c r="C652" s="14">
        <v>3</v>
      </c>
      <c r="D652" s="14">
        <v>0</v>
      </c>
      <c r="E652" s="14">
        <v>3</v>
      </c>
    </row>
    <row r="653" spans="1:5" x14ac:dyDescent="0.3">
      <c r="A653" s="14" t="s">
        <v>1</v>
      </c>
      <c r="B653" s="14" t="s">
        <v>55</v>
      </c>
      <c r="C653" s="14">
        <v>5</v>
      </c>
      <c r="D653" s="14">
        <v>0</v>
      </c>
      <c r="E653" s="14">
        <v>7</v>
      </c>
    </row>
    <row r="654" spans="1:5" x14ac:dyDescent="0.3">
      <c r="A654" s="14" t="s">
        <v>1</v>
      </c>
      <c r="B654" s="14" t="s">
        <v>236</v>
      </c>
      <c r="C654" s="14">
        <v>6</v>
      </c>
      <c r="D654" s="14">
        <v>0</v>
      </c>
      <c r="E654" s="14">
        <v>12</v>
      </c>
    </row>
    <row r="655" spans="1:5" x14ac:dyDescent="0.3">
      <c r="A655" s="14" t="s">
        <v>1</v>
      </c>
      <c r="B655" s="14" t="s">
        <v>371</v>
      </c>
      <c r="C655" s="14">
        <v>2</v>
      </c>
      <c r="D655" s="14">
        <v>0</v>
      </c>
      <c r="E655" s="14">
        <v>3</v>
      </c>
    </row>
    <row r="656" spans="1:5" x14ac:dyDescent="0.3">
      <c r="A656" s="14" t="s">
        <v>1</v>
      </c>
      <c r="B656" s="14" t="s">
        <v>366</v>
      </c>
      <c r="C656" s="14">
        <v>1</v>
      </c>
      <c r="D656" s="14">
        <v>0</v>
      </c>
      <c r="E656" s="14">
        <v>1</v>
      </c>
    </row>
    <row r="657" spans="1:5" x14ac:dyDescent="0.3">
      <c r="A657" s="14" t="s">
        <v>1</v>
      </c>
      <c r="B657" s="14" t="s">
        <v>461</v>
      </c>
      <c r="C657" s="14">
        <v>4</v>
      </c>
      <c r="D657" s="14">
        <v>0</v>
      </c>
      <c r="E657" s="14">
        <v>4</v>
      </c>
    </row>
    <row r="658" spans="1:5" x14ac:dyDescent="0.3">
      <c r="A658" s="14" t="s">
        <v>1</v>
      </c>
      <c r="B658" s="14" t="s">
        <v>1197</v>
      </c>
      <c r="C658" s="14">
        <v>1</v>
      </c>
      <c r="D658" s="14">
        <v>0</v>
      </c>
      <c r="E658" s="14">
        <v>1</v>
      </c>
    </row>
    <row r="659" spans="1:5" x14ac:dyDescent="0.3">
      <c r="A659" s="14" t="s">
        <v>1</v>
      </c>
      <c r="B659" s="14" t="s">
        <v>546</v>
      </c>
      <c r="C659" s="14">
        <v>0</v>
      </c>
      <c r="D659" s="14">
        <v>1</v>
      </c>
    </row>
    <row r="660" spans="1:5" x14ac:dyDescent="0.3">
      <c r="A660" s="14" t="s">
        <v>1</v>
      </c>
      <c r="B660" s="14" t="s">
        <v>2035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1</v>
      </c>
      <c r="B661" s="14" t="s">
        <v>259</v>
      </c>
      <c r="C661" s="14">
        <v>2</v>
      </c>
      <c r="D661" s="14">
        <v>0</v>
      </c>
      <c r="E661" s="14">
        <v>2</v>
      </c>
    </row>
    <row r="662" spans="1:5" x14ac:dyDescent="0.3">
      <c r="A662" s="14" t="s">
        <v>1</v>
      </c>
      <c r="B662" s="14" t="s">
        <v>2711</v>
      </c>
      <c r="C662" s="14">
        <v>1</v>
      </c>
      <c r="D662" s="14">
        <v>0</v>
      </c>
      <c r="E662" s="14">
        <v>1</v>
      </c>
    </row>
    <row r="663" spans="1:5" x14ac:dyDescent="0.3">
      <c r="A663" s="14" t="s">
        <v>1</v>
      </c>
      <c r="B663" s="14" t="s">
        <v>2712</v>
      </c>
      <c r="C663" s="14">
        <v>1</v>
      </c>
      <c r="D663" s="14">
        <v>0</v>
      </c>
      <c r="E663" s="14">
        <v>1</v>
      </c>
    </row>
    <row r="664" spans="1:5" x14ac:dyDescent="0.3">
      <c r="A664" s="14" t="s">
        <v>1</v>
      </c>
      <c r="B664" s="14" t="s">
        <v>1368</v>
      </c>
      <c r="C664" s="14">
        <v>0</v>
      </c>
      <c r="D664" s="14">
        <v>1</v>
      </c>
    </row>
    <row r="665" spans="1:5" x14ac:dyDescent="0.3">
      <c r="A665" s="14" t="s">
        <v>1</v>
      </c>
      <c r="B665" s="14" t="s">
        <v>2152</v>
      </c>
      <c r="C665" s="14">
        <v>1</v>
      </c>
      <c r="D665" s="14">
        <v>0</v>
      </c>
      <c r="E665" s="14">
        <v>1</v>
      </c>
    </row>
    <row r="666" spans="1:5" x14ac:dyDescent="0.3">
      <c r="A666" s="14" t="s">
        <v>1</v>
      </c>
      <c r="B666" s="14" t="s">
        <v>2713</v>
      </c>
      <c r="C666" s="14">
        <v>0</v>
      </c>
      <c r="D666" s="14">
        <v>1</v>
      </c>
    </row>
    <row r="667" spans="1:5" x14ac:dyDescent="0.3">
      <c r="A667" s="14" t="s">
        <v>1</v>
      </c>
      <c r="B667" s="14" t="s">
        <v>1379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1</v>
      </c>
      <c r="B668" s="14" t="s">
        <v>2017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1</v>
      </c>
      <c r="B669" s="14" t="s">
        <v>1653</v>
      </c>
      <c r="C669" s="14">
        <v>0</v>
      </c>
      <c r="D669" s="14">
        <v>1</v>
      </c>
    </row>
    <row r="670" spans="1:5" x14ac:dyDescent="0.3">
      <c r="A670" s="14" t="s">
        <v>1</v>
      </c>
      <c r="B670" s="14" t="s">
        <v>912</v>
      </c>
      <c r="C670" s="14">
        <v>0</v>
      </c>
      <c r="D670" s="14">
        <v>2</v>
      </c>
    </row>
    <row r="671" spans="1:5" x14ac:dyDescent="0.3">
      <c r="A671" s="14" t="s">
        <v>1</v>
      </c>
      <c r="B671" s="14" t="s">
        <v>2348</v>
      </c>
      <c r="C671" s="14">
        <v>4</v>
      </c>
      <c r="D671" s="14">
        <v>0</v>
      </c>
      <c r="E671" s="14">
        <v>4</v>
      </c>
    </row>
    <row r="672" spans="1:5" x14ac:dyDescent="0.3">
      <c r="A672" s="14" t="s">
        <v>1</v>
      </c>
      <c r="B672" s="14" t="s">
        <v>2349</v>
      </c>
      <c r="C672" s="14">
        <v>2</v>
      </c>
      <c r="D672" s="14">
        <v>0</v>
      </c>
      <c r="E672" s="14">
        <v>2</v>
      </c>
    </row>
    <row r="673" spans="1:5" x14ac:dyDescent="0.3">
      <c r="A673" s="14" t="s">
        <v>1</v>
      </c>
      <c r="B673" s="14" t="s">
        <v>2350</v>
      </c>
      <c r="C673" s="14">
        <v>2</v>
      </c>
      <c r="D673" s="14">
        <v>0</v>
      </c>
      <c r="E673" s="14">
        <v>2</v>
      </c>
    </row>
    <row r="674" spans="1:5" x14ac:dyDescent="0.3">
      <c r="A674" s="14" t="s">
        <v>1</v>
      </c>
      <c r="B674" s="14" t="s">
        <v>2351</v>
      </c>
      <c r="C674" s="14">
        <v>3</v>
      </c>
      <c r="D674" s="14">
        <v>0</v>
      </c>
      <c r="E674" s="14">
        <v>3</v>
      </c>
    </row>
    <row r="675" spans="1:5" x14ac:dyDescent="0.3">
      <c r="A675" s="14" t="s">
        <v>1</v>
      </c>
      <c r="B675" s="14" t="s">
        <v>2352</v>
      </c>
      <c r="C675" s="14">
        <v>2</v>
      </c>
      <c r="D675" s="14">
        <v>0</v>
      </c>
      <c r="E675" s="14">
        <v>2</v>
      </c>
    </row>
    <row r="676" spans="1:5" x14ac:dyDescent="0.3">
      <c r="A676" s="14" t="s">
        <v>1</v>
      </c>
      <c r="B676" s="14" t="s">
        <v>2353</v>
      </c>
      <c r="C676" s="14">
        <v>1</v>
      </c>
      <c r="D676" s="14">
        <v>0</v>
      </c>
      <c r="E676" s="14">
        <v>1</v>
      </c>
    </row>
    <row r="677" spans="1:5" x14ac:dyDescent="0.3">
      <c r="A677" s="14" t="s">
        <v>1</v>
      </c>
      <c r="B677" s="14" t="s">
        <v>2354</v>
      </c>
      <c r="C677" s="14">
        <v>2</v>
      </c>
      <c r="D677" s="14">
        <v>0</v>
      </c>
      <c r="E677" s="14">
        <v>2</v>
      </c>
    </row>
    <row r="678" spans="1:5" x14ac:dyDescent="0.3">
      <c r="A678" s="14" t="s">
        <v>1</v>
      </c>
      <c r="B678" s="14" t="s">
        <v>2355</v>
      </c>
      <c r="C678" s="14">
        <v>3</v>
      </c>
      <c r="D678" s="14">
        <v>0</v>
      </c>
      <c r="E678" s="14">
        <v>3</v>
      </c>
    </row>
    <row r="679" spans="1:5" x14ac:dyDescent="0.3">
      <c r="A679" s="14" t="s">
        <v>1</v>
      </c>
      <c r="B679" s="14" t="s">
        <v>68</v>
      </c>
      <c r="C679" s="14">
        <v>2</v>
      </c>
      <c r="D679" s="14">
        <v>0</v>
      </c>
      <c r="E679" s="14">
        <v>2</v>
      </c>
    </row>
    <row r="680" spans="1:5" x14ac:dyDescent="0.3">
      <c r="A680" s="14" t="s">
        <v>1</v>
      </c>
      <c r="B680" s="14" t="s">
        <v>644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1</v>
      </c>
      <c r="B681" s="14" t="s">
        <v>2714</v>
      </c>
      <c r="C681" s="14">
        <v>1</v>
      </c>
      <c r="D681" s="14">
        <v>0</v>
      </c>
      <c r="E681" s="14">
        <v>1</v>
      </c>
    </row>
    <row r="682" spans="1:5" x14ac:dyDescent="0.3">
      <c r="A682" s="14" t="s">
        <v>0</v>
      </c>
      <c r="B682" s="14" t="s">
        <v>1122</v>
      </c>
      <c r="C682" s="14">
        <v>1</v>
      </c>
      <c r="D682" s="14">
        <v>0</v>
      </c>
      <c r="E682" s="14">
        <v>1</v>
      </c>
    </row>
    <row r="683" spans="1:5" x14ac:dyDescent="0.3">
      <c r="A683" s="14" t="s">
        <v>0</v>
      </c>
      <c r="B683" s="14" t="s">
        <v>36</v>
      </c>
      <c r="C683" s="14">
        <v>1</v>
      </c>
      <c r="D683" s="14">
        <v>0</v>
      </c>
      <c r="E683" s="14">
        <v>4</v>
      </c>
    </row>
    <row r="684" spans="1:5" x14ac:dyDescent="0.3">
      <c r="A684" s="14" t="s">
        <v>0</v>
      </c>
      <c r="B684" s="14" t="s">
        <v>967</v>
      </c>
      <c r="C684" s="14">
        <v>1</v>
      </c>
      <c r="D684" s="14">
        <v>0</v>
      </c>
      <c r="E684" s="14">
        <v>1</v>
      </c>
    </row>
    <row r="685" spans="1:5" x14ac:dyDescent="0.3">
      <c r="A685" s="14" t="s">
        <v>0</v>
      </c>
      <c r="B685" s="14" t="s">
        <v>444</v>
      </c>
      <c r="C685" s="14">
        <v>1</v>
      </c>
      <c r="D685" s="14">
        <v>0</v>
      </c>
      <c r="E685" s="14">
        <v>1</v>
      </c>
    </row>
    <row r="686" spans="1:5" x14ac:dyDescent="0.3">
      <c r="A686" s="14" t="s">
        <v>0</v>
      </c>
      <c r="B686" s="14" t="s">
        <v>556</v>
      </c>
      <c r="C686" s="14">
        <v>1</v>
      </c>
      <c r="D686" s="14">
        <v>0</v>
      </c>
      <c r="E686" s="14">
        <v>4</v>
      </c>
    </row>
    <row r="687" spans="1:5" x14ac:dyDescent="0.3">
      <c r="A687" s="14" t="s">
        <v>0</v>
      </c>
      <c r="B687" s="14" t="s">
        <v>1159</v>
      </c>
      <c r="C687" s="14">
        <v>1</v>
      </c>
      <c r="D687" s="14">
        <v>0</v>
      </c>
      <c r="E687" s="14">
        <v>2</v>
      </c>
    </row>
    <row r="688" spans="1:5" x14ac:dyDescent="0.3">
      <c r="A688" s="14" t="s">
        <v>0</v>
      </c>
      <c r="B688" s="14" t="s">
        <v>812</v>
      </c>
      <c r="C688" s="14">
        <v>1</v>
      </c>
      <c r="D688" s="14">
        <v>0</v>
      </c>
      <c r="E688" s="14">
        <v>1</v>
      </c>
    </row>
    <row r="689" spans="1:5" x14ac:dyDescent="0.3">
      <c r="A689" s="14" t="s">
        <v>0</v>
      </c>
      <c r="B689" s="14" t="s">
        <v>855</v>
      </c>
      <c r="C689" s="14">
        <v>1</v>
      </c>
      <c r="D689" s="14">
        <v>0</v>
      </c>
      <c r="E689" s="14">
        <v>1</v>
      </c>
    </row>
    <row r="690" spans="1:5" x14ac:dyDescent="0.3">
      <c r="A690" s="14" t="s">
        <v>0</v>
      </c>
      <c r="B690" s="14" t="s">
        <v>83</v>
      </c>
      <c r="C690" s="14">
        <v>1</v>
      </c>
      <c r="D690" s="14">
        <v>0</v>
      </c>
      <c r="E690" s="14">
        <v>1</v>
      </c>
    </row>
    <row r="691" spans="1:5" x14ac:dyDescent="0.3">
      <c r="A691" s="14" t="s">
        <v>0</v>
      </c>
      <c r="B691" s="14" t="s">
        <v>149</v>
      </c>
      <c r="C691" s="14">
        <v>1</v>
      </c>
      <c r="D691" s="14">
        <v>0</v>
      </c>
      <c r="E691" s="14">
        <v>1</v>
      </c>
    </row>
    <row r="692" spans="1:5" x14ac:dyDescent="0.3">
      <c r="A692" s="14" t="s">
        <v>0</v>
      </c>
      <c r="B692" s="14" t="s">
        <v>150</v>
      </c>
      <c r="C692" s="14">
        <v>1</v>
      </c>
      <c r="D692" s="14">
        <v>0</v>
      </c>
      <c r="E692" s="14">
        <v>1</v>
      </c>
    </row>
    <row r="693" spans="1:5" x14ac:dyDescent="0.3">
      <c r="A693" s="14" t="s">
        <v>0</v>
      </c>
      <c r="B693" s="14" t="s">
        <v>219</v>
      </c>
      <c r="C693" s="14">
        <v>1</v>
      </c>
      <c r="D693" s="14">
        <v>0</v>
      </c>
      <c r="E693" s="14">
        <v>1</v>
      </c>
    </row>
    <row r="694" spans="1:5" x14ac:dyDescent="0.3">
      <c r="A694" s="14" t="s">
        <v>0</v>
      </c>
      <c r="B694" s="14" t="s">
        <v>41</v>
      </c>
      <c r="C694" s="14">
        <v>1</v>
      </c>
      <c r="D694" s="14">
        <v>0</v>
      </c>
      <c r="E694" s="14">
        <v>1</v>
      </c>
    </row>
    <row r="695" spans="1:5" x14ac:dyDescent="0.3">
      <c r="A695" s="14" t="s">
        <v>0</v>
      </c>
      <c r="B695" s="14" t="s">
        <v>653</v>
      </c>
      <c r="C695" s="14">
        <v>1</v>
      </c>
      <c r="D695" s="14">
        <v>0</v>
      </c>
      <c r="E695" s="14">
        <v>1</v>
      </c>
    </row>
    <row r="696" spans="1:5" x14ac:dyDescent="0.3">
      <c r="A696" s="14" t="s">
        <v>0</v>
      </c>
      <c r="B696" s="14" t="s">
        <v>888</v>
      </c>
      <c r="C696" s="14">
        <v>1</v>
      </c>
      <c r="D696" s="14">
        <v>0</v>
      </c>
      <c r="E696" s="14">
        <v>1</v>
      </c>
    </row>
    <row r="697" spans="1:5" x14ac:dyDescent="0.3">
      <c r="A697" s="14" t="s">
        <v>0</v>
      </c>
      <c r="B697" s="14" t="s">
        <v>1505</v>
      </c>
      <c r="C697" s="14">
        <v>1</v>
      </c>
      <c r="D697" s="14">
        <v>0</v>
      </c>
      <c r="E697" s="14">
        <v>1</v>
      </c>
    </row>
    <row r="698" spans="1:5" x14ac:dyDescent="0.3">
      <c r="A698" s="14" t="s">
        <v>0</v>
      </c>
      <c r="B698" s="14" t="s">
        <v>1833</v>
      </c>
      <c r="C698" s="14">
        <v>1</v>
      </c>
      <c r="D698" s="14">
        <v>0</v>
      </c>
      <c r="E698" s="14">
        <v>1</v>
      </c>
    </row>
    <row r="699" spans="1:5" x14ac:dyDescent="0.3">
      <c r="A699" s="14" t="s">
        <v>0</v>
      </c>
      <c r="B699" s="14" t="s">
        <v>2093</v>
      </c>
      <c r="C699" s="14">
        <v>1</v>
      </c>
      <c r="D699" s="14">
        <v>0</v>
      </c>
      <c r="E699" s="14">
        <v>1</v>
      </c>
    </row>
    <row r="700" spans="1:5" x14ac:dyDescent="0.3">
      <c r="A700" s="14" t="s">
        <v>0</v>
      </c>
      <c r="B700" s="14" t="s">
        <v>2149</v>
      </c>
      <c r="C700" s="14">
        <v>2</v>
      </c>
      <c r="D700" s="14">
        <v>0</v>
      </c>
      <c r="E700" s="14">
        <v>3</v>
      </c>
    </row>
    <row r="701" spans="1:5" x14ac:dyDescent="0.3">
      <c r="A701" s="14" t="s">
        <v>0</v>
      </c>
      <c r="B701" s="14" t="s">
        <v>2148</v>
      </c>
      <c r="C701" s="14">
        <v>2</v>
      </c>
      <c r="D701" s="14">
        <v>0</v>
      </c>
      <c r="E701" s="14">
        <v>2</v>
      </c>
    </row>
    <row r="702" spans="1:5" x14ac:dyDescent="0.3">
      <c r="A702" s="14" t="s">
        <v>0</v>
      </c>
      <c r="B702" s="14" t="s">
        <v>2156</v>
      </c>
      <c r="C702" s="14">
        <v>1</v>
      </c>
      <c r="D702" s="14">
        <v>0</v>
      </c>
      <c r="E702" s="14">
        <v>1</v>
      </c>
    </row>
    <row r="703" spans="1:5" x14ac:dyDescent="0.3">
      <c r="A703" s="14" t="s">
        <v>0</v>
      </c>
      <c r="B703" s="14" t="s">
        <v>2408</v>
      </c>
      <c r="C703" s="14">
        <v>1</v>
      </c>
      <c r="D703" s="14">
        <v>0</v>
      </c>
      <c r="E703" s="14">
        <v>1</v>
      </c>
    </row>
    <row r="704" spans="1:5" x14ac:dyDescent="0.3">
      <c r="A704" s="14" t="s">
        <v>0</v>
      </c>
      <c r="B704" s="14" t="s">
        <v>1420</v>
      </c>
      <c r="C704" s="14">
        <v>1</v>
      </c>
      <c r="D704" s="14">
        <v>0</v>
      </c>
      <c r="E704" s="14">
        <v>1</v>
      </c>
    </row>
    <row r="705" spans="1:5" x14ac:dyDescent="0.3">
      <c r="A705" s="14" t="s">
        <v>0</v>
      </c>
      <c r="B705" s="14" t="s">
        <v>161</v>
      </c>
      <c r="C705" s="14">
        <v>1</v>
      </c>
      <c r="D705" s="14">
        <v>0</v>
      </c>
      <c r="E705" s="14">
        <v>1</v>
      </c>
    </row>
    <row r="706" spans="1:5" x14ac:dyDescent="0.3">
      <c r="A706" s="14" t="s">
        <v>0</v>
      </c>
      <c r="B706" s="14" t="s">
        <v>2369</v>
      </c>
      <c r="C706" s="14">
        <v>1</v>
      </c>
      <c r="D706" s="14">
        <v>0</v>
      </c>
      <c r="E706" s="14">
        <v>1</v>
      </c>
    </row>
    <row r="707" spans="1:5" x14ac:dyDescent="0.3">
      <c r="A707" s="14" t="s">
        <v>0</v>
      </c>
      <c r="B707" s="14" t="s">
        <v>1283</v>
      </c>
      <c r="C707" s="14">
        <v>1</v>
      </c>
      <c r="D707" s="14">
        <v>0</v>
      </c>
      <c r="E707" s="14">
        <v>1</v>
      </c>
    </row>
    <row r="708" spans="1:5" x14ac:dyDescent="0.3">
      <c r="A708" s="14" t="s">
        <v>0</v>
      </c>
      <c r="B708" s="14" t="s">
        <v>2037</v>
      </c>
      <c r="C708" s="14">
        <v>1</v>
      </c>
      <c r="D708" s="14">
        <v>0</v>
      </c>
      <c r="E708" s="14">
        <v>1</v>
      </c>
    </row>
    <row r="709" spans="1:5" x14ac:dyDescent="0.3">
      <c r="A709" s="14" t="s">
        <v>0</v>
      </c>
      <c r="B709" s="14" t="s">
        <v>452</v>
      </c>
      <c r="C709" s="14">
        <v>1</v>
      </c>
      <c r="D709" s="14">
        <v>0</v>
      </c>
      <c r="E709" s="14">
        <v>1</v>
      </c>
    </row>
    <row r="710" spans="1:5" x14ac:dyDescent="0.3">
      <c r="A710" s="14" t="s">
        <v>0</v>
      </c>
      <c r="B710" s="14" t="s">
        <v>1536</v>
      </c>
      <c r="C710" s="14">
        <v>1</v>
      </c>
      <c r="D710" s="14">
        <v>0</v>
      </c>
      <c r="E710" s="14">
        <v>1</v>
      </c>
    </row>
    <row r="711" spans="1:5" x14ac:dyDescent="0.3">
      <c r="A711" s="14" t="s">
        <v>0</v>
      </c>
      <c r="B711" s="14" t="s">
        <v>409</v>
      </c>
      <c r="C711" s="14">
        <v>1</v>
      </c>
      <c r="D711" s="14">
        <v>0</v>
      </c>
      <c r="E711" s="14">
        <v>1</v>
      </c>
    </row>
    <row r="712" spans="1:5" x14ac:dyDescent="0.3">
      <c r="A712" s="14" t="s">
        <v>0</v>
      </c>
      <c r="B712" s="14" t="s">
        <v>633</v>
      </c>
      <c r="C712" s="14">
        <v>1</v>
      </c>
      <c r="D712" s="14">
        <v>0</v>
      </c>
      <c r="E712" s="14">
        <v>1</v>
      </c>
    </row>
    <row r="713" spans="1:5" x14ac:dyDescent="0.3">
      <c r="A713" s="14" t="s">
        <v>0</v>
      </c>
      <c r="B713" s="14" t="s">
        <v>957</v>
      </c>
      <c r="C713" s="14">
        <v>1</v>
      </c>
      <c r="D713" s="14">
        <v>0</v>
      </c>
      <c r="E713" s="14">
        <v>1</v>
      </c>
    </row>
    <row r="714" spans="1:5" x14ac:dyDescent="0.3">
      <c r="A714" s="14" t="s">
        <v>0</v>
      </c>
      <c r="B714" s="14" t="s">
        <v>255</v>
      </c>
      <c r="C714" s="14">
        <v>1</v>
      </c>
      <c r="D714" s="14">
        <v>0</v>
      </c>
      <c r="E714" s="14">
        <v>1</v>
      </c>
    </row>
    <row r="715" spans="1:5" x14ac:dyDescent="0.3">
      <c r="A715" s="14" t="s">
        <v>0</v>
      </c>
      <c r="B715" s="14" t="s">
        <v>1403</v>
      </c>
      <c r="C715" s="14">
        <v>1</v>
      </c>
      <c r="D715" s="14">
        <v>0</v>
      </c>
      <c r="E715" s="14">
        <v>2</v>
      </c>
    </row>
    <row r="716" spans="1:5" x14ac:dyDescent="0.3">
      <c r="A716" s="14" t="s">
        <v>0</v>
      </c>
      <c r="B716" s="14" t="s">
        <v>231</v>
      </c>
      <c r="C716" s="14">
        <v>1</v>
      </c>
      <c r="D716" s="14">
        <v>0</v>
      </c>
      <c r="E716" s="14">
        <v>3</v>
      </c>
    </row>
    <row r="717" spans="1:5" x14ac:dyDescent="0.3">
      <c r="A717" s="14" t="s">
        <v>0</v>
      </c>
      <c r="B717" s="14" t="s">
        <v>66</v>
      </c>
      <c r="C717" s="14">
        <v>1</v>
      </c>
      <c r="D717" s="14">
        <v>0</v>
      </c>
      <c r="E717" s="14">
        <v>3</v>
      </c>
    </row>
    <row r="718" spans="1:5" x14ac:dyDescent="0.3">
      <c r="A718" s="14" t="s">
        <v>0</v>
      </c>
      <c r="B718" s="14" t="s">
        <v>232</v>
      </c>
      <c r="C718" s="14">
        <v>1</v>
      </c>
      <c r="D718" s="14">
        <v>0</v>
      </c>
      <c r="E718" s="14">
        <v>2</v>
      </c>
    </row>
    <row r="719" spans="1:5" x14ac:dyDescent="0.3">
      <c r="A719" s="14" t="s">
        <v>0</v>
      </c>
      <c r="B719" s="14" t="s">
        <v>192</v>
      </c>
      <c r="C719" s="14">
        <v>2</v>
      </c>
      <c r="D719" s="14">
        <v>0</v>
      </c>
      <c r="E719" s="14">
        <v>2</v>
      </c>
    </row>
    <row r="720" spans="1:5" x14ac:dyDescent="0.3">
      <c r="A720" s="14" t="s">
        <v>0</v>
      </c>
      <c r="B720" s="14" t="s">
        <v>54</v>
      </c>
      <c r="C720" s="14">
        <v>2</v>
      </c>
      <c r="D720" s="14">
        <v>0</v>
      </c>
      <c r="E720" s="14">
        <v>4</v>
      </c>
    </row>
    <row r="721" spans="1:5" x14ac:dyDescent="0.3">
      <c r="A721" s="14" t="s">
        <v>0</v>
      </c>
      <c r="B721" s="14" t="s">
        <v>639</v>
      </c>
      <c r="C721" s="14">
        <v>1</v>
      </c>
      <c r="D721" s="14">
        <v>0</v>
      </c>
      <c r="E721" s="14">
        <v>2</v>
      </c>
    </row>
    <row r="722" spans="1:5" x14ac:dyDescent="0.3">
      <c r="A722" s="14" t="s">
        <v>0</v>
      </c>
      <c r="B722" s="14" t="s">
        <v>55</v>
      </c>
      <c r="C722" s="14">
        <v>1</v>
      </c>
      <c r="D722" s="14">
        <v>0</v>
      </c>
      <c r="E722" s="14">
        <v>2</v>
      </c>
    </row>
    <row r="723" spans="1:5" x14ac:dyDescent="0.3">
      <c r="A723" s="14" t="s">
        <v>0</v>
      </c>
      <c r="B723" s="14" t="s">
        <v>371</v>
      </c>
      <c r="C723" s="14">
        <v>1</v>
      </c>
      <c r="D723" s="14">
        <v>0</v>
      </c>
      <c r="E723" s="14">
        <v>1</v>
      </c>
    </row>
    <row r="724" spans="1:5" x14ac:dyDescent="0.3">
      <c r="A724" s="14" t="s">
        <v>0</v>
      </c>
      <c r="B724" s="14" t="s">
        <v>1589</v>
      </c>
      <c r="C724" s="14">
        <v>1</v>
      </c>
      <c r="D724" s="14">
        <v>0</v>
      </c>
      <c r="E724" s="14">
        <v>1</v>
      </c>
    </row>
    <row r="725" spans="1:5" x14ac:dyDescent="0.3">
      <c r="A725" s="14" t="s">
        <v>0</v>
      </c>
      <c r="B725" s="14" t="s">
        <v>1914</v>
      </c>
      <c r="C725" s="14">
        <v>1</v>
      </c>
      <c r="D725" s="14">
        <v>0</v>
      </c>
      <c r="E725" s="14">
        <v>1</v>
      </c>
    </row>
    <row r="726" spans="1:5" x14ac:dyDescent="0.3">
      <c r="A726" s="14" t="s">
        <v>0</v>
      </c>
      <c r="B726" s="14" t="s">
        <v>2715</v>
      </c>
      <c r="C726" s="14">
        <v>0</v>
      </c>
      <c r="D726" s="14">
        <v>2</v>
      </c>
    </row>
    <row r="727" spans="1:5" x14ac:dyDescent="0.3">
      <c r="A727" s="14" t="s">
        <v>0</v>
      </c>
      <c r="B727" s="14" t="s">
        <v>912</v>
      </c>
      <c r="C727" s="14">
        <v>0</v>
      </c>
      <c r="D727" s="14">
        <v>1</v>
      </c>
    </row>
    <row r="728" spans="1:5" x14ac:dyDescent="0.3">
      <c r="A728" s="14" t="s">
        <v>0</v>
      </c>
      <c r="B728" s="14" t="s">
        <v>1435</v>
      </c>
      <c r="C728" s="14">
        <v>1</v>
      </c>
      <c r="D728" s="14">
        <v>0</v>
      </c>
      <c r="E728" s="14">
        <v>1</v>
      </c>
    </row>
    <row r="729" spans="1:5" x14ac:dyDescent="0.3">
      <c r="A729" s="14" t="s">
        <v>0</v>
      </c>
      <c r="B729" s="14" t="s">
        <v>32</v>
      </c>
      <c r="C729" s="14">
        <v>2</v>
      </c>
      <c r="D729" s="14">
        <v>0</v>
      </c>
      <c r="E729" s="14">
        <v>3</v>
      </c>
    </row>
    <row r="730" spans="1:5" x14ac:dyDescent="0.3">
      <c r="A730" s="14" t="s">
        <v>2</v>
      </c>
      <c r="B730" s="14" t="s">
        <v>381</v>
      </c>
      <c r="C730" s="14">
        <v>1</v>
      </c>
      <c r="D730" s="14">
        <v>0</v>
      </c>
      <c r="E730" s="14">
        <v>1</v>
      </c>
    </row>
    <row r="731" spans="1:5" x14ac:dyDescent="0.3">
      <c r="A731" s="14" t="s">
        <v>2</v>
      </c>
      <c r="B731" s="14" t="s">
        <v>420</v>
      </c>
      <c r="C731" s="14">
        <v>1</v>
      </c>
      <c r="D731" s="14">
        <v>0</v>
      </c>
      <c r="E731" s="14">
        <v>1</v>
      </c>
    </row>
    <row r="732" spans="1:5" x14ac:dyDescent="0.3">
      <c r="A732" s="14" t="s">
        <v>2</v>
      </c>
      <c r="B732" s="14" t="s">
        <v>1885</v>
      </c>
      <c r="C732" s="14">
        <v>1</v>
      </c>
      <c r="D732" s="14">
        <v>0</v>
      </c>
      <c r="E732" s="14">
        <v>1</v>
      </c>
    </row>
    <row r="733" spans="1:5" x14ac:dyDescent="0.3">
      <c r="A733" s="14" t="s">
        <v>2</v>
      </c>
      <c r="B733" s="14" t="s">
        <v>365</v>
      </c>
      <c r="C733" s="14">
        <v>1</v>
      </c>
      <c r="D733" s="14">
        <v>0</v>
      </c>
      <c r="E733" s="14">
        <v>1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D6348-ABA2-4324-8F0C-FB8ADC5F23B8}">
  <sheetPr codeName="Sheet51"/>
  <dimension ref="A1:M692"/>
  <sheetViews>
    <sheetView workbookViewId="0">
      <selection activeCell="A2" sqref="A2:E692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61</v>
      </c>
      <c r="D2" s="13">
        <v>48</v>
      </c>
      <c r="E2" s="13">
        <v>67</v>
      </c>
    </row>
    <row r="3" spans="1:13" customFormat="1" x14ac:dyDescent="0.3">
      <c r="A3" s="13" t="s">
        <v>1</v>
      </c>
      <c r="B3" s="13" t="s">
        <v>30</v>
      </c>
      <c r="C3" s="13">
        <v>86</v>
      </c>
      <c r="D3" s="13">
        <v>41</v>
      </c>
      <c r="E3" s="13">
        <v>150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354</v>
      </c>
      <c r="C4" s="13">
        <v>27</v>
      </c>
      <c r="D4" s="13">
        <v>21</v>
      </c>
      <c r="E4" s="13">
        <v>30</v>
      </c>
      <c r="G4" s="19" t="s">
        <v>8</v>
      </c>
      <c r="H4" s="15">
        <f>H13+H14</f>
        <v>1121</v>
      </c>
      <c r="I4" s="16">
        <f>H4/H$6</f>
        <v>0.77739251040221913</v>
      </c>
      <c r="J4" s="15">
        <f>I13+I14</f>
        <v>660</v>
      </c>
      <c r="K4" s="16">
        <f>J4/J$6</f>
        <v>0.70967741935483875</v>
      </c>
      <c r="L4" s="15">
        <f>J13+J14</f>
        <v>1340</v>
      </c>
      <c r="M4" s="25">
        <f>L4/L$6</f>
        <v>0.7804309842748981</v>
      </c>
    </row>
    <row r="5" spans="1:13" customFormat="1" x14ac:dyDescent="0.3">
      <c r="A5" s="13" t="s">
        <v>0</v>
      </c>
      <c r="B5" s="13" t="s">
        <v>29</v>
      </c>
      <c r="C5" s="13">
        <v>19</v>
      </c>
      <c r="D5" s="13">
        <v>17</v>
      </c>
      <c r="E5" s="13">
        <v>19</v>
      </c>
      <c r="G5" s="19" t="s">
        <v>10</v>
      </c>
      <c r="H5" s="15">
        <f>H15+H16</f>
        <v>321</v>
      </c>
      <c r="I5" s="16">
        <f>H5/H$6</f>
        <v>0.22260748959778087</v>
      </c>
      <c r="J5" s="15">
        <f>I15+I16</f>
        <v>270</v>
      </c>
      <c r="K5" s="16">
        <f>J5/J$6</f>
        <v>0.29032258064516131</v>
      </c>
      <c r="L5" s="15">
        <f>J15+J16</f>
        <v>377</v>
      </c>
      <c r="M5" s="25">
        <f>L5/L$6</f>
        <v>0.21956901572510193</v>
      </c>
    </row>
    <row r="6" spans="1:13" customFormat="1" ht="17.25" thickBot="1" x14ac:dyDescent="0.35">
      <c r="A6" s="13" t="s">
        <v>1</v>
      </c>
      <c r="B6" s="13" t="s">
        <v>37</v>
      </c>
      <c r="C6" s="13">
        <v>19</v>
      </c>
      <c r="D6" s="13">
        <v>14</v>
      </c>
      <c r="E6" s="13">
        <v>19</v>
      </c>
      <c r="G6" s="22"/>
      <c r="H6" s="26">
        <f>SUM(H4:H5)</f>
        <v>1442</v>
      </c>
      <c r="I6" s="27">
        <f>I4+I5</f>
        <v>1</v>
      </c>
      <c r="J6" s="26">
        <f>SUM(J4:J5)</f>
        <v>930</v>
      </c>
      <c r="K6" s="27">
        <f>K4+K5</f>
        <v>1</v>
      </c>
      <c r="L6" s="26">
        <f>SUM(L4:L5)</f>
        <v>1717</v>
      </c>
      <c r="M6" s="28">
        <f>M4+M5</f>
        <v>1</v>
      </c>
    </row>
    <row r="7" spans="1:13" customFormat="1" x14ac:dyDescent="0.3">
      <c r="A7" s="13" t="s">
        <v>1</v>
      </c>
      <c r="B7" s="13" t="s">
        <v>1948</v>
      </c>
      <c r="C7" s="13">
        <v>14</v>
      </c>
      <c r="D7" s="13">
        <v>13</v>
      </c>
      <c r="E7" s="13">
        <v>18</v>
      </c>
    </row>
    <row r="8" spans="1:13" customFormat="1" x14ac:dyDescent="0.3">
      <c r="A8" s="13" t="s">
        <v>1</v>
      </c>
      <c r="B8" s="13" t="s">
        <v>2093</v>
      </c>
      <c r="C8" s="13">
        <v>17</v>
      </c>
      <c r="D8" s="13">
        <v>12</v>
      </c>
      <c r="E8" s="13">
        <v>17</v>
      </c>
    </row>
    <row r="9" spans="1:13" customFormat="1" x14ac:dyDescent="0.3">
      <c r="A9" s="13" t="s">
        <v>0</v>
      </c>
      <c r="B9" s="13" t="s">
        <v>1948</v>
      </c>
      <c r="C9" s="13">
        <v>11</v>
      </c>
      <c r="D9" s="13">
        <v>10</v>
      </c>
      <c r="E9" s="13">
        <v>15</v>
      </c>
    </row>
    <row r="10" spans="1:13" customFormat="1" ht="17.25" thickBot="1" x14ac:dyDescent="0.35">
      <c r="A10" s="13" t="s">
        <v>0</v>
      </c>
      <c r="B10" s="13" t="s">
        <v>34</v>
      </c>
      <c r="C10" s="13">
        <v>9</v>
      </c>
      <c r="D10" s="13">
        <v>9</v>
      </c>
      <c r="E10" s="13">
        <v>10</v>
      </c>
    </row>
    <row r="11" spans="1:13" x14ac:dyDescent="0.3">
      <c r="A11" s="13" t="s">
        <v>1</v>
      </c>
      <c r="B11" s="13" t="s">
        <v>151</v>
      </c>
      <c r="C11" s="13">
        <v>9</v>
      </c>
      <c r="D11" s="13">
        <v>8</v>
      </c>
      <c r="E11" s="13">
        <v>10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1741</v>
      </c>
      <c r="C12" s="13">
        <v>9</v>
      </c>
      <c r="D12" s="13">
        <v>8</v>
      </c>
      <c r="E12" s="13">
        <v>9</v>
      </c>
      <c r="G12" s="19"/>
      <c r="H12" s="17">
        <f t="shared" ref="H12:J12" si="0">SUM(H13:H16)</f>
        <v>1442</v>
      </c>
      <c r="I12" s="17">
        <f t="shared" si="0"/>
        <v>930</v>
      </c>
      <c r="J12" s="20">
        <f t="shared" si="0"/>
        <v>1717</v>
      </c>
    </row>
    <row r="13" spans="1:13" x14ac:dyDescent="0.3">
      <c r="A13" s="13" t="s">
        <v>1</v>
      </c>
      <c r="B13" s="13" t="s">
        <v>272</v>
      </c>
      <c r="C13" s="13">
        <v>9</v>
      </c>
      <c r="D13" s="13">
        <v>7</v>
      </c>
      <c r="E13" s="13">
        <v>10</v>
      </c>
      <c r="G13" s="19" t="s">
        <v>7</v>
      </c>
      <c r="H13" s="18">
        <f t="shared" ref="H13:J16" si="1">SUMIF($A$2:$A$9999,$G13,C$2:C$9999)</f>
        <v>1121</v>
      </c>
      <c r="I13" s="18">
        <f t="shared" si="1"/>
        <v>660</v>
      </c>
      <c r="J13" s="21">
        <f t="shared" si="1"/>
        <v>1340</v>
      </c>
    </row>
    <row r="14" spans="1:13" x14ac:dyDescent="0.3">
      <c r="A14" s="13" t="s">
        <v>1</v>
      </c>
      <c r="B14" s="13" t="s">
        <v>1663</v>
      </c>
      <c r="C14" s="13">
        <v>13</v>
      </c>
      <c r="D14" s="13">
        <v>7</v>
      </c>
      <c r="E14" s="13">
        <v>24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48</v>
      </c>
      <c r="C15" s="13">
        <v>9</v>
      </c>
      <c r="D15" s="13">
        <v>6</v>
      </c>
      <c r="E15" s="13">
        <v>12</v>
      </c>
      <c r="G15" s="19" t="s">
        <v>11</v>
      </c>
      <c r="H15" s="18">
        <f t="shared" si="1"/>
        <v>303</v>
      </c>
      <c r="I15" s="18">
        <f t="shared" si="1"/>
        <v>254</v>
      </c>
      <c r="J15" s="21">
        <f t="shared" si="1"/>
        <v>357</v>
      </c>
    </row>
    <row r="16" spans="1:13" ht="17.25" thickBot="1" x14ac:dyDescent="0.35">
      <c r="A16" s="13" t="s">
        <v>1</v>
      </c>
      <c r="B16" s="13" t="s">
        <v>29</v>
      </c>
      <c r="C16" s="13">
        <v>6</v>
      </c>
      <c r="D16" s="13">
        <v>6</v>
      </c>
      <c r="E16" s="13">
        <v>7</v>
      </c>
      <c r="G16" s="22" t="s">
        <v>12</v>
      </c>
      <c r="H16" s="23">
        <f t="shared" si="1"/>
        <v>18</v>
      </c>
      <c r="I16" s="23">
        <f t="shared" si="1"/>
        <v>16</v>
      </c>
      <c r="J16" s="24">
        <f t="shared" si="1"/>
        <v>20</v>
      </c>
    </row>
    <row r="17" spans="1:5" x14ac:dyDescent="0.3">
      <c r="A17" s="13" t="s">
        <v>1</v>
      </c>
      <c r="B17" s="13" t="s">
        <v>279</v>
      </c>
      <c r="C17" s="13">
        <v>6</v>
      </c>
      <c r="D17" s="13">
        <v>6</v>
      </c>
      <c r="E17" s="13">
        <v>6</v>
      </c>
    </row>
    <row r="18" spans="1:5" x14ac:dyDescent="0.3">
      <c r="A18" s="13" t="s">
        <v>1</v>
      </c>
      <c r="B18" s="13" t="s">
        <v>120</v>
      </c>
      <c r="C18" s="13">
        <v>6</v>
      </c>
      <c r="D18" s="13">
        <v>6</v>
      </c>
      <c r="E18" s="13">
        <v>6</v>
      </c>
    </row>
    <row r="19" spans="1:5" x14ac:dyDescent="0.3">
      <c r="A19" s="13" t="s">
        <v>0</v>
      </c>
      <c r="B19" s="13" t="s">
        <v>31</v>
      </c>
      <c r="C19" s="13">
        <v>6</v>
      </c>
      <c r="D19" s="13">
        <v>6</v>
      </c>
      <c r="E19" s="13">
        <v>7</v>
      </c>
    </row>
    <row r="20" spans="1:5" x14ac:dyDescent="0.3">
      <c r="A20" s="13" t="s">
        <v>1</v>
      </c>
      <c r="B20" s="13" t="s">
        <v>73</v>
      </c>
      <c r="C20" s="13">
        <v>5</v>
      </c>
      <c r="D20" s="13">
        <v>5</v>
      </c>
      <c r="E20" s="13">
        <v>7</v>
      </c>
    </row>
    <row r="21" spans="1:5" x14ac:dyDescent="0.3">
      <c r="A21" s="13" t="s">
        <v>1</v>
      </c>
      <c r="B21" s="13" t="s">
        <v>87</v>
      </c>
      <c r="C21" s="13">
        <v>5</v>
      </c>
      <c r="D21" s="13">
        <v>5</v>
      </c>
      <c r="E21" s="13">
        <v>7</v>
      </c>
    </row>
    <row r="22" spans="1:5" x14ac:dyDescent="0.3">
      <c r="A22" s="13" t="s">
        <v>1</v>
      </c>
      <c r="B22" s="13" t="s">
        <v>1988</v>
      </c>
      <c r="C22" s="13">
        <v>10</v>
      </c>
      <c r="D22" s="13">
        <v>5</v>
      </c>
      <c r="E22" s="13">
        <v>31</v>
      </c>
    </row>
    <row r="23" spans="1:5" x14ac:dyDescent="0.3">
      <c r="A23" s="13" t="s">
        <v>1</v>
      </c>
      <c r="B23" s="13" t="s">
        <v>51</v>
      </c>
      <c r="C23" s="13">
        <v>6</v>
      </c>
      <c r="D23" s="13">
        <v>5</v>
      </c>
      <c r="E23" s="13">
        <v>6</v>
      </c>
    </row>
    <row r="24" spans="1:5" x14ac:dyDescent="0.3">
      <c r="A24" s="13" t="s">
        <v>1</v>
      </c>
      <c r="B24" s="13" t="s">
        <v>196</v>
      </c>
      <c r="C24" s="13">
        <v>6</v>
      </c>
      <c r="D24" s="13">
        <v>5</v>
      </c>
      <c r="E24" s="13">
        <v>7</v>
      </c>
    </row>
    <row r="25" spans="1:5" x14ac:dyDescent="0.3">
      <c r="A25" s="13" t="s">
        <v>1</v>
      </c>
      <c r="B25" s="13" t="s">
        <v>31</v>
      </c>
      <c r="C25" s="13">
        <v>5</v>
      </c>
      <c r="D25" s="13">
        <v>5</v>
      </c>
      <c r="E25" s="13">
        <v>6</v>
      </c>
    </row>
    <row r="26" spans="1:5" x14ac:dyDescent="0.3">
      <c r="A26" s="13" t="s">
        <v>1</v>
      </c>
      <c r="B26" s="13" t="s">
        <v>191</v>
      </c>
      <c r="C26" s="13">
        <v>7</v>
      </c>
      <c r="D26" s="13">
        <v>5</v>
      </c>
      <c r="E26" s="13">
        <v>8</v>
      </c>
    </row>
    <row r="27" spans="1:5" x14ac:dyDescent="0.3">
      <c r="A27" s="13" t="s">
        <v>1</v>
      </c>
      <c r="B27" s="13" t="s">
        <v>32</v>
      </c>
      <c r="C27" s="13">
        <v>11</v>
      </c>
      <c r="D27" s="13">
        <v>5</v>
      </c>
      <c r="E27" s="13">
        <v>16</v>
      </c>
    </row>
    <row r="28" spans="1:5" x14ac:dyDescent="0.3">
      <c r="A28" s="13" t="s">
        <v>0</v>
      </c>
      <c r="B28" s="13" t="s">
        <v>354</v>
      </c>
      <c r="C28" s="13">
        <v>6</v>
      </c>
      <c r="D28" s="13">
        <v>5</v>
      </c>
      <c r="E28" s="13">
        <v>5</v>
      </c>
    </row>
    <row r="29" spans="1:5" x14ac:dyDescent="0.3">
      <c r="A29" s="13" t="s">
        <v>0</v>
      </c>
      <c r="B29" s="13" t="s">
        <v>1741</v>
      </c>
      <c r="C29" s="13">
        <v>5</v>
      </c>
      <c r="D29" s="13">
        <v>5</v>
      </c>
      <c r="E29" s="13">
        <v>5</v>
      </c>
    </row>
    <row r="30" spans="1:5" x14ac:dyDescent="0.3">
      <c r="A30" s="13" t="s">
        <v>1</v>
      </c>
      <c r="B30" s="13" t="s">
        <v>346</v>
      </c>
      <c r="C30" s="13">
        <v>8</v>
      </c>
      <c r="D30" s="13">
        <v>4</v>
      </c>
      <c r="E30" s="13">
        <v>12</v>
      </c>
    </row>
    <row r="31" spans="1:5" x14ac:dyDescent="0.3">
      <c r="A31" s="13" t="s">
        <v>1</v>
      </c>
      <c r="B31" s="13" t="s">
        <v>83</v>
      </c>
      <c r="C31" s="13">
        <v>4</v>
      </c>
      <c r="D31" s="13">
        <v>4</v>
      </c>
      <c r="E31" s="13">
        <v>4</v>
      </c>
    </row>
    <row r="32" spans="1:5" x14ac:dyDescent="0.3">
      <c r="A32" s="13" t="s">
        <v>1</v>
      </c>
      <c r="B32" s="13" t="s">
        <v>61</v>
      </c>
      <c r="C32" s="13">
        <v>7</v>
      </c>
      <c r="D32" s="13">
        <v>4</v>
      </c>
      <c r="E32" s="13">
        <v>11</v>
      </c>
    </row>
    <row r="33" spans="1:5" x14ac:dyDescent="0.3">
      <c r="A33" s="13" t="s">
        <v>1</v>
      </c>
      <c r="B33" s="13" t="s">
        <v>154</v>
      </c>
      <c r="C33" s="13">
        <v>4</v>
      </c>
      <c r="D33" s="13">
        <v>4</v>
      </c>
      <c r="E33" s="13">
        <v>5</v>
      </c>
    </row>
    <row r="34" spans="1:5" x14ac:dyDescent="0.3">
      <c r="A34" s="13" t="s">
        <v>1</v>
      </c>
      <c r="B34" s="13" t="s">
        <v>111</v>
      </c>
      <c r="C34" s="13">
        <v>4</v>
      </c>
      <c r="D34" s="13">
        <v>4</v>
      </c>
      <c r="E34" s="13">
        <v>4</v>
      </c>
    </row>
    <row r="35" spans="1:5" x14ac:dyDescent="0.3">
      <c r="A35" s="13" t="s">
        <v>1</v>
      </c>
      <c r="B35" s="13" t="s">
        <v>281</v>
      </c>
      <c r="C35" s="13">
        <v>4</v>
      </c>
      <c r="D35" s="13">
        <v>4</v>
      </c>
      <c r="E35" s="13">
        <v>4</v>
      </c>
    </row>
    <row r="36" spans="1:5" x14ac:dyDescent="0.3">
      <c r="A36" s="13" t="s">
        <v>1</v>
      </c>
      <c r="B36" s="13" t="s">
        <v>631</v>
      </c>
      <c r="C36" s="13">
        <v>6</v>
      </c>
      <c r="D36" s="13">
        <v>4</v>
      </c>
      <c r="E36" s="13">
        <v>7</v>
      </c>
    </row>
    <row r="37" spans="1:5" x14ac:dyDescent="0.3">
      <c r="A37" s="13" t="s">
        <v>1</v>
      </c>
      <c r="B37" s="13" t="s">
        <v>121</v>
      </c>
      <c r="C37" s="13">
        <v>5</v>
      </c>
      <c r="D37" s="13">
        <v>4</v>
      </c>
      <c r="E37" s="13">
        <v>6</v>
      </c>
    </row>
    <row r="38" spans="1:5" x14ac:dyDescent="0.3">
      <c r="A38" s="13" t="s">
        <v>1</v>
      </c>
      <c r="B38" s="13" t="s">
        <v>39</v>
      </c>
      <c r="C38" s="13">
        <v>15</v>
      </c>
      <c r="D38" s="13">
        <v>4</v>
      </c>
      <c r="E38" s="13">
        <v>19</v>
      </c>
    </row>
    <row r="39" spans="1:5" x14ac:dyDescent="0.3">
      <c r="A39" s="13" t="s">
        <v>0</v>
      </c>
      <c r="B39" s="13" t="s">
        <v>1208</v>
      </c>
      <c r="C39" s="13">
        <v>4</v>
      </c>
      <c r="D39" s="13">
        <v>4</v>
      </c>
      <c r="E39" s="13">
        <v>4</v>
      </c>
    </row>
    <row r="40" spans="1:5" x14ac:dyDescent="0.3">
      <c r="A40" s="13" t="s">
        <v>0</v>
      </c>
      <c r="B40" s="13" t="s">
        <v>61</v>
      </c>
      <c r="C40" s="13">
        <v>4</v>
      </c>
      <c r="D40" s="13">
        <v>4</v>
      </c>
      <c r="E40" s="13">
        <v>4</v>
      </c>
    </row>
    <row r="41" spans="1:5" x14ac:dyDescent="0.3">
      <c r="A41" s="13" t="s">
        <v>0</v>
      </c>
      <c r="B41" s="13" t="s">
        <v>1663</v>
      </c>
      <c r="C41" s="13">
        <v>4</v>
      </c>
      <c r="D41" s="13">
        <v>4</v>
      </c>
      <c r="E41" s="13">
        <v>4</v>
      </c>
    </row>
    <row r="42" spans="1:5" x14ac:dyDescent="0.3">
      <c r="A42" s="13" t="s">
        <v>0</v>
      </c>
      <c r="B42" s="13" t="s">
        <v>164</v>
      </c>
      <c r="C42" s="13">
        <v>4</v>
      </c>
      <c r="D42" s="13">
        <v>4</v>
      </c>
      <c r="E42" s="13">
        <v>5</v>
      </c>
    </row>
    <row r="43" spans="1:5" x14ac:dyDescent="0.3">
      <c r="A43" s="13" t="s">
        <v>0</v>
      </c>
      <c r="B43" s="13" t="s">
        <v>120</v>
      </c>
      <c r="C43" s="13">
        <v>4</v>
      </c>
      <c r="D43" s="13">
        <v>4</v>
      </c>
      <c r="E43" s="13">
        <v>6</v>
      </c>
    </row>
    <row r="44" spans="1:5" x14ac:dyDescent="0.3">
      <c r="A44" s="13" t="s">
        <v>0</v>
      </c>
      <c r="B44" s="13" t="s">
        <v>121</v>
      </c>
      <c r="C44" s="13">
        <v>4</v>
      </c>
      <c r="D44" s="13">
        <v>4</v>
      </c>
      <c r="E44" s="13">
        <v>4</v>
      </c>
    </row>
    <row r="45" spans="1:5" x14ac:dyDescent="0.3">
      <c r="A45" s="13" t="s">
        <v>1</v>
      </c>
      <c r="B45" s="13" t="s">
        <v>47</v>
      </c>
      <c r="C45" s="13">
        <v>4</v>
      </c>
      <c r="D45" s="13">
        <v>3</v>
      </c>
      <c r="E45" s="13">
        <v>4</v>
      </c>
    </row>
    <row r="46" spans="1:5" x14ac:dyDescent="0.3">
      <c r="A46" s="13" t="s">
        <v>1</v>
      </c>
      <c r="B46" s="13" t="s">
        <v>33</v>
      </c>
      <c r="C46" s="13">
        <v>5</v>
      </c>
      <c r="D46" s="13">
        <v>3</v>
      </c>
      <c r="E46" s="13">
        <v>5</v>
      </c>
    </row>
    <row r="47" spans="1:5" x14ac:dyDescent="0.3">
      <c r="A47" s="13" t="s">
        <v>1</v>
      </c>
      <c r="B47" s="13" t="s">
        <v>148</v>
      </c>
      <c r="C47" s="13">
        <v>5</v>
      </c>
      <c r="D47" s="13">
        <v>3</v>
      </c>
      <c r="E47" s="13">
        <v>5</v>
      </c>
    </row>
    <row r="48" spans="1:5" x14ac:dyDescent="0.3">
      <c r="A48" s="13" t="s">
        <v>1</v>
      </c>
      <c r="B48" s="13" t="s">
        <v>351</v>
      </c>
      <c r="C48" s="13">
        <v>5</v>
      </c>
      <c r="D48" s="13">
        <v>3</v>
      </c>
      <c r="E48" s="13">
        <v>6</v>
      </c>
    </row>
    <row r="49" spans="1:5" x14ac:dyDescent="0.3">
      <c r="A49" s="13" t="s">
        <v>1</v>
      </c>
      <c r="B49" s="13" t="s">
        <v>41</v>
      </c>
      <c r="C49" s="13">
        <v>3</v>
      </c>
      <c r="D49" s="13">
        <v>3</v>
      </c>
      <c r="E49" s="13">
        <v>5</v>
      </c>
    </row>
    <row r="50" spans="1:5" x14ac:dyDescent="0.3">
      <c r="A50" s="13" t="s">
        <v>1</v>
      </c>
      <c r="B50" s="13" t="s">
        <v>94</v>
      </c>
      <c r="C50" s="13">
        <v>6</v>
      </c>
      <c r="D50" s="13">
        <v>3</v>
      </c>
      <c r="E50" s="13">
        <v>6</v>
      </c>
    </row>
    <row r="51" spans="1:5" x14ac:dyDescent="0.3">
      <c r="A51" s="13" t="s">
        <v>1</v>
      </c>
      <c r="B51" s="13" t="s">
        <v>258</v>
      </c>
      <c r="C51" s="13">
        <v>3</v>
      </c>
      <c r="D51" s="13">
        <v>3</v>
      </c>
      <c r="E51" s="13">
        <v>5</v>
      </c>
    </row>
    <row r="52" spans="1:5" x14ac:dyDescent="0.3">
      <c r="A52" s="13" t="s">
        <v>1</v>
      </c>
      <c r="B52" s="13" t="s">
        <v>1055</v>
      </c>
      <c r="C52" s="13">
        <v>3</v>
      </c>
      <c r="D52" s="13">
        <v>3</v>
      </c>
      <c r="E52" s="13">
        <v>3</v>
      </c>
    </row>
    <row r="53" spans="1:5" x14ac:dyDescent="0.3">
      <c r="A53" s="13" t="s">
        <v>1</v>
      </c>
      <c r="B53" s="13" t="s">
        <v>165</v>
      </c>
      <c r="C53" s="13">
        <v>3</v>
      </c>
      <c r="D53" s="13">
        <v>3</v>
      </c>
      <c r="E53" s="13">
        <v>3</v>
      </c>
    </row>
    <row r="54" spans="1:5" x14ac:dyDescent="0.3">
      <c r="A54" s="13" t="s">
        <v>1</v>
      </c>
      <c r="B54" s="13" t="s">
        <v>434</v>
      </c>
      <c r="C54" s="13">
        <v>3</v>
      </c>
      <c r="D54" s="13">
        <v>3</v>
      </c>
      <c r="E54" s="13">
        <v>3</v>
      </c>
    </row>
    <row r="55" spans="1:5" x14ac:dyDescent="0.3">
      <c r="A55" s="13" t="s">
        <v>1</v>
      </c>
      <c r="B55" s="13" t="s">
        <v>118</v>
      </c>
      <c r="C55" s="13">
        <v>3</v>
      </c>
      <c r="D55" s="13">
        <v>3</v>
      </c>
      <c r="E55" s="13">
        <v>3</v>
      </c>
    </row>
    <row r="56" spans="1:5" x14ac:dyDescent="0.3">
      <c r="A56" s="13" t="s">
        <v>1</v>
      </c>
      <c r="B56" s="13" t="s">
        <v>63</v>
      </c>
      <c r="C56" s="13">
        <v>3</v>
      </c>
      <c r="D56" s="13">
        <v>3</v>
      </c>
      <c r="E56" s="13">
        <v>3</v>
      </c>
    </row>
    <row r="57" spans="1:5" x14ac:dyDescent="0.3">
      <c r="A57" s="13" t="s">
        <v>1</v>
      </c>
      <c r="B57" s="13" t="s">
        <v>539</v>
      </c>
      <c r="C57" s="13">
        <v>3</v>
      </c>
      <c r="D57" s="13">
        <v>3</v>
      </c>
      <c r="E57" s="13">
        <v>3</v>
      </c>
    </row>
    <row r="58" spans="1:5" x14ac:dyDescent="0.3">
      <c r="A58" s="13" t="s">
        <v>0</v>
      </c>
      <c r="B58" s="13" t="s">
        <v>151</v>
      </c>
      <c r="C58" s="13">
        <v>3</v>
      </c>
      <c r="D58" s="13">
        <v>3</v>
      </c>
      <c r="E58" s="13">
        <v>3</v>
      </c>
    </row>
    <row r="59" spans="1:5" x14ac:dyDescent="0.3">
      <c r="A59" s="13" t="s">
        <v>0</v>
      </c>
      <c r="B59" s="13" t="s">
        <v>94</v>
      </c>
      <c r="C59" s="13">
        <v>3</v>
      </c>
      <c r="D59" s="13">
        <v>3</v>
      </c>
      <c r="E59" s="13">
        <v>4</v>
      </c>
    </row>
    <row r="60" spans="1:5" x14ac:dyDescent="0.3">
      <c r="A60" s="13" t="s">
        <v>0</v>
      </c>
      <c r="B60" s="13" t="s">
        <v>2093</v>
      </c>
      <c r="C60" s="13">
        <v>3</v>
      </c>
      <c r="D60" s="13">
        <v>3</v>
      </c>
      <c r="E60" s="13">
        <v>3</v>
      </c>
    </row>
    <row r="61" spans="1:5" x14ac:dyDescent="0.3">
      <c r="A61" s="13" t="s">
        <v>0</v>
      </c>
      <c r="B61" s="13" t="s">
        <v>2203</v>
      </c>
      <c r="C61" s="13">
        <v>5</v>
      </c>
      <c r="D61" s="13">
        <v>3</v>
      </c>
      <c r="E61" s="13">
        <v>5</v>
      </c>
    </row>
    <row r="62" spans="1:5" x14ac:dyDescent="0.3">
      <c r="A62" s="13" t="s">
        <v>0</v>
      </c>
      <c r="B62" s="13" t="s">
        <v>46</v>
      </c>
      <c r="C62" s="13">
        <v>3</v>
      </c>
      <c r="D62" s="13">
        <v>3</v>
      </c>
      <c r="E62" s="13">
        <v>3</v>
      </c>
    </row>
    <row r="63" spans="1:5" x14ac:dyDescent="0.3">
      <c r="A63" s="13" t="s">
        <v>0</v>
      </c>
      <c r="B63" s="13" t="s">
        <v>339</v>
      </c>
      <c r="C63" s="13">
        <v>3</v>
      </c>
      <c r="D63" s="13">
        <v>3</v>
      </c>
      <c r="E63" s="13">
        <v>5</v>
      </c>
    </row>
    <row r="64" spans="1:5" x14ac:dyDescent="0.3">
      <c r="A64" s="13" t="s">
        <v>0</v>
      </c>
      <c r="B64" s="13" t="s">
        <v>39</v>
      </c>
      <c r="C64" s="13">
        <v>6</v>
      </c>
      <c r="D64" s="13">
        <v>3</v>
      </c>
      <c r="E64" s="13">
        <v>6</v>
      </c>
    </row>
    <row r="65" spans="1:5" x14ac:dyDescent="0.3">
      <c r="A65" s="13" t="s">
        <v>1</v>
      </c>
      <c r="B65" s="13" t="s">
        <v>377</v>
      </c>
      <c r="C65" s="13">
        <v>2</v>
      </c>
      <c r="D65" s="13">
        <v>2</v>
      </c>
      <c r="E65" s="13">
        <v>3</v>
      </c>
    </row>
    <row r="66" spans="1:5" x14ac:dyDescent="0.3">
      <c r="A66" s="13" t="s">
        <v>1</v>
      </c>
      <c r="B66" s="13" t="s">
        <v>238</v>
      </c>
      <c r="C66" s="13">
        <v>2</v>
      </c>
      <c r="D66" s="13">
        <v>2</v>
      </c>
      <c r="E66" s="13">
        <v>2</v>
      </c>
    </row>
    <row r="67" spans="1:5" x14ac:dyDescent="0.3">
      <c r="A67" s="13" t="s">
        <v>1</v>
      </c>
      <c r="B67" s="13" t="s">
        <v>380</v>
      </c>
      <c r="C67" s="13">
        <v>2</v>
      </c>
      <c r="D67" s="13">
        <v>2</v>
      </c>
      <c r="E67" s="13">
        <v>2</v>
      </c>
    </row>
    <row r="68" spans="1:5" x14ac:dyDescent="0.3">
      <c r="A68" s="13" t="s">
        <v>1</v>
      </c>
      <c r="B68" s="13" t="s">
        <v>445</v>
      </c>
      <c r="C68" s="13">
        <v>2</v>
      </c>
      <c r="D68" s="13">
        <v>2</v>
      </c>
      <c r="E68" s="13">
        <v>2</v>
      </c>
    </row>
    <row r="69" spans="1:5" x14ac:dyDescent="0.3">
      <c r="A69" s="13" t="s">
        <v>1</v>
      </c>
      <c r="B69" s="13" t="s">
        <v>57</v>
      </c>
      <c r="C69" s="13">
        <v>3</v>
      </c>
      <c r="D69" s="13">
        <v>2</v>
      </c>
      <c r="E69" s="13">
        <v>3</v>
      </c>
    </row>
    <row r="70" spans="1:5" x14ac:dyDescent="0.3">
      <c r="A70" s="13" t="s">
        <v>1</v>
      </c>
      <c r="B70" s="13" t="s">
        <v>264</v>
      </c>
      <c r="C70" s="13">
        <v>2</v>
      </c>
      <c r="D70" s="13">
        <v>2</v>
      </c>
      <c r="E70" s="13">
        <v>2</v>
      </c>
    </row>
    <row r="71" spans="1:5" x14ac:dyDescent="0.3">
      <c r="A71" s="13" t="s">
        <v>1</v>
      </c>
      <c r="B71" s="13" t="s">
        <v>596</v>
      </c>
      <c r="C71" s="13">
        <v>2</v>
      </c>
      <c r="D71" s="13">
        <v>2</v>
      </c>
      <c r="E71" s="13">
        <v>2</v>
      </c>
    </row>
    <row r="72" spans="1:5" x14ac:dyDescent="0.3">
      <c r="A72" s="13" t="s">
        <v>1</v>
      </c>
      <c r="B72" s="13" t="s">
        <v>142</v>
      </c>
      <c r="C72" s="13">
        <v>2</v>
      </c>
      <c r="D72" s="13">
        <v>2</v>
      </c>
      <c r="E72" s="13">
        <v>2</v>
      </c>
    </row>
    <row r="73" spans="1:5" x14ac:dyDescent="0.3">
      <c r="A73" s="13" t="s">
        <v>1</v>
      </c>
      <c r="B73" s="13" t="s">
        <v>77</v>
      </c>
      <c r="C73" s="13">
        <v>2</v>
      </c>
      <c r="D73" s="13">
        <v>2</v>
      </c>
      <c r="E73" s="13">
        <v>2</v>
      </c>
    </row>
    <row r="74" spans="1:5" x14ac:dyDescent="0.3">
      <c r="A74" s="13" t="s">
        <v>1</v>
      </c>
      <c r="B74" s="13" t="s">
        <v>878</v>
      </c>
      <c r="C74" s="13">
        <v>2</v>
      </c>
      <c r="D74" s="13">
        <v>2</v>
      </c>
      <c r="E74" s="13">
        <v>2</v>
      </c>
    </row>
    <row r="75" spans="1:5" x14ac:dyDescent="0.3">
      <c r="A75" s="13" t="s">
        <v>1</v>
      </c>
      <c r="B75" s="13" t="s">
        <v>260</v>
      </c>
      <c r="C75" s="13">
        <v>2</v>
      </c>
      <c r="D75" s="13">
        <v>2</v>
      </c>
      <c r="E75" s="13">
        <v>2</v>
      </c>
    </row>
    <row r="76" spans="1:5" x14ac:dyDescent="0.3">
      <c r="A76" s="13" t="s">
        <v>1</v>
      </c>
      <c r="B76" s="13" t="s">
        <v>147</v>
      </c>
      <c r="C76" s="13">
        <v>2</v>
      </c>
      <c r="D76" s="13">
        <v>2</v>
      </c>
      <c r="E76" s="13">
        <v>2</v>
      </c>
    </row>
    <row r="77" spans="1:5" x14ac:dyDescent="0.3">
      <c r="A77" s="13" t="s">
        <v>1</v>
      </c>
      <c r="B77" s="13" t="s">
        <v>215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152</v>
      </c>
      <c r="C78" s="13">
        <v>4</v>
      </c>
      <c r="D78" s="13">
        <v>2</v>
      </c>
      <c r="E78" s="13">
        <v>4</v>
      </c>
    </row>
    <row r="79" spans="1:5" x14ac:dyDescent="0.3">
      <c r="A79" s="13" t="s">
        <v>1</v>
      </c>
      <c r="B79" s="13" t="s">
        <v>42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1471</v>
      </c>
      <c r="C80" s="13">
        <v>2</v>
      </c>
      <c r="D80" s="13">
        <v>2</v>
      </c>
      <c r="E80" s="13">
        <v>3</v>
      </c>
    </row>
    <row r="81" spans="1:5" x14ac:dyDescent="0.3">
      <c r="A81" s="13" t="s">
        <v>1</v>
      </c>
      <c r="B81" s="13" t="s">
        <v>1645</v>
      </c>
      <c r="C81" s="13">
        <v>3</v>
      </c>
      <c r="D81" s="13">
        <v>2</v>
      </c>
      <c r="E81" s="13">
        <v>5</v>
      </c>
    </row>
    <row r="82" spans="1:5" x14ac:dyDescent="0.3">
      <c r="A82" s="13" t="s">
        <v>1</v>
      </c>
      <c r="B82" s="13" t="s">
        <v>1674</v>
      </c>
      <c r="C82" s="13">
        <v>4</v>
      </c>
      <c r="D82" s="13">
        <v>2</v>
      </c>
      <c r="E82" s="13">
        <v>4</v>
      </c>
    </row>
    <row r="83" spans="1:5" x14ac:dyDescent="0.3">
      <c r="A83" s="13" t="s">
        <v>1</v>
      </c>
      <c r="B83" s="13" t="s">
        <v>1696</v>
      </c>
      <c r="C83" s="13">
        <v>3</v>
      </c>
      <c r="D83" s="13">
        <v>2</v>
      </c>
      <c r="E83" s="13">
        <v>3</v>
      </c>
    </row>
    <row r="84" spans="1:5" x14ac:dyDescent="0.3">
      <c r="A84" s="13" t="s">
        <v>1</v>
      </c>
      <c r="B84" s="13" t="s">
        <v>1849</v>
      </c>
      <c r="C84" s="13">
        <v>4</v>
      </c>
      <c r="D84" s="13">
        <v>2</v>
      </c>
      <c r="E84" s="13">
        <v>4</v>
      </c>
    </row>
    <row r="85" spans="1:5" x14ac:dyDescent="0.3">
      <c r="A85" s="13" t="s">
        <v>1</v>
      </c>
      <c r="B85" s="13" t="s">
        <v>1881</v>
      </c>
      <c r="C85" s="13">
        <v>4</v>
      </c>
      <c r="D85" s="13">
        <v>2</v>
      </c>
      <c r="E85" s="13">
        <v>4</v>
      </c>
    </row>
    <row r="86" spans="1:5" x14ac:dyDescent="0.3">
      <c r="A86" s="13" t="s">
        <v>1</v>
      </c>
      <c r="B86" s="13" t="s">
        <v>1882</v>
      </c>
      <c r="C86" s="13">
        <v>3</v>
      </c>
      <c r="D86" s="13">
        <v>2</v>
      </c>
      <c r="E86" s="13">
        <v>3</v>
      </c>
    </row>
    <row r="87" spans="1:5" x14ac:dyDescent="0.3">
      <c r="A87" s="13" t="s">
        <v>1</v>
      </c>
      <c r="B87" s="13" t="s">
        <v>1989</v>
      </c>
      <c r="C87" s="13">
        <v>2</v>
      </c>
      <c r="D87" s="13">
        <v>2</v>
      </c>
      <c r="E87" s="13">
        <v>3</v>
      </c>
    </row>
    <row r="88" spans="1:5" x14ac:dyDescent="0.3">
      <c r="A88" s="13" t="s">
        <v>1</v>
      </c>
      <c r="B88" s="13" t="s">
        <v>2203</v>
      </c>
      <c r="C88" s="13">
        <v>5</v>
      </c>
      <c r="D88" s="13">
        <v>2</v>
      </c>
      <c r="E88" s="13">
        <v>7</v>
      </c>
    </row>
    <row r="89" spans="1:5" x14ac:dyDescent="0.3">
      <c r="A89" s="13" t="s">
        <v>1</v>
      </c>
      <c r="B89" s="13" t="s">
        <v>2624</v>
      </c>
      <c r="C89" s="13">
        <v>13</v>
      </c>
      <c r="D89" s="13">
        <v>2</v>
      </c>
      <c r="E89" s="13">
        <v>15</v>
      </c>
    </row>
    <row r="90" spans="1:5" x14ac:dyDescent="0.3">
      <c r="A90" s="13" t="s">
        <v>1</v>
      </c>
      <c r="B90" s="13" t="s">
        <v>388</v>
      </c>
      <c r="C90" s="13">
        <v>2</v>
      </c>
      <c r="D90" s="13">
        <v>2</v>
      </c>
      <c r="E90" s="13">
        <v>2</v>
      </c>
    </row>
    <row r="91" spans="1:5" x14ac:dyDescent="0.3">
      <c r="A91" s="13" t="s">
        <v>1</v>
      </c>
      <c r="B91" s="13" t="s">
        <v>49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476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391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562</v>
      </c>
      <c r="C94" s="13">
        <v>2</v>
      </c>
      <c r="D94" s="13">
        <v>2</v>
      </c>
      <c r="E94" s="13">
        <v>3</v>
      </c>
    </row>
    <row r="95" spans="1:5" x14ac:dyDescent="0.3">
      <c r="A95" s="13" t="s">
        <v>1</v>
      </c>
      <c r="B95" s="13" t="s">
        <v>105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108</v>
      </c>
      <c r="C96" s="13">
        <v>2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941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109</v>
      </c>
      <c r="C98" s="13">
        <v>3</v>
      </c>
      <c r="D98" s="13">
        <v>2</v>
      </c>
      <c r="E98" s="13">
        <v>4</v>
      </c>
    </row>
    <row r="99" spans="1:5" x14ac:dyDescent="0.3">
      <c r="A99" s="13" t="s">
        <v>1</v>
      </c>
      <c r="B99" s="13" t="s">
        <v>824</v>
      </c>
      <c r="C99" s="13">
        <v>3</v>
      </c>
      <c r="D99" s="13">
        <v>2</v>
      </c>
      <c r="E99" s="13">
        <v>2</v>
      </c>
    </row>
    <row r="100" spans="1:5" x14ac:dyDescent="0.3">
      <c r="A100" s="13" t="s">
        <v>1</v>
      </c>
      <c r="B100" s="13" t="s">
        <v>513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1</v>
      </c>
      <c r="B101" s="13" t="s">
        <v>451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1</v>
      </c>
      <c r="B102" s="13" t="s">
        <v>568</v>
      </c>
      <c r="C102" s="13">
        <v>3</v>
      </c>
      <c r="D102" s="13">
        <v>2</v>
      </c>
      <c r="E102" s="13">
        <v>2</v>
      </c>
    </row>
    <row r="103" spans="1:5" x14ac:dyDescent="0.3">
      <c r="A103" s="13" t="s">
        <v>1</v>
      </c>
      <c r="B103" s="13" t="s">
        <v>1107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1</v>
      </c>
      <c r="B104" s="13" t="s">
        <v>516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1</v>
      </c>
      <c r="B105" s="13" t="s">
        <v>2097</v>
      </c>
      <c r="C105" s="13">
        <v>2</v>
      </c>
      <c r="D105" s="13">
        <v>2</v>
      </c>
      <c r="E105" s="13">
        <v>6</v>
      </c>
    </row>
    <row r="106" spans="1:5" x14ac:dyDescent="0.3">
      <c r="A106" s="13" t="s">
        <v>1</v>
      </c>
      <c r="B106" s="13" t="s">
        <v>402</v>
      </c>
      <c r="C106" s="13">
        <v>3</v>
      </c>
      <c r="D106" s="13">
        <v>2</v>
      </c>
      <c r="E106" s="13">
        <v>2</v>
      </c>
    </row>
    <row r="107" spans="1:5" x14ac:dyDescent="0.3">
      <c r="A107" s="13" t="s">
        <v>1</v>
      </c>
      <c r="B107" s="13" t="s">
        <v>771</v>
      </c>
      <c r="C107" s="13">
        <v>3</v>
      </c>
      <c r="D107" s="13">
        <v>2</v>
      </c>
      <c r="E107" s="13">
        <v>5</v>
      </c>
    </row>
    <row r="108" spans="1:5" x14ac:dyDescent="0.3">
      <c r="A108" s="13" t="s">
        <v>1</v>
      </c>
      <c r="B108" s="13" t="s">
        <v>334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1742</v>
      </c>
      <c r="C109" s="13">
        <v>2</v>
      </c>
      <c r="D109" s="13">
        <v>2</v>
      </c>
      <c r="E109" s="13">
        <v>3</v>
      </c>
    </row>
    <row r="110" spans="1:5" x14ac:dyDescent="0.3">
      <c r="A110" s="13" t="s">
        <v>1</v>
      </c>
      <c r="B110" s="13" t="s">
        <v>122</v>
      </c>
      <c r="C110" s="13">
        <v>3</v>
      </c>
      <c r="D110" s="13">
        <v>2</v>
      </c>
      <c r="E110" s="13">
        <v>3</v>
      </c>
    </row>
    <row r="111" spans="1:5" x14ac:dyDescent="0.3">
      <c r="A111" s="13" t="s">
        <v>1</v>
      </c>
      <c r="B111" s="13" t="s">
        <v>661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1</v>
      </c>
      <c r="B112" s="13" t="s">
        <v>174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1</v>
      </c>
      <c r="B113" s="13" t="s">
        <v>2107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1</v>
      </c>
      <c r="B114" s="13" t="s">
        <v>124</v>
      </c>
      <c r="C114" s="13">
        <v>2</v>
      </c>
      <c r="D114" s="13">
        <v>2</v>
      </c>
      <c r="E114" s="13">
        <v>2</v>
      </c>
    </row>
    <row r="115" spans="1:5" x14ac:dyDescent="0.3">
      <c r="A115" s="13" t="s">
        <v>1</v>
      </c>
      <c r="B115" s="13" t="s">
        <v>958</v>
      </c>
      <c r="C115" s="13">
        <v>2</v>
      </c>
      <c r="D115" s="13">
        <v>2</v>
      </c>
      <c r="E115" s="13">
        <v>3</v>
      </c>
    </row>
    <row r="116" spans="1:5" x14ac:dyDescent="0.3">
      <c r="A116" s="13" t="s">
        <v>1</v>
      </c>
      <c r="B116" s="13" t="s">
        <v>253</v>
      </c>
      <c r="C116" s="13">
        <v>2</v>
      </c>
      <c r="D116" s="13">
        <v>2</v>
      </c>
      <c r="E116" s="13">
        <v>4</v>
      </c>
    </row>
    <row r="117" spans="1:5" x14ac:dyDescent="0.3">
      <c r="A117" s="13" t="s">
        <v>1</v>
      </c>
      <c r="B117" s="13" t="s">
        <v>38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1</v>
      </c>
      <c r="B118" s="13" t="s">
        <v>540</v>
      </c>
      <c r="C118" s="13">
        <v>3</v>
      </c>
      <c r="D118" s="13">
        <v>2</v>
      </c>
      <c r="E118" s="13">
        <v>4</v>
      </c>
    </row>
    <row r="119" spans="1:5" x14ac:dyDescent="0.3">
      <c r="A119" s="13" t="s">
        <v>1</v>
      </c>
      <c r="B119" s="13" t="s">
        <v>716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1</v>
      </c>
      <c r="B120" s="13" t="s">
        <v>132</v>
      </c>
      <c r="C120" s="13">
        <v>4</v>
      </c>
      <c r="D120" s="13">
        <v>2</v>
      </c>
      <c r="E120" s="13">
        <v>4</v>
      </c>
    </row>
    <row r="121" spans="1:5" x14ac:dyDescent="0.3">
      <c r="A121" s="13" t="s">
        <v>1</v>
      </c>
      <c r="B121" s="13" t="s">
        <v>259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0</v>
      </c>
      <c r="B122" s="13" t="s">
        <v>30</v>
      </c>
      <c r="C122" s="13">
        <v>7</v>
      </c>
      <c r="D122" s="13">
        <v>2</v>
      </c>
      <c r="E122" s="13">
        <v>18</v>
      </c>
    </row>
    <row r="123" spans="1:5" x14ac:dyDescent="0.3">
      <c r="A123" s="13" t="s">
        <v>0</v>
      </c>
      <c r="B123" s="13" t="s">
        <v>73</v>
      </c>
      <c r="C123" s="13">
        <v>3</v>
      </c>
      <c r="D123" s="13">
        <v>2</v>
      </c>
      <c r="E123" s="13">
        <v>3</v>
      </c>
    </row>
    <row r="124" spans="1:5" x14ac:dyDescent="0.3">
      <c r="A124" s="13" t="s">
        <v>0</v>
      </c>
      <c r="B124" s="13" t="s">
        <v>48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83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0</v>
      </c>
      <c r="B126" s="13" t="s">
        <v>145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0</v>
      </c>
      <c r="B127" s="13" t="s">
        <v>147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91</v>
      </c>
      <c r="C128" s="13">
        <v>2</v>
      </c>
      <c r="D128" s="13">
        <v>2</v>
      </c>
      <c r="E128" s="13">
        <v>6</v>
      </c>
    </row>
    <row r="129" spans="1:5" x14ac:dyDescent="0.3">
      <c r="A129" s="13" t="s">
        <v>0</v>
      </c>
      <c r="B129" s="13" t="s">
        <v>1885</v>
      </c>
      <c r="C129" s="13">
        <v>3</v>
      </c>
      <c r="D129" s="13">
        <v>2</v>
      </c>
      <c r="E129" s="13">
        <v>4</v>
      </c>
    </row>
    <row r="130" spans="1:5" x14ac:dyDescent="0.3">
      <c r="A130" s="13" t="s">
        <v>0</v>
      </c>
      <c r="B130" s="13" t="s">
        <v>159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0</v>
      </c>
      <c r="B131" s="13" t="s">
        <v>1457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105</v>
      </c>
      <c r="C132" s="13">
        <v>2</v>
      </c>
      <c r="D132" s="13">
        <v>2</v>
      </c>
      <c r="E132" s="13">
        <v>2</v>
      </c>
    </row>
    <row r="133" spans="1:5" x14ac:dyDescent="0.3">
      <c r="A133" s="13" t="s">
        <v>0</v>
      </c>
      <c r="B133" s="13" t="s">
        <v>2050</v>
      </c>
      <c r="C133" s="13">
        <v>2</v>
      </c>
      <c r="D133" s="13">
        <v>2</v>
      </c>
      <c r="E133" s="13">
        <v>2</v>
      </c>
    </row>
    <row r="134" spans="1:5" x14ac:dyDescent="0.3">
      <c r="A134" s="13" t="s">
        <v>0</v>
      </c>
      <c r="B134" s="13" t="s">
        <v>51</v>
      </c>
      <c r="C134" s="13">
        <v>2</v>
      </c>
      <c r="D134" s="13">
        <v>2</v>
      </c>
      <c r="E134" s="13">
        <v>2</v>
      </c>
    </row>
    <row r="135" spans="1:5" x14ac:dyDescent="0.3">
      <c r="A135" s="13" t="s">
        <v>0</v>
      </c>
      <c r="B135" s="13" t="s">
        <v>44</v>
      </c>
      <c r="C135" s="13">
        <v>2</v>
      </c>
      <c r="D135" s="13">
        <v>2</v>
      </c>
      <c r="E135" s="13">
        <v>3</v>
      </c>
    </row>
    <row r="136" spans="1:5" x14ac:dyDescent="0.3">
      <c r="A136" s="13" t="s">
        <v>0</v>
      </c>
      <c r="B136" s="13" t="s">
        <v>1282</v>
      </c>
      <c r="C136" s="13">
        <v>2</v>
      </c>
      <c r="D136" s="13">
        <v>2</v>
      </c>
      <c r="E136" s="13">
        <v>2</v>
      </c>
    </row>
    <row r="137" spans="1:5" x14ac:dyDescent="0.3">
      <c r="A137" s="13" t="s">
        <v>0</v>
      </c>
      <c r="B137" s="13" t="s">
        <v>172</v>
      </c>
      <c r="C137" s="13">
        <v>3</v>
      </c>
      <c r="D137" s="13">
        <v>2</v>
      </c>
      <c r="E137" s="13">
        <v>3</v>
      </c>
    </row>
    <row r="138" spans="1:5" x14ac:dyDescent="0.3">
      <c r="A138" s="13" t="s">
        <v>0</v>
      </c>
      <c r="B138" s="13" t="s">
        <v>631</v>
      </c>
      <c r="C138" s="13">
        <v>2</v>
      </c>
      <c r="D138" s="13">
        <v>2</v>
      </c>
      <c r="E138" s="13">
        <v>2</v>
      </c>
    </row>
    <row r="139" spans="1:5" x14ac:dyDescent="0.3">
      <c r="A139" s="13" t="s">
        <v>0</v>
      </c>
      <c r="B139" s="13" t="s">
        <v>37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0</v>
      </c>
      <c r="B140" s="13" t="s">
        <v>797</v>
      </c>
      <c r="C140" s="13">
        <v>2</v>
      </c>
      <c r="D140" s="13">
        <v>2</v>
      </c>
      <c r="E140" s="13">
        <v>3</v>
      </c>
    </row>
    <row r="141" spans="1:5" x14ac:dyDescent="0.3">
      <c r="A141" s="13" t="s">
        <v>0</v>
      </c>
      <c r="B141" s="13" t="s">
        <v>259</v>
      </c>
      <c r="C141" s="13">
        <v>2</v>
      </c>
      <c r="D141" s="13">
        <v>2</v>
      </c>
      <c r="E141" s="13">
        <v>2</v>
      </c>
    </row>
    <row r="142" spans="1:5" x14ac:dyDescent="0.3">
      <c r="A142" s="13" t="s">
        <v>2</v>
      </c>
      <c r="B142" s="13" t="s">
        <v>1741</v>
      </c>
      <c r="C142" s="13">
        <v>2</v>
      </c>
      <c r="D142" s="13">
        <v>2</v>
      </c>
      <c r="E142" s="13">
        <v>2</v>
      </c>
    </row>
    <row r="143" spans="1:5" x14ac:dyDescent="0.3">
      <c r="A143" s="13" t="s">
        <v>2</v>
      </c>
      <c r="B143" s="13" t="s">
        <v>111</v>
      </c>
      <c r="C143" s="13">
        <v>2</v>
      </c>
      <c r="D143" s="13">
        <v>2</v>
      </c>
      <c r="E143" s="13">
        <v>4</v>
      </c>
    </row>
    <row r="144" spans="1:5" x14ac:dyDescent="0.3">
      <c r="A144" s="13" t="s">
        <v>2</v>
      </c>
      <c r="B144" s="13" t="s">
        <v>824</v>
      </c>
      <c r="C144" s="13">
        <v>2</v>
      </c>
      <c r="D144" s="13">
        <v>2</v>
      </c>
      <c r="E144" s="13">
        <v>2</v>
      </c>
    </row>
    <row r="145" spans="1:5" x14ac:dyDescent="0.3">
      <c r="A145" s="13" t="s">
        <v>1</v>
      </c>
      <c r="B145" s="13" t="s">
        <v>198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1350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486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36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1351</v>
      </c>
      <c r="C149" s="13">
        <v>1</v>
      </c>
      <c r="D149" s="13">
        <v>1</v>
      </c>
      <c r="E149" s="13">
        <v>3</v>
      </c>
    </row>
    <row r="150" spans="1:5" x14ac:dyDescent="0.3">
      <c r="A150" s="13" t="s">
        <v>1</v>
      </c>
      <c r="B150" s="13" t="s">
        <v>199</v>
      </c>
      <c r="C150" s="13">
        <v>2</v>
      </c>
      <c r="D150" s="13">
        <v>1</v>
      </c>
      <c r="E150" s="13">
        <v>3</v>
      </c>
    </row>
    <row r="151" spans="1:5" x14ac:dyDescent="0.3">
      <c r="A151" s="13" t="s">
        <v>1</v>
      </c>
      <c r="B151" s="13" t="s">
        <v>200</v>
      </c>
      <c r="C151" s="13">
        <v>2</v>
      </c>
      <c r="D151" s="13">
        <v>1</v>
      </c>
      <c r="E151" s="13">
        <v>2</v>
      </c>
    </row>
    <row r="152" spans="1:5" x14ac:dyDescent="0.3">
      <c r="A152" s="13" t="s">
        <v>1</v>
      </c>
      <c r="B152" s="13" t="s">
        <v>2626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240</v>
      </c>
      <c r="C153" s="13">
        <v>2</v>
      </c>
      <c r="D153" s="13">
        <v>1</v>
      </c>
      <c r="E153" s="13">
        <v>2</v>
      </c>
    </row>
    <row r="154" spans="1:5" x14ac:dyDescent="0.3">
      <c r="A154" s="13" t="s">
        <v>1</v>
      </c>
      <c r="B154" s="13" t="s">
        <v>1155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552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1562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583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419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70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462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553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490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2627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444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726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752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71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203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808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58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591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420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302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474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345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267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347</v>
      </c>
      <c r="C177" s="13">
        <v>1</v>
      </c>
      <c r="D177" s="13">
        <v>1</v>
      </c>
      <c r="E177" s="13">
        <v>2</v>
      </c>
    </row>
    <row r="178" spans="1:5" x14ac:dyDescent="0.3">
      <c r="A178" s="13" t="s">
        <v>1</v>
      </c>
      <c r="B178" s="13" t="s">
        <v>243</v>
      </c>
      <c r="C178" s="13">
        <v>2</v>
      </c>
      <c r="D178" s="13">
        <v>1</v>
      </c>
      <c r="E178" s="13">
        <v>2</v>
      </c>
    </row>
    <row r="179" spans="1:5" x14ac:dyDescent="0.3">
      <c r="A179" s="13" t="s">
        <v>1</v>
      </c>
      <c r="B179" s="13" t="s">
        <v>348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34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369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813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40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210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304</v>
      </c>
      <c r="C185" s="13">
        <v>1</v>
      </c>
      <c r="D185" s="13">
        <v>1</v>
      </c>
      <c r="E185" s="13">
        <v>2</v>
      </c>
    </row>
    <row r="186" spans="1:5" x14ac:dyDescent="0.3">
      <c r="A186" s="13" t="s">
        <v>1</v>
      </c>
      <c r="B186" s="13" t="s">
        <v>986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558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145</v>
      </c>
      <c r="C188" s="13">
        <v>2</v>
      </c>
      <c r="D188" s="13">
        <v>1</v>
      </c>
      <c r="E188" s="13">
        <v>2</v>
      </c>
    </row>
    <row r="189" spans="1:5" x14ac:dyDescent="0.3">
      <c r="A189" s="13" t="s">
        <v>1</v>
      </c>
      <c r="B189" s="13" t="s">
        <v>86</v>
      </c>
      <c r="C189" s="13">
        <v>2</v>
      </c>
      <c r="D189" s="13">
        <v>1</v>
      </c>
      <c r="E189" s="13">
        <v>2</v>
      </c>
    </row>
    <row r="190" spans="1:5" x14ac:dyDescent="0.3">
      <c r="A190" s="13" t="s">
        <v>1</v>
      </c>
      <c r="B190" s="13" t="s">
        <v>1112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1503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88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1297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214</v>
      </c>
      <c r="C194" s="13">
        <v>2</v>
      </c>
      <c r="D194" s="13">
        <v>1</v>
      </c>
      <c r="E194" s="13">
        <v>2</v>
      </c>
    </row>
    <row r="195" spans="1:5" x14ac:dyDescent="0.3">
      <c r="A195" s="13" t="s">
        <v>1</v>
      </c>
      <c r="B195" s="13" t="s">
        <v>149</v>
      </c>
      <c r="C195" s="13">
        <v>3</v>
      </c>
      <c r="D195" s="13">
        <v>1</v>
      </c>
      <c r="E195" s="13">
        <v>2</v>
      </c>
    </row>
    <row r="196" spans="1:5" x14ac:dyDescent="0.3">
      <c r="A196" s="13" t="s">
        <v>1</v>
      </c>
      <c r="B196" s="13" t="s">
        <v>1184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91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352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353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219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356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93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471</v>
      </c>
      <c r="C203" s="13">
        <v>4</v>
      </c>
      <c r="D203" s="13">
        <v>1</v>
      </c>
      <c r="E203" s="13">
        <v>5</v>
      </c>
    </row>
    <row r="204" spans="1:5" x14ac:dyDescent="0.3">
      <c r="A204" s="13" t="s">
        <v>1</v>
      </c>
      <c r="B204" s="13" t="s">
        <v>1370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1621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1654</v>
      </c>
      <c r="C206" s="13">
        <v>5</v>
      </c>
      <c r="D206" s="13">
        <v>1</v>
      </c>
      <c r="E206" s="13">
        <v>5</v>
      </c>
    </row>
    <row r="207" spans="1:5" x14ac:dyDescent="0.3">
      <c r="A207" s="13" t="s">
        <v>1</v>
      </c>
      <c r="B207" s="13" t="s">
        <v>1664</v>
      </c>
      <c r="C207" s="13">
        <v>2</v>
      </c>
      <c r="D207" s="13">
        <v>1</v>
      </c>
      <c r="E207" s="13">
        <v>2</v>
      </c>
    </row>
    <row r="208" spans="1:5" x14ac:dyDescent="0.3">
      <c r="A208" s="13" t="s">
        <v>1</v>
      </c>
      <c r="B208" s="13" t="s">
        <v>1738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1833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1885</v>
      </c>
      <c r="C210" s="13">
        <v>2</v>
      </c>
      <c r="D210" s="13">
        <v>1</v>
      </c>
      <c r="E210" s="13">
        <v>2</v>
      </c>
    </row>
    <row r="211" spans="1:5" x14ac:dyDescent="0.3">
      <c r="A211" s="13" t="s">
        <v>1</v>
      </c>
      <c r="B211" s="13" t="s">
        <v>1899</v>
      </c>
      <c r="C211" s="13">
        <v>2</v>
      </c>
      <c r="D211" s="13">
        <v>1</v>
      </c>
      <c r="E211" s="13">
        <v>2</v>
      </c>
    </row>
    <row r="212" spans="1:5" x14ac:dyDescent="0.3">
      <c r="A212" s="13" t="s">
        <v>1</v>
      </c>
      <c r="B212" s="13" t="s">
        <v>1910</v>
      </c>
      <c r="C212" s="13">
        <v>2</v>
      </c>
      <c r="D212" s="13">
        <v>1</v>
      </c>
      <c r="E212" s="13">
        <v>2</v>
      </c>
    </row>
    <row r="213" spans="1:5" x14ac:dyDescent="0.3">
      <c r="A213" s="13" t="s">
        <v>1</v>
      </c>
      <c r="B213" s="13" t="s">
        <v>2069</v>
      </c>
      <c r="C213" s="13">
        <v>3</v>
      </c>
      <c r="D213" s="13">
        <v>1</v>
      </c>
      <c r="E213" s="13">
        <v>3</v>
      </c>
    </row>
    <row r="214" spans="1:5" x14ac:dyDescent="0.3">
      <c r="A214" s="13" t="s">
        <v>1</v>
      </c>
      <c r="B214" s="13" t="s">
        <v>2179</v>
      </c>
      <c r="C214" s="13">
        <v>2</v>
      </c>
      <c r="D214" s="13">
        <v>1</v>
      </c>
      <c r="E214" s="13">
        <v>2</v>
      </c>
    </row>
    <row r="215" spans="1:5" x14ac:dyDescent="0.3">
      <c r="A215" s="13" t="s">
        <v>1</v>
      </c>
      <c r="B215" s="13" t="s">
        <v>2407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678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155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95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559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475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2678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932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1341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889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2716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1033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97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795</v>
      </c>
      <c r="C228" s="13">
        <v>2</v>
      </c>
      <c r="D228" s="13">
        <v>1</v>
      </c>
      <c r="E228" s="13">
        <v>2</v>
      </c>
    </row>
    <row r="229" spans="1:5" x14ac:dyDescent="0.3">
      <c r="A229" s="13" t="s">
        <v>1</v>
      </c>
      <c r="B229" s="13" t="s">
        <v>1034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934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1069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1343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935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159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357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392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28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101</v>
      </c>
      <c r="C238" s="13">
        <v>2</v>
      </c>
      <c r="D238" s="13">
        <v>1</v>
      </c>
      <c r="E238" s="13">
        <v>2</v>
      </c>
    </row>
    <row r="239" spans="1:5" x14ac:dyDescent="0.3">
      <c r="A239" s="13" t="s">
        <v>1</v>
      </c>
      <c r="B239" s="13" t="s">
        <v>1070</v>
      </c>
      <c r="C239" s="13">
        <v>2</v>
      </c>
      <c r="D239" s="13">
        <v>1</v>
      </c>
      <c r="E239" s="13">
        <v>3</v>
      </c>
    </row>
    <row r="240" spans="1:5" x14ac:dyDescent="0.3">
      <c r="A240" s="13" t="s">
        <v>1</v>
      </c>
      <c r="B240" s="13" t="s">
        <v>102</v>
      </c>
      <c r="C240" s="13">
        <v>2</v>
      </c>
      <c r="D240" s="13">
        <v>1</v>
      </c>
      <c r="E240" s="13">
        <v>2</v>
      </c>
    </row>
    <row r="241" spans="1:5" x14ac:dyDescent="0.3">
      <c r="A241" s="13" t="s">
        <v>1</v>
      </c>
      <c r="B241" s="13" t="s">
        <v>161</v>
      </c>
      <c r="C241" s="13">
        <v>4</v>
      </c>
      <c r="D241" s="13">
        <v>1</v>
      </c>
      <c r="E241" s="13">
        <v>5</v>
      </c>
    </row>
    <row r="242" spans="1:5" x14ac:dyDescent="0.3">
      <c r="A242" s="13" t="s">
        <v>1</v>
      </c>
      <c r="B242" s="13" t="s">
        <v>275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2427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732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2222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2194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164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565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1312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107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195</v>
      </c>
      <c r="C251" s="13">
        <v>2</v>
      </c>
      <c r="D251" s="13">
        <v>1</v>
      </c>
      <c r="E251" s="13">
        <v>3</v>
      </c>
    </row>
    <row r="252" spans="1:5" x14ac:dyDescent="0.3">
      <c r="A252" s="13" t="s">
        <v>1</v>
      </c>
      <c r="B252" s="13" t="s">
        <v>1500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394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1932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2153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278</v>
      </c>
      <c r="C256" s="13">
        <v>2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619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1021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168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169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620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2717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1750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314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317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1460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518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1938</v>
      </c>
      <c r="C268" s="13">
        <v>2</v>
      </c>
      <c r="D268" s="13">
        <v>1</v>
      </c>
      <c r="E268" s="13">
        <v>3</v>
      </c>
    </row>
    <row r="269" spans="1:5" x14ac:dyDescent="0.3">
      <c r="A269" s="13" t="s">
        <v>1</v>
      </c>
      <c r="B269" s="13" t="s">
        <v>2718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2719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1005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1080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2720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319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282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691</v>
      </c>
      <c r="C276" s="13">
        <v>2</v>
      </c>
      <c r="D276" s="13">
        <v>1</v>
      </c>
      <c r="E276" s="13">
        <v>2</v>
      </c>
    </row>
    <row r="277" spans="1:5" x14ac:dyDescent="0.3">
      <c r="A277" s="13" t="s">
        <v>1</v>
      </c>
      <c r="B277" s="13" t="s">
        <v>2721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833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895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1188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917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401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580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360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1634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834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114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115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648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1422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1038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2147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172</v>
      </c>
      <c r="C293" s="13">
        <v>3</v>
      </c>
      <c r="D293" s="13">
        <v>1</v>
      </c>
      <c r="E293" s="13">
        <v>2</v>
      </c>
    </row>
    <row r="294" spans="1:5" x14ac:dyDescent="0.3">
      <c r="A294" s="13" t="s">
        <v>1</v>
      </c>
      <c r="B294" s="13" t="s">
        <v>1262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1081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2573</v>
      </c>
      <c r="C296" s="13">
        <v>2</v>
      </c>
      <c r="D296" s="13">
        <v>1</v>
      </c>
      <c r="E296" s="13">
        <v>2</v>
      </c>
    </row>
    <row r="297" spans="1:5" x14ac:dyDescent="0.3">
      <c r="A297" s="13" t="s">
        <v>1</v>
      </c>
      <c r="B297" s="13" t="s">
        <v>1660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119</v>
      </c>
      <c r="C298" s="13">
        <v>2</v>
      </c>
      <c r="D298" s="13">
        <v>1</v>
      </c>
      <c r="E298" s="13">
        <v>2</v>
      </c>
    </row>
    <row r="299" spans="1:5" x14ac:dyDescent="0.3">
      <c r="A299" s="13" t="s">
        <v>1</v>
      </c>
      <c r="B299" s="13" t="s">
        <v>573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2015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123</v>
      </c>
      <c r="C301" s="13">
        <v>2</v>
      </c>
      <c r="D301" s="13">
        <v>1</v>
      </c>
      <c r="E301" s="13">
        <v>2</v>
      </c>
    </row>
    <row r="302" spans="1:5" x14ac:dyDescent="0.3">
      <c r="A302" s="13" t="s">
        <v>1</v>
      </c>
      <c r="B302" s="13" t="s">
        <v>531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1092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408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1192</v>
      </c>
      <c r="C305" s="13">
        <v>1</v>
      </c>
      <c r="D305" s="13">
        <v>1</v>
      </c>
      <c r="E305" s="13">
        <v>2</v>
      </c>
    </row>
    <row r="306" spans="1:5" x14ac:dyDescent="0.3">
      <c r="A306" s="13" t="s">
        <v>1</v>
      </c>
      <c r="B306" s="13" t="s">
        <v>409</v>
      </c>
      <c r="C306" s="13">
        <v>2</v>
      </c>
      <c r="D306" s="13">
        <v>1</v>
      </c>
      <c r="E306" s="13">
        <v>3</v>
      </c>
    </row>
    <row r="307" spans="1:5" x14ac:dyDescent="0.3">
      <c r="A307" s="13" t="s">
        <v>1</v>
      </c>
      <c r="B307" s="13" t="s">
        <v>973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1676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1463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709</v>
      </c>
      <c r="C310" s="13">
        <v>2</v>
      </c>
      <c r="D310" s="13">
        <v>1</v>
      </c>
      <c r="E310" s="13">
        <v>2</v>
      </c>
    </row>
    <row r="311" spans="1:5" x14ac:dyDescent="0.3">
      <c r="A311" s="13" t="s">
        <v>1</v>
      </c>
      <c r="B311" s="13" t="s">
        <v>2722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176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1390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956</v>
      </c>
      <c r="C314" s="13">
        <v>1</v>
      </c>
      <c r="D314" s="13">
        <v>1</v>
      </c>
      <c r="E314" s="13">
        <v>2</v>
      </c>
    </row>
    <row r="315" spans="1:5" x14ac:dyDescent="0.3">
      <c r="A315" s="13" t="s">
        <v>1</v>
      </c>
      <c r="B315" s="13" t="s">
        <v>2492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710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181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456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778</v>
      </c>
      <c r="C319" s="13">
        <v>2</v>
      </c>
      <c r="D319" s="13">
        <v>1</v>
      </c>
      <c r="E319" s="13">
        <v>2</v>
      </c>
    </row>
    <row r="320" spans="1:5" x14ac:dyDescent="0.3">
      <c r="A320" s="13" t="s">
        <v>1</v>
      </c>
      <c r="B320" s="13" t="s">
        <v>416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866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779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1509</v>
      </c>
      <c r="C323" s="13">
        <v>2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744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52</v>
      </c>
      <c r="C325" s="13">
        <v>2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2575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780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1476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1046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1</v>
      </c>
      <c r="B330" s="13" t="s">
        <v>1058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130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1</v>
      </c>
      <c r="B332" s="13" t="s">
        <v>197</v>
      </c>
      <c r="C332" s="13">
        <v>1</v>
      </c>
      <c r="D332" s="13">
        <v>1</v>
      </c>
      <c r="E332" s="13">
        <v>2</v>
      </c>
    </row>
    <row r="333" spans="1:5" x14ac:dyDescent="0.3">
      <c r="A333" s="13" t="s">
        <v>1</v>
      </c>
      <c r="B333" s="13" t="s">
        <v>2723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1307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188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1276</v>
      </c>
      <c r="C336" s="13">
        <v>1</v>
      </c>
      <c r="D336" s="13">
        <v>1</v>
      </c>
      <c r="E336" s="13">
        <v>3</v>
      </c>
    </row>
    <row r="337" spans="1:5" x14ac:dyDescent="0.3">
      <c r="A337" s="13" t="s">
        <v>1</v>
      </c>
      <c r="B337" s="13" t="s">
        <v>1490</v>
      </c>
      <c r="C337" s="13">
        <v>2</v>
      </c>
      <c r="D337" s="13">
        <v>1</v>
      </c>
      <c r="E337" s="13">
        <v>1</v>
      </c>
    </row>
    <row r="338" spans="1:5" x14ac:dyDescent="0.3">
      <c r="A338" s="13" t="s">
        <v>1</v>
      </c>
      <c r="B338" s="13" t="s">
        <v>717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1</v>
      </c>
      <c r="B339" s="13" t="s">
        <v>797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296</v>
      </c>
      <c r="C340" s="13">
        <v>2</v>
      </c>
      <c r="D340" s="13">
        <v>1</v>
      </c>
      <c r="E340" s="13">
        <v>2</v>
      </c>
    </row>
    <row r="341" spans="1:5" x14ac:dyDescent="0.3">
      <c r="A341" s="13" t="s">
        <v>1</v>
      </c>
      <c r="B341" s="13" t="s">
        <v>53</v>
      </c>
      <c r="C341" s="13">
        <v>3</v>
      </c>
      <c r="D341" s="13">
        <v>1</v>
      </c>
      <c r="E341" s="13">
        <v>3</v>
      </c>
    </row>
    <row r="342" spans="1:5" x14ac:dyDescent="0.3">
      <c r="A342" s="13" t="s">
        <v>1</v>
      </c>
      <c r="B342" s="13" t="s">
        <v>1339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1</v>
      </c>
      <c r="B343" s="13" t="s">
        <v>785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1</v>
      </c>
      <c r="B344" s="13" t="s">
        <v>66</v>
      </c>
      <c r="C344" s="13">
        <v>5</v>
      </c>
      <c r="D344" s="13">
        <v>1</v>
      </c>
      <c r="E344" s="13">
        <v>7</v>
      </c>
    </row>
    <row r="345" spans="1:5" x14ac:dyDescent="0.3">
      <c r="A345" s="13" t="s">
        <v>1</v>
      </c>
      <c r="B345" s="13" t="s">
        <v>54</v>
      </c>
      <c r="C345" s="13">
        <v>6</v>
      </c>
      <c r="D345" s="13">
        <v>1</v>
      </c>
      <c r="E345" s="13">
        <v>7</v>
      </c>
    </row>
    <row r="346" spans="1:5" x14ac:dyDescent="0.3">
      <c r="A346" s="13" t="s">
        <v>1</v>
      </c>
      <c r="B346" s="13" t="s">
        <v>55</v>
      </c>
      <c r="C346" s="13">
        <v>5</v>
      </c>
      <c r="D346" s="13">
        <v>1</v>
      </c>
      <c r="E346" s="13">
        <v>5</v>
      </c>
    </row>
    <row r="347" spans="1:5" x14ac:dyDescent="0.3">
      <c r="A347" s="13" t="s">
        <v>1</v>
      </c>
      <c r="B347" s="13" t="s">
        <v>2724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1</v>
      </c>
      <c r="B348" s="13" t="s">
        <v>193</v>
      </c>
      <c r="C348" s="13">
        <v>1</v>
      </c>
      <c r="D348" s="13">
        <v>1</v>
      </c>
      <c r="E348" s="13">
        <v>2</v>
      </c>
    </row>
    <row r="349" spans="1:5" x14ac:dyDescent="0.3">
      <c r="A349" s="13" t="s">
        <v>1</v>
      </c>
      <c r="B349" s="13" t="s">
        <v>2034</v>
      </c>
      <c r="C349" s="13">
        <v>1</v>
      </c>
      <c r="D349" s="13">
        <v>1</v>
      </c>
      <c r="E349" s="13">
        <v>4</v>
      </c>
    </row>
    <row r="350" spans="1:5" x14ac:dyDescent="0.3">
      <c r="A350" s="13" t="s">
        <v>1</v>
      </c>
      <c r="B350" s="13" t="s">
        <v>1589</v>
      </c>
      <c r="C350" s="13">
        <v>1</v>
      </c>
      <c r="D350" s="13">
        <v>1</v>
      </c>
      <c r="E350" s="13">
        <v>2</v>
      </c>
    </row>
    <row r="351" spans="1:5" x14ac:dyDescent="0.3">
      <c r="A351" s="13" t="s">
        <v>1</v>
      </c>
      <c r="B351" s="13" t="s">
        <v>547</v>
      </c>
      <c r="C351" s="13">
        <v>1</v>
      </c>
      <c r="D351" s="13">
        <v>1</v>
      </c>
      <c r="E351" s="13"/>
    </row>
    <row r="352" spans="1:5" x14ac:dyDescent="0.3">
      <c r="A352" s="13" t="s">
        <v>1</v>
      </c>
      <c r="B352" s="13" t="s">
        <v>2725</v>
      </c>
      <c r="C352" s="13">
        <v>1</v>
      </c>
      <c r="D352" s="13">
        <v>2</v>
      </c>
      <c r="E352" s="13"/>
    </row>
    <row r="353" spans="1:5" x14ac:dyDescent="0.3">
      <c r="A353" s="13" t="s">
        <v>1</v>
      </c>
      <c r="B353" s="13" t="s">
        <v>1773</v>
      </c>
      <c r="C353" s="13">
        <v>1</v>
      </c>
      <c r="D353" s="13">
        <v>2</v>
      </c>
      <c r="E353" s="13"/>
    </row>
    <row r="354" spans="1:5" x14ac:dyDescent="0.3">
      <c r="A354" s="13" t="s">
        <v>1</v>
      </c>
      <c r="B354" s="13" t="s">
        <v>1433</v>
      </c>
      <c r="C354" s="13">
        <v>1</v>
      </c>
      <c r="D354" s="13">
        <v>1</v>
      </c>
      <c r="E354" s="13"/>
    </row>
    <row r="355" spans="1:5" x14ac:dyDescent="0.3">
      <c r="A355" s="13" t="s">
        <v>1</v>
      </c>
      <c r="B355" s="13" t="s">
        <v>2726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1</v>
      </c>
      <c r="B356" s="13" t="s">
        <v>1644</v>
      </c>
      <c r="C356" s="13">
        <v>1</v>
      </c>
      <c r="D356" s="13">
        <v>1</v>
      </c>
      <c r="E356" s="13"/>
    </row>
    <row r="357" spans="1:5" x14ac:dyDescent="0.3">
      <c r="A357" s="13" t="s">
        <v>1</v>
      </c>
      <c r="B357" s="13" t="s">
        <v>1061</v>
      </c>
      <c r="C357" s="13">
        <v>1</v>
      </c>
      <c r="D357" s="13">
        <v>1</v>
      </c>
      <c r="E357" s="13">
        <v>2</v>
      </c>
    </row>
    <row r="358" spans="1:5" x14ac:dyDescent="0.3">
      <c r="A358" s="13" t="s">
        <v>1</v>
      </c>
      <c r="B358" s="13" t="s">
        <v>1017</v>
      </c>
      <c r="C358" s="13">
        <v>1</v>
      </c>
      <c r="D358" s="13">
        <v>1</v>
      </c>
      <c r="E358" s="13">
        <v>2</v>
      </c>
    </row>
    <row r="359" spans="1:5" x14ac:dyDescent="0.3">
      <c r="A359" s="13" t="s">
        <v>1</v>
      </c>
      <c r="B359" s="13" t="s">
        <v>1828</v>
      </c>
      <c r="C359" s="13">
        <v>1</v>
      </c>
      <c r="D359" s="13">
        <v>1</v>
      </c>
      <c r="E359" s="13"/>
    </row>
    <row r="360" spans="1:5" x14ac:dyDescent="0.3">
      <c r="A360" s="13" t="s">
        <v>1</v>
      </c>
      <c r="B360" s="13" t="s">
        <v>804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1</v>
      </c>
      <c r="B361" s="13" t="s">
        <v>1434</v>
      </c>
      <c r="C361" s="13">
        <v>1</v>
      </c>
      <c r="D361" s="13">
        <v>2</v>
      </c>
      <c r="E361" s="13"/>
    </row>
    <row r="362" spans="1:5" x14ac:dyDescent="0.3">
      <c r="A362" s="13" t="s">
        <v>1</v>
      </c>
      <c r="B362" s="13" t="s">
        <v>1874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1</v>
      </c>
      <c r="B363" s="13" t="s">
        <v>1148</v>
      </c>
      <c r="C363" s="13">
        <v>1</v>
      </c>
      <c r="D363" s="13">
        <v>2</v>
      </c>
      <c r="E363" s="13"/>
    </row>
    <row r="364" spans="1:5" x14ac:dyDescent="0.3">
      <c r="A364" s="13" t="s">
        <v>1</v>
      </c>
      <c r="B364" s="13" t="s">
        <v>2650</v>
      </c>
      <c r="C364" s="13">
        <v>1</v>
      </c>
      <c r="D364" s="13">
        <v>2</v>
      </c>
      <c r="E364" s="13"/>
    </row>
    <row r="365" spans="1:5" x14ac:dyDescent="0.3">
      <c r="A365" s="13" t="s">
        <v>1</v>
      </c>
      <c r="B365" s="13" t="s">
        <v>1555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1</v>
      </c>
      <c r="B366" s="13" t="s">
        <v>1391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1</v>
      </c>
      <c r="B367" s="13" t="s">
        <v>850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198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238</v>
      </c>
      <c r="C369" s="13">
        <v>1</v>
      </c>
      <c r="D369" s="13">
        <v>1</v>
      </c>
      <c r="E369" s="13">
        <v>2</v>
      </c>
    </row>
    <row r="370" spans="1:5" x14ac:dyDescent="0.3">
      <c r="A370" s="13" t="s">
        <v>0</v>
      </c>
      <c r="B370" s="13" t="s">
        <v>239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368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200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1798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373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445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381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263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264</v>
      </c>
      <c r="C378" s="13">
        <v>1</v>
      </c>
      <c r="D378" s="13">
        <v>1</v>
      </c>
      <c r="E378" s="13">
        <v>2</v>
      </c>
    </row>
    <row r="379" spans="1:5" x14ac:dyDescent="0.3">
      <c r="A379" s="13" t="s">
        <v>0</v>
      </c>
      <c r="B379" s="13" t="s">
        <v>206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474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1090</v>
      </c>
      <c r="C381" s="13">
        <v>1</v>
      </c>
      <c r="D381" s="13">
        <v>1</v>
      </c>
      <c r="E381" s="13">
        <v>2</v>
      </c>
    </row>
    <row r="382" spans="1:5" x14ac:dyDescent="0.3">
      <c r="A382" s="13" t="s">
        <v>0</v>
      </c>
      <c r="B382" s="13" t="s">
        <v>143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267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498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77</v>
      </c>
      <c r="C385" s="13">
        <v>2</v>
      </c>
      <c r="D385" s="13">
        <v>1</v>
      </c>
      <c r="E385" s="13">
        <v>2</v>
      </c>
    </row>
    <row r="386" spans="1:5" x14ac:dyDescent="0.3">
      <c r="A386" s="13" t="s">
        <v>0</v>
      </c>
      <c r="B386" s="13" t="s">
        <v>1456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557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813</v>
      </c>
      <c r="C388" s="13">
        <v>1</v>
      </c>
      <c r="D388" s="13">
        <v>1</v>
      </c>
      <c r="E388" s="13">
        <v>2</v>
      </c>
    </row>
    <row r="389" spans="1:5" x14ac:dyDescent="0.3">
      <c r="A389" s="13" t="s">
        <v>0</v>
      </c>
      <c r="B389" s="13" t="s">
        <v>815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84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1210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148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605</v>
      </c>
      <c r="C393" s="13">
        <v>1</v>
      </c>
      <c r="D393" s="13">
        <v>1</v>
      </c>
      <c r="E393" s="13">
        <v>3</v>
      </c>
    </row>
    <row r="394" spans="1:5" x14ac:dyDescent="0.3">
      <c r="A394" s="13" t="s">
        <v>0</v>
      </c>
      <c r="B394" s="13" t="s">
        <v>817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1183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272</v>
      </c>
      <c r="C396" s="13">
        <v>1</v>
      </c>
      <c r="D396" s="13">
        <v>1</v>
      </c>
      <c r="E396" s="13">
        <v>2</v>
      </c>
    </row>
    <row r="397" spans="1:5" x14ac:dyDescent="0.3">
      <c r="A397" s="13" t="s">
        <v>0</v>
      </c>
      <c r="B397" s="13" t="s">
        <v>886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254</v>
      </c>
      <c r="C398" s="13">
        <v>2</v>
      </c>
      <c r="D398" s="13">
        <v>1</v>
      </c>
      <c r="E398" s="13">
        <v>2</v>
      </c>
    </row>
    <row r="399" spans="1:5" x14ac:dyDescent="0.3">
      <c r="A399" s="13" t="s">
        <v>0</v>
      </c>
      <c r="B399" s="13" t="s">
        <v>658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60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42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1020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1471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1570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1664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1926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1881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2408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389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35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476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509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98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99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1053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391</v>
      </c>
      <c r="C416" s="13">
        <v>1</v>
      </c>
      <c r="D416" s="13">
        <v>1</v>
      </c>
      <c r="E416" s="13">
        <v>3</v>
      </c>
    </row>
    <row r="417" spans="1:5" x14ac:dyDescent="0.3">
      <c r="A417" s="13" t="s">
        <v>0</v>
      </c>
      <c r="B417" s="13" t="s">
        <v>934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857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102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2427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310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163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2727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429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195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165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2440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108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567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1021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169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279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1805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398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1355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568</v>
      </c>
      <c r="C436" s="13">
        <v>2</v>
      </c>
      <c r="D436" s="13">
        <v>1</v>
      </c>
      <c r="E436" s="13">
        <v>2</v>
      </c>
    </row>
    <row r="437" spans="1:5" x14ac:dyDescent="0.3">
      <c r="A437" s="13" t="s">
        <v>0</v>
      </c>
      <c r="B437" s="13" t="s">
        <v>944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1187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737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1238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1087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114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648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740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1422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2281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479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2728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332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62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174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531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575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364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806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293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1832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905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1706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181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416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0</v>
      </c>
      <c r="B462" s="13" t="s">
        <v>744</v>
      </c>
      <c r="C462" s="13">
        <v>1</v>
      </c>
      <c r="D462" s="13">
        <v>1</v>
      </c>
      <c r="E462" s="13">
        <v>2</v>
      </c>
    </row>
    <row r="463" spans="1:5" x14ac:dyDescent="0.3">
      <c r="A463" s="13" t="s">
        <v>0</v>
      </c>
      <c r="B463" s="13" t="s">
        <v>1046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439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782</v>
      </c>
      <c r="C465" s="13">
        <v>1</v>
      </c>
      <c r="D465" s="13">
        <v>1</v>
      </c>
      <c r="E465" s="13">
        <v>2</v>
      </c>
    </row>
    <row r="466" spans="1:5" x14ac:dyDescent="0.3">
      <c r="A466" s="13" t="s">
        <v>0</v>
      </c>
      <c r="B466" s="13" t="s">
        <v>38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0</v>
      </c>
      <c r="B467" s="13" t="s">
        <v>483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0</v>
      </c>
      <c r="B468" s="13" t="s">
        <v>64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0</v>
      </c>
      <c r="B469" s="13" t="s">
        <v>1047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0</v>
      </c>
      <c r="B470" s="13" t="s">
        <v>188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0</v>
      </c>
      <c r="B471" s="13" t="s">
        <v>441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0</v>
      </c>
      <c r="B472" s="13" t="s">
        <v>295</v>
      </c>
      <c r="C472" s="13">
        <v>1</v>
      </c>
      <c r="D472" s="13">
        <v>1</v>
      </c>
      <c r="E472" s="13">
        <v>1</v>
      </c>
    </row>
    <row r="473" spans="1:5" x14ac:dyDescent="0.3">
      <c r="A473" s="13" t="s">
        <v>0</v>
      </c>
      <c r="B473" s="13" t="s">
        <v>230</v>
      </c>
      <c r="C473" s="13">
        <v>1</v>
      </c>
      <c r="D473" s="13">
        <v>1</v>
      </c>
      <c r="E473" s="13">
        <v>2</v>
      </c>
    </row>
    <row r="474" spans="1:5" x14ac:dyDescent="0.3">
      <c r="A474" s="13" t="s">
        <v>0</v>
      </c>
      <c r="B474" s="13" t="s">
        <v>2729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0</v>
      </c>
      <c r="B475" s="13" t="s">
        <v>370</v>
      </c>
      <c r="C475" s="13">
        <v>1</v>
      </c>
      <c r="D475" s="13">
        <v>1</v>
      </c>
      <c r="E475" s="13">
        <v>2</v>
      </c>
    </row>
    <row r="476" spans="1:5" x14ac:dyDescent="0.3">
      <c r="A476" s="13" t="s">
        <v>0</v>
      </c>
      <c r="B476" s="13" t="s">
        <v>232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0</v>
      </c>
      <c r="B477" s="13" t="s">
        <v>1247</v>
      </c>
      <c r="C477" s="13">
        <v>1</v>
      </c>
      <c r="D477" s="13">
        <v>2</v>
      </c>
      <c r="E477" s="13"/>
    </row>
    <row r="478" spans="1:5" x14ac:dyDescent="0.3">
      <c r="A478" s="13" t="s">
        <v>0</v>
      </c>
      <c r="B478" s="13" t="s">
        <v>721</v>
      </c>
      <c r="C478" s="13">
        <v>1</v>
      </c>
      <c r="D478" s="13">
        <v>1</v>
      </c>
      <c r="E478" s="13">
        <v>2</v>
      </c>
    </row>
    <row r="479" spans="1:5" x14ac:dyDescent="0.3">
      <c r="A479" s="13" t="s">
        <v>0</v>
      </c>
      <c r="B479" s="13" t="s">
        <v>2079</v>
      </c>
      <c r="C479" s="13">
        <v>1</v>
      </c>
      <c r="D479" s="13">
        <v>1</v>
      </c>
      <c r="E479" s="13">
        <v>1</v>
      </c>
    </row>
    <row r="480" spans="1:5" x14ac:dyDescent="0.3">
      <c r="A480" s="13" t="s">
        <v>0</v>
      </c>
      <c r="B480" s="13" t="s">
        <v>871</v>
      </c>
      <c r="C480" s="13">
        <v>1</v>
      </c>
      <c r="D480" s="13">
        <v>1</v>
      </c>
      <c r="E480" s="13">
        <v>1</v>
      </c>
    </row>
    <row r="481" spans="1:5" x14ac:dyDescent="0.3">
      <c r="A481" s="13" t="s">
        <v>0</v>
      </c>
      <c r="B481" s="13" t="s">
        <v>2730</v>
      </c>
      <c r="C481" s="13">
        <v>1</v>
      </c>
      <c r="D481" s="13">
        <v>1</v>
      </c>
      <c r="E481" s="13">
        <v>2</v>
      </c>
    </row>
    <row r="482" spans="1:5" x14ac:dyDescent="0.3">
      <c r="A482" s="13" t="s">
        <v>2</v>
      </c>
      <c r="B482" s="13" t="s">
        <v>30</v>
      </c>
      <c r="C482" s="13">
        <v>1</v>
      </c>
      <c r="D482" s="13">
        <v>1</v>
      </c>
      <c r="E482" s="13">
        <v>1</v>
      </c>
    </row>
    <row r="483" spans="1:5" x14ac:dyDescent="0.3">
      <c r="A483" s="13" t="s">
        <v>2</v>
      </c>
      <c r="B483" s="13" t="s">
        <v>264</v>
      </c>
      <c r="C483" s="13">
        <v>1</v>
      </c>
      <c r="D483" s="13">
        <v>1</v>
      </c>
      <c r="E483" s="13">
        <v>1</v>
      </c>
    </row>
    <row r="484" spans="1:5" x14ac:dyDescent="0.3">
      <c r="A484" s="13" t="s">
        <v>2</v>
      </c>
      <c r="B484" s="13" t="s">
        <v>151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2</v>
      </c>
      <c r="B485" s="13" t="s">
        <v>1095</v>
      </c>
      <c r="C485" s="13">
        <v>1</v>
      </c>
      <c r="D485" s="13">
        <v>1</v>
      </c>
      <c r="E485" s="13">
        <v>1</v>
      </c>
    </row>
    <row r="486" spans="1:5" x14ac:dyDescent="0.3">
      <c r="A486" s="13" t="s">
        <v>2</v>
      </c>
      <c r="B486" s="13" t="s">
        <v>29</v>
      </c>
      <c r="C486" s="13">
        <v>1</v>
      </c>
      <c r="D486" s="13">
        <v>1</v>
      </c>
      <c r="E486" s="13">
        <v>1</v>
      </c>
    </row>
    <row r="487" spans="1:5" x14ac:dyDescent="0.3">
      <c r="A487" s="13" t="s">
        <v>2</v>
      </c>
      <c r="B487" s="13" t="s">
        <v>195</v>
      </c>
      <c r="C487" s="13">
        <v>1</v>
      </c>
      <c r="D487" s="13">
        <v>1</v>
      </c>
      <c r="E487" s="13">
        <v>1</v>
      </c>
    </row>
    <row r="488" spans="1:5" x14ac:dyDescent="0.3">
      <c r="A488" s="13" t="s">
        <v>2</v>
      </c>
      <c r="B488" s="13" t="s">
        <v>279</v>
      </c>
      <c r="C488" s="13">
        <v>1</v>
      </c>
      <c r="D488" s="13">
        <v>1</v>
      </c>
      <c r="E488" s="13">
        <v>1</v>
      </c>
    </row>
    <row r="489" spans="1:5" x14ac:dyDescent="0.3">
      <c r="A489" s="13" t="s">
        <v>2</v>
      </c>
      <c r="B489" s="13" t="s">
        <v>44</v>
      </c>
      <c r="C489" s="13">
        <v>1</v>
      </c>
      <c r="D489" s="13">
        <v>1</v>
      </c>
      <c r="E489" s="13">
        <v>1</v>
      </c>
    </row>
    <row r="490" spans="1:5" x14ac:dyDescent="0.3">
      <c r="A490" s="13" t="s">
        <v>2</v>
      </c>
      <c r="B490" s="13" t="s">
        <v>739</v>
      </c>
      <c r="C490" s="13">
        <v>1</v>
      </c>
      <c r="D490" s="13">
        <v>1</v>
      </c>
      <c r="E490" s="13">
        <v>1</v>
      </c>
    </row>
    <row r="491" spans="1:5" x14ac:dyDescent="0.3">
      <c r="A491" s="13" t="s">
        <v>2</v>
      </c>
      <c r="B491" s="13" t="s">
        <v>123</v>
      </c>
      <c r="C491" s="13">
        <v>1</v>
      </c>
      <c r="D491" s="13">
        <v>1</v>
      </c>
      <c r="E491" s="13">
        <v>1</v>
      </c>
    </row>
    <row r="492" spans="1:5" x14ac:dyDescent="0.3">
      <c r="A492" s="13" t="s">
        <v>1</v>
      </c>
      <c r="B492" s="13" t="s">
        <v>487</v>
      </c>
      <c r="C492" s="13">
        <v>1</v>
      </c>
      <c r="D492" s="13">
        <v>0</v>
      </c>
      <c r="E492" s="13">
        <v>1</v>
      </c>
    </row>
    <row r="493" spans="1:5" x14ac:dyDescent="0.3">
      <c r="A493" s="13" t="s">
        <v>1</v>
      </c>
      <c r="B493" s="13" t="s">
        <v>368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443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967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489</v>
      </c>
      <c r="C496" s="13">
        <v>1</v>
      </c>
      <c r="D496" s="13">
        <v>0</v>
      </c>
      <c r="E496" s="13">
        <v>1</v>
      </c>
    </row>
    <row r="497" spans="1:5" x14ac:dyDescent="0.3">
      <c r="A497" s="13" t="s">
        <v>1</v>
      </c>
      <c r="B497" s="13" t="s">
        <v>262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982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586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470</v>
      </c>
      <c r="C500" s="13">
        <v>1</v>
      </c>
      <c r="D500" s="13">
        <v>0</v>
      </c>
      <c r="E500" s="13">
        <v>1</v>
      </c>
    </row>
    <row r="501" spans="1:5" x14ac:dyDescent="0.3">
      <c r="A501" s="13" t="s">
        <v>1</v>
      </c>
      <c r="B501" s="13" t="s">
        <v>2040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72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657</v>
      </c>
      <c r="C503" s="13">
        <v>2</v>
      </c>
      <c r="D503" s="13">
        <v>0</v>
      </c>
      <c r="E503" s="13">
        <v>4</v>
      </c>
    </row>
    <row r="504" spans="1:5" x14ac:dyDescent="0.3">
      <c r="A504" s="13" t="s">
        <v>1</v>
      </c>
      <c r="B504" s="13" t="s">
        <v>140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204</v>
      </c>
      <c r="C505" s="13">
        <v>2</v>
      </c>
      <c r="D505" s="13">
        <v>0</v>
      </c>
      <c r="E505" s="13">
        <v>2</v>
      </c>
    </row>
    <row r="506" spans="1:5" x14ac:dyDescent="0.3">
      <c r="A506" s="13" t="s">
        <v>1</v>
      </c>
      <c r="B506" s="13" t="s">
        <v>811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556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206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499</v>
      </c>
      <c r="C509" s="13">
        <v>1</v>
      </c>
      <c r="D509" s="13">
        <v>0</v>
      </c>
      <c r="E509" s="13">
        <v>2</v>
      </c>
    </row>
    <row r="510" spans="1:5" x14ac:dyDescent="0.3">
      <c r="A510" s="13" t="s">
        <v>1</v>
      </c>
      <c r="B510" s="13" t="s">
        <v>598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2002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208</v>
      </c>
      <c r="C512" s="13">
        <v>1</v>
      </c>
      <c r="D512" s="13">
        <v>0</v>
      </c>
      <c r="E512" s="13">
        <v>1</v>
      </c>
    </row>
    <row r="513" spans="1:5" x14ac:dyDescent="0.3">
      <c r="A513" s="13" t="s">
        <v>1</v>
      </c>
      <c r="B513" s="13" t="s">
        <v>1445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269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81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144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500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501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270</v>
      </c>
      <c r="C519" s="13">
        <v>1</v>
      </c>
      <c r="D519" s="13">
        <v>0</v>
      </c>
      <c r="E519" s="13">
        <v>2</v>
      </c>
    </row>
    <row r="520" spans="1:5" x14ac:dyDescent="0.3">
      <c r="A520" s="13" t="s">
        <v>1</v>
      </c>
      <c r="B520" s="13" t="s">
        <v>349</v>
      </c>
      <c r="C520" s="13">
        <v>2</v>
      </c>
      <c r="D520" s="13">
        <v>0</v>
      </c>
      <c r="E520" s="13">
        <v>2</v>
      </c>
    </row>
    <row r="521" spans="1:5" x14ac:dyDescent="0.3">
      <c r="A521" s="13" t="s">
        <v>1</v>
      </c>
      <c r="B521" s="13" t="s">
        <v>988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85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674</v>
      </c>
      <c r="C523" s="13">
        <v>2</v>
      </c>
      <c r="D523" s="13">
        <v>0</v>
      </c>
      <c r="E523" s="13">
        <v>2</v>
      </c>
    </row>
    <row r="524" spans="1:5" x14ac:dyDescent="0.3">
      <c r="A524" s="13" t="s">
        <v>1</v>
      </c>
      <c r="B524" s="13" t="s">
        <v>464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90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608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993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611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92</v>
      </c>
      <c r="C529" s="13">
        <v>2</v>
      </c>
      <c r="D529" s="13">
        <v>0</v>
      </c>
      <c r="E529" s="13">
        <v>3</v>
      </c>
    </row>
    <row r="530" spans="1:5" x14ac:dyDescent="0.3">
      <c r="A530" s="13" t="s">
        <v>1</v>
      </c>
      <c r="B530" s="13" t="s">
        <v>886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247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653</v>
      </c>
      <c r="C532" s="13">
        <v>2</v>
      </c>
      <c r="D532" s="13">
        <v>0</v>
      </c>
      <c r="E532" s="13">
        <v>2</v>
      </c>
    </row>
    <row r="533" spans="1:5" x14ac:dyDescent="0.3">
      <c r="A533" s="13" t="s">
        <v>1</v>
      </c>
      <c r="B533" s="13" t="s">
        <v>888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1067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1570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1670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1886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1888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1884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1900</v>
      </c>
      <c r="C540" s="13">
        <v>2</v>
      </c>
      <c r="D540" s="13">
        <v>0</v>
      </c>
      <c r="E540" s="13">
        <v>2</v>
      </c>
    </row>
    <row r="541" spans="1:5" x14ac:dyDescent="0.3">
      <c r="A541" s="13" t="s">
        <v>1</v>
      </c>
      <c r="B541" s="13" t="s">
        <v>1883</v>
      </c>
      <c r="C541" s="13">
        <v>2</v>
      </c>
      <c r="D541" s="13">
        <v>0</v>
      </c>
      <c r="E541" s="13">
        <v>2</v>
      </c>
    </row>
    <row r="542" spans="1:5" x14ac:dyDescent="0.3">
      <c r="A542" s="13" t="s">
        <v>1</v>
      </c>
      <c r="B542" s="13" t="s">
        <v>2148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2162</v>
      </c>
      <c r="C543" s="13">
        <v>3</v>
      </c>
      <c r="D543" s="13">
        <v>0</v>
      </c>
      <c r="E543" s="13">
        <v>3</v>
      </c>
    </row>
    <row r="544" spans="1:5" x14ac:dyDescent="0.3">
      <c r="A544" s="13" t="s">
        <v>1</v>
      </c>
      <c r="B544" s="13" t="s">
        <v>2335</v>
      </c>
      <c r="C544" s="13">
        <v>6</v>
      </c>
      <c r="D544" s="13">
        <v>0</v>
      </c>
      <c r="E544" s="13">
        <v>7</v>
      </c>
    </row>
    <row r="545" spans="1:5" x14ac:dyDescent="0.3">
      <c r="A545" s="13" t="s">
        <v>1</v>
      </c>
      <c r="B545" s="13" t="s">
        <v>2408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2425</v>
      </c>
      <c r="C546" s="13">
        <v>1</v>
      </c>
      <c r="D546" s="13">
        <v>0</v>
      </c>
      <c r="E546" s="13">
        <v>2</v>
      </c>
    </row>
    <row r="547" spans="1:5" x14ac:dyDescent="0.3">
      <c r="A547" s="13" t="s">
        <v>1</v>
      </c>
      <c r="B547" s="13" t="s">
        <v>2657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2677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2731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248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221</v>
      </c>
      <c r="C551" s="13">
        <v>2</v>
      </c>
      <c r="D551" s="13">
        <v>0</v>
      </c>
      <c r="E551" s="13">
        <v>2</v>
      </c>
    </row>
    <row r="552" spans="1:5" x14ac:dyDescent="0.3">
      <c r="A552" s="13" t="s">
        <v>1</v>
      </c>
      <c r="B552" s="13" t="s">
        <v>507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2321</v>
      </c>
      <c r="C553" s="13">
        <v>1</v>
      </c>
      <c r="D553" s="13">
        <v>0</v>
      </c>
      <c r="E553" s="13">
        <v>2</v>
      </c>
    </row>
    <row r="554" spans="1:5" x14ac:dyDescent="0.3">
      <c r="A554" s="13" t="s">
        <v>1</v>
      </c>
      <c r="B554" s="13" t="s">
        <v>1126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274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2047</v>
      </c>
      <c r="C556" s="13">
        <v>1</v>
      </c>
      <c r="D556" s="13">
        <v>0</v>
      </c>
      <c r="E556" s="13">
        <v>2</v>
      </c>
    </row>
    <row r="557" spans="1:5" x14ac:dyDescent="0.3">
      <c r="A557" s="13" t="s">
        <v>1</v>
      </c>
      <c r="B557" s="13" t="s">
        <v>1369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1000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341</v>
      </c>
      <c r="C559" s="13">
        <v>2</v>
      </c>
      <c r="D559" s="13">
        <v>0</v>
      </c>
      <c r="E559" s="13">
        <v>2</v>
      </c>
    </row>
    <row r="560" spans="1:5" x14ac:dyDescent="0.3">
      <c r="A560" s="13" t="s">
        <v>1</v>
      </c>
      <c r="B560" s="13" t="s">
        <v>681</v>
      </c>
      <c r="C560" s="13">
        <v>1</v>
      </c>
      <c r="D560" s="13">
        <v>0</v>
      </c>
      <c r="E560" s="13">
        <v>2</v>
      </c>
    </row>
    <row r="561" spans="1:5" x14ac:dyDescent="0.3">
      <c r="A561" s="13" t="s">
        <v>1</v>
      </c>
      <c r="B561" s="13" t="s">
        <v>249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309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1532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939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1003</v>
      </c>
      <c r="C565" s="13">
        <v>1</v>
      </c>
      <c r="D565" s="13">
        <v>0</v>
      </c>
      <c r="E565" s="13">
        <v>3</v>
      </c>
    </row>
    <row r="566" spans="1:5" x14ac:dyDescent="0.3">
      <c r="A566" s="13" t="s">
        <v>1</v>
      </c>
      <c r="B566" s="13" t="s">
        <v>616</v>
      </c>
      <c r="C566" s="13">
        <v>1</v>
      </c>
      <c r="D566" s="13">
        <v>0</v>
      </c>
      <c r="E566" s="13">
        <v>2</v>
      </c>
    </row>
    <row r="567" spans="1:5" x14ac:dyDescent="0.3">
      <c r="A567" s="13" t="s">
        <v>1</v>
      </c>
      <c r="B567" s="13" t="s">
        <v>940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566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1891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1257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1132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800</v>
      </c>
      <c r="C572" s="13">
        <v>1</v>
      </c>
      <c r="D572" s="13">
        <v>0</v>
      </c>
      <c r="E572" s="13">
        <v>0</v>
      </c>
    </row>
    <row r="573" spans="1:5" x14ac:dyDescent="0.3">
      <c r="A573" s="13" t="s">
        <v>1</v>
      </c>
      <c r="B573" s="13" t="s">
        <v>1133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316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113</v>
      </c>
      <c r="C575" s="13">
        <v>2</v>
      </c>
      <c r="D575" s="13">
        <v>0</v>
      </c>
      <c r="E575" s="13">
        <v>2</v>
      </c>
    </row>
    <row r="576" spans="1:5" x14ac:dyDescent="0.3">
      <c r="A576" s="13" t="s">
        <v>1</v>
      </c>
      <c r="B576" s="13" t="s">
        <v>1258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1236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736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2704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893</v>
      </c>
      <c r="C580" s="13">
        <v>1</v>
      </c>
      <c r="D580" s="13">
        <v>0</v>
      </c>
      <c r="E580" s="13">
        <v>0</v>
      </c>
    </row>
    <row r="581" spans="1:5" x14ac:dyDescent="0.3">
      <c r="A581" s="13" t="s">
        <v>1</v>
      </c>
      <c r="B581" s="13" t="s">
        <v>320</v>
      </c>
      <c r="C581" s="13">
        <v>1</v>
      </c>
      <c r="D581" s="13">
        <v>0</v>
      </c>
      <c r="E581" s="13">
        <v>8</v>
      </c>
    </row>
    <row r="582" spans="1:5" x14ac:dyDescent="0.3">
      <c r="A582" s="13" t="s">
        <v>1</v>
      </c>
      <c r="B582" s="13" t="s">
        <v>453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431</v>
      </c>
      <c r="C583" s="13">
        <v>1</v>
      </c>
      <c r="D583" s="13">
        <v>0</v>
      </c>
      <c r="E583" s="13">
        <v>0</v>
      </c>
    </row>
    <row r="584" spans="1:5" x14ac:dyDescent="0.3">
      <c r="A584" s="13" t="s">
        <v>1</v>
      </c>
      <c r="B584" s="13" t="s">
        <v>323</v>
      </c>
      <c r="C584" s="13">
        <v>1</v>
      </c>
      <c r="D584" s="13">
        <v>0</v>
      </c>
      <c r="E584" s="13">
        <v>2</v>
      </c>
    </row>
    <row r="585" spans="1:5" x14ac:dyDescent="0.3">
      <c r="A585" s="13" t="s">
        <v>1</v>
      </c>
      <c r="B585" s="13" t="s">
        <v>454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695</v>
      </c>
      <c r="C586" s="13">
        <v>1</v>
      </c>
      <c r="D586" s="13">
        <v>0</v>
      </c>
      <c r="E586" s="13">
        <v>2</v>
      </c>
    </row>
    <row r="587" spans="1:5" x14ac:dyDescent="0.3">
      <c r="A587" s="13" t="s">
        <v>1</v>
      </c>
      <c r="B587" s="13" t="s">
        <v>1950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768</v>
      </c>
      <c r="C588" s="13">
        <v>1</v>
      </c>
      <c r="D588" s="13">
        <v>0</v>
      </c>
      <c r="E588" s="13">
        <v>2</v>
      </c>
    </row>
    <row r="589" spans="1:5" x14ac:dyDescent="0.3">
      <c r="A589" s="13" t="s">
        <v>1</v>
      </c>
      <c r="B589" s="13" t="s">
        <v>1093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403</v>
      </c>
      <c r="C590" s="13">
        <v>3</v>
      </c>
      <c r="D590" s="13">
        <v>0</v>
      </c>
      <c r="E590" s="13">
        <v>3</v>
      </c>
    </row>
    <row r="591" spans="1:5" x14ac:dyDescent="0.3">
      <c r="A591" s="13" t="s">
        <v>1</v>
      </c>
      <c r="B591" s="13" t="s">
        <v>770</v>
      </c>
      <c r="C591" s="13">
        <v>2</v>
      </c>
      <c r="D591" s="13">
        <v>0</v>
      </c>
      <c r="E591" s="13">
        <v>4</v>
      </c>
    </row>
    <row r="592" spans="1:5" x14ac:dyDescent="0.3">
      <c r="A592" s="13" t="s">
        <v>1</v>
      </c>
      <c r="B592" s="13" t="s">
        <v>836</v>
      </c>
      <c r="C592" s="13">
        <v>2</v>
      </c>
      <c r="D592" s="13">
        <v>0</v>
      </c>
      <c r="E592" s="13">
        <v>3</v>
      </c>
    </row>
    <row r="593" spans="1:5" x14ac:dyDescent="0.3">
      <c r="A593" s="13" t="s">
        <v>1</v>
      </c>
      <c r="B593" s="13" t="s">
        <v>1285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630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1076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1215</v>
      </c>
      <c r="C596" s="13">
        <v>2</v>
      </c>
      <c r="D596" s="13">
        <v>0</v>
      </c>
      <c r="E596" s="13">
        <v>2</v>
      </c>
    </row>
    <row r="597" spans="1:5" x14ac:dyDescent="0.3">
      <c r="A597" s="13" t="s">
        <v>1</v>
      </c>
      <c r="B597" s="13" t="s">
        <v>774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1</v>
      </c>
      <c r="B598" s="13" t="s">
        <v>529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1294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1765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1</v>
      </c>
      <c r="B601" s="13" t="s">
        <v>2732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407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290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1558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410</v>
      </c>
      <c r="C605" s="13">
        <v>1</v>
      </c>
      <c r="D605" s="13">
        <v>0</v>
      </c>
      <c r="E605" s="13">
        <v>1</v>
      </c>
    </row>
    <row r="606" spans="1:5" x14ac:dyDescent="0.3">
      <c r="A606" s="13" t="s">
        <v>1</v>
      </c>
      <c r="B606" s="13" t="s">
        <v>806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2733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435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336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1511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1</v>
      </c>
      <c r="B611" s="13" t="s">
        <v>664</v>
      </c>
      <c r="C611" s="13">
        <v>1</v>
      </c>
      <c r="D611" s="13">
        <v>0</v>
      </c>
      <c r="E611" s="13">
        <v>2</v>
      </c>
    </row>
    <row r="612" spans="1:5" x14ac:dyDescent="0.3">
      <c r="A612" s="13" t="s">
        <v>1</v>
      </c>
      <c r="B612" s="13" t="s">
        <v>1143</v>
      </c>
      <c r="C612" s="13">
        <v>1</v>
      </c>
      <c r="D612" s="13">
        <v>0</v>
      </c>
      <c r="E612" s="13">
        <v>2</v>
      </c>
    </row>
    <row r="613" spans="1:5" x14ac:dyDescent="0.3">
      <c r="A613" s="13" t="s">
        <v>1</v>
      </c>
      <c r="B613" s="13" t="s">
        <v>458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1</v>
      </c>
      <c r="B614" s="13" t="s">
        <v>229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1</v>
      </c>
      <c r="B615" s="13" t="s">
        <v>438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1</v>
      </c>
      <c r="B616" s="13" t="s">
        <v>482</v>
      </c>
      <c r="C616" s="13">
        <v>1</v>
      </c>
      <c r="D616" s="13">
        <v>0</v>
      </c>
      <c r="E616" s="13">
        <v>2</v>
      </c>
    </row>
    <row r="617" spans="1:5" x14ac:dyDescent="0.3">
      <c r="A617" s="13" t="s">
        <v>1</v>
      </c>
      <c r="B617" s="13" t="s">
        <v>187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1454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1025</v>
      </c>
      <c r="C619" s="13">
        <v>2</v>
      </c>
      <c r="D619" s="13">
        <v>0</v>
      </c>
      <c r="E619" s="13">
        <v>2</v>
      </c>
    </row>
    <row r="620" spans="1:5" x14ac:dyDescent="0.3">
      <c r="A620" s="13" t="s">
        <v>1</v>
      </c>
      <c r="B620" s="13" t="s">
        <v>483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1431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441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1</v>
      </c>
      <c r="B623" s="14" t="s">
        <v>2541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542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1</v>
      </c>
      <c r="B625" s="14" t="s">
        <v>484</v>
      </c>
      <c r="C625" s="14">
        <v>1</v>
      </c>
      <c r="D625" s="14">
        <v>0</v>
      </c>
      <c r="E625" s="14">
        <v>1</v>
      </c>
    </row>
    <row r="626" spans="1:5" x14ac:dyDescent="0.3">
      <c r="A626" s="14" t="s">
        <v>1</v>
      </c>
      <c r="B626" s="14" t="s">
        <v>543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1</v>
      </c>
      <c r="B627" s="14" t="s">
        <v>256</v>
      </c>
      <c r="C627" s="14">
        <v>1</v>
      </c>
      <c r="D627" s="14">
        <v>0</v>
      </c>
      <c r="E627" s="14">
        <v>1</v>
      </c>
    </row>
    <row r="628" spans="1:5" x14ac:dyDescent="0.3">
      <c r="A628" s="14" t="s">
        <v>1</v>
      </c>
      <c r="B628" s="14" t="s">
        <v>190</v>
      </c>
      <c r="C628" s="14">
        <v>2</v>
      </c>
      <c r="D628" s="14">
        <v>0</v>
      </c>
      <c r="E628" s="14">
        <v>2</v>
      </c>
    </row>
    <row r="629" spans="1:5" x14ac:dyDescent="0.3">
      <c r="A629" s="14" t="s">
        <v>1</v>
      </c>
      <c r="B629" s="14" t="s">
        <v>1060</v>
      </c>
      <c r="C629" s="14">
        <v>2</v>
      </c>
      <c r="D629" s="14">
        <v>0</v>
      </c>
      <c r="E629" s="14">
        <v>3</v>
      </c>
    </row>
    <row r="630" spans="1:5" x14ac:dyDescent="0.3">
      <c r="A630" s="14" t="s">
        <v>1</v>
      </c>
      <c r="B630" s="14" t="s">
        <v>1403</v>
      </c>
      <c r="C630" s="14">
        <v>1</v>
      </c>
      <c r="D630" s="14">
        <v>0</v>
      </c>
      <c r="E630" s="14">
        <v>1</v>
      </c>
    </row>
    <row r="631" spans="1:5" x14ac:dyDescent="0.3">
      <c r="A631" s="14" t="s">
        <v>1</v>
      </c>
      <c r="B631" s="14" t="s">
        <v>231</v>
      </c>
      <c r="C631" s="14">
        <v>5</v>
      </c>
      <c r="D631" s="14">
        <v>0</v>
      </c>
      <c r="E631" s="14">
        <v>6</v>
      </c>
    </row>
    <row r="632" spans="1:5" x14ac:dyDescent="0.3">
      <c r="A632" s="14" t="s">
        <v>1</v>
      </c>
      <c r="B632" s="14" t="s">
        <v>1821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370</v>
      </c>
      <c r="C633" s="14">
        <v>1</v>
      </c>
      <c r="D633" s="14">
        <v>0</v>
      </c>
      <c r="E633" s="14">
        <v>1</v>
      </c>
    </row>
    <row r="634" spans="1:5" x14ac:dyDescent="0.3">
      <c r="A634" s="14" t="s">
        <v>1</v>
      </c>
      <c r="B634" s="14" t="s">
        <v>365</v>
      </c>
      <c r="C634" s="14">
        <v>3</v>
      </c>
      <c r="D634" s="14">
        <v>0</v>
      </c>
      <c r="E634" s="14">
        <v>8</v>
      </c>
    </row>
    <row r="635" spans="1:5" x14ac:dyDescent="0.3">
      <c r="A635" s="14" t="s">
        <v>1</v>
      </c>
      <c r="B635" s="14" t="s">
        <v>232</v>
      </c>
      <c r="C635" s="14">
        <v>2</v>
      </c>
      <c r="D635" s="14">
        <v>0</v>
      </c>
      <c r="E635" s="14">
        <v>5</v>
      </c>
    </row>
    <row r="636" spans="1:5" x14ac:dyDescent="0.3">
      <c r="A636" s="14" t="s">
        <v>1</v>
      </c>
      <c r="B636" s="14" t="s">
        <v>460</v>
      </c>
      <c r="C636" s="14">
        <v>1</v>
      </c>
      <c r="D636" s="14">
        <v>0</v>
      </c>
      <c r="E636" s="14">
        <v>2</v>
      </c>
    </row>
    <row r="637" spans="1:5" x14ac:dyDescent="0.3">
      <c r="A637" s="14" t="s">
        <v>1</v>
      </c>
      <c r="B637" s="14" t="s">
        <v>67</v>
      </c>
      <c r="C637" s="14">
        <v>3</v>
      </c>
      <c r="D637" s="14">
        <v>0</v>
      </c>
      <c r="E637" s="14">
        <v>3</v>
      </c>
    </row>
    <row r="638" spans="1:5" x14ac:dyDescent="0.3">
      <c r="A638" s="14" t="s">
        <v>1</v>
      </c>
      <c r="B638" s="14" t="s">
        <v>192</v>
      </c>
      <c r="C638" s="14">
        <v>13</v>
      </c>
      <c r="D638" s="14">
        <v>0</v>
      </c>
      <c r="E638" s="14">
        <v>14</v>
      </c>
    </row>
    <row r="639" spans="1:5" x14ac:dyDescent="0.3">
      <c r="A639" s="14" t="s">
        <v>1</v>
      </c>
      <c r="B639" s="14" t="s">
        <v>234</v>
      </c>
      <c r="C639" s="14">
        <v>1</v>
      </c>
      <c r="D639" s="14">
        <v>0</v>
      </c>
      <c r="E639" s="14">
        <v>1</v>
      </c>
    </row>
    <row r="640" spans="1:5" x14ac:dyDescent="0.3">
      <c r="A640" s="14" t="s">
        <v>1</v>
      </c>
      <c r="B640" s="14" t="s">
        <v>1014</v>
      </c>
      <c r="C640" s="14">
        <v>1</v>
      </c>
      <c r="D640" s="14">
        <v>0</v>
      </c>
      <c r="E640" s="14">
        <v>1</v>
      </c>
    </row>
    <row r="641" spans="1:5" x14ac:dyDescent="0.3">
      <c r="A641" s="14" t="s">
        <v>1</v>
      </c>
      <c r="B641" s="14" t="s">
        <v>235</v>
      </c>
      <c r="C641" s="14">
        <v>4</v>
      </c>
      <c r="D641" s="14">
        <v>0</v>
      </c>
      <c r="E641" s="14">
        <v>4</v>
      </c>
    </row>
    <row r="642" spans="1:5" x14ac:dyDescent="0.3">
      <c r="A642" s="14" t="s">
        <v>1</v>
      </c>
      <c r="B642" s="14" t="s">
        <v>639</v>
      </c>
      <c r="C642" s="14">
        <v>3</v>
      </c>
      <c r="D642" s="14">
        <v>0</v>
      </c>
      <c r="E642" s="14">
        <v>3</v>
      </c>
    </row>
    <row r="643" spans="1:5" x14ac:dyDescent="0.3">
      <c r="A643" s="14" t="s">
        <v>1</v>
      </c>
      <c r="B643" s="14" t="s">
        <v>236</v>
      </c>
      <c r="C643" s="14">
        <v>5</v>
      </c>
      <c r="D643" s="14">
        <v>0</v>
      </c>
      <c r="E643" s="14">
        <v>6</v>
      </c>
    </row>
    <row r="644" spans="1:5" x14ac:dyDescent="0.3">
      <c r="A644" s="14" t="s">
        <v>1</v>
      </c>
      <c r="B644" s="14" t="s">
        <v>640</v>
      </c>
      <c r="C644" s="14">
        <v>3</v>
      </c>
      <c r="D644" s="14">
        <v>0</v>
      </c>
      <c r="E644" s="14">
        <v>3</v>
      </c>
    </row>
    <row r="645" spans="1:5" x14ac:dyDescent="0.3">
      <c r="A645" s="14" t="s">
        <v>1</v>
      </c>
      <c r="B645" s="14" t="s">
        <v>371</v>
      </c>
      <c r="C645" s="14">
        <v>4</v>
      </c>
      <c r="D645" s="14">
        <v>0</v>
      </c>
      <c r="E645" s="14">
        <v>4</v>
      </c>
    </row>
    <row r="646" spans="1:5" x14ac:dyDescent="0.3">
      <c r="A646" s="14" t="s">
        <v>1</v>
      </c>
      <c r="B646" s="14" t="s">
        <v>366</v>
      </c>
      <c r="C646" s="14">
        <v>2</v>
      </c>
      <c r="D646" s="14">
        <v>0</v>
      </c>
      <c r="E646" s="14">
        <v>2</v>
      </c>
    </row>
    <row r="647" spans="1:5" x14ac:dyDescent="0.3">
      <c r="A647" s="14" t="s">
        <v>1</v>
      </c>
      <c r="B647" s="14" t="s">
        <v>1015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1</v>
      </c>
      <c r="B648" s="14" t="s">
        <v>461</v>
      </c>
      <c r="C648" s="14">
        <v>3</v>
      </c>
      <c r="D648" s="14">
        <v>0</v>
      </c>
      <c r="E648" s="14">
        <v>4</v>
      </c>
    </row>
    <row r="649" spans="1:5" x14ac:dyDescent="0.3">
      <c r="A649" s="14" t="s">
        <v>1</v>
      </c>
      <c r="B649" s="14" t="s">
        <v>1758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1</v>
      </c>
      <c r="B650" s="14" t="s">
        <v>442</v>
      </c>
      <c r="C650" s="14">
        <v>1</v>
      </c>
      <c r="D650" s="14">
        <v>0</v>
      </c>
      <c r="E650" s="14">
        <v>1</v>
      </c>
    </row>
    <row r="651" spans="1:5" x14ac:dyDescent="0.3">
      <c r="A651" s="14" t="s">
        <v>1</v>
      </c>
      <c r="B651" s="14" t="s">
        <v>1393</v>
      </c>
      <c r="C651" s="14">
        <v>1</v>
      </c>
      <c r="D651" s="14">
        <v>0</v>
      </c>
      <c r="E651" s="14">
        <v>1</v>
      </c>
    </row>
    <row r="652" spans="1:5" x14ac:dyDescent="0.3">
      <c r="A652" s="14" t="s">
        <v>1</v>
      </c>
      <c r="B652" s="14" t="s">
        <v>2124</v>
      </c>
      <c r="C652" s="14">
        <v>1</v>
      </c>
      <c r="D652" s="14">
        <v>0</v>
      </c>
      <c r="E652" s="14">
        <v>1</v>
      </c>
    </row>
    <row r="653" spans="1:5" x14ac:dyDescent="0.3">
      <c r="A653" s="14" t="s">
        <v>1</v>
      </c>
      <c r="B653" s="14" t="s">
        <v>1379</v>
      </c>
      <c r="C653" s="14">
        <v>1</v>
      </c>
      <c r="D653" s="14">
        <v>0</v>
      </c>
      <c r="E653" s="14">
        <v>1</v>
      </c>
    </row>
    <row r="654" spans="1:5" x14ac:dyDescent="0.3">
      <c r="A654" s="14" t="s">
        <v>1</v>
      </c>
      <c r="B654" s="14" t="s">
        <v>2348</v>
      </c>
      <c r="C654" s="14">
        <v>4</v>
      </c>
      <c r="D654" s="14">
        <v>0</v>
      </c>
      <c r="E654" s="14">
        <v>6</v>
      </c>
    </row>
    <row r="655" spans="1:5" x14ac:dyDescent="0.3">
      <c r="A655" s="14" t="s">
        <v>1</v>
      </c>
      <c r="B655" s="14" t="s">
        <v>2349</v>
      </c>
      <c r="C655" s="14">
        <v>3</v>
      </c>
      <c r="D655" s="14">
        <v>0</v>
      </c>
      <c r="E655" s="14">
        <v>3</v>
      </c>
    </row>
    <row r="656" spans="1:5" x14ac:dyDescent="0.3">
      <c r="A656" s="14" t="s">
        <v>1</v>
      </c>
      <c r="B656" s="14" t="s">
        <v>2354</v>
      </c>
      <c r="C656" s="14">
        <v>1</v>
      </c>
      <c r="D656" s="14">
        <v>0</v>
      </c>
      <c r="E656" s="14">
        <v>1</v>
      </c>
    </row>
    <row r="657" spans="1:5" x14ac:dyDescent="0.3">
      <c r="A657" s="14" t="s">
        <v>1</v>
      </c>
      <c r="B657" s="14" t="s">
        <v>68</v>
      </c>
      <c r="C657" s="14">
        <v>1</v>
      </c>
      <c r="D657" s="14">
        <v>0</v>
      </c>
      <c r="E657" s="14">
        <v>1</v>
      </c>
    </row>
    <row r="658" spans="1:5" x14ac:dyDescent="0.3">
      <c r="A658" s="14" t="s">
        <v>1</v>
      </c>
      <c r="B658" s="14" t="s">
        <v>644</v>
      </c>
      <c r="C658" s="14">
        <v>1</v>
      </c>
      <c r="D658" s="14">
        <v>0</v>
      </c>
      <c r="E658" s="14">
        <v>1</v>
      </c>
    </row>
    <row r="659" spans="1:5" x14ac:dyDescent="0.3">
      <c r="A659" s="14" t="s">
        <v>0</v>
      </c>
      <c r="B659" s="14" t="s">
        <v>137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0</v>
      </c>
      <c r="B660" s="14" t="s">
        <v>444</v>
      </c>
      <c r="C660" s="14">
        <v>1</v>
      </c>
      <c r="D660" s="14">
        <v>0</v>
      </c>
      <c r="E660" s="14">
        <v>0</v>
      </c>
    </row>
    <row r="661" spans="1:5" x14ac:dyDescent="0.3">
      <c r="A661" s="14" t="s">
        <v>0</v>
      </c>
      <c r="B661" s="14" t="s">
        <v>383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0</v>
      </c>
      <c r="B662" s="14" t="s">
        <v>463</v>
      </c>
      <c r="C662" s="14">
        <v>1</v>
      </c>
      <c r="D662" s="14">
        <v>0</v>
      </c>
      <c r="E662" s="14">
        <v>1</v>
      </c>
    </row>
    <row r="663" spans="1:5" x14ac:dyDescent="0.3">
      <c r="A663" s="14" t="s">
        <v>0</v>
      </c>
      <c r="B663" s="14" t="s">
        <v>814</v>
      </c>
      <c r="C663" s="14">
        <v>1</v>
      </c>
      <c r="D663" s="14">
        <v>0</v>
      </c>
      <c r="E663" s="14">
        <v>2</v>
      </c>
    </row>
    <row r="664" spans="1:5" x14ac:dyDescent="0.3">
      <c r="A664" s="14" t="s">
        <v>0</v>
      </c>
      <c r="B664" s="14" t="s">
        <v>216</v>
      </c>
      <c r="C664" s="14">
        <v>1</v>
      </c>
      <c r="D664" s="14">
        <v>0</v>
      </c>
      <c r="E664" s="14">
        <v>2</v>
      </c>
    </row>
    <row r="665" spans="1:5" x14ac:dyDescent="0.3">
      <c r="A665" s="14" t="s">
        <v>0</v>
      </c>
      <c r="B665" s="14" t="s">
        <v>653</v>
      </c>
      <c r="C665" s="14">
        <v>1</v>
      </c>
      <c r="D665" s="14">
        <v>0</v>
      </c>
      <c r="E665" s="14">
        <v>1</v>
      </c>
    </row>
    <row r="666" spans="1:5" x14ac:dyDescent="0.3">
      <c r="A666" s="14" t="s">
        <v>0</v>
      </c>
      <c r="B666" s="14" t="s">
        <v>1505</v>
      </c>
      <c r="C666" s="14">
        <v>1</v>
      </c>
      <c r="D666" s="14">
        <v>0</v>
      </c>
      <c r="E666" s="14">
        <v>1</v>
      </c>
    </row>
    <row r="667" spans="1:5" x14ac:dyDescent="0.3">
      <c r="A667" s="14" t="s">
        <v>0</v>
      </c>
      <c r="B667" s="14" t="s">
        <v>1518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0</v>
      </c>
      <c r="B668" s="14" t="s">
        <v>1988</v>
      </c>
      <c r="C668" s="14">
        <v>1</v>
      </c>
      <c r="D668" s="14">
        <v>0</v>
      </c>
      <c r="E668" s="14">
        <v>2</v>
      </c>
    </row>
    <row r="669" spans="1:5" x14ac:dyDescent="0.3">
      <c r="A669" s="14" t="s">
        <v>0</v>
      </c>
      <c r="B669" s="14" t="s">
        <v>2335</v>
      </c>
      <c r="C669" s="14">
        <v>1</v>
      </c>
      <c r="D669" s="14">
        <v>0</v>
      </c>
      <c r="E669" s="14">
        <v>4</v>
      </c>
    </row>
    <row r="670" spans="1:5" x14ac:dyDescent="0.3">
      <c r="A670" s="14" t="s">
        <v>0</v>
      </c>
      <c r="B670" s="14" t="s">
        <v>2624</v>
      </c>
      <c r="C670" s="14">
        <v>3</v>
      </c>
      <c r="D670" s="14">
        <v>0</v>
      </c>
      <c r="E670" s="14">
        <v>3</v>
      </c>
    </row>
    <row r="671" spans="1:5" x14ac:dyDescent="0.3">
      <c r="A671" s="14" t="s">
        <v>0</v>
      </c>
      <c r="B671" s="14" t="s">
        <v>161</v>
      </c>
      <c r="C671" s="14">
        <v>1</v>
      </c>
      <c r="D671" s="14">
        <v>0</v>
      </c>
      <c r="E671" s="14">
        <v>1</v>
      </c>
    </row>
    <row r="672" spans="1:5" x14ac:dyDescent="0.3">
      <c r="A672" s="14" t="s">
        <v>0</v>
      </c>
      <c r="B672" s="14" t="s">
        <v>2428</v>
      </c>
      <c r="C672" s="14">
        <v>1</v>
      </c>
      <c r="D672" s="14">
        <v>0</v>
      </c>
      <c r="E672" s="14">
        <v>1</v>
      </c>
    </row>
    <row r="673" spans="1:5" x14ac:dyDescent="0.3">
      <c r="A673" s="14" t="s">
        <v>0</v>
      </c>
      <c r="B673" s="14" t="s">
        <v>1114</v>
      </c>
      <c r="C673" s="14">
        <v>1</v>
      </c>
      <c r="D673" s="14">
        <v>0</v>
      </c>
      <c r="E673" s="14">
        <v>1</v>
      </c>
    </row>
    <row r="674" spans="1:5" x14ac:dyDescent="0.3">
      <c r="A674" s="14" t="s">
        <v>0</v>
      </c>
      <c r="B674" s="14" t="s">
        <v>107</v>
      </c>
      <c r="C674" s="14">
        <v>1</v>
      </c>
      <c r="D674" s="14">
        <v>0</v>
      </c>
      <c r="E674" s="14">
        <v>1</v>
      </c>
    </row>
    <row r="675" spans="1:5" x14ac:dyDescent="0.3">
      <c r="A675" s="14" t="s">
        <v>0</v>
      </c>
      <c r="B675" s="14" t="s">
        <v>111</v>
      </c>
      <c r="C675" s="14">
        <v>1</v>
      </c>
      <c r="D675" s="14">
        <v>0</v>
      </c>
      <c r="E675" s="14">
        <v>4</v>
      </c>
    </row>
    <row r="676" spans="1:5" x14ac:dyDescent="0.3">
      <c r="A676" s="14" t="s">
        <v>0</v>
      </c>
      <c r="B676" s="14" t="s">
        <v>739</v>
      </c>
      <c r="C676" s="14">
        <v>1</v>
      </c>
      <c r="D676" s="14">
        <v>0</v>
      </c>
      <c r="E676" s="14">
        <v>1</v>
      </c>
    </row>
    <row r="677" spans="1:5" x14ac:dyDescent="0.3">
      <c r="A677" s="14" t="s">
        <v>0</v>
      </c>
      <c r="B677" s="14" t="s">
        <v>333</v>
      </c>
      <c r="C677" s="14">
        <v>1</v>
      </c>
      <c r="D677" s="14">
        <v>0</v>
      </c>
      <c r="E677" s="14">
        <v>1</v>
      </c>
    </row>
    <row r="678" spans="1:5" x14ac:dyDescent="0.3">
      <c r="A678" s="14" t="s">
        <v>0</v>
      </c>
      <c r="B678" s="14" t="s">
        <v>751</v>
      </c>
      <c r="C678" s="14">
        <v>1</v>
      </c>
      <c r="D678" s="14">
        <v>0</v>
      </c>
      <c r="E678" s="14">
        <v>1</v>
      </c>
    </row>
    <row r="679" spans="1:5" x14ac:dyDescent="0.3">
      <c r="A679" s="14" t="s">
        <v>0</v>
      </c>
      <c r="B679" s="14" t="s">
        <v>124</v>
      </c>
      <c r="C679" s="14">
        <v>1</v>
      </c>
      <c r="D679" s="14">
        <v>0</v>
      </c>
      <c r="E679" s="14">
        <v>1</v>
      </c>
    </row>
    <row r="680" spans="1:5" x14ac:dyDescent="0.3">
      <c r="A680" s="14" t="s">
        <v>0</v>
      </c>
      <c r="B680" s="14" t="s">
        <v>1698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0</v>
      </c>
      <c r="B681" s="14" t="s">
        <v>234</v>
      </c>
      <c r="C681" s="14">
        <v>1</v>
      </c>
      <c r="D681" s="14">
        <v>0</v>
      </c>
      <c r="E681" s="14">
        <v>1</v>
      </c>
    </row>
    <row r="682" spans="1:5" x14ac:dyDescent="0.3">
      <c r="A682" s="14" t="s">
        <v>0</v>
      </c>
      <c r="B682" s="14" t="s">
        <v>55</v>
      </c>
      <c r="C682" s="14">
        <v>1</v>
      </c>
      <c r="D682" s="14">
        <v>0</v>
      </c>
      <c r="E682" s="14">
        <v>3</v>
      </c>
    </row>
    <row r="683" spans="1:5" x14ac:dyDescent="0.3">
      <c r="A683" s="14" t="s">
        <v>0</v>
      </c>
      <c r="B683" s="14" t="s">
        <v>640</v>
      </c>
      <c r="C683" s="14">
        <v>1</v>
      </c>
      <c r="D683" s="14">
        <v>0</v>
      </c>
      <c r="E683" s="14">
        <v>1</v>
      </c>
    </row>
    <row r="684" spans="1:5" x14ac:dyDescent="0.3">
      <c r="A684" s="14" t="s">
        <v>0</v>
      </c>
      <c r="B684" s="14" t="s">
        <v>371</v>
      </c>
      <c r="C684" s="14">
        <v>1</v>
      </c>
      <c r="D684" s="14">
        <v>0</v>
      </c>
      <c r="E684" s="14">
        <v>1</v>
      </c>
    </row>
    <row r="685" spans="1:5" x14ac:dyDescent="0.3">
      <c r="A685" s="14" t="s">
        <v>0</v>
      </c>
      <c r="B685" s="14" t="s">
        <v>1589</v>
      </c>
      <c r="C685" s="14">
        <v>1</v>
      </c>
      <c r="D685" s="14">
        <v>0</v>
      </c>
      <c r="E685" s="14">
        <v>2</v>
      </c>
    </row>
    <row r="686" spans="1:5" x14ac:dyDescent="0.3">
      <c r="A686" s="14" t="s">
        <v>0</v>
      </c>
      <c r="B686" s="14" t="s">
        <v>1026</v>
      </c>
      <c r="C686" s="14">
        <v>1</v>
      </c>
      <c r="D686" s="14">
        <v>0</v>
      </c>
      <c r="E686" s="14">
        <v>1</v>
      </c>
    </row>
    <row r="687" spans="1:5" x14ac:dyDescent="0.3">
      <c r="A687" s="14" t="s">
        <v>0</v>
      </c>
      <c r="B687" s="14" t="s">
        <v>1333</v>
      </c>
      <c r="C687" s="14">
        <v>1</v>
      </c>
      <c r="D687" s="14">
        <v>0</v>
      </c>
      <c r="E687" s="14">
        <v>1</v>
      </c>
    </row>
    <row r="688" spans="1:5" x14ac:dyDescent="0.3">
      <c r="A688" s="14" t="s">
        <v>0</v>
      </c>
      <c r="B688" s="14" t="s">
        <v>1468</v>
      </c>
      <c r="C688" s="14">
        <v>0</v>
      </c>
      <c r="D688" s="14">
        <v>1</v>
      </c>
    </row>
    <row r="689" spans="1:5" x14ac:dyDescent="0.3">
      <c r="A689" s="14" t="s">
        <v>0</v>
      </c>
      <c r="B689" s="14" t="s">
        <v>2236</v>
      </c>
      <c r="C689" s="14">
        <v>0</v>
      </c>
      <c r="D689" s="14">
        <v>1</v>
      </c>
    </row>
    <row r="690" spans="1:5" x14ac:dyDescent="0.3">
      <c r="A690" s="14" t="s">
        <v>0</v>
      </c>
      <c r="B690" s="14" t="s">
        <v>2354</v>
      </c>
      <c r="C690" s="14">
        <v>1</v>
      </c>
      <c r="D690" s="14">
        <v>0</v>
      </c>
      <c r="E690" s="14">
        <v>1</v>
      </c>
    </row>
    <row r="691" spans="1:5" x14ac:dyDescent="0.3">
      <c r="A691" s="14" t="s">
        <v>2</v>
      </c>
      <c r="B691" s="14" t="s">
        <v>41</v>
      </c>
      <c r="C691" s="14">
        <v>1</v>
      </c>
      <c r="D691" s="14">
        <v>0</v>
      </c>
      <c r="E691" s="14">
        <v>1</v>
      </c>
    </row>
    <row r="692" spans="1:5" x14ac:dyDescent="0.3">
      <c r="A692" s="14" t="s">
        <v>2</v>
      </c>
      <c r="B692" s="14" t="s">
        <v>2520</v>
      </c>
      <c r="C692" s="14">
        <v>1</v>
      </c>
      <c r="D692" s="14">
        <v>0</v>
      </c>
      <c r="E692" s="14">
        <v>1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50BE0-FDBA-404E-BEB7-FD5784ED5FD2}">
  <sheetPr codeName="Sheet52"/>
  <dimension ref="A1:M679"/>
  <sheetViews>
    <sheetView workbookViewId="0">
      <selection activeCell="A2" sqref="A2:E679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62</v>
      </c>
      <c r="D2" s="13">
        <v>49</v>
      </c>
      <c r="E2" s="13">
        <v>65</v>
      </c>
    </row>
    <row r="3" spans="1:13" customFormat="1" x14ac:dyDescent="0.3">
      <c r="A3" s="13" t="s">
        <v>1</v>
      </c>
      <c r="B3" s="13" t="s">
        <v>30</v>
      </c>
      <c r="C3" s="13">
        <v>97</v>
      </c>
      <c r="D3" s="13">
        <v>40</v>
      </c>
      <c r="E3" s="13">
        <v>174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29</v>
      </c>
      <c r="C4" s="13">
        <v>22</v>
      </c>
      <c r="D4" s="13">
        <v>22</v>
      </c>
      <c r="E4" s="13">
        <v>27</v>
      </c>
      <c r="G4" s="19" t="s">
        <v>8</v>
      </c>
      <c r="H4" s="15">
        <f>H13+H14</f>
        <v>1114</v>
      </c>
      <c r="I4" s="16">
        <f>H4/H$6</f>
        <v>0.75168690958164641</v>
      </c>
      <c r="J4" s="15">
        <f>I13+I14</f>
        <v>639</v>
      </c>
      <c r="K4" s="16">
        <f>J4/J$6</f>
        <v>0.67334035827186511</v>
      </c>
      <c r="L4" s="15">
        <f>J13+J14</f>
        <v>1304</v>
      </c>
      <c r="M4" s="25">
        <f>L4/L$6</f>
        <v>0.74813539873780832</v>
      </c>
    </row>
    <row r="5" spans="1:13" customFormat="1" x14ac:dyDescent="0.3">
      <c r="A5" s="13" t="s">
        <v>1</v>
      </c>
      <c r="B5" s="13" t="s">
        <v>37</v>
      </c>
      <c r="C5" s="13">
        <v>18</v>
      </c>
      <c r="D5" s="13">
        <v>15</v>
      </c>
      <c r="E5" s="13">
        <v>20</v>
      </c>
      <c r="G5" s="19" t="s">
        <v>10</v>
      </c>
      <c r="H5" s="15">
        <f>H15+H16</f>
        <v>368</v>
      </c>
      <c r="I5" s="16">
        <f>H5/H$6</f>
        <v>0.24831309041835359</v>
      </c>
      <c r="J5" s="15">
        <f>I15+I16</f>
        <v>310</v>
      </c>
      <c r="K5" s="16">
        <f>J5/J$6</f>
        <v>0.32665964172813489</v>
      </c>
      <c r="L5" s="15">
        <f>J15+J16</f>
        <v>439</v>
      </c>
      <c r="M5" s="25">
        <f>L5/L$6</f>
        <v>0.25186460126219162</v>
      </c>
    </row>
    <row r="6" spans="1:13" customFormat="1" ht="17.25" thickBot="1" x14ac:dyDescent="0.35">
      <c r="A6" s="13" t="s">
        <v>0</v>
      </c>
      <c r="B6" s="13" t="s">
        <v>37</v>
      </c>
      <c r="C6" s="13">
        <v>12</v>
      </c>
      <c r="D6" s="13">
        <v>12</v>
      </c>
      <c r="E6" s="13">
        <v>12</v>
      </c>
      <c r="G6" s="22"/>
      <c r="H6" s="26">
        <f>SUM(H4:H5)</f>
        <v>1482</v>
      </c>
      <c r="I6" s="27">
        <f>I4+I5</f>
        <v>1</v>
      </c>
      <c r="J6" s="26">
        <f>SUM(J4:J5)</f>
        <v>949</v>
      </c>
      <c r="K6" s="27">
        <f>K4+K5</f>
        <v>1</v>
      </c>
      <c r="L6" s="26">
        <f>SUM(L4:L5)</f>
        <v>1743</v>
      </c>
      <c r="M6" s="28">
        <f>M4+M5</f>
        <v>1</v>
      </c>
    </row>
    <row r="7" spans="1:13" customFormat="1" x14ac:dyDescent="0.3">
      <c r="A7" s="13" t="s">
        <v>0</v>
      </c>
      <c r="B7" s="13" t="s">
        <v>31</v>
      </c>
      <c r="C7" s="13">
        <v>12</v>
      </c>
      <c r="D7" s="13">
        <v>12</v>
      </c>
      <c r="E7" s="13">
        <v>12</v>
      </c>
    </row>
    <row r="8" spans="1:13" customFormat="1" x14ac:dyDescent="0.3">
      <c r="A8" s="13" t="s">
        <v>1</v>
      </c>
      <c r="B8" s="13" t="s">
        <v>354</v>
      </c>
      <c r="C8" s="13">
        <v>15</v>
      </c>
      <c r="D8" s="13">
        <v>10</v>
      </c>
      <c r="E8" s="13">
        <v>14</v>
      </c>
    </row>
    <row r="9" spans="1:13" customFormat="1" x14ac:dyDescent="0.3">
      <c r="A9" s="13" t="s">
        <v>1</v>
      </c>
      <c r="B9" s="13" t="s">
        <v>1663</v>
      </c>
      <c r="C9" s="13">
        <v>13</v>
      </c>
      <c r="D9" s="13">
        <v>10</v>
      </c>
      <c r="E9" s="13">
        <v>15</v>
      </c>
    </row>
    <row r="10" spans="1:13" customFormat="1" ht="17.25" thickBot="1" x14ac:dyDescent="0.35">
      <c r="A10" s="13" t="s">
        <v>1</v>
      </c>
      <c r="B10" s="13" t="s">
        <v>1948</v>
      </c>
      <c r="C10" s="13">
        <v>10</v>
      </c>
      <c r="D10" s="13">
        <v>9</v>
      </c>
      <c r="E10" s="13">
        <v>13</v>
      </c>
    </row>
    <row r="11" spans="1:13" x14ac:dyDescent="0.3">
      <c r="A11" s="13" t="s">
        <v>1</v>
      </c>
      <c r="B11" s="13" t="s">
        <v>111</v>
      </c>
      <c r="C11" s="13">
        <v>12</v>
      </c>
      <c r="D11" s="13">
        <v>9</v>
      </c>
      <c r="E11" s="13">
        <v>12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48</v>
      </c>
      <c r="C12" s="13">
        <v>10</v>
      </c>
      <c r="D12" s="13">
        <v>8</v>
      </c>
      <c r="E12" s="13">
        <v>10</v>
      </c>
      <c r="G12" s="19"/>
      <c r="H12" s="17">
        <f t="shared" ref="H12:J12" si="0">SUM(H13:H16)</f>
        <v>1482</v>
      </c>
      <c r="I12" s="17">
        <f t="shared" si="0"/>
        <v>949</v>
      </c>
      <c r="J12" s="20">
        <f t="shared" si="0"/>
        <v>1743</v>
      </c>
    </row>
    <row r="13" spans="1:13" x14ac:dyDescent="0.3">
      <c r="A13" s="13" t="s">
        <v>1</v>
      </c>
      <c r="B13" s="13" t="s">
        <v>1988</v>
      </c>
      <c r="C13" s="13">
        <v>13</v>
      </c>
      <c r="D13" s="13">
        <v>8</v>
      </c>
      <c r="E13" s="13">
        <v>17</v>
      </c>
      <c r="G13" s="19" t="s">
        <v>7</v>
      </c>
      <c r="H13" s="18">
        <f t="shared" ref="H13:J16" si="1">SUMIF($A$2:$A$9999,$G13,C$2:C$9999)</f>
        <v>1114</v>
      </c>
      <c r="I13" s="18">
        <f t="shared" si="1"/>
        <v>639</v>
      </c>
      <c r="J13" s="21">
        <f t="shared" si="1"/>
        <v>1304</v>
      </c>
    </row>
    <row r="14" spans="1:13" x14ac:dyDescent="0.3">
      <c r="A14" s="13" t="s">
        <v>1</v>
      </c>
      <c r="B14" s="13" t="s">
        <v>51</v>
      </c>
      <c r="C14" s="13">
        <v>13</v>
      </c>
      <c r="D14" s="13">
        <v>8</v>
      </c>
      <c r="E14" s="13">
        <v>14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272</v>
      </c>
      <c r="C15" s="13">
        <v>9</v>
      </c>
      <c r="D15" s="13">
        <v>7</v>
      </c>
      <c r="E15" s="13">
        <v>9</v>
      </c>
      <c r="G15" s="19" t="s">
        <v>11</v>
      </c>
      <c r="H15" s="18">
        <f t="shared" si="1"/>
        <v>336</v>
      </c>
      <c r="I15" s="18">
        <f t="shared" si="1"/>
        <v>283</v>
      </c>
      <c r="J15" s="21">
        <f t="shared" si="1"/>
        <v>398</v>
      </c>
    </row>
    <row r="16" spans="1:13" ht="17.25" thickBot="1" x14ac:dyDescent="0.35">
      <c r="A16" s="13" t="s">
        <v>1</v>
      </c>
      <c r="B16" s="13" t="s">
        <v>151</v>
      </c>
      <c r="C16" s="13">
        <v>8</v>
      </c>
      <c r="D16" s="13">
        <v>7</v>
      </c>
      <c r="E16" s="13">
        <v>8</v>
      </c>
      <c r="G16" s="22" t="s">
        <v>12</v>
      </c>
      <c r="H16" s="23">
        <f t="shared" si="1"/>
        <v>32</v>
      </c>
      <c r="I16" s="23">
        <f t="shared" si="1"/>
        <v>27</v>
      </c>
      <c r="J16" s="24">
        <f t="shared" si="1"/>
        <v>41</v>
      </c>
    </row>
    <row r="17" spans="1:5" x14ac:dyDescent="0.3">
      <c r="A17" s="13" t="s">
        <v>1</v>
      </c>
      <c r="B17" s="13" t="s">
        <v>61</v>
      </c>
      <c r="C17" s="13">
        <v>7</v>
      </c>
      <c r="D17" s="13">
        <v>7</v>
      </c>
      <c r="E17" s="13">
        <v>8</v>
      </c>
    </row>
    <row r="18" spans="1:5" x14ac:dyDescent="0.3">
      <c r="A18" s="13" t="s">
        <v>1</v>
      </c>
      <c r="B18" s="13" t="s">
        <v>174</v>
      </c>
      <c r="C18" s="13">
        <v>7</v>
      </c>
      <c r="D18" s="13">
        <v>7</v>
      </c>
      <c r="E18" s="13">
        <v>8</v>
      </c>
    </row>
    <row r="19" spans="1:5" x14ac:dyDescent="0.3">
      <c r="A19" s="13" t="s">
        <v>1</v>
      </c>
      <c r="B19" s="13" t="s">
        <v>132</v>
      </c>
      <c r="C19" s="13">
        <v>8</v>
      </c>
      <c r="D19" s="13">
        <v>7</v>
      </c>
      <c r="E19" s="13">
        <v>8</v>
      </c>
    </row>
    <row r="20" spans="1:5" x14ac:dyDescent="0.3">
      <c r="A20" s="13" t="s">
        <v>0</v>
      </c>
      <c r="B20" s="13" t="s">
        <v>60</v>
      </c>
      <c r="C20" s="13">
        <v>7</v>
      </c>
      <c r="D20" s="13">
        <v>7</v>
      </c>
      <c r="E20" s="13">
        <v>7</v>
      </c>
    </row>
    <row r="21" spans="1:5" x14ac:dyDescent="0.3">
      <c r="A21" s="13" t="s">
        <v>0</v>
      </c>
      <c r="B21" s="13" t="s">
        <v>1948</v>
      </c>
      <c r="C21" s="13">
        <v>8</v>
      </c>
      <c r="D21" s="13">
        <v>7</v>
      </c>
      <c r="E21" s="13">
        <v>10</v>
      </c>
    </row>
    <row r="22" spans="1:5" x14ac:dyDescent="0.3">
      <c r="A22" s="13" t="s">
        <v>1</v>
      </c>
      <c r="B22" s="13" t="s">
        <v>36</v>
      </c>
      <c r="C22" s="13">
        <v>8</v>
      </c>
      <c r="D22" s="13">
        <v>6</v>
      </c>
      <c r="E22" s="13">
        <v>8</v>
      </c>
    </row>
    <row r="23" spans="1:5" x14ac:dyDescent="0.3">
      <c r="A23" s="13" t="s">
        <v>1</v>
      </c>
      <c r="B23" s="13" t="s">
        <v>145</v>
      </c>
      <c r="C23" s="13">
        <v>7</v>
      </c>
      <c r="D23" s="13">
        <v>6</v>
      </c>
      <c r="E23" s="13">
        <v>7</v>
      </c>
    </row>
    <row r="24" spans="1:5" x14ac:dyDescent="0.3">
      <c r="A24" s="13" t="s">
        <v>1</v>
      </c>
      <c r="B24" s="13" t="s">
        <v>29</v>
      </c>
      <c r="C24" s="13">
        <v>6</v>
      </c>
      <c r="D24" s="13">
        <v>6</v>
      </c>
      <c r="E24" s="13">
        <v>7</v>
      </c>
    </row>
    <row r="25" spans="1:5" x14ac:dyDescent="0.3">
      <c r="A25" s="13" t="s">
        <v>1</v>
      </c>
      <c r="B25" s="13" t="s">
        <v>631</v>
      </c>
      <c r="C25" s="13">
        <v>9</v>
      </c>
      <c r="D25" s="13">
        <v>6</v>
      </c>
      <c r="E25" s="13">
        <v>8</v>
      </c>
    </row>
    <row r="26" spans="1:5" x14ac:dyDescent="0.3">
      <c r="A26" s="13" t="s">
        <v>1</v>
      </c>
      <c r="B26" s="13" t="s">
        <v>120</v>
      </c>
      <c r="C26" s="13">
        <v>6</v>
      </c>
      <c r="D26" s="13">
        <v>6</v>
      </c>
      <c r="E26" s="13">
        <v>6</v>
      </c>
    </row>
    <row r="27" spans="1:5" x14ac:dyDescent="0.3">
      <c r="A27" s="13" t="s">
        <v>1</v>
      </c>
      <c r="B27" s="13" t="s">
        <v>31</v>
      </c>
      <c r="C27" s="13">
        <v>7</v>
      </c>
      <c r="D27" s="13">
        <v>6</v>
      </c>
      <c r="E27" s="13">
        <v>7</v>
      </c>
    </row>
    <row r="28" spans="1:5" x14ac:dyDescent="0.3">
      <c r="A28" s="13" t="s">
        <v>0</v>
      </c>
      <c r="B28" s="13" t="s">
        <v>30</v>
      </c>
      <c r="C28" s="13">
        <v>11</v>
      </c>
      <c r="D28" s="13">
        <v>6</v>
      </c>
      <c r="E28" s="13">
        <v>23</v>
      </c>
    </row>
    <row r="29" spans="1:5" x14ac:dyDescent="0.3">
      <c r="A29" s="13" t="s">
        <v>1</v>
      </c>
      <c r="B29" s="13" t="s">
        <v>726</v>
      </c>
      <c r="C29" s="13">
        <v>5</v>
      </c>
      <c r="D29" s="13">
        <v>5</v>
      </c>
      <c r="E29" s="13">
        <v>7</v>
      </c>
    </row>
    <row r="30" spans="1:5" x14ac:dyDescent="0.3">
      <c r="A30" s="13" t="s">
        <v>1</v>
      </c>
      <c r="B30" s="13" t="s">
        <v>83</v>
      </c>
      <c r="C30" s="13">
        <v>5</v>
      </c>
      <c r="D30" s="13">
        <v>5</v>
      </c>
      <c r="E30" s="13">
        <v>6</v>
      </c>
    </row>
    <row r="31" spans="1:5" x14ac:dyDescent="0.3">
      <c r="A31" s="13" t="s">
        <v>1</v>
      </c>
      <c r="B31" s="13" t="s">
        <v>258</v>
      </c>
      <c r="C31" s="13">
        <v>8</v>
      </c>
      <c r="D31" s="13">
        <v>5</v>
      </c>
      <c r="E31" s="13">
        <v>8</v>
      </c>
    </row>
    <row r="32" spans="1:5" x14ac:dyDescent="0.3">
      <c r="A32" s="13" t="s">
        <v>0</v>
      </c>
      <c r="B32" s="13" t="s">
        <v>34</v>
      </c>
      <c r="C32" s="13">
        <v>5</v>
      </c>
      <c r="D32" s="13">
        <v>5</v>
      </c>
      <c r="E32" s="13">
        <v>8</v>
      </c>
    </row>
    <row r="33" spans="1:5" x14ac:dyDescent="0.3">
      <c r="A33" s="13" t="s">
        <v>0</v>
      </c>
      <c r="B33" s="13" t="s">
        <v>61</v>
      </c>
      <c r="C33" s="13">
        <v>5</v>
      </c>
      <c r="D33" s="13">
        <v>5</v>
      </c>
      <c r="E33" s="13">
        <v>5</v>
      </c>
    </row>
    <row r="34" spans="1:5" x14ac:dyDescent="0.3">
      <c r="A34" s="13" t="s">
        <v>0</v>
      </c>
      <c r="B34" s="13" t="s">
        <v>2203</v>
      </c>
      <c r="C34" s="13">
        <v>5</v>
      </c>
      <c r="D34" s="13">
        <v>5</v>
      </c>
      <c r="E34" s="13">
        <v>5</v>
      </c>
    </row>
    <row r="35" spans="1:5" x14ac:dyDescent="0.3">
      <c r="A35" s="13" t="s">
        <v>0</v>
      </c>
      <c r="B35" s="13" t="s">
        <v>39</v>
      </c>
      <c r="C35" s="13">
        <v>5</v>
      </c>
      <c r="D35" s="13">
        <v>5</v>
      </c>
      <c r="E35" s="13">
        <v>6</v>
      </c>
    </row>
    <row r="36" spans="1:5" x14ac:dyDescent="0.3">
      <c r="A36" s="13" t="s">
        <v>1</v>
      </c>
      <c r="B36" s="13" t="s">
        <v>87</v>
      </c>
      <c r="C36" s="13">
        <v>4</v>
      </c>
      <c r="D36" s="13">
        <v>4</v>
      </c>
      <c r="E36" s="13">
        <v>4</v>
      </c>
    </row>
    <row r="37" spans="1:5" x14ac:dyDescent="0.3">
      <c r="A37" s="13" t="s">
        <v>1</v>
      </c>
      <c r="B37" s="13" t="s">
        <v>1741</v>
      </c>
      <c r="C37" s="13">
        <v>5</v>
      </c>
      <c r="D37" s="13">
        <v>4</v>
      </c>
      <c r="E37" s="13">
        <v>6</v>
      </c>
    </row>
    <row r="38" spans="1:5" x14ac:dyDescent="0.3">
      <c r="A38" s="13" t="s">
        <v>1</v>
      </c>
      <c r="B38" s="13" t="s">
        <v>2093</v>
      </c>
      <c r="C38" s="13">
        <v>7</v>
      </c>
      <c r="D38" s="13">
        <v>4</v>
      </c>
      <c r="E38" s="13">
        <v>7</v>
      </c>
    </row>
    <row r="39" spans="1:5" x14ac:dyDescent="0.3">
      <c r="A39" s="13" t="s">
        <v>1</v>
      </c>
      <c r="B39" s="13" t="s">
        <v>2734</v>
      </c>
      <c r="C39" s="13">
        <v>14</v>
      </c>
      <c r="D39" s="13">
        <v>4</v>
      </c>
      <c r="E39" s="13">
        <v>15</v>
      </c>
    </row>
    <row r="40" spans="1:5" x14ac:dyDescent="0.3">
      <c r="A40" s="13" t="s">
        <v>1</v>
      </c>
      <c r="B40" s="13" t="s">
        <v>161</v>
      </c>
      <c r="C40" s="13">
        <v>7</v>
      </c>
      <c r="D40" s="13">
        <v>4</v>
      </c>
      <c r="E40" s="13">
        <v>6</v>
      </c>
    </row>
    <row r="41" spans="1:5" x14ac:dyDescent="0.3">
      <c r="A41" s="13" t="s">
        <v>1</v>
      </c>
      <c r="B41" s="13" t="s">
        <v>104</v>
      </c>
      <c r="C41" s="13">
        <v>4</v>
      </c>
      <c r="D41" s="13">
        <v>4</v>
      </c>
      <c r="E41" s="13">
        <v>4</v>
      </c>
    </row>
    <row r="42" spans="1:5" x14ac:dyDescent="0.3">
      <c r="A42" s="13" t="s">
        <v>1</v>
      </c>
      <c r="B42" s="13" t="s">
        <v>196</v>
      </c>
      <c r="C42" s="13">
        <v>5</v>
      </c>
      <c r="D42" s="13">
        <v>4</v>
      </c>
      <c r="E42" s="13">
        <v>6</v>
      </c>
    </row>
    <row r="43" spans="1:5" x14ac:dyDescent="0.3">
      <c r="A43" s="13" t="s">
        <v>1</v>
      </c>
      <c r="B43" s="13" t="s">
        <v>52</v>
      </c>
      <c r="C43" s="13">
        <v>6</v>
      </c>
      <c r="D43" s="13">
        <v>4</v>
      </c>
      <c r="E43" s="13">
        <v>7</v>
      </c>
    </row>
    <row r="44" spans="1:5" x14ac:dyDescent="0.3">
      <c r="A44" s="13" t="s">
        <v>0</v>
      </c>
      <c r="B44" s="13" t="s">
        <v>354</v>
      </c>
      <c r="C44" s="13">
        <v>5</v>
      </c>
      <c r="D44" s="13">
        <v>4</v>
      </c>
      <c r="E44" s="13">
        <v>5</v>
      </c>
    </row>
    <row r="45" spans="1:5" x14ac:dyDescent="0.3">
      <c r="A45" s="13" t="s">
        <v>0</v>
      </c>
      <c r="B45" s="13" t="s">
        <v>1663</v>
      </c>
      <c r="C45" s="13">
        <v>4</v>
      </c>
      <c r="D45" s="13">
        <v>4</v>
      </c>
      <c r="E45" s="13">
        <v>7</v>
      </c>
    </row>
    <row r="46" spans="1:5" x14ac:dyDescent="0.3">
      <c r="A46" s="13" t="s">
        <v>0</v>
      </c>
      <c r="B46" s="13" t="s">
        <v>1741</v>
      </c>
      <c r="C46" s="13">
        <v>4</v>
      </c>
      <c r="D46" s="13">
        <v>4</v>
      </c>
      <c r="E46" s="13">
        <v>4</v>
      </c>
    </row>
    <row r="47" spans="1:5" x14ac:dyDescent="0.3">
      <c r="A47" s="13" t="s">
        <v>0</v>
      </c>
      <c r="B47" s="13" t="s">
        <v>2093</v>
      </c>
      <c r="C47" s="13">
        <v>4</v>
      </c>
      <c r="D47" s="13">
        <v>4</v>
      </c>
      <c r="E47" s="13">
        <v>4</v>
      </c>
    </row>
    <row r="48" spans="1:5" x14ac:dyDescent="0.3">
      <c r="A48" s="13" t="s">
        <v>0</v>
      </c>
      <c r="B48" s="13" t="s">
        <v>2735</v>
      </c>
      <c r="C48" s="13">
        <v>6</v>
      </c>
      <c r="D48" s="13">
        <v>4</v>
      </c>
      <c r="E48" s="13">
        <v>7</v>
      </c>
    </row>
    <row r="49" spans="1:5" x14ac:dyDescent="0.3">
      <c r="A49" s="13" t="s">
        <v>1</v>
      </c>
      <c r="B49" s="13" t="s">
        <v>267</v>
      </c>
      <c r="C49" s="13">
        <v>4</v>
      </c>
      <c r="D49" s="13">
        <v>3</v>
      </c>
      <c r="E49" s="13">
        <v>4</v>
      </c>
    </row>
    <row r="50" spans="1:5" x14ac:dyDescent="0.3">
      <c r="A50" s="13" t="s">
        <v>1</v>
      </c>
      <c r="B50" s="13" t="s">
        <v>81</v>
      </c>
      <c r="C50" s="13">
        <v>3</v>
      </c>
      <c r="D50" s="13">
        <v>3</v>
      </c>
      <c r="E50" s="13">
        <v>4</v>
      </c>
    </row>
    <row r="51" spans="1:5" x14ac:dyDescent="0.3">
      <c r="A51" s="13" t="s">
        <v>1</v>
      </c>
      <c r="B51" s="13" t="s">
        <v>147</v>
      </c>
      <c r="C51" s="13">
        <v>3</v>
      </c>
      <c r="D51" s="13">
        <v>3</v>
      </c>
      <c r="E51" s="13">
        <v>4</v>
      </c>
    </row>
    <row r="52" spans="1:5" x14ac:dyDescent="0.3">
      <c r="A52" s="13" t="s">
        <v>1</v>
      </c>
      <c r="B52" s="13" t="s">
        <v>464</v>
      </c>
      <c r="C52" s="13">
        <v>3</v>
      </c>
      <c r="D52" s="13">
        <v>3</v>
      </c>
      <c r="E52" s="13">
        <v>4</v>
      </c>
    </row>
    <row r="53" spans="1:5" x14ac:dyDescent="0.3">
      <c r="A53" s="13" t="s">
        <v>1</v>
      </c>
      <c r="B53" s="13" t="s">
        <v>148</v>
      </c>
      <c r="C53" s="13">
        <v>6</v>
      </c>
      <c r="D53" s="13">
        <v>3</v>
      </c>
      <c r="E53" s="13">
        <v>7</v>
      </c>
    </row>
    <row r="54" spans="1:5" x14ac:dyDescent="0.3">
      <c r="A54" s="13" t="s">
        <v>1</v>
      </c>
      <c r="B54" s="13" t="s">
        <v>351</v>
      </c>
      <c r="C54" s="13">
        <v>3</v>
      </c>
      <c r="D54" s="13">
        <v>3</v>
      </c>
      <c r="E54" s="13">
        <v>3</v>
      </c>
    </row>
    <row r="55" spans="1:5" x14ac:dyDescent="0.3">
      <c r="A55" s="13" t="s">
        <v>1</v>
      </c>
      <c r="B55" s="13" t="s">
        <v>94</v>
      </c>
      <c r="C55" s="13">
        <v>6</v>
      </c>
      <c r="D55" s="13">
        <v>3</v>
      </c>
      <c r="E55" s="13">
        <v>6</v>
      </c>
    </row>
    <row r="56" spans="1:5" x14ac:dyDescent="0.3">
      <c r="A56" s="13" t="s">
        <v>1</v>
      </c>
      <c r="B56" s="13" t="s">
        <v>2624</v>
      </c>
      <c r="C56" s="13">
        <v>9</v>
      </c>
      <c r="D56" s="13">
        <v>3</v>
      </c>
      <c r="E56" s="13">
        <v>9</v>
      </c>
    </row>
    <row r="57" spans="1:5" x14ac:dyDescent="0.3">
      <c r="A57" s="13" t="s">
        <v>1</v>
      </c>
      <c r="B57" s="13" t="s">
        <v>109</v>
      </c>
      <c r="C57" s="13">
        <v>3</v>
      </c>
      <c r="D57" s="13">
        <v>3</v>
      </c>
      <c r="E57" s="13">
        <v>6</v>
      </c>
    </row>
    <row r="58" spans="1:5" x14ac:dyDescent="0.3">
      <c r="A58" s="13" t="s">
        <v>1</v>
      </c>
      <c r="B58" s="13" t="s">
        <v>281</v>
      </c>
      <c r="C58" s="13">
        <v>3</v>
      </c>
      <c r="D58" s="13">
        <v>3</v>
      </c>
      <c r="E58" s="13">
        <v>4</v>
      </c>
    </row>
    <row r="59" spans="1:5" x14ac:dyDescent="0.3">
      <c r="A59" s="13" t="s">
        <v>1</v>
      </c>
      <c r="B59" s="13" t="s">
        <v>1107</v>
      </c>
      <c r="C59" s="13">
        <v>4</v>
      </c>
      <c r="D59" s="13">
        <v>3</v>
      </c>
      <c r="E59" s="13">
        <v>4</v>
      </c>
    </row>
    <row r="60" spans="1:5" x14ac:dyDescent="0.3">
      <c r="A60" s="13" t="s">
        <v>1</v>
      </c>
      <c r="B60" s="13" t="s">
        <v>319</v>
      </c>
      <c r="C60" s="13">
        <v>4</v>
      </c>
      <c r="D60" s="13">
        <v>3</v>
      </c>
      <c r="E60" s="13">
        <v>5</v>
      </c>
    </row>
    <row r="61" spans="1:5" x14ac:dyDescent="0.3">
      <c r="A61" s="13" t="s">
        <v>1</v>
      </c>
      <c r="B61" s="13" t="s">
        <v>580</v>
      </c>
      <c r="C61" s="13">
        <v>4</v>
      </c>
      <c r="D61" s="13">
        <v>3</v>
      </c>
      <c r="E61" s="13">
        <v>4</v>
      </c>
    </row>
    <row r="62" spans="1:5" x14ac:dyDescent="0.3">
      <c r="A62" s="13" t="s">
        <v>1</v>
      </c>
      <c r="B62" s="13" t="s">
        <v>123</v>
      </c>
      <c r="C62" s="13">
        <v>3</v>
      </c>
      <c r="D62" s="13">
        <v>3</v>
      </c>
      <c r="E62" s="13">
        <v>3</v>
      </c>
    </row>
    <row r="63" spans="1:5" x14ac:dyDescent="0.3">
      <c r="A63" s="13" t="s">
        <v>1</v>
      </c>
      <c r="B63" s="13" t="s">
        <v>32</v>
      </c>
      <c r="C63" s="13">
        <v>8</v>
      </c>
      <c r="D63" s="13">
        <v>3</v>
      </c>
      <c r="E63" s="13">
        <v>14</v>
      </c>
    </row>
    <row r="64" spans="1:5" x14ac:dyDescent="0.3">
      <c r="A64" s="13" t="s">
        <v>0</v>
      </c>
      <c r="B64" s="13" t="s">
        <v>145</v>
      </c>
      <c r="C64" s="13">
        <v>3</v>
      </c>
      <c r="D64" s="13">
        <v>3</v>
      </c>
      <c r="E64" s="13">
        <v>3</v>
      </c>
    </row>
    <row r="65" spans="1:5" x14ac:dyDescent="0.3">
      <c r="A65" s="13" t="s">
        <v>0</v>
      </c>
      <c r="B65" s="13" t="s">
        <v>87</v>
      </c>
      <c r="C65" s="13">
        <v>3</v>
      </c>
      <c r="D65" s="13">
        <v>3</v>
      </c>
      <c r="E65" s="13">
        <v>4</v>
      </c>
    </row>
    <row r="66" spans="1:5" x14ac:dyDescent="0.3">
      <c r="A66" s="13" t="s">
        <v>0</v>
      </c>
      <c r="B66" s="13" t="s">
        <v>91</v>
      </c>
      <c r="C66" s="13">
        <v>3</v>
      </c>
      <c r="D66" s="13">
        <v>3</v>
      </c>
      <c r="E66" s="13">
        <v>5</v>
      </c>
    </row>
    <row r="67" spans="1:5" x14ac:dyDescent="0.3">
      <c r="A67" s="13" t="s">
        <v>0</v>
      </c>
      <c r="B67" s="13" t="s">
        <v>94</v>
      </c>
      <c r="C67" s="13">
        <v>3</v>
      </c>
      <c r="D67" s="13">
        <v>3</v>
      </c>
      <c r="E67" s="13">
        <v>4</v>
      </c>
    </row>
    <row r="68" spans="1:5" x14ac:dyDescent="0.3">
      <c r="A68" s="13" t="s">
        <v>0</v>
      </c>
      <c r="B68" s="13" t="s">
        <v>258</v>
      </c>
      <c r="C68" s="13">
        <v>3</v>
      </c>
      <c r="D68" s="13">
        <v>3</v>
      </c>
      <c r="E68" s="13">
        <v>3</v>
      </c>
    </row>
    <row r="69" spans="1:5" x14ac:dyDescent="0.3">
      <c r="A69" s="13" t="s">
        <v>0</v>
      </c>
      <c r="B69" s="13" t="s">
        <v>51</v>
      </c>
      <c r="C69" s="13">
        <v>3</v>
      </c>
      <c r="D69" s="13">
        <v>3</v>
      </c>
      <c r="E69" s="13">
        <v>3</v>
      </c>
    </row>
    <row r="70" spans="1:5" x14ac:dyDescent="0.3">
      <c r="A70" s="13" t="s">
        <v>0</v>
      </c>
      <c r="B70" s="13" t="s">
        <v>2736</v>
      </c>
      <c r="C70" s="13">
        <v>3</v>
      </c>
      <c r="D70" s="13">
        <v>3</v>
      </c>
      <c r="E70" s="13">
        <v>3</v>
      </c>
    </row>
    <row r="71" spans="1:5" x14ac:dyDescent="0.3">
      <c r="A71" s="13" t="s">
        <v>2</v>
      </c>
      <c r="B71" s="13" t="s">
        <v>1741</v>
      </c>
      <c r="C71" s="13">
        <v>3</v>
      </c>
      <c r="D71" s="13">
        <v>3</v>
      </c>
      <c r="E71" s="13">
        <v>5</v>
      </c>
    </row>
    <row r="72" spans="1:5" x14ac:dyDescent="0.3">
      <c r="A72" s="13" t="s">
        <v>1</v>
      </c>
      <c r="B72" s="13" t="s">
        <v>1350</v>
      </c>
      <c r="C72" s="13">
        <v>2</v>
      </c>
      <c r="D72" s="13">
        <v>2</v>
      </c>
      <c r="E72" s="13">
        <v>3</v>
      </c>
    </row>
    <row r="73" spans="1:5" x14ac:dyDescent="0.3">
      <c r="A73" s="13" t="s">
        <v>1</v>
      </c>
      <c r="B73" s="13" t="s">
        <v>69</v>
      </c>
      <c r="C73" s="13">
        <v>2</v>
      </c>
      <c r="D73" s="13">
        <v>2</v>
      </c>
      <c r="E73" s="13">
        <v>2</v>
      </c>
    </row>
    <row r="74" spans="1:5" x14ac:dyDescent="0.3">
      <c r="A74" s="13" t="s">
        <v>1</v>
      </c>
      <c r="B74" s="13" t="s">
        <v>238</v>
      </c>
      <c r="C74" s="13">
        <v>2</v>
      </c>
      <c r="D74" s="13">
        <v>2</v>
      </c>
      <c r="E74" s="13">
        <v>2</v>
      </c>
    </row>
    <row r="75" spans="1:5" x14ac:dyDescent="0.3">
      <c r="A75" s="13" t="s">
        <v>1</v>
      </c>
      <c r="B75" s="13" t="s">
        <v>261</v>
      </c>
      <c r="C75" s="13">
        <v>2</v>
      </c>
      <c r="D75" s="13">
        <v>2</v>
      </c>
      <c r="E75" s="13">
        <v>2</v>
      </c>
    </row>
    <row r="76" spans="1:5" x14ac:dyDescent="0.3">
      <c r="A76" s="13" t="s">
        <v>1</v>
      </c>
      <c r="B76" s="13" t="s">
        <v>33</v>
      </c>
      <c r="C76" s="13">
        <v>3</v>
      </c>
      <c r="D76" s="13">
        <v>2</v>
      </c>
      <c r="E76" s="13">
        <v>4</v>
      </c>
    </row>
    <row r="77" spans="1:5" x14ac:dyDescent="0.3">
      <c r="A77" s="13" t="s">
        <v>1</v>
      </c>
      <c r="B77" s="13" t="s">
        <v>474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796</v>
      </c>
      <c r="C78" s="13">
        <v>2</v>
      </c>
      <c r="D78" s="13">
        <v>2</v>
      </c>
      <c r="E78" s="13">
        <v>2</v>
      </c>
    </row>
    <row r="79" spans="1:5" x14ac:dyDescent="0.3">
      <c r="A79" s="13" t="s">
        <v>1</v>
      </c>
      <c r="B79" s="13" t="s">
        <v>1249</v>
      </c>
      <c r="C79" s="13">
        <v>3</v>
      </c>
      <c r="D79" s="13">
        <v>2</v>
      </c>
      <c r="E79" s="13">
        <v>5</v>
      </c>
    </row>
    <row r="80" spans="1:5" x14ac:dyDescent="0.3">
      <c r="A80" s="13" t="s">
        <v>1</v>
      </c>
      <c r="B80" s="13" t="s">
        <v>215</v>
      </c>
      <c r="C80" s="13">
        <v>2</v>
      </c>
      <c r="D80" s="13">
        <v>2</v>
      </c>
      <c r="E80" s="13">
        <v>2</v>
      </c>
    </row>
    <row r="81" spans="1:5" x14ac:dyDescent="0.3">
      <c r="A81" s="13" t="s">
        <v>1</v>
      </c>
      <c r="B81" s="13" t="s">
        <v>658</v>
      </c>
      <c r="C81" s="13">
        <v>2</v>
      </c>
      <c r="D81" s="13">
        <v>2</v>
      </c>
      <c r="E81" s="13">
        <v>3</v>
      </c>
    </row>
    <row r="82" spans="1:5" x14ac:dyDescent="0.3">
      <c r="A82" s="13" t="s">
        <v>1</v>
      </c>
      <c r="B82" s="13" t="s">
        <v>471</v>
      </c>
      <c r="C82" s="13">
        <v>2</v>
      </c>
      <c r="D82" s="13">
        <v>2</v>
      </c>
      <c r="E82" s="13">
        <v>2</v>
      </c>
    </row>
    <row r="83" spans="1:5" x14ac:dyDescent="0.3">
      <c r="A83" s="13" t="s">
        <v>1</v>
      </c>
      <c r="B83" s="13" t="s">
        <v>1471</v>
      </c>
      <c r="C83" s="13">
        <v>2</v>
      </c>
      <c r="D83" s="13">
        <v>2</v>
      </c>
      <c r="E83" s="13">
        <v>3</v>
      </c>
    </row>
    <row r="84" spans="1:5" x14ac:dyDescent="0.3">
      <c r="A84" s="13" t="s">
        <v>1</v>
      </c>
      <c r="B84" s="13" t="s">
        <v>1881</v>
      </c>
      <c r="C84" s="13">
        <v>3</v>
      </c>
      <c r="D84" s="13">
        <v>2</v>
      </c>
      <c r="E84" s="13">
        <v>4</v>
      </c>
    </row>
    <row r="85" spans="1:5" x14ac:dyDescent="0.3">
      <c r="A85" s="13" t="s">
        <v>1</v>
      </c>
      <c r="B85" s="13" t="s">
        <v>2162</v>
      </c>
      <c r="C85" s="13">
        <v>4</v>
      </c>
      <c r="D85" s="13">
        <v>2</v>
      </c>
      <c r="E85" s="13">
        <v>4</v>
      </c>
    </row>
    <row r="86" spans="1:5" x14ac:dyDescent="0.3">
      <c r="A86" s="13" t="s">
        <v>1</v>
      </c>
      <c r="B86" s="13" t="s">
        <v>2203</v>
      </c>
      <c r="C86" s="13">
        <v>6</v>
      </c>
      <c r="D86" s="13">
        <v>2</v>
      </c>
      <c r="E86" s="13">
        <v>9</v>
      </c>
    </row>
    <row r="87" spans="1:5" x14ac:dyDescent="0.3">
      <c r="A87" s="13" t="s">
        <v>1</v>
      </c>
      <c r="B87" s="13" t="s">
        <v>2735</v>
      </c>
      <c r="C87" s="13">
        <v>9</v>
      </c>
      <c r="D87" s="13">
        <v>2</v>
      </c>
      <c r="E87" s="13">
        <v>10</v>
      </c>
    </row>
    <row r="88" spans="1:5" x14ac:dyDescent="0.3">
      <c r="A88" s="13" t="s">
        <v>1</v>
      </c>
      <c r="B88" s="13" t="s">
        <v>154</v>
      </c>
      <c r="C88" s="13">
        <v>2</v>
      </c>
      <c r="D88" s="13">
        <v>2</v>
      </c>
      <c r="E88" s="13">
        <v>2</v>
      </c>
    </row>
    <row r="89" spans="1:5" x14ac:dyDescent="0.3">
      <c r="A89" s="13" t="s">
        <v>1</v>
      </c>
      <c r="B89" s="13" t="s">
        <v>49</v>
      </c>
      <c r="C89" s="13">
        <v>2</v>
      </c>
      <c r="D89" s="13">
        <v>2</v>
      </c>
      <c r="E89" s="13">
        <v>2</v>
      </c>
    </row>
    <row r="90" spans="1:5" x14ac:dyDescent="0.3">
      <c r="A90" s="13" t="s">
        <v>1</v>
      </c>
      <c r="B90" s="13" t="s">
        <v>35</v>
      </c>
      <c r="C90" s="13">
        <v>2</v>
      </c>
      <c r="D90" s="13">
        <v>2</v>
      </c>
      <c r="E90" s="13">
        <v>2</v>
      </c>
    </row>
    <row r="91" spans="1:5" x14ac:dyDescent="0.3">
      <c r="A91" s="13" t="s">
        <v>1</v>
      </c>
      <c r="B91" s="13" t="s">
        <v>476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99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102</v>
      </c>
      <c r="C93" s="13">
        <v>3</v>
      </c>
      <c r="D93" s="13">
        <v>2</v>
      </c>
      <c r="E93" s="13">
        <v>3</v>
      </c>
    </row>
    <row r="94" spans="1:5" x14ac:dyDescent="0.3">
      <c r="A94" s="13" t="s">
        <v>1</v>
      </c>
      <c r="B94" s="13" t="s">
        <v>105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162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1312</v>
      </c>
      <c r="C96" s="13">
        <v>2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195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394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279</v>
      </c>
      <c r="C99" s="13">
        <v>2</v>
      </c>
      <c r="D99" s="13">
        <v>2</v>
      </c>
      <c r="E99" s="13">
        <v>2</v>
      </c>
    </row>
    <row r="100" spans="1:5" x14ac:dyDescent="0.3">
      <c r="A100" s="13" t="s">
        <v>1</v>
      </c>
      <c r="B100" s="13" t="s">
        <v>824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1</v>
      </c>
      <c r="B101" s="13" t="s">
        <v>44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1</v>
      </c>
      <c r="B102" s="13" t="s">
        <v>518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1</v>
      </c>
      <c r="B103" s="13" t="s">
        <v>400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1</v>
      </c>
      <c r="B104" s="13" t="s">
        <v>45</v>
      </c>
      <c r="C104" s="13">
        <v>3</v>
      </c>
      <c r="D104" s="13">
        <v>2</v>
      </c>
      <c r="E104" s="13">
        <v>3</v>
      </c>
    </row>
    <row r="105" spans="1:5" x14ac:dyDescent="0.3">
      <c r="A105" s="13" t="s">
        <v>1</v>
      </c>
      <c r="B105" s="13" t="s">
        <v>833</v>
      </c>
      <c r="C105" s="13">
        <v>3</v>
      </c>
      <c r="D105" s="13">
        <v>2</v>
      </c>
      <c r="E105" s="13">
        <v>3</v>
      </c>
    </row>
    <row r="106" spans="1:5" x14ac:dyDescent="0.3">
      <c r="A106" s="13" t="s">
        <v>1</v>
      </c>
      <c r="B106" s="13" t="s">
        <v>1399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1</v>
      </c>
      <c r="B107" s="13" t="s">
        <v>1543</v>
      </c>
      <c r="C107" s="13">
        <v>2</v>
      </c>
      <c r="D107" s="13">
        <v>2</v>
      </c>
      <c r="E107" s="13">
        <v>3</v>
      </c>
    </row>
    <row r="108" spans="1:5" x14ac:dyDescent="0.3">
      <c r="A108" s="13" t="s">
        <v>1</v>
      </c>
      <c r="B108" s="13" t="s">
        <v>918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172</v>
      </c>
      <c r="C109" s="13">
        <v>3</v>
      </c>
      <c r="D109" s="13">
        <v>2</v>
      </c>
      <c r="E109" s="13">
        <v>3</v>
      </c>
    </row>
    <row r="110" spans="1:5" x14ac:dyDescent="0.3">
      <c r="A110" s="13" t="s">
        <v>1</v>
      </c>
      <c r="B110" s="13" t="s">
        <v>838</v>
      </c>
      <c r="C110" s="13">
        <v>3</v>
      </c>
      <c r="D110" s="13">
        <v>2</v>
      </c>
      <c r="E110" s="13">
        <v>2</v>
      </c>
    </row>
    <row r="111" spans="1:5" x14ac:dyDescent="0.3">
      <c r="A111" s="13" t="s">
        <v>1</v>
      </c>
      <c r="B111" s="13" t="s">
        <v>63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1</v>
      </c>
      <c r="B112" s="13" t="s">
        <v>709</v>
      </c>
      <c r="C112" s="13">
        <v>3</v>
      </c>
      <c r="D112" s="13">
        <v>2</v>
      </c>
      <c r="E112" s="13">
        <v>4</v>
      </c>
    </row>
    <row r="113" spans="1:5" x14ac:dyDescent="0.3">
      <c r="A113" s="13" t="s">
        <v>1</v>
      </c>
      <c r="B113" s="13" t="s">
        <v>124</v>
      </c>
      <c r="C113" s="13">
        <v>3</v>
      </c>
      <c r="D113" s="13">
        <v>2</v>
      </c>
      <c r="E113" s="13">
        <v>3</v>
      </c>
    </row>
    <row r="114" spans="1:5" x14ac:dyDescent="0.3">
      <c r="A114" s="13" t="s">
        <v>1</v>
      </c>
      <c r="B114" s="13" t="s">
        <v>338</v>
      </c>
      <c r="C114" s="13">
        <v>2</v>
      </c>
      <c r="D114" s="13">
        <v>2</v>
      </c>
      <c r="E114" s="13">
        <v>2</v>
      </c>
    </row>
    <row r="115" spans="1:5" x14ac:dyDescent="0.3">
      <c r="A115" s="13" t="s">
        <v>1</v>
      </c>
      <c r="B115" s="13" t="s">
        <v>415</v>
      </c>
      <c r="C115" s="13">
        <v>3</v>
      </c>
      <c r="D115" s="13">
        <v>2</v>
      </c>
      <c r="E115" s="13">
        <v>3</v>
      </c>
    </row>
    <row r="116" spans="1:5" x14ac:dyDescent="0.3">
      <c r="A116" s="13" t="s">
        <v>1</v>
      </c>
      <c r="B116" s="13" t="s">
        <v>255</v>
      </c>
      <c r="C116" s="13">
        <v>3</v>
      </c>
      <c r="D116" s="13">
        <v>2</v>
      </c>
      <c r="E116" s="13">
        <v>5</v>
      </c>
    </row>
    <row r="117" spans="1:5" x14ac:dyDescent="0.3">
      <c r="A117" s="13" t="s">
        <v>1</v>
      </c>
      <c r="B117" s="13" t="s">
        <v>439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1</v>
      </c>
      <c r="B118" s="13" t="s">
        <v>1219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1</v>
      </c>
      <c r="B119" s="13" t="s">
        <v>53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1</v>
      </c>
      <c r="B120" s="13" t="s">
        <v>722</v>
      </c>
      <c r="C120" s="13">
        <v>2</v>
      </c>
      <c r="D120" s="13">
        <v>2</v>
      </c>
      <c r="E120" s="13">
        <v>2</v>
      </c>
    </row>
    <row r="121" spans="1:5" x14ac:dyDescent="0.3">
      <c r="A121" s="13" t="s">
        <v>0</v>
      </c>
      <c r="B121" s="13" t="s">
        <v>966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0</v>
      </c>
      <c r="B122" s="13" t="s">
        <v>372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33</v>
      </c>
      <c r="C123" s="13">
        <v>2</v>
      </c>
      <c r="D123" s="13">
        <v>2</v>
      </c>
      <c r="E123" s="13">
        <v>3</v>
      </c>
    </row>
    <row r="124" spans="1:5" x14ac:dyDescent="0.3">
      <c r="A124" s="13" t="s">
        <v>0</v>
      </c>
      <c r="B124" s="13" t="s">
        <v>474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350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0</v>
      </c>
      <c r="B126" s="13" t="s">
        <v>41</v>
      </c>
      <c r="C126" s="13">
        <v>2</v>
      </c>
      <c r="D126" s="13">
        <v>2</v>
      </c>
      <c r="E126" s="13">
        <v>4</v>
      </c>
    </row>
    <row r="127" spans="1:5" x14ac:dyDescent="0.3">
      <c r="A127" s="13" t="s">
        <v>0</v>
      </c>
      <c r="B127" s="13" t="s">
        <v>35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341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0</v>
      </c>
      <c r="B129" s="13" t="s">
        <v>1255</v>
      </c>
      <c r="C129" s="13">
        <v>2</v>
      </c>
      <c r="D129" s="13">
        <v>2</v>
      </c>
      <c r="E129" s="13">
        <v>4</v>
      </c>
    </row>
    <row r="130" spans="1:5" x14ac:dyDescent="0.3">
      <c r="A130" s="13" t="s">
        <v>0</v>
      </c>
      <c r="B130" s="13" t="s">
        <v>311</v>
      </c>
      <c r="C130" s="13">
        <v>2</v>
      </c>
      <c r="D130" s="13">
        <v>2</v>
      </c>
      <c r="E130" s="13">
        <v>3</v>
      </c>
    </row>
    <row r="131" spans="1:5" x14ac:dyDescent="0.3">
      <c r="A131" s="13" t="s">
        <v>0</v>
      </c>
      <c r="B131" s="13" t="s">
        <v>105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163</v>
      </c>
      <c r="C132" s="13">
        <v>2</v>
      </c>
      <c r="D132" s="13">
        <v>2</v>
      </c>
      <c r="E132" s="13">
        <v>2</v>
      </c>
    </row>
    <row r="133" spans="1:5" x14ac:dyDescent="0.3">
      <c r="A133" s="13" t="s">
        <v>0</v>
      </c>
      <c r="B133" s="13" t="s">
        <v>109</v>
      </c>
      <c r="C133" s="13">
        <v>2</v>
      </c>
      <c r="D133" s="13">
        <v>2</v>
      </c>
      <c r="E133" s="13">
        <v>3</v>
      </c>
    </row>
    <row r="134" spans="1:5" x14ac:dyDescent="0.3">
      <c r="A134" s="13" t="s">
        <v>0</v>
      </c>
      <c r="B134" s="13" t="s">
        <v>44</v>
      </c>
      <c r="C134" s="13">
        <v>2</v>
      </c>
      <c r="D134" s="13">
        <v>2</v>
      </c>
      <c r="E134" s="13">
        <v>2</v>
      </c>
    </row>
    <row r="135" spans="1:5" x14ac:dyDescent="0.3">
      <c r="A135" s="13" t="s">
        <v>0</v>
      </c>
      <c r="B135" s="13" t="s">
        <v>45</v>
      </c>
      <c r="C135" s="13">
        <v>2</v>
      </c>
      <c r="D135" s="13">
        <v>2</v>
      </c>
      <c r="E135" s="13">
        <v>2</v>
      </c>
    </row>
    <row r="136" spans="1:5" x14ac:dyDescent="0.3">
      <c r="A136" s="13" t="s">
        <v>0</v>
      </c>
      <c r="B136" s="13" t="s">
        <v>327</v>
      </c>
      <c r="C136" s="13">
        <v>2</v>
      </c>
      <c r="D136" s="13">
        <v>2</v>
      </c>
      <c r="E136" s="13">
        <v>2</v>
      </c>
    </row>
    <row r="137" spans="1:5" x14ac:dyDescent="0.3">
      <c r="A137" s="13" t="s">
        <v>0</v>
      </c>
      <c r="B137" s="13" t="s">
        <v>115</v>
      </c>
      <c r="C137" s="13">
        <v>2</v>
      </c>
      <c r="D137" s="13">
        <v>2</v>
      </c>
      <c r="E137" s="13">
        <v>2</v>
      </c>
    </row>
    <row r="138" spans="1:5" x14ac:dyDescent="0.3">
      <c r="A138" s="13" t="s">
        <v>0</v>
      </c>
      <c r="B138" s="13" t="s">
        <v>120</v>
      </c>
      <c r="C138" s="13">
        <v>2</v>
      </c>
      <c r="D138" s="13">
        <v>2</v>
      </c>
      <c r="E138" s="13">
        <v>2</v>
      </c>
    </row>
    <row r="139" spans="1:5" x14ac:dyDescent="0.3">
      <c r="A139" s="13" t="s">
        <v>0</v>
      </c>
      <c r="B139" s="13" t="s">
        <v>63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0</v>
      </c>
      <c r="B140" s="13" t="s">
        <v>709</v>
      </c>
      <c r="C140" s="13">
        <v>2</v>
      </c>
      <c r="D140" s="13">
        <v>2</v>
      </c>
      <c r="E140" s="13">
        <v>2</v>
      </c>
    </row>
    <row r="141" spans="1:5" x14ac:dyDescent="0.3">
      <c r="A141" s="13" t="s">
        <v>0</v>
      </c>
      <c r="B141" s="13" t="s">
        <v>722</v>
      </c>
      <c r="C141" s="13">
        <v>2</v>
      </c>
      <c r="D141" s="13">
        <v>2</v>
      </c>
      <c r="E141" s="13">
        <v>2</v>
      </c>
    </row>
    <row r="142" spans="1:5" x14ac:dyDescent="0.3">
      <c r="A142" s="13" t="s">
        <v>2</v>
      </c>
      <c r="B142" s="13" t="s">
        <v>373</v>
      </c>
      <c r="C142" s="13">
        <v>2</v>
      </c>
      <c r="D142" s="13">
        <v>2</v>
      </c>
      <c r="E142" s="13">
        <v>3</v>
      </c>
    </row>
    <row r="143" spans="1:5" x14ac:dyDescent="0.3">
      <c r="A143" s="13" t="s">
        <v>2</v>
      </c>
      <c r="B143" s="13" t="s">
        <v>34</v>
      </c>
      <c r="C143" s="13">
        <v>3</v>
      </c>
      <c r="D143" s="13">
        <v>2</v>
      </c>
      <c r="E143" s="13">
        <v>3</v>
      </c>
    </row>
    <row r="144" spans="1:5" x14ac:dyDescent="0.3">
      <c r="A144" s="13" t="s">
        <v>2</v>
      </c>
      <c r="B144" s="13" t="s">
        <v>111</v>
      </c>
      <c r="C144" s="13">
        <v>2</v>
      </c>
      <c r="D144" s="13">
        <v>2</v>
      </c>
      <c r="E144" s="13">
        <v>3</v>
      </c>
    </row>
    <row r="145" spans="1:5" x14ac:dyDescent="0.3">
      <c r="A145" s="13" t="s">
        <v>2</v>
      </c>
      <c r="B145" s="13" t="s">
        <v>113</v>
      </c>
      <c r="C145" s="13">
        <v>2</v>
      </c>
      <c r="D145" s="13">
        <v>2</v>
      </c>
      <c r="E145" s="13">
        <v>2</v>
      </c>
    </row>
    <row r="146" spans="1:5" x14ac:dyDescent="0.3">
      <c r="A146" s="13" t="s">
        <v>1</v>
      </c>
      <c r="B146" s="13" t="s">
        <v>1063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199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300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379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380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490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373</v>
      </c>
      <c r="C152" s="13">
        <v>1</v>
      </c>
      <c r="D152" s="13">
        <v>1</v>
      </c>
      <c r="E152" s="13">
        <v>4</v>
      </c>
    </row>
    <row r="153" spans="1:5" x14ac:dyDescent="0.3">
      <c r="A153" s="13" t="s">
        <v>1</v>
      </c>
      <c r="B153" s="13" t="s">
        <v>372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375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670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381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446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671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593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594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1158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141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556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1159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142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499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59</v>
      </c>
      <c r="C167" s="13">
        <v>4</v>
      </c>
      <c r="D167" s="13">
        <v>1</v>
      </c>
      <c r="E167" s="13">
        <v>4</v>
      </c>
    </row>
    <row r="168" spans="1:5" x14ac:dyDescent="0.3">
      <c r="A168" s="13" t="s">
        <v>1</v>
      </c>
      <c r="B168" s="13" t="s">
        <v>2002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880</v>
      </c>
      <c r="C169" s="13">
        <v>2</v>
      </c>
      <c r="D169" s="13">
        <v>1</v>
      </c>
      <c r="E169" s="13">
        <v>4</v>
      </c>
    </row>
    <row r="170" spans="1:5" x14ac:dyDescent="0.3">
      <c r="A170" s="13" t="s">
        <v>1</v>
      </c>
      <c r="B170" s="13" t="s">
        <v>813</v>
      </c>
      <c r="C170" s="13">
        <v>3</v>
      </c>
      <c r="D170" s="13">
        <v>1</v>
      </c>
      <c r="E170" s="13">
        <v>2</v>
      </c>
    </row>
    <row r="171" spans="1:5" x14ac:dyDescent="0.3">
      <c r="A171" s="13" t="s">
        <v>1</v>
      </c>
      <c r="B171" s="13" t="s">
        <v>260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210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304</v>
      </c>
      <c r="C173" s="13">
        <v>2</v>
      </c>
      <c r="D173" s="13">
        <v>1</v>
      </c>
      <c r="E173" s="13">
        <v>3</v>
      </c>
    </row>
    <row r="174" spans="1:5" x14ac:dyDescent="0.3">
      <c r="A174" s="13" t="s">
        <v>1</v>
      </c>
      <c r="B174" s="13" t="s">
        <v>144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500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257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1031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990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991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606</v>
      </c>
      <c r="C180" s="13">
        <v>2</v>
      </c>
      <c r="D180" s="13">
        <v>1</v>
      </c>
      <c r="E180" s="13">
        <v>2</v>
      </c>
    </row>
    <row r="181" spans="1:5" x14ac:dyDescent="0.3">
      <c r="A181" s="13" t="s">
        <v>1</v>
      </c>
      <c r="B181" s="13" t="s">
        <v>149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217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91</v>
      </c>
      <c r="C183" s="13">
        <v>2</v>
      </c>
      <c r="D183" s="13">
        <v>1</v>
      </c>
      <c r="E183" s="13">
        <v>2</v>
      </c>
    </row>
    <row r="184" spans="1:5" x14ac:dyDescent="0.3">
      <c r="A184" s="13" t="s">
        <v>1</v>
      </c>
      <c r="B184" s="13" t="s">
        <v>150</v>
      </c>
      <c r="C184" s="13">
        <v>7</v>
      </c>
      <c r="D184" s="13">
        <v>1</v>
      </c>
      <c r="E184" s="13">
        <v>7</v>
      </c>
    </row>
    <row r="185" spans="1:5" x14ac:dyDescent="0.3">
      <c r="A185" s="13" t="s">
        <v>1</v>
      </c>
      <c r="B185" s="13" t="s">
        <v>611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353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219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152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425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60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153</v>
      </c>
      <c r="C191" s="13">
        <v>3</v>
      </c>
      <c r="D191" s="13">
        <v>1</v>
      </c>
      <c r="E191" s="13">
        <v>4</v>
      </c>
    </row>
    <row r="192" spans="1:5" x14ac:dyDescent="0.3">
      <c r="A192" s="13" t="s">
        <v>1</v>
      </c>
      <c r="B192" s="13" t="s">
        <v>93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1067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1483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1518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1568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1570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1645</v>
      </c>
      <c r="C198" s="13">
        <v>2</v>
      </c>
      <c r="D198" s="13">
        <v>1</v>
      </c>
      <c r="E198" s="13">
        <v>3</v>
      </c>
    </row>
    <row r="199" spans="1:5" x14ac:dyDescent="0.3">
      <c r="A199" s="13" t="s">
        <v>1</v>
      </c>
      <c r="B199" s="13" t="s">
        <v>1696</v>
      </c>
      <c r="C199" s="13">
        <v>2</v>
      </c>
      <c r="D199" s="13">
        <v>1</v>
      </c>
      <c r="E199" s="13">
        <v>2</v>
      </c>
    </row>
    <row r="200" spans="1:5" x14ac:dyDescent="0.3">
      <c r="A200" s="13" t="s">
        <v>1</v>
      </c>
      <c r="B200" s="13" t="s">
        <v>1918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1885</v>
      </c>
      <c r="C201" s="13">
        <v>3</v>
      </c>
      <c r="D201" s="13">
        <v>1</v>
      </c>
      <c r="E201" s="13">
        <v>3</v>
      </c>
    </row>
    <row r="202" spans="1:5" x14ac:dyDescent="0.3">
      <c r="A202" s="13" t="s">
        <v>1</v>
      </c>
      <c r="B202" s="13" t="s">
        <v>1884</v>
      </c>
      <c r="C202" s="13">
        <v>2</v>
      </c>
      <c r="D202" s="13">
        <v>1</v>
      </c>
      <c r="E202" s="13">
        <v>2</v>
      </c>
    </row>
    <row r="203" spans="1:5" x14ac:dyDescent="0.3">
      <c r="A203" s="13" t="s">
        <v>1</v>
      </c>
      <c r="B203" s="13" t="s">
        <v>1900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1910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1882</v>
      </c>
      <c r="C205" s="13">
        <v>1</v>
      </c>
      <c r="D205" s="13">
        <v>1</v>
      </c>
      <c r="E205" s="13">
        <v>3</v>
      </c>
    </row>
    <row r="206" spans="1:5" x14ac:dyDescent="0.3">
      <c r="A206" s="13" t="s">
        <v>1</v>
      </c>
      <c r="B206" s="13" t="s">
        <v>2425</v>
      </c>
      <c r="C206" s="13">
        <v>3</v>
      </c>
      <c r="D206" s="13">
        <v>1</v>
      </c>
      <c r="E206" s="13">
        <v>3</v>
      </c>
    </row>
    <row r="207" spans="1:5" x14ac:dyDescent="0.3">
      <c r="A207" s="13" t="s">
        <v>1</v>
      </c>
      <c r="B207" s="13" t="s">
        <v>2701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505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388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2737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507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1179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889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2738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795</v>
      </c>
      <c r="C215" s="13">
        <v>2</v>
      </c>
      <c r="D215" s="13">
        <v>1</v>
      </c>
      <c r="E215" s="13">
        <v>2</v>
      </c>
    </row>
    <row r="216" spans="1:5" x14ac:dyDescent="0.3">
      <c r="A216" s="13" t="s">
        <v>1</v>
      </c>
      <c r="B216" s="13" t="s">
        <v>562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2582</v>
      </c>
      <c r="C217" s="13">
        <v>1</v>
      </c>
      <c r="D217" s="13">
        <v>1</v>
      </c>
      <c r="E217" s="13">
        <v>2</v>
      </c>
    </row>
    <row r="218" spans="1:5" x14ac:dyDescent="0.3">
      <c r="A218" s="13" t="s">
        <v>1</v>
      </c>
      <c r="B218" s="13" t="s">
        <v>2484</v>
      </c>
      <c r="C218" s="13">
        <v>1</v>
      </c>
      <c r="D218" s="13">
        <v>1</v>
      </c>
      <c r="E218" s="13">
        <v>2</v>
      </c>
    </row>
    <row r="219" spans="1:5" x14ac:dyDescent="0.3">
      <c r="A219" s="13" t="s">
        <v>1</v>
      </c>
      <c r="B219" s="13" t="s">
        <v>1212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1232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937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101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341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681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1070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859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103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1201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2739</v>
      </c>
      <c r="C229" s="13">
        <v>1</v>
      </c>
      <c r="D229" s="13">
        <v>1</v>
      </c>
      <c r="E229" s="13">
        <v>3</v>
      </c>
    </row>
    <row r="230" spans="1:5" x14ac:dyDescent="0.3">
      <c r="A230" s="13" t="s">
        <v>1</v>
      </c>
      <c r="B230" s="13" t="s">
        <v>2180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2552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163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1256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1055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939</v>
      </c>
      <c r="C235" s="13">
        <v>1</v>
      </c>
      <c r="D235" s="13">
        <v>1</v>
      </c>
      <c r="E235" s="13">
        <v>2</v>
      </c>
    </row>
    <row r="236" spans="1:5" x14ac:dyDescent="0.3">
      <c r="A236" s="13" t="s">
        <v>1</v>
      </c>
      <c r="B236" s="13" t="s">
        <v>276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2740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1510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861</v>
      </c>
      <c r="C239" s="13">
        <v>2</v>
      </c>
      <c r="D239" s="13">
        <v>1</v>
      </c>
      <c r="E239" s="13">
        <v>2</v>
      </c>
    </row>
    <row r="240" spans="1:5" x14ac:dyDescent="0.3">
      <c r="A240" s="13" t="s">
        <v>1</v>
      </c>
      <c r="B240" s="13" t="s">
        <v>1353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1392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165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1271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1803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2390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222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1486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278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619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167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1328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2523</v>
      </c>
      <c r="C252" s="13">
        <v>1</v>
      </c>
      <c r="D252" s="13">
        <v>1</v>
      </c>
      <c r="E252" s="13">
        <v>2</v>
      </c>
    </row>
    <row r="253" spans="1:5" x14ac:dyDescent="0.3">
      <c r="A253" s="13" t="s">
        <v>1</v>
      </c>
      <c r="B253" s="13" t="s">
        <v>168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169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472</v>
      </c>
      <c r="C255" s="13">
        <v>1</v>
      </c>
      <c r="D255" s="13">
        <v>1</v>
      </c>
      <c r="E255" s="13">
        <v>2</v>
      </c>
    </row>
    <row r="256" spans="1:5" x14ac:dyDescent="0.3">
      <c r="A256" s="13" t="s">
        <v>1</v>
      </c>
      <c r="B256" s="13" t="s">
        <v>2694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513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1808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170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943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827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568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315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735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2741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317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516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736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2704</v>
      </c>
      <c r="C269" s="13">
        <v>4</v>
      </c>
      <c r="D269" s="13">
        <v>1</v>
      </c>
      <c r="E269" s="13">
        <v>4</v>
      </c>
    </row>
    <row r="270" spans="1:5" x14ac:dyDescent="0.3">
      <c r="A270" s="13" t="s">
        <v>1</v>
      </c>
      <c r="B270" s="13" t="s">
        <v>569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282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320</v>
      </c>
      <c r="C272" s="13">
        <v>4</v>
      </c>
      <c r="D272" s="13">
        <v>1</v>
      </c>
      <c r="E272" s="13">
        <v>3</v>
      </c>
    </row>
    <row r="273" spans="1:5" x14ac:dyDescent="0.3">
      <c r="A273" s="13" t="s">
        <v>1</v>
      </c>
      <c r="B273" s="13" t="s">
        <v>283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374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1514</v>
      </c>
      <c r="C275" s="13">
        <v>1</v>
      </c>
      <c r="D275" s="13">
        <v>1</v>
      </c>
      <c r="E275" s="13">
        <v>2</v>
      </c>
    </row>
    <row r="276" spans="1:5" x14ac:dyDescent="0.3">
      <c r="A276" s="13" t="s">
        <v>1</v>
      </c>
      <c r="B276" s="13" t="s">
        <v>571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895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523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1188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917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2742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767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326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625</v>
      </c>
      <c r="C284" s="13">
        <v>2</v>
      </c>
      <c r="D284" s="13">
        <v>1</v>
      </c>
      <c r="E284" s="13">
        <v>3</v>
      </c>
    </row>
    <row r="285" spans="1:5" x14ac:dyDescent="0.3">
      <c r="A285" s="13" t="s">
        <v>1</v>
      </c>
      <c r="B285" s="13" t="s">
        <v>402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652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114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115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2005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1039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742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700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118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334</v>
      </c>
      <c r="C294" s="13">
        <v>2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2127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62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121</v>
      </c>
      <c r="C297" s="13">
        <v>2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1304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122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902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703</v>
      </c>
      <c r="C301" s="13">
        <v>2</v>
      </c>
      <c r="D301" s="13">
        <v>1</v>
      </c>
      <c r="E301" s="13">
        <v>2</v>
      </c>
    </row>
    <row r="302" spans="1:5" x14ac:dyDescent="0.3">
      <c r="A302" s="13" t="s">
        <v>1</v>
      </c>
      <c r="B302" s="13" t="s">
        <v>1607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1092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841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2743</v>
      </c>
      <c r="C305" s="13">
        <v>1</v>
      </c>
      <c r="D305" s="13">
        <v>1</v>
      </c>
      <c r="E305" s="13">
        <v>2</v>
      </c>
    </row>
    <row r="306" spans="1:5" x14ac:dyDescent="0.3">
      <c r="A306" s="13" t="s">
        <v>1</v>
      </c>
      <c r="B306" s="13" t="s">
        <v>364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2249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1142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1819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1706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1402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182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416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339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745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1046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130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958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782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253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38</v>
      </c>
      <c r="C321" s="13">
        <v>3</v>
      </c>
      <c r="D321" s="13">
        <v>1</v>
      </c>
      <c r="E321" s="13">
        <v>3</v>
      </c>
    </row>
    <row r="322" spans="1:5" x14ac:dyDescent="0.3">
      <c r="A322" s="13" t="s">
        <v>1</v>
      </c>
      <c r="B322" s="13" t="s">
        <v>64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540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188</v>
      </c>
      <c r="C324" s="13">
        <v>2</v>
      </c>
      <c r="D324" s="13">
        <v>1</v>
      </c>
      <c r="E324" s="13">
        <v>2</v>
      </c>
    </row>
    <row r="325" spans="1:5" x14ac:dyDescent="0.3">
      <c r="A325" s="13" t="s">
        <v>1</v>
      </c>
      <c r="B325" s="13" t="s">
        <v>716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542</v>
      </c>
      <c r="C326" s="13">
        <v>2</v>
      </c>
      <c r="D326" s="13">
        <v>1</v>
      </c>
      <c r="E326" s="13">
        <v>3</v>
      </c>
    </row>
    <row r="327" spans="1:5" x14ac:dyDescent="0.3">
      <c r="A327" s="13" t="s">
        <v>1</v>
      </c>
      <c r="B327" s="13" t="s">
        <v>909</v>
      </c>
      <c r="C327" s="13">
        <v>1</v>
      </c>
      <c r="D327" s="13">
        <v>1</v>
      </c>
      <c r="E327" s="13">
        <v>2</v>
      </c>
    </row>
    <row r="328" spans="1:5" x14ac:dyDescent="0.3">
      <c r="A328" s="13" t="s">
        <v>1</v>
      </c>
      <c r="B328" s="13" t="s">
        <v>190</v>
      </c>
      <c r="C328" s="13">
        <v>3</v>
      </c>
      <c r="D328" s="13">
        <v>1</v>
      </c>
      <c r="E328" s="13">
        <v>4</v>
      </c>
    </row>
    <row r="329" spans="1:5" x14ac:dyDescent="0.3">
      <c r="A329" s="13" t="s">
        <v>1</v>
      </c>
      <c r="B329" s="13" t="s">
        <v>1220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1</v>
      </c>
      <c r="B330" s="13" t="s">
        <v>922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191</v>
      </c>
      <c r="C331" s="13">
        <v>6</v>
      </c>
      <c r="D331" s="13">
        <v>1</v>
      </c>
      <c r="E331" s="13">
        <v>9</v>
      </c>
    </row>
    <row r="332" spans="1:5" x14ac:dyDescent="0.3">
      <c r="A332" s="13" t="s">
        <v>1</v>
      </c>
      <c r="B332" s="13" t="s">
        <v>66</v>
      </c>
      <c r="C332" s="13">
        <v>3</v>
      </c>
      <c r="D332" s="13">
        <v>1</v>
      </c>
      <c r="E332" s="13">
        <v>4</v>
      </c>
    </row>
    <row r="333" spans="1:5" x14ac:dyDescent="0.3">
      <c r="A333" s="13" t="s">
        <v>1</v>
      </c>
      <c r="B333" s="13" t="s">
        <v>365</v>
      </c>
      <c r="C333" s="13">
        <v>3</v>
      </c>
      <c r="D333" s="13">
        <v>1</v>
      </c>
      <c r="E333" s="13">
        <v>4</v>
      </c>
    </row>
    <row r="334" spans="1:5" x14ac:dyDescent="0.3">
      <c r="A334" s="13" t="s">
        <v>1</v>
      </c>
      <c r="B334" s="13" t="s">
        <v>67</v>
      </c>
      <c r="C334" s="13">
        <v>2</v>
      </c>
      <c r="D334" s="13">
        <v>1</v>
      </c>
      <c r="E334" s="13">
        <v>2</v>
      </c>
    </row>
    <row r="335" spans="1:5" x14ac:dyDescent="0.3">
      <c r="A335" s="13" t="s">
        <v>1</v>
      </c>
      <c r="B335" s="13" t="s">
        <v>39</v>
      </c>
      <c r="C335" s="13">
        <v>10</v>
      </c>
      <c r="D335" s="13">
        <v>1</v>
      </c>
      <c r="E335" s="13">
        <v>13</v>
      </c>
    </row>
    <row r="336" spans="1:5" x14ac:dyDescent="0.3">
      <c r="A336" s="13" t="s">
        <v>1</v>
      </c>
      <c r="B336" s="13" t="s">
        <v>54</v>
      </c>
      <c r="C336" s="13">
        <v>4</v>
      </c>
      <c r="D336" s="13">
        <v>1</v>
      </c>
      <c r="E336" s="13">
        <v>4</v>
      </c>
    </row>
    <row r="337" spans="1:5" x14ac:dyDescent="0.3">
      <c r="A337" s="13" t="s">
        <v>1</v>
      </c>
      <c r="B337" s="13" t="s">
        <v>56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1</v>
      </c>
      <c r="B338" s="13" t="s">
        <v>2744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1</v>
      </c>
      <c r="B339" s="13" t="s">
        <v>546</v>
      </c>
      <c r="C339" s="13">
        <v>1</v>
      </c>
      <c r="D339" s="13">
        <v>1</v>
      </c>
      <c r="E339" s="13"/>
    </row>
    <row r="340" spans="1:5" x14ac:dyDescent="0.3">
      <c r="A340" s="13" t="s">
        <v>1</v>
      </c>
      <c r="B340" s="13" t="s">
        <v>547</v>
      </c>
      <c r="C340" s="13">
        <v>1</v>
      </c>
      <c r="D340" s="13">
        <v>1</v>
      </c>
      <c r="E340" s="13"/>
    </row>
    <row r="341" spans="1:5" x14ac:dyDescent="0.3">
      <c r="A341" s="13" t="s">
        <v>1</v>
      </c>
      <c r="B341" s="13" t="s">
        <v>1563</v>
      </c>
      <c r="C341" s="13">
        <v>1</v>
      </c>
      <c r="D341" s="13">
        <v>2</v>
      </c>
      <c r="E341" s="13"/>
    </row>
    <row r="342" spans="1:5" x14ac:dyDescent="0.3">
      <c r="A342" s="13" t="s">
        <v>1</v>
      </c>
      <c r="B342" s="13" t="s">
        <v>259</v>
      </c>
      <c r="C342" s="13">
        <v>1</v>
      </c>
      <c r="D342" s="13">
        <v>1</v>
      </c>
      <c r="E342" s="13">
        <v>3</v>
      </c>
    </row>
    <row r="343" spans="1:5" x14ac:dyDescent="0.3">
      <c r="A343" s="13" t="s">
        <v>1</v>
      </c>
      <c r="B343" s="13" t="s">
        <v>2036</v>
      </c>
      <c r="C343" s="13">
        <v>1</v>
      </c>
      <c r="D343" s="13">
        <v>1</v>
      </c>
      <c r="E343" s="13"/>
    </row>
    <row r="344" spans="1:5" x14ac:dyDescent="0.3">
      <c r="A344" s="13" t="s">
        <v>1</v>
      </c>
      <c r="B344" s="13" t="s">
        <v>1393</v>
      </c>
      <c r="C344" s="13">
        <v>1</v>
      </c>
      <c r="D344" s="13">
        <v>1</v>
      </c>
      <c r="E344" s="13">
        <v>2</v>
      </c>
    </row>
    <row r="345" spans="1:5" x14ac:dyDescent="0.3">
      <c r="A345" s="13" t="s">
        <v>1</v>
      </c>
      <c r="B345" s="13" t="s">
        <v>2745</v>
      </c>
      <c r="C345" s="13">
        <v>1</v>
      </c>
      <c r="D345" s="13">
        <v>1</v>
      </c>
      <c r="E345" s="13"/>
    </row>
    <row r="346" spans="1:5" x14ac:dyDescent="0.3">
      <c r="A346" s="13" t="s">
        <v>1</v>
      </c>
      <c r="B346" s="13" t="s">
        <v>719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1</v>
      </c>
      <c r="B347" s="13" t="s">
        <v>641</v>
      </c>
      <c r="C347" s="13">
        <v>1</v>
      </c>
      <c r="D347" s="13">
        <v>1</v>
      </c>
      <c r="E347" s="13"/>
    </row>
    <row r="348" spans="1:5" x14ac:dyDescent="0.3">
      <c r="A348" s="13" t="s">
        <v>1</v>
      </c>
      <c r="B348" s="13" t="s">
        <v>2746</v>
      </c>
      <c r="C348" s="13">
        <v>1</v>
      </c>
      <c r="D348" s="13">
        <v>1</v>
      </c>
      <c r="E348" s="13"/>
    </row>
    <row r="349" spans="1:5" x14ac:dyDescent="0.3">
      <c r="A349" s="13" t="s">
        <v>1</v>
      </c>
      <c r="B349" s="13" t="s">
        <v>1017</v>
      </c>
      <c r="C349" s="13">
        <v>1</v>
      </c>
      <c r="D349" s="13">
        <v>1</v>
      </c>
      <c r="E349" s="13">
        <v>2</v>
      </c>
    </row>
    <row r="350" spans="1:5" x14ac:dyDescent="0.3">
      <c r="A350" s="13" t="s">
        <v>1</v>
      </c>
      <c r="B350" s="13" t="s">
        <v>2092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1</v>
      </c>
      <c r="B351" s="13" t="s">
        <v>1199</v>
      </c>
      <c r="C351" s="13">
        <v>1</v>
      </c>
      <c r="D351" s="13">
        <v>1</v>
      </c>
      <c r="E351" s="13">
        <v>2</v>
      </c>
    </row>
    <row r="352" spans="1:5" x14ac:dyDescent="0.3">
      <c r="A352" s="13" t="s">
        <v>0</v>
      </c>
      <c r="B352" s="13" t="s">
        <v>1286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0</v>
      </c>
      <c r="B353" s="13" t="s">
        <v>36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378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0</v>
      </c>
      <c r="B355" s="13" t="s">
        <v>582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446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671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1159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498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2159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77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80</v>
      </c>
      <c r="C362" s="13">
        <v>1</v>
      </c>
      <c r="D362" s="13">
        <v>1</v>
      </c>
      <c r="E362" s="13">
        <v>2</v>
      </c>
    </row>
    <row r="363" spans="1:5" x14ac:dyDescent="0.3">
      <c r="A363" s="13" t="s">
        <v>0</v>
      </c>
      <c r="B363" s="13" t="s">
        <v>40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210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81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304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211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1124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882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148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606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2027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872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244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608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150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93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856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1067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1370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1483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1852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1900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2701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2624</v>
      </c>
      <c r="C385" s="13">
        <v>2</v>
      </c>
      <c r="D385" s="13">
        <v>1</v>
      </c>
      <c r="E385" s="13">
        <v>3</v>
      </c>
    </row>
    <row r="386" spans="1:5" x14ac:dyDescent="0.3">
      <c r="A386" s="13" t="s">
        <v>0</v>
      </c>
      <c r="B386" s="13" t="s">
        <v>2734</v>
      </c>
      <c r="C386" s="13">
        <v>3</v>
      </c>
      <c r="D386" s="13">
        <v>1</v>
      </c>
      <c r="E386" s="13">
        <v>5</v>
      </c>
    </row>
    <row r="387" spans="1:5" x14ac:dyDescent="0.3">
      <c r="A387" s="13" t="s">
        <v>0</v>
      </c>
      <c r="B387" s="13" t="s">
        <v>678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506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1032</v>
      </c>
      <c r="C389" s="13">
        <v>1</v>
      </c>
      <c r="D389" s="13">
        <v>1</v>
      </c>
      <c r="E389" s="13">
        <v>2</v>
      </c>
    </row>
    <row r="390" spans="1:5" x14ac:dyDescent="0.3">
      <c r="A390" s="13" t="s">
        <v>0</v>
      </c>
      <c r="B390" s="13" t="s">
        <v>476</v>
      </c>
      <c r="C390" s="13">
        <v>2</v>
      </c>
      <c r="D390" s="13">
        <v>1</v>
      </c>
      <c r="E390" s="13">
        <v>3</v>
      </c>
    </row>
    <row r="391" spans="1:5" x14ac:dyDescent="0.3">
      <c r="A391" s="13" t="s">
        <v>0</v>
      </c>
      <c r="B391" s="13" t="s">
        <v>98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1034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562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159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357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28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101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2221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310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1084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164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1114</v>
      </c>
      <c r="C402" s="13">
        <v>1</v>
      </c>
      <c r="D402" s="13">
        <v>1</v>
      </c>
      <c r="E402" s="13">
        <v>3</v>
      </c>
    </row>
    <row r="403" spans="1:5" x14ac:dyDescent="0.3">
      <c r="A403" s="13" t="s">
        <v>0</v>
      </c>
      <c r="B403" s="13" t="s">
        <v>429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1312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195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165</v>
      </c>
      <c r="C406" s="13">
        <v>2</v>
      </c>
      <c r="D406" s="13">
        <v>1</v>
      </c>
      <c r="E406" s="13">
        <v>2</v>
      </c>
    </row>
    <row r="407" spans="1:5" x14ac:dyDescent="0.3">
      <c r="A407" s="13" t="s">
        <v>0</v>
      </c>
      <c r="B407" s="13" t="s">
        <v>111</v>
      </c>
      <c r="C407" s="13">
        <v>2</v>
      </c>
      <c r="D407" s="13">
        <v>1</v>
      </c>
      <c r="E407" s="13">
        <v>4</v>
      </c>
    </row>
    <row r="408" spans="1:5" x14ac:dyDescent="0.3">
      <c r="A408" s="13" t="s">
        <v>0</v>
      </c>
      <c r="B408" s="13" t="s">
        <v>279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2608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281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943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828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223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2211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113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569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282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320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374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571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1238</v>
      </c>
      <c r="C421" s="13">
        <v>1</v>
      </c>
      <c r="D421" s="13">
        <v>1</v>
      </c>
      <c r="E421" s="13">
        <v>2</v>
      </c>
    </row>
    <row r="422" spans="1:5" x14ac:dyDescent="0.3">
      <c r="A422" s="13" t="s">
        <v>0</v>
      </c>
      <c r="B422" s="13" t="s">
        <v>523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2004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360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1691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767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2415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329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1389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289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1285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333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62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122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175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1642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290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1558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633</v>
      </c>
      <c r="C439" s="13">
        <v>1</v>
      </c>
      <c r="D439" s="13">
        <v>1</v>
      </c>
      <c r="E439" s="13">
        <v>3</v>
      </c>
    </row>
    <row r="440" spans="1:5" x14ac:dyDescent="0.3">
      <c r="A440" s="13" t="s">
        <v>0</v>
      </c>
      <c r="B440" s="13" t="s">
        <v>2747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975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338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1143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635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480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1331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253</v>
      </c>
      <c r="C447" s="13">
        <v>1</v>
      </c>
      <c r="D447" s="13">
        <v>1</v>
      </c>
      <c r="E447" s="13">
        <v>2</v>
      </c>
    </row>
    <row r="448" spans="1:5" x14ac:dyDescent="0.3">
      <c r="A448" s="13" t="s">
        <v>0</v>
      </c>
      <c r="B448" s="13" t="s">
        <v>340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132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797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190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66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67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193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2748</v>
      </c>
      <c r="C455" s="13">
        <v>1</v>
      </c>
      <c r="D455" s="13">
        <v>1</v>
      </c>
      <c r="E455" s="13">
        <v>2</v>
      </c>
    </row>
    <row r="456" spans="1:5" x14ac:dyDescent="0.3">
      <c r="A456" s="13" t="s">
        <v>0</v>
      </c>
      <c r="B456" s="13" t="s">
        <v>1512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2255</v>
      </c>
      <c r="C457" s="13">
        <v>1</v>
      </c>
      <c r="D457" s="13">
        <v>1</v>
      </c>
      <c r="E457" s="13"/>
    </row>
    <row r="458" spans="1:5" x14ac:dyDescent="0.3">
      <c r="A458" s="13" t="s">
        <v>0</v>
      </c>
      <c r="B458" s="13" t="s">
        <v>2749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980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549</v>
      </c>
      <c r="C460" s="13">
        <v>1</v>
      </c>
      <c r="D460" s="13">
        <v>1</v>
      </c>
      <c r="E460" s="13">
        <v>2</v>
      </c>
    </row>
    <row r="461" spans="1:5" x14ac:dyDescent="0.3">
      <c r="A461" s="13" t="s">
        <v>0</v>
      </c>
      <c r="B461" s="13" t="s">
        <v>912</v>
      </c>
      <c r="C461" s="13">
        <v>1</v>
      </c>
      <c r="D461" s="13">
        <v>1</v>
      </c>
      <c r="E461" s="13"/>
    </row>
    <row r="462" spans="1:5" x14ac:dyDescent="0.3">
      <c r="A462" s="13" t="s">
        <v>0</v>
      </c>
      <c r="B462" s="13" t="s">
        <v>2750</v>
      </c>
      <c r="C462" s="13">
        <v>1</v>
      </c>
      <c r="D462" s="13">
        <v>1</v>
      </c>
      <c r="E462" s="13"/>
    </row>
    <row r="463" spans="1:5" x14ac:dyDescent="0.3">
      <c r="A463" s="13" t="s">
        <v>0</v>
      </c>
      <c r="B463" s="13" t="s">
        <v>2354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32</v>
      </c>
      <c r="C464" s="13">
        <v>3</v>
      </c>
      <c r="D464" s="13">
        <v>1</v>
      </c>
      <c r="E464" s="13">
        <v>6</v>
      </c>
    </row>
    <row r="465" spans="1:5" x14ac:dyDescent="0.3">
      <c r="A465" s="13" t="s">
        <v>2</v>
      </c>
      <c r="B465" s="13" t="s">
        <v>30</v>
      </c>
      <c r="C465" s="13">
        <v>3</v>
      </c>
      <c r="D465" s="13">
        <v>1</v>
      </c>
      <c r="E465" s="13">
        <v>5</v>
      </c>
    </row>
    <row r="466" spans="1:5" x14ac:dyDescent="0.3">
      <c r="A466" s="13" t="s">
        <v>2</v>
      </c>
      <c r="B466" s="13" t="s">
        <v>206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2</v>
      </c>
      <c r="B467" s="13" t="s">
        <v>83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2</v>
      </c>
      <c r="B468" s="13" t="s">
        <v>1268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2</v>
      </c>
      <c r="B469" s="13" t="s">
        <v>354</v>
      </c>
      <c r="C469" s="13">
        <v>1</v>
      </c>
      <c r="D469" s="13">
        <v>1</v>
      </c>
      <c r="E469" s="13">
        <v>2</v>
      </c>
    </row>
    <row r="470" spans="1:5" x14ac:dyDescent="0.3">
      <c r="A470" s="13" t="s">
        <v>2</v>
      </c>
      <c r="B470" s="13" t="s">
        <v>1663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2</v>
      </c>
      <c r="B471" s="13" t="s">
        <v>937</v>
      </c>
      <c r="C471" s="13">
        <v>2</v>
      </c>
      <c r="D471" s="13">
        <v>1</v>
      </c>
      <c r="E471" s="13">
        <v>2</v>
      </c>
    </row>
    <row r="472" spans="1:5" x14ac:dyDescent="0.3">
      <c r="A472" s="13" t="s">
        <v>2</v>
      </c>
      <c r="B472" s="13" t="s">
        <v>341</v>
      </c>
      <c r="C472" s="13">
        <v>1</v>
      </c>
      <c r="D472" s="13">
        <v>1</v>
      </c>
      <c r="E472" s="13">
        <v>1</v>
      </c>
    </row>
    <row r="473" spans="1:5" x14ac:dyDescent="0.3">
      <c r="A473" s="13" t="s">
        <v>2</v>
      </c>
      <c r="B473" s="13" t="s">
        <v>29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2</v>
      </c>
      <c r="B474" s="13" t="s">
        <v>832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2</v>
      </c>
      <c r="B475" s="13" t="s">
        <v>1241</v>
      </c>
      <c r="C475" s="13">
        <v>1</v>
      </c>
      <c r="D475" s="13">
        <v>1</v>
      </c>
      <c r="E475" s="13">
        <v>1</v>
      </c>
    </row>
    <row r="476" spans="1:5" x14ac:dyDescent="0.3">
      <c r="A476" s="13" t="s">
        <v>2</v>
      </c>
      <c r="B476" s="13" t="s">
        <v>1245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2</v>
      </c>
      <c r="B477" s="13" t="s">
        <v>668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2</v>
      </c>
      <c r="B478" s="13" t="s">
        <v>64</v>
      </c>
      <c r="C478" s="13">
        <v>1</v>
      </c>
      <c r="D478" s="13">
        <v>1</v>
      </c>
      <c r="E478" s="13">
        <v>4</v>
      </c>
    </row>
    <row r="479" spans="1:5" x14ac:dyDescent="0.3">
      <c r="A479" s="13" t="s">
        <v>2</v>
      </c>
      <c r="B479" s="13" t="s">
        <v>190</v>
      </c>
      <c r="C479" s="13">
        <v>1</v>
      </c>
      <c r="D479" s="13">
        <v>1</v>
      </c>
      <c r="E479" s="13">
        <v>1</v>
      </c>
    </row>
    <row r="480" spans="1:5" x14ac:dyDescent="0.3">
      <c r="A480" s="13" t="s">
        <v>2</v>
      </c>
      <c r="B480" s="13" t="s">
        <v>67</v>
      </c>
      <c r="C480" s="13">
        <v>1</v>
      </c>
      <c r="D480" s="13">
        <v>1</v>
      </c>
      <c r="E480" s="13">
        <v>1</v>
      </c>
    </row>
    <row r="481" spans="1:5" x14ac:dyDescent="0.3">
      <c r="A481" s="13" t="s">
        <v>1</v>
      </c>
      <c r="B481" s="13" t="s">
        <v>377</v>
      </c>
      <c r="C481" s="13">
        <v>1</v>
      </c>
      <c r="D481" s="13">
        <v>0</v>
      </c>
      <c r="E481" s="13">
        <v>2</v>
      </c>
    </row>
    <row r="482" spans="1:5" x14ac:dyDescent="0.3">
      <c r="A482" s="13" t="s">
        <v>1</v>
      </c>
      <c r="B482" s="13" t="s">
        <v>2698</v>
      </c>
      <c r="C482" s="13">
        <v>1</v>
      </c>
      <c r="D482" s="13">
        <v>0</v>
      </c>
      <c r="E482" s="13">
        <v>1</v>
      </c>
    </row>
    <row r="483" spans="1:5" x14ac:dyDescent="0.3">
      <c r="A483" s="13" t="s">
        <v>1</v>
      </c>
      <c r="B483" s="13" t="s">
        <v>239</v>
      </c>
      <c r="C483" s="13">
        <v>1</v>
      </c>
      <c r="D483" s="13">
        <v>0</v>
      </c>
      <c r="E483" s="13">
        <v>1</v>
      </c>
    </row>
    <row r="484" spans="1:5" x14ac:dyDescent="0.3">
      <c r="A484" s="13" t="s">
        <v>1</v>
      </c>
      <c r="B484" s="13" t="s">
        <v>47</v>
      </c>
      <c r="C484" s="13">
        <v>3</v>
      </c>
      <c r="D484" s="13">
        <v>0</v>
      </c>
      <c r="E484" s="13">
        <v>3</v>
      </c>
    </row>
    <row r="485" spans="1:5" x14ac:dyDescent="0.3">
      <c r="A485" s="13" t="s">
        <v>1</v>
      </c>
      <c r="B485" s="13" t="s">
        <v>1487</v>
      </c>
      <c r="C485" s="13">
        <v>1</v>
      </c>
      <c r="D485" s="13">
        <v>0</v>
      </c>
      <c r="E485" s="13">
        <v>1</v>
      </c>
    </row>
    <row r="486" spans="1:5" x14ac:dyDescent="0.3">
      <c r="A486" s="13" t="s">
        <v>1</v>
      </c>
      <c r="B486" s="13" t="s">
        <v>1029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489</v>
      </c>
      <c r="C487" s="13">
        <v>1</v>
      </c>
      <c r="D487" s="13">
        <v>0</v>
      </c>
      <c r="E487" s="13">
        <v>1</v>
      </c>
    </row>
    <row r="488" spans="1:5" x14ac:dyDescent="0.3">
      <c r="A488" s="13" t="s">
        <v>1</v>
      </c>
      <c r="B488" s="13" t="s">
        <v>669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585</v>
      </c>
      <c r="C489" s="13">
        <v>1</v>
      </c>
      <c r="D489" s="13">
        <v>0</v>
      </c>
      <c r="E489" s="13">
        <v>1</v>
      </c>
    </row>
    <row r="490" spans="1:5" x14ac:dyDescent="0.3">
      <c r="A490" s="13" t="s">
        <v>1</v>
      </c>
      <c r="B490" s="13" t="s">
        <v>470</v>
      </c>
      <c r="C490" s="13">
        <v>1</v>
      </c>
      <c r="D490" s="13">
        <v>0</v>
      </c>
      <c r="E490" s="13">
        <v>1</v>
      </c>
    </row>
    <row r="491" spans="1:5" x14ac:dyDescent="0.3">
      <c r="A491" s="13" t="s">
        <v>1</v>
      </c>
      <c r="B491" s="13" t="s">
        <v>445</v>
      </c>
      <c r="C491" s="13">
        <v>1</v>
      </c>
      <c r="D491" s="13">
        <v>0</v>
      </c>
      <c r="E491" s="13">
        <v>1</v>
      </c>
    </row>
    <row r="492" spans="1:5" x14ac:dyDescent="0.3">
      <c r="A492" s="13" t="s">
        <v>1</v>
      </c>
      <c r="B492" s="13" t="s">
        <v>2751</v>
      </c>
      <c r="C492" s="13">
        <v>1</v>
      </c>
      <c r="D492" s="13">
        <v>0</v>
      </c>
      <c r="E492" s="13">
        <v>1</v>
      </c>
    </row>
    <row r="493" spans="1:5" x14ac:dyDescent="0.3">
      <c r="A493" s="13" t="s">
        <v>1</v>
      </c>
      <c r="B493" s="13" t="s">
        <v>204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596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266</v>
      </c>
      <c r="C495" s="13">
        <v>1</v>
      </c>
      <c r="D495" s="13">
        <v>0</v>
      </c>
      <c r="E495" s="13">
        <v>2</v>
      </c>
    </row>
    <row r="496" spans="1:5" x14ac:dyDescent="0.3">
      <c r="A496" s="13" t="s">
        <v>1</v>
      </c>
      <c r="B496" s="13" t="s">
        <v>346</v>
      </c>
      <c r="C496" s="13">
        <v>1</v>
      </c>
      <c r="D496" s="13">
        <v>0</v>
      </c>
      <c r="E496" s="13">
        <v>1</v>
      </c>
    </row>
    <row r="497" spans="1:5" x14ac:dyDescent="0.3">
      <c r="A497" s="13" t="s">
        <v>1</v>
      </c>
      <c r="B497" s="13" t="s">
        <v>348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2048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757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269</v>
      </c>
      <c r="C500" s="13">
        <v>1</v>
      </c>
      <c r="D500" s="13">
        <v>0</v>
      </c>
      <c r="E500" s="13">
        <v>1</v>
      </c>
    </row>
    <row r="501" spans="1:5" x14ac:dyDescent="0.3">
      <c r="A501" s="13" t="s">
        <v>1</v>
      </c>
      <c r="B501" s="13" t="s">
        <v>855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40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270</v>
      </c>
      <c r="C503" s="13">
        <v>2</v>
      </c>
      <c r="D503" s="13">
        <v>0</v>
      </c>
      <c r="E503" s="13">
        <v>3</v>
      </c>
    </row>
    <row r="504" spans="1:5" x14ac:dyDescent="0.3">
      <c r="A504" s="13" t="s">
        <v>1</v>
      </c>
      <c r="B504" s="13" t="s">
        <v>385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349</v>
      </c>
      <c r="C505" s="13">
        <v>4</v>
      </c>
      <c r="D505" s="13">
        <v>0</v>
      </c>
      <c r="E505" s="13">
        <v>3</v>
      </c>
    </row>
    <row r="506" spans="1:5" x14ac:dyDescent="0.3">
      <c r="A506" s="13" t="s">
        <v>1</v>
      </c>
      <c r="B506" s="13" t="s">
        <v>988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881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1181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85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86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146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306</v>
      </c>
      <c r="C512" s="13">
        <v>1</v>
      </c>
      <c r="D512" s="13">
        <v>0</v>
      </c>
      <c r="E512" s="13">
        <v>1</v>
      </c>
    </row>
    <row r="513" spans="1:5" x14ac:dyDescent="0.3">
      <c r="A513" s="13" t="s">
        <v>1</v>
      </c>
      <c r="B513" s="13" t="s">
        <v>605</v>
      </c>
      <c r="C513" s="13">
        <v>2</v>
      </c>
      <c r="D513" s="13">
        <v>0</v>
      </c>
      <c r="E513" s="13">
        <v>2</v>
      </c>
    </row>
    <row r="514" spans="1:5" x14ac:dyDescent="0.3">
      <c r="A514" s="13" t="s">
        <v>1</v>
      </c>
      <c r="B514" s="13" t="s">
        <v>213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90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607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609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424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41</v>
      </c>
      <c r="C519" s="13">
        <v>1</v>
      </c>
      <c r="D519" s="13">
        <v>0</v>
      </c>
      <c r="E519" s="13">
        <v>1</v>
      </c>
    </row>
    <row r="520" spans="1:5" x14ac:dyDescent="0.3">
      <c r="A520" s="13" t="s">
        <v>1</v>
      </c>
      <c r="B520" s="13" t="s">
        <v>504</v>
      </c>
      <c r="C520" s="13">
        <v>1</v>
      </c>
      <c r="D520" s="13">
        <v>0</v>
      </c>
      <c r="E520" s="13">
        <v>1</v>
      </c>
    </row>
    <row r="521" spans="1:5" x14ac:dyDescent="0.3">
      <c r="A521" s="13" t="s">
        <v>1</v>
      </c>
      <c r="B521" s="13" t="s">
        <v>356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653</v>
      </c>
      <c r="C522" s="13">
        <v>2</v>
      </c>
      <c r="D522" s="13">
        <v>0</v>
      </c>
      <c r="E522" s="13">
        <v>2</v>
      </c>
    </row>
    <row r="523" spans="1:5" x14ac:dyDescent="0.3">
      <c r="A523" s="13" t="s">
        <v>1</v>
      </c>
      <c r="B523" s="13" t="s">
        <v>888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1485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1654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1664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1671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1738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1740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1849</v>
      </c>
      <c r="C530" s="13">
        <v>2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1865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2104</v>
      </c>
      <c r="C532" s="13">
        <v>1</v>
      </c>
      <c r="D532" s="13">
        <v>0</v>
      </c>
      <c r="E532" s="13">
        <v>2</v>
      </c>
    </row>
    <row r="533" spans="1:5" x14ac:dyDescent="0.3">
      <c r="A533" s="13" t="s">
        <v>1</v>
      </c>
      <c r="B533" s="13" t="s">
        <v>1886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1905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1906</v>
      </c>
      <c r="C535" s="13">
        <v>2</v>
      </c>
      <c r="D535" s="13">
        <v>0</v>
      </c>
      <c r="E535" s="13">
        <v>2</v>
      </c>
    </row>
    <row r="536" spans="1:5" x14ac:dyDescent="0.3">
      <c r="A536" s="13" t="s">
        <v>1</v>
      </c>
      <c r="B536" s="13" t="s">
        <v>1888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1899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2024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1960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1969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2018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2069</v>
      </c>
      <c r="C542" s="13">
        <v>3</v>
      </c>
      <c r="D542" s="13">
        <v>0</v>
      </c>
      <c r="E542" s="13">
        <v>4</v>
      </c>
    </row>
    <row r="543" spans="1:5" x14ac:dyDescent="0.3">
      <c r="A543" s="13" t="s">
        <v>1</v>
      </c>
      <c r="B543" s="13" t="s">
        <v>2126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2149</v>
      </c>
      <c r="C544" s="13">
        <v>1</v>
      </c>
      <c r="D544" s="13">
        <v>0</v>
      </c>
      <c r="E544" s="13">
        <v>2</v>
      </c>
    </row>
    <row r="545" spans="1:5" x14ac:dyDescent="0.3">
      <c r="A545" s="13" t="s">
        <v>1</v>
      </c>
      <c r="B545" s="13" t="s">
        <v>2156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2164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2179</v>
      </c>
      <c r="C547" s="13">
        <v>2</v>
      </c>
      <c r="D547" s="13">
        <v>0</v>
      </c>
      <c r="E547" s="13">
        <v>7</v>
      </c>
    </row>
    <row r="548" spans="1:5" x14ac:dyDescent="0.3">
      <c r="A548" s="13" t="s">
        <v>1</v>
      </c>
      <c r="B548" s="13" t="s">
        <v>2339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2335</v>
      </c>
      <c r="C549" s="13">
        <v>8</v>
      </c>
      <c r="D549" s="13">
        <v>0</v>
      </c>
      <c r="E549" s="13">
        <v>8</v>
      </c>
    </row>
    <row r="550" spans="1:5" x14ac:dyDescent="0.3">
      <c r="A550" s="13" t="s">
        <v>1</v>
      </c>
      <c r="B550" s="13" t="s">
        <v>2408</v>
      </c>
      <c r="C550" s="13">
        <v>2</v>
      </c>
      <c r="D550" s="13">
        <v>0</v>
      </c>
      <c r="E550" s="13">
        <v>3</v>
      </c>
    </row>
    <row r="551" spans="1:5" x14ac:dyDescent="0.3">
      <c r="A551" s="13" t="s">
        <v>1</v>
      </c>
      <c r="B551" s="13" t="s">
        <v>2752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1420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997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274</v>
      </c>
      <c r="C554" s="13">
        <v>1</v>
      </c>
      <c r="D554" s="13">
        <v>0</v>
      </c>
      <c r="E554" s="13">
        <v>2</v>
      </c>
    </row>
    <row r="555" spans="1:5" x14ac:dyDescent="0.3">
      <c r="A555" s="13" t="s">
        <v>1</v>
      </c>
      <c r="B555" s="13" t="s">
        <v>2047</v>
      </c>
      <c r="C555" s="13">
        <v>1</v>
      </c>
      <c r="D555" s="13">
        <v>0</v>
      </c>
      <c r="E555" s="13">
        <v>2</v>
      </c>
    </row>
    <row r="556" spans="1:5" x14ac:dyDescent="0.3">
      <c r="A556" s="13" t="s">
        <v>1</v>
      </c>
      <c r="B556" s="13" t="s">
        <v>2753</v>
      </c>
      <c r="C556" s="13">
        <v>1</v>
      </c>
      <c r="D556" s="13">
        <v>0</v>
      </c>
      <c r="E556" s="13">
        <v>2</v>
      </c>
    </row>
    <row r="557" spans="1:5" x14ac:dyDescent="0.3">
      <c r="A557" s="13" t="s">
        <v>1</v>
      </c>
      <c r="B557" s="13" t="s">
        <v>762</v>
      </c>
      <c r="C557" s="13">
        <v>1</v>
      </c>
      <c r="D557" s="13">
        <v>0</v>
      </c>
      <c r="E557" s="13">
        <v>2</v>
      </c>
    </row>
    <row r="558" spans="1:5" x14ac:dyDescent="0.3">
      <c r="A558" s="13" t="s">
        <v>1</v>
      </c>
      <c r="B558" s="13" t="s">
        <v>1176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159</v>
      </c>
      <c r="C559" s="13">
        <v>1</v>
      </c>
      <c r="D559" s="13">
        <v>0</v>
      </c>
      <c r="E559" s="13">
        <v>0</v>
      </c>
    </row>
    <row r="560" spans="1:5" x14ac:dyDescent="0.3">
      <c r="A560" s="13" t="s">
        <v>1</v>
      </c>
      <c r="B560" s="13" t="s">
        <v>1556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1094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822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2754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1003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1985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50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2680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1785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110</v>
      </c>
      <c r="C569" s="13">
        <v>1</v>
      </c>
      <c r="D569" s="13">
        <v>0</v>
      </c>
      <c r="E569" s="13">
        <v>0</v>
      </c>
    </row>
    <row r="570" spans="1:5" x14ac:dyDescent="0.3">
      <c r="A570" s="13" t="s">
        <v>1</v>
      </c>
      <c r="B570" s="13" t="s">
        <v>620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1332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1167</v>
      </c>
      <c r="C572" s="13">
        <v>2</v>
      </c>
      <c r="D572" s="13">
        <v>0</v>
      </c>
      <c r="E572" s="13">
        <v>2</v>
      </c>
    </row>
    <row r="573" spans="1:5" x14ac:dyDescent="0.3">
      <c r="A573" s="13" t="s">
        <v>1</v>
      </c>
      <c r="B573" s="13" t="s">
        <v>1794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2755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1938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113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1005</v>
      </c>
      <c r="C577" s="13">
        <v>2</v>
      </c>
      <c r="D577" s="13">
        <v>0</v>
      </c>
      <c r="E577" s="13">
        <v>2</v>
      </c>
    </row>
    <row r="578" spans="1:5" x14ac:dyDescent="0.3">
      <c r="A578" s="13" t="s">
        <v>1</v>
      </c>
      <c r="B578" s="13" t="s">
        <v>318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522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1999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2682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695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525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1657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1099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2450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1363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740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1</v>
      </c>
      <c r="B589" s="13" t="s">
        <v>2281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479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1868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2014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119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1294</v>
      </c>
      <c r="C594" s="13">
        <v>1</v>
      </c>
      <c r="D594" s="13">
        <v>0</v>
      </c>
      <c r="E594" s="13">
        <v>0</v>
      </c>
    </row>
    <row r="595" spans="1:5" x14ac:dyDescent="0.3">
      <c r="A595" s="13" t="s">
        <v>1</v>
      </c>
      <c r="B595" s="13" t="s">
        <v>290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1217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409</v>
      </c>
      <c r="C597" s="13">
        <v>2</v>
      </c>
      <c r="D597" s="13">
        <v>0</v>
      </c>
      <c r="E597" s="13">
        <v>2</v>
      </c>
    </row>
    <row r="598" spans="1:5" x14ac:dyDescent="0.3">
      <c r="A598" s="13" t="s">
        <v>1</v>
      </c>
      <c r="B598" s="13" t="s">
        <v>2756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435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955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1</v>
      </c>
      <c r="B601" s="13" t="s">
        <v>633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412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1951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1439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1143</v>
      </c>
      <c r="C605" s="13">
        <v>1</v>
      </c>
      <c r="D605" s="13">
        <v>0</v>
      </c>
      <c r="E605" s="13">
        <v>5</v>
      </c>
    </row>
    <row r="606" spans="1:5" x14ac:dyDescent="0.3">
      <c r="A606" s="13" t="s">
        <v>1</v>
      </c>
      <c r="B606" s="13" t="s">
        <v>907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184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1359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1058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483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1</v>
      </c>
      <c r="B611" s="13" t="s">
        <v>1743</v>
      </c>
      <c r="C611" s="13">
        <v>1</v>
      </c>
      <c r="D611" s="13">
        <v>0</v>
      </c>
      <c r="E611" s="13">
        <v>3</v>
      </c>
    </row>
    <row r="612" spans="1:5" x14ac:dyDescent="0.3">
      <c r="A612" s="13" t="s">
        <v>1</v>
      </c>
      <c r="B612" s="13" t="s">
        <v>783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1431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1</v>
      </c>
      <c r="B614" s="13" t="s">
        <v>1426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1</v>
      </c>
      <c r="B615" s="13" t="s">
        <v>1339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1</v>
      </c>
      <c r="B616" s="13" t="s">
        <v>803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1</v>
      </c>
      <c r="B617" s="13" t="s">
        <v>1206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1060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231</v>
      </c>
      <c r="C619" s="13">
        <v>10</v>
      </c>
      <c r="D619" s="13">
        <v>0</v>
      </c>
      <c r="E619" s="13">
        <v>13</v>
      </c>
    </row>
    <row r="620" spans="1:5" x14ac:dyDescent="0.3">
      <c r="A620" s="13" t="s">
        <v>1</v>
      </c>
      <c r="B620" s="13" t="s">
        <v>232</v>
      </c>
      <c r="C620" s="13">
        <v>3</v>
      </c>
      <c r="D620" s="13">
        <v>0</v>
      </c>
      <c r="E620" s="13">
        <v>4</v>
      </c>
    </row>
    <row r="621" spans="1:5" x14ac:dyDescent="0.3">
      <c r="A621" s="14" t="s">
        <v>1</v>
      </c>
      <c r="B621" s="14" t="s">
        <v>192</v>
      </c>
      <c r="C621" s="14">
        <v>8</v>
      </c>
      <c r="D621" s="14">
        <v>0</v>
      </c>
      <c r="E621" s="14">
        <v>10</v>
      </c>
    </row>
    <row r="622" spans="1:5" x14ac:dyDescent="0.3">
      <c r="A622" s="14" t="s">
        <v>1</v>
      </c>
      <c r="B622" s="14" t="s">
        <v>234</v>
      </c>
      <c r="C622" s="14">
        <v>5</v>
      </c>
      <c r="D622" s="14">
        <v>0</v>
      </c>
      <c r="E622" s="14">
        <v>10</v>
      </c>
    </row>
    <row r="623" spans="1:5" x14ac:dyDescent="0.3">
      <c r="A623" s="14" t="s">
        <v>1</v>
      </c>
      <c r="B623" s="14" t="s">
        <v>235</v>
      </c>
      <c r="C623" s="14">
        <v>4</v>
      </c>
      <c r="D623" s="14">
        <v>0</v>
      </c>
      <c r="E623" s="14">
        <v>6</v>
      </c>
    </row>
    <row r="624" spans="1:5" x14ac:dyDescent="0.3">
      <c r="A624" s="14" t="s">
        <v>1</v>
      </c>
      <c r="B624" s="14" t="s">
        <v>639</v>
      </c>
      <c r="C624" s="14">
        <v>4</v>
      </c>
      <c r="D624" s="14">
        <v>0</v>
      </c>
      <c r="E624" s="14">
        <v>4</v>
      </c>
    </row>
    <row r="625" spans="1:5" x14ac:dyDescent="0.3">
      <c r="A625" s="14" t="s">
        <v>1</v>
      </c>
      <c r="B625" s="14" t="s">
        <v>55</v>
      </c>
      <c r="C625" s="14">
        <v>6</v>
      </c>
      <c r="D625" s="14">
        <v>0</v>
      </c>
      <c r="E625" s="14">
        <v>7</v>
      </c>
    </row>
    <row r="626" spans="1:5" x14ac:dyDescent="0.3">
      <c r="A626" s="14" t="s">
        <v>1</v>
      </c>
      <c r="B626" s="14" t="s">
        <v>236</v>
      </c>
      <c r="C626" s="14">
        <v>6</v>
      </c>
      <c r="D626" s="14">
        <v>0</v>
      </c>
      <c r="E626" s="14">
        <v>11</v>
      </c>
    </row>
    <row r="627" spans="1:5" x14ac:dyDescent="0.3">
      <c r="A627" s="14" t="s">
        <v>1</v>
      </c>
      <c r="B627" s="14" t="s">
        <v>640</v>
      </c>
      <c r="C627" s="14">
        <v>5</v>
      </c>
      <c r="D627" s="14">
        <v>0</v>
      </c>
      <c r="E627" s="14">
        <v>5</v>
      </c>
    </row>
    <row r="628" spans="1:5" x14ac:dyDescent="0.3">
      <c r="A628" s="14" t="s">
        <v>1</v>
      </c>
      <c r="B628" s="14" t="s">
        <v>371</v>
      </c>
      <c r="C628" s="14">
        <v>5</v>
      </c>
      <c r="D628" s="14">
        <v>0</v>
      </c>
      <c r="E628" s="14">
        <v>5</v>
      </c>
    </row>
    <row r="629" spans="1:5" x14ac:dyDescent="0.3">
      <c r="A629" s="14" t="s">
        <v>1</v>
      </c>
      <c r="B629" s="14" t="s">
        <v>366</v>
      </c>
      <c r="C629" s="14">
        <v>2</v>
      </c>
      <c r="D629" s="14">
        <v>0</v>
      </c>
      <c r="E629" s="14">
        <v>2</v>
      </c>
    </row>
    <row r="630" spans="1:5" x14ac:dyDescent="0.3">
      <c r="A630" s="14" t="s">
        <v>1</v>
      </c>
      <c r="B630" s="14" t="s">
        <v>461</v>
      </c>
      <c r="C630" s="14">
        <v>2</v>
      </c>
      <c r="D630" s="14">
        <v>0</v>
      </c>
      <c r="E630" s="14">
        <v>1</v>
      </c>
    </row>
    <row r="631" spans="1:5" x14ac:dyDescent="0.3">
      <c r="A631" s="14" t="s">
        <v>1</v>
      </c>
      <c r="B631" s="14" t="s">
        <v>2757</v>
      </c>
      <c r="C631" s="14">
        <v>0</v>
      </c>
      <c r="D631" s="14">
        <v>1</v>
      </c>
    </row>
    <row r="632" spans="1:5" x14ac:dyDescent="0.3">
      <c r="A632" s="14" t="s">
        <v>1</v>
      </c>
      <c r="B632" s="14" t="s">
        <v>442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1468</v>
      </c>
      <c r="C633" s="14">
        <v>0</v>
      </c>
      <c r="D633" s="14">
        <v>1</v>
      </c>
    </row>
    <row r="634" spans="1:5" x14ac:dyDescent="0.3">
      <c r="A634" s="14" t="s">
        <v>1</v>
      </c>
      <c r="B634" s="14" t="s">
        <v>2528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1</v>
      </c>
      <c r="B635" s="14" t="s">
        <v>1934</v>
      </c>
      <c r="C635" s="14">
        <v>1</v>
      </c>
      <c r="D635" s="14">
        <v>0</v>
      </c>
      <c r="E635" s="14">
        <v>1</v>
      </c>
    </row>
    <row r="636" spans="1:5" x14ac:dyDescent="0.3">
      <c r="A636" s="14" t="s">
        <v>1</v>
      </c>
      <c r="B636" s="14" t="s">
        <v>724</v>
      </c>
      <c r="C636" s="14">
        <v>1</v>
      </c>
      <c r="D636" s="14">
        <v>0</v>
      </c>
      <c r="E636" s="14">
        <v>1</v>
      </c>
    </row>
    <row r="637" spans="1:5" x14ac:dyDescent="0.3">
      <c r="A637" s="14" t="s">
        <v>1</v>
      </c>
      <c r="B637" s="14" t="s">
        <v>2690</v>
      </c>
      <c r="C637" s="14">
        <v>0</v>
      </c>
      <c r="D637" s="14">
        <v>2</v>
      </c>
    </row>
    <row r="638" spans="1:5" x14ac:dyDescent="0.3">
      <c r="A638" s="14" t="s">
        <v>1</v>
      </c>
      <c r="B638" s="14" t="s">
        <v>2758</v>
      </c>
      <c r="C638" s="14">
        <v>0</v>
      </c>
      <c r="D638" s="14">
        <v>1</v>
      </c>
    </row>
    <row r="639" spans="1:5" x14ac:dyDescent="0.3">
      <c r="A639" s="14" t="s">
        <v>1</v>
      </c>
      <c r="B639" s="14" t="s">
        <v>2348</v>
      </c>
      <c r="C639" s="14">
        <v>4</v>
      </c>
      <c r="D639" s="14">
        <v>0</v>
      </c>
      <c r="E639" s="14">
        <v>5</v>
      </c>
    </row>
    <row r="640" spans="1:5" x14ac:dyDescent="0.3">
      <c r="A640" s="14" t="s">
        <v>1</v>
      </c>
      <c r="B640" s="14" t="s">
        <v>2349</v>
      </c>
      <c r="C640" s="14">
        <v>3</v>
      </c>
      <c r="D640" s="14">
        <v>0</v>
      </c>
      <c r="E640" s="14">
        <v>2</v>
      </c>
    </row>
    <row r="641" spans="1:5" x14ac:dyDescent="0.3">
      <c r="A641" s="14" t="s">
        <v>1</v>
      </c>
      <c r="B641" s="14" t="s">
        <v>2350</v>
      </c>
      <c r="C641" s="14">
        <v>1</v>
      </c>
      <c r="D641" s="14">
        <v>0</v>
      </c>
      <c r="E641" s="14">
        <v>1</v>
      </c>
    </row>
    <row r="642" spans="1:5" x14ac:dyDescent="0.3">
      <c r="A642" s="14" t="s">
        <v>1</v>
      </c>
      <c r="B642" s="14" t="s">
        <v>2351</v>
      </c>
      <c r="C642" s="14">
        <v>2</v>
      </c>
      <c r="D642" s="14">
        <v>0</v>
      </c>
      <c r="E642" s="14">
        <v>2</v>
      </c>
    </row>
    <row r="643" spans="1:5" x14ac:dyDescent="0.3">
      <c r="A643" s="14" t="s">
        <v>1</v>
      </c>
      <c r="B643" s="14" t="s">
        <v>2352</v>
      </c>
      <c r="C643" s="14">
        <v>1</v>
      </c>
      <c r="D643" s="14">
        <v>0</v>
      </c>
      <c r="E643" s="14">
        <v>1</v>
      </c>
    </row>
    <row r="644" spans="1:5" x14ac:dyDescent="0.3">
      <c r="A644" s="14" t="s">
        <v>1</v>
      </c>
      <c r="B644" s="14" t="s">
        <v>68</v>
      </c>
      <c r="C644" s="14">
        <v>1</v>
      </c>
      <c r="D644" s="14">
        <v>0</v>
      </c>
      <c r="E644" s="14">
        <v>1</v>
      </c>
    </row>
    <row r="645" spans="1:5" x14ac:dyDescent="0.3">
      <c r="A645" s="14" t="s">
        <v>1</v>
      </c>
      <c r="B645" s="14" t="s">
        <v>644</v>
      </c>
      <c r="C645" s="14">
        <v>1</v>
      </c>
      <c r="D645" s="14">
        <v>0</v>
      </c>
      <c r="E645" s="14">
        <v>1</v>
      </c>
    </row>
    <row r="646" spans="1:5" x14ac:dyDescent="0.3">
      <c r="A646" s="14" t="s">
        <v>1</v>
      </c>
      <c r="B646" s="14" t="s">
        <v>2759</v>
      </c>
      <c r="C646" s="14">
        <v>1</v>
      </c>
      <c r="D646" s="14">
        <v>0</v>
      </c>
      <c r="E646" s="14">
        <v>3</v>
      </c>
    </row>
    <row r="647" spans="1:5" x14ac:dyDescent="0.3">
      <c r="A647" s="14" t="s">
        <v>0</v>
      </c>
      <c r="B647" s="14" t="s">
        <v>47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0</v>
      </c>
      <c r="B648" s="14" t="s">
        <v>419</v>
      </c>
      <c r="C648" s="14">
        <v>1</v>
      </c>
      <c r="D648" s="14">
        <v>0</v>
      </c>
      <c r="E648" s="14">
        <v>1</v>
      </c>
    </row>
    <row r="649" spans="1:5" x14ac:dyDescent="0.3">
      <c r="A649" s="14" t="s">
        <v>0</v>
      </c>
      <c r="B649" s="14" t="s">
        <v>1455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0</v>
      </c>
      <c r="B650" s="14" t="s">
        <v>755</v>
      </c>
      <c r="C650" s="14">
        <v>1</v>
      </c>
      <c r="D650" s="14">
        <v>0</v>
      </c>
      <c r="E650" s="14">
        <v>1</v>
      </c>
    </row>
    <row r="651" spans="1:5" x14ac:dyDescent="0.3">
      <c r="A651" s="14" t="s">
        <v>0</v>
      </c>
      <c r="B651" s="14" t="s">
        <v>382</v>
      </c>
      <c r="C651" s="14">
        <v>1</v>
      </c>
      <c r="D651" s="14">
        <v>0</v>
      </c>
      <c r="E651" s="14">
        <v>1</v>
      </c>
    </row>
    <row r="652" spans="1:5" x14ac:dyDescent="0.3">
      <c r="A652" s="14" t="s">
        <v>0</v>
      </c>
      <c r="B652" s="14" t="s">
        <v>2089</v>
      </c>
      <c r="C652" s="14">
        <v>1</v>
      </c>
      <c r="D652" s="14">
        <v>0</v>
      </c>
      <c r="E652" s="14">
        <v>2</v>
      </c>
    </row>
    <row r="653" spans="1:5" x14ac:dyDescent="0.3">
      <c r="A653" s="14" t="s">
        <v>0</v>
      </c>
      <c r="B653" s="14" t="s">
        <v>83</v>
      </c>
      <c r="C653" s="14">
        <v>1</v>
      </c>
      <c r="D653" s="14">
        <v>0</v>
      </c>
      <c r="E653" s="14">
        <v>1</v>
      </c>
    </row>
    <row r="654" spans="1:5" x14ac:dyDescent="0.3">
      <c r="A654" s="14" t="s">
        <v>0</v>
      </c>
      <c r="B654" s="14" t="s">
        <v>270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0</v>
      </c>
      <c r="B655" s="14" t="s">
        <v>2760</v>
      </c>
      <c r="C655" s="14">
        <v>1</v>
      </c>
      <c r="D655" s="14">
        <v>0</v>
      </c>
      <c r="E655" s="14">
        <v>1</v>
      </c>
    </row>
    <row r="656" spans="1:5" x14ac:dyDescent="0.3">
      <c r="A656" s="14" t="s">
        <v>0</v>
      </c>
      <c r="B656" s="14" t="s">
        <v>1674</v>
      </c>
      <c r="C656" s="14">
        <v>1</v>
      </c>
      <c r="D656" s="14">
        <v>0</v>
      </c>
      <c r="E656" s="14">
        <v>1</v>
      </c>
    </row>
    <row r="657" spans="1:5" x14ac:dyDescent="0.3">
      <c r="A657" s="14" t="s">
        <v>0</v>
      </c>
      <c r="B657" s="14" t="s">
        <v>1988</v>
      </c>
      <c r="C657" s="14">
        <v>2</v>
      </c>
      <c r="D657" s="14">
        <v>0</v>
      </c>
      <c r="E657" s="14">
        <v>2</v>
      </c>
    </row>
    <row r="658" spans="1:5" x14ac:dyDescent="0.3">
      <c r="A658" s="14" t="s">
        <v>0</v>
      </c>
      <c r="B658" s="14" t="s">
        <v>1883</v>
      </c>
      <c r="C658" s="14">
        <v>1</v>
      </c>
      <c r="D658" s="14">
        <v>0</v>
      </c>
      <c r="E658" s="14">
        <v>1</v>
      </c>
    </row>
    <row r="659" spans="1:5" x14ac:dyDescent="0.3">
      <c r="A659" s="14" t="s">
        <v>0</v>
      </c>
      <c r="B659" s="14" t="s">
        <v>1960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0</v>
      </c>
      <c r="B660" s="14" t="s">
        <v>2148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0</v>
      </c>
      <c r="B661" s="14" t="s">
        <v>2156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0</v>
      </c>
      <c r="B662" s="14" t="s">
        <v>2335</v>
      </c>
      <c r="C662" s="14">
        <v>1</v>
      </c>
      <c r="D662" s="14">
        <v>0</v>
      </c>
      <c r="E662" s="14">
        <v>3</v>
      </c>
    </row>
    <row r="663" spans="1:5" x14ac:dyDescent="0.3">
      <c r="A663" s="14" t="s">
        <v>0</v>
      </c>
      <c r="B663" s="14" t="s">
        <v>2704</v>
      </c>
      <c r="C663" s="14">
        <v>1</v>
      </c>
      <c r="D663" s="14">
        <v>0</v>
      </c>
      <c r="E663" s="14">
        <v>1</v>
      </c>
    </row>
    <row r="664" spans="1:5" x14ac:dyDescent="0.3">
      <c r="A664" s="14" t="s">
        <v>0</v>
      </c>
      <c r="B664" s="14" t="s">
        <v>479</v>
      </c>
      <c r="C664" s="14">
        <v>1</v>
      </c>
      <c r="D664" s="14">
        <v>0</v>
      </c>
      <c r="E664" s="14">
        <v>1</v>
      </c>
    </row>
    <row r="665" spans="1:5" x14ac:dyDescent="0.3">
      <c r="A665" s="14" t="s">
        <v>0</v>
      </c>
      <c r="B665" s="14" t="s">
        <v>905</v>
      </c>
      <c r="C665" s="14">
        <v>1</v>
      </c>
      <c r="D665" s="14">
        <v>0</v>
      </c>
      <c r="E665" s="14">
        <v>1</v>
      </c>
    </row>
    <row r="666" spans="1:5" x14ac:dyDescent="0.3">
      <c r="A666" s="14" t="s">
        <v>0</v>
      </c>
      <c r="B666" s="14" t="s">
        <v>664</v>
      </c>
      <c r="C666" s="14">
        <v>1</v>
      </c>
      <c r="D666" s="14">
        <v>0</v>
      </c>
      <c r="E666" s="14">
        <v>2</v>
      </c>
    </row>
    <row r="667" spans="1:5" x14ac:dyDescent="0.3">
      <c r="A667" s="14" t="s">
        <v>0</v>
      </c>
      <c r="B667" s="14" t="s">
        <v>337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0</v>
      </c>
      <c r="B668" s="14" t="s">
        <v>339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0</v>
      </c>
      <c r="B669" s="14" t="s">
        <v>438</v>
      </c>
      <c r="C669" s="14">
        <v>1</v>
      </c>
      <c r="D669" s="14">
        <v>0</v>
      </c>
      <c r="E669" s="14">
        <v>1</v>
      </c>
    </row>
    <row r="670" spans="1:5" x14ac:dyDescent="0.3">
      <c r="A670" s="14" t="s">
        <v>0</v>
      </c>
      <c r="B670" s="14" t="s">
        <v>191</v>
      </c>
      <c r="C670" s="14">
        <v>4</v>
      </c>
      <c r="D670" s="14">
        <v>0</v>
      </c>
      <c r="E670" s="14">
        <v>4</v>
      </c>
    </row>
    <row r="671" spans="1:5" x14ac:dyDescent="0.3">
      <c r="A671" s="14" t="s">
        <v>0</v>
      </c>
      <c r="B671" s="14" t="s">
        <v>192</v>
      </c>
      <c r="C671" s="14">
        <v>2</v>
      </c>
      <c r="D671" s="14">
        <v>0</v>
      </c>
      <c r="E671" s="14">
        <v>4</v>
      </c>
    </row>
    <row r="672" spans="1:5" x14ac:dyDescent="0.3">
      <c r="A672" s="14" t="s">
        <v>0</v>
      </c>
      <c r="B672" s="14" t="s">
        <v>54</v>
      </c>
      <c r="C672" s="14">
        <v>2</v>
      </c>
      <c r="D672" s="14">
        <v>0</v>
      </c>
      <c r="E672" s="14">
        <v>2</v>
      </c>
    </row>
    <row r="673" spans="1:5" x14ac:dyDescent="0.3">
      <c r="A673" s="14" t="s">
        <v>0</v>
      </c>
      <c r="B673" s="14" t="s">
        <v>461</v>
      </c>
      <c r="C673" s="14">
        <v>1</v>
      </c>
      <c r="D673" s="14">
        <v>0</v>
      </c>
      <c r="E673" s="14">
        <v>2</v>
      </c>
    </row>
    <row r="674" spans="1:5" x14ac:dyDescent="0.3">
      <c r="A674" s="14" t="s">
        <v>0</v>
      </c>
      <c r="B674" s="14" t="s">
        <v>135</v>
      </c>
      <c r="C674" s="14">
        <v>1</v>
      </c>
      <c r="D674" s="14">
        <v>0</v>
      </c>
      <c r="E674" s="14">
        <v>1</v>
      </c>
    </row>
    <row r="675" spans="1:5" x14ac:dyDescent="0.3">
      <c r="A675" s="14" t="s">
        <v>0</v>
      </c>
      <c r="B675" s="14" t="s">
        <v>2761</v>
      </c>
      <c r="C675" s="14">
        <v>1</v>
      </c>
      <c r="D675" s="14">
        <v>0</v>
      </c>
      <c r="E675" s="14">
        <v>2</v>
      </c>
    </row>
    <row r="676" spans="1:5" x14ac:dyDescent="0.3">
      <c r="A676" s="14" t="s">
        <v>0</v>
      </c>
      <c r="B676" s="14" t="s">
        <v>468</v>
      </c>
      <c r="C676" s="14">
        <v>0</v>
      </c>
      <c r="D676" s="14">
        <v>1</v>
      </c>
    </row>
    <row r="677" spans="1:5" x14ac:dyDescent="0.3">
      <c r="A677" s="14" t="s">
        <v>0</v>
      </c>
      <c r="B677" s="14" t="s">
        <v>2348</v>
      </c>
      <c r="C677" s="14">
        <v>1</v>
      </c>
      <c r="D677" s="14">
        <v>0</v>
      </c>
      <c r="E677" s="14">
        <v>1</v>
      </c>
    </row>
    <row r="678" spans="1:5" x14ac:dyDescent="0.3">
      <c r="A678" s="14" t="s">
        <v>0</v>
      </c>
      <c r="B678" s="14" t="s">
        <v>68</v>
      </c>
      <c r="C678" s="14">
        <v>1</v>
      </c>
      <c r="D678" s="14">
        <v>0</v>
      </c>
      <c r="E678" s="14">
        <v>1</v>
      </c>
    </row>
    <row r="679" spans="1:5" x14ac:dyDescent="0.3">
      <c r="A679" s="14" t="s">
        <v>2</v>
      </c>
      <c r="B679" s="14" t="s">
        <v>195</v>
      </c>
      <c r="C679" s="14">
        <v>1</v>
      </c>
      <c r="D679" s="14">
        <v>0</v>
      </c>
      <c r="E679" s="14">
        <v>0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97684-54E9-4217-A1D2-1984C7F0CC8C}">
  <sheetPr codeName="Sheet53"/>
  <dimension ref="A1:M733"/>
  <sheetViews>
    <sheetView workbookViewId="0">
      <selection activeCell="A2" sqref="A2:E733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64</v>
      </c>
      <c r="D2" s="13">
        <v>50</v>
      </c>
      <c r="E2" s="13">
        <v>70</v>
      </c>
    </row>
    <row r="3" spans="1:13" customFormat="1" x14ac:dyDescent="0.3">
      <c r="A3" s="13" t="s">
        <v>1</v>
      </c>
      <c r="B3" s="13" t="s">
        <v>30</v>
      </c>
      <c r="C3" s="13">
        <v>96</v>
      </c>
      <c r="D3" s="13">
        <v>35</v>
      </c>
      <c r="E3" s="13">
        <v>186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29</v>
      </c>
      <c r="C4" s="13">
        <v>22</v>
      </c>
      <c r="D4" s="13">
        <v>20</v>
      </c>
      <c r="E4" s="13">
        <v>25</v>
      </c>
      <c r="G4" s="19" t="s">
        <v>8</v>
      </c>
      <c r="H4" s="15">
        <f>H13+H14</f>
        <v>1185</v>
      </c>
      <c r="I4" s="16">
        <f>H4/H$6</f>
        <v>0.71992709599027949</v>
      </c>
      <c r="J4" s="15">
        <f>I13+I14</f>
        <v>647</v>
      </c>
      <c r="K4" s="16">
        <f>J4/J$6</f>
        <v>0.64378109452736321</v>
      </c>
      <c r="L4" s="15">
        <f>J13+J14</f>
        <v>1444</v>
      </c>
      <c r="M4" s="25">
        <f>L4/L$6</f>
        <v>0.7234468937875751</v>
      </c>
    </row>
    <row r="5" spans="1:13" customFormat="1" x14ac:dyDescent="0.3">
      <c r="A5" s="13" t="s">
        <v>1</v>
      </c>
      <c r="B5" s="13" t="s">
        <v>37</v>
      </c>
      <c r="C5" s="13">
        <v>23</v>
      </c>
      <c r="D5" s="13">
        <v>18</v>
      </c>
      <c r="E5" s="13">
        <v>24</v>
      </c>
      <c r="G5" s="19" t="s">
        <v>10</v>
      </c>
      <c r="H5" s="15">
        <f>H15+H16</f>
        <v>461</v>
      </c>
      <c r="I5" s="16">
        <f>H5/H$6</f>
        <v>0.28007290400972051</v>
      </c>
      <c r="J5" s="15">
        <f>I15+I16</f>
        <v>358</v>
      </c>
      <c r="K5" s="16">
        <f>J5/J$6</f>
        <v>0.35621890547263679</v>
      </c>
      <c r="L5" s="15">
        <f>J15+J16</f>
        <v>552</v>
      </c>
      <c r="M5" s="25">
        <f>L5/L$6</f>
        <v>0.27655310621242485</v>
      </c>
    </row>
    <row r="6" spans="1:13" customFormat="1" ht="17.25" thickBot="1" x14ac:dyDescent="0.35">
      <c r="A6" s="13" t="s">
        <v>0</v>
      </c>
      <c r="B6" s="13" t="s">
        <v>30</v>
      </c>
      <c r="C6" s="13">
        <v>22</v>
      </c>
      <c r="D6" s="13">
        <v>16</v>
      </c>
      <c r="E6" s="13">
        <v>44</v>
      </c>
      <c r="G6" s="22"/>
      <c r="H6" s="26">
        <f>SUM(H4:H5)</f>
        <v>1646</v>
      </c>
      <c r="I6" s="27">
        <f>I4+I5</f>
        <v>1</v>
      </c>
      <c r="J6" s="26">
        <f>SUM(J4:J5)</f>
        <v>1005</v>
      </c>
      <c r="K6" s="27">
        <f>K4+K5</f>
        <v>1</v>
      </c>
      <c r="L6" s="26">
        <f>SUM(L4:L5)</f>
        <v>1996</v>
      </c>
      <c r="M6" s="28">
        <f>M4+M5</f>
        <v>1</v>
      </c>
    </row>
    <row r="7" spans="1:13" customFormat="1" x14ac:dyDescent="0.3">
      <c r="A7" s="13" t="s">
        <v>1</v>
      </c>
      <c r="B7" s="13" t="s">
        <v>1948</v>
      </c>
      <c r="C7" s="13">
        <v>16</v>
      </c>
      <c r="D7" s="13">
        <v>15</v>
      </c>
      <c r="E7" s="13">
        <v>17</v>
      </c>
    </row>
    <row r="8" spans="1:13" customFormat="1" x14ac:dyDescent="0.3">
      <c r="A8" s="13" t="s">
        <v>1</v>
      </c>
      <c r="B8" s="13" t="s">
        <v>2735</v>
      </c>
      <c r="C8" s="13">
        <v>28</v>
      </c>
      <c r="D8" s="13">
        <v>15</v>
      </c>
      <c r="E8" s="13">
        <v>34</v>
      </c>
    </row>
    <row r="9" spans="1:13" customFormat="1" x14ac:dyDescent="0.3">
      <c r="A9" s="13" t="s">
        <v>0</v>
      </c>
      <c r="B9" s="13" t="s">
        <v>2735</v>
      </c>
      <c r="C9" s="13">
        <v>18</v>
      </c>
      <c r="D9" s="13">
        <v>14</v>
      </c>
      <c r="E9" s="13">
        <v>26</v>
      </c>
    </row>
    <row r="10" spans="1:13" customFormat="1" ht="17.25" thickBot="1" x14ac:dyDescent="0.35">
      <c r="A10" s="13" t="s">
        <v>0</v>
      </c>
      <c r="B10" s="13" t="s">
        <v>2701</v>
      </c>
      <c r="C10" s="13">
        <v>16</v>
      </c>
      <c r="D10" s="13">
        <v>13</v>
      </c>
      <c r="E10" s="13">
        <v>17</v>
      </c>
    </row>
    <row r="11" spans="1:13" x14ac:dyDescent="0.3">
      <c r="A11" s="13" t="s">
        <v>1</v>
      </c>
      <c r="B11" s="13" t="s">
        <v>354</v>
      </c>
      <c r="C11" s="13">
        <v>12</v>
      </c>
      <c r="D11" s="13">
        <v>11</v>
      </c>
      <c r="E11" s="13">
        <v>12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61</v>
      </c>
      <c r="C12" s="13">
        <v>11</v>
      </c>
      <c r="D12" s="13">
        <v>10</v>
      </c>
      <c r="E12" s="13">
        <v>16</v>
      </c>
      <c r="G12" s="19"/>
      <c r="H12" s="17">
        <f t="shared" ref="H12:J12" si="0">SUM(H13:H16)</f>
        <v>1646</v>
      </c>
      <c r="I12" s="17">
        <f t="shared" si="0"/>
        <v>1005</v>
      </c>
      <c r="J12" s="20">
        <f t="shared" si="0"/>
        <v>1996</v>
      </c>
    </row>
    <row r="13" spans="1:13" x14ac:dyDescent="0.3">
      <c r="A13" s="13" t="s">
        <v>1</v>
      </c>
      <c r="B13" s="13" t="s">
        <v>61</v>
      </c>
      <c r="C13" s="13">
        <v>12</v>
      </c>
      <c r="D13" s="13">
        <v>9</v>
      </c>
      <c r="E13" s="13">
        <v>13</v>
      </c>
      <c r="G13" s="19" t="s">
        <v>7</v>
      </c>
      <c r="H13" s="18">
        <f t="shared" ref="H13:J16" si="1">SUMIF($A$2:$A$9999,$G13,C$2:C$9999)</f>
        <v>1185</v>
      </c>
      <c r="I13" s="18">
        <f t="shared" si="1"/>
        <v>647</v>
      </c>
      <c r="J13" s="21">
        <f t="shared" si="1"/>
        <v>1444</v>
      </c>
    </row>
    <row r="14" spans="1:13" x14ac:dyDescent="0.3">
      <c r="A14" s="13" t="s">
        <v>1</v>
      </c>
      <c r="B14" s="13" t="s">
        <v>1663</v>
      </c>
      <c r="C14" s="13">
        <v>11</v>
      </c>
      <c r="D14" s="13">
        <v>9</v>
      </c>
      <c r="E14" s="13">
        <v>14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2762</v>
      </c>
      <c r="C15" s="13">
        <v>38</v>
      </c>
      <c r="D15" s="13">
        <v>8</v>
      </c>
      <c r="E15" s="13">
        <v>54</v>
      </c>
      <c r="G15" s="19" t="s">
        <v>11</v>
      </c>
      <c r="H15" s="18">
        <f t="shared" si="1"/>
        <v>435</v>
      </c>
      <c r="I15" s="18">
        <f t="shared" si="1"/>
        <v>336</v>
      </c>
      <c r="J15" s="21">
        <f t="shared" si="1"/>
        <v>522</v>
      </c>
    </row>
    <row r="16" spans="1:13" ht="17.25" thickBot="1" x14ac:dyDescent="0.35">
      <c r="A16" s="13" t="s">
        <v>1</v>
      </c>
      <c r="B16" s="13" t="s">
        <v>31</v>
      </c>
      <c r="C16" s="13">
        <v>9</v>
      </c>
      <c r="D16" s="13">
        <v>8</v>
      </c>
      <c r="E16" s="13">
        <v>9</v>
      </c>
      <c r="G16" s="22" t="s">
        <v>12</v>
      </c>
      <c r="H16" s="23">
        <f t="shared" si="1"/>
        <v>26</v>
      </c>
      <c r="I16" s="23">
        <f t="shared" si="1"/>
        <v>22</v>
      </c>
      <c r="J16" s="24">
        <f t="shared" si="1"/>
        <v>30</v>
      </c>
    </row>
    <row r="17" spans="1:5" x14ac:dyDescent="0.3">
      <c r="A17" s="13" t="s">
        <v>0</v>
      </c>
      <c r="B17" s="13" t="s">
        <v>31</v>
      </c>
      <c r="C17" s="13">
        <v>9</v>
      </c>
      <c r="D17" s="13">
        <v>8</v>
      </c>
      <c r="E17" s="13">
        <v>10</v>
      </c>
    </row>
    <row r="18" spans="1:5" x14ac:dyDescent="0.3">
      <c r="A18" s="13" t="s">
        <v>0</v>
      </c>
      <c r="B18" s="13" t="s">
        <v>1663</v>
      </c>
      <c r="C18" s="13">
        <v>8</v>
      </c>
      <c r="D18" s="13">
        <v>7</v>
      </c>
      <c r="E18" s="13">
        <v>12</v>
      </c>
    </row>
    <row r="19" spans="1:5" x14ac:dyDescent="0.3">
      <c r="A19" s="13" t="s">
        <v>0</v>
      </c>
      <c r="B19" s="13" t="s">
        <v>1741</v>
      </c>
      <c r="C19" s="13">
        <v>7</v>
      </c>
      <c r="D19" s="13">
        <v>7</v>
      </c>
      <c r="E19" s="13">
        <v>7</v>
      </c>
    </row>
    <row r="20" spans="1:5" x14ac:dyDescent="0.3">
      <c r="A20" s="13" t="s">
        <v>0</v>
      </c>
      <c r="B20" s="13" t="s">
        <v>364</v>
      </c>
      <c r="C20" s="13">
        <v>7</v>
      </c>
      <c r="D20" s="13">
        <v>7</v>
      </c>
      <c r="E20" s="13">
        <v>9</v>
      </c>
    </row>
    <row r="21" spans="1:5" x14ac:dyDescent="0.3">
      <c r="A21" s="13" t="s">
        <v>1</v>
      </c>
      <c r="B21" s="13" t="s">
        <v>272</v>
      </c>
      <c r="C21" s="13">
        <v>7</v>
      </c>
      <c r="D21" s="13">
        <v>6</v>
      </c>
      <c r="E21" s="13">
        <v>7</v>
      </c>
    </row>
    <row r="22" spans="1:5" x14ac:dyDescent="0.3">
      <c r="A22" s="13" t="s">
        <v>1</v>
      </c>
      <c r="B22" s="13" t="s">
        <v>151</v>
      </c>
      <c r="C22" s="13">
        <v>8</v>
      </c>
      <c r="D22" s="13">
        <v>6</v>
      </c>
      <c r="E22" s="13">
        <v>8</v>
      </c>
    </row>
    <row r="23" spans="1:5" x14ac:dyDescent="0.3">
      <c r="A23" s="13" t="s">
        <v>1</v>
      </c>
      <c r="B23" s="13" t="s">
        <v>94</v>
      </c>
      <c r="C23" s="13">
        <v>9</v>
      </c>
      <c r="D23" s="13">
        <v>6</v>
      </c>
      <c r="E23" s="13">
        <v>12</v>
      </c>
    </row>
    <row r="24" spans="1:5" x14ac:dyDescent="0.3">
      <c r="A24" s="13" t="s">
        <v>1</v>
      </c>
      <c r="B24" s="13" t="s">
        <v>154</v>
      </c>
      <c r="C24" s="13">
        <v>7</v>
      </c>
      <c r="D24" s="13">
        <v>6</v>
      </c>
      <c r="E24" s="13">
        <v>7</v>
      </c>
    </row>
    <row r="25" spans="1:5" x14ac:dyDescent="0.3">
      <c r="A25" s="13" t="s">
        <v>1</v>
      </c>
      <c r="B25" s="13" t="s">
        <v>29</v>
      </c>
      <c r="C25" s="13">
        <v>6</v>
      </c>
      <c r="D25" s="13">
        <v>6</v>
      </c>
      <c r="E25" s="13">
        <v>7</v>
      </c>
    </row>
    <row r="26" spans="1:5" x14ac:dyDescent="0.3">
      <c r="A26" s="13" t="s">
        <v>1</v>
      </c>
      <c r="B26" s="13" t="s">
        <v>196</v>
      </c>
      <c r="C26" s="13">
        <v>6</v>
      </c>
      <c r="D26" s="13">
        <v>6</v>
      </c>
      <c r="E26" s="13">
        <v>7</v>
      </c>
    </row>
    <row r="27" spans="1:5" x14ac:dyDescent="0.3">
      <c r="A27" s="13" t="s">
        <v>1</v>
      </c>
      <c r="B27" s="13" t="s">
        <v>2624</v>
      </c>
      <c r="C27" s="13">
        <v>7</v>
      </c>
      <c r="D27" s="13">
        <v>5</v>
      </c>
      <c r="E27" s="13">
        <v>7</v>
      </c>
    </row>
    <row r="28" spans="1:5" x14ac:dyDescent="0.3">
      <c r="A28" s="13" t="s">
        <v>1</v>
      </c>
      <c r="B28" s="13" t="s">
        <v>2734</v>
      </c>
      <c r="C28" s="13">
        <v>14</v>
      </c>
      <c r="D28" s="13">
        <v>5</v>
      </c>
      <c r="E28" s="13">
        <v>19</v>
      </c>
    </row>
    <row r="29" spans="1:5" x14ac:dyDescent="0.3">
      <c r="A29" s="13" t="s">
        <v>1</v>
      </c>
      <c r="B29" s="13" t="s">
        <v>258</v>
      </c>
      <c r="C29" s="13">
        <v>5</v>
      </c>
      <c r="D29" s="13">
        <v>5</v>
      </c>
      <c r="E29" s="13">
        <v>7</v>
      </c>
    </row>
    <row r="30" spans="1:5" x14ac:dyDescent="0.3">
      <c r="A30" s="13" t="s">
        <v>1</v>
      </c>
      <c r="B30" s="13" t="s">
        <v>51</v>
      </c>
      <c r="C30" s="13">
        <v>7</v>
      </c>
      <c r="D30" s="13">
        <v>5</v>
      </c>
      <c r="E30" s="13">
        <v>7</v>
      </c>
    </row>
    <row r="31" spans="1:5" x14ac:dyDescent="0.3">
      <c r="A31" s="13" t="s">
        <v>1</v>
      </c>
      <c r="B31" s="13" t="s">
        <v>120</v>
      </c>
      <c r="C31" s="13">
        <v>6</v>
      </c>
      <c r="D31" s="13">
        <v>5</v>
      </c>
      <c r="E31" s="13">
        <v>6</v>
      </c>
    </row>
    <row r="32" spans="1:5" x14ac:dyDescent="0.3">
      <c r="A32" s="13" t="s">
        <v>0</v>
      </c>
      <c r="B32" s="13" t="s">
        <v>60</v>
      </c>
      <c r="C32" s="13">
        <v>5</v>
      </c>
      <c r="D32" s="13">
        <v>5</v>
      </c>
      <c r="E32" s="13">
        <v>5</v>
      </c>
    </row>
    <row r="33" spans="1:5" x14ac:dyDescent="0.3">
      <c r="A33" s="13" t="s">
        <v>0</v>
      </c>
      <c r="B33" s="13" t="s">
        <v>2203</v>
      </c>
      <c r="C33" s="13">
        <v>6</v>
      </c>
      <c r="D33" s="13">
        <v>5</v>
      </c>
      <c r="E33" s="13">
        <v>7</v>
      </c>
    </row>
    <row r="34" spans="1:5" x14ac:dyDescent="0.3">
      <c r="A34" s="13" t="s">
        <v>0</v>
      </c>
      <c r="B34" s="13" t="s">
        <v>2762</v>
      </c>
      <c r="C34" s="13">
        <v>16</v>
      </c>
      <c r="D34" s="13">
        <v>5</v>
      </c>
      <c r="E34" s="13">
        <v>17</v>
      </c>
    </row>
    <row r="35" spans="1:5" x14ac:dyDescent="0.3">
      <c r="A35" s="13" t="s">
        <v>0</v>
      </c>
      <c r="B35" s="13" t="s">
        <v>51</v>
      </c>
      <c r="C35" s="13">
        <v>5</v>
      </c>
      <c r="D35" s="13">
        <v>5</v>
      </c>
      <c r="E35" s="13">
        <v>5</v>
      </c>
    </row>
    <row r="36" spans="1:5" x14ac:dyDescent="0.3">
      <c r="A36" s="13" t="s">
        <v>1</v>
      </c>
      <c r="B36" s="13" t="s">
        <v>147</v>
      </c>
      <c r="C36" s="13">
        <v>5</v>
      </c>
      <c r="D36" s="13">
        <v>4</v>
      </c>
      <c r="E36" s="13">
        <v>6</v>
      </c>
    </row>
    <row r="37" spans="1:5" x14ac:dyDescent="0.3">
      <c r="A37" s="13" t="s">
        <v>1</v>
      </c>
      <c r="B37" s="13" t="s">
        <v>1988</v>
      </c>
      <c r="C37" s="13">
        <v>11</v>
      </c>
      <c r="D37" s="13">
        <v>4</v>
      </c>
      <c r="E37" s="13">
        <v>12</v>
      </c>
    </row>
    <row r="38" spans="1:5" x14ac:dyDescent="0.3">
      <c r="A38" s="13" t="s">
        <v>1</v>
      </c>
      <c r="B38" s="13" t="s">
        <v>1882</v>
      </c>
      <c r="C38" s="13">
        <v>5</v>
      </c>
      <c r="D38" s="13">
        <v>4</v>
      </c>
      <c r="E38" s="13">
        <v>5</v>
      </c>
    </row>
    <row r="39" spans="1:5" x14ac:dyDescent="0.3">
      <c r="A39" s="13" t="s">
        <v>1</v>
      </c>
      <c r="B39" s="13" t="s">
        <v>2203</v>
      </c>
      <c r="C39" s="13">
        <v>7</v>
      </c>
      <c r="D39" s="13">
        <v>4</v>
      </c>
      <c r="E39" s="13">
        <v>9</v>
      </c>
    </row>
    <row r="40" spans="1:5" x14ac:dyDescent="0.3">
      <c r="A40" s="13" t="s">
        <v>1</v>
      </c>
      <c r="B40" s="13" t="s">
        <v>2701</v>
      </c>
      <c r="C40" s="13">
        <v>15</v>
      </c>
      <c r="D40" s="13">
        <v>4</v>
      </c>
      <c r="E40" s="13">
        <v>29</v>
      </c>
    </row>
    <row r="41" spans="1:5" x14ac:dyDescent="0.3">
      <c r="A41" s="13" t="s">
        <v>1</v>
      </c>
      <c r="B41" s="13" t="s">
        <v>161</v>
      </c>
      <c r="C41" s="13">
        <v>5</v>
      </c>
      <c r="D41" s="13">
        <v>4</v>
      </c>
      <c r="E41" s="13">
        <v>6</v>
      </c>
    </row>
    <row r="42" spans="1:5" x14ac:dyDescent="0.3">
      <c r="A42" s="13" t="s">
        <v>1</v>
      </c>
      <c r="B42" s="13" t="s">
        <v>195</v>
      </c>
      <c r="C42" s="13">
        <v>4</v>
      </c>
      <c r="D42" s="13">
        <v>4</v>
      </c>
      <c r="E42" s="13">
        <v>4</v>
      </c>
    </row>
    <row r="43" spans="1:5" x14ac:dyDescent="0.3">
      <c r="A43" s="13" t="s">
        <v>1</v>
      </c>
      <c r="B43" s="13" t="s">
        <v>122</v>
      </c>
      <c r="C43" s="13">
        <v>4</v>
      </c>
      <c r="D43" s="13">
        <v>4</v>
      </c>
      <c r="E43" s="13">
        <v>4</v>
      </c>
    </row>
    <row r="44" spans="1:5" x14ac:dyDescent="0.3">
      <c r="A44" s="13" t="s">
        <v>1</v>
      </c>
      <c r="B44" s="13" t="s">
        <v>364</v>
      </c>
      <c r="C44" s="13">
        <v>7</v>
      </c>
      <c r="D44" s="13">
        <v>4</v>
      </c>
      <c r="E44" s="13">
        <v>8</v>
      </c>
    </row>
    <row r="45" spans="1:5" x14ac:dyDescent="0.3">
      <c r="A45" s="13" t="s">
        <v>1</v>
      </c>
      <c r="B45" s="13" t="s">
        <v>32</v>
      </c>
      <c r="C45" s="13">
        <v>13</v>
      </c>
      <c r="D45" s="13">
        <v>4</v>
      </c>
      <c r="E45" s="13">
        <v>17</v>
      </c>
    </row>
    <row r="46" spans="1:5" x14ac:dyDescent="0.3">
      <c r="A46" s="13" t="s">
        <v>0</v>
      </c>
      <c r="B46" s="13" t="s">
        <v>36</v>
      </c>
      <c r="C46" s="13">
        <v>4</v>
      </c>
      <c r="D46" s="13">
        <v>4</v>
      </c>
      <c r="E46" s="13">
        <v>4</v>
      </c>
    </row>
    <row r="47" spans="1:5" x14ac:dyDescent="0.3">
      <c r="A47" s="13" t="s">
        <v>0</v>
      </c>
      <c r="B47" s="13" t="s">
        <v>354</v>
      </c>
      <c r="C47" s="13">
        <v>4</v>
      </c>
      <c r="D47" s="13">
        <v>4</v>
      </c>
      <c r="E47" s="13">
        <v>4</v>
      </c>
    </row>
    <row r="48" spans="1:5" x14ac:dyDescent="0.3">
      <c r="A48" s="13" t="s">
        <v>0</v>
      </c>
      <c r="B48" s="13" t="s">
        <v>1948</v>
      </c>
      <c r="C48" s="13">
        <v>5</v>
      </c>
      <c r="D48" s="13">
        <v>4</v>
      </c>
      <c r="E48" s="13">
        <v>5</v>
      </c>
    </row>
    <row r="49" spans="1:5" x14ac:dyDescent="0.3">
      <c r="A49" s="13" t="s">
        <v>0</v>
      </c>
      <c r="B49" s="13" t="s">
        <v>35</v>
      </c>
      <c r="C49" s="13">
        <v>4</v>
      </c>
      <c r="D49" s="13">
        <v>4</v>
      </c>
      <c r="E49" s="13">
        <v>4</v>
      </c>
    </row>
    <row r="50" spans="1:5" x14ac:dyDescent="0.3">
      <c r="A50" s="13" t="s">
        <v>0</v>
      </c>
      <c r="B50" s="13" t="s">
        <v>37</v>
      </c>
      <c r="C50" s="13">
        <v>5</v>
      </c>
      <c r="D50" s="13">
        <v>4</v>
      </c>
      <c r="E50" s="13">
        <v>6</v>
      </c>
    </row>
    <row r="51" spans="1:5" x14ac:dyDescent="0.3">
      <c r="A51" s="13" t="s">
        <v>0</v>
      </c>
      <c r="B51" s="13" t="s">
        <v>39</v>
      </c>
      <c r="C51" s="13">
        <v>5</v>
      </c>
      <c r="D51" s="13">
        <v>4</v>
      </c>
      <c r="E51" s="13">
        <v>6</v>
      </c>
    </row>
    <row r="52" spans="1:5" x14ac:dyDescent="0.3">
      <c r="A52" s="13" t="s">
        <v>2</v>
      </c>
      <c r="B52" s="13" t="s">
        <v>1741</v>
      </c>
      <c r="C52" s="13">
        <v>5</v>
      </c>
      <c r="D52" s="13">
        <v>4</v>
      </c>
      <c r="E52" s="13">
        <v>7</v>
      </c>
    </row>
    <row r="53" spans="1:5" x14ac:dyDescent="0.3">
      <c r="A53" s="13" t="s">
        <v>1</v>
      </c>
      <c r="B53" s="13" t="s">
        <v>48</v>
      </c>
      <c r="C53" s="13">
        <v>8</v>
      </c>
      <c r="D53" s="13">
        <v>3</v>
      </c>
      <c r="E53" s="13">
        <v>7</v>
      </c>
    </row>
    <row r="54" spans="1:5" x14ac:dyDescent="0.3">
      <c r="A54" s="13" t="s">
        <v>1</v>
      </c>
      <c r="B54" s="13" t="s">
        <v>267</v>
      </c>
      <c r="C54" s="13">
        <v>4</v>
      </c>
      <c r="D54" s="13">
        <v>3</v>
      </c>
      <c r="E54" s="13">
        <v>3</v>
      </c>
    </row>
    <row r="55" spans="1:5" x14ac:dyDescent="0.3">
      <c r="A55" s="13" t="s">
        <v>1</v>
      </c>
      <c r="B55" s="13" t="s">
        <v>77</v>
      </c>
      <c r="C55" s="13">
        <v>3</v>
      </c>
      <c r="D55" s="13">
        <v>3</v>
      </c>
      <c r="E55" s="13">
        <v>3</v>
      </c>
    </row>
    <row r="56" spans="1:5" x14ac:dyDescent="0.3">
      <c r="A56" s="13" t="s">
        <v>1</v>
      </c>
      <c r="B56" s="13" t="s">
        <v>209</v>
      </c>
      <c r="C56" s="13">
        <v>5</v>
      </c>
      <c r="D56" s="13">
        <v>3</v>
      </c>
      <c r="E56" s="13">
        <v>5</v>
      </c>
    </row>
    <row r="57" spans="1:5" x14ac:dyDescent="0.3">
      <c r="A57" s="13" t="s">
        <v>1</v>
      </c>
      <c r="B57" s="13" t="s">
        <v>148</v>
      </c>
      <c r="C57" s="13">
        <v>4</v>
      </c>
      <c r="D57" s="13">
        <v>3</v>
      </c>
      <c r="E57" s="13">
        <v>4</v>
      </c>
    </row>
    <row r="58" spans="1:5" x14ac:dyDescent="0.3">
      <c r="A58" s="13" t="s">
        <v>1</v>
      </c>
      <c r="B58" s="13" t="s">
        <v>41</v>
      </c>
      <c r="C58" s="13">
        <v>5</v>
      </c>
      <c r="D58" s="13">
        <v>3</v>
      </c>
      <c r="E58" s="13">
        <v>5</v>
      </c>
    </row>
    <row r="59" spans="1:5" x14ac:dyDescent="0.3">
      <c r="A59" s="13" t="s">
        <v>1</v>
      </c>
      <c r="B59" s="13" t="s">
        <v>471</v>
      </c>
      <c r="C59" s="13">
        <v>3</v>
      </c>
      <c r="D59" s="13">
        <v>3</v>
      </c>
      <c r="E59" s="13">
        <v>3</v>
      </c>
    </row>
    <row r="60" spans="1:5" x14ac:dyDescent="0.3">
      <c r="A60" s="13" t="s">
        <v>1</v>
      </c>
      <c r="B60" s="13" t="s">
        <v>1674</v>
      </c>
      <c r="C60" s="13">
        <v>4</v>
      </c>
      <c r="D60" s="13">
        <v>3</v>
      </c>
      <c r="E60" s="13">
        <v>4</v>
      </c>
    </row>
    <row r="61" spans="1:5" x14ac:dyDescent="0.3">
      <c r="A61" s="13" t="s">
        <v>1</v>
      </c>
      <c r="B61" s="13" t="s">
        <v>1741</v>
      </c>
      <c r="C61" s="13">
        <v>5</v>
      </c>
      <c r="D61" s="13">
        <v>3</v>
      </c>
      <c r="E61" s="13">
        <v>6</v>
      </c>
    </row>
    <row r="62" spans="1:5" x14ac:dyDescent="0.3">
      <c r="A62" s="13" t="s">
        <v>1</v>
      </c>
      <c r="B62" s="13" t="s">
        <v>45</v>
      </c>
      <c r="C62" s="13">
        <v>3</v>
      </c>
      <c r="D62" s="13">
        <v>3</v>
      </c>
      <c r="E62" s="13">
        <v>3</v>
      </c>
    </row>
    <row r="63" spans="1:5" x14ac:dyDescent="0.3">
      <c r="A63" s="13" t="s">
        <v>1</v>
      </c>
      <c r="B63" s="13" t="s">
        <v>114</v>
      </c>
      <c r="C63" s="13">
        <v>3</v>
      </c>
      <c r="D63" s="13">
        <v>3</v>
      </c>
      <c r="E63" s="13">
        <v>3</v>
      </c>
    </row>
    <row r="64" spans="1:5" x14ac:dyDescent="0.3">
      <c r="A64" s="13" t="s">
        <v>1</v>
      </c>
      <c r="B64" s="13" t="s">
        <v>172</v>
      </c>
      <c r="C64" s="13">
        <v>3</v>
      </c>
      <c r="D64" s="13">
        <v>3</v>
      </c>
      <c r="E64" s="13">
        <v>3</v>
      </c>
    </row>
    <row r="65" spans="1:5" x14ac:dyDescent="0.3">
      <c r="A65" s="13" t="s">
        <v>1</v>
      </c>
      <c r="B65" s="13" t="s">
        <v>174</v>
      </c>
      <c r="C65" s="13">
        <v>3</v>
      </c>
      <c r="D65" s="13">
        <v>3</v>
      </c>
      <c r="E65" s="13">
        <v>4</v>
      </c>
    </row>
    <row r="66" spans="1:5" x14ac:dyDescent="0.3">
      <c r="A66" s="13" t="s">
        <v>1</v>
      </c>
      <c r="B66" s="13" t="s">
        <v>38</v>
      </c>
      <c r="C66" s="13">
        <v>5</v>
      </c>
      <c r="D66" s="13">
        <v>3</v>
      </c>
      <c r="E66" s="13">
        <v>5</v>
      </c>
    </row>
    <row r="67" spans="1:5" x14ac:dyDescent="0.3">
      <c r="A67" s="13" t="s">
        <v>1</v>
      </c>
      <c r="B67" s="13" t="s">
        <v>132</v>
      </c>
      <c r="C67" s="13">
        <v>5</v>
      </c>
      <c r="D67" s="13">
        <v>3</v>
      </c>
      <c r="E67" s="13">
        <v>5</v>
      </c>
    </row>
    <row r="68" spans="1:5" x14ac:dyDescent="0.3">
      <c r="A68" s="13" t="s">
        <v>1</v>
      </c>
      <c r="B68" s="13" t="s">
        <v>39</v>
      </c>
      <c r="C68" s="13">
        <v>10</v>
      </c>
      <c r="D68" s="13">
        <v>3</v>
      </c>
      <c r="E68" s="13">
        <v>20</v>
      </c>
    </row>
    <row r="69" spans="1:5" x14ac:dyDescent="0.3">
      <c r="A69" s="13" t="s">
        <v>0</v>
      </c>
      <c r="B69" s="13" t="s">
        <v>33</v>
      </c>
      <c r="C69" s="13">
        <v>4</v>
      </c>
      <c r="D69" s="13">
        <v>3</v>
      </c>
      <c r="E69" s="13">
        <v>6</v>
      </c>
    </row>
    <row r="70" spans="1:5" x14ac:dyDescent="0.3">
      <c r="A70" s="13" t="s">
        <v>0</v>
      </c>
      <c r="B70" s="13" t="s">
        <v>264</v>
      </c>
      <c r="C70" s="13">
        <v>3</v>
      </c>
      <c r="D70" s="13">
        <v>3</v>
      </c>
      <c r="E70" s="13">
        <v>4</v>
      </c>
    </row>
    <row r="71" spans="1:5" x14ac:dyDescent="0.3">
      <c r="A71" s="13" t="s">
        <v>0</v>
      </c>
      <c r="B71" s="13" t="s">
        <v>41</v>
      </c>
      <c r="C71" s="13">
        <v>3</v>
      </c>
      <c r="D71" s="13">
        <v>3</v>
      </c>
      <c r="E71" s="13">
        <v>3</v>
      </c>
    </row>
    <row r="72" spans="1:5" x14ac:dyDescent="0.3">
      <c r="A72" s="13" t="s">
        <v>0</v>
      </c>
      <c r="B72" s="13" t="s">
        <v>258</v>
      </c>
      <c r="C72" s="13">
        <v>3</v>
      </c>
      <c r="D72" s="13">
        <v>3</v>
      </c>
      <c r="E72" s="13">
        <v>3</v>
      </c>
    </row>
    <row r="73" spans="1:5" x14ac:dyDescent="0.3">
      <c r="A73" s="13" t="s">
        <v>0</v>
      </c>
      <c r="B73" s="13" t="s">
        <v>1034</v>
      </c>
      <c r="C73" s="13">
        <v>3</v>
      </c>
      <c r="D73" s="13">
        <v>3</v>
      </c>
      <c r="E73" s="13">
        <v>3</v>
      </c>
    </row>
    <row r="74" spans="1:5" x14ac:dyDescent="0.3">
      <c r="A74" s="13" t="s">
        <v>0</v>
      </c>
      <c r="B74" s="13" t="s">
        <v>111</v>
      </c>
      <c r="C74" s="13">
        <v>4</v>
      </c>
      <c r="D74" s="13">
        <v>3</v>
      </c>
      <c r="E74" s="13">
        <v>4</v>
      </c>
    </row>
    <row r="75" spans="1:5" x14ac:dyDescent="0.3">
      <c r="A75" s="13" t="s">
        <v>0</v>
      </c>
      <c r="B75" s="13" t="s">
        <v>120</v>
      </c>
      <c r="C75" s="13">
        <v>3</v>
      </c>
      <c r="D75" s="13">
        <v>3</v>
      </c>
      <c r="E75" s="13">
        <v>4</v>
      </c>
    </row>
    <row r="76" spans="1:5" x14ac:dyDescent="0.3">
      <c r="A76" s="13" t="s">
        <v>0</v>
      </c>
      <c r="B76" s="13" t="s">
        <v>1713</v>
      </c>
      <c r="C76" s="13">
        <v>3</v>
      </c>
      <c r="D76" s="13">
        <v>3</v>
      </c>
      <c r="E76" s="13">
        <v>3</v>
      </c>
    </row>
    <row r="77" spans="1:5" x14ac:dyDescent="0.3">
      <c r="A77" s="13" t="s">
        <v>2</v>
      </c>
      <c r="B77" s="13" t="s">
        <v>1663</v>
      </c>
      <c r="C77" s="13">
        <v>3</v>
      </c>
      <c r="D77" s="13">
        <v>3</v>
      </c>
      <c r="E77" s="13">
        <v>4</v>
      </c>
    </row>
    <row r="78" spans="1:5" x14ac:dyDescent="0.3">
      <c r="A78" s="13" t="s">
        <v>1</v>
      </c>
      <c r="B78" s="13" t="s">
        <v>36</v>
      </c>
      <c r="C78" s="13">
        <v>3</v>
      </c>
      <c r="D78" s="13">
        <v>2</v>
      </c>
      <c r="E78" s="13">
        <v>4</v>
      </c>
    </row>
    <row r="79" spans="1:5" x14ac:dyDescent="0.3">
      <c r="A79" s="13" t="s">
        <v>1</v>
      </c>
      <c r="B79" s="13" t="s">
        <v>47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33</v>
      </c>
      <c r="C80" s="13">
        <v>4</v>
      </c>
      <c r="D80" s="13">
        <v>2</v>
      </c>
      <c r="E80" s="13">
        <v>3</v>
      </c>
    </row>
    <row r="81" spans="1:5" x14ac:dyDescent="0.3">
      <c r="A81" s="13" t="s">
        <v>1</v>
      </c>
      <c r="B81" s="13" t="s">
        <v>264</v>
      </c>
      <c r="C81" s="13">
        <v>2</v>
      </c>
      <c r="D81" s="13">
        <v>2</v>
      </c>
      <c r="E81" s="13">
        <v>2</v>
      </c>
    </row>
    <row r="82" spans="1:5" x14ac:dyDescent="0.3">
      <c r="A82" s="13" t="s">
        <v>1</v>
      </c>
      <c r="B82" s="13" t="s">
        <v>34</v>
      </c>
      <c r="C82" s="13">
        <v>2</v>
      </c>
      <c r="D82" s="13">
        <v>2</v>
      </c>
      <c r="E82" s="13">
        <v>2</v>
      </c>
    </row>
    <row r="83" spans="1:5" x14ac:dyDescent="0.3">
      <c r="A83" s="13" t="s">
        <v>1</v>
      </c>
      <c r="B83" s="13" t="s">
        <v>304</v>
      </c>
      <c r="C83" s="13">
        <v>3</v>
      </c>
      <c r="D83" s="13">
        <v>2</v>
      </c>
      <c r="E83" s="13">
        <v>3</v>
      </c>
    </row>
    <row r="84" spans="1:5" x14ac:dyDescent="0.3">
      <c r="A84" s="13" t="s">
        <v>1</v>
      </c>
      <c r="B84" s="13" t="s">
        <v>500</v>
      </c>
      <c r="C84" s="13">
        <v>2</v>
      </c>
      <c r="D84" s="13">
        <v>2</v>
      </c>
      <c r="E84" s="13">
        <v>3</v>
      </c>
    </row>
    <row r="85" spans="1:5" x14ac:dyDescent="0.3">
      <c r="A85" s="13" t="s">
        <v>1</v>
      </c>
      <c r="B85" s="13" t="s">
        <v>145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87</v>
      </c>
      <c r="C86" s="13">
        <v>2</v>
      </c>
      <c r="D86" s="13">
        <v>2</v>
      </c>
      <c r="E86" s="13">
        <v>2</v>
      </c>
    </row>
    <row r="87" spans="1:5" x14ac:dyDescent="0.3">
      <c r="A87" s="13" t="s">
        <v>1</v>
      </c>
      <c r="B87" s="13" t="s">
        <v>149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90</v>
      </c>
      <c r="C88" s="13">
        <v>3</v>
      </c>
      <c r="D88" s="13">
        <v>2</v>
      </c>
      <c r="E88" s="13">
        <v>3</v>
      </c>
    </row>
    <row r="89" spans="1:5" x14ac:dyDescent="0.3">
      <c r="A89" s="13" t="s">
        <v>1</v>
      </c>
      <c r="B89" s="13" t="s">
        <v>91</v>
      </c>
      <c r="C89" s="13">
        <v>3</v>
      </c>
      <c r="D89" s="13">
        <v>2</v>
      </c>
      <c r="E89" s="13">
        <v>3</v>
      </c>
    </row>
    <row r="90" spans="1:5" x14ac:dyDescent="0.3">
      <c r="A90" s="13" t="s">
        <v>1</v>
      </c>
      <c r="B90" s="13" t="s">
        <v>611</v>
      </c>
      <c r="C90" s="13">
        <v>2</v>
      </c>
      <c r="D90" s="13">
        <v>2</v>
      </c>
      <c r="E90" s="13">
        <v>2</v>
      </c>
    </row>
    <row r="91" spans="1:5" x14ac:dyDescent="0.3">
      <c r="A91" s="13" t="s">
        <v>1</v>
      </c>
      <c r="B91" s="13" t="s">
        <v>42</v>
      </c>
      <c r="C91" s="13">
        <v>4</v>
      </c>
      <c r="D91" s="13">
        <v>2</v>
      </c>
      <c r="E91" s="13">
        <v>5</v>
      </c>
    </row>
    <row r="92" spans="1:5" x14ac:dyDescent="0.3">
      <c r="A92" s="13" t="s">
        <v>1</v>
      </c>
      <c r="B92" s="13" t="s">
        <v>1670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1885</v>
      </c>
      <c r="C93" s="13">
        <v>3</v>
      </c>
      <c r="D93" s="13">
        <v>2</v>
      </c>
      <c r="E93" s="13">
        <v>5</v>
      </c>
    </row>
    <row r="94" spans="1:5" x14ac:dyDescent="0.3">
      <c r="A94" s="13" t="s">
        <v>1</v>
      </c>
      <c r="B94" s="13" t="s">
        <v>2069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2093</v>
      </c>
      <c r="C95" s="13">
        <v>4</v>
      </c>
      <c r="D95" s="13">
        <v>2</v>
      </c>
      <c r="E95" s="13">
        <v>6</v>
      </c>
    </row>
    <row r="96" spans="1:5" x14ac:dyDescent="0.3">
      <c r="A96" s="13" t="s">
        <v>1</v>
      </c>
      <c r="B96" s="13" t="s">
        <v>95</v>
      </c>
      <c r="C96" s="13">
        <v>2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1780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99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156</v>
      </c>
      <c r="C99" s="13">
        <v>2</v>
      </c>
      <c r="D99" s="13">
        <v>2</v>
      </c>
      <c r="E99" s="13">
        <v>2</v>
      </c>
    </row>
    <row r="100" spans="1:5" x14ac:dyDescent="0.3">
      <c r="A100" s="13" t="s">
        <v>1</v>
      </c>
      <c r="B100" s="13" t="s">
        <v>562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1</v>
      </c>
      <c r="B101" s="13" t="s">
        <v>105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1</v>
      </c>
      <c r="B102" s="13" t="s">
        <v>619</v>
      </c>
      <c r="C102" s="13">
        <v>2</v>
      </c>
      <c r="D102" s="13">
        <v>2</v>
      </c>
      <c r="E102" s="13">
        <v>3</v>
      </c>
    </row>
    <row r="103" spans="1:5" x14ac:dyDescent="0.3">
      <c r="A103" s="13" t="s">
        <v>1</v>
      </c>
      <c r="B103" s="13" t="s">
        <v>109</v>
      </c>
      <c r="C103" s="13">
        <v>3</v>
      </c>
      <c r="D103" s="13">
        <v>2</v>
      </c>
      <c r="E103" s="13">
        <v>5</v>
      </c>
    </row>
    <row r="104" spans="1:5" x14ac:dyDescent="0.3">
      <c r="A104" s="13" t="s">
        <v>1</v>
      </c>
      <c r="B104" s="13" t="s">
        <v>113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1</v>
      </c>
      <c r="B105" s="13" t="s">
        <v>832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1</v>
      </c>
      <c r="B106" s="13" t="s">
        <v>402</v>
      </c>
      <c r="C106" s="13">
        <v>3</v>
      </c>
      <c r="D106" s="13">
        <v>2</v>
      </c>
      <c r="E106" s="13">
        <v>3</v>
      </c>
    </row>
    <row r="107" spans="1:5" x14ac:dyDescent="0.3">
      <c r="A107" s="13" t="s">
        <v>1</v>
      </c>
      <c r="B107" s="13" t="s">
        <v>661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335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63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1</v>
      </c>
      <c r="B110" s="13" t="s">
        <v>668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1</v>
      </c>
      <c r="B111" s="13" t="s">
        <v>52</v>
      </c>
      <c r="C111" s="13">
        <v>5</v>
      </c>
      <c r="D111" s="13">
        <v>2</v>
      </c>
      <c r="E111" s="13">
        <v>6</v>
      </c>
    </row>
    <row r="112" spans="1:5" x14ac:dyDescent="0.3">
      <c r="A112" s="13" t="s">
        <v>1</v>
      </c>
      <c r="B112" s="13" t="s">
        <v>484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1</v>
      </c>
      <c r="B113" s="13" t="s">
        <v>190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1</v>
      </c>
      <c r="B114" s="13" t="s">
        <v>666</v>
      </c>
      <c r="C114" s="13">
        <v>2</v>
      </c>
      <c r="D114" s="13">
        <v>2</v>
      </c>
      <c r="E114" s="13">
        <v>4</v>
      </c>
    </row>
    <row r="115" spans="1:5" x14ac:dyDescent="0.3">
      <c r="A115" s="13" t="s">
        <v>1</v>
      </c>
      <c r="B115" s="13" t="s">
        <v>191</v>
      </c>
      <c r="C115" s="13">
        <v>6</v>
      </c>
      <c r="D115" s="13">
        <v>2</v>
      </c>
      <c r="E115" s="13">
        <v>8</v>
      </c>
    </row>
    <row r="116" spans="1:5" x14ac:dyDescent="0.3">
      <c r="A116" s="13" t="s">
        <v>1</v>
      </c>
      <c r="B116" s="13" t="s">
        <v>232</v>
      </c>
      <c r="C116" s="13">
        <v>9</v>
      </c>
      <c r="D116" s="13">
        <v>2</v>
      </c>
      <c r="E116" s="13">
        <v>13</v>
      </c>
    </row>
    <row r="117" spans="1:5" x14ac:dyDescent="0.3">
      <c r="A117" s="13" t="s">
        <v>1</v>
      </c>
      <c r="B117" s="13" t="s">
        <v>56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1</v>
      </c>
      <c r="B118" s="13" t="s">
        <v>1177</v>
      </c>
      <c r="C118" s="13">
        <v>2</v>
      </c>
      <c r="D118" s="13">
        <v>2</v>
      </c>
      <c r="E118" s="13"/>
    </row>
    <row r="119" spans="1:5" x14ac:dyDescent="0.3">
      <c r="A119" s="13" t="s">
        <v>0</v>
      </c>
      <c r="B119" s="13" t="s">
        <v>553</v>
      </c>
      <c r="C119" s="13">
        <v>3</v>
      </c>
      <c r="D119" s="13">
        <v>2</v>
      </c>
      <c r="E119" s="13">
        <v>3</v>
      </c>
    </row>
    <row r="120" spans="1:5" x14ac:dyDescent="0.3">
      <c r="A120" s="13" t="s">
        <v>0</v>
      </c>
      <c r="B120" s="13" t="s">
        <v>262</v>
      </c>
      <c r="C120" s="13">
        <v>2</v>
      </c>
      <c r="D120" s="13">
        <v>2</v>
      </c>
      <c r="E120" s="13">
        <v>3</v>
      </c>
    </row>
    <row r="121" spans="1:5" x14ac:dyDescent="0.3">
      <c r="A121" s="13" t="s">
        <v>0</v>
      </c>
      <c r="B121" s="13" t="s">
        <v>34</v>
      </c>
      <c r="C121" s="13">
        <v>3</v>
      </c>
      <c r="D121" s="13">
        <v>2</v>
      </c>
      <c r="E121" s="13">
        <v>5</v>
      </c>
    </row>
    <row r="122" spans="1:5" x14ac:dyDescent="0.3">
      <c r="A122" s="13" t="s">
        <v>0</v>
      </c>
      <c r="B122" s="13" t="s">
        <v>304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217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0</v>
      </c>
      <c r="B124" s="13" t="s">
        <v>1471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1988</v>
      </c>
      <c r="C125" s="13">
        <v>4</v>
      </c>
      <c r="D125" s="13">
        <v>2</v>
      </c>
      <c r="E125" s="13">
        <v>5</v>
      </c>
    </row>
    <row r="126" spans="1:5" x14ac:dyDescent="0.3">
      <c r="A126" s="13" t="s">
        <v>0</v>
      </c>
      <c r="B126" s="13" t="s">
        <v>2179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0</v>
      </c>
      <c r="B127" s="13" t="s">
        <v>2734</v>
      </c>
      <c r="C127" s="13">
        <v>4</v>
      </c>
      <c r="D127" s="13">
        <v>2</v>
      </c>
      <c r="E127" s="13">
        <v>4</v>
      </c>
    </row>
    <row r="128" spans="1:5" x14ac:dyDescent="0.3">
      <c r="A128" s="13" t="s">
        <v>0</v>
      </c>
      <c r="B128" s="13" t="s">
        <v>889</v>
      </c>
      <c r="C128" s="13">
        <v>3</v>
      </c>
      <c r="D128" s="13">
        <v>2</v>
      </c>
      <c r="E128" s="13">
        <v>3</v>
      </c>
    </row>
    <row r="129" spans="1:5" x14ac:dyDescent="0.3">
      <c r="A129" s="13" t="s">
        <v>0</v>
      </c>
      <c r="B129" s="13" t="s">
        <v>311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0</v>
      </c>
      <c r="B130" s="13" t="s">
        <v>165</v>
      </c>
      <c r="C130" s="13">
        <v>2</v>
      </c>
      <c r="D130" s="13">
        <v>2</v>
      </c>
      <c r="E130" s="13">
        <v>3</v>
      </c>
    </row>
    <row r="131" spans="1:5" x14ac:dyDescent="0.3">
      <c r="A131" s="13" t="s">
        <v>0</v>
      </c>
      <c r="B131" s="13" t="s">
        <v>394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109</v>
      </c>
      <c r="C132" s="13">
        <v>2</v>
      </c>
      <c r="D132" s="13">
        <v>2</v>
      </c>
      <c r="E132" s="13">
        <v>2</v>
      </c>
    </row>
    <row r="133" spans="1:5" x14ac:dyDescent="0.3">
      <c r="A133" s="13" t="s">
        <v>0</v>
      </c>
      <c r="B133" s="13" t="s">
        <v>279</v>
      </c>
      <c r="C133" s="13">
        <v>2</v>
      </c>
      <c r="D133" s="13">
        <v>2</v>
      </c>
      <c r="E133" s="13">
        <v>2</v>
      </c>
    </row>
    <row r="134" spans="1:5" x14ac:dyDescent="0.3">
      <c r="A134" s="13" t="s">
        <v>0</v>
      </c>
      <c r="B134" s="13" t="s">
        <v>45</v>
      </c>
      <c r="C134" s="13">
        <v>2</v>
      </c>
      <c r="D134" s="13">
        <v>2</v>
      </c>
      <c r="E134" s="13">
        <v>2</v>
      </c>
    </row>
    <row r="135" spans="1:5" x14ac:dyDescent="0.3">
      <c r="A135" s="13" t="s">
        <v>0</v>
      </c>
      <c r="B135" s="13" t="s">
        <v>321</v>
      </c>
      <c r="C135" s="13">
        <v>2</v>
      </c>
      <c r="D135" s="13">
        <v>2</v>
      </c>
      <c r="E135" s="13">
        <v>3</v>
      </c>
    </row>
    <row r="136" spans="1:5" x14ac:dyDescent="0.3">
      <c r="A136" s="13" t="s">
        <v>0</v>
      </c>
      <c r="B136" s="13" t="s">
        <v>523</v>
      </c>
      <c r="C136" s="13">
        <v>2</v>
      </c>
      <c r="D136" s="13">
        <v>2</v>
      </c>
      <c r="E136" s="13">
        <v>2</v>
      </c>
    </row>
    <row r="137" spans="1:5" x14ac:dyDescent="0.3">
      <c r="A137" s="13" t="s">
        <v>0</v>
      </c>
      <c r="B137" s="13" t="s">
        <v>114</v>
      </c>
      <c r="C137" s="13">
        <v>2</v>
      </c>
      <c r="D137" s="13">
        <v>2</v>
      </c>
      <c r="E137" s="13">
        <v>3</v>
      </c>
    </row>
    <row r="138" spans="1:5" x14ac:dyDescent="0.3">
      <c r="A138" s="13" t="s">
        <v>0</v>
      </c>
      <c r="B138" s="13" t="s">
        <v>62</v>
      </c>
      <c r="C138" s="13">
        <v>2</v>
      </c>
      <c r="D138" s="13">
        <v>2</v>
      </c>
      <c r="E138" s="13">
        <v>2</v>
      </c>
    </row>
    <row r="139" spans="1:5" x14ac:dyDescent="0.3">
      <c r="A139" s="13" t="s">
        <v>0</v>
      </c>
      <c r="B139" s="13" t="s">
        <v>1324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0</v>
      </c>
      <c r="B140" s="13" t="s">
        <v>255</v>
      </c>
      <c r="C140" s="13">
        <v>2</v>
      </c>
      <c r="D140" s="13">
        <v>2</v>
      </c>
      <c r="E140" s="13">
        <v>2</v>
      </c>
    </row>
    <row r="141" spans="1:5" x14ac:dyDescent="0.3">
      <c r="A141" s="13" t="s">
        <v>1</v>
      </c>
      <c r="B141" s="13" t="s">
        <v>2763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377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238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487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368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1487</v>
      </c>
      <c r="C146" s="13">
        <v>2</v>
      </c>
      <c r="D146" s="13">
        <v>1</v>
      </c>
      <c r="E146" s="13">
        <v>2</v>
      </c>
    </row>
    <row r="147" spans="1:5" x14ac:dyDescent="0.3">
      <c r="A147" s="13" t="s">
        <v>1</v>
      </c>
      <c r="B147" s="13" t="s">
        <v>199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240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70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875</v>
      </c>
      <c r="C150" s="13">
        <v>2</v>
      </c>
      <c r="D150" s="13">
        <v>1</v>
      </c>
      <c r="E150" s="13">
        <v>2</v>
      </c>
    </row>
    <row r="151" spans="1:5" x14ac:dyDescent="0.3">
      <c r="A151" s="13" t="s">
        <v>1</v>
      </c>
      <c r="B151" s="13" t="s">
        <v>851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301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490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262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373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470</v>
      </c>
      <c r="C156" s="13">
        <v>1</v>
      </c>
      <c r="D156" s="13">
        <v>1</v>
      </c>
      <c r="E156" s="13">
        <v>2</v>
      </c>
    </row>
    <row r="157" spans="1:5" x14ac:dyDescent="0.3">
      <c r="A157" s="13" t="s">
        <v>1</v>
      </c>
      <c r="B157" s="13" t="s">
        <v>372</v>
      </c>
      <c r="C157" s="13">
        <v>2</v>
      </c>
      <c r="D157" s="13">
        <v>1</v>
      </c>
      <c r="E157" s="13">
        <v>2</v>
      </c>
    </row>
    <row r="158" spans="1:5" x14ac:dyDescent="0.3">
      <c r="A158" s="13" t="s">
        <v>1</v>
      </c>
      <c r="B158" s="13" t="s">
        <v>656</v>
      </c>
      <c r="C158" s="13">
        <v>1</v>
      </c>
      <c r="D158" s="13">
        <v>1</v>
      </c>
      <c r="E158" s="13">
        <v>2</v>
      </c>
    </row>
    <row r="159" spans="1:5" x14ac:dyDescent="0.3">
      <c r="A159" s="13" t="s">
        <v>1</v>
      </c>
      <c r="B159" s="13" t="s">
        <v>73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375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670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140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204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446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596</v>
      </c>
      <c r="C165" s="13">
        <v>1</v>
      </c>
      <c r="D165" s="13">
        <v>1</v>
      </c>
      <c r="E165" s="13">
        <v>2</v>
      </c>
    </row>
    <row r="166" spans="1:5" x14ac:dyDescent="0.3">
      <c r="A166" s="13" t="s">
        <v>1</v>
      </c>
      <c r="B166" s="13" t="s">
        <v>790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206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2764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1227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346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243</v>
      </c>
      <c r="C171" s="13">
        <v>2</v>
      </c>
      <c r="D171" s="13">
        <v>1</v>
      </c>
      <c r="E171" s="13">
        <v>2</v>
      </c>
    </row>
    <row r="172" spans="1:5" x14ac:dyDescent="0.3">
      <c r="A172" s="13" t="s">
        <v>1</v>
      </c>
      <c r="B172" s="13" t="s">
        <v>78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557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813</v>
      </c>
      <c r="C174" s="13">
        <v>2</v>
      </c>
      <c r="D174" s="13">
        <v>1</v>
      </c>
      <c r="E174" s="13">
        <v>2</v>
      </c>
    </row>
    <row r="175" spans="1:5" x14ac:dyDescent="0.3">
      <c r="A175" s="13" t="s">
        <v>1</v>
      </c>
      <c r="B175" s="13" t="s">
        <v>2095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260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210</v>
      </c>
      <c r="C177" s="13">
        <v>2</v>
      </c>
      <c r="D177" s="13">
        <v>1</v>
      </c>
      <c r="E177" s="13">
        <v>3</v>
      </c>
    </row>
    <row r="178" spans="1:5" x14ac:dyDescent="0.3">
      <c r="A178" s="13" t="s">
        <v>1</v>
      </c>
      <c r="B178" s="13" t="s">
        <v>144</v>
      </c>
      <c r="C178" s="13">
        <v>3</v>
      </c>
      <c r="D178" s="13">
        <v>1</v>
      </c>
      <c r="E178" s="13">
        <v>3</v>
      </c>
    </row>
    <row r="179" spans="1:5" x14ac:dyDescent="0.3">
      <c r="A179" s="13" t="s">
        <v>1</v>
      </c>
      <c r="B179" s="13" t="s">
        <v>82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83</v>
      </c>
      <c r="C180" s="13">
        <v>4</v>
      </c>
      <c r="D180" s="13">
        <v>1</v>
      </c>
      <c r="E180" s="13">
        <v>5</v>
      </c>
    </row>
    <row r="181" spans="1:5" x14ac:dyDescent="0.3">
      <c r="A181" s="13" t="s">
        <v>1</v>
      </c>
      <c r="B181" s="13" t="s">
        <v>1209</v>
      </c>
      <c r="C181" s="13">
        <v>1</v>
      </c>
      <c r="D181" s="13">
        <v>1</v>
      </c>
      <c r="E181" s="13">
        <v>2</v>
      </c>
    </row>
    <row r="182" spans="1:5" x14ac:dyDescent="0.3">
      <c r="A182" s="13" t="s">
        <v>1</v>
      </c>
      <c r="B182" s="13" t="s">
        <v>1472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257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1249</v>
      </c>
      <c r="C184" s="13">
        <v>2</v>
      </c>
      <c r="D184" s="13">
        <v>1</v>
      </c>
      <c r="E184" s="13">
        <v>2</v>
      </c>
    </row>
    <row r="185" spans="1:5" x14ac:dyDescent="0.3">
      <c r="A185" s="13" t="s">
        <v>1</v>
      </c>
      <c r="B185" s="13" t="s">
        <v>464</v>
      </c>
      <c r="C185" s="13">
        <v>2</v>
      </c>
      <c r="D185" s="13">
        <v>1</v>
      </c>
      <c r="E185" s="13">
        <v>3</v>
      </c>
    </row>
    <row r="186" spans="1:5" x14ac:dyDescent="0.3">
      <c r="A186" s="13" t="s">
        <v>1</v>
      </c>
      <c r="B186" s="13" t="s">
        <v>605</v>
      </c>
      <c r="C186" s="13">
        <v>2</v>
      </c>
      <c r="D186" s="13">
        <v>1</v>
      </c>
      <c r="E186" s="13">
        <v>2</v>
      </c>
    </row>
    <row r="187" spans="1:5" x14ac:dyDescent="0.3">
      <c r="A187" s="13" t="s">
        <v>1</v>
      </c>
      <c r="B187" s="13" t="s">
        <v>212</v>
      </c>
      <c r="C187" s="13">
        <v>2</v>
      </c>
      <c r="D187" s="13">
        <v>1</v>
      </c>
      <c r="E187" s="13">
        <v>3</v>
      </c>
    </row>
    <row r="188" spans="1:5" x14ac:dyDescent="0.3">
      <c r="A188" s="13" t="s">
        <v>1</v>
      </c>
      <c r="B188" s="13" t="s">
        <v>89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1182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1727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217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805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150</v>
      </c>
      <c r="C193" s="13">
        <v>2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885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92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219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425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761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356</v>
      </c>
      <c r="C199" s="13">
        <v>2</v>
      </c>
      <c r="D199" s="13">
        <v>1</v>
      </c>
      <c r="E199" s="13">
        <v>3</v>
      </c>
    </row>
    <row r="200" spans="1:5" x14ac:dyDescent="0.3">
      <c r="A200" s="13" t="s">
        <v>1</v>
      </c>
      <c r="B200" s="13" t="s">
        <v>93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1485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1570</v>
      </c>
      <c r="C202" s="13">
        <v>2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1621</v>
      </c>
      <c r="C203" s="13">
        <v>2</v>
      </c>
      <c r="D203" s="13">
        <v>1</v>
      </c>
      <c r="E203" s="13">
        <v>2</v>
      </c>
    </row>
    <row r="204" spans="1:5" x14ac:dyDescent="0.3">
      <c r="A204" s="13" t="s">
        <v>1</v>
      </c>
      <c r="B204" s="13" t="s">
        <v>1899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1883</v>
      </c>
      <c r="C205" s="13">
        <v>2</v>
      </c>
      <c r="D205" s="13">
        <v>1</v>
      </c>
      <c r="E205" s="13">
        <v>2</v>
      </c>
    </row>
    <row r="206" spans="1:5" x14ac:dyDescent="0.3">
      <c r="A206" s="13" t="s">
        <v>1</v>
      </c>
      <c r="B206" s="13" t="s">
        <v>1989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2018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2138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2425</v>
      </c>
      <c r="C209" s="13">
        <v>3</v>
      </c>
      <c r="D209" s="13">
        <v>1</v>
      </c>
      <c r="E209" s="13">
        <v>3</v>
      </c>
    </row>
    <row r="210" spans="1:5" x14ac:dyDescent="0.3">
      <c r="A210" s="13" t="s">
        <v>1</v>
      </c>
      <c r="B210" s="13" t="s">
        <v>678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426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505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155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388</v>
      </c>
      <c r="C214" s="13">
        <v>1</v>
      </c>
      <c r="D214" s="13">
        <v>1</v>
      </c>
      <c r="E214" s="13">
        <v>2</v>
      </c>
    </row>
    <row r="215" spans="1:5" x14ac:dyDescent="0.3">
      <c r="A215" s="13" t="s">
        <v>1</v>
      </c>
      <c r="B215" s="13" t="s">
        <v>2765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2737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49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507</v>
      </c>
      <c r="C218" s="13">
        <v>2</v>
      </c>
      <c r="D218" s="13">
        <v>1</v>
      </c>
      <c r="E218" s="13">
        <v>2</v>
      </c>
    </row>
    <row r="219" spans="1:5" x14ac:dyDescent="0.3">
      <c r="A219" s="13" t="s">
        <v>1</v>
      </c>
      <c r="B219" s="13" t="s">
        <v>1179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35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476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889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2766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1575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2767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560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795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1034</v>
      </c>
      <c r="C228" s="13">
        <v>1</v>
      </c>
      <c r="D228" s="13">
        <v>1</v>
      </c>
      <c r="E228" s="13">
        <v>3</v>
      </c>
    </row>
    <row r="229" spans="1:5" x14ac:dyDescent="0.3">
      <c r="A229" s="13" t="s">
        <v>1</v>
      </c>
      <c r="B229" s="13" t="s">
        <v>391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1127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1254</v>
      </c>
      <c r="C231" s="13">
        <v>1</v>
      </c>
      <c r="D231" s="13">
        <v>1</v>
      </c>
      <c r="E231" s="13">
        <v>2</v>
      </c>
    </row>
    <row r="232" spans="1:5" x14ac:dyDescent="0.3">
      <c r="A232" s="13" t="s">
        <v>1</v>
      </c>
      <c r="B232" s="13" t="s">
        <v>357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28</v>
      </c>
      <c r="C233" s="13">
        <v>1</v>
      </c>
      <c r="D233" s="13">
        <v>1</v>
      </c>
      <c r="E233" s="13">
        <v>2</v>
      </c>
    </row>
    <row r="234" spans="1:5" x14ac:dyDescent="0.3">
      <c r="A234" s="13" t="s">
        <v>1</v>
      </c>
      <c r="B234" s="13" t="s">
        <v>1994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2190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1626</v>
      </c>
      <c r="C236" s="13">
        <v>1</v>
      </c>
      <c r="D236" s="13">
        <v>1</v>
      </c>
      <c r="E236" s="13">
        <v>2</v>
      </c>
    </row>
    <row r="237" spans="1:5" x14ac:dyDescent="0.3">
      <c r="A237" s="13" t="s">
        <v>1</v>
      </c>
      <c r="B237" s="13" t="s">
        <v>1071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2768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106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1186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107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940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165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1491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278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110</v>
      </c>
      <c r="C246" s="13">
        <v>1</v>
      </c>
      <c r="D246" s="13">
        <v>1</v>
      </c>
      <c r="E246" s="13">
        <v>2</v>
      </c>
    </row>
    <row r="247" spans="1:5" x14ac:dyDescent="0.3">
      <c r="A247" s="13" t="s">
        <v>1</v>
      </c>
      <c r="B247" s="13" t="s">
        <v>1132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169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111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862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512</v>
      </c>
      <c r="C251" s="13">
        <v>2</v>
      </c>
      <c r="D251" s="13">
        <v>1</v>
      </c>
      <c r="E251" s="13">
        <v>3</v>
      </c>
    </row>
    <row r="252" spans="1:5" x14ac:dyDescent="0.3">
      <c r="A252" s="13" t="s">
        <v>1</v>
      </c>
      <c r="B252" s="13" t="s">
        <v>513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281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2769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1809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170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2770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2064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568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430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1446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1974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736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1697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893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2771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319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320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358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1620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864</v>
      </c>
      <c r="C271" s="13">
        <v>2</v>
      </c>
      <c r="D271" s="13">
        <v>1</v>
      </c>
      <c r="E271" s="13">
        <v>5</v>
      </c>
    </row>
    <row r="272" spans="1:5" x14ac:dyDescent="0.3">
      <c r="A272" s="13" t="s">
        <v>1</v>
      </c>
      <c r="B272" s="13" t="s">
        <v>322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2772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226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1137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360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696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525</v>
      </c>
      <c r="C278" s="13">
        <v>2</v>
      </c>
      <c r="D278" s="13">
        <v>1</v>
      </c>
      <c r="E278" s="13">
        <v>2</v>
      </c>
    </row>
    <row r="279" spans="1:5" x14ac:dyDescent="0.3">
      <c r="A279" s="13" t="s">
        <v>1</v>
      </c>
      <c r="B279" s="13" t="s">
        <v>326</v>
      </c>
      <c r="C279" s="13">
        <v>2</v>
      </c>
      <c r="D279" s="13">
        <v>1</v>
      </c>
      <c r="E279" s="13">
        <v>2</v>
      </c>
    </row>
    <row r="280" spans="1:5" x14ac:dyDescent="0.3">
      <c r="A280" s="13" t="s">
        <v>1</v>
      </c>
      <c r="B280" s="13" t="s">
        <v>1543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2260</v>
      </c>
      <c r="C281" s="13">
        <v>1</v>
      </c>
      <c r="D281" s="13">
        <v>1</v>
      </c>
      <c r="E281" s="13">
        <v>2</v>
      </c>
    </row>
    <row r="282" spans="1:5" x14ac:dyDescent="0.3">
      <c r="A282" s="13" t="s">
        <v>1</v>
      </c>
      <c r="B282" s="13" t="s">
        <v>115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1535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648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1074</v>
      </c>
      <c r="C285" s="13">
        <v>1</v>
      </c>
      <c r="D285" s="13">
        <v>1</v>
      </c>
      <c r="E285" s="13">
        <v>4</v>
      </c>
    </row>
    <row r="286" spans="1:5" x14ac:dyDescent="0.3">
      <c r="A286" s="13" t="s">
        <v>1</v>
      </c>
      <c r="B286" s="13" t="s">
        <v>1038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1616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836</v>
      </c>
      <c r="C288" s="13">
        <v>2</v>
      </c>
      <c r="D288" s="13">
        <v>1</v>
      </c>
      <c r="E288" s="13">
        <v>2</v>
      </c>
    </row>
    <row r="289" spans="1:5" x14ac:dyDescent="0.3">
      <c r="A289" s="13" t="s">
        <v>1</v>
      </c>
      <c r="B289" s="13" t="s">
        <v>478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2301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2059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331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455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119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631</v>
      </c>
      <c r="C295" s="13">
        <v>2</v>
      </c>
      <c r="D295" s="13">
        <v>1</v>
      </c>
      <c r="E295" s="13">
        <v>3</v>
      </c>
    </row>
    <row r="296" spans="1:5" x14ac:dyDescent="0.3">
      <c r="A296" s="13" t="s">
        <v>1</v>
      </c>
      <c r="B296" s="13" t="s">
        <v>62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838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406</v>
      </c>
      <c r="C298" s="13">
        <v>2</v>
      </c>
      <c r="D298" s="13">
        <v>1</v>
      </c>
      <c r="E298" s="13">
        <v>4</v>
      </c>
    </row>
    <row r="299" spans="1:5" x14ac:dyDescent="0.3">
      <c r="A299" s="13" t="s">
        <v>1</v>
      </c>
      <c r="B299" s="13" t="s">
        <v>2188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705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1042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291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842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1275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954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176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535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177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124</v>
      </c>
      <c r="C309" s="13">
        <v>2</v>
      </c>
      <c r="D309" s="13">
        <v>1</v>
      </c>
      <c r="E309" s="13">
        <v>2</v>
      </c>
    </row>
    <row r="310" spans="1:5" x14ac:dyDescent="0.3">
      <c r="A310" s="13" t="s">
        <v>1</v>
      </c>
      <c r="B310" s="13" t="s">
        <v>577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1678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467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2594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181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255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339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744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184</v>
      </c>
      <c r="C318" s="13">
        <v>1</v>
      </c>
      <c r="D318" s="13">
        <v>1</v>
      </c>
      <c r="E318" s="13">
        <v>2</v>
      </c>
    </row>
    <row r="319" spans="1:5" x14ac:dyDescent="0.3">
      <c r="A319" s="13" t="s">
        <v>1</v>
      </c>
      <c r="B319" s="13" t="s">
        <v>127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2575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129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1046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185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1416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715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439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867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131</v>
      </c>
      <c r="C328" s="13">
        <v>2</v>
      </c>
      <c r="D328" s="13">
        <v>1</v>
      </c>
      <c r="E328" s="13">
        <v>5</v>
      </c>
    </row>
    <row r="329" spans="1:5" x14ac:dyDescent="0.3">
      <c r="A329" s="13" t="s">
        <v>1</v>
      </c>
      <c r="B329" s="13" t="s">
        <v>782</v>
      </c>
      <c r="C329" s="13">
        <v>2</v>
      </c>
      <c r="D329" s="13">
        <v>1</v>
      </c>
      <c r="E329" s="13">
        <v>2</v>
      </c>
    </row>
    <row r="330" spans="1:5" x14ac:dyDescent="0.3">
      <c r="A330" s="13" t="s">
        <v>1</v>
      </c>
      <c r="B330" s="13" t="s">
        <v>340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540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1</v>
      </c>
      <c r="B332" s="13" t="s">
        <v>748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1</v>
      </c>
      <c r="B333" s="13" t="s">
        <v>802</v>
      </c>
      <c r="C333" s="13">
        <v>2</v>
      </c>
      <c r="D333" s="13">
        <v>1</v>
      </c>
      <c r="E333" s="13">
        <v>3</v>
      </c>
    </row>
    <row r="334" spans="1:5" x14ac:dyDescent="0.3">
      <c r="A334" s="13" t="s">
        <v>1</v>
      </c>
      <c r="B334" s="13" t="s">
        <v>716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2773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1219</v>
      </c>
      <c r="C336" s="13">
        <v>2</v>
      </c>
      <c r="D336" s="13">
        <v>1</v>
      </c>
      <c r="E336" s="13">
        <v>2</v>
      </c>
    </row>
    <row r="337" spans="1:5" x14ac:dyDescent="0.3">
      <c r="A337" s="13" t="s">
        <v>1</v>
      </c>
      <c r="B337" s="13" t="s">
        <v>1119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1</v>
      </c>
      <c r="B338" s="13" t="s">
        <v>53</v>
      </c>
      <c r="C338" s="13">
        <v>2</v>
      </c>
      <c r="D338" s="13">
        <v>1</v>
      </c>
      <c r="E338" s="13">
        <v>2</v>
      </c>
    </row>
    <row r="339" spans="1:5" x14ac:dyDescent="0.3">
      <c r="A339" s="13" t="s">
        <v>1</v>
      </c>
      <c r="B339" s="13" t="s">
        <v>803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959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1</v>
      </c>
      <c r="B341" s="13" t="s">
        <v>1059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1</v>
      </c>
      <c r="B342" s="13" t="s">
        <v>2774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1</v>
      </c>
      <c r="B343" s="13" t="s">
        <v>1220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1</v>
      </c>
      <c r="B344" s="13" t="s">
        <v>960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1</v>
      </c>
      <c r="B345" s="13" t="s">
        <v>2775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1</v>
      </c>
      <c r="B346" s="13" t="s">
        <v>134</v>
      </c>
      <c r="C346" s="13">
        <v>2</v>
      </c>
      <c r="D346" s="13">
        <v>1</v>
      </c>
      <c r="E346" s="13">
        <v>3</v>
      </c>
    </row>
    <row r="347" spans="1:5" x14ac:dyDescent="0.3">
      <c r="A347" s="13" t="s">
        <v>1</v>
      </c>
      <c r="B347" s="13" t="s">
        <v>233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1</v>
      </c>
      <c r="B348" s="13" t="s">
        <v>54</v>
      </c>
      <c r="C348" s="13">
        <v>2</v>
      </c>
      <c r="D348" s="13">
        <v>1</v>
      </c>
      <c r="E348" s="13">
        <v>3</v>
      </c>
    </row>
    <row r="349" spans="1:5" x14ac:dyDescent="0.3">
      <c r="A349" s="13" t="s">
        <v>1</v>
      </c>
      <c r="B349" s="13" t="s">
        <v>55</v>
      </c>
      <c r="C349" s="13">
        <v>5</v>
      </c>
      <c r="D349" s="13">
        <v>1</v>
      </c>
      <c r="E349" s="13">
        <v>6</v>
      </c>
    </row>
    <row r="350" spans="1:5" x14ac:dyDescent="0.3">
      <c r="A350" s="13" t="s">
        <v>1</v>
      </c>
      <c r="B350" s="13" t="s">
        <v>1078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1</v>
      </c>
      <c r="B351" s="13" t="s">
        <v>979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1</v>
      </c>
      <c r="B352" s="13" t="s">
        <v>546</v>
      </c>
      <c r="C352" s="13">
        <v>1</v>
      </c>
      <c r="D352" s="13">
        <v>1</v>
      </c>
      <c r="E352" s="13"/>
    </row>
    <row r="353" spans="1:5" x14ac:dyDescent="0.3">
      <c r="A353" s="13" t="s">
        <v>1</v>
      </c>
      <c r="B353" s="13" t="s">
        <v>2776</v>
      </c>
      <c r="C353" s="13">
        <v>1</v>
      </c>
      <c r="D353" s="13">
        <v>1</v>
      </c>
      <c r="E353" s="13"/>
    </row>
    <row r="354" spans="1:5" x14ac:dyDescent="0.3">
      <c r="A354" s="13" t="s">
        <v>1</v>
      </c>
      <c r="B354" s="13" t="s">
        <v>1147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1</v>
      </c>
      <c r="B355" s="13" t="s">
        <v>849</v>
      </c>
      <c r="C355" s="13">
        <v>1</v>
      </c>
      <c r="D355" s="13">
        <v>1</v>
      </c>
      <c r="E355" s="13"/>
    </row>
    <row r="356" spans="1:5" x14ac:dyDescent="0.3">
      <c r="A356" s="13" t="s">
        <v>1</v>
      </c>
      <c r="B356" s="13" t="s">
        <v>1333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1</v>
      </c>
      <c r="B357" s="13" t="s">
        <v>1468</v>
      </c>
      <c r="C357" s="13">
        <v>1</v>
      </c>
      <c r="D357" s="13">
        <v>1</v>
      </c>
      <c r="E357" s="13"/>
    </row>
    <row r="358" spans="1:5" x14ac:dyDescent="0.3">
      <c r="A358" s="13" t="s">
        <v>1</v>
      </c>
      <c r="B358" s="13" t="s">
        <v>1869</v>
      </c>
      <c r="C358" s="13">
        <v>1</v>
      </c>
      <c r="D358" s="13">
        <v>2</v>
      </c>
      <c r="E358" s="13"/>
    </row>
    <row r="359" spans="1:5" x14ac:dyDescent="0.3">
      <c r="A359" s="13" t="s">
        <v>1</v>
      </c>
      <c r="B359" s="13" t="s">
        <v>1773</v>
      </c>
      <c r="C359" s="13">
        <v>1</v>
      </c>
      <c r="D359" s="13">
        <v>2</v>
      </c>
      <c r="E359" s="13"/>
    </row>
    <row r="360" spans="1:5" x14ac:dyDescent="0.3">
      <c r="A360" s="13" t="s">
        <v>1</v>
      </c>
      <c r="B360" s="13" t="s">
        <v>2777</v>
      </c>
      <c r="C360" s="13">
        <v>1</v>
      </c>
      <c r="D360" s="13">
        <v>1</v>
      </c>
      <c r="E360" s="13"/>
    </row>
    <row r="361" spans="1:5" x14ac:dyDescent="0.3">
      <c r="A361" s="13" t="s">
        <v>1</v>
      </c>
      <c r="B361" s="13" t="s">
        <v>2778</v>
      </c>
      <c r="C361" s="13">
        <v>1</v>
      </c>
      <c r="D361" s="13">
        <v>1</v>
      </c>
      <c r="E361" s="13"/>
    </row>
    <row r="362" spans="1:5" x14ac:dyDescent="0.3">
      <c r="A362" s="13" t="s">
        <v>1</v>
      </c>
      <c r="B362" s="13" t="s">
        <v>2255</v>
      </c>
      <c r="C362" s="13">
        <v>1</v>
      </c>
      <c r="D362" s="13">
        <v>1</v>
      </c>
      <c r="E362" s="13"/>
    </row>
    <row r="363" spans="1:5" x14ac:dyDescent="0.3">
      <c r="A363" s="13" t="s">
        <v>1</v>
      </c>
      <c r="B363" s="13" t="s">
        <v>1665</v>
      </c>
      <c r="C363" s="13">
        <v>1</v>
      </c>
      <c r="D363" s="13">
        <v>1</v>
      </c>
      <c r="E363" s="13">
        <v>3</v>
      </c>
    </row>
    <row r="364" spans="1:5" x14ac:dyDescent="0.3">
      <c r="A364" s="13" t="s">
        <v>1</v>
      </c>
      <c r="B364" s="13" t="s">
        <v>980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1</v>
      </c>
      <c r="B365" s="13" t="s">
        <v>722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1</v>
      </c>
      <c r="B366" s="13" t="s">
        <v>2779</v>
      </c>
      <c r="C366" s="13">
        <v>1</v>
      </c>
      <c r="D366" s="13">
        <v>1</v>
      </c>
      <c r="E366" s="13">
        <v>2</v>
      </c>
    </row>
    <row r="367" spans="1:5" x14ac:dyDescent="0.3">
      <c r="A367" s="13" t="s">
        <v>1</v>
      </c>
      <c r="B367" s="13" t="s">
        <v>1062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1</v>
      </c>
      <c r="B368" s="13" t="s">
        <v>2780</v>
      </c>
      <c r="C368" s="13">
        <v>1</v>
      </c>
      <c r="D368" s="13">
        <v>1</v>
      </c>
      <c r="E368" s="13"/>
    </row>
    <row r="369" spans="1:5" x14ac:dyDescent="0.3">
      <c r="A369" s="13" t="s">
        <v>1</v>
      </c>
      <c r="B369" s="13" t="s">
        <v>1310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1</v>
      </c>
      <c r="B370" s="13" t="s">
        <v>2781</v>
      </c>
      <c r="C370" s="13">
        <v>1</v>
      </c>
      <c r="D370" s="13">
        <v>1</v>
      </c>
      <c r="E370" s="13"/>
    </row>
    <row r="371" spans="1:5" x14ac:dyDescent="0.3">
      <c r="A371" s="13" t="s">
        <v>1</v>
      </c>
      <c r="B371" s="13" t="s">
        <v>1088</v>
      </c>
      <c r="C371" s="13">
        <v>1</v>
      </c>
      <c r="D371" s="13">
        <v>1</v>
      </c>
      <c r="E371" s="13">
        <v>3</v>
      </c>
    </row>
    <row r="372" spans="1:5" x14ac:dyDescent="0.3">
      <c r="A372" s="13" t="s">
        <v>1</v>
      </c>
      <c r="B372" s="13" t="s">
        <v>550</v>
      </c>
      <c r="C372" s="13">
        <v>1</v>
      </c>
      <c r="D372" s="13">
        <v>2</v>
      </c>
      <c r="E372" s="13"/>
    </row>
    <row r="373" spans="1:5" x14ac:dyDescent="0.3">
      <c r="A373" s="13" t="s">
        <v>1</v>
      </c>
      <c r="B373" s="13" t="s">
        <v>1784</v>
      </c>
      <c r="C373" s="13">
        <v>1</v>
      </c>
      <c r="D373" s="13">
        <v>1</v>
      </c>
      <c r="E373" s="13">
        <v>2</v>
      </c>
    </row>
    <row r="374" spans="1:5" x14ac:dyDescent="0.3">
      <c r="A374" s="13" t="s">
        <v>1</v>
      </c>
      <c r="B374" s="13" t="s">
        <v>850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1</v>
      </c>
      <c r="B375" s="13" t="s">
        <v>644</v>
      </c>
      <c r="C375" s="13">
        <v>4</v>
      </c>
      <c r="D375" s="13">
        <v>1</v>
      </c>
      <c r="E375" s="13">
        <v>5</v>
      </c>
    </row>
    <row r="376" spans="1:5" x14ac:dyDescent="0.3">
      <c r="A376" s="13" t="s">
        <v>0</v>
      </c>
      <c r="B376" s="13" t="s">
        <v>238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1744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47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1853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373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48</v>
      </c>
      <c r="C381" s="13">
        <v>2</v>
      </c>
      <c r="D381" s="13">
        <v>1</v>
      </c>
      <c r="E381" s="13">
        <v>2</v>
      </c>
    </row>
    <row r="382" spans="1:5" x14ac:dyDescent="0.3">
      <c r="A382" s="13" t="s">
        <v>0</v>
      </c>
      <c r="B382" s="13" t="s">
        <v>591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263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446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811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1159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142</v>
      </c>
      <c r="C387" s="13">
        <v>1</v>
      </c>
      <c r="D387" s="13">
        <v>1</v>
      </c>
      <c r="E387" s="13">
        <v>3</v>
      </c>
    </row>
    <row r="388" spans="1:5" x14ac:dyDescent="0.3">
      <c r="A388" s="13" t="s">
        <v>0</v>
      </c>
      <c r="B388" s="13" t="s">
        <v>346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498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499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1547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1208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40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260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210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1209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86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148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215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91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151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611</v>
      </c>
      <c r="C402" s="13">
        <v>2</v>
      </c>
      <c r="D402" s="13">
        <v>1</v>
      </c>
      <c r="E402" s="13">
        <v>2</v>
      </c>
    </row>
    <row r="403" spans="1:5" x14ac:dyDescent="0.3">
      <c r="A403" s="13" t="s">
        <v>0</v>
      </c>
      <c r="B403" s="13" t="s">
        <v>152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220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94</v>
      </c>
      <c r="C405" s="13">
        <v>2</v>
      </c>
      <c r="D405" s="13">
        <v>1</v>
      </c>
      <c r="E405" s="13">
        <v>2</v>
      </c>
    </row>
    <row r="406" spans="1:5" x14ac:dyDescent="0.3">
      <c r="A406" s="13" t="s">
        <v>0</v>
      </c>
      <c r="B406" s="13" t="s">
        <v>1485</v>
      </c>
      <c r="C406" s="13">
        <v>1</v>
      </c>
      <c r="D406" s="13">
        <v>1</v>
      </c>
      <c r="E406" s="13">
        <v>2</v>
      </c>
    </row>
    <row r="407" spans="1:5" x14ac:dyDescent="0.3">
      <c r="A407" s="13" t="s">
        <v>0</v>
      </c>
      <c r="B407" s="13" t="s">
        <v>1553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1645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1674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1926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1882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2093</v>
      </c>
      <c r="C412" s="13">
        <v>2</v>
      </c>
      <c r="D412" s="13">
        <v>1</v>
      </c>
      <c r="E412" s="13">
        <v>2</v>
      </c>
    </row>
    <row r="413" spans="1:5" x14ac:dyDescent="0.3">
      <c r="A413" s="13" t="s">
        <v>0</v>
      </c>
      <c r="B413" s="13" t="s">
        <v>2148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2408</v>
      </c>
      <c r="C414" s="13">
        <v>2</v>
      </c>
      <c r="D414" s="13">
        <v>1</v>
      </c>
      <c r="E414" s="13">
        <v>2</v>
      </c>
    </row>
    <row r="415" spans="1:5" x14ac:dyDescent="0.3">
      <c r="A415" s="13" t="s">
        <v>0</v>
      </c>
      <c r="B415" s="13" t="s">
        <v>2624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819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389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475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96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476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308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159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392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100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858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1070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2782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1901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105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659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939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1312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195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108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395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1986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167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1022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168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579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2783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1681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2784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568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1107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319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374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570</v>
      </c>
      <c r="C448" s="13">
        <v>1</v>
      </c>
      <c r="D448" s="13">
        <v>1</v>
      </c>
      <c r="E448" s="13">
        <v>2</v>
      </c>
    </row>
    <row r="449" spans="1:5" x14ac:dyDescent="0.3">
      <c r="A449" s="13" t="s">
        <v>0</v>
      </c>
      <c r="B449" s="13" t="s">
        <v>1261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287</v>
      </c>
      <c r="C450" s="13">
        <v>1</v>
      </c>
      <c r="D450" s="13">
        <v>1</v>
      </c>
      <c r="E450" s="13">
        <v>2</v>
      </c>
    </row>
    <row r="451" spans="1:5" x14ac:dyDescent="0.3">
      <c r="A451" s="13" t="s">
        <v>0</v>
      </c>
      <c r="B451" s="13" t="s">
        <v>454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1399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947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835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2415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740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331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901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1323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700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119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0</v>
      </c>
      <c r="B462" s="13" t="s">
        <v>196</v>
      </c>
      <c r="C462" s="13">
        <v>1</v>
      </c>
      <c r="D462" s="13">
        <v>1</v>
      </c>
      <c r="E462" s="13">
        <v>13</v>
      </c>
    </row>
    <row r="463" spans="1:5" x14ac:dyDescent="0.3">
      <c r="A463" s="13" t="s">
        <v>0</v>
      </c>
      <c r="B463" s="13" t="s">
        <v>631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123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1609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0</v>
      </c>
      <c r="B466" s="13" t="s">
        <v>1635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0</v>
      </c>
      <c r="B467" s="13" t="s">
        <v>410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0</v>
      </c>
      <c r="B468" s="13" t="s">
        <v>435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0</v>
      </c>
      <c r="B469" s="13" t="s">
        <v>63</v>
      </c>
      <c r="C469" s="13">
        <v>2</v>
      </c>
      <c r="D469" s="13">
        <v>1</v>
      </c>
      <c r="E469" s="13">
        <v>1</v>
      </c>
    </row>
    <row r="470" spans="1:5" x14ac:dyDescent="0.3">
      <c r="A470" s="13" t="s">
        <v>0</v>
      </c>
      <c r="B470" s="13" t="s">
        <v>709</v>
      </c>
      <c r="C470" s="13">
        <v>1</v>
      </c>
      <c r="D470" s="13">
        <v>1</v>
      </c>
      <c r="E470" s="13">
        <v>2</v>
      </c>
    </row>
    <row r="471" spans="1:5" x14ac:dyDescent="0.3">
      <c r="A471" s="13" t="s">
        <v>0</v>
      </c>
      <c r="B471" s="13" t="s">
        <v>536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0</v>
      </c>
      <c r="B472" s="13" t="s">
        <v>178</v>
      </c>
      <c r="C472" s="13">
        <v>1</v>
      </c>
      <c r="D472" s="13">
        <v>1</v>
      </c>
      <c r="E472" s="13">
        <v>1</v>
      </c>
    </row>
    <row r="473" spans="1:5" x14ac:dyDescent="0.3">
      <c r="A473" s="13" t="s">
        <v>0</v>
      </c>
      <c r="B473" s="13" t="s">
        <v>2785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0</v>
      </c>
      <c r="B474" s="13" t="s">
        <v>905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0</v>
      </c>
      <c r="B475" s="13" t="s">
        <v>2502</v>
      </c>
      <c r="C475" s="13">
        <v>1</v>
      </c>
      <c r="D475" s="13">
        <v>1</v>
      </c>
      <c r="E475" s="13">
        <v>1</v>
      </c>
    </row>
    <row r="476" spans="1:5" x14ac:dyDescent="0.3">
      <c r="A476" s="13" t="s">
        <v>0</v>
      </c>
      <c r="B476" s="13" t="s">
        <v>181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0</v>
      </c>
      <c r="B477" s="13" t="s">
        <v>744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0</v>
      </c>
      <c r="B478" s="13" t="s">
        <v>126</v>
      </c>
      <c r="C478" s="13">
        <v>1</v>
      </c>
      <c r="D478" s="13">
        <v>1</v>
      </c>
      <c r="E478" s="13">
        <v>1</v>
      </c>
    </row>
    <row r="479" spans="1:5" x14ac:dyDescent="0.3">
      <c r="A479" s="13" t="s">
        <v>0</v>
      </c>
      <c r="B479" s="13" t="s">
        <v>782</v>
      </c>
      <c r="C479" s="13">
        <v>1</v>
      </c>
      <c r="D479" s="13">
        <v>1</v>
      </c>
      <c r="E479" s="13">
        <v>1</v>
      </c>
    </row>
    <row r="480" spans="1:5" x14ac:dyDescent="0.3">
      <c r="A480" s="13" t="s">
        <v>0</v>
      </c>
      <c r="B480" s="13" t="s">
        <v>253</v>
      </c>
      <c r="C480" s="13">
        <v>1</v>
      </c>
      <c r="D480" s="13">
        <v>1</v>
      </c>
      <c r="E480" s="13">
        <v>1</v>
      </c>
    </row>
    <row r="481" spans="1:5" x14ac:dyDescent="0.3">
      <c r="A481" s="13" t="s">
        <v>0</v>
      </c>
      <c r="B481" s="13" t="s">
        <v>1307</v>
      </c>
      <c r="C481" s="13">
        <v>1</v>
      </c>
      <c r="D481" s="13">
        <v>1</v>
      </c>
      <c r="E481" s="13">
        <v>1</v>
      </c>
    </row>
    <row r="482" spans="1:5" x14ac:dyDescent="0.3">
      <c r="A482" s="13" t="s">
        <v>0</v>
      </c>
      <c r="B482" s="13" t="s">
        <v>340</v>
      </c>
      <c r="C482" s="13">
        <v>1</v>
      </c>
      <c r="D482" s="13">
        <v>1</v>
      </c>
      <c r="E482" s="13">
        <v>1</v>
      </c>
    </row>
    <row r="483" spans="1:5" x14ac:dyDescent="0.3">
      <c r="A483" s="13" t="s">
        <v>0</v>
      </c>
      <c r="B483" s="13" t="s">
        <v>64</v>
      </c>
      <c r="C483" s="13">
        <v>1</v>
      </c>
      <c r="D483" s="13">
        <v>1</v>
      </c>
      <c r="E483" s="13">
        <v>1</v>
      </c>
    </row>
    <row r="484" spans="1:5" x14ac:dyDescent="0.3">
      <c r="A484" s="13" t="s">
        <v>0</v>
      </c>
      <c r="B484" s="13" t="s">
        <v>188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0</v>
      </c>
      <c r="B485" s="13" t="s">
        <v>295</v>
      </c>
      <c r="C485" s="13">
        <v>1</v>
      </c>
      <c r="D485" s="13">
        <v>1</v>
      </c>
      <c r="E485" s="13">
        <v>1</v>
      </c>
    </row>
    <row r="486" spans="1:5" x14ac:dyDescent="0.3">
      <c r="A486" s="13" t="s">
        <v>0</v>
      </c>
      <c r="B486" s="13" t="s">
        <v>132</v>
      </c>
      <c r="C486" s="13">
        <v>1</v>
      </c>
      <c r="D486" s="13">
        <v>1</v>
      </c>
      <c r="E486" s="13">
        <v>1</v>
      </c>
    </row>
    <row r="487" spans="1:5" x14ac:dyDescent="0.3">
      <c r="A487" s="13" t="s">
        <v>0</v>
      </c>
      <c r="B487" s="13" t="s">
        <v>542</v>
      </c>
      <c r="C487" s="13">
        <v>1</v>
      </c>
      <c r="D487" s="13">
        <v>1</v>
      </c>
      <c r="E487" s="13">
        <v>1</v>
      </c>
    </row>
    <row r="488" spans="1:5" x14ac:dyDescent="0.3">
      <c r="A488" s="13" t="s">
        <v>0</v>
      </c>
      <c r="B488" s="13" t="s">
        <v>1049</v>
      </c>
      <c r="C488" s="13">
        <v>1</v>
      </c>
      <c r="D488" s="13">
        <v>1</v>
      </c>
      <c r="E488" s="13">
        <v>1</v>
      </c>
    </row>
    <row r="489" spans="1:5" x14ac:dyDescent="0.3">
      <c r="A489" s="13" t="s">
        <v>0</v>
      </c>
      <c r="B489" s="13" t="s">
        <v>191</v>
      </c>
      <c r="C489" s="13">
        <v>1</v>
      </c>
      <c r="D489" s="13">
        <v>1</v>
      </c>
      <c r="E489" s="13">
        <v>1</v>
      </c>
    </row>
    <row r="490" spans="1:5" x14ac:dyDescent="0.3">
      <c r="A490" s="13" t="s">
        <v>0</v>
      </c>
      <c r="B490" s="13" t="s">
        <v>2786</v>
      </c>
      <c r="C490" s="13">
        <v>1</v>
      </c>
      <c r="D490" s="13">
        <v>1</v>
      </c>
      <c r="E490" s="13">
        <v>1</v>
      </c>
    </row>
    <row r="491" spans="1:5" x14ac:dyDescent="0.3">
      <c r="A491" s="13" t="s">
        <v>0</v>
      </c>
      <c r="B491" s="13" t="s">
        <v>911</v>
      </c>
      <c r="C491" s="13">
        <v>1</v>
      </c>
      <c r="D491" s="13">
        <v>1</v>
      </c>
      <c r="E491" s="13">
        <v>2</v>
      </c>
    </row>
    <row r="492" spans="1:5" x14ac:dyDescent="0.3">
      <c r="A492" s="13" t="s">
        <v>0</v>
      </c>
      <c r="B492" s="13" t="s">
        <v>2787</v>
      </c>
      <c r="C492" s="13">
        <v>1</v>
      </c>
      <c r="D492" s="13">
        <v>1</v>
      </c>
      <c r="E492" s="13">
        <v>1</v>
      </c>
    </row>
    <row r="493" spans="1:5" x14ac:dyDescent="0.3">
      <c r="A493" s="13" t="s">
        <v>0</v>
      </c>
      <c r="B493" s="13" t="s">
        <v>1653</v>
      </c>
      <c r="C493" s="13">
        <v>1</v>
      </c>
      <c r="D493" s="13">
        <v>1</v>
      </c>
      <c r="E493" s="13"/>
    </row>
    <row r="494" spans="1:5" x14ac:dyDescent="0.3">
      <c r="A494" s="13" t="s">
        <v>0</v>
      </c>
      <c r="B494" s="13" t="s">
        <v>2788</v>
      </c>
      <c r="C494" s="13">
        <v>1</v>
      </c>
      <c r="D494" s="13">
        <v>1</v>
      </c>
      <c r="E494" s="13"/>
    </row>
    <row r="495" spans="1:5" x14ac:dyDescent="0.3">
      <c r="A495" s="13" t="s">
        <v>0</v>
      </c>
      <c r="B495" s="13" t="s">
        <v>2789</v>
      </c>
      <c r="C495" s="13">
        <v>1</v>
      </c>
      <c r="D495" s="13">
        <v>1</v>
      </c>
      <c r="E495" s="13">
        <v>1</v>
      </c>
    </row>
    <row r="496" spans="1:5" x14ac:dyDescent="0.3">
      <c r="A496" s="13" t="s">
        <v>0</v>
      </c>
      <c r="B496" s="13" t="s">
        <v>1957</v>
      </c>
      <c r="C496" s="13">
        <v>1</v>
      </c>
      <c r="D496" s="13">
        <v>1</v>
      </c>
      <c r="E496" s="13">
        <v>1</v>
      </c>
    </row>
    <row r="497" spans="1:5" x14ac:dyDescent="0.3">
      <c r="A497" s="13" t="s">
        <v>0</v>
      </c>
      <c r="B497" s="13" t="s">
        <v>2790</v>
      </c>
      <c r="C497" s="13">
        <v>1</v>
      </c>
      <c r="D497" s="13">
        <v>1</v>
      </c>
      <c r="E497" s="13"/>
    </row>
    <row r="498" spans="1:5" x14ac:dyDescent="0.3">
      <c r="A498" s="13" t="s">
        <v>2</v>
      </c>
      <c r="B498" s="13" t="s">
        <v>372</v>
      </c>
      <c r="C498" s="13">
        <v>1</v>
      </c>
      <c r="D498" s="13">
        <v>1</v>
      </c>
      <c r="E498" s="13">
        <v>1</v>
      </c>
    </row>
    <row r="499" spans="1:5" x14ac:dyDescent="0.3">
      <c r="A499" s="13" t="s">
        <v>2</v>
      </c>
      <c r="B499" s="13" t="s">
        <v>34</v>
      </c>
      <c r="C499" s="13">
        <v>1</v>
      </c>
      <c r="D499" s="13">
        <v>1</v>
      </c>
      <c r="E499" s="13">
        <v>1</v>
      </c>
    </row>
    <row r="500" spans="1:5" x14ac:dyDescent="0.3">
      <c r="A500" s="13" t="s">
        <v>2</v>
      </c>
      <c r="B500" s="13" t="s">
        <v>60</v>
      </c>
      <c r="C500" s="13">
        <v>1</v>
      </c>
      <c r="D500" s="13">
        <v>1</v>
      </c>
      <c r="E500" s="13">
        <v>1</v>
      </c>
    </row>
    <row r="501" spans="1:5" x14ac:dyDescent="0.3">
      <c r="A501" s="13" t="s">
        <v>2</v>
      </c>
      <c r="B501" s="13" t="s">
        <v>1988</v>
      </c>
      <c r="C501" s="13">
        <v>1</v>
      </c>
      <c r="D501" s="13">
        <v>1</v>
      </c>
      <c r="E501" s="13">
        <v>2</v>
      </c>
    </row>
    <row r="502" spans="1:5" x14ac:dyDescent="0.3">
      <c r="A502" s="13" t="s">
        <v>2</v>
      </c>
      <c r="B502" s="13" t="s">
        <v>2164</v>
      </c>
      <c r="C502" s="13">
        <v>1</v>
      </c>
      <c r="D502" s="13">
        <v>1</v>
      </c>
      <c r="E502" s="13">
        <v>1</v>
      </c>
    </row>
    <row r="503" spans="1:5" x14ac:dyDescent="0.3">
      <c r="A503" s="13" t="s">
        <v>2</v>
      </c>
      <c r="B503" s="13" t="s">
        <v>29</v>
      </c>
      <c r="C503" s="13">
        <v>1</v>
      </c>
      <c r="D503" s="13">
        <v>1</v>
      </c>
      <c r="E503" s="13">
        <v>1</v>
      </c>
    </row>
    <row r="504" spans="1:5" x14ac:dyDescent="0.3">
      <c r="A504" s="13" t="s">
        <v>2</v>
      </c>
      <c r="B504" s="13" t="s">
        <v>165</v>
      </c>
      <c r="C504" s="13">
        <v>1</v>
      </c>
      <c r="D504" s="13">
        <v>1</v>
      </c>
      <c r="E504" s="13">
        <v>2</v>
      </c>
    </row>
    <row r="505" spans="1:5" x14ac:dyDescent="0.3">
      <c r="A505" s="13" t="s">
        <v>2</v>
      </c>
      <c r="B505" s="13" t="s">
        <v>568</v>
      </c>
      <c r="C505" s="13">
        <v>1</v>
      </c>
      <c r="D505" s="13">
        <v>1</v>
      </c>
      <c r="E505" s="13">
        <v>1</v>
      </c>
    </row>
    <row r="506" spans="1:5" x14ac:dyDescent="0.3">
      <c r="A506" s="13" t="s">
        <v>2</v>
      </c>
      <c r="B506" s="13" t="s">
        <v>1107</v>
      </c>
      <c r="C506" s="13">
        <v>1</v>
      </c>
      <c r="D506" s="13">
        <v>1</v>
      </c>
      <c r="E506" s="13">
        <v>1</v>
      </c>
    </row>
    <row r="507" spans="1:5" x14ac:dyDescent="0.3">
      <c r="A507" s="13" t="s">
        <v>2</v>
      </c>
      <c r="B507" s="13" t="s">
        <v>570</v>
      </c>
      <c r="C507" s="13">
        <v>1</v>
      </c>
      <c r="D507" s="13">
        <v>1</v>
      </c>
      <c r="E507" s="13">
        <v>1</v>
      </c>
    </row>
    <row r="508" spans="1:5" x14ac:dyDescent="0.3">
      <c r="A508" s="13" t="s">
        <v>2</v>
      </c>
      <c r="B508" s="13" t="s">
        <v>1747</v>
      </c>
      <c r="C508" s="13">
        <v>1</v>
      </c>
      <c r="D508" s="13">
        <v>1</v>
      </c>
      <c r="E508" s="13">
        <v>1</v>
      </c>
    </row>
    <row r="509" spans="1:5" x14ac:dyDescent="0.3">
      <c r="A509" s="13" t="s">
        <v>2</v>
      </c>
      <c r="B509" s="13" t="s">
        <v>115</v>
      </c>
      <c r="C509" s="13">
        <v>1</v>
      </c>
      <c r="D509" s="13">
        <v>1</v>
      </c>
      <c r="E509" s="13">
        <v>1</v>
      </c>
    </row>
    <row r="510" spans="1:5" x14ac:dyDescent="0.3">
      <c r="A510" s="13" t="s">
        <v>2</v>
      </c>
      <c r="B510" s="13" t="s">
        <v>434</v>
      </c>
      <c r="C510" s="13">
        <v>1</v>
      </c>
      <c r="D510" s="13">
        <v>1</v>
      </c>
      <c r="E510" s="13">
        <v>1</v>
      </c>
    </row>
    <row r="511" spans="1:5" x14ac:dyDescent="0.3">
      <c r="A511" s="13" t="s">
        <v>2</v>
      </c>
      <c r="B511" s="13" t="s">
        <v>121</v>
      </c>
      <c r="C511" s="13">
        <v>1</v>
      </c>
      <c r="D511" s="13">
        <v>1</v>
      </c>
      <c r="E511" s="13">
        <v>1</v>
      </c>
    </row>
    <row r="512" spans="1:5" x14ac:dyDescent="0.3">
      <c r="A512" s="13" t="s">
        <v>2</v>
      </c>
      <c r="B512" s="13" t="s">
        <v>1843</v>
      </c>
      <c r="C512" s="13">
        <v>1</v>
      </c>
      <c r="D512" s="13">
        <v>1</v>
      </c>
      <c r="E512" s="13">
        <v>1</v>
      </c>
    </row>
    <row r="513" spans="1:5" x14ac:dyDescent="0.3">
      <c r="A513" s="13" t="s">
        <v>1</v>
      </c>
      <c r="B513" s="13" t="s">
        <v>2791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1267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874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2792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486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1935</v>
      </c>
      <c r="C518" s="13">
        <v>1</v>
      </c>
      <c r="D518" s="13">
        <v>0</v>
      </c>
      <c r="E518" s="13">
        <v>2</v>
      </c>
    </row>
    <row r="519" spans="1:5" x14ac:dyDescent="0.3">
      <c r="A519" s="13" t="s">
        <v>1</v>
      </c>
      <c r="B519" s="13" t="s">
        <v>2445</v>
      </c>
      <c r="C519" s="13">
        <v>1</v>
      </c>
      <c r="D519" s="13">
        <v>0</v>
      </c>
      <c r="E519" s="13">
        <v>2</v>
      </c>
    </row>
    <row r="520" spans="1:5" x14ac:dyDescent="0.3">
      <c r="A520" s="13" t="s">
        <v>1</v>
      </c>
      <c r="B520" s="13" t="s">
        <v>300</v>
      </c>
      <c r="C520" s="13">
        <v>1</v>
      </c>
      <c r="D520" s="13">
        <v>0</v>
      </c>
      <c r="E520" s="13">
        <v>2</v>
      </c>
    </row>
    <row r="521" spans="1:5" x14ac:dyDescent="0.3">
      <c r="A521" s="13" t="s">
        <v>1</v>
      </c>
      <c r="B521" s="13" t="s">
        <v>200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1361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2793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2794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2795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585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491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444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2009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555</v>
      </c>
      <c r="C530" s="13">
        <v>2</v>
      </c>
      <c r="D530" s="13">
        <v>0</v>
      </c>
      <c r="E530" s="13">
        <v>2</v>
      </c>
    </row>
    <row r="531" spans="1:5" x14ac:dyDescent="0.3">
      <c r="A531" s="13" t="s">
        <v>1</v>
      </c>
      <c r="B531" s="13" t="s">
        <v>2040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71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139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2606</v>
      </c>
      <c r="C534" s="13">
        <v>1</v>
      </c>
      <c r="D534" s="13">
        <v>0</v>
      </c>
      <c r="E534" s="13">
        <v>2</v>
      </c>
    </row>
    <row r="535" spans="1:5" x14ac:dyDescent="0.3">
      <c r="A535" s="13" t="s">
        <v>1</v>
      </c>
      <c r="B535" s="13" t="s">
        <v>1207</v>
      </c>
      <c r="C535" s="13">
        <v>1</v>
      </c>
      <c r="D535" s="13">
        <v>0</v>
      </c>
      <c r="E535" s="13">
        <v>3</v>
      </c>
    </row>
    <row r="536" spans="1:5" x14ac:dyDescent="0.3">
      <c r="A536" s="13" t="s">
        <v>1</v>
      </c>
      <c r="B536" s="13" t="s">
        <v>1544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1265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75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597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812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348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80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673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349</v>
      </c>
      <c r="C544" s="13">
        <v>7</v>
      </c>
      <c r="D544" s="13">
        <v>0</v>
      </c>
      <c r="E544" s="13">
        <v>7</v>
      </c>
    </row>
    <row r="545" spans="1:5" x14ac:dyDescent="0.3">
      <c r="A545" s="13" t="s">
        <v>1</v>
      </c>
      <c r="B545" s="13" t="s">
        <v>465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214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215</v>
      </c>
      <c r="C547" s="13">
        <v>3</v>
      </c>
      <c r="D547" s="13">
        <v>0</v>
      </c>
      <c r="E547" s="13">
        <v>3</v>
      </c>
    </row>
    <row r="548" spans="1:5" x14ac:dyDescent="0.3">
      <c r="A548" s="13" t="s">
        <v>1</v>
      </c>
      <c r="B548" s="13" t="s">
        <v>244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1848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1184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646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612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1448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613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653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888</v>
      </c>
      <c r="C556" s="13">
        <v>3</v>
      </c>
      <c r="D556" s="13">
        <v>0</v>
      </c>
      <c r="E556" s="13">
        <v>3</v>
      </c>
    </row>
    <row r="557" spans="1:5" x14ac:dyDescent="0.3">
      <c r="A557" s="13" t="s">
        <v>1</v>
      </c>
      <c r="B557" s="13" t="s">
        <v>856</v>
      </c>
      <c r="C557" s="13">
        <v>2</v>
      </c>
      <c r="D557" s="13">
        <v>0</v>
      </c>
      <c r="E557" s="13">
        <v>2</v>
      </c>
    </row>
    <row r="558" spans="1:5" x14ac:dyDescent="0.3">
      <c r="A558" s="13" t="s">
        <v>1</v>
      </c>
      <c r="B558" s="13" t="s">
        <v>1471</v>
      </c>
      <c r="C558" s="13">
        <v>3</v>
      </c>
      <c r="D558" s="13">
        <v>0</v>
      </c>
      <c r="E558" s="13">
        <v>3</v>
      </c>
    </row>
    <row r="559" spans="1:5" x14ac:dyDescent="0.3">
      <c r="A559" s="13" t="s">
        <v>1</v>
      </c>
      <c r="B559" s="13" t="s">
        <v>1483</v>
      </c>
      <c r="C559" s="13">
        <v>1</v>
      </c>
      <c r="D559" s="13">
        <v>0</v>
      </c>
      <c r="E559" s="13">
        <v>0</v>
      </c>
    </row>
    <row r="560" spans="1:5" x14ac:dyDescent="0.3">
      <c r="A560" s="13" t="s">
        <v>1</v>
      </c>
      <c r="B560" s="13" t="s">
        <v>1498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1521</v>
      </c>
      <c r="C561" s="13">
        <v>3</v>
      </c>
      <c r="D561" s="13">
        <v>0</v>
      </c>
      <c r="E561" s="13">
        <v>4</v>
      </c>
    </row>
    <row r="562" spans="1:5" x14ac:dyDescent="0.3">
      <c r="A562" s="13" t="s">
        <v>1</v>
      </c>
      <c r="B562" s="13" t="s">
        <v>1553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1645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1655</v>
      </c>
      <c r="C564" s="13">
        <v>2</v>
      </c>
      <c r="D564" s="13">
        <v>0</v>
      </c>
      <c r="E564" s="13">
        <v>3</v>
      </c>
    </row>
    <row r="565" spans="1:5" x14ac:dyDescent="0.3">
      <c r="A565" s="13" t="s">
        <v>1</v>
      </c>
      <c r="B565" s="13" t="s">
        <v>1664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1761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1852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1849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1888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1881</v>
      </c>
      <c r="C570" s="13">
        <v>3</v>
      </c>
      <c r="D570" s="13">
        <v>0</v>
      </c>
      <c r="E570" s="13">
        <v>3</v>
      </c>
    </row>
    <row r="571" spans="1:5" x14ac:dyDescent="0.3">
      <c r="A571" s="13" t="s">
        <v>1</v>
      </c>
      <c r="B571" s="13" t="s">
        <v>1908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1900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1910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1960</v>
      </c>
      <c r="C574" s="13">
        <v>2</v>
      </c>
      <c r="D574" s="13">
        <v>0</v>
      </c>
      <c r="E574" s="13">
        <v>3</v>
      </c>
    </row>
    <row r="575" spans="1:5" x14ac:dyDescent="0.3">
      <c r="A575" s="13" t="s">
        <v>1</v>
      </c>
      <c r="B575" s="13" t="s">
        <v>2148</v>
      </c>
      <c r="C575" s="13">
        <v>3</v>
      </c>
      <c r="D575" s="13">
        <v>0</v>
      </c>
      <c r="E575" s="13">
        <v>3</v>
      </c>
    </row>
    <row r="576" spans="1:5" x14ac:dyDescent="0.3">
      <c r="A576" s="13" t="s">
        <v>1</v>
      </c>
      <c r="B576" s="13" t="s">
        <v>2162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2164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2166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2179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2407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2335</v>
      </c>
      <c r="C581" s="13">
        <v>7</v>
      </c>
      <c r="D581" s="13">
        <v>0</v>
      </c>
      <c r="E581" s="13">
        <v>6</v>
      </c>
    </row>
    <row r="582" spans="1:5" x14ac:dyDescent="0.3">
      <c r="A582" s="13" t="s">
        <v>1</v>
      </c>
      <c r="B582" s="13" t="s">
        <v>2677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248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221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1342</v>
      </c>
      <c r="C585" s="13">
        <v>1</v>
      </c>
      <c r="D585" s="13">
        <v>0</v>
      </c>
      <c r="E585" s="13">
        <v>2</v>
      </c>
    </row>
    <row r="586" spans="1:5" x14ac:dyDescent="0.3">
      <c r="A586" s="13" t="s">
        <v>1</v>
      </c>
      <c r="B586" s="13" t="s">
        <v>1646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101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393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1</v>
      </c>
      <c r="B589" s="13" t="s">
        <v>311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2796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1129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2797</v>
      </c>
      <c r="C592" s="13">
        <v>1</v>
      </c>
      <c r="D592" s="13">
        <v>0</v>
      </c>
      <c r="E592" s="13">
        <v>2</v>
      </c>
    </row>
    <row r="593" spans="1:5" x14ac:dyDescent="0.3">
      <c r="A593" s="13" t="s">
        <v>1</v>
      </c>
      <c r="B593" s="13" t="s">
        <v>1256</v>
      </c>
      <c r="C593" s="13">
        <v>1</v>
      </c>
      <c r="D593" s="13">
        <v>0</v>
      </c>
      <c r="E593" s="13">
        <v>2</v>
      </c>
    </row>
    <row r="594" spans="1:5" x14ac:dyDescent="0.3">
      <c r="A594" s="13" t="s">
        <v>1</v>
      </c>
      <c r="B594" s="13" t="s">
        <v>2285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1165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1130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861</v>
      </c>
      <c r="C597" s="13">
        <v>2</v>
      </c>
      <c r="D597" s="13">
        <v>0</v>
      </c>
      <c r="E597" s="13">
        <v>3</v>
      </c>
    </row>
    <row r="598" spans="1:5" x14ac:dyDescent="0.3">
      <c r="A598" s="13" t="s">
        <v>1</v>
      </c>
      <c r="B598" s="13" t="s">
        <v>250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2798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395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1</v>
      </c>
      <c r="B601" s="13" t="s">
        <v>1172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167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823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279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800</v>
      </c>
      <c r="C605" s="13">
        <v>1</v>
      </c>
      <c r="D605" s="13">
        <v>0</v>
      </c>
      <c r="E605" s="13">
        <v>1</v>
      </c>
    </row>
    <row r="606" spans="1:5" x14ac:dyDescent="0.3">
      <c r="A606" s="13" t="s">
        <v>1</v>
      </c>
      <c r="B606" s="13" t="s">
        <v>280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398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1133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1675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1413</v>
      </c>
      <c r="C610" s="13">
        <v>1</v>
      </c>
      <c r="D610" s="13">
        <v>0</v>
      </c>
      <c r="E610" s="13">
        <v>2</v>
      </c>
    </row>
    <row r="611" spans="1:5" x14ac:dyDescent="0.3">
      <c r="A611" s="13" t="s">
        <v>1</v>
      </c>
      <c r="B611" s="13" t="s">
        <v>1478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315</v>
      </c>
      <c r="C612" s="13">
        <v>1</v>
      </c>
      <c r="D612" s="13">
        <v>0</v>
      </c>
      <c r="E612" s="13">
        <v>2</v>
      </c>
    </row>
    <row r="613" spans="1:5" x14ac:dyDescent="0.3">
      <c r="A613" s="13" t="s">
        <v>1</v>
      </c>
      <c r="B613" s="13" t="s">
        <v>2799</v>
      </c>
      <c r="C613" s="13">
        <v>1</v>
      </c>
      <c r="D613" s="13">
        <v>0</v>
      </c>
      <c r="E613" s="13">
        <v>2</v>
      </c>
    </row>
    <row r="614" spans="1:5" x14ac:dyDescent="0.3">
      <c r="A614" s="13" t="s">
        <v>1</v>
      </c>
      <c r="B614" s="13" t="s">
        <v>1005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1</v>
      </c>
      <c r="B615" s="13" t="s">
        <v>2704</v>
      </c>
      <c r="C615" s="13">
        <v>1</v>
      </c>
      <c r="D615" s="13">
        <v>0</v>
      </c>
      <c r="E615" s="13">
        <v>2</v>
      </c>
    </row>
    <row r="616" spans="1:5" x14ac:dyDescent="0.3">
      <c r="A616" s="13" t="s">
        <v>1</v>
      </c>
      <c r="B616" s="13" t="s">
        <v>2312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1</v>
      </c>
      <c r="B617" s="13" t="s">
        <v>2800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2267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691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1</v>
      </c>
      <c r="B620" s="13" t="s">
        <v>286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2695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694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1</v>
      </c>
      <c r="B623" s="14" t="s">
        <v>2801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572</v>
      </c>
      <c r="C624" s="14">
        <v>1</v>
      </c>
      <c r="D624" s="14">
        <v>0</v>
      </c>
      <c r="E624" s="14">
        <v>2</v>
      </c>
    </row>
    <row r="625" spans="1:5" x14ac:dyDescent="0.3">
      <c r="A625" s="14" t="s">
        <v>1</v>
      </c>
      <c r="B625" s="14" t="s">
        <v>580</v>
      </c>
      <c r="C625" s="14">
        <v>1</v>
      </c>
      <c r="D625" s="14">
        <v>0</v>
      </c>
      <c r="E625" s="14">
        <v>0</v>
      </c>
    </row>
    <row r="626" spans="1:5" x14ac:dyDescent="0.3">
      <c r="A626" s="14" t="s">
        <v>1</v>
      </c>
      <c r="B626" s="14" t="s">
        <v>1037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1</v>
      </c>
      <c r="B627" s="14" t="s">
        <v>526</v>
      </c>
      <c r="C627" s="14">
        <v>1</v>
      </c>
      <c r="D627" s="14">
        <v>0</v>
      </c>
      <c r="E627" s="14">
        <v>2</v>
      </c>
    </row>
    <row r="628" spans="1:5" x14ac:dyDescent="0.3">
      <c r="A628" s="14" t="s">
        <v>1</v>
      </c>
      <c r="B628" s="14" t="s">
        <v>1363</v>
      </c>
      <c r="C628" s="14">
        <v>1</v>
      </c>
      <c r="D628" s="14">
        <v>0</v>
      </c>
      <c r="E628" s="14">
        <v>0</v>
      </c>
    </row>
    <row r="629" spans="1:5" x14ac:dyDescent="0.3">
      <c r="A629" s="14" t="s">
        <v>1</v>
      </c>
      <c r="B629" s="14" t="s">
        <v>1443</v>
      </c>
      <c r="C629" s="14">
        <v>1</v>
      </c>
      <c r="D629" s="14">
        <v>0</v>
      </c>
      <c r="E629" s="14">
        <v>1</v>
      </c>
    </row>
    <row r="630" spans="1:5" x14ac:dyDescent="0.3">
      <c r="A630" s="14" t="s">
        <v>1</v>
      </c>
      <c r="B630" s="14" t="s">
        <v>771</v>
      </c>
      <c r="C630" s="14">
        <v>1</v>
      </c>
      <c r="D630" s="14">
        <v>0</v>
      </c>
      <c r="E630" s="14">
        <v>1</v>
      </c>
    </row>
    <row r="631" spans="1:5" x14ac:dyDescent="0.3">
      <c r="A631" s="14" t="s">
        <v>1</v>
      </c>
      <c r="B631" s="14" t="s">
        <v>2054</v>
      </c>
      <c r="C631" s="14">
        <v>1</v>
      </c>
      <c r="D631" s="14">
        <v>0</v>
      </c>
      <c r="E631" s="14">
        <v>1</v>
      </c>
    </row>
    <row r="632" spans="1:5" x14ac:dyDescent="0.3">
      <c r="A632" s="14" t="s">
        <v>1</v>
      </c>
      <c r="B632" s="14" t="s">
        <v>479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1285</v>
      </c>
      <c r="C633" s="14">
        <v>1</v>
      </c>
      <c r="D633" s="14">
        <v>0</v>
      </c>
      <c r="E633" s="14">
        <v>1</v>
      </c>
    </row>
    <row r="634" spans="1:5" x14ac:dyDescent="0.3">
      <c r="A634" s="14" t="s">
        <v>1</v>
      </c>
      <c r="B634" s="14" t="s">
        <v>118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1</v>
      </c>
      <c r="B635" s="14" t="s">
        <v>121</v>
      </c>
      <c r="C635" s="14">
        <v>1</v>
      </c>
      <c r="D635" s="14">
        <v>0</v>
      </c>
      <c r="E635" s="14">
        <v>0</v>
      </c>
    </row>
    <row r="636" spans="1:5" x14ac:dyDescent="0.3">
      <c r="A636" s="14" t="s">
        <v>1</v>
      </c>
      <c r="B636" s="14" t="s">
        <v>1305</v>
      </c>
      <c r="C636" s="14">
        <v>1</v>
      </c>
      <c r="D636" s="14">
        <v>0</v>
      </c>
      <c r="E636" s="14">
        <v>1</v>
      </c>
    </row>
    <row r="637" spans="1:5" x14ac:dyDescent="0.3">
      <c r="A637" s="14" t="s">
        <v>1</v>
      </c>
      <c r="B637" s="14" t="s">
        <v>407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1</v>
      </c>
      <c r="B638" s="14" t="s">
        <v>839</v>
      </c>
      <c r="C638" s="14">
        <v>1</v>
      </c>
      <c r="D638" s="14">
        <v>0</v>
      </c>
      <c r="E638" s="14">
        <v>1</v>
      </c>
    </row>
    <row r="639" spans="1:5" x14ac:dyDescent="0.3">
      <c r="A639" s="14" t="s">
        <v>1</v>
      </c>
      <c r="B639" s="14" t="s">
        <v>709</v>
      </c>
      <c r="C639" s="14">
        <v>1</v>
      </c>
      <c r="D639" s="14">
        <v>0</v>
      </c>
      <c r="E639" s="14">
        <v>1</v>
      </c>
    </row>
    <row r="640" spans="1:5" x14ac:dyDescent="0.3">
      <c r="A640" s="14" t="s">
        <v>1</v>
      </c>
      <c r="B640" s="14" t="s">
        <v>293</v>
      </c>
      <c r="C640" s="14">
        <v>1</v>
      </c>
      <c r="D640" s="14">
        <v>0</v>
      </c>
      <c r="E640" s="14">
        <v>1</v>
      </c>
    </row>
    <row r="641" spans="1:5" x14ac:dyDescent="0.3">
      <c r="A641" s="14" t="s">
        <v>1</v>
      </c>
      <c r="B641" s="14" t="s">
        <v>2802</v>
      </c>
      <c r="C641" s="14">
        <v>1</v>
      </c>
      <c r="D641" s="14">
        <v>0</v>
      </c>
      <c r="E641" s="14">
        <v>2</v>
      </c>
    </row>
    <row r="642" spans="1:5" x14ac:dyDescent="0.3">
      <c r="A642" s="14" t="s">
        <v>1</v>
      </c>
      <c r="B642" s="14" t="s">
        <v>1702</v>
      </c>
      <c r="C642" s="14">
        <v>1</v>
      </c>
      <c r="D642" s="14">
        <v>0</v>
      </c>
      <c r="E642" s="14">
        <v>1</v>
      </c>
    </row>
    <row r="643" spans="1:5" x14ac:dyDescent="0.3">
      <c r="A643" s="14" t="s">
        <v>1</v>
      </c>
      <c r="B643" s="14" t="s">
        <v>2556</v>
      </c>
      <c r="C643" s="14">
        <v>1</v>
      </c>
      <c r="D643" s="14">
        <v>0</v>
      </c>
      <c r="E643" s="14">
        <v>1</v>
      </c>
    </row>
    <row r="644" spans="1:5" x14ac:dyDescent="0.3">
      <c r="A644" s="14" t="s">
        <v>1</v>
      </c>
      <c r="B644" s="14" t="s">
        <v>2331</v>
      </c>
      <c r="C644" s="14">
        <v>1</v>
      </c>
      <c r="D644" s="14">
        <v>0</v>
      </c>
      <c r="E644" s="14">
        <v>1</v>
      </c>
    </row>
    <row r="645" spans="1:5" x14ac:dyDescent="0.3">
      <c r="A645" s="14" t="s">
        <v>1</v>
      </c>
      <c r="B645" s="14" t="s">
        <v>2803</v>
      </c>
      <c r="C645" s="14">
        <v>1</v>
      </c>
      <c r="D645" s="14">
        <v>0</v>
      </c>
      <c r="E645" s="14">
        <v>2</v>
      </c>
    </row>
    <row r="646" spans="1:5" x14ac:dyDescent="0.3">
      <c r="A646" s="14" t="s">
        <v>1</v>
      </c>
      <c r="B646" s="14" t="s">
        <v>2433</v>
      </c>
      <c r="C646" s="14">
        <v>1</v>
      </c>
      <c r="D646" s="14">
        <v>0</v>
      </c>
      <c r="E646" s="14">
        <v>1</v>
      </c>
    </row>
    <row r="647" spans="1:5" x14ac:dyDescent="0.3">
      <c r="A647" s="14" t="s">
        <v>1</v>
      </c>
      <c r="B647" s="14" t="s">
        <v>1469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1</v>
      </c>
      <c r="B648" s="14" t="s">
        <v>458</v>
      </c>
      <c r="C648" s="14">
        <v>1</v>
      </c>
      <c r="D648" s="14">
        <v>0</v>
      </c>
      <c r="E648" s="14">
        <v>1</v>
      </c>
    </row>
    <row r="649" spans="1:5" x14ac:dyDescent="0.3">
      <c r="A649" s="14" t="s">
        <v>1</v>
      </c>
      <c r="B649" s="14" t="s">
        <v>416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1</v>
      </c>
      <c r="B650" s="14" t="s">
        <v>1686</v>
      </c>
      <c r="C650" s="14">
        <v>1</v>
      </c>
      <c r="D650" s="14">
        <v>0</v>
      </c>
      <c r="E650" s="14">
        <v>2</v>
      </c>
    </row>
    <row r="651" spans="1:5" x14ac:dyDescent="0.3">
      <c r="A651" s="14" t="s">
        <v>1</v>
      </c>
      <c r="B651" s="14" t="s">
        <v>130</v>
      </c>
      <c r="C651" s="14">
        <v>1</v>
      </c>
      <c r="D651" s="14">
        <v>0</v>
      </c>
      <c r="E651" s="14">
        <v>0</v>
      </c>
    </row>
    <row r="652" spans="1:5" x14ac:dyDescent="0.3">
      <c r="A652" s="14" t="s">
        <v>1</v>
      </c>
      <c r="B652" s="14" t="s">
        <v>482</v>
      </c>
      <c r="C652" s="14">
        <v>1</v>
      </c>
      <c r="D652" s="14">
        <v>0</v>
      </c>
      <c r="E652" s="14">
        <v>1</v>
      </c>
    </row>
    <row r="653" spans="1:5" x14ac:dyDescent="0.3">
      <c r="A653" s="14" t="s">
        <v>1</v>
      </c>
      <c r="B653" s="14" t="s">
        <v>908</v>
      </c>
      <c r="C653" s="14">
        <v>1</v>
      </c>
      <c r="D653" s="14">
        <v>0</v>
      </c>
      <c r="E653" s="14">
        <v>1</v>
      </c>
    </row>
    <row r="654" spans="1:5" x14ac:dyDescent="0.3">
      <c r="A654" s="14" t="s">
        <v>1</v>
      </c>
      <c r="B654" s="14" t="s">
        <v>539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1</v>
      </c>
      <c r="B655" s="14" t="s">
        <v>483</v>
      </c>
      <c r="C655" s="14">
        <v>2</v>
      </c>
      <c r="D655" s="14">
        <v>0</v>
      </c>
      <c r="E655" s="14">
        <v>2</v>
      </c>
    </row>
    <row r="656" spans="1:5" x14ac:dyDescent="0.3">
      <c r="A656" s="14" t="s">
        <v>1</v>
      </c>
      <c r="B656" s="14" t="s">
        <v>188</v>
      </c>
      <c r="C656" s="14">
        <v>2</v>
      </c>
      <c r="D656" s="14">
        <v>0</v>
      </c>
      <c r="E656" s="14">
        <v>1</v>
      </c>
    </row>
    <row r="657" spans="1:5" x14ac:dyDescent="0.3">
      <c r="A657" s="14" t="s">
        <v>1</v>
      </c>
      <c r="B657" s="14" t="s">
        <v>847</v>
      </c>
      <c r="C657" s="14">
        <v>1</v>
      </c>
      <c r="D657" s="14">
        <v>0</v>
      </c>
      <c r="E657" s="14">
        <v>1</v>
      </c>
    </row>
    <row r="658" spans="1:5" x14ac:dyDescent="0.3">
      <c r="A658" s="14" t="s">
        <v>1</v>
      </c>
      <c r="B658" s="14" t="s">
        <v>2804</v>
      </c>
      <c r="C658" s="14">
        <v>1</v>
      </c>
      <c r="D658" s="14">
        <v>0</v>
      </c>
      <c r="E658" s="14">
        <v>1</v>
      </c>
    </row>
    <row r="659" spans="1:5" x14ac:dyDescent="0.3">
      <c r="A659" s="14" t="s">
        <v>1</v>
      </c>
      <c r="B659" s="14" t="s">
        <v>230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1</v>
      </c>
      <c r="B660" s="14" t="s">
        <v>296</v>
      </c>
      <c r="C660" s="14">
        <v>3</v>
      </c>
      <c r="D660" s="14">
        <v>0</v>
      </c>
      <c r="E660" s="14">
        <v>3</v>
      </c>
    </row>
    <row r="661" spans="1:5" x14ac:dyDescent="0.3">
      <c r="A661" s="14" t="s">
        <v>1</v>
      </c>
      <c r="B661" s="14" t="s">
        <v>909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1</v>
      </c>
      <c r="B662" s="14" t="s">
        <v>2560</v>
      </c>
      <c r="C662" s="14">
        <v>1</v>
      </c>
      <c r="D662" s="14">
        <v>0</v>
      </c>
      <c r="E662" s="14">
        <v>1</v>
      </c>
    </row>
    <row r="663" spans="1:5" x14ac:dyDescent="0.3">
      <c r="A663" s="14" t="s">
        <v>1</v>
      </c>
      <c r="B663" s="14" t="s">
        <v>2710</v>
      </c>
      <c r="C663" s="14">
        <v>1</v>
      </c>
      <c r="D663" s="14">
        <v>0</v>
      </c>
      <c r="E663" s="14">
        <v>1</v>
      </c>
    </row>
    <row r="664" spans="1:5" x14ac:dyDescent="0.3">
      <c r="A664" s="14" t="s">
        <v>1</v>
      </c>
      <c r="B664" s="14" t="s">
        <v>231</v>
      </c>
      <c r="C664" s="14">
        <v>9</v>
      </c>
      <c r="D664" s="14">
        <v>0</v>
      </c>
      <c r="E664" s="14">
        <v>15</v>
      </c>
    </row>
    <row r="665" spans="1:5" x14ac:dyDescent="0.3">
      <c r="A665" s="14" t="s">
        <v>1</v>
      </c>
      <c r="B665" s="14" t="s">
        <v>370</v>
      </c>
      <c r="C665" s="14">
        <v>2</v>
      </c>
      <c r="D665" s="14">
        <v>0</v>
      </c>
      <c r="E665" s="14">
        <v>3</v>
      </c>
    </row>
    <row r="666" spans="1:5" x14ac:dyDescent="0.3">
      <c r="A666" s="14" t="s">
        <v>1</v>
      </c>
      <c r="B666" s="14" t="s">
        <v>66</v>
      </c>
      <c r="C666" s="14">
        <v>2</v>
      </c>
      <c r="D666" s="14">
        <v>0</v>
      </c>
      <c r="E666" s="14">
        <v>4</v>
      </c>
    </row>
    <row r="667" spans="1:5" x14ac:dyDescent="0.3">
      <c r="A667" s="14" t="s">
        <v>1</v>
      </c>
      <c r="B667" s="14" t="s">
        <v>365</v>
      </c>
      <c r="C667" s="14">
        <v>2</v>
      </c>
      <c r="D667" s="14">
        <v>0</v>
      </c>
      <c r="E667" s="14">
        <v>6</v>
      </c>
    </row>
    <row r="668" spans="1:5" x14ac:dyDescent="0.3">
      <c r="A668" s="14" t="s">
        <v>1</v>
      </c>
      <c r="B668" s="14" t="s">
        <v>460</v>
      </c>
      <c r="C668" s="14">
        <v>2</v>
      </c>
      <c r="D668" s="14">
        <v>0</v>
      </c>
      <c r="E668" s="14">
        <v>2</v>
      </c>
    </row>
    <row r="669" spans="1:5" x14ac:dyDescent="0.3">
      <c r="A669" s="14" t="s">
        <v>1</v>
      </c>
      <c r="B669" s="14" t="s">
        <v>67</v>
      </c>
      <c r="C669" s="14">
        <v>2</v>
      </c>
      <c r="D669" s="14">
        <v>0</v>
      </c>
      <c r="E669" s="14">
        <v>2</v>
      </c>
    </row>
    <row r="670" spans="1:5" x14ac:dyDescent="0.3">
      <c r="A670" s="14" t="s">
        <v>1</v>
      </c>
      <c r="B670" s="14" t="s">
        <v>192</v>
      </c>
      <c r="C670" s="14">
        <v>12</v>
      </c>
      <c r="D670" s="14">
        <v>0</v>
      </c>
      <c r="E670" s="14">
        <v>16</v>
      </c>
    </row>
    <row r="671" spans="1:5" x14ac:dyDescent="0.3">
      <c r="A671" s="14" t="s">
        <v>1</v>
      </c>
      <c r="B671" s="14" t="s">
        <v>234</v>
      </c>
      <c r="C671" s="14">
        <v>2</v>
      </c>
      <c r="D671" s="14">
        <v>0</v>
      </c>
      <c r="E671" s="14">
        <v>3</v>
      </c>
    </row>
    <row r="672" spans="1:5" x14ac:dyDescent="0.3">
      <c r="A672" s="14" t="s">
        <v>1</v>
      </c>
      <c r="B672" s="14" t="s">
        <v>235</v>
      </c>
      <c r="C672" s="14">
        <v>5</v>
      </c>
      <c r="D672" s="14">
        <v>0</v>
      </c>
      <c r="E672" s="14">
        <v>7</v>
      </c>
    </row>
    <row r="673" spans="1:5" x14ac:dyDescent="0.3">
      <c r="A673" s="14" t="s">
        <v>1</v>
      </c>
      <c r="B673" s="14" t="s">
        <v>639</v>
      </c>
      <c r="C673" s="14">
        <v>1</v>
      </c>
      <c r="D673" s="14">
        <v>0</v>
      </c>
      <c r="E673" s="14">
        <v>1</v>
      </c>
    </row>
    <row r="674" spans="1:5" x14ac:dyDescent="0.3">
      <c r="A674" s="14" t="s">
        <v>1</v>
      </c>
      <c r="B674" s="14" t="s">
        <v>236</v>
      </c>
      <c r="C674" s="14">
        <v>6</v>
      </c>
      <c r="D674" s="14">
        <v>0</v>
      </c>
      <c r="E674" s="14">
        <v>7</v>
      </c>
    </row>
    <row r="675" spans="1:5" x14ac:dyDescent="0.3">
      <c r="A675" s="14" t="s">
        <v>1</v>
      </c>
      <c r="B675" s="14" t="s">
        <v>640</v>
      </c>
      <c r="C675" s="14">
        <v>2</v>
      </c>
      <c r="D675" s="14">
        <v>0</v>
      </c>
      <c r="E675" s="14">
        <v>2</v>
      </c>
    </row>
    <row r="676" spans="1:5" x14ac:dyDescent="0.3">
      <c r="A676" s="14" t="s">
        <v>1</v>
      </c>
      <c r="B676" s="14" t="s">
        <v>371</v>
      </c>
      <c r="C676" s="14">
        <v>3</v>
      </c>
      <c r="D676" s="14">
        <v>0</v>
      </c>
      <c r="E676" s="14">
        <v>10</v>
      </c>
    </row>
    <row r="677" spans="1:5" x14ac:dyDescent="0.3">
      <c r="A677" s="14" t="s">
        <v>1</v>
      </c>
      <c r="B677" s="14" t="s">
        <v>461</v>
      </c>
      <c r="C677" s="14">
        <v>1</v>
      </c>
      <c r="D677" s="14">
        <v>0</v>
      </c>
      <c r="E677" s="14">
        <v>1</v>
      </c>
    </row>
    <row r="678" spans="1:5" x14ac:dyDescent="0.3">
      <c r="A678" s="14" t="s">
        <v>1</v>
      </c>
      <c r="B678" s="14" t="s">
        <v>259</v>
      </c>
      <c r="C678" s="14">
        <v>1</v>
      </c>
      <c r="D678" s="14">
        <v>0</v>
      </c>
      <c r="E678" s="14">
        <v>3</v>
      </c>
    </row>
    <row r="679" spans="1:5" x14ac:dyDescent="0.3">
      <c r="A679" s="14" t="s">
        <v>1</v>
      </c>
      <c r="B679" s="14" t="s">
        <v>1965</v>
      </c>
      <c r="C679" s="14">
        <v>1</v>
      </c>
      <c r="D679" s="14">
        <v>0</v>
      </c>
      <c r="E679" s="14">
        <v>1</v>
      </c>
    </row>
    <row r="680" spans="1:5" x14ac:dyDescent="0.3">
      <c r="A680" s="14" t="s">
        <v>1</v>
      </c>
      <c r="B680" s="14" t="s">
        <v>2098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1</v>
      </c>
      <c r="B681" s="14" t="s">
        <v>721</v>
      </c>
      <c r="C681" s="14">
        <v>1</v>
      </c>
      <c r="D681" s="14">
        <v>0</v>
      </c>
      <c r="E681" s="14">
        <v>1</v>
      </c>
    </row>
    <row r="682" spans="1:5" x14ac:dyDescent="0.3">
      <c r="A682" s="14" t="s">
        <v>1</v>
      </c>
      <c r="B682" s="14" t="s">
        <v>1597</v>
      </c>
      <c r="C682" s="14">
        <v>1</v>
      </c>
      <c r="D682" s="14">
        <v>0</v>
      </c>
      <c r="E682" s="14">
        <v>1</v>
      </c>
    </row>
    <row r="683" spans="1:5" x14ac:dyDescent="0.3">
      <c r="A683" s="14" t="s">
        <v>1</v>
      </c>
      <c r="B683" s="14" t="s">
        <v>1555</v>
      </c>
      <c r="C683" s="14">
        <v>1</v>
      </c>
      <c r="D683" s="14">
        <v>0</v>
      </c>
      <c r="E683" s="14">
        <v>0</v>
      </c>
    </row>
    <row r="684" spans="1:5" x14ac:dyDescent="0.3">
      <c r="A684" s="14" t="s">
        <v>1</v>
      </c>
      <c r="B684" s="14" t="s">
        <v>1321</v>
      </c>
      <c r="C684" s="14">
        <v>1</v>
      </c>
      <c r="D684" s="14">
        <v>0</v>
      </c>
      <c r="E684" s="14">
        <v>1</v>
      </c>
    </row>
    <row r="685" spans="1:5" x14ac:dyDescent="0.3">
      <c r="A685" s="14" t="s">
        <v>1</v>
      </c>
      <c r="B685" s="14" t="s">
        <v>2200</v>
      </c>
      <c r="C685" s="14">
        <v>1</v>
      </c>
      <c r="D685" s="14">
        <v>0</v>
      </c>
      <c r="E685" s="14">
        <v>1</v>
      </c>
    </row>
    <row r="686" spans="1:5" x14ac:dyDescent="0.3">
      <c r="A686" s="14" t="s">
        <v>1</v>
      </c>
      <c r="B686" s="14" t="s">
        <v>1470</v>
      </c>
      <c r="C686" s="14">
        <v>1</v>
      </c>
      <c r="D686" s="14">
        <v>0</v>
      </c>
      <c r="E686" s="14">
        <v>5</v>
      </c>
    </row>
    <row r="687" spans="1:5" x14ac:dyDescent="0.3">
      <c r="A687" s="14" t="s">
        <v>1</v>
      </c>
      <c r="B687" s="14" t="s">
        <v>1527</v>
      </c>
      <c r="C687" s="14">
        <v>1</v>
      </c>
      <c r="D687" s="14">
        <v>0</v>
      </c>
      <c r="E687" s="14">
        <v>1</v>
      </c>
    </row>
    <row r="688" spans="1:5" x14ac:dyDescent="0.3">
      <c r="A688" s="14" t="s">
        <v>1</v>
      </c>
      <c r="B688" s="14" t="s">
        <v>1435</v>
      </c>
      <c r="C688" s="14">
        <v>1</v>
      </c>
      <c r="D688" s="14">
        <v>0</v>
      </c>
      <c r="E688" s="14">
        <v>2</v>
      </c>
    </row>
    <row r="689" spans="1:5" x14ac:dyDescent="0.3">
      <c r="A689" s="14" t="s">
        <v>1</v>
      </c>
      <c r="B689" s="14" t="s">
        <v>2805</v>
      </c>
      <c r="C689" s="14">
        <v>1</v>
      </c>
      <c r="D689" s="14">
        <v>0</v>
      </c>
      <c r="E689" s="14">
        <v>1</v>
      </c>
    </row>
    <row r="690" spans="1:5" x14ac:dyDescent="0.3">
      <c r="A690" s="14" t="s">
        <v>1</v>
      </c>
      <c r="B690" s="14" t="s">
        <v>2348</v>
      </c>
      <c r="C690" s="14">
        <v>2</v>
      </c>
      <c r="D690" s="14">
        <v>0</v>
      </c>
      <c r="E690" s="14">
        <v>1</v>
      </c>
    </row>
    <row r="691" spans="1:5" x14ac:dyDescent="0.3">
      <c r="A691" s="14" t="s">
        <v>1</v>
      </c>
      <c r="B691" s="14" t="s">
        <v>2349</v>
      </c>
      <c r="C691" s="14">
        <v>2</v>
      </c>
      <c r="D691" s="14">
        <v>0</v>
      </c>
      <c r="E691" s="14">
        <v>1</v>
      </c>
    </row>
    <row r="692" spans="1:5" x14ac:dyDescent="0.3">
      <c r="A692" s="14" t="s">
        <v>1</v>
      </c>
      <c r="B692" s="14" t="s">
        <v>2351</v>
      </c>
      <c r="C692" s="14">
        <v>2</v>
      </c>
      <c r="D692" s="14">
        <v>0</v>
      </c>
      <c r="E692" s="14">
        <v>1</v>
      </c>
    </row>
    <row r="693" spans="1:5" x14ac:dyDescent="0.3">
      <c r="A693" s="14" t="s">
        <v>1</v>
      </c>
      <c r="B693" s="14" t="s">
        <v>2352</v>
      </c>
      <c r="C693" s="14">
        <v>1</v>
      </c>
      <c r="D693" s="14">
        <v>0</v>
      </c>
      <c r="E693" s="14">
        <v>0</v>
      </c>
    </row>
    <row r="694" spans="1:5" x14ac:dyDescent="0.3">
      <c r="A694" s="14" t="s">
        <v>1</v>
      </c>
      <c r="B694" s="14" t="s">
        <v>2354</v>
      </c>
      <c r="C694" s="14">
        <v>1</v>
      </c>
      <c r="D694" s="14">
        <v>0</v>
      </c>
      <c r="E694" s="14">
        <v>1</v>
      </c>
    </row>
    <row r="695" spans="1:5" x14ac:dyDescent="0.3">
      <c r="A695" s="14" t="s">
        <v>1</v>
      </c>
      <c r="B695" s="14" t="s">
        <v>2355</v>
      </c>
      <c r="C695" s="14">
        <v>1</v>
      </c>
      <c r="D695" s="14">
        <v>0</v>
      </c>
      <c r="E695" s="14">
        <v>1</v>
      </c>
    </row>
    <row r="696" spans="1:5" x14ac:dyDescent="0.3">
      <c r="A696" s="14" t="s">
        <v>0</v>
      </c>
      <c r="B696" s="14" t="s">
        <v>1018</v>
      </c>
      <c r="C696" s="14">
        <v>1</v>
      </c>
      <c r="D696" s="14">
        <v>0</v>
      </c>
      <c r="E696" s="14">
        <v>1</v>
      </c>
    </row>
    <row r="697" spans="1:5" x14ac:dyDescent="0.3">
      <c r="A697" s="14" t="s">
        <v>0</v>
      </c>
      <c r="B697" s="14" t="s">
        <v>984</v>
      </c>
      <c r="C697" s="14">
        <v>1</v>
      </c>
      <c r="D697" s="14">
        <v>0</v>
      </c>
      <c r="E697" s="14">
        <v>2</v>
      </c>
    </row>
    <row r="698" spans="1:5" x14ac:dyDescent="0.3">
      <c r="A698" s="14" t="s">
        <v>0</v>
      </c>
      <c r="B698" s="14" t="s">
        <v>2095</v>
      </c>
      <c r="C698" s="14">
        <v>1</v>
      </c>
      <c r="D698" s="14">
        <v>0</v>
      </c>
      <c r="E698" s="14">
        <v>1</v>
      </c>
    </row>
    <row r="699" spans="1:5" x14ac:dyDescent="0.3">
      <c r="A699" s="14" t="s">
        <v>0</v>
      </c>
      <c r="B699" s="14" t="s">
        <v>87</v>
      </c>
      <c r="C699" s="14">
        <v>1</v>
      </c>
      <c r="D699" s="14">
        <v>0</v>
      </c>
      <c r="E699" s="14">
        <v>2</v>
      </c>
    </row>
    <row r="700" spans="1:5" x14ac:dyDescent="0.3">
      <c r="A700" s="14" t="s">
        <v>0</v>
      </c>
      <c r="B700" s="14" t="s">
        <v>1183</v>
      </c>
      <c r="C700" s="14">
        <v>1</v>
      </c>
      <c r="D700" s="14">
        <v>0</v>
      </c>
      <c r="E700" s="14">
        <v>1</v>
      </c>
    </row>
    <row r="701" spans="1:5" x14ac:dyDescent="0.3">
      <c r="A701" s="14" t="s">
        <v>0</v>
      </c>
      <c r="B701" s="14" t="s">
        <v>653</v>
      </c>
      <c r="C701" s="14">
        <v>1</v>
      </c>
      <c r="D701" s="14">
        <v>0</v>
      </c>
      <c r="E701" s="14">
        <v>1</v>
      </c>
    </row>
    <row r="702" spans="1:5" x14ac:dyDescent="0.3">
      <c r="A702" s="14" t="s">
        <v>0</v>
      </c>
      <c r="B702" s="14" t="s">
        <v>1881</v>
      </c>
      <c r="C702" s="14">
        <v>1</v>
      </c>
      <c r="D702" s="14">
        <v>0</v>
      </c>
      <c r="E702" s="14">
        <v>2</v>
      </c>
    </row>
    <row r="703" spans="1:5" x14ac:dyDescent="0.3">
      <c r="A703" s="14" t="s">
        <v>0</v>
      </c>
      <c r="B703" s="14" t="s">
        <v>2335</v>
      </c>
      <c r="C703" s="14">
        <v>4</v>
      </c>
      <c r="D703" s="14">
        <v>0</v>
      </c>
      <c r="E703" s="14">
        <v>5</v>
      </c>
    </row>
    <row r="704" spans="1:5" x14ac:dyDescent="0.3">
      <c r="A704" s="14" t="s">
        <v>0</v>
      </c>
      <c r="B704" s="14" t="s">
        <v>2425</v>
      </c>
      <c r="C704" s="14">
        <v>1</v>
      </c>
      <c r="D704" s="14">
        <v>0</v>
      </c>
      <c r="E704" s="14">
        <v>1</v>
      </c>
    </row>
    <row r="705" spans="1:5" x14ac:dyDescent="0.3">
      <c r="A705" s="14" t="s">
        <v>0</v>
      </c>
      <c r="B705" s="14" t="s">
        <v>2677</v>
      </c>
      <c r="C705" s="14">
        <v>1</v>
      </c>
      <c r="D705" s="14">
        <v>0</v>
      </c>
      <c r="E705" s="14">
        <v>1</v>
      </c>
    </row>
    <row r="706" spans="1:5" x14ac:dyDescent="0.3">
      <c r="A706" s="14" t="s">
        <v>0</v>
      </c>
      <c r="B706" s="14" t="s">
        <v>509</v>
      </c>
      <c r="C706" s="14">
        <v>1</v>
      </c>
      <c r="D706" s="14">
        <v>0</v>
      </c>
      <c r="E706" s="14">
        <v>1</v>
      </c>
    </row>
    <row r="707" spans="1:5" x14ac:dyDescent="0.3">
      <c r="A707" s="14" t="s">
        <v>0</v>
      </c>
      <c r="B707" s="14" t="s">
        <v>1478</v>
      </c>
      <c r="C707" s="14">
        <v>1</v>
      </c>
      <c r="D707" s="14">
        <v>0</v>
      </c>
      <c r="E707" s="14">
        <v>1</v>
      </c>
    </row>
    <row r="708" spans="1:5" x14ac:dyDescent="0.3">
      <c r="A708" s="14" t="s">
        <v>0</v>
      </c>
      <c r="B708" s="14" t="s">
        <v>315</v>
      </c>
      <c r="C708" s="14">
        <v>1</v>
      </c>
      <c r="D708" s="14">
        <v>0</v>
      </c>
      <c r="E708" s="14">
        <v>1</v>
      </c>
    </row>
    <row r="709" spans="1:5" x14ac:dyDescent="0.3">
      <c r="A709" s="14" t="s">
        <v>0</v>
      </c>
      <c r="B709" s="14" t="s">
        <v>1336</v>
      </c>
      <c r="C709" s="14">
        <v>1</v>
      </c>
      <c r="D709" s="14">
        <v>0</v>
      </c>
      <c r="E709" s="14">
        <v>1</v>
      </c>
    </row>
    <row r="710" spans="1:5" x14ac:dyDescent="0.3">
      <c r="A710" s="14" t="s">
        <v>0</v>
      </c>
      <c r="B710" s="14" t="s">
        <v>900</v>
      </c>
      <c r="C710" s="14">
        <v>1</v>
      </c>
      <c r="D710" s="14">
        <v>0</v>
      </c>
      <c r="E710" s="14">
        <v>1</v>
      </c>
    </row>
    <row r="711" spans="1:5" x14ac:dyDescent="0.3">
      <c r="A711" s="14" t="s">
        <v>0</v>
      </c>
      <c r="B711" s="14" t="s">
        <v>333</v>
      </c>
      <c r="C711" s="14">
        <v>1</v>
      </c>
      <c r="D711" s="14">
        <v>0</v>
      </c>
      <c r="E711" s="14">
        <v>1</v>
      </c>
    </row>
    <row r="712" spans="1:5" x14ac:dyDescent="0.3">
      <c r="A712" s="14" t="s">
        <v>0</v>
      </c>
      <c r="B712" s="14" t="s">
        <v>336</v>
      </c>
      <c r="C712" s="14">
        <v>1</v>
      </c>
      <c r="D712" s="14">
        <v>0</v>
      </c>
      <c r="E712" s="14">
        <v>1</v>
      </c>
    </row>
    <row r="713" spans="1:5" x14ac:dyDescent="0.3">
      <c r="A713" s="14" t="s">
        <v>0</v>
      </c>
      <c r="B713" s="14" t="s">
        <v>231</v>
      </c>
      <c r="C713" s="14">
        <v>3</v>
      </c>
      <c r="D713" s="14">
        <v>0</v>
      </c>
      <c r="E713" s="14">
        <v>5</v>
      </c>
    </row>
    <row r="714" spans="1:5" x14ac:dyDescent="0.3">
      <c r="A714" s="14" t="s">
        <v>0</v>
      </c>
      <c r="B714" s="14" t="s">
        <v>192</v>
      </c>
      <c r="C714" s="14">
        <v>3</v>
      </c>
      <c r="D714" s="14">
        <v>0</v>
      </c>
      <c r="E714" s="14">
        <v>5</v>
      </c>
    </row>
    <row r="715" spans="1:5" x14ac:dyDescent="0.3">
      <c r="A715" s="14" t="s">
        <v>0</v>
      </c>
      <c r="B715" s="14" t="s">
        <v>234</v>
      </c>
      <c r="C715" s="14">
        <v>1</v>
      </c>
      <c r="D715" s="14">
        <v>0</v>
      </c>
      <c r="E715" s="14">
        <v>1</v>
      </c>
    </row>
    <row r="716" spans="1:5" x14ac:dyDescent="0.3">
      <c r="A716" s="14" t="s">
        <v>0</v>
      </c>
      <c r="B716" s="14" t="s">
        <v>235</v>
      </c>
      <c r="C716" s="14">
        <v>1</v>
      </c>
      <c r="D716" s="14">
        <v>0</v>
      </c>
      <c r="E716" s="14">
        <v>1</v>
      </c>
    </row>
    <row r="717" spans="1:5" x14ac:dyDescent="0.3">
      <c r="A717" s="14" t="s">
        <v>0</v>
      </c>
      <c r="B717" s="14" t="s">
        <v>55</v>
      </c>
      <c r="C717" s="14">
        <v>1</v>
      </c>
      <c r="D717" s="14">
        <v>0</v>
      </c>
      <c r="E717" s="14">
        <v>1</v>
      </c>
    </row>
    <row r="718" spans="1:5" x14ac:dyDescent="0.3">
      <c r="A718" s="14" t="s">
        <v>0</v>
      </c>
      <c r="B718" s="14" t="s">
        <v>236</v>
      </c>
      <c r="C718" s="14">
        <v>1</v>
      </c>
      <c r="D718" s="14">
        <v>0</v>
      </c>
      <c r="E718" s="14">
        <v>2</v>
      </c>
    </row>
    <row r="719" spans="1:5" x14ac:dyDescent="0.3">
      <c r="A719" s="14" t="s">
        <v>0</v>
      </c>
      <c r="B719" s="14" t="s">
        <v>371</v>
      </c>
      <c r="C719" s="14">
        <v>3</v>
      </c>
      <c r="D719" s="14">
        <v>0</v>
      </c>
      <c r="E719" s="14">
        <v>5</v>
      </c>
    </row>
    <row r="720" spans="1:5" x14ac:dyDescent="0.3">
      <c r="A720" s="14" t="s">
        <v>0</v>
      </c>
      <c r="B720" s="14" t="s">
        <v>461</v>
      </c>
      <c r="C720" s="14">
        <v>1</v>
      </c>
      <c r="D720" s="14">
        <v>0</v>
      </c>
      <c r="E720" s="14">
        <v>1</v>
      </c>
    </row>
    <row r="721" spans="1:5" x14ac:dyDescent="0.3">
      <c r="A721" s="14" t="s">
        <v>0</v>
      </c>
      <c r="B721" s="14" t="s">
        <v>135</v>
      </c>
      <c r="C721" s="14">
        <v>1</v>
      </c>
      <c r="D721" s="14">
        <v>0</v>
      </c>
      <c r="E721" s="14">
        <v>1</v>
      </c>
    </row>
    <row r="722" spans="1:5" x14ac:dyDescent="0.3">
      <c r="A722" s="14" t="s">
        <v>0</v>
      </c>
      <c r="B722" s="14" t="s">
        <v>2348</v>
      </c>
      <c r="C722" s="14">
        <v>2</v>
      </c>
      <c r="D722" s="14">
        <v>0</v>
      </c>
      <c r="E722" s="14">
        <v>2</v>
      </c>
    </row>
    <row r="723" spans="1:5" x14ac:dyDescent="0.3">
      <c r="A723" s="14" t="s">
        <v>0</v>
      </c>
      <c r="B723" s="14" t="s">
        <v>2349</v>
      </c>
      <c r="C723" s="14">
        <v>2</v>
      </c>
      <c r="D723" s="14">
        <v>0</v>
      </c>
      <c r="E723" s="14">
        <v>2</v>
      </c>
    </row>
    <row r="724" spans="1:5" x14ac:dyDescent="0.3">
      <c r="A724" s="14" t="s">
        <v>0</v>
      </c>
      <c r="B724" s="14" t="s">
        <v>2350</v>
      </c>
      <c r="C724" s="14">
        <v>2</v>
      </c>
      <c r="D724" s="14">
        <v>0</v>
      </c>
      <c r="E724" s="14">
        <v>2</v>
      </c>
    </row>
    <row r="725" spans="1:5" x14ac:dyDescent="0.3">
      <c r="A725" s="14" t="s">
        <v>0</v>
      </c>
      <c r="B725" s="14" t="s">
        <v>2351</v>
      </c>
      <c r="C725" s="14">
        <v>1</v>
      </c>
      <c r="D725" s="14">
        <v>0</v>
      </c>
      <c r="E725" s="14">
        <v>1</v>
      </c>
    </row>
    <row r="726" spans="1:5" x14ac:dyDescent="0.3">
      <c r="A726" s="14" t="s">
        <v>0</v>
      </c>
      <c r="B726" s="14" t="s">
        <v>2352</v>
      </c>
      <c r="C726" s="14">
        <v>1</v>
      </c>
      <c r="D726" s="14">
        <v>0</v>
      </c>
      <c r="E726" s="14">
        <v>1</v>
      </c>
    </row>
    <row r="727" spans="1:5" x14ac:dyDescent="0.3">
      <c r="A727" s="14" t="s">
        <v>0</v>
      </c>
      <c r="B727" s="14" t="s">
        <v>2353</v>
      </c>
      <c r="C727" s="14">
        <v>2</v>
      </c>
      <c r="D727" s="14">
        <v>0</v>
      </c>
      <c r="E727" s="14">
        <v>2</v>
      </c>
    </row>
    <row r="728" spans="1:5" x14ac:dyDescent="0.3">
      <c r="A728" s="14" t="s">
        <v>0</v>
      </c>
      <c r="B728" s="14" t="s">
        <v>2354</v>
      </c>
      <c r="C728" s="14">
        <v>3</v>
      </c>
      <c r="D728" s="14">
        <v>0</v>
      </c>
      <c r="E728" s="14">
        <v>3</v>
      </c>
    </row>
    <row r="729" spans="1:5" x14ac:dyDescent="0.3">
      <c r="A729" s="14" t="s">
        <v>0</v>
      </c>
      <c r="B729" s="14" t="s">
        <v>2355</v>
      </c>
      <c r="C729" s="14">
        <v>1</v>
      </c>
      <c r="D729" s="14">
        <v>0</v>
      </c>
      <c r="E729" s="14">
        <v>1</v>
      </c>
    </row>
    <row r="730" spans="1:5" x14ac:dyDescent="0.3">
      <c r="A730" s="14" t="s">
        <v>0</v>
      </c>
      <c r="B730" s="14" t="s">
        <v>32</v>
      </c>
      <c r="C730" s="14">
        <v>2</v>
      </c>
      <c r="D730" s="14">
        <v>0</v>
      </c>
      <c r="E730" s="14">
        <v>2</v>
      </c>
    </row>
    <row r="731" spans="1:5" x14ac:dyDescent="0.3">
      <c r="A731" s="14" t="s">
        <v>2</v>
      </c>
      <c r="B731" s="14" t="s">
        <v>83</v>
      </c>
      <c r="C731" s="14">
        <v>1</v>
      </c>
      <c r="D731" s="14">
        <v>0</v>
      </c>
      <c r="E731" s="14">
        <v>0</v>
      </c>
    </row>
    <row r="732" spans="1:5" x14ac:dyDescent="0.3">
      <c r="A732" s="14" t="s">
        <v>2</v>
      </c>
      <c r="B732" s="14" t="s">
        <v>694</v>
      </c>
      <c r="C732" s="14">
        <v>1</v>
      </c>
      <c r="D732" s="14">
        <v>0</v>
      </c>
      <c r="E732" s="14">
        <v>1</v>
      </c>
    </row>
    <row r="733" spans="1:5" x14ac:dyDescent="0.3">
      <c r="A733" s="14" t="s">
        <v>2</v>
      </c>
      <c r="B733" s="14" t="s">
        <v>128</v>
      </c>
      <c r="C733" s="14">
        <v>1</v>
      </c>
      <c r="D733" s="14">
        <v>0</v>
      </c>
      <c r="E733" s="14">
        <v>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25D00-4271-4DB9-A6A4-EF72AFEFC04D}">
  <sheetPr codeName="Sheet54"/>
  <dimension ref="A1:M623"/>
  <sheetViews>
    <sheetView workbookViewId="0">
      <selection activeCell="A2" sqref="A2:E623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64</v>
      </c>
      <c r="D2" s="13">
        <v>48</v>
      </c>
      <c r="E2" s="13">
        <v>64</v>
      </c>
    </row>
    <row r="3" spans="1:13" customFormat="1" x14ac:dyDescent="0.3">
      <c r="A3" s="13" t="s">
        <v>1</v>
      </c>
      <c r="B3" s="13" t="s">
        <v>30</v>
      </c>
      <c r="C3" s="13">
        <v>101</v>
      </c>
      <c r="D3" s="13">
        <v>44</v>
      </c>
      <c r="E3" s="13">
        <v>178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2701</v>
      </c>
      <c r="C4" s="13">
        <v>44</v>
      </c>
      <c r="D4" s="13">
        <v>33</v>
      </c>
      <c r="E4" s="13">
        <v>46</v>
      </c>
      <c r="G4" s="19" t="s">
        <v>8</v>
      </c>
      <c r="H4" s="15">
        <f>H13+H14</f>
        <v>1014</v>
      </c>
      <c r="I4" s="16">
        <f>H4/H$6</f>
        <v>0.69931034482758625</v>
      </c>
      <c r="J4" s="15">
        <f>I13+I14</f>
        <v>517</v>
      </c>
      <c r="K4" s="16">
        <f>J4/J$6</f>
        <v>0.60046457607433212</v>
      </c>
      <c r="L4" s="15">
        <f>J13+J14</f>
        <v>1214</v>
      </c>
      <c r="M4" s="25">
        <f>L4/L$6</f>
        <v>0.70704717530576588</v>
      </c>
    </row>
    <row r="5" spans="1:13" customFormat="1" x14ac:dyDescent="0.3">
      <c r="A5" s="13" t="s">
        <v>0</v>
      </c>
      <c r="B5" s="13" t="s">
        <v>29</v>
      </c>
      <c r="C5" s="13">
        <v>21</v>
      </c>
      <c r="D5" s="13">
        <v>21</v>
      </c>
      <c r="E5" s="13">
        <v>22</v>
      </c>
      <c r="G5" s="19" t="s">
        <v>10</v>
      </c>
      <c r="H5" s="15">
        <f>H15+H16</f>
        <v>436</v>
      </c>
      <c r="I5" s="16">
        <f>H5/H$6</f>
        <v>0.30068965517241381</v>
      </c>
      <c r="J5" s="15">
        <f>I15+I16</f>
        <v>344</v>
      </c>
      <c r="K5" s="16">
        <f>J5/J$6</f>
        <v>0.39953542392566782</v>
      </c>
      <c r="L5" s="15">
        <f>J15+J16</f>
        <v>503</v>
      </c>
      <c r="M5" s="25">
        <f>L5/L$6</f>
        <v>0.29295282469423412</v>
      </c>
    </row>
    <row r="6" spans="1:13" customFormat="1" ht="17.25" thickBot="1" x14ac:dyDescent="0.35">
      <c r="A6" s="13" t="s">
        <v>1</v>
      </c>
      <c r="B6" s="13" t="s">
        <v>2701</v>
      </c>
      <c r="C6" s="13">
        <v>23</v>
      </c>
      <c r="D6" s="13">
        <v>14</v>
      </c>
      <c r="E6" s="13">
        <v>27</v>
      </c>
      <c r="G6" s="22"/>
      <c r="H6" s="26">
        <f>SUM(H4:H5)</f>
        <v>1450</v>
      </c>
      <c r="I6" s="27">
        <f>I4+I5</f>
        <v>1</v>
      </c>
      <c r="J6" s="26">
        <f>SUM(J4:J5)</f>
        <v>861</v>
      </c>
      <c r="K6" s="27">
        <f>K4+K5</f>
        <v>1</v>
      </c>
      <c r="L6" s="26">
        <f>SUM(L4:L5)</f>
        <v>1717</v>
      </c>
      <c r="M6" s="28">
        <f>M4+M5</f>
        <v>1</v>
      </c>
    </row>
    <row r="7" spans="1:13" customFormat="1" x14ac:dyDescent="0.3">
      <c r="A7" s="13" t="s">
        <v>0</v>
      </c>
      <c r="B7" s="13" t="s">
        <v>31</v>
      </c>
      <c r="C7" s="13">
        <v>12</v>
      </c>
      <c r="D7" s="13">
        <v>12</v>
      </c>
      <c r="E7" s="13">
        <v>12</v>
      </c>
    </row>
    <row r="8" spans="1:13" customFormat="1" x14ac:dyDescent="0.3">
      <c r="A8" s="13" t="s">
        <v>1</v>
      </c>
      <c r="B8" s="13" t="s">
        <v>354</v>
      </c>
      <c r="C8" s="13">
        <v>16</v>
      </c>
      <c r="D8" s="13">
        <v>11</v>
      </c>
      <c r="E8" s="13">
        <v>19</v>
      </c>
    </row>
    <row r="9" spans="1:13" customFormat="1" x14ac:dyDescent="0.3">
      <c r="A9" s="13" t="s">
        <v>1</v>
      </c>
      <c r="B9" s="13" t="s">
        <v>1948</v>
      </c>
      <c r="C9" s="13">
        <v>12</v>
      </c>
      <c r="D9" s="13">
        <v>10</v>
      </c>
      <c r="E9" s="13">
        <v>13</v>
      </c>
    </row>
    <row r="10" spans="1:13" customFormat="1" ht="17.25" thickBot="1" x14ac:dyDescent="0.35">
      <c r="A10" s="13" t="s">
        <v>1</v>
      </c>
      <c r="B10" s="13" t="s">
        <v>29</v>
      </c>
      <c r="C10" s="13">
        <v>10</v>
      </c>
      <c r="D10" s="13">
        <v>10</v>
      </c>
      <c r="E10" s="13">
        <v>11</v>
      </c>
    </row>
    <row r="11" spans="1:13" x14ac:dyDescent="0.3">
      <c r="A11" s="13" t="s">
        <v>1</v>
      </c>
      <c r="B11" s="13" t="s">
        <v>1741</v>
      </c>
      <c r="C11" s="13">
        <v>9</v>
      </c>
      <c r="D11" s="13">
        <v>9</v>
      </c>
      <c r="E11" s="13">
        <v>9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1988</v>
      </c>
      <c r="C12" s="13">
        <v>19</v>
      </c>
      <c r="D12" s="13">
        <v>9</v>
      </c>
      <c r="E12" s="13">
        <v>19</v>
      </c>
      <c r="G12" s="19"/>
      <c r="H12" s="17">
        <f t="shared" ref="H12:J12" si="0">SUM(H13:H16)</f>
        <v>1450</v>
      </c>
      <c r="I12" s="17">
        <f t="shared" si="0"/>
        <v>861</v>
      </c>
      <c r="J12" s="20">
        <f t="shared" si="0"/>
        <v>1717</v>
      </c>
    </row>
    <row r="13" spans="1:13" x14ac:dyDescent="0.3">
      <c r="A13" s="13" t="s">
        <v>1</v>
      </c>
      <c r="B13" s="13" t="s">
        <v>2762</v>
      </c>
      <c r="C13" s="13">
        <v>30</v>
      </c>
      <c r="D13" s="13">
        <v>9</v>
      </c>
      <c r="E13" s="13">
        <v>38</v>
      </c>
      <c r="G13" s="19" t="s">
        <v>7</v>
      </c>
      <c r="H13" s="18">
        <f t="shared" ref="H13:J16" si="1">SUMIF($A$2:$A$9999,$G13,C$2:C$9999)</f>
        <v>1014</v>
      </c>
      <c r="I13" s="18">
        <f t="shared" si="1"/>
        <v>517</v>
      </c>
      <c r="J13" s="21">
        <f t="shared" si="1"/>
        <v>1214</v>
      </c>
    </row>
    <row r="14" spans="1:13" x14ac:dyDescent="0.3">
      <c r="A14" s="13" t="s">
        <v>1</v>
      </c>
      <c r="B14" s="13" t="s">
        <v>1663</v>
      </c>
      <c r="C14" s="13">
        <v>14</v>
      </c>
      <c r="D14" s="13">
        <v>8</v>
      </c>
      <c r="E14" s="13">
        <v>14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2093</v>
      </c>
      <c r="C15" s="13">
        <v>12</v>
      </c>
      <c r="D15" s="13">
        <v>8</v>
      </c>
      <c r="E15" s="13">
        <v>13</v>
      </c>
      <c r="G15" s="19" t="s">
        <v>11</v>
      </c>
      <c r="H15" s="18">
        <f t="shared" si="1"/>
        <v>405</v>
      </c>
      <c r="I15" s="18">
        <f t="shared" si="1"/>
        <v>319</v>
      </c>
      <c r="J15" s="21">
        <f t="shared" si="1"/>
        <v>463</v>
      </c>
    </row>
    <row r="16" spans="1:13" ht="17.25" thickBot="1" x14ac:dyDescent="0.35">
      <c r="A16" s="13" t="s">
        <v>0</v>
      </c>
      <c r="B16" s="13" t="s">
        <v>37</v>
      </c>
      <c r="C16" s="13">
        <v>9</v>
      </c>
      <c r="D16" s="13">
        <v>8</v>
      </c>
      <c r="E16" s="13">
        <v>10</v>
      </c>
      <c r="G16" s="22" t="s">
        <v>12</v>
      </c>
      <c r="H16" s="23">
        <f t="shared" si="1"/>
        <v>31</v>
      </c>
      <c r="I16" s="23">
        <f t="shared" si="1"/>
        <v>25</v>
      </c>
      <c r="J16" s="24">
        <f t="shared" si="1"/>
        <v>40</v>
      </c>
    </row>
    <row r="17" spans="1:5" x14ac:dyDescent="0.3">
      <c r="A17" s="13" t="s">
        <v>0</v>
      </c>
      <c r="B17" s="13" t="s">
        <v>1948</v>
      </c>
      <c r="C17" s="13">
        <v>10</v>
      </c>
      <c r="D17" s="13">
        <v>7</v>
      </c>
      <c r="E17" s="13">
        <v>10</v>
      </c>
    </row>
    <row r="18" spans="1:5" x14ac:dyDescent="0.3">
      <c r="A18" s="13" t="s">
        <v>0</v>
      </c>
      <c r="B18" s="13" t="s">
        <v>2735</v>
      </c>
      <c r="C18" s="13">
        <v>10</v>
      </c>
      <c r="D18" s="13">
        <v>7</v>
      </c>
      <c r="E18" s="13">
        <v>11</v>
      </c>
    </row>
    <row r="19" spans="1:5" x14ac:dyDescent="0.3">
      <c r="A19" s="13" t="s">
        <v>1</v>
      </c>
      <c r="B19" s="13" t="s">
        <v>151</v>
      </c>
      <c r="C19" s="13">
        <v>15</v>
      </c>
      <c r="D19" s="13">
        <v>6</v>
      </c>
      <c r="E19" s="13">
        <v>21</v>
      </c>
    </row>
    <row r="20" spans="1:5" x14ac:dyDescent="0.3">
      <c r="A20" s="13" t="s">
        <v>0</v>
      </c>
      <c r="B20" s="13" t="s">
        <v>1663</v>
      </c>
      <c r="C20" s="13">
        <v>7</v>
      </c>
      <c r="D20" s="13">
        <v>6</v>
      </c>
      <c r="E20" s="13">
        <v>8</v>
      </c>
    </row>
    <row r="21" spans="1:5" x14ac:dyDescent="0.3">
      <c r="A21" s="13" t="s">
        <v>0</v>
      </c>
      <c r="B21" s="13" t="s">
        <v>120</v>
      </c>
      <c r="C21" s="13">
        <v>6</v>
      </c>
      <c r="D21" s="13">
        <v>6</v>
      </c>
      <c r="E21" s="13">
        <v>7</v>
      </c>
    </row>
    <row r="22" spans="1:5" x14ac:dyDescent="0.3">
      <c r="A22" s="13" t="s">
        <v>1</v>
      </c>
      <c r="B22" s="13" t="s">
        <v>2735</v>
      </c>
      <c r="C22" s="13">
        <v>20</v>
      </c>
      <c r="D22" s="13">
        <v>5</v>
      </c>
      <c r="E22" s="13">
        <v>21</v>
      </c>
    </row>
    <row r="23" spans="1:5" x14ac:dyDescent="0.3">
      <c r="A23" s="13" t="s">
        <v>1</v>
      </c>
      <c r="B23" s="13" t="s">
        <v>120</v>
      </c>
      <c r="C23" s="13">
        <v>5</v>
      </c>
      <c r="D23" s="13">
        <v>5</v>
      </c>
      <c r="E23" s="13">
        <v>5</v>
      </c>
    </row>
    <row r="24" spans="1:5" x14ac:dyDescent="0.3">
      <c r="A24" s="13" t="s">
        <v>1</v>
      </c>
      <c r="B24" s="13" t="s">
        <v>37</v>
      </c>
      <c r="C24" s="13">
        <v>8</v>
      </c>
      <c r="D24" s="13">
        <v>5</v>
      </c>
      <c r="E24" s="13">
        <v>9</v>
      </c>
    </row>
    <row r="25" spans="1:5" x14ac:dyDescent="0.3">
      <c r="A25" s="13" t="s">
        <v>1</v>
      </c>
      <c r="B25" s="13" t="s">
        <v>63</v>
      </c>
      <c r="C25" s="13">
        <v>5</v>
      </c>
      <c r="D25" s="13">
        <v>5</v>
      </c>
      <c r="E25" s="13">
        <v>5</v>
      </c>
    </row>
    <row r="26" spans="1:5" x14ac:dyDescent="0.3">
      <c r="A26" s="13" t="s">
        <v>0</v>
      </c>
      <c r="B26" s="13" t="s">
        <v>354</v>
      </c>
      <c r="C26" s="13">
        <v>5</v>
      </c>
      <c r="D26" s="13">
        <v>5</v>
      </c>
      <c r="E26" s="13">
        <v>5</v>
      </c>
    </row>
    <row r="27" spans="1:5" x14ac:dyDescent="0.3">
      <c r="A27" s="13" t="s">
        <v>0</v>
      </c>
      <c r="B27" s="13" t="s">
        <v>2093</v>
      </c>
      <c r="C27" s="13">
        <v>5</v>
      </c>
      <c r="D27" s="13">
        <v>5</v>
      </c>
      <c r="E27" s="13">
        <v>5</v>
      </c>
    </row>
    <row r="28" spans="1:5" x14ac:dyDescent="0.3">
      <c r="A28" s="13" t="s">
        <v>0</v>
      </c>
      <c r="B28" s="13" t="s">
        <v>35</v>
      </c>
      <c r="C28" s="13">
        <v>5</v>
      </c>
      <c r="D28" s="13">
        <v>5</v>
      </c>
      <c r="E28" s="13">
        <v>6</v>
      </c>
    </row>
    <row r="29" spans="1:5" x14ac:dyDescent="0.3">
      <c r="A29" s="13" t="s">
        <v>1</v>
      </c>
      <c r="B29" s="13" t="s">
        <v>61</v>
      </c>
      <c r="C29" s="13">
        <v>4</v>
      </c>
      <c r="D29" s="13">
        <v>4</v>
      </c>
      <c r="E29" s="13">
        <v>5</v>
      </c>
    </row>
    <row r="30" spans="1:5" x14ac:dyDescent="0.3">
      <c r="A30" s="13" t="s">
        <v>1</v>
      </c>
      <c r="B30" s="13" t="s">
        <v>258</v>
      </c>
      <c r="C30" s="13">
        <v>6</v>
      </c>
      <c r="D30" s="13">
        <v>4</v>
      </c>
      <c r="E30" s="13">
        <v>7</v>
      </c>
    </row>
    <row r="31" spans="1:5" x14ac:dyDescent="0.3">
      <c r="A31" s="13" t="s">
        <v>1</v>
      </c>
      <c r="B31" s="13" t="s">
        <v>51</v>
      </c>
      <c r="C31" s="13">
        <v>4</v>
      </c>
      <c r="D31" s="13">
        <v>4</v>
      </c>
      <c r="E31" s="13">
        <v>4</v>
      </c>
    </row>
    <row r="32" spans="1:5" x14ac:dyDescent="0.3">
      <c r="A32" s="13" t="s">
        <v>1</v>
      </c>
      <c r="B32" s="13" t="s">
        <v>123</v>
      </c>
      <c r="C32" s="13">
        <v>4</v>
      </c>
      <c r="D32" s="13">
        <v>4</v>
      </c>
      <c r="E32" s="13">
        <v>5</v>
      </c>
    </row>
    <row r="33" spans="1:5" x14ac:dyDescent="0.3">
      <c r="A33" s="13" t="s">
        <v>1</v>
      </c>
      <c r="B33" s="13" t="s">
        <v>175</v>
      </c>
      <c r="C33" s="13">
        <v>4</v>
      </c>
      <c r="D33" s="13">
        <v>4</v>
      </c>
      <c r="E33" s="13">
        <v>4</v>
      </c>
    </row>
    <row r="34" spans="1:5" x14ac:dyDescent="0.3">
      <c r="A34" s="13" t="s">
        <v>1</v>
      </c>
      <c r="B34" s="13" t="s">
        <v>1219</v>
      </c>
      <c r="C34" s="13">
        <v>5</v>
      </c>
      <c r="D34" s="13">
        <v>4</v>
      </c>
      <c r="E34" s="13">
        <v>5</v>
      </c>
    </row>
    <row r="35" spans="1:5" x14ac:dyDescent="0.3">
      <c r="A35" s="13" t="s">
        <v>1</v>
      </c>
      <c r="B35" s="13" t="s">
        <v>32</v>
      </c>
      <c r="C35" s="13">
        <v>12</v>
      </c>
      <c r="D35" s="13">
        <v>4</v>
      </c>
      <c r="E35" s="13">
        <v>16</v>
      </c>
    </row>
    <row r="36" spans="1:5" x14ac:dyDescent="0.3">
      <c r="A36" s="13" t="s">
        <v>0</v>
      </c>
      <c r="B36" s="13" t="s">
        <v>498</v>
      </c>
      <c r="C36" s="13">
        <v>4</v>
      </c>
      <c r="D36" s="13">
        <v>4</v>
      </c>
      <c r="E36" s="13">
        <v>4</v>
      </c>
    </row>
    <row r="37" spans="1:5" x14ac:dyDescent="0.3">
      <c r="A37" s="13" t="s">
        <v>0</v>
      </c>
      <c r="B37" s="13" t="s">
        <v>1741</v>
      </c>
      <c r="C37" s="13">
        <v>4</v>
      </c>
      <c r="D37" s="13">
        <v>4</v>
      </c>
      <c r="E37" s="13">
        <v>5</v>
      </c>
    </row>
    <row r="38" spans="1:5" x14ac:dyDescent="0.3">
      <c r="A38" s="13" t="s">
        <v>0</v>
      </c>
      <c r="B38" s="13" t="s">
        <v>2762</v>
      </c>
      <c r="C38" s="13">
        <v>10</v>
      </c>
      <c r="D38" s="13">
        <v>4</v>
      </c>
      <c r="E38" s="13">
        <v>13</v>
      </c>
    </row>
    <row r="39" spans="1:5" x14ac:dyDescent="0.3">
      <c r="A39" s="13" t="s">
        <v>2</v>
      </c>
      <c r="B39" s="13" t="s">
        <v>1741</v>
      </c>
      <c r="C39" s="13">
        <v>4</v>
      </c>
      <c r="D39" s="13">
        <v>4</v>
      </c>
      <c r="E39" s="13">
        <v>4</v>
      </c>
    </row>
    <row r="40" spans="1:5" x14ac:dyDescent="0.3">
      <c r="A40" s="13" t="s">
        <v>1</v>
      </c>
      <c r="B40" s="13" t="s">
        <v>238</v>
      </c>
      <c r="C40" s="13">
        <v>3</v>
      </c>
      <c r="D40" s="13">
        <v>3</v>
      </c>
      <c r="E40" s="13">
        <v>3</v>
      </c>
    </row>
    <row r="41" spans="1:5" x14ac:dyDescent="0.3">
      <c r="A41" s="13" t="s">
        <v>1</v>
      </c>
      <c r="B41" s="13" t="s">
        <v>1208</v>
      </c>
      <c r="C41" s="13">
        <v>3</v>
      </c>
      <c r="D41" s="13">
        <v>3</v>
      </c>
      <c r="E41" s="13">
        <v>3</v>
      </c>
    </row>
    <row r="42" spans="1:5" x14ac:dyDescent="0.3">
      <c r="A42" s="13" t="s">
        <v>1</v>
      </c>
      <c r="B42" s="13" t="s">
        <v>87</v>
      </c>
      <c r="C42" s="13">
        <v>3</v>
      </c>
      <c r="D42" s="13">
        <v>3</v>
      </c>
      <c r="E42" s="13">
        <v>3</v>
      </c>
    </row>
    <row r="43" spans="1:5" x14ac:dyDescent="0.3">
      <c r="A43" s="13" t="s">
        <v>1</v>
      </c>
      <c r="B43" s="13" t="s">
        <v>272</v>
      </c>
      <c r="C43" s="13">
        <v>4</v>
      </c>
      <c r="D43" s="13">
        <v>3</v>
      </c>
      <c r="E43" s="13">
        <v>5</v>
      </c>
    </row>
    <row r="44" spans="1:5" x14ac:dyDescent="0.3">
      <c r="A44" s="13" t="s">
        <v>1</v>
      </c>
      <c r="B44" s="13" t="s">
        <v>471</v>
      </c>
      <c r="C44" s="13">
        <v>4</v>
      </c>
      <c r="D44" s="13">
        <v>3</v>
      </c>
      <c r="E44" s="13">
        <v>4</v>
      </c>
    </row>
    <row r="45" spans="1:5" x14ac:dyDescent="0.3">
      <c r="A45" s="13" t="s">
        <v>1</v>
      </c>
      <c r="B45" s="13" t="s">
        <v>161</v>
      </c>
      <c r="C45" s="13">
        <v>3</v>
      </c>
      <c r="D45" s="13">
        <v>3</v>
      </c>
      <c r="E45" s="13">
        <v>3</v>
      </c>
    </row>
    <row r="46" spans="1:5" x14ac:dyDescent="0.3">
      <c r="A46" s="13" t="s">
        <v>1</v>
      </c>
      <c r="B46" s="13" t="s">
        <v>195</v>
      </c>
      <c r="C46" s="13">
        <v>3</v>
      </c>
      <c r="D46" s="13">
        <v>3</v>
      </c>
      <c r="E46" s="13">
        <v>3</v>
      </c>
    </row>
    <row r="47" spans="1:5" x14ac:dyDescent="0.3">
      <c r="A47" s="13" t="s">
        <v>1</v>
      </c>
      <c r="B47" s="13" t="s">
        <v>111</v>
      </c>
      <c r="C47" s="13">
        <v>4</v>
      </c>
      <c r="D47" s="13">
        <v>3</v>
      </c>
      <c r="E47" s="13">
        <v>4</v>
      </c>
    </row>
    <row r="48" spans="1:5" x14ac:dyDescent="0.3">
      <c r="A48" s="13" t="s">
        <v>1</v>
      </c>
      <c r="B48" s="13" t="s">
        <v>320</v>
      </c>
      <c r="C48" s="13">
        <v>4</v>
      </c>
      <c r="D48" s="13">
        <v>3</v>
      </c>
      <c r="E48" s="13">
        <v>4</v>
      </c>
    </row>
    <row r="49" spans="1:5" x14ac:dyDescent="0.3">
      <c r="A49" s="13" t="s">
        <v>1</v>
      </c>
      <c r="B49" s="13" t="s">
        <v>695</v>
      </c>
      <c r="C49" s="13">
        <v>3</v>
      </c>
      <c r="D49" s="13">
        <v>3</v>
      </c>
      <c r="E49" s="13">
        <v>4</v>
      </c>
    </row>
    <row r="50" spans="1:5" x14ac:dyDescent="0.3">
      <c r="A50" s="13" t="s">
        <v>1</v>
      </c>
      <c r="B50" s="13" t="s">
        <v>118</v>
      </c>
      <c r="C50" s="13">
        <v>3</v>
      </c>
      <c r="D50" s="13">
        <v>3</v>
      </c>
      <c r="E50" s="13">
        <v>3</v>
      </c>
    </row>
    <row r="51" spans="1:5" x14ac:dyDescent="0.3">
      <c r="A51" s="13" t="s">
        <v>1</v>
      </c>
      <c r="B51" s="13" t="s">
        <v>196</v>
      </c>
      <c r="C51" s="13">
        <v>3</v>
      </c>
      <c r="D51" s="13">
        <v>3</v>
      </c>
      <c r="E51" s="13">
        <v>3</v>
      </c>
    </row>
    <row r="52" spans="1:5" x14ac:dyDescent="0.3">
      <c r="A52" s="13" t="s">
        <v>1</v>
      </c>
      <c r="B52" s="13" t="s">
        <v>31</v>
      </c>
      <c r="C52" s="13">
        <v>3</v>
      </c>
      <c r="D52" s="13">
        <v>3</v>
      </c>
      <c r="E52" s="13">
        <v>3</v>
      </c>
    </row>
    <row r="53" spans="1:5" x14ac:dyDescent="0.3">
      <c r="A53" s="13" t="s">
        <v>1</v>
      </c>
      <c r="B53" s="13" t="s">
        <v>39</v>
      </c>
      <c r="C53" s="13">
        <v>12</v>
      </c>
      <c r="D53" s="13">
        <v>3</v>
      </c>
      <c r="E53" s="13">
        <v>19</v>
      </c>
    </row>
    <row r="54" spans="1:5" x14ac:dyDescent="0.3">
      <c r="A54" s="13" t="s">
        <v>0</v>
      </c>
      <c r="B54" s="13" t="s">
        <v>30</v>
      </c>
      <c r="C54" s="13">
        <v>9</v>
      </c>
      <c r="D54" s="13">
        <v>3</v>
      </c>
      <c r="E54" s="13">
        <v>12</v>
      </c>
    </row>
    <row r="55" spans="1:5" x14ac:dyDescent="0.3">
      <c r="A55" s="13" t="s">
        <v>0</v>
      </c>
      <c r="B55" s="13" t="s">
        <v>260</v>
      </c>
      <c r="C55" s="13">
        <v>3</v>
      </c>
      <c r="D55" s="13">
        <v>3</v>
      </c>
      <c r="E55" s="13">
        <v>4</v>
      </c>
    </row>
    <row r="56" spans="1:5" x14ac:dyDescent="0.3">
      <c r="A56" s="13" t="s">
        <v>0</v>
      </c>
      <c r="B56" s="13" t="s">
        <v>61</v>
      </c>
      <c r="C56" s="13">
        <v>3</v>
      </c>
      <c r="D56" s="13">
        <v>3</v>
      </c>
      <c r="E56" s="13">
        <v>3</v>
      </c>
    </row>
    <row r="57" spans="1:5" x14ac:dyDescent="0.3">
      <c r="A57" s="13" t="s">
        <v>0</v>
      </c>
      <c r="B57" s="13" t="s">
        <v>1674</v>
      </c>
      <c r="C57" s="13">
        <v>3</v>
      </c>
      <c r="D57" s="13">
        <v>3</v>
      </c>
      <c r="E57" s="13">
        <v>4</v>
      </c>
    </row>
    <row r="58" spans="1:5" x14ac:dyDescent="0.3">
      <c r="A58" s="13" t="s">
        <v>0</v>
      </c>
      <c r="B58" s="13" t="s">
        <v>1988</v>
      </c>
      <c r="C58" s="13">
        <v>3</v>
      </c>
      <c r="D58" s="13">
        <v>3</v>
      </c>
      <c r="E58" s="13">
        <v>3</v>
      </c>
    </row>
    <row r="59" spans="1:5" x14ac:dyDescent="0.3">
      <c r="A59" s="13" t="s">
        <v>0</v>
      </c>
      <c r="B59" s="13" t="s">
        <v>311</v>
      </c>
      <c r="C59" s="13">
        <v>3</v>
      </c>
      <c r="D59" s="13">
        <v>3</v>
      </c>
      <c r="E59" s="13">
        <v>3</v>
      </c>
    </row>
    <row r="60" spans="1:5" x14ac:dyDescent="0.3">
      <c r="A60" s="13" t="s">
        <v>0</v>
      </c>
      <c r="B60" s="13" t="s">
        <v>838</v>
      </c>
      <c r="C60" s="13">
        <v>3</v>
      </c>
      <c r="D60" s="13">
        <v>3</v>
      </c>
      <c r="E60" s="13">
        <v>5</v>
      </c>
    </row>
    <row r="61" spans="1:5" x14ac:dyDescent="0.3">
      <c r="A61" s="13" t="s">
        <v>0</v>
      </c>
      <c r="B61" s="13" t="s">
        <v>2806</v>
      </c>
      <c r="C61" s="13">
        <v>3</v>
      </c>
      <c r="D61" s="13">
        <v>3</v>
      </c>
      <c r="E61" s="13"/>
    </row>
    <row r="62" spans="1:5" x14ac:dyDescent="0.3">
      <c r="A62" s="13" t="s">
        <v>0</v>
      </c>
      <c r="B62" s="13" t="s">
        <v>789</v>
      </c>
      <c r="C62" s="13">
        <v>3</v>
      </c>
      <c r="D62" s="13">
        <v>3</v>
      </c>
      <c r="E62" s="13">
        <v>5</v>
      </c>
    </row>
    <row r="63" spans="1:5" x14ac:dyDescent="0.3">
      <c r="A63" s="13" t="s">
        <v>1</v>
      </c>
      <c r="B63" s="13" t="s">
        <v>33</v>
      </c>
      <c r="C63" s="13">
        <v>4</v>
      </c>
      <c r="D63" s="13">
        <v>2</v>
      </c>
      <c r="E63" s="13">
        <v>4</v>
      </c>
    </row>
    <row r="64" spans="1:5" x14ac:dyDescent="0.3">
      <c r="A64" s="13" t="s">
        <v>1</v>
      </c>
      <c r="B64" s="13" t="s">
        <v>264</v>
      </c>
      <c r="C64" s="13">
        <v>3</v>
      </c>
      <c r="D64" s="13">
        <v>2</v>
      </c>
      <c r="E64" s="13">
        <v>5</v>
      </c>
    </row>
    <row r="65" spans="1:5" x14ac:dyDescent="0.3">
      <c r="A65" s="13" t="s">
        <v>1</v>
      </c>
      <c r="B65" s="13" t="s">
        <v>206</v>
      </c>
      <c r="C65" s="13">
        <v>2</v>
      </c>
      <c r="D65" s="13">
        <v>2</v>
      </c>
      <c r="E65" s="13">
        <v>2</v>
      </c>
    </row>
    <row r="66" spans="1:5" x14ac:dyDescent="0.3">
      <c r="A66" s="13" t="s">
        <v>1</v>
      </c>
      <c r="B66" s="13" t="s">
        <v>34</v>
      </c>
      <c r="C66" s="13">
        <v>2</v>
      </c>
      <c r="D66" s="13">
        <v>2</v>
      </c>
      <c r="E66" s="13">
        <v>2</v>
      </c>
    </row>
    <row r="67" spans="1:5" x14ac:dyDescent="0.3">
      <c r="A67" s="13" t="s">
        <v>1</v>
      </c>
      <c r="B67" s="13" t="s">
        <v>813</v>
      </c>
      <c r="C67" s="13">
        <v>4</v>
      </c>
      <c r="D67" s="13">
        <v>2</v>
      </c>
      <c r="E67" s="13">
        <v>4</v>
      </c>
    </row>
    <row r="68" spans="1:5" x14ac:dyDescent="0.3">
      <c r="A68" s="13" t="s">
        <v>1</v>
      </c>
      <c r="B68" s="13" t="s">
        <v>147</v>
      </c>
      <c r="C68" s="13">
        <v>6</v>
      </c>
      <c r="D68" s="13">
        <v>2</v>
      </c>
      <c r="E68" s="13">
        <v>8</v>
      </c>
    </row>
    <row r="69" spans="1:5" x14ac:dyDescent="0.3">
      <c r="A69" s="13" t="s">
        <v>1</v>
      </c>
      <c r="B69" s="13" t="s">
        <v>351</v>
      </c>
      <c r="C69" s="13">
        <v>2</v>
      </c>
      <c r="D69" s="13">
        <v>2</v>
      </c>
      <c r="E69" s="13">
        <v>3</v>
      </c>
    </row>
    <row r="70" spans="1:5" x14ac:dyDescent="0.3">
      <c r="A70" s="13" t="s">
        <v>1</v>
      </c>
      <c r="B70" s="13" t="s">
        <v>150</v>
      </c>
      <c r="C70" s="13">
        <v>3</v>
      </c>
      <c r="D70" s="13">
        <v>2</v>
      </c>
      <c r="E70" s="13">
        <v>3</v>
      </c>
    </row>
    <row r="71" spans="1:5" x14ac:dyDescent="0.3">
      <c r="A71" s="13" t="s">
        <v>1</v>
      </c>
      <c r="B71" s="13" t="s">
        <v>41</v>
      </c>
      <c r="C71" s="13">
        <v>2</v>
      </c>
      <c r="D71" s="13">
        <v>2</v>
      </c>
      <c r="E71" s="13">
        <v>3</v>
      </c>
    </row>
    <row r="72" spans="1:5" x14ac:dyDescent="0.3">
      <c r="A72" s="13" t="s">
        <v>1</v>
      </c>
      <c r="B72" s="13" t="s">
        <v>93</v>
      </c>
      <c r="C72" s="13">
        <v>4</v>
      </c>
      <c r="D72" s="13">
        <v>2</v>
      </c>
      <c r="E72" s="13">
        <v>4</v>
      </c>
    </row>
    <row r="73" spans="1:5" x14ac:dyDescent="0.3">
      <c r="A73" s="13" t="s">
        <v>1</v>
      </c>
      <c r="B73" s="13" t="s">
        <v>94</v>
      </c>
      <c r="C73" s="13">
        <v>7</v>
      </c>
      <c r="D73" s="13">
        <v>2</v>
      </c>
      <c r="E73" s="13">
        <v>9</v>
      </c>
    </row>
    <row r="74" spans="1:5" x14ac:dyDescent="0.3">
      <c r="A74" s="13" t="s">
        <v>1</v>
      </c>
      <c r="B74" s="13" t="s">
        <v>1485</v>
      </c>
      <c r="C74" s="13">
        <v>2</v>
      </c>
      <c r="D74" s="13">
        <v>2</v>
      </c>
      <c r="E74" s="13">
        <v>2</v>
      </c>
    </row>
    <row r="75" spans="1:5" x14ac:dyDescent="0.3">
      <c r="A75" s="13" t="s">
        <v>1</v>
      </c>
      <c r="B75" s="13" t="s">
        <v>1696</v>
      </c>
      <c r="C75" s="13">
        <v>2</v>
      </c>
      <c r="D75" s="13">
        <v>2</v>
      </c>
      <c r="E75" s="13">
        <v>4</v>
      </c>
    </row>
    <row r="76" spans="1:5" x14ac:dyDescent="0.3">
      <c r="A76" s="13" t="s">
        <v>1</v>
      </c>
      <c r="B76" s="13" t="s">
        <v>1888</v>
      </c>
      <c r="C76" s="13">
        <v>2</v>
      </c>
      <c r="D76" s="13">
        <v>2</v>
      </c>
      <c r="E76" s="13">
        <v>2</v>
      </c>
    </row>
    <row r="77" spans="1:5" x14ac:dyDescent="0.3">
      <c r="A77" s="13" t="s">
        <v>1</v>
      </c>
      <c r="B77" s="13" t="s">
        <v>1885</v>
      </c>
      <c r="C77" s="13">
        <v>3</v>
      </c>
      <c r="D77" s="13">
        <v>2</v>
      </c>
      <c r="E77" s="13">
        <v>3</v>
      </c>
    </row>
    <row r="78" spans="1:5" x14ac:dyDescent="0.3">
      <c r="A78" s="13" t="s">
        <v>1</v>
      </c>
      <c r="B78" s="13" t="s">
        <v>1882</v>
      </c>
      <c r="C78" s="13">
        <v>4</v>
      </c>
      <c r="D78" s="13">
        <v>2</v>
      </c>
      <c r="E78" s="13">
        <v>5</v>
      </c>
    </row>
    <row r="79" spans="1:5" x14ac:dyDescent="0.3">
      <c r="A79" s="13" t="s">
        <v>1</v>
      </c>
      <c r="B79" s="13" t="s">
        <v>2203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2734</v>
      </c>
      <c r="C80" s="13">
        <v>7</v>
      </c>
      <c r="D80" s="13">
        <v>2</v>
      </c>
      <c r="E80" s="13">
        <v>7</v>
      </c>
    </row>
    <row r="81" spans="1:5" x14ac:dyDescent="0.3">
      <c r="A81" s="13" t="s">
        <v>1</v>
      </c>
      <c r="B81" s="13" t="s">
        <v>156</v>
      </c>
      <c r="C81" s="13">
        <v>2</v>
      </c>
      <c r="D81" s="13">
        <v>2</v>
      </c>
      <c r="E81" s="13">
        <v>3</v>
      </c>
    </row>
    <row r="82" spans="1:5" x14ac:dyDescent="0.3">
      <c r="A82" s="13" t="s">
        <v>1</v>
      </c>
      <c r="B82" s="13" t="s">
        <v>115</v>
      </c>
      <c r="C82" s="13">
        <v>2</v>
      </c>
      <c r="D82" s="13">
        <v>2</v>
      </c>
      <c r="E82" s="13">
        <v>3</v>
      </c>
    </row>
    <row r="83" spans="1:5" x14ac:dyDescent="0.3">
      <c r="A83" s="13" t="s">
        <v>1</v>
      </c>
      <c r="B83" s="13" t="s">
        <v>631</v>
      </c>
      <c r="C83" s="13">
        <v>4</v>
      </c>
      <c r="D83" s="13">
        <v>2</v>
      </c>
      <c r="E83" s="13">
        <v>6</v>
      </c>
    </row>
    <row r="84" spans="1:5" x14ac:dyDescent="0.3">
      <c r="A84" s="13" t="s">
        <v>1</v>
      </c>
      <c r="B84" s="13" t="s">
        <v>841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953</v>
      </c>
      <c r="C85" s="13">
        <v>3</v>
      </c>
      <c r="D85" s="13">
        <v>2</v>
      </c>
      <c r="E85" s="13">
        <v>3</v>
      </c>
    </row>
    <row r="86" spans="1:5" x14ac:dyDescent="0.3">
      <c r="A86" s="13" t="s">
        <v>1</v>
      </c>
      <c r="B86" s="13" t="s">
        <v>412</v>
      </c>
      <c r="C86" s="13">
        <v>2</v>
      </c>
      <c r="D86" s="13">
        <v>2</v>
      </c>
      <c r="E86" s="13">
        <v>3</v>
      </c>
    </row>
    <row r="87" spans="1:5" x14ac:dyDescent="0.3">
      <c r="A87" s="13" t="s">
        <v>1</v>
      </c>
      <c r="B87" s="13" t="s">
        <v>716</v>
      </c>
      <c r="C87" s="13">
        <v>3</v>
      </c>
      <c r="D87" s="13">
        <v>2</v>
      </c>
      <c r="E87" s="13">
        <v>4</v>
      </c>
    </row>
    <row r="88" spans="1:5" x14ac:dyDescent="0.3">
      <c r="A88" s="13" t="s">
        <v>1</v>
      </c>
      <c r="B88" s="13" t="s">
        <v>132</v>
      </c>
      <c r="C88" s="13">
        <v>5</v>
      </c>
      <c r="D88" s="13">
        <v>2</v>
      </c>
      <c r="E88" s="13">
        <v>6</v>
      </c>
    </row>
    <row r="89" spans="1:5" x14ac:dyDescent="0.3">
      <c r="A89" s="13" t="s">
        <v>1</v>
      </c>
      <c r="B89" s="13" t="s">
        <v>191</v>
      </c>
      <c r="C89" s="13">
        <v>4</v>
      </c>
      <c r="D89" s="13">
        <v>2</v>
      </c>
      <c r="E89" s="13">
        <v>4</v>
      </c>
    </row>
    <row r="90" spans="1:5" x14ac:dyDescent="0.3">
      <c r="A90" s="13" t="s">
        <v>1</v>
      </c>
      <c r="B90" s="13" t="s">
        <v>66</v>
      </c>
      <c r="C90" s="13">
        <v>5</v>
      </c>
      <c r="D90" s="13">
        <v>2</v>
      </c>
      <c r="E90" s="13">
        <v>6</v>
      </c>
    </row>
    <row r="91" spans="1:5" x14ac:dyDescent="0.3">
      <c r="A91" s="13" t="s">
        <v>1</v>
      </c>
      <c r="B91" s="13" t="s">
        <v>56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1371</v>
      </c>
      <c r="C92" s="13">
        <v>2</v>
      </c>
      <c r="D92" s="13">
        <v>3</v>
      </c>
      <c r="E92" s="13"/>
    </row>
    <row r="93" spans="1:5" x14ac:dyDescent="0.3">
      <c r="A93" s="13" t="s">
        <v>1</v>
      </c>
      <c r="B93" s="13" t="s">
        <v>2676</v>
      </c>
      <c r="C93" s="13">
        <v>2</v>
      </c>
      <c r="D93" s="13">
        <v>2</v>
      </c>
      <c r="E93" s="13"/>
    </row>
    <row r="94" spans="1:5" x14ac:dyDescent="0.3">
      <c r="A94" s="13" t="s">
        <v>0</v>
      </c>
      <c r="B94" s="13" t="s">
        <v>33</v>
      </c>
      <c r="C94" s="13">
        <v>2</v>
      </c>
      <c r="D94" s="13">
        <v>2</v>
      </c>
      <c r="E94" s="13">
        <v>2</v>
      </c>
    </row>
    <row r="95" spans="1:5" x14ac:dyDescent="0.3">
      <c r="A95" s="13" t="s">
        <v>0</v>
      </c>
      <c r="B95" s="13" t="s">
        <v>813</v>
      </c>
      <c r="C95" s="13">
        <v>2</v>
      </c>
      <c r="D95" s="13">
        <v>2</v>
      </c>
      <c r="E95" s="13">
        <v>2</v>
      </c>
    </row>
    <row r="96" spans="1:5" x14ac:dyDescent="0.3">
      <c r="A96" s="13" t="s">
        <v>0</v>
      </c>
      <c r="B96" s="13" t="s">
        <v>80</v>
      </c>
      <c r="C96" s="13">
        <v>2</v>
      </c>
      <c r="D96" s="13">
        <v>2</v>
      </c>
      <c r="E96" s="13">
        <v>2</v>
      </c>
    </row>
    <row r="97" spans="1:5" x14ac:dyDescent="0.3">
      <c r="A97" s="13" t="s">
        <v>0</v>
      </c>
      <c r="B97" s="13" t="s">
        <v>81</v>
      </c>
      <c r="C97" s="13">
        <v>2</v>
      </c>
      <c r="D97" s="13">
        <v>2</v>
      </c>
      <c r="E97" s="13">
        <v>4</v>
      </c>
    </row>
    <row r="98" spans="1:5" x14ac:dyDescent="0.3">
      <c r="A98" s="13" t="s">
        <v>0</v>
      </c>
      <c r="B98" s="13" t="s">
        <v>211</v>
      </c>
      <c r="C98" s="13">
        <v>2</v>
      </c>
      <c r="D98" s="13">
        <v>2</v>
      </c>
      <c r="E98" s="13">
        <v>2</v>
      </c>
    </row>
    <row r="99" spans="1:5" x14ac:dyDescent="0.3">
      <c r="A99" s="13" t="s">
        <v>0</v>
      </c>
      <c r="B99" s="13" t="s">
        <v>41</v>
      </c>
      <c r="C99" s="13">
        <v>4</v>
      </c>
      <c r="D99" s="13">
        <v>2</v>
      </c>
      <c r="E99" s="13">
        <v>9</v>
      </c>
    </row>
    <row r="100" spans="1:5" x14ac:dyDescent="0.3">
      <c r="A100" s="13" t="s">
        <v>0</v>
      </c>
      <c r="B100" s="13" t="s">
        <v>60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0</v>
      </c>
      <c r="B101" s="13" t="s">
        <v>1342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0</v>
      </c>
      <c r="B102" s="13" t="s">
        <v>156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0</v>
      </c>
      <c r="B103" s="13" t="s">
        <v>159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0</v>
      </c>
      <c r="B104" s="13" t="s">
        <v>1458</v>
      </c>
      <c r="C104" s="13">
        <v>2</v>
      </c>
      <c r="D104" s="13">
        <v>2</v>
      </c>
      <c r="E104" s="13">
        <v>3</v>
      </c>
    </row>
    <row r="105" spans="1:5" x14ac:dyDescent="0.3">
      <c r="A105" s="13" t="s">
        <v>0</v>
      </c>
      <c r="B105" s="13" t="s">
        <v>161</v>
      </c>
      <c r="C105" s="13">
        <v>2</v>
      </c>
      <c r="D105" s="13">
        <v>2</v>
      </c>
      <c r="E105" s="13">
        <v>3</v>
      </c>
    </row>
    <row r="106" spans="1:5" x14ac:dyDescent="0.3">
      <c r="A106" s="13" t="s">
        <v>0</v>
      </c>
      <c r="B106" s="13" t="s">
        <v>195</v>
      </c>
      <c r="C106" s="13">
        <v>3</v>
      </c>
      <c r="D106" s="13">
        <v>2</v>
      </c>
      <c r="E106" s="13">
        <v>3</v>
      </c>
    </row>
    <row r="107" spans="1:5" x14ac:dyDescent="0.3">
      <c r="A107" s="13" t="s">
        <v>0</v>
      </c>
      <c r="B107" s="13" t="s">
        <v>51</v>
      </c>
      <c r="C107" s="13">
        <v>3</v>
      </c>
      <c r="D107" s="13">
        <v>2</v>
      </c>
      <c r="E107" s="13">
        <v>4</v>
      </c>
    </row>
    <row r="108" spans="1:5" x14ac:dyDescent="0.3">
      <c r="A108" s="13" t="s">
        <v>0</v>
      </c>
      <c r="B108" s="13" t="s">
        <v>317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0</v>
      </c>
      <c r="B109" s="13" t="s">
        <v>45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0</v>
      </c>
      <c r="B110" s="13" t="s">
        <v>434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0</v>
      </c>
      <c r="B111" s="13" t="s">
        <v>62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0</v>
      </c>
      <c r="B112" s="13" t="s">
        <v>63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0</v>
      </c>
      <c r="B113" s="13" t="s">
        <v>339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0</v>
      </c>
      <c r="B114" s="13" t="s">
        <v>52</v>
      </c>
      <c r="C114" s="13">
        <v>2</v>
      </c>
      <c r="D114" s="13">
        <v>2</v>
      </c>
      <c r="E114" s="13">
        <v>2</v>
      </c>
    </row>
    <row r="115" spans="1:5" x14ac:dyDescent="0.3">
      <c r="A115" s="13" t="s">
        <v>0</v>
      </c>
      <c r="B115" s="13" t="s">
        <v>66</v>
      </c>
      <c r="C115" s="13">
        <v>2</v>
      </c>
      <c r="D115" s="13">
        <v>2</v>
      </c>
      <c r="E115" s="13">
        <v>2</v>
      </c>
    </row>
    <row r="116" spans="1:5" x14ac:dyDescent="0.3">
      <c r="A116" s="13" t="s">
        <v>2</v>
      </c>
      <c r="B116" s="13" t="s">
        <v>562</v>
      </c>
      <c r="C116" s="13">
        <v>2</v>
      </c>
      <c r="D116" s="13">
        <v>2</v>
      </c>
      <c r="E116" s="13">
        <v>2</v>
      </c>
    </row>
    <row r="117" spans="1:5" x14ac:dyDescent="0.3">
      <c r="A117" s="13" t="s">
        <v>2</v>
      </c>
      <c r="B117" s="13" t="s">
        <v>845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1</v>
      </c>
      <c r="B118" s="13" t="s">
        <v>377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1350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1200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965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368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240</v>
      </c>
      <c r="C123" s="13">
        <v>2</v>
      </c>
      <c r="D123" s="13">
        <v>1</v>
      </c>
      <c r="E123" s="13">
        <v>2</v>
      </c>
    </row>
    <row r="124" spans="1:5" x14ac:dyDescent="0.3">
      <c r="A124" s="13" t="s">
        <v>1</v>
      </c>
      <c r="B124" s="13" t="s">
        <v>261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138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1853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490</v>
      </c>
      <c r="C127" s="13">
        <v>2</v>
      </c>
      <c r="D127" s="13">
        <v>1</v>
      </c>
      <c r="E127" s="13">
        <v>2</v>
      </c>
    </row>
    <row r="128" spans="1:5" x14ac:dyDescent="0.3">
      <c r="A128" s="13" t="s">
        <v>1</v>
      </c>
      <c r="B128" s="13" t="s">
        <v>262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554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586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71</v>
      </c>
      <c r="C131" s="13">
        <v>2</v>
      </c>
      <c r="D131" s="13">
        <v>1</v>
      </c>
      <c r="E131" s="13">
        <v>2</v>
      </c>
    </row>
    <row r="132" spans="1:5" x14ac:dyDescent="0.3">
      <c r="A132" s="13" t="s">
        <v>1</v>
      </c>
      <c r="B132" s="13" t="s">
        <v>73</v>
      </c>
      <c r="C132" s="13">
        <v>2</v>
      </c>
      <c r="D132" s="13">
        <v>1</v>
      </c>
      <c r="E132" s="13">
        <v>2</v>
      </c>
    </row>
    <row r="133" spans="1:5" x14ac:dyDescent="0.3">
      <c r="A133" s="13" t="s">
        <v>1</v>
      </c>
      <c r="B133" s="13" t="s">
        <v>48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375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753</v>
      </c>
      <c r="C135" s="13">
        <v>1</v>
      </c>
      <c r="D135" s="13">
        <v>1</v>
      </c>
      <c r="E135" s="13">
        <v>2</v>
      </c>
    </row>
    <row r="136" spans="1:5" x14ac:dyDescent="0.3">
      <c r="A136" s="13" t="s">
        <v>1</v>
      </c>
      <c r="B136" s="13" t="s">
        <v>204</v>
      </c>
      <c r="C136" s="13">
        <v>2</v>
      </c>
      <c r="D136" s="13">
        <v>1</v>
      </c>
      <c r="E136" s="13">
        <v>2</v>
      </c>
    </row>
    <row r="137" spans="1:5" x14ac:dyDescent="0.3">
      <c r="A137" s="13" t="s">
        <v>1</v>
      </c>
      <c r="B137" s="13" t="s">
        <v>381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420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143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1227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267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2807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77</v>
      </c>
      <c r="C143" s="13">
        <v>3</v>
      </c>
      <c r="D143" s="13">
        <v>1</v>
      </c>
      <c r="E143" s="13">
        <v>3</v>
      </c>
    </row>
    <row r="144" spans="1:5" x14ac:dyDescent="0.3">
      <c r="A144" s="13" t="s">
        <v>1</v>
      </c>
      <c r="B144" s="13" t="s">
        <v>1617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260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673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81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304</v>
      </c>
      <c r="C148" s="13">
        <v>2</v>
      </c>
      <c r="D148" s="13">
        <v>1</v>
      </c>
      <c r="E148" s="13">
        <v>2</v>
      </c>
    </row>
    <row r="149" spans="1:5" x14ac:dyDescent="0.3">
      <c r="A149" s="13" t="s">
        <v>1</v>
      </c>
      <c r="B149" s="13" t="s">
        <v>82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816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83</v>
      </c>
      <c r="C151" s="13">
        <v>2</v>
      </c>
      <c r="D151" s="13">
        <v>1</v>
      </c>
      <c r="E151" s="13">
        <v>2</v>
      </c>
    </row>
    <row r="152" spans="1:5" x14ac:dyDescent="0.3">
      <c r="A152" s="13" t="s">
        <v>1</v>
      </c>
      <c r="B152" s="13" t="s">
        <v>500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84</v>
      </c>
      <c r="C153" s="13">
        <v>2</v>
      </c>
      <c r="D153" s="13">
        <v>1</v>
      </c>
      <c r="E153" s="13">
        <v>2</v>
      </c>
    </row>
    <row r="154" spans="1:5" x14ac:dyDescent="0.3">
      <c r="A154" s="13" t="s">
        <v>1</v>
      </c>
      <c r="B154" s="13" t="s">
        <v>349</v>
      </c>
      <c r="C154" s="13">
        <v>3</v>
      </c>
      <c r="D154" s="13">
        <v>1</v>
      </c>
      <c r="E154" s="13">
        <v>4</v>
      </c>
    </row>
    <row r="155" spans="1:5" x14ac:dyDescent="0.3">
      <c r="A155" s="13" t="s">
        <v>1</v>
      </c>
      <c r="B155" s="13" t="s">
        <v>145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86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464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1211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89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215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152</v>
      </c>
      <c r="C161" s="13">
        <v>2</v>
      </c>
      <c r="D161" s="13">
        <v>1</v>
      </c>
      <c r="E161" s="13">
        <v>2</v>
      </c>
    </row>
    <row r="162" spans="1:5" x14ac:dyDescent="0.3">
      <c r="A162" s="13" t="s">
        <v>1</v>
      </c>
      <c r="B162" s="13" t="s">
        <v>42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1505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1570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1624</v>
      </c>
      <c r="C165" s="13">
        <v>2</v>
      </c>
      <c r="D165" s="13">
        <v>1</v>
      </c>
      <c r="E165" s="13">
        <v>2</v>
      </c>
    </row>
    <row r="166" spans="1:5" x14ac:dyDescent="0.3">
      <c r="A166" s="13" t="s">
        <v>1</v>
      </c>
      <c r="B166" s="13" t="s">
        <v>1645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1849</v>
      </c>
      <c r="C167" s="13">
        <v>2</v>
      </c>
      <c r="D167" s="13">
        <v>1</v>
      </c>
      <c r="E167" s="13">
        <v>4</v>
      </c>
    </row>
    <row r="168" spans="1:5" x14ac:dyDescent="0.3">
      <c r="A168" s="13" t="s">
        <v>1</v>
      </c>
      <c r="B168" s="13" t="s">
        <v>1881</v>
      </c>
      <c r="C168" s="13">
        <v>2</v>
      </c>
      <c r="D168" s="13">
        <v>1</v>
      </c>
      <c r="E168" s="13">
        <v>2</v>
      </c>
    </row>
    <row r="169" spans="1:5" x14ac:dyDescent="0.3">
      <c r="A169" s="13" t="s">
        <v>1</v>
      </c>
      <c r="B169" s="13" t="s">
        <v>2179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2624</v>
      </c>
      <c r="C170" s="13">
        <v>4</v>
      </c>
      <c r="D170" s="13">
        <v>1</v>
      </c>
      <c r="E170" s="13">
        <v>4</v>
      </c>
    </row>
    <row r="171" spans="1:5" x14ac:dyDescent="0.3">
      <c r="A171" s="13" t="s">
        <v>1</v>
      </c>
      <c r="B171" s="13" t="s">
        <v>273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505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819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506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388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390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1032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476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889</v>
      </c>
      <c r="C179" s="13">
        <v>2</v>
      </c>
      <c r="D179" s="13">
        <v>1</v>
      </c>
      <c r="E179" s="13">
        <v>2</v>
      </c>
    </row>
    <row r="180" spans="1:5" x14ac:dyDescent="0.3">
      <c r="A180" s="13" t="s">
        <v>1</v>
      </c>
      <c r="B180" s="13" t="s">
        <v>1816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2753</v>
      </c>
      <c r="C181" s="13">
        <v>1</v>
      </c>
      <c r="D181" s="13">
        <v>1</v>
      </c>
      <c r="E181" s="13">
        <v>2</v>
      </c>
    </row>
    <row r="182" spans="1:5" x14ac:dyDescent="0.3">
      <c r="A182" s="13" t="s">
        <v>1</v>
      </c>
      <c r="B182" s="13" t="s">
        <v>1034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391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159</v>
      </c>
      <c r="C184" s="13">
        <v>1</v>
      </c>
      <c r="D184" s="13">
        <v>1</v>
      </c>
      <c r="E184" s="13">
        <v>2</v>
      </c>
    </row>
    <row r="185" spans="1:5" x14ac:dyDescent="0.3">
      <c r="A185" s="13" t="s">
        <v>1</v>
      </c>
      <c r="B185" s="13" t="s">
        <v>937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103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275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1373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309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1055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164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429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2808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1003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1353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1174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394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1028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1486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169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279</v>
      </c>
      <c r="C201" s="13">
        <v>3</v>
      </c>
      <c r="D201" s="13">
        <v>1</v>
      </c>
      <c r="E201" s="13">
        <v>3</v>
      </c>
    </row>
    <row r="202" spans="1:5" x14ac:dyDescent="0.3">
      <c r="A202" s="13" t="s">
        <v>1</v>
      </c>
      <c r="B202" s="13" t="s">
        <v>2809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800</v>
      </c>
      <c r="C203" s="13">
        <v>1</v>
      </c>
      <c r="D203" s="13">
        <v>1</v>
      </c>
      <c r="E203" s="13">
        <v>2</v>
      </c>
    </row>
    <row r="204" spans="1:5" x14ac:dyDescent="0.3">
      <c r="A204" s="13" t="s">
        <v>1</v>
      </c>
      <c r="B204" s="13" t="s">
        <v>281</v>
      </c>
      <c r="C204" s="13">
        <v>2</v>
      </c>
      <c r="D204" s="13">
        <v>1</v>
      </c>
      <c r="E204" s="13">
        <v>2</v>
      </c>
    </row>
    <row r="205" spans="1:5" x14ac:dyDescent="0.3">
      <c r="A205" s="13" t="s">
        <v>1</v>
      </c>
      <c r="B205" s="13" t="s">
        <v>2810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1638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1681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315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317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2811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1005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45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319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1620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737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2812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1356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401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572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1190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624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1543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2589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648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629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1039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1139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2602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1024</v>
      </c>
      <c r="C229" s="13">
        <v>2</v>
      </c>
      <c r="D229" s="13">
        <v>1</v>
      </c>
      <c r="E229" s="13">
        <v>2</v>
      </c>
    </row>
    <row r="230" spans="1:5" x14ac:dyDescent="0.3">
      <c r="A230" s="13" t="s">
        <v>1</v>
      </c>
      <c r="B230" s="13" t="s">
        <v>900</v>
      </c>
      <c r="C230" s="13">
        <v>1</v>
      </c>
      <c r="D230" s="13">
        <v>1</v>
      </c>
      <c r="E230" s="13">
        <v>3</v>
      </c>
    </row>
    <row r="231" spans="1:5" x14ac:dyDescent="0.3">
      <c r="A231" s="13" t="s">
        <v>1</v>
      </c>
      <c r="B231" s="13" t="s">
        <v>331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2133</v>
      </c>
      <c r="C232" s="13">
        <v>1</v>
      </c>
      <c r="D232" s="13">
        <v>1</v>
      </c>
      <c r="E232" s="13">
        <v>2</v>
      </c>
    </row>
    <row r="233" spans="1:5" x14ac:dyDescent="0.3">
      <c r="A233" s="13" t="s">
        <v>1</v>
      </c>
      <c r="B233" s="13" t="s">
        <v>334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2813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1215</v>
      </c>
      <c r="C235" s="13">
        <v>1</v>
      </c>
      <c r="D235" s="13">
        <v>1</v>
      </c>
      <c r="E235" s="13">
        <v>2</v>
      </c>
    </row>
    <row r="236" spans="1:5" x14ac:dyDescent="0.3">
      <c r="A236" s="13" t="s">
        <v>1</v>
      </c>
      <c r="B236" s="13" t="s">
        <v>62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121</v>
      </c>
      <c r="C237" s="13">
        <v>2</v>
      </c>
      <c r="D237" s="13">
        <v>1</v>
      </c>
      <c r="E237" s="13">
        <v>2</v>
      </c>
    </row>
    <row r="238" spans="1:5" x14ac:dyDescent="0.3">
      <c r="A238" s="13" t="s">
        <v>1</v>
      </c>
      <c r="B238" s="13" t="s">
        <v>661</v>
      </c>
      <c r="C238" s="13">
        <v>2</v>
      </c>
      <c r="D238" s="13">
        <v>1</v>
      </c>
      <c r="E238" s="13">
        <v>2</v>
      </c>
    </row>
    <row r="239" spans="1:5" x14ac:dyDescent="0.3">
      <c r="A239" s="13" t="s">
        <v>1</v>
      </c>
      <c r="B239" s="13" t="s">
        <v>531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1705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1092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751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1115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1482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364</v>
      </c>
      <c r="C245" s="13">
        <v>2</v>
      </c>
      <c r="D245" s="13">
        <v>1</v>
      </c>
      <c r="E245" s="13">
        <v>2</v>
      </c>
    </row>
    <row r="246" spans="1:5" x14ac:dyDescent="0.3">
      <c r="A246" s="13" t="s">
        <v>1</v>
      </c>
      <c r="B246" s="13" t="s">
        <v>291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955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709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178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668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711</v>
      </c>
      <c r="C251" s="13">
        <v>2</v>
      </c>
      <c r="D251" s="13">
        <v>1</v>
      </c>
      <c r="E251" s="13">
        <v>2</v>
      </c>
    </row>
    <row r="252" spans="1:5" x14ac:dyDescent="0.3">
      <c r="A252" s="13" t="s">
        <v>1</v>
      </c>
      <c r="B252" s="13" t="s">
        <v>255</v>
      </c>
      <c r="C252" s="13">
        <v>2</v>
      </c>
      <c r="D252" s="13">
        <v>1</v>
      </c>
      <c r="E252" s="13">
        <v>2</v>
      </c>
    </row>
    <row r="253" spans="1:5" x14ac:dyDescent="0.3">
      <c r="A253" s="13" t="s">
        <v>1</v>
      </c>
      <c r="B253" s="13" t="s">
        <v>126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1046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480</v>
      </c>
      <c r="C255" s="13">
        <v>1</v>
      </c>
      <c r="D255" s="13">
        <v>1</v>
      </c>
      <c r="E255" s="13">
        <v>2</v>
      </c>
    </row>
    <row r="256" spans="1:5" x14ac:dyDescent="0.3">
      <c r="A256" s="13" t="s">
        <v>1</v>
      </c>
      <c r="B256" s="13" t="s">
        <v>185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130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417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197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482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131</v>
      </c>
      <c r="C261" s="13">
        <v>3</v>
      </c>
      <c r="D261" s="13">
        <v>1</v>
      </c>
      <c r="E261" s="13">
        <v>3</v>
      </c>
    </row>
    <row r="262" spans="1:5" x14ac:dyDescent="0.3">
      <c r="A262" s="13" t="s">
        <v>1</v>
      </c>
      <c r="B262" s="13" t="s">
        <v>782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253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340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38</v>
      </c>
      <c r="C265" s="13">
        <v>2</v>
      </c>
      <c r="D265" s="13">
        <v>1</v>
      </c>
      <c r="E265" s="13">
        <v>4</v>
      </c>
    </row>
    <row r="266" spans="1:5" x14ac:dyDescent="0.3">
      <c r="A266" s="13" t="s">
        <v>1</v>
      </c>
      <c r="B266" s="13" t="s">
        <v>64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797</v>
      </c>
      <c r="C267" s="13">
        <v>1</v>
      </c>
      <c r="D267" s="13">
        <v>1</v>
      </c>
      <c r="E267" s="13">
        <v>2</v>
      </c>
    </row>
    <row r="268" spans="1:5" x14ac:dyDescent="0.3">
      <c r="A268" s="13" t="s">
        <v>1</v>
      </c>
      <c r="B268" s="13" t="s">
        <v>484</v>
      </c>
      <c r="C268" s="13">
        <v>2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296</v>
      </c>
      <c r="C269" s="13">
        <v>4</v>
      </c>
      <c r="D269" s="13">
        <v>1</v>
      </c>
      <c r="E269" s="13">
        <v>5</v>
      </c>
    </row>
    <row r="270" spans="1:5" x14ac:dyDescent="0.3">
      <c r="A270" s="13" t="s">
        <v>1</v>
      </c>
      <c r="B270" s="13" t="s">
        <v>909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1432</v>
      </c>
      <c r="C271" s="13">
        <v>1</v>
      </c>
      <c r="D271" s="13">
        <v>1</v>
      </c>
      <c r="E271" s="13">
        <v>2</v>
      </c>
    </row>
    <row r="272" spans="1:5" x14ac:dyDescent="0.3">
      <c r="A272" s="13" t="s">
        <v>1</v>
      </c>
      <c r="B272" s="13" t="s">
        <v>2664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365</v>
      </c>
      <c r="C273" s="13">
        <v>2</v>
      </c>
      <c r="D273" s="13">
        <v>1</v>
      </c>
      <c r="E273" s="13">
        <v>4</v>
      </c>
    </row>
    <row r="274" spans="1:5" x14ac:dyDescent="0.3">
      <c r="A274" s="13" t="s">
        <v>1</v>
      </c>
      <c r="B274" s="13" t="s">
        <v>192</v>
      </c>
      <c r="C274" s="13">
        <v>14</v>
      </c>
      <c r="D274" s="13">
        <v>1</v>
      </c>
      <c r="E274" s="13">
        <v>19</v>
      </c>
    </row>
    <row r="275" spans="1:5" x14ac:dyDescent="0.3">
      <c r="A275" s="13" t="s">
        <v>1</v>
      </c>
      <c r="B275" s="13" t="s">
        <v>233</v>
      </c>
      <c r="C275" s="13">
        <v>1</v>
      </c>
      <c r="D275" s="13">
        <v>1</v>
      </c>
      <c r="E275" s="13">
        <v>2</v>
      </c>
    </row>
    <row r="276" spans="1:5" x14ac:dyDescent="0.3">
      <c r="A276" s="13" t="s">
        <v>1</v>
      </c>
      <c r="B276" s="13" t="s">
        <v>54</v>
      </c>
      <c r="C276" s="13">
        <v>4</v>
      </c>
      <c r="D276" s="13">
        <v>1</v>
      </c>
      <c r="E276" s="13">
        <v>5</v>
      </c>
    </row>
    <row r="277" spans="1:5" x14ac:dyDescent="0.3">
      <c r="A277" s="13" t="s">
        <v>1</v>
      </c>
      <c r="B277" s="13" t="s">
        <v>55</v>
      </c>
      <c r="C277" s="13">
        <v>6</v>
      </c>
      <c r="D277" s="13">
        <v>1</v>
      </c>
      <c r="E277" s="13">
        <v>7</v>
      </c>
    </row>
    <row r="278" spans="1:5" x14ac:dyDescent="0.3">
      <c r="A278" s="13" t="s">
        <v>1</v>
      </c>
      <c r="B278" s="13" t="s">
        <v>371</v>
      </c>
      <c r="C278" s="13">
        <v>5</v>
      </c>
      <c r="D278" s="13">
        <v>1</v>
      </c>
      <c r="E278" s="13">
        <v>6</v>
      </c>
    </row>
    <row r="279" spans="1:5" x14ac:dyDescent="0.3">
      <c r="A279" s="13" t="s">
        <v>1</v>
      </c>
      <c r="B279" s="13" t="s">
        <v>718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2814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442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259</v>
      </c>
      <c r="C282" s="13">
        <v>1</v>
      </c>
      <c r="D282" s="13">
        <v>1</v>
      </c>
      <c r="E282" s="13">
        <v>2</v>
      </c>
    </row>
    <row r="283" spans="1:5" x14ac:dyDescent="0.3">
      <c r="A283" s="13" t="s">
        <v>1</v>
      </c>
      <c r="B283" s="13" t="s">
        <v>1736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1673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721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548</v>
      </c>
      <c r="C286" s="13">
        <v>1</v>
      </c>
      <c r="D286" s="13">
        <v>2</v>
      </c>
      <c r="E286" s="13"/>
    </row>
    <row r="287" spans="1:5" x14ac:dyDescent="0.3">
      <c r="A287" s="13" t="s">
        <v>1</v>
      </c>
      <c r="B287" s="13" t="s">
        <v>1538</v>
      </c>
      <c r="C287" s="13">
        <v>1</v>
      </c>
      <c r="D287" s="13">
        <v>1</v>
      </c>
      <c r="E287" s="13"/>
    </row>
    <row r="288" spans="1:5" x14ac:dyDescent="0.3">
      <c r="A288" s="13" t="s">
        <v>1</v>
      </c>
      <c r="B288" s="13" t="s">
        <v>1121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68</v>
      </c>
      <c r="C289" s="13">
        <v>2</v>
      </c>
      <c r="D289" s="13">
        <v>1</v>
      </c>
      <c r="E289" s="13">
        <v>3</v>
      </c>
    </row>
    <row r="290" spans="1:5" x14ac:dyDescent="0.3">
      <c r="A290" s="13" t="s">
        <v>0</v>
      </c>
      <c r="B290" s="13" t="s">
        <v>36</v>
      </c>
      <c r="C290" s="13">
        <v>2</v>
      </c>
      <c r="D290" s="13">
        <v>1</v>
      </c>
      <c r="E290" s="13">
        <v>2</v>
      </c>
    </row>
    <row r="291" spans="1:5" x14ac:dyDescent="0.3">
      <c r="A291" s="13" t="s">
        <v>0</v>
      </c>
      <c r="B291" s="13" t="s">
        <v>47</v>
      </c>
      <c r="C291" s="13">
        <v>1</v>
      </c>
      <c r="D291" s="13">
        <v>1</v>
      </c>
      <c r="E291" s="13">
        <v>2</v>
      </c>
    </row>
    <row r="292" spans="1:5" x14ac:dyDescent="0.3">
      <c r="A292" s="13" t="s">
        <v>0</v>
      </c>
      <c r="B292" s="13" t="s">
        <v>48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0</v>
      </c>
      <c r="B293" s="13" t="s">
        <v>670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0</v>
      </c>
      <c r="B294" s="13" t="s">
        <v>495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0</v>
      </c>
      <c r="B295" s="13" t="s">
        <v>263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0</v>
      </c>
      <c r="B296" s="13" t="s">
        <v>594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0</v>
      </c>
      <c r="B297" s="13" t="s">
        <v>75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0</v>
      </c>
      <c r="B298" s="13" t="s">
        <v>556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0</v>
      </c>
      <c r="B299" s="13" t="s">
        <v>474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0</v>
      </c>
      <c r="B300" s="13" t="s">
        <v>853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0</v>
      </c>
      <c r="B301" s="13" t="s">
        <v>77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0</v>
      </c>
      <c r="B302" s="13" t="s">
        <v>1708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0</v>
      </c>
      <c r="B303" s="13" t="s">
        <v>59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0</v>
      </c>
      <c r="B304" s="13" t="s">
        <v>879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0</v>
      </c>
      <c r="B305" s="13" t="s">
        <v>34</v>
      </c>
      <c r="C305" s="13">
        <v>2</v>
      </c>
      <c r="D305" s="13">
        <v>1</v>
      </c>
      <c r="E305" s="13">
        <v>2</v>
      </c>
    </row>
    <row r="306" spans="1:5" x14ac:dyDescent="0.3">
      <c r="A306" s="13" t="s">
        <v>0</v>
      </c>
      <c r="B306" s="13" t="s">
        <v>209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0</v>
      </c>
      <c r="B307" s="13" t="s">
        <v>815</v>
      </c>
      <c r="C307" s="13">
        <v>1</v>
      </c>
      <c r="D307" s="13">
        <v>1</v>
      </c>
      <c r="E307" s="13">
        <v>2</v>
      </c>
    </row>
    <row r="308" spans="1:5" x14ac:dyDescent="0.3">
      <c r="A308" s="13" t="s">
        <v>0</v>
      </c>
      <c r="B308" s="13" t="s">
        <v>385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0</v>
      </c>
      <c r="B309" s="13" t="s">
        <v>145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0</v>
      </c>
      <c r="B310" s="13" t="s">
        <v>914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0</v>
      </c>
      <c r="B311" s="13" t="s">
        <v>214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0</v>
      </c>
      <c r="B312" s="13" t="s">
        <v>272</v>
      </c>
      <c r="C312" s="13">
        <v>2</v>
      </c>
      <c r="D312" s="13">
        <v>1</v>
      </c>
      <c r="E312" s="13">
        <v>2</v>
      </c>
    </row>
    <row r="313" spans="1:5" x14ac:dyDescent="0.3">
      <c r="A313" s="13" t="s">
        <v>0</v>
      </c>
      <c r="B313" s="13" t="s">
        <v>217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0</v>
      </c>
      <c r="B314" s="13" t="s">
        <v>93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0</v>
      </c>
      <c r="B315" s="13" t="s">
        <v>94</v>
      </c>
      <c r="C315" s="13">
        <v>2</v>
      </c>
      <c r="D315" s="13">
        <v>1</v>
      </c>
      <c r="E315" s="13">
        <v>2</v>
      </c>
    </row>
    <row r="316" spans="1:5" x14ac:dyDescent="0.3">
      <c r="A316" s="13" t="s">
        <v>0</v>
      </c>
      <c r="B316" s="13" t="s">
        <v>471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0</v>
      </c>
      <c r="B317" s="13" t="s">
        <v>1471</v>
      </c>
      <c r="C317" s="13">
        <v>1</v>
      </c>
      <c r="D317" s="13">
        <v>1</v>
      </c>
      <c r="E317" s="13">
        <v>2</v>
      </c>
    </row>
    <row r="318" spans="1:5" x14ac:dyDescent="0.3">
      <c r="A318" s="13" t="s">
        <v>0</v>
      </c>
      <c r="B318" s="13" t="s">
        <v>1484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0</v>
      </c>
      <c r="B319" s="13" t="s">
        <v>1570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0</v>
      </c>
      <c r="B320" s="13" t="s">
        <v>1885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0</v>
      </c>
      <c r="B321" s="13" t="s">
        <v>1969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0</v>
      </c>
      <c r="B322" s="13" t="s">
        <v>1989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0</v>
      </c>
      <c r="B323" s="13" t="s">
        <v>2148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0</v>
      </c>
      <c r="B324" s="13" t="s">
        <v>2203</v>
      </c>
      <c r="C324" s="13">
        <v>2</v>
      </c>
      <c r="D324" s="13">
        <v>1</v>
      </c>
      <c r="E324" s="13">
        <v>2</v>
      </c>
    </row>
    <row r="325" spans="1:5" x14ac:dyDescent="0.3">
      <c r="A325" s="13" t="s">
        <v>0</v>
      </c>
      <c r="B325" s="13" t="s">
        <v>2734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0</v>
      </c>
      <c r="B326" s="13" t="s">
        <v>389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0</v>
      </c>
      <c r="B327" s="13" t="s">
        <v>476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0</v>
      </c>
      <c r="B328" s="13" t="s">
        <v>97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0</v>
      </c>
      <c r="B329" s="13" t="s">
        <v>560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0</v>
      </c>
      <c r="B330" s="13" t="s">
        <v>795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0</v>
      </c>
      <c r="B331" s="13" t="s">
        <v>562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0</v>
      </c>
      <c r="B332" s="13" t="s">
        <v>2815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0</v>
      </c>
      <c r="B333" s="13" t="s">
        <v>1255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0</v>
      </c>
      <c r="B334" s="13" t="s">
        <v>1689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0</v>
      </c>
      <c r="B335" s="13" t="s">
        <v>1449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0</v>
      </c>
      <c r="B336" s="13" t="s">
        <v>1114</v>
      </c>
      <c r="C336" s="13">
        <v>1</v>
      </c>
      <c r="D336" s="13">
        <v>1</v>
      </c>
      <c r="E336" s="13">
        <v>8</v>
      </c>
    </row>
    <row r="337" spans="1:5" x14ac:dyDescent="0.3">
      <c r="A337" s="13" t="s">
        <v>0</v>
      </c>
      <c r="B337" s="13" t="s">
        <v>429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0</v>
      </c>
      <c r="B338" s="13" t="s">
        <v>1130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0</v>
      </c>
      <c r="B339" s="13" t="s">
        <v>683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0</v>
      </c>
      <c r="B340" s="13" t="s">
        <v>165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0</v>
      </c>
      <c r="B341" s="13" t="s">
        <v>108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0</v>
      </c>
      <c r="B342" s="13" t="s">
        <v>2816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0</v>
      </c>
      <c r="B343" s="13" t="s">
        <v>278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0</v>
      </c>
      <c r="B344" s="13" t="s">
        <v>168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0</v>
      </c>
      <c r="B345" s="13" t="s">
        <v>111</v>
      </c>
      <c r="C345" s="13">
        <v>2</v>
      </c>
      <c r="D345" s="13">
        <v>1</v>
      </c>
      <c r="E345" s="13">
        <v>3</v>
      </c>
    </row>
    <row r="346" spans="1:5" x14ac:dyDescent="0.3">
      <c r="A346" s="13" t="s">
        <v>0</v>
      </c>
      <c r="B346" s="13" t="s">
        <v>824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0</v>
      </c>
      <c r="B347" s="13" t="s">
        <v>1606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0</v>
      </c>
      <c r="B348" s="13" t="s">
        <v>281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0</v>
      </c>
      <c r="B349" s="13" t="s">
        <v>2783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0</v>
      </c>
      <c r="B350" s="13" t="s">
        <v>170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0</v>
      </c>
      <c r="B351" s="13" t="s">
        <v>943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0</v>
      </c>
      <c r="B352" s="13" t="s">
        <v>1478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0</v>
      </c>
      <c r="B353" s="13" t="s">
        <v>315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687</v>
      </c>
      <c r="C354" s="13">
        <v>1</v>
      </c>
      <c r="D354" s="13">
        <v>1</v>
      </c>
      <c r="E354" s="13">
        <v>2</v>
      </c>
    </row>
    <row r="355" spans="1:5" x14ac:dyDescent="0.3">
      <c r="A355" s="13" t="s">
        <v>0</v>
      </c>
      <c r="B355" s="13" t="s">
        <v>516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224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113</v>
      </c>
      <c r="C357" s="13">
        <v>1</v>
      </c>
      <c r="D357" s="13">
        <v>1</v>
      </c>
      <c r="E357" s="13">
        <v>2</v>
      </c>
    </row>
    <row r="358" spans="1:5" x14ac:dyDescent="0.3">
      <c r="A358" s="13" t="s">
        <v>0</v>
      </c>
      <c r="B358" s="13" t="s">
        <v>1258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319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691</v>
      </c>
      <c r="C360" s="13">
        <v>1</v>
      </c>
      <c r="D360" s="13">
        <v>1</v>
      </c>
      <c r="E360" s="13">
        <v>2</v>
      </c>
    </row>
    <row r="361" spans="1:5" x14ac:dyDescent="0.3">
      <c r="A361" s="13" t="s">
        <v>0</v>
      </c>
      <c r="B361" s="13" t="s">
        <v>1514</v>
      </c>
      <c r="C361" s="13">
        <v>1</v>
      </c>
      <c r="D361" s="13">
        <v>1</v>
      </c>
      <c r="E361" s="13">
        <v>2</v>
      </c>
    </row>
    <row r="362" spans="1:5" x14ac:dyDescent="0.3">
      <c r="A362" s="13" t="s">
        <v>0</v>
      </c>
      <c r="B362" s="13" t="s">
        <v>523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287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454</v>
      </c>
      <c r="C364" s="13">
        <v>2</v>
      </c>
      <c r="D364" s="13">
        <v>1</v>
      </c>
      <c r="E364" s="13">
        <v>2</v>
      </c>
    </row>
    <row r="365" spans="1:5" x14ac:dyDescent="0.3">
      <c r="A365" s="13" t="s">
        <v>0</v>
      </c>
      <c r="B365" s="13" t="s">
        <v>1190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1191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1239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1093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2281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1038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527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172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117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479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2133</v>
      </c>
      <c r="C375" s="13">
        <v>1</v>
      </c>
      <c r="D375" s="13">
        <v>1</v>
      </c>
      <c r="E375" s="13">
        <v>3</v>
      </c>
    </row>
    <row r="376" spans="1:5" x14ac:dyDescent="0.3">
      <c r="A376" s="13" t="s">
        <v>0</v>
      </c>
      <c r="B376" s="13" t="s">
        <v>1501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631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46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174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175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1430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2817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845</v>
      </c>
      <c r="C383" s="13">
        <v>1</v>
      </c>
      <c r="D383" s="13">
        <v>1</v>
      </c>
      <c r="E383" s="13">
        <v>2</v>
      </c>
    </row>
    <row r="384" spans="1:5" x14ac:dyDescent="0.3">
      <c r="A384" s="13" t="s">
        <v>0</v>
      </c>
      <c r="B384" s="13" t="s">
        <v>2375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537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255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866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780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1416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130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187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1307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38</v>
      </c>
      <c r="C393" s="13">
        <v>1</v>
      </c>
      <c r="D393" s="13">
        <v>1</v>
      </c>
      <c r="E393" s="13">
        <v>2</v>
      </c>
    </row>
    <row r="394" spans="1:5" x14ac:dyDescent="0.3">
      <c r="A394" s="13" t="s">
        <v>0</v>
      </c>
      <c r="B394" s="13" t="s">
        <v>64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540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295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717</v>
      </c>
      <c r="C397" s="13">
        <v>1</v>
      </c>
      <c r="D397" s="13">
        <v>1</v>
      </c>
      <c r="E397" s="13">
        <v>2</v>
      </c>
    </row>
    <row r="398" spans="1:5" x14ac:dyDescent="0.3">
      <c r="A398" s="13" t="s">
        <v>0</v>
      </c>
      <c r="B398" s="13" t="s">
        <v>797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365</v>
      </c>
      <c r="C399" s="13">
        <v>2</v>
      </c>
      <c r="D399" s="13">
        <v>1</v>
      </c>
      <c r="E399" s="13">
        <v>2</v>
      </c>
    </row>
    <row r="400" spans="1:5" x14ac:dyDescent="0.3">
      <c r="A400" s="13" t="s">
        <v>0</v>
      </c>
      <c r="B400" s="13" t="s">
        <v>39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1605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1589</v>
      </c>
      <c r="C402" s="13">
        <v>2</v>
      </c>
      <c r="D402" s="13">
        <v>1</v>
      </c>
      <c r="E402" s="13">
        <v>2</v>
      </c>
    </row>
    <row r="403" spans="1:5" x14ac:dyDescent="0.3">
      <c r="A403" s="13" t="s">
        <v>0</v>
      </c>
      <c r="B403" s="13" t="s">
        <v>1333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641</v>
      </c>
      <c r="C404" s="13">
        <v>1</v>
      </c>
      <c r="D404" s="13">
        <v>1</v>
      </c>
      <c r="E404" s="13"/>
    </row>
    <row r="405" spans="1:5" x14ac:dyDescent="0.3">
      <c r="A405" s="13" t="s">
        <v>0</v>
      </c>
      <c r="B405" s="13" t="s">
        <v>1870</v>
      </c>
      <c r="C405" s="13">
        <v>1</v>
      </c>
      <c r="D405" s="13">
        <v>1</v>
      </c>
      <c r="E405" s="13"/>
    </row>
    <row r="406" spans="1:5" x14ac:dyDescent="0.3">
      <c r="A406" s="13" t="s">
        <v>0</v>
      </c>
      <c r="B406" s="13" t="s">
        <v>750</v>
      </c>
      <c r="C406" s="13">
        <v>1</v>
      </c>
      <c r="D406" s="13">
        <v>1</v>
      </c>
      <c r="E406" s="13"/>
    </row>
    <row r="407" spans="1:5" x14ac:dyDescent="0.3">
      <c r="A407" s="13" t="s">
        <v>0</v>
      </c>
      <c r="B407" s="13" t="s">
        <v>2071</v>
      </c>
      <c r="C407" s="13">
        <v>1</v>
      </c>
      <c r="D407" s="13">
        <v>1</v>
      </c>
      <c r="E407" s="13"/>
    </row>
    <row r="408" spans="1:5" x14ac:dyDescent="0.3">
      <c r="A408" s="13" t="s">
        <v>0</v>
      </c>
      <c r="B408" s="13" t="s">
        <v>1310</v>
      </c>
      <c r="C408" s="13">
        <v>1</v>
      </c>
      <c r="D408" s="13">
        <v>1</v>
      </c>
      <c r="E408" s="13">
        <v>5</v>
      </c>
    </row>
    <row r="409" spans="1:5" x14ac:dyDescent="0.3">
      <c r="A409" s="13" t="s">
        <v>0</v>
      </c>
      <c r="B409" s="13" t="s">
        <v>297</v>
      </c>
      <c r="C409" s="13">
        <v>1</v>
      </c>
      <c r="D409" s="13">
        <v>1</v>
      </c>
      <c r="E409" s="13"/>
    </row>
    <row r="410" spans="1:5" x14ac:dyDescent="0.3">
      <c r="A410" s="13" t="s">
        <v>0</v>
      </c>
      <c r="B410" s="13" t="s">
        <v>68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2</v>
      </c>
      <c r="B411" s="13" t="s">
        <v>30</v>
      </c>
      <c r="C411" s="13">
        <v>1</v>
      </c>
      <c r="D411" s="13">
        <v>1</v>
      </c>
      <c r="E411" s="13">
        <v>2</v>
      </c>
    </row>
    <row r="412" spans="1:5" x14ac:dyDescent="0.3">
      <c r="A412" s="13" t="s">
        <v>2</v>
      </c>
      <c r="B412" s="13" t="s">
        <v>925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2</v>
      </c>
      <c r="B413" s="13" t="s">
        <v>87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2</v>
      </c>
      <c r="B414" s="13" t="s">
        <v>354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2</v>
      </c>
      <c r="B415" s="13" t="s">
        <v>2701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2</v>
      </c>
      <c r="B416" s="13" t="s">
        <v>101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2</v>
      </c>
      <c r="B417" s="13" t="s">
        <v>1327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2</v>
      </c>
      <c r="B418" s="13" t="s">
        <v>105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2</v>
      </c>
      <c r="B419" s="13" t="s">
        <v>278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2</v>
      </c>
      <c r="B420" s="13" t="s">
        <v>111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2</v>
      </c>
      <c r="B421" s="13" t="s">
        <v>824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2</v>
      </c>
      <c r="B422" s="13" t="s">
        <v>224</v>
      </c>
      <c r="C422" s="13">
        <v>1</v>
      </c>
      <c r="D422" s="13">
        <v>1</v>
      </c>
      <c r="E422" s="13">
        <v>2</v>
      </c>
    </row>
    <row r="423" spans="1:5" x14ac:dyDescent="0.3">
      <c r="A423" s="13" t="s">
        <v>2</v>
      </c>
      <c r="B423" s="13" t="s">
        <v>121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2</v>
      </c>
      <c r="B424" s="13" t="s">
        <v>633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2</v>
      </c>
      <c r="B425" s="13" t="s">
        <v>31</v>
      </c>
      <c r="C425" s="13">
        <v>1</v>
      </c>
      <c r="D425" s="13">
        <v>1</v>
      </c>
      <c r="E425" s="13">
        <v>3</v>
      </c>
    </row>
    <row r="426" spans="1:5" x14ac:dyDescent="0.3">
      <c r="A426" s="13" t="s">
        <v>2</v>
      </c>
      <c r="B426" s="13" t="s">
        <v>1219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2</v>
      </c>
      <c r="B427" s="13" t="s">
        <v>2818</v>
      </c>
      <c r="C427" s="13">
        <v>1</v>
      </c>
      <c r="D427" s="13">
        <v>1</v>
      </c>
      <c r="E427" s="13"/>
    </row>
    <row r="428" spans="1:5" x14ac:dyDescent="0.3">
      <c r="A428" s="13" t="s">
        <v>1</v>
      </c>
      <c r="B428" s="13" t="s">
        <v>925</v>
      </c>
      <c r="C428" s="13">
        <v>1</v>
      </c>
      <c r="D428" s="13">
        <v>0</v>
      </c>
      <c r="E428" s="13">
        <v>1</v>
      </c>
    </row>
    <row r="429" spans="1:5" x14ac:dyDescent="0.3">
      <c r="A429" s="13" t="s">
        <v>1</v>
      </c>
      <c r="B429" s="13" t="s">
        <v>2792</v>
      </c>
      <c r="C429" s="13">
        <v>1</v>
      </c>
      <c r="D429" s="13">
        <v>0</v>
      </c>
      <c r="E429" s="13">
        <v>0</v>
      </c>
    </row>
    <row r="430" spans="1:5" x14ac:dyDescent="0.3">
      <c r="A430" s="13" t="s">
        <v>1</v>
      </c>
      <c r="B430" s="13" t="s">
        <v>36</v>
      </c>
      <c r="C430" s="13">
        <v>4</v>
      </c>
      <c r="D430" s="13">
        <v>0</v>
      </c>
      <c r="E430" s="13">
        <v>3</v>
      </c>
    </row>
    <row r="431" spans="1:5" x14ac:dyDescent="0.3">
      <c r="A431" s="13" t="s">
        <v>1</v>
      </c>
      <c r="B431" s="13" t="s">
        <v>239</v>
      </c>
      <c r="C431" s="13">
        <v>1</v>
      </c>
      <c r="D431" s="13">
        <v>0</v>
      </c>
      <c r="E431" s="13">
        <v>1</v>
      </c>
    </row>
    <row r="432" spans="1:5" x14ac:dyDescent="0.3">
      <c r="A432" s="13" t="s">
        <v>1</v>
      </c>
      <c r="B432" s="13" t="s">
        <v>47</v>
      </c>
      <c r="C432" s="13">
        <v>4</v>
      </c>
      <c r="D432" s="13">
        <v>0</v>
      </c>
      <c r="E432" s="13">
        <v>6</v>
      </c>
    </row>
    <row r="433" spans="1:5" x14ac:dyDescent="0.3">
      <c r="A433" s="13" t="s">
        <v>1</v>
      </c>
      <c r="B433" s="13" t="s">
        <v>200</v>
      </c>
      <c r="C433" s="13">
        <v>1</v>
      </c>
      <c r="D433" s="13">
        <v>0</v>
      </c>
      <c r="E433" s="13">
        <v>1</v>
      </c>
    </row>
    <row r="434" spans="1:5" x14ac:dyDescent="0.3">
      <c r="A434" s="13" t="s">
        <v>1</v>
      </c>
      <c r="B434" s="13" t="s">
        <v>875</v>
      </c>
      <c r="C434" s="13">
        <v>1</v>
      </c>
      <c r="D434" s="13">
        <v>0</v>
      </c>
      <c r="E434" s="13">
        <v>0</v>
      </c>
    </row>
    <row r="435" spans="1:5" x14ac:dyDescent="0.3">
      <c r="A435" s="13" t="s">
        <v>1</v>
      </c>
      <c r="B435" s="13" t="s">
        <v>726</v>
      </c>
      <c r="C435" s="13">
        <v>2</v>
      </c>
      <c r="D435" s="13">
        <v>0</v>
      </c>
      <c r="E435" s="13">
        <v>2</v>
      </c>
    </row>
    <row r="436" spans="1:5" x14ac:dyDescent="0.3">
      <c r="A436" s="13" t="s">
        <v>1</v>
      </c>
      <c r="B436" s="13" t="s">
        <v>589</v>
      </c>
      <c r="C436" s="13">
        <v>1</v>
      </c>
      <c r="D436" s="13">
        <v>0</v>
      </c>
      <c r="E436" s="13">
        <v>1</v>
      </c>
    </row>
    <row r="437" spans="1:5" x14ac:dyDescent="0.3">
      <c r="A437" s="13" t="s">
        <v>1</v>
      </c>
      <c r="B437" s="13" t="s">
        <v>1207</v>
      </c>
      <c r="C437" s="13">
        <v>1</v>
      </c>
      <c r="D437" s="13">
        <v>0</v>
      </c>
      <c r="E437" s="13">
        <v>1</v>
      </c>
    </row>
    <row r="438" spans="1:5" x14ac:dyDescent="0.3">
      <c r="A438" s="13" t="s">
        <v>1</v>
      </c>
      <c r="B438" s="13" t="s">
        <v>1544</v>
      </c>
      <c r="C438" s="13">
        <v>1</v>
      </c>
      <c r="D438" s="13">
        <v>0</v>
      </c>
      <c r="E438" s="13">
        <v>1</v>
      </c>
    </row>
    <row r="439" spans="1:5" x14ac:dyDescent="0.3">
      <c r="A439" s="13" t="s">
        <v>1</v>
      </c>
      <c r="B439" s="13" t="s">
        <v>2161</v>
      </c>
      <c r="C439" s="13">
        <v>1</v>
      </c>
      <c r="D439" s="13">
        <v>0</v>
      </c>
      <c r="E439" s="13">
        <v>1</v>
      </c>
    </row>
    <row r="440" spans="1:5" x14ac:dyDescent="0.3">
      <c r="A440" s="13" t="s">
        <v>1</v>
      </c>
      <c r="B440" s="13" t="s">
        <v>1157</v>
      </c>
      <c r="C440" s="13">
        <v>1</v>
      </c>
      <c r="D440" s="13">
        <v>0</v>
      </c>
      <c r="E440" s="13">
        <v>1</v>
      </c>
    </row>
    <row r="441" spans="1:5" x14ac:dyDescent="0.3">
      <c r="A441" s="13" t="s">
        <v>1</v>
      </c>
      <c r="B441" s="13" t="s">
        <v>75</v>
      </c>
      <c r="C441" s="13">
        <v>1</v>
      </c>
      <c r="D441" s="13">
        <v>0</v>
      </c>
      <c r="E441" s="13">
        <v>1</v>
      </c>
    </row>
    <row r="442" spans="1:5" x14ac:dyDescent="0.3">
      <c r="A442" s="13" t="s">
        <v>1</v>
      </c>
      <c r="B442" s="13" t="s">
        <v>596</v>
      </c>
      <c r="C442" s="13">
        <v>1</v>
      </c>
      <c r="D442" s="13">
        <v>0</v>
      </c>
      <c r="E442" s="13">
        <v>1</v>
      </c>
    </row>
    <row r="443" spans="1:5" x14ac:dyDescent="0.3">
      <c r="A443" s="13" t="s">
        <v>1</v>
      </c>
      <c r="B443" s="13" t="s">
        <v>142</v>
      </c>
      <c r="C443" s="13">
        <v>1</v>
      </c>
      <c r="D443" s="13">
        <v>0</v>
      </c>
      <c r="E443" s="13">
        <v>1</v>
      </c>
    </row>
    <row r="444" spans="1:5" x14ac:dyDescent="0.3">
      <c r="A444" s="13" t="s">
        <v>1</v>
      </c>
      <c r="B444" s="13" t="s">
        <v>1737</v>
      </c>
      <c r="C444" s="13">
        <v>1</v>
      </c>
      <c r="D444" s="13">
        <v>0</v>
      </c>
      <c r="E444" s="13">
        <v>1</v>
      </c>
    </row>
    <row r="445" spans="1:5" x14ac:dyDescent="0.3">
      <c r="A445" s="13" t="s">
        <v>1</v>
      </c>
      <c r="B445" s="13" t="s">
        <v>929</v>
      </c>
      <c r="C445" s="13">
        <v>1</v>
      </c>
      <c r="D445" s="13">
        <v>0</v>
      </c>
      <c r="E445" s="13">
        <v>1</v>
      </c>
    </row>
    <row r="446" spans="1:5" x14ac:dyDescent="0.3">
      <c r="A446" s="13" t="s">
        <v>1</v>
      </c>
      <c r="B446" s="13" t="s">
        <v>243</v>
      </c>
      <c r="C446" s="13">
        <v>2</v>
      </c>
      <c r="D446" s="13">
        <v>0</v>
      </c>
      <c r="E446" s="13">
        <v>2</v>
      </c>
    </row>
    <row r="447" spans="1:5" x14ac:dyDescent="0.3">
      <c r="A447" s="13" t="s">
        <v>1</v>
      </c>
      <c r="B447" s="13" t="s">
        <v>854</v>
      </c>
      <c r="C447" s="13">
        <v>1</v>
      </c>
      <c r="D447" s="13">
        <v>0</v>
      </c>
      <c r="E447" s="13">
        <v>1</v>
      </c>
    </row>
    <row r="448" spans="1:5" x14ac:dyDescent="0.3">
      <c r="A448" s="13" t="s">
        <v>1</v>
      </c>
      <c r="B448" s="13" t="s">
        <v>348</v>
      </c>
      <c r="C448" s="13">
        <v>1</v>
      </c>
      <c r="D448" s="13">
        <v>0</v>
      </c>
      <c r="E448" s="13">
        <v>1</v>
      </c>
    </row>
    <row r="449" spans="1:5" x14ac:dyDescent="0.3">
      <c r="A449" s="13" t="s">
        <v>1</v>
      </c>
      <c r="B449" s="13" t="s">
        <v>1547</v>
      </c>
      <c r="C449" s="13">
        <v>1</v>
      </c>
      <c r="D449" s="13">
        <v>0</v>
      </c>
      <c r="E449" s="13">
        <v>1</v>
      </c>
    </row>
    <row r="450" spans="1:5" x14ac:dyDescent="0.3">
      <c r="A450" s="13" t="s">
        <v>1</v>
      </c>
      <c r="B450" s="13" t="s">
        <v>557</v>
      </c>
      <c r="C450" s="13">
        <v>2</v>
      </c>
      <c r="D450" s="13">
        <v>0</v>
      </c>
      <c r="E450" s="13">
        <v>3</v>
      </c>
    </row>
    <row r="451" spans="1:5" x14ac:dyDescent="0.3">
      <c r="A451" s="13" t="s">
        <v>1</v>
      </c>
      <c r="B451" s="13" t="s">
        <v>269</v>
      </c>
      <c r="C451" s="13">
        <v>1</v>
      </c>
      <c r="D451" s="13">
        <v>0</v>
      </c>
      <c r="E451" s="13">
        <v>1</v>
      </c>
    </row>
    <row r="452" spans="1:5" x14ac:dyDescent="0.3">
      <c r="A452" s="13" t="s">
        <v>1</v>
      </c>
      <c r="B452" s="13" t="s">
        <v>2535</v>
      </c>
      <c r="C452" s="13">
        <v>1</v>
      </c>
      <c r="D452" s="13">
        <v>0</v>
      </c>
      <c r="E452" s="13">
        <v>1</v>
      </c>
    </row>
    <row r="453" spans="1:5" x14ac:dyDescent="0.3">
      <c r="A453" s="13" t="s">
        <v>1</v>
      </c>
      <c r="B453" s="13" t="s">
        <v>144</v>
      </c>
      <c r="C453" s="13">
        <v>1</v>
      </c>
      <c r="D453" s="13">
        <v>0</v>
      </c>
      <c r="E453" s="13">
        <v>1</v>
      </c>
    </row>
    <row r="454" spans="1:5" x14ac:dyDescent="0.3">
      <c r="A454" s="13" t="s">
        <v>1</v>
      </c>
      <c r="B454" s="13" t="s">
        <v>501</v>
      </c>
      <c r="C454" s="13">
        <v>1</v>
      </c>
      <c r="D454" s="13">
        <v>0</v>
      </c>
      <c r="E454" s="13">
        <v>1</v>
      </c>
    </row>
    <row r="455" spans="1:5" x14ac:dyDescent="0.3">
      <c r="A455" s="13" t="s">
        <v>1</v>
      </c>
      <c r="B455" s="13" t="s">
        <v>270</v>
      </c>
      <c r="C455" s="13">
        <v>1</v>
      </c>
      <c r="D455" s="13">
        <v>0</v>
      </c>
      <c r="E455" s="13">
        <v>1</v>
      </c>
    </row>
    <row r="456" spans="1:5" x14ac:dyDescent="0.3">
      <c r="A456" s="13" t="s">
        <v>1</v>
      </c>
      <c r="B456" s="13" t="s">
        <v>305</v>
      </c>
      <c r="C456" s="13">
        <v>1</v>
      </c>
      <c r="D456" s="13">
        <v>0</v>
      </c>
      <c r="E456" s="13">
        <v>1</v>
      </c>
    </row>
    <row r="457" spans="1:5" x14ac:dyDescent="0.3">
      <c r="A457" s="13" t="s">
        <v>1</v>
      </c>
      <c r="B457" s="13" t="s">
        <v>85</v>
      </c>
      <c r="C457" s="13">
        <v>1</v>
      </c>
      <c r="D457" s="13">
        <v>0</v>
      </c>
      <c r="E457" s="13">
        <v>2</v>
      </c>
    </row>
    <row r="458" spans="1:5" x14ac:dyDescent="0.3">
      <c r="A458" s="13" t="s">
        <v>1</v>
      </c>
      <c r="B458" s="13" t="s">
        <v>350</v>
      </c>
      <c r="C458" s="13">
        <v>2</v>
      </c>
      <c r="D458" s="13">
        <v>0</v>
      </c>
      <c r="E458" s="13">
        <v>5</v>
      </c>
    </row>
    <row r="459" spans="1:5" x14ac:dyDescent="0.3">
      <c r="A459" s="13" t="s">
        <v>1</v>
      </c>
      <c r="B459" s="13" t="s">
        <v>146</v>
      </c>
      <c r="C459" s="13">
        <v>1</v>
      </c>
      <c r="D459" s="13">
        <v>0</v>
      </c>
      <c r="E459" s="13">
        <v>1</v>
      </c>
    </row>
    <row r="460" spans="1:5" x14ac:dyDescent="0.3">
      <c r="A460" s="13" t="s">
        <v>1</v>
      </c>
      <c r="B460" s="13" t="s">
        <v>148</v>
      </c>
      <c r="C460" s="13">
        <v>4</v>
      </c>
      <c r="D460" s="13">
        <v>0</v>
      </c>
      <c r="E460" s="13">
        <v>4</v>
      </c>
    </row>
    <row r="461" spans="1:5" x14ac:dyDescent="0.3">
      <c r="A461" s="13" t="s">
        <v>1</v>
      </c>
      <c r="B461" s="13" t="s">
        <v>502</v>
      </c>
      <c r="C461" s="13">
        <v>1</v>
      </c>
      <c r="D461" s="13">
        <v>0</v>
      </c>
      <c r="E461" s="13">
        <v>1</v>
      </c>
    </row>
    <row r="462" spans="1:5" x14ac:dyDescent="0.3">
      <c r="A462" s="13" t="s">
        <v>1</v>
      </c>
      <c r="B462" s="13" t="s">
        <v>606</v>
      </c>
      <c r="C462" s="13">
        <v>1</v>
      </c>
      <c r="D462" s="13">
        <v>0</v>
      </c>
      <c r="E462" s="13">
        <v>1</v>
      </c>
    </row>
    <row r="463" spans="1:5" x14ac:dyDescent="0.3">
      <c r="A463" s="13" t="s">
        <v>1</v>
      </c>
      <c r="B463" s="13" t="s">
        <v>992</v>
      </c>
      <c r="C463" s="13">
        <v>1</v>
      </c>
      <c r="D463" s="13">
        <v>0</v>
      </c>
      <c r="E463" s="13">
        <v>1</v>
      </c>
    </row>
    <row r="464" spans="1:5" x14ac:dyDescent="0.3">
      <c r="A464" s="13" t="s">
        <v>1</v>
      </c>
      <c r="B464" s="13" t="s">
        <v>214</v>
      </c>
      <c r="C464" s="13">
        <v>1</v>
      </c>
      <c r="D464" s="13">
        <v>0</v>
      </c>
      <c r="E464" s="13">
        <v>2</v>
      </c>
    </row>
    <row r="465" spans="1:5" x14ac:dyDescent="0.3">
      <c r="A465" s="13" t="s">
        <v>1</v>
      </c>
      <c r="B465" s="13" t="s">
        <v>149</v>
      </c>
      <c r="C465" s="13">
        <v>1</v>
      </c>
      <c r="D465" s="13">
        <v>0</v>
      </c>
      <c r="E465" s="13">
        <v>1</v>
      </c>
    </row>
    <row r="466" spans="1:5" x14ac:dyDescent="0.3">
      <c r="A466" s="13" t="s">
        <v>1</v>
      </c>
      <c r="B466" s="13" t="s">
        <v>1848</v>
      </c>
      <c r="C466" s="13">
        <v>1</v>
      </c>
      <c r="D466" s="13">
        <v>0</v>
      </c>
      <c r="E466" s="13">
        <v>0</v>
      </c>
    </row>
    <row r="467" spans="1:5" x14ac:dyDescent="0.3">
      <c r="A467" s="13" t="s">
        <v>1</v>
      </c>
      <c r="B467" s="13" t="s">
        <v>676</v>
      </c>
      <c r="C467" s="13">
        <v>1</v>
      </c>
      <c r="D467" s="13">
        <v>0</v>
      </c>
      <c r="E467" s="13">
        <v>1</v>
      </c>
    </row>
    <row r="468" spans="1:5" x14ac:dyDescent="0.3">
      <c r="A468" s="13" t="s">
        <v>1</v>
      </c>
      <c r="B468" s="13" t="s">
        <v>91</v>
      </c>
      <c r="C468" s="13">
        <v>1</v>
      </c>
      <c r="D468" s="13">
        <v>0</v>
      </c>
      <c r="E468" s="13">
        <v>1</v>
      </c>
    </row>
    <row r="469" spans="1:5" x14ac:dyDescent="0.3">
      <c r="A469" s="13" t="s">
        <v>1</v>
      </c>
      <c r="B469" s="13" t="s">
        <v>1171</v>
      </c>
      <c r="C469" s="13">
        <v>1</v>
      </c>
      <c r="D469" s="13">
        <v>0</v>
      </c>
      <c r="E469" s="13">
        <v>1</v>
      </c>
    </row>
    <row r="470" spans="1:5" x14ac:dyDescent="0.3">
      <c r="A470" s="13" t="s">
        <v>1</v>
      </c>
      <c r="B470" s="13" t="s">
        <v>612</v>
      </c>
      <c r="C470" s="13">
        <v>1</v>
      </c>
      <c r="D470" s="13">
        <v>0</v>
      </c>
      <c r="E470" s="13">
        <v>1</v>
      </c>
    </row>
    <row r="471" spans="1:5" x14ac:dyDescent="0.3">
      <c r="A471" s="13" t="s">
        <v>1</v>
      </c>
      <c r="B471" s="13" t="s">
        <v>352</v>
      </c>
      <c r="C471" s="13">
        <v>2</v>
      </c>
      <c r="D471" s="13">
        <v>0</v>
      </c>
      <c r="E471" s="13">
        <v>2</v>
      </c>
    </row>
    <row r="472" spans="1:5" x14ac:dyDescent="0.3">
      <c r="A472" s="13" t="s">
        <v>1</v>
      </c>
      <c r="B472" s="13" t="s">
        <v>353</v>
      </c>
      <c r="C472" s="13">
        <v>1</v>
      </c>
      <c r="D472" s="13">
        <v>0</v>
      </c>
      <c r="E472" s="13">
        <v>1</v>
      </c>
    </row>
    <row r="473" spans="1:5" x14ac:dyDescent="0.3">
      <c r="A473" s="13" t="s">
        <v>1</v>
      </c>
      <c r="B473" s="13" t="s">
        <v>254</v>
      </c>
      <c r="C473" s="13">
        <v>1</v>
      </c>
      <c r="D473" s="13">
        <v>0</v>
      </c>
      <c r="E473" s="13">
        <v>1</v>
      </c>
    </row>
    <row r="474" spans="1:5" x14ac:dyDescent="0.3">
      <c r="A474" s="13" t="s">
        <v>1</v>
      </c>
      <c r="B474" s="13" t="s">
        <v>653</v>
      </c>
      <c r="C474" s="13">
        <v>2</v>
      </c>
      <c r="D474" s="13">
        <v>0</v>
      </c>
      <c r="E474" s="13">
        <v>2</v>
      </c>
    </row>
    <row r="475" spans="1:5" x14ac:dyDescent="0.3">
      <c r="A475" s="13" t="s">
        <v>1</v>
      </c>
      <c r="B475" s="13" t="s">
        <v>887</v>
      </c>
      <c r="C475" s="13">
        <v>1</v>
      </c>
      <c r="D475" s="13">
        <v>0</v>
      </c>
      <c r="E475" s="13">
        <v>2</v>
      </c>
    </row>
    <row r="476" spans="1:5" x14ac:dyDescent="0.3">
      <c r="A476" s="13" t="s">
        <v>1</v>
      </c>
      <c r="B476" s="13" t="s">
        <v>888</v>
      </c>
      <c r="C476" s="13">
        <v>1</v>
      </c>
      <c r="D476" s="13">
        <v>0</v>
      </c>
      <c r="E476" s="13">
        <v>2</v>
      </c>
    </row>
    <row r="477" spans="1:5" x14ac:dyDescent="0.3">
      <c r="A477" s="13" t="s">
        <v>1</v>
      </c>
      <c r="B477" s="13" t="s">
        <v>1067</v>
      </c>
      <c r="C477" s="13">
        <v>1</v>
      </c>
      <c r="D477" s="13">
        <v>0</v>
      </c>
      <c r="E477" s="13">
        <v>1</v>
      </c>
    </row>
    <row r="478" spans="1:5" x14ac:dyDescent="0.3">
      <c r="A478" s="13" t="s">
        <v>1</v>
      </c>
      <c r="B478" s="13" t="s">
        <v>1473</v>
      </c>
      <c r="C478" s="13">
        <v>1</v>
      </c>
      <c r="D478" s="13">
        <v>0</v>
      </c>
      <c r="E478" s="13">
        <v>1</v>
      </c>
    </row>
    <row r="479" spans="1:5" x14ac:dyDescent="0.3">
      <c r="A479" s="13" t="s">
        <v>1</v>
      </c>
      <c r="B479" s="13" t="s">
        <v>1740</v>
      </c>
      <c r="C479" s="13">
        <v>1</v>
      </c>
      <c r="D479" s="13">
        <v>0</v>
      </c>
      <c r="E479" s="13">
        <v>1</v>
      </c>
    </row>
    <row r="480" spans="1:5" x14ac:dyDescent="0.3">
      <c r="A480" s="13" t="s">
        <v>1</v>
      </c>
      <c r="B480" s="13" t="s">
        <v>1854</v>
      </c>
      <c r="C480" s="13">
        <v>1</v>
      </c>
      <c r="D480" s="13">
        <v>0</v>
      </c>
      <c r="E480" s="13">
        <v>1</v>
      </c>
    </row>
    <row r="481" spans="1:5" x14ac:dyDescent="0.3">
      <c r="A481" s="13" t="s">
        <v>1</v>
      </c>
      <c r="B481" s="13" t="s">
        <v>2104</v>
      </c>
      <c r="C481" s="13">
        <v>2</v>
      </c>
      <c r="D481" s="13">
        <v>0</v>
      </c>
      <c r="E481" s="13">
        <v>7</v>
      </c>
    </row>
    <row r="482" spans="1:5" x14ac:dyDescent="0.3">
      <c r="A482" s="13" t="s">
        <v>1</v>
      </c>
      <c r="B482" s="13" t="s">
        <v>1906</v>
      </c>
      <c r="C482" s="13">
        <v>1</v>
      </c>
      <c r="D482" s="13">
        <v>0</v>
      </c>
      <c r="E482" s="13">
        <v>1</v>
      </c>
    </row>
    <row r="483" spans="1:5" x14ac:dyDescent="0.3">
      <c r="A483" s="13" t="s">
        <v>1</v>
      </c>
      <c r="B483" s="13" t="s">
        <v>1883</v>
      </c>
      <c r="C483" s="13">
        <v>1</v>
      </c>
      <c r="D483" s="13">
        <v>0</v>
      </c>
      <c r="E483" s="13">
        <v>2</v>
      </c>
    </row>
    <row r="484" spans="1:5" x14ac:dyDescent="0.3">
      <c r="A484" s="13" t="s">
        <v>1</v>
      </c>
      <c r="B484" s="13" t="s">
        <v>1930</v>
      </c>
      <c r="C484" s="13">
        <v>1</v>
      </c>
      <c r="D484" s="13">
        <v>0</v>
      </c>
      <c r="E484" s="13">
        <v>1</v>
      </c>
    </row>
    <row r="485" spans="1:5" x14ac:dyDescent="0.3">
      <c r="A485" s="13" t="s">
        <v>1</v>
      </c>
      <c r="B485" s="13" t="s">
        <v>2069</v>
      </c>
      <c r="C485" s="13">
        <v>1</v>
      </c>
      <c r="D485" s="13">
        <v>0</v>
      </c>
      <c r="E485" s="13">
        <v>1</v>
      </c>
    </row>
    <row r="486" spans="1:5" x14ac:dyDescent="0.3">
      <c r="A486" s="13" t="s">
        <v>1</v>
      </c>
      <c r="B486" s="13" t="s">
        <v>2126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2148</v>
      </c>
      <c r="C487" s="13">
        <v>1</v>
      </c>
      <c r="D487" s="13">
        <v>0</v>
      </c>
      <c r="E487" s="13">
        <v>2</v>
      </c>
    </row>
    <row r="488" spans="1:5" x14ac:dyDescent="0.3">
      <c r="A488" s="13" t="s">
        <v>1</v>
      </c>
      <c r="B488" s="13" t="s">
        <v>2156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2229</v>
      </c>
      <c r="C489" s="13">
        <v>1</v>
      </c>
      <c r="D489" s="13">
        <v>0</v>
      </c>
      <c r="E489" s="13">
        <v>1</v>
      </c>
    </row>
    <row r="490" spans="1:5" x14ac:dyDescent="0.3">
      <c r="A490" s="13" t="s">
        <v>1</v>
      </c>
      <c r="B490" s="13" t="s">
        <v>2339</v>
      </c>
      <c r="C490" s="13">
        <v>1</v>
      </c>
      <c r="D490" s="13">
        <v>0</v>
      </c>
      <c r="E490" s="13">
        <v>1</v>
      </c>
    </row>
    <row r="491" spans="1:5" x14ac:dyDescent="0.3">
      <c r="A491" s="13" t="s">
        <v>1</v>
      </c>
      <c r="B491" s="13" t="s">
        <v>2335</v>
      </c>
      <c r="C491" s="13">
        <v>6</v>
      </c>
      <c r="D491" s="13">
        <v>0</v>
      </c>
      <c r="E491" s="13">
        <v>10</v>
      </c>
    </row>
    <row r="492" spans="1:5" x14ac:dyDescent="0.3">
      <c r="A492" s="13" t="s">
        <v>1</v>
      </c>
      <c r="B492" s="13" t="s">
        <v>2425</v>
      </c>
      <c r="C492" s="13">
        <v>1</v>
      </c>
      <c r="D492" s="13">
        <v>0</v>
      </c>
      <c r="E492" s="13">
        <v>0</v>
      </c>
    </row>
    <row r="493" spans="1:5" x14ac:dyDescent="0.3">
      <c r="A493" s="13" t="s">
        <v>1</v>
      </c>
      <c r="B493" s="13" t="s">
        <v>2677</v>
      </c>
      <c r="C493" s="13">
        <v>2</v>
      </c>
      <c r="D493" s="13">
        <v>0</v>
      </c>
      <c r="E493" s="13">
        <v>3</v>
      </c>
    </row>
    <row r="494" spans="1:5" x14ac:dyDescent="0.3">
      <c r="A494" s="13" t="s">
        <v>1</v>
      </c>
      <c r="B494" s="13" t="s">
        <v>507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764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2819</v>
      </c>
      <c r="C496" s="13">
        <v>1</v>
      </c>
      <c r="D496" s="13">
        <v>0</v>
      </c>
      <c r="E496" s="13">
        <v>1</v>
      </c>
    </row>
    <row r="497" spans="1:5" x14ac:dyDescent="0.3">
      <c r="A497" s="13" t="s">
        <v>1</v>
      </c>
      <c r="B497" s="13" t="s">
        <v>1802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861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1395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165</v>
      </c>
      <c r="C500" s="13">
        <v>2</v>
      </c>
      <c r="D500" s="13">
        <v>0</v>
      </c>
      <c r="E500" s="13">
        <v>2</v>
      </c>
    </row>
    <row r="501" spans="1:5" x14ac:dyDescent="0.3">
      <c r="A501" s="13" t="s">
        <v>1</v>
      </c>
      <c r="B501" s="13" t="s">
        <v>108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2244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2820</v>
      </c>
      <c r="C503" s="13">
        <v>1</v>
      </c>
      <c r="D503" s="13">
        <v>0</v>
      </c>
      <c r="E503" s="13">
        <v>1</v>
      </c>
    </row>
    <row r="504" spans="1:5" x14ac:dyDescent="0.3">
      <c r="A504" s="13" t="s">
        <v>1</v>
      </c>
      <c r="B504" s="13" t="s">
        <v>1397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660</v>
      </c>
      <c r="C505" s="13">
        <v>1</v>
      </c>
      <c r="D505" s="13">
        <v>0</v>
      </c>
      <c r="E505" s="13">
        <v>1</v>
      </c>
    </row>
    <row r="506" spans="1:5" x14ac:dyDescent="0.3">
      <c r="A506" s="13" t="s">
        <v>1</v>
      </c>
      <c r="B506" s="13" t="s">
        <v>1133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2799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2704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1962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895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623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526</v>
      </c>
      <c r="C512" s="13">
        <v>1</v>
      </c>
      <c r="D512" s="13">
        <v>0</v>
      </c>
      <c r="E512" s="13">
        <v>1</v>
      </c>
    </row>
    <row r="513" spans="1:5" x14ac:dyDescent="0.3">
      <c r="A513" s="13" t="s">
        <v>1</v>
      </c>
      <c r="B513" s="13" t="s">
        <v>2821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1364</v>
      </c>
      <c r="C514" s="13">
        <v>1</v>
      </c>
      <c r="D514" s="13">
        <v>0</v>
      </c>
      <c r="E514" s="13">
        <v>2</v>
      </c>
    </row>
    <row r="515" spans="1:5" x14ac:dyDescent="0.3">
      <c r="A515" s="13" t="s">
        <v>1</v>
      </c>
      <c r="B515" s="13" t="s">
        <v>172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478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1536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1250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405</v>
      </c>
      <c r="C519" s="13">
        <v>1</v>
      </c>
      <c r="D519" s="13">
        <v>0</v>
      </c>
      <c r="E519" s="13">
        <v>2</v>
      </c>
    </row>
    <row r="520" spans="1:5" x14ac:dyDescent="0.3">
      <c r="A520" s="13" t="s">
        <v>1</v>
      </c>
      <c r="B520" s="13" t="s">
        <v>698</v>
      </c>
      <c r="C520" s="13">
        <v>1</v>
      </c>
      <c r="D520" s="13">
        <v>0</v>
      </c>
      <c r="E520" s="13">
        <v>1</v>
      </c>
    </row>
    <row r="521" spans="1:5" x14ac:dyDescent="0.3">
      <c r="A521" s="13" t="s">
        <v>1</v>
      </c>
      <c r="B521" s="13" t="s">
        <v>700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630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632</v>
      </c>
      <c r="C523" s="13">
        <v>1</v>
      </c>
      <c r="D523" s="13">
        <v>0</v>
      </c>
      <c r="E523" s="13">
        <v>2</v>
      </c>
    </row>
    <row r="524" spans="1:5" x14ac:dyDescent="0.3">
      <c r="A524" s="13" t="s">
        <v>1</v>
      </c>
      <c r="B524" s="13" t="s">
        <v>1430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1550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533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1346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663</v>
      </c>
      <c r="C528" s="13">
        <v>1</v>
      </c>
      <c r="D528" s="13">
        <v>0</v>
      </c>
      <c r="E528" s="13">
        <v>2</v>
      </c>
    </row>
    <row r="529" spans="1:5" x14ac:dyDescent="0.3">
      <c r="A529" s="13" t="s">
        <v>1</v>
      </c>
      <c r="B529" s="13" t="s">
        <v>1840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707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2822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845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865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1143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2823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907</v>
      </c>
      <c r="C536" s="13">
        <v>1</v>
      </c>
      <c r="D536" s="13">
        <v>0</v>
      </c>
      <c r="E536" s="13">
        <v>2</v>
      </c>
    </row>
    <row r="537" spans="1:5" x14ac:dyDescent="0.3">
      <c r="A537" s="13" t="s">
        <v>1</v>
      </c>
      <c r="B537" s="13" t="s">
        <v>127</v>
      </c>
      <c r="C537" s="13">
        <v>2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1045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781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714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1058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1416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483</v>
      </c>
      <c r="C543" s="13">
        <v>3</v>
      </c>
      <c r="D543" s="13">
        <v>0</v>
      </c>
      <c r="E543" s="13">
        <v>6</v>
      </c>
    </row>
    <row r="544" spans="1:5" x14ac:dyDescent="0.3">
      <c r="A544" s="13" t="s">
        <v>1</v>
      </c>
      <c r="B544" s="13" t="s">
        <v>541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1431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1049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2493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65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910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190</v>
      </c>
      <c r="C550" s="13">
        <v>2</v>
      </c>
      <c r="D550" s="13">
        <v>0</v>
      </c>
      <c r="E550" s="13">
        <v>3</v>
      </c>
    </row>
    <row r="551" spans="1:5" x14ac:dyDescent="0.3">
      <c r="A551" s="13" t="s">
        <v>1</v>
      </c>
      <c r="B551" s="13" t="s">
        <v>1050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231</v>
      </c>
      <c r="C552" s="13">
        <v>11</v>
      </c>
      <c r="D552" s="13">
        <v>0</v>
      </c>
      <c r="E552" s="13">
        <v>16</v>
      </c>
    </row>
    <row r="553" spans="1:5" x14ac:dyDescent="0.3">
      <c r="A553" s="13" t="s">
        <v>1</v>
      </c>
      <c r="B553" s="13" t="s">
        <v>232</v>
      </c>
      <c r="C553" s="13">
        <v>2</v>
      </c>
      <c r="D553" s="13">
        <v>0</v>
      </c>
      <c r="E553" s="13">
        <v>3</v>
      </c>
    </row>
    <row r="554" spans="1:5" x14ac:dyDescent="0.3">
      <c r="A554" s="13" t="s">
        <v>1</v>
      </c>
      <c r="B554" s="13" t="s">
        <v>460</v>
      </c>
      <c r="C554" s="13">
        <v>1</v>
      </c>
      <c r="D554" s="13">
        <v>0</v>
      </c>
      <c r="E554" s="13">
        <v>2</v>
      </c>
    </row>
    <row r="555" spans="1:5" x14ac:dyDescent="0.3">
      <c r="A555" s="13" t="s">
        <v>1</v>
      </c>
      <c r="B555" s="13" t="s">
        <v>67</v>
      </c>
      <c r="C555" s="13">
        <v>2</v>
      </c>
      <c r="D555" s="13">
        <v>0</v>
      </c>
      <c r="E555" s="13">
        <v>2</v>
      </c>
    </row>
    <row r="556" spans="1:5" x14ac:dyDescent="0.3">
      <c r="A556" s="13" t="s">
        <v>1</v>
      </c>
      <c r="B556" s="13" t="s">
        <v>234</v>
      </c>
      <c r="C556" s="13">
        <v>5</v>
      </c>
      <c r="D556" s="13">
        <v>0</v>
      </c>
      <c r="E556" s="13">
        <v>5</v>
      </c>
    </row>
    <row r="557" spans="1:5" x14ac:dyDescent="0.3">
      <c r="A557" s="13" t="s">
        <v>1</v>
      </c>
      <c r="B557" s="13" t="s">
        <v>235</v>
      </c>
      <c r="C557" s="13">
        <v>4</v>
      </c>
      <c r="D557" s="13">
        <v>0</v>
      </c>
      <c r="E557" s="13">
        <v>4</v>
      </c>
    </row>
    <row r="558" spans="1:5" x14ac:dyDescent="0.3">
      <c r="A558" s="13" t="s">
        <v>1</v>
      </c>
      <c r="B558" s="13" t="s">
        <v>639</v>
      </c>
      <c r="C558" s="13">
        <v>2</v>
      </c>
      <c r="D558" s="13">
        <v>0</v>
      </c>
      <c r="E558" s="13">
        <v>3</v>
      </c>
    </row>
    <row r="559" spans="1:5" x14ac:dyDescent="0.3">
      <c r="A559" s="13" t="s">
        <v>1</v>
      </c>
      <c r="B559" s="13" t="s">
        <v>236</v>
      </c>
      <c r="C559" s="13">
        <v>8</v>
      </c>
      <c r="D559" s="13">
        <v>0</v>
      </c>
      <c r="E559" s="13">
        <v>9</v>
      </c>
    </row>
    <row r="560" spans="1:5" x14ac:dyDescent="0.3">
      <c r="A560" s="13" t="s">
        <v>1</v>
      </c>
      <c r="B560" s="13" t="s">
        <v>640</v>
      </c>
      <c r="C560" s="13">
        <v>3</v>
      </c>
      <c r="D560" s="13">
        <v>0</v>
      </c>
      <c r="E560" s="13">
        <v>5</v>
      </c>
    </row>
    <row r="561" spans="1:5" x14ac:dyDescent="0.3">
      <c r="A561" s="13" t="s">
        <v>1</v>
      </c>
      <c r="B561" s="13" t="s">
        <v>366</v>
      </c>
      <c r="C561" s="13">
        <v>2</v>
      </c>
      <c r="D561" s="13">
        <v>0</v>
      </c>
      <c r="E561" s="13">
        <v>2</v>
      </c>
    </row>
    <row r="562" spans="1:5" x14ac:dyDescent="0.3">
      <c r="A562" s="13" t="s">
        <v>1</v>
      </c>
      <c r="B562" s="13" t="s">
        <v>1015</v>
      </c>
      <c r="C562" s="13">
        <v>2</v>
      </c>
      <c r="D562" s="13">
        <v>0</v>
      </c>
      <c r="E562" s="13">
        <v>2</v>
      </c>
    </row>
    <row r="563" spans="1:5" x14ac:dyDescent="0.3">
      <c r="A563" s="13" t="s">
        <v>1</v>
      </c>
      <c r="B563" s="13" t="s">
        <v>461</v>
      </c>
      <c r="C563" s="13">
        <v>3</v>
      </c>
      <c r="D563" s="13">
        <v>0</v>
      </c>
      <c r="E563" s="13">
        <v>3</v>
      </c>
    </row>
    <row r="564" spans="1:5" x14ac:dyDescent="0.3">
      <c r="A564" s="13" t="s">
        <v>1</v>
      </c>
      <c r="B564" s="13" t="s">
        <v>1078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2761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2824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641</v>
      </c>
      <c r="C567" s="13">
        <v>0</v>
      </c>
      <c r="D567" s="13">
        <v>2</v>
      </c>
      <c r="E567" s="13"/>
    </row>
    <row r="568" spans="1:5" x14ac:dyDescent="0.3">
      <c r="A568" s="13" t="s">
        <v>1</v>
      </c>
      <c r="B568" s="13" t="s">
        <v>2825</v>
      </c>
      <c r="C568" s="13">
        <v>1</v>
      </c>
      <c r="D568" s="13">
        <v>0</v>
      </c>
      <c r="E568" s="13">
        <v>2</v>
      </c>
    </row>
    <row r="569" spans="1:5" x14ac:dyDescent="0.3">
      <c r="A569" s="13" t="s">
        <v>1</v>
      </c>
      <c r="B569" s="13" t="s">
        <v>2255</v>
      </c>
      <c r="C569" s="13">
        <v>0</v>
      </c>
      <c r="D569" s="13">
        <v>1</v>
      </c>
      <c r="E569" s="13"/>
    </row>
    <row r="570" spans="1:5" x14ac:dyDescent="0.3">
      <c r="A570" s="13" t="s">
        <v>1</v>
      </c>
      <c r="B570" s="13" t="s">
        <v>2826</v>
      </c>
      <c r="C570" s="13">
        <v>0</v>
      </c>
      <c r="D570" s="13">
        <v>1</v>
      </c>
      <c r="E570" s="13"/>
    </row>
    <row r="571" spans="1:5" x14ac:dyDescent="0.3">
      <c r="A571" s="13" t="s">
        <v>1</v>
      </c>
      <c r="B571" s="13" t="s">
        <v>1870</v>
      </c>
      <c r="C571" s="13">
        <v>0</v>
      </c>
      <c r="D571" s="13">
        <v>1</v>
      </c>
      <c r="E571" s="13"/>
    </row>
    <row r="572" spans="1:5" x14ac:dyDescent="0.3">
      <c r="A572" s="13" t="s">
        <v>1</v>
      </c>
      <c r="B572" s="13" t="s">
        <v>787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1772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2348</v>
      </c>
      <c r="C574" s="13">
        <v>3</v>
      </c>
      <c r="D574" s="13">
        <v>0</v>
      </c>
      <c r="E574" s="13">
        <v>3</v>
      </c>
    </row>
    <row r="575" spans="1:5" x14ac:dyDescent="0.3">
      <c r="A575" s="13" t="s">
        <v>1</v>
      </c>
      <c r="B575" s="13" t="s">
        <v>2349</v>
      </c>
      <c r="C575" s="13">
        <v>2</v>
      </c>
      <c r="D575" s="13">
        <v>0</v>
      </c>
      <c r="E575" s="13">
        <v>3</v>
      </c>
    </row>
    <row r="576" spans="1:5" x14ac:dyDescent="0.3">
      <c r="A576" s="13" t="s">
        <v>1</v>
      </c>
      <c r="B576" s="13" t="s">
        <v>2350</v>
      </c>
      <c r="C576" s="13">
        <v>3</v>
      </c>
      <c r="D576" s="13">
        <v>0</v>
      </c>
      <c r="E576" s="13">
        <v>3</v>
      </c>
    </row>
    <row r="577" spans="1:5" x14ac:dyDescent="0.3">
      <c r="A577" s="13" t="s">
        <v>1</v>
      </c>
      <c r="B577" s="13" t="s">
        <v>2352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2353</v>
      </c>
      <c r="C578" s="13">
        <v>3</v>
      </c>
      <c r="D578" s="13">
        <v>0</v>
      </c>
      <c r="E578" s="13">
        <v>3</v>
      </c>
    </row>
    <row r="579" spans="1:5" x14ac:dyDescent="0.3">
      <c r="A579" s="13" t="s">
        <v>1</v>
      </c>
      <c r="B579" s="13" t="s">
        <v>2354</v>
      </c>
      <c r="C579" s="13">
        <v>2</v>
      </c>
      <c r="D579" s="13">
        <v>0</v>
      </c>
      <c r="E579" s="13">
        <v>2</v>
      </c>
    </row>
    <row r="580" spans="1:5" x14ac:dyDescent="0.3">
      <c r="A580" s="13" t="s">
        <v>1</v>
      </c>
      <c r="B580" s="13" t="s">
        <v>2355</v>
      </c>
      <c r="C580" s="13">
        <v>3</v>
      </c>
      <c r="D580" s="13">
        <v>0</v>
      </c>
      <c r="E580" s="13">
        <v>3</v>
      </c>
    </row>
    <row r="581" spans="1:5" x14ac:dyDescent="0.3">
      <c r="A581" s="13" t="s">
        <v>1</v>
      </c>
      <c r="B581" s="13" t="s">
        <v>644</v>
      </c>
      <c r="C581" s="13">
        <v>4</v>
      </c>
      <c r="D581" s="13">
        <v>0</v>
      </c>
      <c r="E581" s="13">
        <v>5</v>
      </c>
    </row>
    <row r="582" spans="1:5" x14ac:dyDescent="0.3">
      <c r="A582" s="13" t="s">
        <v>0</v>
      </c>
      <c r="B582" s="13" t="s">
        <v>71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0</v>
      </c>
      <c r="B583" s="13" t="s">
        <v>204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0</v>
      </c>
      <c r="B584" s="13" t="s">
        <v>1227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0</v>
      </c>
      <c r="B585" s="13" t="s">
        <v>1208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0</v>
      </c>
      <c r="B586" s="13" t="s">
        <v>210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0</v>
      </c>
      <c r="B587" s="13" t="s">
        <v>149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0</v>
      </c>
      <c r="B588" s="13" t="s">
        <v>90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0</v>
      </c>
      <c r="B589" s="13" t="s">
        <v>151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0</v>
      </c>
      <c r="B590" s="13" t="s">
        <v>2483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0</v>
      </c>
      <c r="B591" s="13" t="s">
        <v>1881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0</v>
      </c>
      <c r="B592" s="13" t="s">
        <v>2229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0</v>
      </c>
      <c r="B593" s="13" t="s">
        <v>2335</v>
      </c>
      <c r="C593" s="13">
        <v>1</v>
      </c>
      <c r="D593" s="13">
        <v>0</v>
      </c>
      <c r="E593" s="13">
        <v>2</v>
      </c>
    </row>
    <row r="594" spans="1:5" x14ac:dyDescent="0.3">
      <c r="A594" s="13" t="s">
        <v>0</v>
      </c>
      <c r="B594" s="13" t="s">
        <v>98</v>
      </c>
      <c r="C594" s="13">
        <v>1</v>
      </c>
      <c r="D594" s="13">
        <v>0</v>
      </c>
      <c r="E594" s="13">
        <v>2</v>
      </c>
    </row>
    <row r="595" spans="1:5" x14ac:dyDescent="0.3">
      <c r="A595" s="13" t="s">
        <v>0</v>
      </c>
      <c r="B595" s="13" t="s">
        <v>1034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0</v>
      </c>
      <c r="B596" s="13" t="s">
        <v>285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0</v>
      </c>
      <c r="B597" s="13" t="s">
        <v>1850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0</v>
      </c>
      <c r="B598" s="13" t="s">
        <v>2705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0</v>
      </c>
      <c r="B599" s="13" t="s">
        <v>413</v>
      </c>
      <c r="C599" s="13">
        <v>1</v>
      </c>
      <c r="D599" s="13">
        <v>0</v>
      </c>
      <c r="E599" s="13">
        <v>2</v>
      </c>
    </row>
    <row r="600" spans="1:5" x14ac:dyDescent="0.3">
      <c r="A600" s="13" t="s">
        <v>0</v>
      </c>
      <c r="B600" s="13" t="s">
        <v>782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0</v>
      </c>
      <c r="B601" s="13" t="s">
        <v>253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0</v>
      </c>
      <c r="B602" s="13" t="s">
        <v>1339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0</v>
      </c>
      <c r="B603" s="13" t="s">
        <v>231</v>
      </c>
      <c r="C603" s="13">
        <v>2</v>
      </c>
      <c r="D603" s="13">
        <v>0</v>
      </c>
      <c r="E603" s="13">
        <v>3</v>
      </c>
    </row>
    <row r="604" spans="1:5" x14ac:dyDescent="0.3">
      <c r="A604" s="13" t="s">
        <v>0</v>
      </c>
      <c r="B604" s="13" t="s">
        <v>191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0</v>
      </c>
      <c r="B605" s="13" t="s">
        <v>67</v>
      </c>
      <c r="C605" s="13">
        <v>1</v>
      </c>
      <c r="D605" s="13">
        <v>0</v>
      </c>
      <c r="E605" s="13">
        <v>2</v>
      </c>
    </row>
    <row r="606" spans="1:5" x14ac:dyDescent="0.3">
      <c r="A606" s="13" t="s">
        <v>0</v>
      </c>
      <c r="B606" s="13" t="s">
        <v>192</v>
      </c>
      <c r="C606" s="13">
        <v>2</v>
      </c>
      <c r="D606" s="13">
        <v>0</v>
      </c>
      <c r="E606" s="13">
        <v>2</v>
      </c>
    </row>
    <row r="607" spans="1:5" x14ac:dyDescent="0.3">
      <c r="A607" s="13" t="s">
        <v>0</v>
      </c>
      <c r="B607" s="13" t="s">
        <v>54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0</v>
      </c>
      <c r="B608" s="13" t="s">
        <v>234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0</v>
      </c>
      <c r="B609" s="13" t="s">
        <v>371</v>
      </c>
      <c r="C609" s="13">
        <v>2</v>
      </c>
      <c r="D609" s="13">
        <v>0</v>
      </c>
      <c r="E609" s="13">
        <v>3</v>
      </c>
    </row>
    <row r="610" spans="1:5" x14ac:dyDescent="0.3">
      <c r="A610" s="13" t="s">
        <v>0</v>
      </c>
      <c r="B610" s="13" t="s">
        <v>2091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0</v>
      </c>
      <c r="B611" s="13" t="s">
        <v>2349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0</v>
      </c>
      <c r="B612" s="13" t="s">
        <v>2350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0</v>
      </c>
      <c r="B613" s="13" t="s">
        <v>2351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0</v>
      </c>
      <c r="B614" s="13" t="s">
        <v>2353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0</v>
      </c>
      <c r="B615" s="13" t="s">
        <v>2354</v>
      </c>
      <c r="C615" s="13">
        <v>1</v>
      </c>
      <c r="D615" s="13">
        <v>0</v>
      </c>
      <c r="E615" s="13">
        <v>2</v>
      </c>
    </row>
    <row r="616" spans="1:5" x14ac:dyDescent="0.3">
      <c r="A616" s="13" t="s">
        <v>0</v>
      </c>
      <c r="B616" s="13" t="s">
        <v>2355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0</v>
      </c>
      <c r="B617" s="13" t="s">
        <v>32</v>
      </c>
      <c r="C617" s="13">
        <v>4</v>
      </c>
      <c r="D617" s="13">
        <v>0</v>
      </c>
      <c r="E617" s="13">
        <v>8</v>
      </c>
    </row>
    <row r="618" spans="1:5" x14ac:dyDescent="0.3">
      <c r="A618" s="13" t="s">
        <v>2</v>
      </c>
      <c r="B618" s="13" t="s">
        <v>752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2</v>
      </c>
      <c r="B619" s="13" t="s">
        <v>2762</v>
      </c>
      <c r="C619" s="13">
        <v>1</v>
      </c>
      <c r="D619" s="13">
        <v>0</v>
      </c>
      <c r="E619" s="13">
        <v>4</v>
      </c>
    </row>
    <row r="620" spans="1:5" x14ac:dyDescent="0.3">
      <c r="A620" s="13" t="s">
        <v>2</v>
      </c>
      <c r="B620" s="13" t="s">
        <v>937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2</v>
      </c>
      <c r="B621" s="14" t="s">
        <v>1410</v>
      </c>
      <c r="C621" s="14">
        <v>1</v>
      </c>
      <c r="D621" s="14">
        <v>0</v>
      </c>
      <c r="E621" s="14">
        <v>2</v>
      </c>
    </row>
    <row r="622" spans="1:5" x14ac:dyDescent="0.3">
      <c r="A622" s="14" t="s">
        <v>2</v>
      </c>
      <c r="B622" s="14" t="s">
        <v>1551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2</v>
      </c>
      <c r="B623" s="14" t="s">
        <v>192</v>
      </c>
      <c r="C623" s="14">
        <v>1</v>
      </c>
      <c r="D623" s="14">
        <v>0</v>
      </c>
      <c r="E623" s="14">
        <v>3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E8795-A1B6-43F7-9558-550D2E5339AE}">
  <sheetPr codeName="Sheet55"/>
  <dimension ref="A1:M620"/>
  <sheetViews>
    <sheetView workbookViewId="0">
      <selection activeCell="A2" sqref="A2:E332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50</v>
      </c>
      <c r="D2" s="13">
        <v>48</v>
      </c>
      <c r="E2" s="13">
        <v>51</v>
      </c>
    </row>
    <row r="3" spans="1:13" customFormat="1" x14ac:dyDescent="0.3">
      <c r="A3" s="13" t="s">
        <v>0</v>
      </c>
      <c r="B3" s="13" t="s">
        <v>2701</v>
      </c>
      <c r="C3" s="13">
        <v>56</v>
      </c>
      <c r="D3" s="13">
        <v>40</v>
      </c>
      <c r="E3" s="13">
        <v>59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29</v>
      </c>
      <c r="C4" s="13">
        <v>25</v>
      </c>
      <c r="D4" s="13">
        <v>24</v>
      </c>
      <c r="E4" s="13">
        <v>29</v>
      </c>
      <c r="G4" s="19" t="s">
        <v>8</v>
      </c>
      <c r="H4" s="15">
        <f>H13+H14</f>
        <v>303</v>
      </c>
      <c r="I4" s="16">
        <f>H4/H$6</f>
        <v>0.46904024767801855</v>
      </c>
      <c r="J4" s="15">
        <f>I13+I14</f>
        <v>217</v>
      </c>
      <c r="K4" s="16">
        <f>J4/J$6</f>
        <v>0.42549019607843136</v>
      </c>
      <c r="L4" s="15">
        <f>J13+J14</f>
        <v>317</v>
      </c>
      <c r="M4" s="25">
        <f>L4/L$6</f>
        <v>0.45677233429394815</v>
      </c>
    </row>
    <row r="5" spans="1:13" customFormat="1" x14ac:dyDescent="0.3">
      <c r="A5" s="13" t="s">
        <v>1</v>
      </c>
      <c r="B5" s="13" t="s">
        <v>30</v>
      </c>
      <c r="C5" s="13">
        <v>28</v>
      </c>
      <c r="D5" s="13">
        <v>17</v>
      </c>
      <c r="E5" s="13">
        <v>31</v>
      </c>
      <c r="G5" s="19" t="s">
        <v>10</v>
      </c>
      <c r="H5" s="15">
        <f>H15+H16</f>
        <v>343</v>
      </c>
      <c r="I5" s="16">
        <f>H5/H$6</f>
        <v>0.53095975232198145</v>
      </c>
      <c r="J5" s="15">
        <f>I15+I16</f>
        <v>293</v>
      </c>
      <c r="K5" s="16">
        <f>J5/J$6</f>
        <v>0.57450980392156858</v>
      </c>
      <c r="L5" s="15">
        <f>J15+J16</f>
        <v>377</v>
      </c>
      <c r="M5" s="25">
        <f>L5/L$6</f>
        <v>0.54322766570605185</v>
      </c>
    </row>
    <row r="6" spans="1:13" customFormat="1" ht="17.25" thickBot="1" x14ac:dyDescent="0.35">
      <c r="A6" s="13" t="s">
        <v>0</v>
      </c>
      <c r="B6" s="13" t="s">
        <v>31</v>
      </c>
      <c r="C6" s="13">
        <v>14</v>
      </c>
      <c r="D6" s="13">
        <v>12</v>
      </c>
      <c r="E6" s="13">
        <v>15</v>
      </c>
      <c r="G6" s="22"/>
      <c r="H6" s="26">
        <f>SUM(H4:H5)</f>
        <v>646</v>
      </c>
      <c r="I6" s="27">
        <f>I4+I5</f>
        <v>1</v>
      </c>
      <c r="J6" s="26">
        <f>SUM(J4:J5)</f>
        <v>510</v>
      </c>
      <c r="K6" s="27">
        <f>K4+K5</f>
        <v>1</v>
      </c>
      <c r="L6" s="26">
        <f>SUM(L4:L5)</f>
        <v>694</v>
      </c>
      <c r="M6" s="28">
        <f>M4+M5</f>
        <v>1</v>
      </c>
    </row>
    <row r="7" spans="1:13" customFormat="1" x14ac:dyDescent="0.3">
      <c r="A7" s="13" t="s">
        <v>1</v>
      </c>
      <c r="B7" s="13" t="s">
        <v>1663</v>
      </c>
      <c r="C7" s="13">
        <v>8</v>
      </c>
      <c r="D7" s="13">
        <v>6</v>
      </c>
      <c r="E7" s="13">
        <v>9</v>
      </c>
    </row>
    <row r="8" spans="1:13" customFormat="1" x14ac:dyDescent="0.3">
      <c r="A8" s="13" t="s">
        <v>1</v>
      </c>
      <c r="B8" s="13" t="s">
        <v>1948</v>
      </c>
      <c r="C8" s="13">
        <v>8</v>
      </c>
      <c r="D8" s="13">
        <v>6</v>
      </c>
      <c r="E8" s="13">
        <v>8</v>
      </c>
    </row>
    <row r="9" spans="1:13" customFormat="1" x14ac:dyDescent="0.3">
      <c r="A9" s="13" t="s">
        <v>0</v>
      </c>
      <c r="B9" s="13" t="s">
        <v>304</v>
      </c>
      <c r="C9" s="13">
        <v>5</v>
      </c>
      <c r="D9" s="13">
        <v>5</v>
      </c>
      <c r="E9" s="13">
        <v>5</v>
      </c>
    </row>
    <row r="10" spans="1:13" customFormat="1" ht="17.25" thickBot="1" x14ac:dyDescent="0.35">
      <c r="A10" s="13" t="s">
        <v>0</v>
      </c>
      <c r="B10" s="13" t="s">
        <v>1948</v>
      </c>
      <c r="C10" s="13">
        <v>5</v>
      </c>
      <c r="D10" s="13">
        <v>5</v>
      </c>
      <c r="E10" s="13">
        <v>5</v>
      </c>
    </row>
    <row r="11" spans="1:13" x14ac:dyDescent="0.3">
      <c r="A11" s="13" t="s">
        <v>0</v>
      </c>
      <c r="B11" s="13" t="s">
        <v>37</v>
      </c>
      <c r="C11" s="13">
        <v>5</v>
      </c>
      <c r="D11" s="13">
        <v>5</v>
      </c>
      <c r="E11" s="13">
        <v>5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339</v>
      </c>
      <c r="C12" s="13">
        <v>5</v>
      </c>
      <c r="D12" s="13">
        <v>5</v>
      </c>
      <c r="E12" s="13">
        <v>5</v>
      </c>
      <c r="G12" s="19"/>
      <c r="H12" s="17">
        <f t="shared" ref="H12:J12" si="0">SUM(H13:H16)</f>
        <v>646</v>
      </c>
      <c r="I12" s="17">
        <f t="shared" si="0"/>
        <v>510</v>
      </c>
      <c r="J12" s="20">
        <f t="shared" si="0"/>
        <v>694</v>
      </c>
    </row>
    <row r="13" spans="1:13" x14ac:dyDescent="0.3">
      <c r="A13" s="13" t="s">
        <v>1</v>
      </c>
      <c r="B13" s="13" t="s">
        <v>61</v>
      </c>
      <c r="C13" s="13">
        <v>5</v>
      </c>
      <c r="D13" s="13">
        <v>4</v>
      </c>
      <c r="E13" s="13">
        <v>4</v>
      </c>
      <c r="G13" s="19" t="s">
        <v>7</v>
      </c>
      <c r="H13" s="18">
        <f t="shared" ref="H13:J16" si="1">SUMIF($A$2:$A$9999,$G13,C$2:C$9999)</f>
        <v>303</v>
      </c>
      <c r="I13" s="18">
        <f t="shared" si="1"/>
        <v>217</v>
      </c>
      <c r="J13" s="21">
        <f t="shared" si="1"/>
        <v>317</v>
      </c>
    </row>
    <row r="14" spans="1:13" x14ac:dyDescent="0.3">
      <c r="A14" s="13" t="s">
        <v>1</v>
      </c>
      <c r="B14" s="13" t="s">
        <v>1741</v>
      </c>
      <c r="C14" s="13">
        <v>4</v>
      </c>
      <c r="D14" s="13">
        <v>4</v>
      </c>
      <c r="E14" s="13">
        <v>6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2701</v>
      </c>
      <c r="C15" s="13">
        <v>7</v>
      </c>
      <c r="D15" s="13">
        <v>4</v>
      </c>
      <c r="E15" s="13">
        <v>7</v>
      </c>
      <c r="G15" s="19" t="s">
        <v>11</v>
      </c>
      <c r="H15" s="18">
        <f t="shared" si="1"/>
        <v>336</v>
      </c>
      <c r="I15" s="18">
        <f t="shared" si="1"/>
        <v>287</v>
      </c>
      <c r="J15" s="21">
        <f t="shared" si="1"/>
        <v>370</v>
      </c>
    </row>
    <row r="16" spans="1:13" ht="17.25" thickBot="1" x14ac:dyDescent="0.35">
      <c r="A16" s="13" t="s">
        <v>0</v>
      </c>
      <c r="B16" s="13" t="s">
        <v>61</v>
      </c>
      <c r="C16" s="13">
        <v>4</v>
      </c>
      <c r="D16" s="13">
        <v>4</v>
      </c>
      <c r="E16" s="13">
        <v>5</v>
      </c>
      <c r="G16" s="22" t="s">
        <v>12</v>
      </c>
      <c r="H16" s="23">
        <f t="shared" si="1"/>
        <v>7</v>
      </c>
      <c r="I16" s="23">
        <f t="shared" si="1"/>
        <v>6</v>
      </c>
      <c r="J16" s="24">
        <f t="shared" si="1"/>
        <v>7</v>
      </c>
    </row>
    <row r="17" spans="1:5" x14ac:dyDescent="0.3">
      <c r="A17" s="13" t="s">
        <v>0</v>
      </c>
      <c r="B17" s="13" t="s">
        <v>51</v>
      </c>
      <c r="C17" s="13">
        <v>4</v>
      </c>
      <c r="D17" s="13">
        <v>4</v>
      </c>
      <c r="E17" s="13">
        <v>4</v>
      </c>
    </row>
    <row r="18" spans="1:5" x14ac:dyDescent="0.3">
      <c r="A18" s="13" t="s">
        <v>1</v>
      </c>
      <c r="B18" s="13" t="s">
        <v>354</v>
      </c>
      <c r="C18" s="13">
        <v>3</v>
      </c>
      <c r="D18" s="13">
        <v>3</v>
      </c>
      <c r="E18" s="13">
        <v>4</v>
      </c>
    </row>
    <row r="19" spans="1:5" x14ac:dyDescent="0.3">
      <c r="A19" s="13" t="s">
        <v>1</v>
      </c>
      <c r="B19" s="13" t="s">
        <v>159</v>
      </c>
      <c r="C19" s="13">
        <v>3</v>
      </c>
      <c r="D19" s="13">
        <v>3</v>
      </c>
      <c r="E19" s="13">
        <v>3</v>
      </c>
    </row>
    <row r="20" spans="1:5" x14ac:dyDescent="0.3">
      <c r="A20" s="13" t="s">
        <v>1</v>
      </c>
      <c r="B20" s="13" t="s">
        <v>29</v>
      </c>
      <c r="C20" s="13">
        <v>3</v>
      </c>
      <c r="D20" s="13">
        <v>3</v>
      </c>
      <c r="E20" s="13">
        <v>3</v>
      </c>
    </row>
    <row r="21" spans="1:5" x14ac:dyDescent="0.3">
      <c r="A21" s="13" t="s">
        <v>1</v>
      </c>
      <c r="B21" s="13" t="s">
        <v>37</v>
      </c>
      <c r="C21" s="13">
        <v>4</v>
      </c>
      <c r="D21" s="13">
        <v>3</v>
      </c>
      <c r="E21" s="13">
        <v>4</v>
      </c>
    </row>
    <row r="22" spans="1:5" x14ac:dyDescent="0.3">
      <c r="A22" s="13" t="s">
        <v>1</v>
      </c>
      <c r="B22" s="13" t="s">
        <v>1219</v>
      </c>
      <c r="C22" s="13">
        <v>3</v>
      </c>
      <c r="D22" s="13">
        <v>3</v>
      </c>
      <c r="E22" s="13">
        <v>5</v>
      </c>
    </row>
    <row r="23" spans="1:5" x14ac:dyDescent="0.3">
      <c r="A23" s="13" t="s">
        <v>1</v>
      </c>
      <c r="B23" s="13" t="s">
        <v>32</v>
      </c>
      <c r="C23" s="13">
        <v>3</v>
      </c>
      <c r="D23" s="13">
        <v>3</v>
      </c>
      <c r="E23" s="13">
        <v>6</v>
      </c>
    </row>
    <row r="24" spans="1:5" x14ac:dyDescent="0.3">
      <c r="A24" s="13" t="s">
        <v>0</v>
      </c>
      <c r="B24" s="13" t="s">
        <v>34</v>
      </c>
      <c r="C24" s="13">
        <v>4</v>
      </c>
      <c r="D24" s="13">
        <v>3</v>
      </c>
      <c r="E24" s="13">
        <v>4</v>
      </c>
    </row>
    <row r="25" spans="1:5" x14ac:dyDescent="0.3">
      <c r="A25" s="13" t="s">
        <v>0</v>
      </c>
      <c r="B25" s="13" t="s">
        <v>813</v>
      </c>
      <c r="C25" s="13">
        <v>3</v>
      </c>
      <c r="D25" s="13">
        <v>3</v>
      </c>
      <c r="E25" s="13">
        <v>3</v>
      </c>
    </row>
    <row r="26" spans="1:5" x14ac:dyDescent="0.3">
      <c r="A26" s="13" t="s">
        <v>0</v>
      </c>
      <c r="B26" s="13" t="s">
        <v>354</v>
      </c>
      <c r="C26" s="13">
        <v>3</v>
      </c>
      <c r="D26" s="13">
        <v>3</v>
      </c>
      <c r="E26" s="13">
        <v>3</v>
      </c>
    </row>
    <row r="27" spans="1:5" x14ac:dyDescent="0.3">
      <c r="A27" s="13" t="s">
        <v>0</v>
      </c>
      <c r="B27" s="13" t="s">
        <v>60</v>
      </c>
      <c r="C27" s="13">
        <v>3</v>
      </c>
      <c r="D27" s="13">
        <v>3</v>
      </c>
      <c r="E27" s="13">
        <v>3</v>
      </c>
    </row>
    <row r="28" spans="1:5" x14ac:dyDescent="0.3">
      <c r="A28" s="13" t="s">
        <v>0</v>
      </c>
      <c r="B28" s="13" t="s">
        <v>94</v>
      </c>
      <c r="C28" s="13">
        <v>3</v>
      </c>
      <c r="D28" s="13">
        <v>3</v>
      </c>
      <c r="E28" s="13">
        <v>3</v>
      </c>
    </row>
    <row r="29" spans="1:5" x14ac:dyDescent="0.3">
      <c r="A29" s="13" t="s">
        <v>0</v>
      </c>
      <c r="B29" s="13" t="s">
        <v>1741</v>
      </c>
      <c r="C29" s="13">
        <v>3</v>
      </c>
      <c r="D29" s="13">
        <v>3</v>
      </c>
      <c r="E29" s="13">
        <v>3</v>
      </c>
    </row>
    <row r="30" spans="1:5" x14ac:dyDescent="0.3">
      <c r="A30" s="13" t="s">
        <v>0</v>
      </c>
      <c r="B30" s="13" t="s">
        <v>164</v>
      </c>
      <c r="C30" s="13">
        <v>3</v>
      </c>
      <c r="D30" s="13">
        <v>3</v>
      </c>
      <c r="E30" s="13">
        <v>4</v>
      </c>
    </row>
    <row r="31" spans="1:5" x14ac:dyDescent="0.3">
      <c r="A31" s="13" t="s">
        <v>0</v>
      </c>
      <c r="B31" s="13" t="s">
        <v>1098</v>
      </c>
      <c r="C31" s="13">
        <v>3</v>
      </c>
      <c r="D31" s="13">
        <v>3</v>
      </c>
      <c r="E31" s="13">
        <v>3</v>
      </c>
    </row>
    <row r="32" spans="1:5" x14ac:dyDescent="0.3">
      <c r="A32" s="13" t="s">
        <v>0</v>
      </c>
      <c r="B32" s="13" t="s">
        <v>45</v>
      </c>
      <c r="C32" s="13">
        <v>3</v>
      </c>
      <c r="D32" s="13">
        <v>3</v>
      </c>
      <c r="E32" s="13">
        <v>4</v>
      </c>
    </row>
    <row r="33" spans="1:5" x14ac:dyDescent="0.3">
      <c r="A33" s="13" t="s">
        <v>0</v>
      </c>
      <c r="B33" s="13" t="s">
        <v>120</v>
      </c>
      <c r="C33" s="13">
        <v>3</v>
      </c>
      <c r="D33" s="13">
        <v>3</v>
      </c>
      <c r="E33" s="13">
        <v>3</v>
      </c>
    </row>
    <row r="34" spans="1:5" x14ac:dyDescent="0.3">
      <c r="A34" s="13" t="s">
        <v>0</v>
      </c>
      <c r="B34" s="13" t="s">
        <v>2827</v>
      </c>
      <c r="C34" s="13">
        <v>3</v>
      </c>
      <c r="D34" s="13">
        <v>3</v>
      </c>
      <c r="E34" s="13">
        <v>3</v>
      </c>
    </row>
    <row r="35" spans="1:5" x14ac:dyDescent="0.3">
      <c r="A35" s="13" t="s">
        <v>0</v>
      </c>
      <c r="B35" s="13" t="s">
        <v>2828</v>
      </c>
      <c r="C35" s="13">
        <v>3</v>
      </c>
      <c r="D35" s="13">
        <v>3</v>
      </c>
      <c r="E35" s="13">
        <v>3</v>
      </c>
    </row>
    <row r="36" spans="1:5" x14ac:dyDescent="0.3">
      <c r="A36" s="13" t="s">
        <v>2</v>
      </c>
      <c r="B36" s="13" t="s">
        <v>1741</v>
      </c>
      <c r="C36" s="13">
        <v>3</v>
      </c>
      <c r="D36" s="13">
        <v>3</v>
      </c>
      <c r="E36" s="13">
        <v>3</v>
      </c>
    </row>
    <row r="37" spans="1:5" x14ac:dyDescent="0.3">
      <c r="A37" s="13" t="s">
        <v>1</v>
      </c>
      <c r="B37" s="13" t="s">
        <v>83</v>
      </c>
      <c r="C37" s="13">
        <v>3</v>
      </c>
      <c r="D37" s="13">
        <v>2</v>
      </c>
      <c r="E37" s="13">
        <v>3</v>
      </c>
    </row>
    <row r="38" spans="1:5" x14ac:dyDescent="0.3">
      <c r="A38" s="13" t="s">
        <v>1</v>
      </c>
      <c r="B38" s="13" t="s">
        <v>148</v>
      </c>
      <c r="C38" s="13">
        <v>2</v>
      </c>
      <c r="D38" s="13">
        <v>2</v>
      </c>
      <c r="E38" s="13">
        <v>2</v>
      </c>
    </row>
    <row r="39" spans="1:5" x14ac:dyDescent="0.3">
      <c r="A39" s="13" t="s">
        <v>1</v>
      </c>
      <c r="B39" s="13" t="s">
        <v>41</v>
      </c>
      <c r="C39" s="13">
        <v>2</v>
      </c>
      <c r="D39" s="13">
        <v>2</v>
      </c>
      <c r="E39" s="13">
        <v>2</v>
      </c>
    </row>
    <row r="40" spans="1:5" x14ac:dyDescent="0.3">
      <c r="A40" s="13" t="s">
        <v>1</v>
      </c>
      <c r="B40" s="13" t="s">
        <v>1989</v>
      </c>
      <c r="C40" s="13">
        <v>2</v>
      </c>
      <c r="D40" s="13">
        <v>2</v>
      </c>
      <c r="E40" s="13">
        <v>2</v>
      </c>
    </row>
    <row r="41" spans="1:5" x14ac:dyDescent="0.3">
      <c r="A41" s="13" t="s">
        <v>1</v>
      </c>
      <c r="B41" s="13" t="s">
        <v>35</v>
      </c>
      <c r="C41" s="13">
        <v>2</v>
      </c>
      <c r="D41" s="13">
        <v>2</v>
      </c>
      <c r="E41" s="13">
        <v>2</v>
      </c>
    </row>
    <row r="42" spans="1:5" x14ac:dyDescent="0.3">
      <c r="A42" s="13" t="s">
        <v>1</v>
      </c>
      <c r="B42" s="13" t="s">
        <v>279</v>
      </c>
      <c r="C42" s="13">
        <v>2</v>
      </c>
      <c r="D42" s="13">
        <v>2</v>
      </c>
      <c r="E42" s="13">
        <v>2</v>
      </c>
    </row>
    <row r="43" spans="1:5" x14ac:dyDescent="0.3">
      <c r="A43" s="13" t="s">
        <v>1</v>
      </c>
      <c r="B43" s="13" t="s">
        <v>513</v>
      </c>
      <c r="C43" s="13">
        <v>2</v>
      </c>
      <c r="D43" s="13">
        <v>2</v>
      </c>
      <c r="E43" s="13">
        <v>3</v>
      </c>
    </row>
    <row r="44" spans="1:5" x14ac:dyDescent="0.3">
      <c r="A44" s="13" t="s">
        <v>1</v>
      </c>
      <c r="B44" s="13" t="s">
        <v>1101</v>
      </c>
      <c r="C44" s="13">
        <v>2</v>
      </c>
      <c r="D44" s="13">
        <v>2</v>
      </c>
      <c r="E44" s="13">
        <v>2</v>
      </c>
    </row>
    <row r="45" spans="1:5" x14ac:dyDescent="0.3">
      <c r="A45" s="13" t="s">
        <v>1</v>
      </c>
      <c r="B45" s="13" t="s">
        <v>120</v>
      </c>
      <c r="C45" s="13">
        <v>2</v>
      </c>
      <c r="D45" s="13">
        <v>2</v>
      </c>
      <c r="E45" s="13">
        <v>2</v>
      </c>
    </row>
    <row r="46" spans="1:5" x14ac:dyDescent="0.3">
      <c r="A46" s="13" t="s">
        <v>1</v>
      </c>
      <c r="B46" s="13" t="s">
        <v>290</v>
      </c>
      <c r="C46" s="13">
        <v>2</v>
      </c>
      <c r="D46" s="13">
        <v>2</v>
      </c>
      <c r="E46" s="13">
        <v>2</v>
      </c>
    </row>
    <row r="47" spans="1:5" x14ac:dyDescent="0.3">
      <c r="A47" s="13" t="s">
        <v>1</v>
      </c>
      <c r="B47" s="13" t="s">
        <v>31</v>
      </c>
      <c r="C47" s="13">
        <v>2</v>
      </c>
      <c r="D47" s="13">
        <v>2</v>
      </c>
      <c r="E47" s="13">
        <v>2</v>
      </c>
    </row>
    <row r="48" spans="1:5" x14ac:dyDescent="0.3">
      <c r="A48" s="13" t="s">
        <v>1</v>
      </c>
      <c r="B48" s="13" t="s">
        <v>296</v>
      </c>
      <c r="C48" s="13">
        <v>2</v>
      </c>
      <c r="D48" s="13">
        <v>2</v>
      </c>
      <c r="E48" s="13">
        <v>2</v>
      </c>
    </row>
    <row r="49" spans="1:5" x14ac:dyDescent="0.3">
      <c r="A49" s="13" t="s">
        <v>0</v>
      </c>
      <c r="B49" s="13" t="s">
        <v>30</v>
      </c>
      <c r="C49" s="13">
        <v>7</v>
      </c>
      <c r="D49" s="13">
        <v>2</v>
      </c>
      <c r="E49" s="13">
        <v>11</v>
      </c>
    </row>
    <row r="50" spans="1:5" x14ac:dyDescent="0.3">
      <c r="A50" s="13" t="s">
        <v>0</v>
      </c>
      <c r="B50" s="13" t="s">
        <v>48</v>
      </c>
      <c r="C50" s="13">
        <v>2</v>
      </c>
      <c r="D50" s="13">
        <v>2</v>
      </c>
      <c r="E50" s="13">
        <v>3</v>
      </c>
    </row>
    <row r="51" spans="1:5" x14ac:dyDescent="0.3">
      <c r="A51" s="13" t="s">
        <v>0</v>
      </c>
      <c r="B51" s="13" t="s">
        <v>77</v>
      </c>
      <c r="C51" s="13">
        <v>2</v>
      </c>
      <c r="D51" s="13">
        <v>2</v>
      </c>
      <c r="E51" s="13">
        <v>2</v>
      </c>
    </row>
    <row r="52" spans="1:5" x14ac:dyDescent="0.3">
      <c r="A52" s="13" t="s">
        <v>0</v>
      </c>
      <c r="B52" s="13" t="s">
        <v>260</v>
      </c>
      <c r="C52" s="13">
        <v>2</v>
      </c>
      <c r="D52" s="13">
        <v>2</v>
      </c>
      <c r="E52" s="13">
        <v>2</v>
      </c>
    </row>
    <row r="53" spans="1:5" x14ac:dyDescent="0.3">
      <c r="A53" s="13" t="s">
        <v>0</v>
      </c>
      <c r="B53" s="13" t="s">
        <v>81</v>
      </c>
      <c r="C53" s="13">
        <v>2</v>
      </c>
      <c r="D53" s="13">
        <v>2</v>
      </c>
      <c r="E53" s="13">
        <v>2</v>
      </c>
    </row>
    <row r="54" spans="1:5" x14ac:dyDescent="0.3">
      <c r="A54" s="13" t="s">
        <v>0</v>
      </c>
      <c r="B54" s="13" t="s">
        <v>83</v>
      </c>
      <c r="C54" s="13">
        <v>2</v>
      </c>
      <c r="D54" s="13">
        <v>2</v>
      </c>
      <c r="E54" s="13">
        <v>2</v>
      </c>
    </row>
    <row r="55" spans="1:5" x14ac:dyDescent="0.3">
      <c r="A55" s="13" t="s">
        <v>0</v>
      </c>
      <c r="B55" s="13" t="s">
        <v>145</v>
      </c>
      <c r="C55" s="13">
        <v>2</v>
      </c>
      <c r="D55" s="13">
        <v>2</v>
      </c>
      <c r="E55" s="13">
        <v>2</v>
      </c>
    </row>
    <row r="56" spans="1:5" x14ac:dyDescent="0.3">
      <c r="A56" s="13" t="s">
        <v>0</v>
      </c>
      <c r="B56" s="13" t="s">
        <v>147</v>
      </c>
      <c r="C56" s="13">
        <v>2</v>
      </c>
      <c r="D56" s="13">
        <v>2</v>
      </c>
      <c r="E56" s="13">
        <v>2</v>
      </c>
    </row>
    <row r="57" spans="1:5" x14ac:dyDescent="0.3">
      <c r="A57" s="13" t="s">
        <v>0</v>
      </c>
      <c r="B57" s="13" t="s">
        <v>41</v>
      </c>
      <c r="C57" s="13">
        <v>2</v>
      </c>
      <c r="D57" s="13">
        <v>2</v>
      </c>
      <c r="E57" s="13">
        <v>2</v>
      </c>
    </row>
    <row r="58" spans="1:5" x14ac:dyDescent="0.3">
      <c r="A58" s="13" t="s">
        <v>0</v>
      </c>
      <c r="B58" s="13" t="s">
        <v>1926</v>
      </c>
      <c r="C58" s="13">
        <v>2</v>
      </c>
      <c r="D58" s="13">
        <v>2</v>
      </c>
      <c r="E58" s="13">
        <v>2</v>
      </c>
    </row>
    <row r="59" spans="1:5" x14ac:dyDescent="0.3">
      <c r="A59" s="13" t="s">
        <v>0</v>
      </c>
      <c r="B59" s="13" t="s">
        <v>2179</v>
      </c>
      <c r="C59" s="13">
        <v>2</v>
      </c>
      <c r="D59" s="13">
        <v>2</v>
      </c>
      <c r="E59" s="13">
        <v>2</v>
      </c>
    </row>
    <row r="60" spans="1:5" x14ac:dyDescent="0.3">
      <c r="A60" s="13" t="s">
        <v>0</v>
      </c>
      <c r="B60" s="13" t="s">
        <v>2203</v>
      </c>
      <c r="C60" s="13">
        <v>2</v>
      </c>
      <c r="D60" s="13">
        <v>2</v>
      </c>
      <c r="E60" s="13">
        <v>2</v>
      </c>
    </row>
    <row r="61" spans="1:5" x14ac:dyDescent="0.3">
      <c r="A61" s="13" t="s">
        <v>0</v>
      </c>
      <c r="B61" s="13" t="s">
        <v>35</v>
      </c>
      <c r="C61" s="13">
        <v>2</v>
      </c>
      <c r="D61" s="13">
        <v>2</v>
      </c>
      <c r="E61" s="13">
        <v>2</v>
      </c>
    </row>
    <row r="62" spans="1:5" x14ac:dyDescent="0.3">
      <c r="A62" s="13" t="s">
        <v>0</v>
      </c>
      <c r="B62" s="13" t="s">
        <v>1342</v>
      </c>
      <c r="C62" s="13">
        <v>2</v>
      </c>
      <c r="D62" s="13">
        <v>2</v>
      </c>
      <c r="E62" s="13">
        <v>2</v>
      </c>
    </row>
    <row r="63" spans="1:5" x14ac:dyDescent="0.3">
      <c r="A63" s="13" t="s">
        <v>0</v>
      </c>
      <c r="B63" s="13" t="s">
        <v>560</v>
      </c>
      <c r="C63" s="13">
        <v>2</v>
      </c>
      <c r="D63" s="13">
        <v>2</v>
      </c>
      <c r="E63" s="13">
        <v>2</v>
      </c>
    </row>
    <row r="64" spans="1:5" x14ac:dyDescent="0.3">
      <c r="A64" s="13" t="s">
        <v>0</v>
      </c>
      <c r="B64" s="13" t="s">
        <v>732</v>
      </c>
      <c r="C64" s="13">
        <v>2</v>
      </c>
      <c r="D64" s="13">
        <v>2</v>
      </c>
      <c r="E64" s="13">
        <v>2</v>
      </c>
    </row>
    <row r="65" spans="1:5" x14ac:dyDescent="0.3">
      <c r="A65" s="13" t="s">
        <v>0</v>
      </c>
      <c r="B65" s="13" t="s">
        <v>111</v>
      </c>
      <c r="C65" s="13">
        <v>3</v>
      </c>
      <c r="D65" s="13">
        <v>2</v>
      </c>
      <c r="E65" s="13">
        <v>7</v>
      </c>
    </row>
    <row r="66" spans="1:5" x14ac:dyDescent="0.3">
      <c r="A66" s="13" t="s">
        <v>0</v>
      </c>
      <c r="B66" s="13" t="s">
        <v>62</v>
      </c>
      <c r="C66" s="13">
        <v>2</v>
      </c>
      <c r="D66" s="13">
        <v>2</v>
      </c>
      <c r="E66" s="13">
        <v>2</v>
      </c>
    </row>
    <row r="67" spans="1:5" x14ac:dyDescent="0.3">
      <c r="A67" s="13" t="s">
        <v>0</v>
      </c>
      <c r="B67" s="13" t="s">
        <v>178</v>
      </c>
      <c r="C67" s="13">
        <v>2</v>
      </c>
      <c r="D67" s="13">
        <v>2</v>
      </c>
      <c r="E67" s="13">
        <v>2</v>
      </c>
    </row>
    <row r="68" spans="1:5" x14ac:dyDescent="0.3">
      <c r="A68" s="13" t="s">
        <v>0</v>
      </c>
      <c r="B68" s="13" t="s">
        <v>549</v>
      </c>
      <c r="C68" s="13">
        <v>2</v>
      </c>
      <c r="D68" s="13">
        <v>2</v>
      </c>
      <c r="E68" s="13">
        <v>3</v>
      </c>
    </row>
    <row r="69" spans="1:5" x14ac:dyDescent="0.3">
      <c r="A69" s="13" t="s">
        <v>2</v>
      </c>
      <c r="B69" s="13" t="s">
        <v>29</v>
      </c>
      <c r="C69" s="13">
        <v>2</v>
      </c>
      <c r="D69" s="13">
        <v>2</v>
      </c>
      <c r="E69" s="13">
        <v>2</v>
      </c>
    </row>
    <row r="70" spans="1:5" x14ac:dyDescent="0.3">
      <c r="A70" s="13" t="s">
        <v>1</v>
      </c>
      <c r="B70" s="13" t="s">
        <v>47</v>
      </c>
      <c r="C70" s="13">
        <v>1</v>
      </c>
      <c r="D70" s="13">
        <v>1</v>
      </c>
      <c r="E70" s="13">
        <v>1</v>
      </c>
    </row>
    <row r="71" spans="1:5" x14ac:dyDescent="0.3">
      <c r="A71" s="13" t="s">
        <v>1</v>
      </c>
      <c r="B71" s="13" t="s">
        <v>299</v>
      </c>
      <c r="C71" s="13">
        <v>1</v>
      </c>
      <c r="D71" s="13">
        <v>1</v>
      </c>
      <c r="E71" s="13">
        <v>1</v>
      </c>
    </row>
    <row r="72" spans="1:5" x14ac:dyDescent="0.3">
      <c r="A72" s="13" t="s">
        <v>1</v>
      </c>
      <c r="B72" s="13" t="s">
        <v>373</v>
      </c>
      <c r="C72" s="13">
        <v>1</v>
      </c>
      <c r="D72" s="13">
        <v>1</v>
      </c>
      <c r="E72" s="13">
        <v>1</v>
      </c>
    </row>
    <row r="73" spans="1:5" x14ac:dyDescent="0.3">
      <c r="A73" s="13" t="s">
        <v>1</v>
      </c>
      <c r="B73" s="13" t="s">
        <v>33</v>
      </c>
      <c r="C73" s="13">
        <v>2</v>
      </c>
      <c r="D73" s="13">
        <v>1</v>
      </c>
      <c r="E73" s="13">
        <v>2</v>
      </c>
    </row>
    <row r="74" spans="1:5" x14ac:dyDescent="0.3">
      <c r="A74" s="13" t="s">
        <v>1</v>
      </c>
      <c r="B74" s="13" t="s">
        <v>48</v>
      </c>
      <c r="C74" s="13">
        <v>1</v>
      </c>
      <c r="D74" s="13">
        <v>1</v>
      </c>
      <c r="E74" s="13">
        <v>1</v>
      </c>
    </row>
    <row r="75" spans="1:5" x14ac:dyDescent="0.3">
      <c r="A75" s="13" t="s">
        <v>1</v>
      </c>
      <c r="B75" s="13" t="s">
        <v>140</v>
      </c>
      <c r="C75" s="13">
        <v>1</v>
      </c>
      <c r="D75" s="13">
        <v>1</v>
      </c>
      <c r="E75" s="13">
        <v>1</v>
      </c>
    </row>
    <row r="76" spans="1:5" x14ac:dyDescent="0.3">
      <c r="A76" s="13" t="s">
        <v>1</v>
      </c>
      <c r="B76" s="13" t="s">
        <v>204</v>
      </c>
      <c r="C76" s="13">
        <v>1</v>
      </c>
      <c r="D76" s="13">
        <v>1</v>
      </c>
      <c r="E76" s="13">
        <v>1</v>
      </c>
    </row>
    <row r="77" spans="1:5" x14ac:dyDescent="0.3">
      <c r="A77" s="13" t="s">
        <v>1</v>
      </c>
      <c r="B77" s="13" t="s">
        <v>498</v>
      </c>
      <c r="C77" s="13">
        <v>1</v>
      </c>
      <c r="D77" s="13">
        <v>1</v>
      </c>
      <c r="E77" s="13">
        <v>1</v>
      </c>
    </row>
    <row r="78" spans="1:5" x14ac:dyDescent="0.3">
      <c r="A78" s="13" t="s">
        <v>1</v>
      </c>
      <c r="B78" s="13" t="s">
        <v>499</v>
      </c>
      <c r="C78" s="13">
        <v>1</v>
      </c>
      <c r="D78" s="13">
        <v>1</v>
      </c>
      <c r="E78" s="13">
        <v>1</v>
      </c>
    </row>
    <row r="79" spans="1:5" x14ac:dyDescent="0.3">
      <c r="A79" s="13" t="s">
        <v>1</v>
      </c>
      <c r="B79" s="13" t="s">
        <v>77</v>
      </c>
      <c r="C79" s="13">
        <v>1</v>
      </c>
      <c r="D79" s="13">
        <v>1</v>
      </c>
      <c r="E79" s="13">
        <v>1</v>
      </c>
    </row>
    <row r="80" spans="1:5" x14ac:dyDescent="0.3">
      <c r="A80" s="13" t="s">
        <v>1</v>
      </c>
      <c r="B80" s="13" t="s">
        <v>812</v>
      </c>
      <c r="C80" s="13">
        <v>1</v>
      </c>
      <c r="D80" s="13">
        <v>1</v>
      </c>
      <c r="E80" s="13">
        <v>1</v>
      </c>
    </row>
    <row r="81" spans="1:5" x14ac:dyDescent="0.3">
      <c r="A81" s="13" t="s">
        <v>1</v>
      </c>
      <c r="B81" s="13" t="s">
        <v>2072</v>
      </c>
      <c r="C81" s="13">
        <v>1</v>
      </c>
      <c r="D81" s="13">
        <v>1</v>
      </c>
      <c r="E81" s="13">
        <v>1</v>
      </c>
    </row>
    <row r="82" spans="1:5" x14ac:dyDescent="0.3">
      <c r="A82" s="13" t="s">
        <v>1</v>
      </c>
      <c r="B82" s="13" t="s">
        <v>2048</v>
      </c>
      <c r="C82" s="13">
        <v>1</v>
      </c>
      <c r="D82" s="13">
        <v>1</v>
      </c>
      <c r="E82" s="13">
        <v>1</v>
      </c>
    </row>
    <row r="83" spans="1:5" x14ac:dyDescent="0.3">
      <c r="A83" s="13" t="s">
        <v>1</v>
      </c>
      <c r="B83" s="13" t="s">
        <v>81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304</v>
      </c>
      <c r="C84" s="13">
        <v>1</v>
      </c>
      <c r="D84" s="13">
        <v>1</v>
      </c>
      <c r="E84" s="13">
        <v>1</v>
      </c>
    </row>
    <row r="85" spans="1:5" x14ac:dyDescent="0.3">
      <c r="A85" s="13" t="s">
        <v>1</v>
      </c>
      <c r="B85" s="13" t="s">
        <v>883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147</v>
      </c>
      <c r="C86" s="13">
        <v>1</v>
      </c>
      <c r="D86" s="13">
        <v>1</v>
      </c>
      <c r="E86" s="13">
        <v>1</v>
      </c>
    </row>
    <row r="87" spans="1:5" x14ac:dyDescent="0.3">
      <c r="A87" s="13" t="s">
        <v>1</v>
      </c>
      <c r="B87" s="13" t="s">
        <v>87</v>
      </c>
      <c r="C87" s="13">
        <v>1</v>
      </c>
      <c r="D87" s="13">
        <v>1</v>
      </c>
      <c r="E87" s="13">
        <v>1</v>
      </c>
    </row>
    <row r="88" spans="1:5" x14ac:dyDescent="0.3">
      <c r="A88" s="13" t="s">
        <v>1</v>
      </c>
      <c r="B88" s="13" t="s">
        <v>215</v>
      </c>
      <c r="C88" s="13">
        <v>1</v>
      </c>
      <c r="D88" s="13">
        <v>1</v>
      </c>
      <c r="E88" s="13">
        <v>1</v>
      </c>
    </row>
    <row r="89" spans="1:5" x14ac:dyDescent="0.3">
      <c r="A89" s="13" t="s">
        <v>1</v>
      </c>
      <c r="B89" s="13" t="s">
        <v>424</v>
      </c>
      <c r="C89" s="13">
        <v>1</v>
      </c>
      <c r="D89" s="13">
        <v>1</v>
      </c>
      <c r="E89" s="13">
        <v>1</v>
      </c>
    </row>
    <row r="90" spans="1:5" x14ac:dyDescent="0.3">
      <c r="A90" s="13" t="s">
        <v>1</v>
      </c>
      <c r="B90" s="13" t="s">
        <v>886</v>
      </c>
      <c r="C90" s="13">
        <v>1</v>
      </c>
      <c r="D90" s="13">
        <v>1</v>
      </c>
      <c r="E90" s="13">
        <v>1</v>
      </c>
    </row>
    <row r="91" spans="1:5" x14ac:dyDescent="0.3">
      <c r="A91" s="13" t="s">
        <v>1</v>
      </c>
      <c r="B91" s="13" t="s">
        <v>658</v>
      </c>
      <c r="C91" s="13">
        <v>1</v>
      </c>
      <c r="D91" s="13">
        <v>1</v>
      </c>
      <c r="E91" s="13">
        <v>1</v>
      </c>
    </row>
    <row r="92" spans="1:5" x14ac:dyDescent="0.3">
      <c r="A92" s="13" t="s">
        <v>1</v>
      </c>
      <c r="B92" s="13" t="s">
        <v>761</v>
      </c>
      <c r="C92" s="13">
        <v>1</v>
      </c>
      <c r="D92" s="13">
        <v>1</v>
      </c>
      <c r="E92" s="13">
        <v>1</v>
      </c>
    </row>
    <row r="93" spans="1:5" x14ac:dyDescent="0.3">
      <c r="A93" s="13" t="s">
        <v>1</v>
      </c>
      <c r="B93" s="13" t="s">
        <v>60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94</v>
      </c>
      <c r="C94" s="13">
        <v>1</v>
      </c>
      <c r="D94" s="13">
        <v>1</v>
      </c>
      <c r="E94" s="13">
        <v>1</v>
      </c>
    </row>
    <row r="95" spans="1:5" x14ac:dyDescent="0.3">
      <c r="A95" s="13" t="s">
        <v>1</v>
      </c>
      <c r="B95" s="13" t="s">
        <v>1370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1651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1833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1885</v>
      </c>
      <c r="C98" s="13">
        <v>1</v>
      </c>
      <c r="D98" s="13">
        <v>1</v>
      </c>
      <c r="E98" s="13">
        <v>2</v>
      </c>
    </row>
    <row r="99" spans="1:5" x14ac:dyDescent="0.3">
      <c r="A99" s="13" t="s">
        <v>1</v>
      </c>
      <c r="B99" s="13" t="s">
        <v>1900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1988</v>
      </c>
      <c r="C100" s="13">
        <v>5</v>
      </c>
      <c r="D100" s="13">
        <v>1</v>
      </c>
      <c r="E100" s="13">
        <v>4</v>
      </c>
    </row>
    <row r="101" spans="1:5" x14ac:dyDescent="0.3">
      <c r="A101" s="13" t="s">
        <v>1</v>
      </c>
      <c r="B101" s="13" t="s">
        <v>1960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2093</v>
      </c>
      <c r="C102" s="13">
        <v>2</v>
      </c>
      <c r="D102" s="13">
        <v>1</v>
      </c>
      <c r="E102" s="13">
        <v>3</v>
      </c>
    </row>
    <row r="103" spans="1:5" x14ac:dyDescent="0.3">
      <c r="A103" s="13" t="s">
        <v>1</v>
      </c>
      <c r="B103" s="13" t="s">
        <v>2203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156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392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1001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102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1311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105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164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1475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107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1891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169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1757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281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315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1107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736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45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1085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1620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697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114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1093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115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629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631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121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122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46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409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291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842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63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709</v>
      </c>
      <c r="C136" s="13">
        <v>2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339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197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908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38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64</v>
      </c>
      <c r="C141" s="13">
        <v>2</v>
      </c>
      <c r="D141" s="13">
        <v>1</v>
      </c>
      <c r="E141" s="13">
        <v>2</v>
      </c>
    </row>
    <row r="142" spans="1:5" x14ac:dyDescent="0.3">
      <c r="A142" s="13" t="s">
        <v>1</v>
      </c>
      <c r="B142" s="13" t="s">
        <v>132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1367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190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1050</v>
      </c>
      <c r="C145" s="13">
        <v>1</v>
      </c>
      <c r="D145" s="13">
        <v>1</v>
      </c>
      <c r="E145" s="13">
        <v>2</v>
      </c>
    </row>
    <row r="146" spans="1:5" x14ac:dyDescent="0.3">
      <c r="A146" s="13" t="s">
        <v>1</v>
      </c>
      <c r="B146" s="13" t="s">
        <v>191</v>
      </c>
      <c r="C146" s="13">
        <v>2</v>
      </c>
      <c r="D146" s="13">
        <v>1</v>
      </c>
      <c r="E146" s="13">
        <v>2</v>
      </c>
    </row>
    <row r="147" spans="1:5" x14ac:dyDescent="0.3">
      <c r="A147" s="13" t="s">
        <v>1</v>
      </c>
      <c r="B147" s="13" t="s">
        <v>67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233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54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1333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1953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2829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0</v>
      </c>
      <c r="B153" s="13" t="s">
        <v>925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0</v>
      </c>
      <c r="B154" s="13" t="s">
        <v>36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0</v>
      </c>
      <c r="B155" s="13" t="s">
        <v>239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0</v>
      </c>
      <c r="B156" s="13" t="s">
        <v>1487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0</v>
      </c>
      <c r="B157" s="13" t="s">
        <v>199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0</v>
      </c>
      <c r="B158" s="13" t="s">
        <v>378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0</v>
      </c>
      <c r="B159" s="13" t="s">
        <v>373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0</v>
      </c>
      <c r="B160" s="13" t="s">
        <v>57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0</v>
      </c>
      <c r="B161" s="13" t="s">
        <v>33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0</v>
      </c>
      <c r="B162" s="13" t="s">
        <v>670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0</v>
      </c>
      <c r="B163" s="13" t="s">
        <v>142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0</v>
      </c>
      <c r="B164" s="13" t="s">
        <v>474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0</v>
      </c>
      <c r="B165" s="13" t="s">
        <v>498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0</v>
      </c>
      <c r="B166" s="13" t="s">
        <v>369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0</v>
      </c>
      <c r="B167" s="13" t="s">
        <v>986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0</v>
      </c>
      <c r="B168" s="13" t="s">
        <v>90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0</v>
      </c>
      <c r="B169" s="13" t="s">
        <v>424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0</v>
      </c>
      <c r="B170" s="13" t="s">
        <v>1162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0</v>
      </c>
      <c r="B171" s="13" t="s">
        <v>612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0</v>
      </c>
      <c r="B172" s="13" t="s">
        <v>42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0</v>
      </c>
      <c r="B173" s="13" t="s">
        <v>653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0</v>
      </c>
      <c r="B174" s="13" t="s">
        <v>1570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0</v>
      </c>
      <c r="B175" s="13" t="s">
        <v>1663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0</v>
      </c>
      <c r="B176" s="13" t="s">
        <v>1674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0</v>
      </c>
      <c r="B177" s="13" t="s">
        <v>1696</v>
      </c>
      <c r="C177" s="13">
        <v>1</v>
      </c>
      <c r="D177" s="13">
        <v>1</v>
      </c>
      <c r="E177" s="13">
        <v>2</v>
      </c>
    </row>
    <row r="178" spans="1:5" x14ac:dyDescent="0.3">
      <c r="A178" s="13" t="s">
        <v>0</v>
      </c>
      <c r="B178" s="13" t="s">
        <v>1738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0</v>
      </c>
      <c r="B179" s="13" t="s">
        <v>1918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0</v>
      </c>
      <c r="B180" s="13" t="s">
        <v>1888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0</v>
      </c>
      <c r="B181" s="13" t="s">
        <v>1907</v>
      </c>
      <c r="C181" s="13">
        <v>1</v>
      </c>
      <c r="D181" s="13">
        <v>1</v>
      </c>
      <c r="E181" s="13">
        <v>2</v>
      </c>
    </row>
    <row r="182" spans="1:5" x14ac:dyDescent="0.3">
      <c r="A182" s="13" t="s">
        <v>0</v>
      </c>
      <c r="B182" s="13" t="s">
        <v>1884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0</v>
      </c>
      <c r="B183" s="13" t="s">
        <v>1899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0</v>
      </c>
      <c r="B184" s="13" t="s">
        <v>1988</v>
      </c>
      <c r="C184" s="13">
        <v>2</v>
      </c>
      <c r="D184" s="13">
        <v>1</v>
      </c>
      <c r="E184" s="13">
        <v>2</v>
      </c>
    </row>
    <row r="185" spans="1:5" x14ac:dyDescent="0.3">
      <c r="A185" s="13" t="s">
        <v>0</v>
      </c>
      <c r="B185" s="13" t="s">
        <v>2069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0</v>
      </c>
      <c r="B186" s="13" t="s">
        <v>2149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0</v>
      </c>
      <c r="B187" s="13" t="s">
        <v>678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968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0</v>
      </c>
      <c r="B189" s="13" t="s">
        <v>98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0</v>
      </c>
      <c r="B190" s="13" t="s">
        <v>1034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0</v>
      </c>
      <c r="B191" s="13" t="s">
        <v>391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0</v>
      </c>
      <c r="B192" s="13" t="s">
        <v>159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0</v>
      </c>
      <c r="B193" s="13" t="s">
        <v>937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0</v>
      </c>
      <c r="B194" s="13" t="s">
        <v>28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0</v>
      </c>
      <c r="B195" s="13" t="s">
        <v>2830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0</v>
      </c>
      <c r="B196" s="13" t="s">
        <v>101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1070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161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1054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393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105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1499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1291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939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195</v>
      </c>
      <c r="C205" s="13">
        <v>2</v>
      </c>
      <c r="D205" s="13">
        <v>1</v>
      </c>
      <c r="E205" s="13">
        <v>3</v>
      </c>
    </row>
    <row r="206" spans="1:5" x14ac:dyDescent="0.3">
      <c r="A206" s="13" t="s">
        <v>0</v>
      </c>
      <c r="B206" s="13" t="s">
        <v>165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394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2440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1411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2322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1412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513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281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44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1497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113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0</v>
      </c>
      <c r="B217" s="13" t="s">
        <v>736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945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374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523</v>
      </c>
      <c r="C220" s="13">
        <v>1</v>
      </c>
      <c r="D220" s="13">
        <v>1</v>
      </c>
      <c r="E220" s="13">
        <v>2</v>
      </c>
    </row>
    <row r="221" spans="1:5" x14ac:dyDescent="0.3">
      <c r="A221" s="13" t="s">
        <v>0</v>
      </c>
      <c r="B221" s="13" t="s">
        <v>401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360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172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2456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0</v>
      </c>
      <c r="B225" s="13" t="s">
        <v>362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0</v>
      </c>
      <c r="B226" s="13" t="s">
        <v>119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0</v>
      </c>
      <c r="B227" s="13" t="s">
        <v>122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0</v>
      </c>
      <c r="B228" s="13" t="s">
        <v>1748</v>
      </c>
      <c r="C228" s="13">
        <v>1</v>
      </c>
      <c r="D228" s="13">
        <v>1</v>
      </c>
      <c r="E228" s="13">
        <v>2</v>
      </c>
    </row>
    <row r="229" spans="1:5" x14ac:dyDescent="0.3">
      <c r="A229" s="13" t="s">
        <v>0</v>
      </c>
      <c r="B229" s="13" t="s">
        <v>123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0</v>
      </c>
      <c r="B230" s="13" t="s">
        <v>409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0</v>
      </c>
      <c r="B231" s="13" t="s">
        <v>63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0</v>
      </c>
      <c r="B232" s="13" t="s">
        <v>1551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0</v>
      </c>
      <c r="B233" s="13" t="s">
        <v>1378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0</v>
      </c>
      <c r="B234" s="13" t="s">
        <v>338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0</v>
      </c>
      <c r="B235" s="13" t="s">
        <v>2045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0</v>
      </c>
      <c r="B236" s="13" t="s">
        <v>1045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0</v>
      </c>
      <c r="B237" s="13" t="s">
        <v>131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0</v>
      </c>
      <c r="B238" s="13" t="s">
        <v>782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0</v>
      </c>
      <c r="B239" s="13" t="s">
        <v>38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0</v>
      </c>
      <c r="B240" s="13" t="s">
        <v>1153</v>
      </c>
      <c r="C240" s="13">
        <v>1</v>
      </c>
      <c r="D240" s="13">
        <v>1</v>
      </c>
      <c r="E240" s="13">
        <v>4</v>
      </c>
    </row>
    <row r="241" spans="1:5" x14ac:dyDescent="0.3">
      <c r="A241" s="13" t="s">
        <v>0</v>
      </c>
      <c r="B241" s="13" t="s">
        <v>295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0</v>
      </c>
      <c r="B242" s="13" t="s">
        <v>2831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0</v>
      </c>
      <c r="B243" s="13" t="s">
        <v>191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0</v>
      </c>
      <c r="B244" s="13" t="s">
        <v>67</v>
      </c>
      <c r="C244" s="13">
        <v>2</v>
      </c>
      <c r="D244" s="13">
        <v>1</v>
      </c>
      <c r="E244" s="13">
        <v>2</v>
      </c>
    </row>
    <row r="245" spans="1:5" x14ac:dyDescent="0.3">
      <c r="A245" s="13" t="s">
        <v>0</v>
      </c>
      <c r="B245" s="13" t="s">
        <v>1605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0</v>
      </c>
      <c r="B246" s="13" t="s">
        <v>1278</v>
      </c>
      <c r="C246" s="13">
        <v>1</v>
      </c>
      <c r="D246" s="13">
        <v>1</v>
      </c>
      <c r="E246" s="13">
        <v>2</v>
      </c>
    </row>
    <row r="247" spans="1:5" x14ac:dyDescent="0.3">
      <c r="A247" s="13" t="s">
        <v>0</v>
      </c>
      <c r="B247" s="13" t="s">
        <v>718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0</v>
      </c>
      <c r="B248" s="13" t="s">
        <v>259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0</v>
      </c>
      <c r="B249" s="13" t="s">
        <v>1736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0</v>
      </c>
      <c r="B250" s="13" t="s">
        <v>2363</v>
      </c>
      <c r="C250" s="13">
        <v>1</v>
      </c>
      <c r="D250" s="13">
        <v>3</v>
      </c>
      <c r="E250" s="13"/>
    </row>
    <row r="251" spans="1:5" x14ac:dyDescent="0.3">
      <c r="A251" s="13" t="s">
        <v>0</v>
      </c>
      <c r="B251" s="13" t="s">
        <v>2129</v>
      </c>
      <c r="C251" s="13">
        <v>1</v>
      </c>
      <c r="D251" s="13">
        <v>1</v>
      </c>
      <c r="E251" s="13"/>
    </row>
    <row r="252" spans="1:5" x14ac:dyDescent="0.3">
      <c r="A252" s="13" t="s">
        <v>0</v>
      </c>
      <c r="B252" s="13" t="s">
        <v>1704</v>
      </c>
      <c r="C252" s="13">
        <v>1</v>
      </c>
      <c r="D252" s="13">
        <v>1</v>
      </c>
      <c r="E252" s="13"/>
    </row>
    <row r="253" spans="1:5" x14ac:dyDescent="0.3">
      <c r="A253" s="13" t="s">
        <v>0</v>
      </c>
      <c r="B253" s="13" t="s">
        <v>1435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0</v>
      </c>
      <c r="B254" s="13" t="s">
        <v>2354</v>
      </c>
      <c r="C254" s="13">
        <v>1</v>
      </c>
      <c r="D254" s="13">
        <v>1</v>
      </c>
      <c r="E254" s="13">
        <v>3</v>
      </c>
    </row>
    <row r="255" spans="1:5" x14ac:dyDescent="0.3">
      <c r="A255" s="13" t="s">
        <v>2</v>
      </c>
      <c r="B255" s="13" t="s">
        <v>454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239</v>
      </c>
      <c r="C256" s="13">
        <v>1</v>
      </c>
      <c r="D256" s="13">
        <v>0</v>
      </c>
      <c r="E256" s="13">
        <v>1</v>
      </c>
    </row>
    <row r="257" spans="1:5" x14ac:dyDescent="0.3">
      <c r="A257" s="13" t="s">
        <v>1</v>
      </c>
      <c r="B257" s="13" t="s">
        <v>144</v>
      </c>
      <c r="C257" s="13">
        <v>1</v>
      </c>
      <c r="D257" s="13">
        <v>0</v>
      </c>
      <c r="E257" s="13">
        <v>1</v>
      </c>
    </row>
    <row r="258" spans="1:5" x14ac:dyDescent="0.3">
      <c r="A258" s="13" t="s">
        <v>1</v>
      </c>
      <c r="B258" s="13" t="s">
        <v>2832</v>
      </c>
      <c r="C258" s="13">
        <v>1</v>
      </c>
      <c r="D258" s="13">
        <v>0</v>
      </c>
      <c r="E258" s="13">
        <v>1</v>
      </c>
    </row>
    <row r="259" spans="1:5" x14ac:dyDescent="0.3">
      <c r="A259" s="13" t="s">
        <v>1</v>
      </c>
      <c r="B259" s="13" t="s">
        <v>349</v>
      </c>
      <c r="C259" s="13">
        <v>1</v>
      </c>
      <c r="D259" s="13">
        <v>0</v>
      </c>
      <c r="E259" s="13">
        <v>1</v>
      </c>
    </row>
    <row r="260" spans="1:5" x14ac:dyDescent="0.3">
      <c r="A260" s="13" t="s">
        <v>1</v>
      </c>
      <c r="B260" s="13" t="s">
        <v>604</v>
      </c>
      <c r="C260" s="13">
        <v>1</v>
      </c>
      <c r="D260" s="13">
        <v>0</v>
      </c>
      <c r="E260" s="13">
        <v>1</v>
      </c>
    </row>
    <row r="261" spans="1:5" x14ac:dyDescent="0.3">
      <c r="A261" s="13" t="s">
        <v>1</v>
      </c>
      <c r="B261" s="13" t="s">
        <v>609</v>
      </c>
      <c r="C261" s="13">
        <v>1</v>
      </c>
      <c r="D261" s="13">
        <v>0</v>
      </c>
      <c r="E261" s="13">
        <v>1</v>
      </c>
    </row>
    <row r="262" spans="1:5" x14ac:dyDescent="0.3">
      <c r="A262" s="13" t="s">
        <v>1</v>
      </c>
      <c r="B262" s="13" t="s">
        <v>91</v>
      </c>
      <c r="C262" s="13">
        <v>1</v>
      </c>
      <c r="D262" s="13">
        <v>0</v>
      </c>
      <c r="E262" s="13">
        <v>0</v>
      </c>
    </row>
    <row r="263" spans="1:5" x14ac:dyDescent="0.3">
      <c r="A263" s="13" t="s">
        <v>1</v>
      </c>
      <c r="B263" s="13" t="s">
        <v>93</v>
      </c>
      <c r="C263" s="13">
        <v>1</v>
      </c>
      <c r="D263" s="13">
        <v>0</v>
      </c>
      <c r="E263" s="13">
        <v>1</v>
      </c>
    </row>
    <row r="264" spans="1:5" x14ac:dyDescent="0.3">
      <c r="A264" s="13" t="s">
        <v>1</v>
      </c>
      <c r="B264" s="13" t="s">
        <v>2148</v>
      </c>
      <c r="C264" s="13">
        <v>1</v>
      </c>
      <c r="D264" s="13">
        <v>0</v>
      </c>
      <c r="E264" s="13">
        <v>1</v>
      </c>
    </row>
    <row r="265" spans="1:5" x14ac:dyDescent="0.3">
      <c r="A265" s="13" t="s">
        <v>1</v>
      </c>
      <c r="B265" s="13" t="s">
        <v>2162</v>
      </c>
      <c r="C265" s="13">
        <v>1</v>
      </c>
      <c r="D265" s="13">
        <v>0</v>
      </c>
      <c r="E265" s="13">
        <v>1</v>
      </c>
    </row>
    <row r="266" spans="1:5" x14ac:dyDescent="0.3">
      <c r="A266" s="13" t="s">
        <v>1</v>
      </c>
      <c r="B266" s="13" t="s">
        <v>2339</v>
      </c>
      <c r="C266" s="13">
        <v>1</v>
      </c>
      <c r="D266" s="13">
        <v>0</v>
      </c>
      <c r="E266" s="13">
        <v>2</v>
      </c>
    </row>
    <row r="267" spans="1:5" x14ac:dyDescent="0.3">
      <c r="A267" s="13" t="s">
        <v>1</v>
      </c>
      <c r="B267" s="13" t="s">
        <v>2335</v>
      </c>
      <c r="C267" s="13">
        <v>2</v>
      </c>
      <c r="D267" s="13">
        <v>0</v>
      </c>
      <c r="E267" s="13">
        <v>2</v>
      </c>
    </row>
    <row r="268" spans="1:5" x14ac:dyDescent="0.3">
      <c r="A268" s="13" t="s">
        <v>1</v>
      </c>
      <c r="B268" s="13" t="s">
        <v>2624</v>
      </c>
      <c r="C268" s="13">
        <v>1</v>
      </c>
      <c r="D268" s="13">
        <v>0</v>
      </c>
      <c r="E268" s="13">
        <v>1</v>
      </c>
    </row>
    <row r="269" spans="1:5" x14ac:dyDescent="0.3">
      <c r="A269" s="13" t="s">
        <v>1</v>
      </c>
      <c r="B269" s="13" t="s">
        <v>2735</v>
      </c>
      <c r="C269" s="13">
        <v>1</v>
      </c>
      <c r="D269" s="13">
        <v>0</v>
      </c>
      <c r="E269" s="13">
        <v>1</v>
      </c>
    </row>
    <row r="270" spans="1:5" x14ac:dyDescent="0.3">
      <c r="A270" s="13" t="s">
        <v>1</v>
      </c>
      <c r="B270" s="13" t="s">
        <v>2762</v>
      </c>
      <c r="C270" s="13">
        <v>1</v>
      </c>
      <c r="D270" s="13">
        <v>0</v>
      </c>
      <c r="E270" s="13">
        <v>1</v>
      </c>
    </row>
    <row r="271" spans="1:5" x14ac:dyDescent="0.3">
      <c r="A271" s="13" t="s">
        <v>1</v>
      </c>
      <c r="B271" s="13" t="s">
        <v>935</v>
      </c>
      <c r="C271" s="13">
        <v>2</v>
      </c>
      <c r="D271" s="13">
        <v>0</v>
      </c>
      <c r="E271" s="13">
        <v>2</v>
      </c>
    </row>
    <row r="272" spans="1:5" x14ac:dyDescent="0.3">
      <c r="A272" s="13" t="s">
        <v>1</v>
      </c>
      <c r="B272" s="13" t="s">
        <v>937</v>
      </c>
      <c r="C272" s="13">
        <v>1</v>
      </c>
      <c r="D272" s="13">
        <v>0</v>
      </c>
      <c r="E272" s="13">
        <v>0</v>
      </c>
    </row>
    <row r="273" spans="1:5" x14ac:dyDescent="0.3">
      <c r="A273" s="13" t="s">
        <v>1</v>
      </c>
      <c r="B273" s="13" t="s">
        <v>2471</v>
      </c>
      <c r="C273" s="13">
        <v>1</v>
      </c>
      <c r="D273" s="13">
        <v>0</v>
      </c>
      <c r="E273" s="13">
        <v>1</v>
      </c>
    </row>
    <row r="274" spans="1:5" x14ac:dyDescent="0.3">
      <c r="A274" s="13" t="s">
        <v>1</v>
      </c>
      <c r="B274" s="13" t="s">
        <v>109</v>
      </c>
      <c r="C274" s="13">
        <v>1</v>
      </c>
      <c r="D274" s="13">
        <v>0</v>
      </c>
      <c r="E274" s="13">
        <v>1</v>
      </c>
    </row>
    <row r="275" spans="1:5" x14ac:dyDescent="0.3">
      <c r="A275" s="13" t="s">
        <v>1</v>
      </c>
      <c r="B275" s="13" t="s">
        <v>111</v>
      </c>
      <c r="C275" s="13">
        <v>1</v>
      </c>
      <c r="D275" s="13">
        <v>0</v>
      </c>
      <c r="E275" s="13">
        <v>1</v>
      </c>
    </row>
    <row r="276" spans="1:5" x14ac:dyDescent="0.3">
      <c r="A276" s="13" t="s">
        <v>1</v>
      </c>
      <c r="B276" s="13" t="s">
        <v>2049</v>
      </c>
      <c r="C276" s="13">
        <v>1</v>
      </c>
      <c r="D276" s="13">
        <v>0</v>
      </c>
      <c r="E276" s="13">
        <v>1</v>
      </c>
    </row>
    <row r="277" spans="1:5" x14ac:dyDescent="0.3">
      <c r="A277" s="13" t="s">
        <v>1</v>
      </c>
      <c r="B277" s="13" t="s">
        <v>175</v>
      </c>
      <c r="C277" s="13">
        <v>1</v>
      </c>
      <c r="D277" s="13">
        <v>0</v>
      </c>
      <c r="E277" s="13">
        <v>0</v>
      </c>
    </row>
    <row r="278" spans="1:5" x14ac:dyDescent="0.3">
      <c r="A278" s="13" t="s">
        <v>1</v>
      </c>
      <c r="B278" s="13" t="s">
        <v>124</v>
      </c>
      <c r="C278" s="13">
        <v>1</v>
      </c>
      <c r="D278" s="13">
        <v>0</v>
      </c>
      <c r="E278" s="13">
        <v>1</v>
      </c>
    </row>
    <row r="279" spans="1:5" x14ac:dyDescent="0.3">
      <c r="A279" s="13" t="s">
        <v>1</v>
      </c>
      <c r="B279" s="13" t="s">
        <v>253</v>
      </c>
      <c r="C279" s="13">
        <v>1</v>
      </c>
      <c r="D279" s="13">
        <v>0</v>
      </c>
      <c r="E279" s="13">
        <v>1</v>
      </c>
    </row>
    <row r="280" spans="1:5" x14ac:dyDescent="0.3">
      <c r="A280" s="13" t="s">
        <v>1</v>
      </c>
      <c r="B280" s="13" t="s">
        <v>441</v>
      </c>
      <c r="C280" s="13">
        <v>1</v>
      </c>
      <c r="D280" s="13">
        <v>0</v>
      </c>
      <c r="E280" s="13">
        <v>1</v>
      </c>
    </row>
    <row r="281" spans="1:5" x14ac:dyDescent="0.3">
      <c r="A281" s="13" t="s">
        <v>1</v>
      </c>
      <c r="B281" s="13" t="s">
        <v>803</v>
      </c>
      <c r="C281" s="13">
        <v>1</v>
      </c>
      <c r="D281" s="13">
        <v>0</v>
      </c>
      <c r="E281" s="13">
        <v>0</v>
      </c>
    </row>
    <row r="282" spans="1:5" x14ac:dyDescent="0.3">
      <c r="A282" s="13" t="s">
        <v>1</v>
      </c>
      <c r="B282" s="13" t="s">
        <v>1349</v>
      </c>
      <c r="C282" s="13">
        <v>1</v>
      </c>
      <c r="D282" s="13">
        <v>0</v>
      </c>
      <c r="E282" s="13">
        <v>1</v>
      </c>
    </row>
    <row r="283" spans="1:5" x14ac:dyDescent="0.3">
      <c r="A283" s="13" t="s">
        <v>1</v>
      </c>
      <c r="B283" s="13" t="s">
        <v>1206</v>
      </c>
      <c r="C283" s="13">
        <v>1</v>
      </c>
      <c r="D283" s="13">
        <v>0</v>
      </c>
      <c r="E283" s="13">
        <v>1</v>
      </c>
    </row>
    <row r="284" spans="1:5" x14ac:dyDescent="0.3">
      <c r="A284" s="13" t="s">
        <v>1</v>
      </c>
      <c r="B284" s="13" t="s">
        <v>192</v>
      </c>
      <c r="C284" s="13">
        <v>3</v>
      </c>
      <c r="D284" s="13">
        <v>0</v>
      </c>
      <c r="E284" s="13">
        <v>6</v>
      </c>
    </row>
    <row r="285" spans="1:5" x14ac:dyDescent="0.3">
      <c r="A285" s="13" t="s">
        <v>1</v>
      </c>
      <c r="B285" s="13" t="s">
        <v>39</v>
      </c>
      <c r="C285" s="13">
        <v>3</v>
      </c>
      <c r="D285" s="13">
        <v>0</v>
      </c>
      <c r="E285" s="13">
        <v>3</v>
      </c>
    </row>
    <row r="286" spans="1:5" x14ac:dyDescent="0.3">
      <c r="A286" s="13" t="s">
        <v>1</v>
      </c>
      <c r="B286" s="13" t="s">
        <v>234</v>
      </c>
      <c r="C286" s="13">
        <v>1</v>
      </c>
      <c r="D286" s="13">
        <v>0</v>
      </c>
      <c r="E286" s="13">
        <v>1</v>
      </c>
    </row>
    <row r="287" spans="1:5" x14ac:dyDescent="0.3">
      <c r="A287" s="13" t="s">
        <v>1</v>
      </c>
      <c r="B287" s="13" t="s">
        <v>235</v>
      </c>
      <c r="C287" s="13">
        <v>3</v>
      </c>
      <c r="D287" s="13">
        <v>0</v>
      </c>
      <c r="E287" s="13">
        <v>3</v>
      </c>
    </row>
    <row r="288" spans="1:5" x14ac:dyDescent="0.3">
      <c r="A288" s="13" t="s">
        <v>1</v>
      </c>
      <c r="B288" s="13" t="s">
        <v>236</v>
      </c>
      <c r="C288" s="13">
        <v>1</v>
      </c>
      <c r="D288" s="13">
        <v>0</v>
      </c>
      <c r="E288" s="13">
        <v>1</v>
      </c>
    </row>
    <row r="289" spans="1:5" x14ac:dyDescent="0.3">
      <c r="A289" s="13" t="s">
        <v>1</v>
      </c>
      <c r="B289" s="13" t="s">
        <v>640</v>
      </c>
      <c r="C289" s="13">
        <v>1</v>
      </c>
      <c r="D289" s="13">
        <v>0</v>
      </c>
      <c r="E289" s="13">
        <v>1</v>
      </c>
    </row>
    <row r="290" spans="1:5" x14ac:dyDescent="0.3">
      <c r="A290" s="13" t="s">
        <v>1</v>
      </c>
      <c r="B290" s="13" t="s">
        <v>366</v>
      </c>
      <c r="C290" s="13">
        <v>1</v>
      </c>
      <c r="D290" s="13">
        <v>0</v>
      </c>
      <c r="E290" s="13">
        <v>1</v>
      </c>
    </row>
    <row r="291" spans="1:5" x14ac:dyDescent="0.3">
      <c r="A291" s="13" t="s">
        <v>1</v>
      </c>
      <c r="B291" s="13" t="s">
        <v>461</v>
      </c>
      <c r="C291" s="13">
        <v>1</v>
      </c>
      <c r="D291" s="13">
        <v>0</v>
      </c>
      <c r="E291" s="13">
        <v>1</v>
      </c>
    </row>
    <row r="292" spans="1:5" x14ac:dyDescent="0.3">
      <c r="A292" s="13" t="s">
        <v>1</v>
      </c>
      <c r="B292" s="13" t="s">
        <v>2833</v>
      </c>
      <c r="C292" s="13">
        <v>1</v>
      </c>
      <c r="D292" s="13">
        <v>0</v>
      </c>
      <c r="E292" s="13">
        <v>1</v>
      </c>
    </row>
    <row r="293" spans="1:5" x14ac:dyDescent="0.3">
      <c r="A293" s="13" t="s">
        <v>1</v>
      </c>
      <c r="B293" s="13" t="s">
        <v>2834</v>
      </c>
      <c r="C293" s="13">
        <v>1</v>
      </c>
      <c r="D293" s="13">
        <v>0</v>
      </c>
      <c r="E293" s="13">
        <v>1</v>
      </c>
    </row>
    <row r="294" spans="1:5" x14ac:dyDescent="0.3">
      <c r="A294" s="13" t="s">
        <v>1</v>
      </c>
      <c r="B294" s="13" t="s">
        <v>2835</v>
      </c>
      <c r="C294" s="13">
        <v>0</v>
      </c>
      <c r="D294" s="13">
        <v>1</v>
      </c>
      <c r="E294" s="13"/>
    </row>
    <row r="295" spans="1:5" x14ac:dyDescent="0.3">
      <c r="A295" s="13" t="s">
        <v>1</v>
      </c>
      <c r="B295" s="13" t="s">
        <v>2836</v>
      </c>
      <c r="C295" s="13">
        <v>1</v>
      </c>
      <c r="D295" s="13">
        <v>0</v>
      </c>
      <c r="E295" s="13">
        <v>1</v>
      </c>
    </row>
    <row r="296" spans="1:5" x14ac:dyDescent="0.3">
      <c r="A296" s="13" t="s">
        <v>1</v>
      </c>
      <c r="B296" s="13" t="s">
        <v>2837</v>
      </c>
      <c r="C296" s="13">
        <v>0</v>
      </c>
      <c r="D296" s="13">
        <v>1</v>
      </c>
      <c r="E296" s="13"/>
    </row>
    <row r="297" spans="1:5" x14ac:dyDescent="0.3">
      <c r="A297" s="13" t="s">
        <v>1</v>
      </c>
      <c r="B297" s="13" t="s">
        <v>2838</v>
      </c>
      <c r="C297" s="13">
        <v>0</v>
      </c>
      <c r="D297" s="13">
        <v>1</v>
      </c>
      <c r="E297" s="13"/>
    </row>
    <row r="298" spans="1:5" x14ac:dyDescent="0.3">
      <c r="A298" s="13" t="s">
        <v>1</v>
      </c>
      <c r="B298" s="13" t="s">
        <v>2348</v>
      </c>
      <c r="C298" s="13">
        <v>1</v>
      </c>
      <c r="D298" s="13">
        <v>0</v>
      </c>
      <c r="E298" s="13">
        <v>1</v>
      </c>
    </row>
    <row r="299" spans="1:5" x14ac:dyDescent="0.3">
      <c r="A299" s="13" t="s">
        <v>1</v>
      </c>
      <c r="B299" s="13" t="s">
        <v>2349</v>
      </c>
      <c r="C299" s="13">
        <v>2</v>
      </c>
      <c r="D299" s="13">
        <v>0</v>
      </c>
      <c r="E299" s="13">
        <v>2</v>
      </c>
    </row>
    <row r="300" spans="1:5" x14ac:dyDescent="0.3">
      <c r="A300" s="13" t="s">
        <v>1</v>
      </c>
      <c r="B300" s="13" t="s">
        <v>2350</v>
      </c>
      <c r="C300" s="13">
        <v>2</v>
      </c>
      <c r="D300" s="13">
        <v>0</v>
      </c>
      <c r="E300" s="13">
        <v>2</v>
      </c>
    </row>
    <row r="301" spans="1:5" x14ac:dyDescent="0.3">
      <c r="A301" s="13" t="s">
        <v>1</v>
      </c>
      <c r="B301" s="13" t="s">
        <v>2351</v>
      </c>
      <c r="C301" s="13">
        <v>1</v>
      </c>
      <c r="D301" s="13">
        <v>0</v>
      </c>
      <c r="E301" s="13">
        <v>1</v>
      </c>
    </row>
    <row r="302" spans="1:5" x14ac:dyDescent="0.3">
      <c r="A302" s="13" t="s">
        <v>1</v>
      </c>
      <c r="B302" s="13" t="s">
        <v>2352</v>
      </c>
      <c r="C302" s="13">
        <v>1</v>
      </c>
      <c r="D302" s="13">
        <v>0</v>
      </c>
      <c r="E302" s="13">
        <v>1</v>
      </c>
    </row>
    <row r="303" spans="1:5" x14ac:dyDescent="0.3">
      <c r="A303" s="13" t="s">
        <v>1</v>
      </c>
      <c r="B303" s="13" t="s">
        <v>2354</v>
      </c>
      <c r="C303" s="13">
        <v>1</v>
      </c>
      <c r="D303" s="13">
        <v>0</v>
      </c>
      <c r="E303" s="13">
        <v>1</v>
      </c>
    </row>
    <row r="304" spans="1:5" x14ac:dyDescent="0.3">
      <c r="A304" s="13" t="s">
        <v>1</v>
      </c>
      <c r="B304" s="13" t="s">
        <v>644</v>
      </c>
      <c r="C304" s="13">
        <v>1</v>
      </c>
      <c r="D304" s="13">
        <v>0</v>
      </c>
      <c r="E304" s="13">
        <v>1</v>
      </c>
    </row>
    <row r="305" spans="1:5" x14ac:dyDescent="0.3">
      <c r="A305" s="13" t="s">
        <v>1</v>
      </c>
      <c r="B305" s="13" t="s">
        <v>964</v>
      </c>
      <c r="C305" s="13">
        <v>1</v>
      </c>
      <c r="D305" s="13">
        <v>0</v>
      </c>
      <c r="E305" s="13">
        <v>1</v>
      </c>
    </row>
    <row r="306" spans="1:5" x14ac:dyDescent="0.3">
      <c r="A306" s="13" t="s">
        <v>0</v>
      </c>
      <c r="B306" s="13" t="s">
        <v>755</v>
      </c>
      <c r="C306" s="13">
        <v>1</v>
      </c>
      <c r="D306" s="13">
        <v>0</v>
      </c>
      <c r="E306" s="13">
        <v>1</v>
      </c>
    </row>
    <row r="307" spans="1:5" x14ac:dyDescent="0.3">
      <c r="A307" s="13" t="s">
        <v>0</v>
      </c>
      <c r="B307" s="13" t="s">
        <v>80</v>
      </c>
      <c r="C307" s="13">
        <v>1</v>
      </c>
      <c r="D307" s="13">
        <v>0</v>
      </c>
      <c r="E307" s="13">
        <v>1</v>
      </c>
    </row>
    <row r="308" spans="1:5" x14ac:dyDescent="0.3">
      <c r="A308" s="13" t="s">
        <v>0</v>
      </c>
      <c r="B308" s="13" t="s">
        <v>211</v>
      </c>
      <c r="C308" s="13">
        <v>1</v>
      </c>
      <c r="D308" s="13">
        <v>0</v>
      </c>
      <c r="E308" s="13">
        <v>1</v>
      </c>
    </row>
    <row r="309" spans="1:5" x14ac:dyDescent="0.3">
      <c r="A309" s="13" t="s">
        <v>0</v>
      </c>
      <c r="B309" s="13" t="s">
        <v>2335</v>
      </c>
      <c r="C309" s="13">
        <v>2</v>
      </c>
      <c r="D309" s="13">
        <v>0</v>
      </c>
      <c r="E309" s="13">
        <v>2</v>
      </c>
    </row>
    <row r="310" spans="1:5" x14ac:dyDescent="0.3">
      <c r="A310" s="13" t="s">
        <v>0</v>
      </c>
      <c r="B310" s="13" t="s">
        <v>2408</v>
      </c>
      <c r="C310" s="13">
        <v>1</v>
      </c>
      <c r="D310" s="13">
        <v>0</v>
      </c>
      <c r="E310" s="13">
        <v>1</v>
      </c>
    </row>
    <row r="311" spans="1:5" x14ac:dyDescent="0.3">
      <c r="A311" s="13" t="s">
        <v>0</v>
      </c>
      <c r="B311" s="13" t="s">
        <v>1457</v>
      </c>
      <c r="C311" s="13">
        <v>1</v>
      </c>
      <c r="D311" s="13">
        <v>0</v>
      </c>
      <c r="E311" s="13">
        <v>1</v>
      </c>
    </row>
    <row r="312" spans="1:5" x14ac:dyDescent="0.3">
      <c r="A312" s="13" t="s">
        <v>0</v>
      </c>
      <c r="B312" s="13" t="s">
        <v>1408</v>
      </c>
      <c r="C312" s="13">
        <v>1</v>
      </c>
      <c r="D312" s="13">
        <v>0</v>
      </c>
      <c r="E312" s="13">
        <v>1</v>
      </c>
    </row>
    <row r="313" spans="1:5" x14ac:dyDescent="0.3">
      <c r="A313" s="13" t="s">
        <v>0</v>
      </c>
      <c r="B313" s="13" t="s">
        <v>2839</v>
      </c>
      <c r="C313" s="13">
        <v>1</v>
      </c>
      <c r="D313" s="13">
        <v>0</v>
      </c>
      <c r="E313" s="13">
        <v>1</v>
      </c>
    </row>
    <row r="314" spans="1:5" x14ac:dyDescent="0.3">
      <c r="A314" s="13" t="s">
        <v>0</v>
      </c>
      <c r="B314" s="13" t="s">
        <v>1480</v>
      </c>
      <c r="C314" s="13">
        <v>1</v>
      </c>
      <c r="D314" s="13">
        <v>0</v>
      </c>
      <c r="E314" s="13">
        <v>1</v>
      </c>
    </row>
    <row r="315" spans="1:5" x14ac:dyDescent="0.3">
      <c r="A315" s="13" t="s">
        <v>0</v>
      </c>
      <c r="B315" s="13" t="s">
        <v>285</v>
      </c>
      <c r="C315" s="13">
        <v>1</v>
      </c>
      <c r="D315" s="13">
        <v>0</v>
      </c>
      <c r="E315" s="13">
        <v>1</v>
      </c>
    </row>
    <row r="316" spans="1:5" x14ac:dyDescent="0.3">
      <c r="A316" s="13" t="s">
        <v>0</v>
      </c>
      <c r="B316" s="13" t="s">
        <v>1246</v>
      </c>
      <c r="C316" s="13">
        <v>1</v>
      </c>
      <c r="D316" s="13">
        <v>0</v>
      </c>
      <c r="E316" s="13">
        <v>1</v>
      </c>
    </row>
    <row r="317" spans="1:5" x14ac:dyDescent="0.3">
      <c r="A317" s="13" t="s">
        <v>0</v>
      </c>
      <c r="B317" s="13" t="s">
        <v>184</v>
      </c>
      <c r="C317" s="13">
        <v>1</v>
      </c>
      <c r="D317" s="13">
        <v>0</v>
      </c>
      <c r="E317" s="13">
        <v>1</v>
      </c>
    </row>
    <row r="318" spans="1:5" x14ac:dyDescent="0.3">
      <c r="A318" s="13" t="s">
        <v>0</v>
      </c>
      <c r="B318" s="13" t="s">
        <v>747</v>
      </c>
      <c r="C318" s="13">
        <v>1</v>
      </c>
      <c r="D318" s="13">
        <v>0</v>
      </c>
      <c r="E318" s="13">
        <v>2</v>
      </c>
    </row>
    <row r="319" spans="1:5" x14ac:dyDescent="0.3">
      <c r="A319" s="13" t="s">
        <v>0</v>
      </c>
      <c r="B319" s="13" t="s">
        <v>53</v>
      </c>
      <c r="C319" s="13">
        <v>1</v>
      </c>
      <c r="D319" s="13">
        <v>0</v>
      </c>
      <c r="E319" s="13">
        <v>2</v>
      </c>
    </row>
    <row r="320" spans="1:5" x14ac:dyDescent="0.3">
      <c r="A320" s="13" t="s">
        <v>0</v>
      </c>
      <c r="B320" s="13" t="s">
        <v>54</v>
      </c>
      <c r="C320" s="13">
        <v>1</v>
      </c>
      <c r="D320" s="13">
        <v>0</v>
      </c>
      <c r="E320" s="13">
        <v>2</v>
      </c>
    </row>
    <row r="321" spans="1:5" x14ac:dyDescent="0.3">
      <c r="A321" s="13" t="s">
        <v>0</v>
      </c>
      <c r="B321" s="13" t="s">
        <v>235</v>
      </c>
      <c r="C321" s="13">
        <v>1</v>
      </c>
      <c r="D321" s="13">
        <v>0</v>
      </c>
      <c r="E321" s="13">
        <v>2</v>
      </c>
    </row>
    <row r="322" spans="1:5" x14ac:dyDescent="0.3">
      <c r="A322" s="13" t="s">
        <v>0</v>
      </c>
      <c r="B322" s="13" t="s">
        <v>2715</v>
      </c>
      <c r="C322" s="13">
        <v>0</v>
      </c>
      <c r="D322" s="13">
        <v>1</v>
      </c>
      <c r="E322" s="13"/>
    </row>
    <row r="323" spans="1:5" x14ac:dyDescent="0.3">
      <c r="A323" s="13" t="s">
        <v>0</v>
      </c>
      <c r="B323" s="13" t="s">
        <v>1944</v>
      </c>
      <c r="C323" s="13">
        <v>0</v>
      </c>
      <c r="D323" s="13">
        <v>1</v>
      </c>
      <c r="E323" s="13"/>
    </row>
    <row r="324" spans="1:5" x14ac:dyDescent="0.3">
      <c r="A324" s="13" t="s">
        <v>0</v>
      </c>
      <c r="B324" s="13" t="s">
        <v>2840</v>
      </c>
      <c r="C324" s="13">
        <v>0</v>
      </c>
      <c r="D324" s="13">
        <v>1</v>
      </c>
      <c r="E324" s="13"/>
    </row>
    <row r="325" spans="1:5" x14ac:dyDescent="0.3">
      <c r="A325" s="13" t="s">
        <v>0</v>
      </c>
      <c r="B325" s="13" t="s">
        <v>2348</v>
      </c>
      <c r="C325" s="13">
        <v>1</v>
      </c>
      <c r="D325" s="13">
        <v>0</v>
      </c>
      <c r="E325" s="13">
        <v>1</v>
      </c>
    </row>
    <row r="326" spans="1:5" x14ac:dyDescent="0.3">
      <c r="A326" s="13" t="s">
        <v>0</v>
      </c>
      <c r="B326" s="13" t="s">
        <v>2351</v>
      </c>
      <c r="C326" s="13">
        <v>1</v>
      </c>
      <c r="D326" s="13">
        <v>0</v>
      </c>
      <c r="E326" s="13">
        <v>1</v>
      </c>
    </row>
    <row r="327" spans="1:5" x14ac:dyDescent="0.3">
      <c r="A327" s="13" t="s">
        <v>0</v>
      </c>
      <c r="B327" s="13" t="s">
        <v>2352</v>
      </c>
      <c r="C327" s="13">
        <v>2</v>
      </c>
      <c r="D327" s="13">
        <v>0</v>
      </c>
      <c r="E327" s="13">
        <v>3</v>
      </c>
    </row>
    <row r="328" spans="1:5" x14ac:dyDescent="0.3">
      <c r="A328" s="13" t="s">
        <v>0</v>
      </c>
      <c r="B328" s="13" t="s">
        <v>2353</v>
      </c>
      <c r="C328" s="13">
        <v>1</v>
      </c>
      <c r="D328" s="13">
        <v>0</v>
      </c>
      <c r="E328" s="13">
        <v>1</v>
      </c>
    </row>
    <row r="329" spans="1:5" x14ac:dyDescent="0.3">
      <c r="A329" s="13" t="s">
        <v>0</v>
      </c>
      <c r="B329" s="13" t="s">
        <v>2355</v>
      </c>
      <c r="C329" s="13">
        <v>1</v>
      </c>
      <c r="D329" s="13">
        <v>0</v>
      </c>
      <c r="E329" s="13">
        <v>1</v>
      </c>
    </row>
    <row r="330" spans="1:5" x14ac:dyDescent="0.3">
      <c r="A330" s="13" t="s">
        <v>0</v>
      </c>
      <c r="B330" s="13" t="s">
        <v>68</v>
      </c>
      <c r="C330" s="13">
        <v>1</v>
      </c>
      <c r="D330" s="13">
        <v>0</v>
      </c>
      <c r="E330" s="13">
        <v>1</v>
      </c>
    </row>
    <row r="331" spans="1:5" x14ac:dyDescent="0.3">
      <c r="A331" s="13" t="s">
        <v>0</v>
      </c>
      <c r="B331" s="13" t="s">
        <v>32</v>
      </c>
      <c r="C331" s="13">
        <v>1</v>
      </c>
      <c r="D331" s="13">
        <v>0</v>
      </c>
      <c r="E331" s="13">
        <v>1</v>
      </c>
    </row>
    <row r="332" spans="1:5" x14ac:dyDescent="0.3">
      <c r="A332" s="13" t="s">
        <v>2</v>
      </c>
      <c r="B332" s="13" t="s">
        <v>2701</v>
      </c>
      <c r="C332" s="13">
        <v>1</v>
      </c>
      <c r="D332" s="13">
        <v>0</v>
      </c>
      <c r="E332" s="13">
        <v>1</v>
      </c>
    </row>
    <row r="333" spans="1:5" x14ac:dyDescent="0.3">
      <c r="A333" s="13"/>
      <c r="B333" s="13"/>
      <c r="C333" s="13"/>
      <c r="D333" s="13"/>
      <c r="E333" s="13"/>
    </row>
    <row r="334" spans="1:5" x14ac:dyDescent="0.3">
      <c r="A334" s="13"/>
      <c r="B334" s="13"/>
      <c r="C334" s="13"/>
      <c r="D334" s="13"/>
      <c r="E334" s="13"/>
    </row>
    <row r="335" spans="1:5" x14ac:dyDescent="0.3">
      <c r="A335" s="13"/>
      <c r="B335" s="13"/>
      <c r="C335" s="13"/>
      <c r="D335" s="13"/>
      <c r="E335" s="13"/>
    </row>
    <row r="336" spans="1:5" x14ac:dyDescent="0.3">
      <c r="A336" s="13"/>
      <c r="B336" s="13"/>
      <c r="C336" s="13"/>
      <c r="D336" s="13"/>
      <c r="E336" s="13"/>
    </row>
    <row r="337" spans="1:5" x14ac:dyDescent="0.3">
      <c r="A337" s="13"/>
      <c r="B337" s="13"/>
      <c r="C337" s="13"/>
      <c r="D337" s="13"/>
      <c r="E337" s="13"/>
    </row>
    <row r="338" spans="1:5" x14ac:dyDescent="0.3">
      <c r="A338" s="13"/>
      <c r="B338" s="13"/>
      <c r="C338" s="13"/>
      <c r="D338" s="13"/>
      <c r="E338" s="13"/>
    </row>
    <row r="339" spans="1:5" x14ac:dyDescent="0.3">
      <c r="A339" s="13"/>
      <c r="B339" s="13"/>
      <c r="C339" s="13"/>
      <c r="D339" s="13"/>
      <c r="E339" s="13"/>
    </row>
    <row r="340" spans="1:5" x14ac:dyDescent="0.3">
      <c r="A340" s="13"/>
      <c r="B340" s="13"/>
      <c r="C340" s="13"/>
      <c r="D340" s="13"/>
      <c r="E340" s="13"/>
    </row>
    <row r="341" spans="1:5" x14ac:dyDescent="0.3">
      <c r="A341" s="13"/>
      <c r="B341" s="13"/>
      <c r="C341" s="13"/>
      <c r="D341" s="13"/>
      <c r="E341" s="13"/>
    </row>
    <row r="342" spans="1:5" x14ac:dyDescent="0.3">
      <c r="A342" s="13"/>
      <c r="B342" s="13"/>
      <c r="C342" s="13"/>
      <c r="D342" s="13"/>
      <c r="E342" s="13"/>
    </row>
    <row r="343" spans="1:5" x14ac:dyDescent="0.3">
      <c r="A343" s="13"/>
      <c r="B343" s="13"/>
      <c r="C343" s="13"/>
      <c r="D343" s="13"/>
      <c r="E343" s="13"/>
    </row>
    <row r="344" spans="1:5" x14ac:dyDescent="0.3">
      <c r="A344" s="13"/>
      <c r="B344" s="13"/>
      <c r="C344" s="13"/>
      <c r="D344" s="13"/>
      <c r="E344" s="13"/>
    </row>
    <row r="345" spans="1:5" x14ac:dyDescent="0.3">
      <c r="A345" s="13"/>
      <c r="B345" s="13"/>
      <c r="C345" s="13"/>
      <c r="D345" s="13"/>
      <c r="E345" s="13"/>
    </row>
    <row r="346" spans="1:5" x14ac:dyDescent="0.3">
      <c r="A346" s="13"/>
      <c r="B346" s="13"/>
      <c r="C346" s="13"/>
      <c r="D346" s="13"/>
      <c r="E346" s="13"/>
    </row>
    <row r="347" spans="1:5" x14ac:dyDescent="0.3">
      <c r="A347" s="13"/>
      <c r="B347" s="13"/>
      <c r="C347" s="13"/>
      <c r="D347" s="13"/>
      <c r="E347" s="13"/>
    </row>
    <row r="348" spans="1:5" x14ac:dyDescent="0.3">
      <c r="A348" s="13"/>
      <c r="B348" s="13"/>
      <c r="C348" s="13"/>
      <c r="D348" s="13"/>
      <c r="E348" s="13"/>
    </row>
    <row r="349" spans="1:5" x14ac:dyDescent="0.3">
      <c r="A349" s="13"/>
      <c r="B349" s="13"/>
      <c r="C349" s="13"/>
      <c r="D349" s="13"/>
      <c r="E349" s="13"/>
    </row>
    <row r="350" spans="1:5" x14ac:dyDescent="0.3">
      <c r="A350" s="13"/>
      <c r="B350" s="13"/>
      <c r="C350" s="13"/>
      <c r="D350" s="13"/>
      <c r="E350" s="13"/>
    </row>
    <row r="351" spans="1:5" x14ac:dyDescent="0.3">
      <c r="A351" s="13"/>
      <c r="B351" s="13"/>
      <c r="C351" s="13"/>
      <c r="D351" s="13"/>
      <c r="E351" s="13"/>
    </row>
    <row r="352" spans="1:5" x14ac:dyDescent="0.3">
      <c r="A352" s="13"/>
      <c r="B352" s="13"/>
      <c r="C352" s="13"/>
      <c r="D352" s="13"/>
      <c r="E352" s="13"/>
    </row>
    <row r="353" spans="1:5" x14ac:dyDescent="0.3">
      <c r="A353" s="13"/>
      <c r="B353" s="13"/>
      <c r="C353" s="13"/>
      <c r="D353" s="13"/>
      <c r="E353" s="13"/>
    </row>
    <row r="354" spans="1:5" x14ac:dyDescent="0.3">
      <c r="A354" s="13"/>
      <c r="B354" s="13"/>
      <c r="C354" s="13"/>
      <c r="D354" s="13"/>
      <c r="E354" s="13"/>
    </row>
    <row r="355" spans="1:5" x14ac:dyDescent="0.3">
      <c r="A355" s="13"/>
      <c r="B355" s="13"/>
      <c r="C355" s="13"/>
      <c r="D355" s="13"/>
      <c r="E355" s="13"/>
    </row>
    <row r="356" spans="1:5" x14ac:dyDescent="0.3">
      <c r="A356" s="13"/>
      <c r="B356" s="13"/>
      <c r="C356" s="13"/>
      <c r="D356" s="13"/>
      <c r="E356" s="13"/>
    </row>
    <row r="357" spans="1:5" x14ac:dyDescent="0.3">
      <c r="A357" s="13"/>
      <c r="B357" s="13"/>
      <c r="C357" s="13"/>
      <c r="D357" s="13"/>
      <c r="E357" s="13"/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5D56D-6DBA-4D33-9F69-38506616077B}">
  <sheetPr codeName="Sheet56"/>
  <dimension ref="A1:M620"/>
  <sheetViews>
    <sheetView workbookViewId="0">
      <selection activeCell="A2" sqref="A2:E342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52</v>
      </c>
      <c r="D2" s="13">
        <v>48</v>
      </c>
      <c r="E2" s="13">
        <v>52</v>
      </c>
    </row>
    <row r="3" spans="1:13" customFormat="1" x14ac:dyDescent="0.3">
      <c r="A3" s="13" t="s">
        <v>0</v>
      </c>
      <c r="B3" s="13" t="s">
        <v>2701</v>
      </c>
      <c r="C3" s="13">
        <v>59</v>
      </c>
      <c r="D3" s="13">
        <v>43</v>
      </c>
      <c r="E3" s="13">
        <v>62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43</v>
      </c>
      <c r="D4" s="13">
        <v>29</v>
      </c>
      <c r="E4" s="13">
        <v>60</v>
      </c>
      <c r="G4" s="19" t="s">
        <v>8</v>
      </c>
      <c r="H4" s="15">
        <f>H13+H14</f>
        <v>407</v>
      </c>
      <c r="I4" s="16">
        <f>H4/H$6</f>
        <v>0.57648725212464591</v>
      </c>
      <c r="J4" s="15">
        <f>I13+I14</f>
        <v>284</v>
      </c>
      <c r="K4" s="16">
        <f>J4/J$6</f>
        <v>0.52690166975881259</v>
      </c>
      <c r="L4" s="15">
        <f>J13+J14</f>
        <v>465</v>
      </c>
      <c r="M4" s="25">
        <f>L4/L$6</f>
        <v>0.58935361216730042</v>
      </c>
    </row>
    <row r="5" spans="1:13" customFormat="1" x14ac:dyDescent="0.3">
      <c r="A5" s="13" t="s">
        <v>0</v>
      </c>
      <c r="B5" s="13" t="s">
        <v>29</v>
      </c>
      <c r="C5" s="13">
        <v>28</v>
      </c>
      <c r="D5" s="13">
        <v>27</v>
      </c>
      <c r="E5" s="13">
        <v>34</v>
      </c>
      <c r="G5" s="19" t="s">
        <v>10</v>
      </c>
      <c r="H5" s="15">
        <f>H15+H16</f>
        <v>299</v>
      </c>
      <c r="I5" s="16">
        <f>H5/H$6</f>
        <v>0.42351274787535409</v>
      </c>
      <c r="J5" s="15">
        <f>I15+I16</f>
        <v>255</v>
      </c>
      <c r="K5" s="16">
        <f>J5/J$6</f>
        <v>0.47309833024118736</v>
      </c>
      <c r="L5" s="15">
        <f>J15+J16</f>
        <v>324</v>
      </c>
      <c r="M5" s="25">
        <f>L5/L$6</f>
        <v>0.41064638783269963</v>
      </c>
    </row>
    <row r="6" spans="1:13" customFormat="1" ht="17.25" thickBot="1" x14ac:dyDescent="0.35">
      <c r="A6" s="13" t="s">
        <v>0</v>
      </c>
      <c r="B6" s="13" t="s">
        <v>31</v>
      </c>
      <c r="C6" s="13">
        <v>15</v>
      </c>
      <c r="D6" s="13">
        <v>14</v>
      </c>
      <c r="E6" s="13">
        <v>16</v>
      </c>
      <c r="G6" s="22"/>
      <c r="H6" s="26">
        <f>SUM(H4:H5)</f>
        <v>706</v>
      </c>
      <c r="I6" s="27">
        <f>I4+I5</f>
        <v>1</v>
      </c>
      <c r="J6" s="26">
        <f>SUM(J4:J5)</f>
        <v>539</v>
      </c>
      <c r="K6" s="27">
        <f>K4+K5</f>
        <v>1</v>
      </c>
      <c r="L6" s="26">
        <f>SUM(L4:L5)</f>
        <v>789</v>
      </c>
      <c r="M6" s="28">
        <f>M4+M5</f>
        <v>1</v>
      </c>
    </row>
    <row r="7" spans="1:13" customFormat="1" x14ac:dyDescent="0.3">
      <c r="A7" s="13" t="s">
        <v>0</v>
      </c>
      <c r="B7" s="13" t="s">
        <v>120</v>
      </c>
      <c r="C7" s="13">
        <v>7</v>
      </c>
      <c r="D7" s="13">
        <v>7</v>
      </c>
      <c r="E7" s="13">
        <v>7</v>
      </c>
    </row>
    <row r="8" spans="1:13" customFormat="1" x14ac:dyDescent="0.3">
      <c r="A8" s="13" t="s">
        <v>1</v>
      </c>
      <c r="B8" s="13" t="s">
        <v>354</v>
      </c>
      <c r="C8" s="13">
        <v>6</v>
      </c>
      <c r="D8" s="13">
        <v>6</v>
      </c>
      <c r="E8" s="13">
        <v>6</v>
      </c>
    </row>
    <row r="9" spans="1:13" customFormat="1" x14ac:dyDescent="0.3">
      <c r="A9" s="13" t="s">
        <v>1</v>
      </c>
      <c r="B9" s="13" t="s">
        <v>1948</v>
      </c>
      <c r="C9" s="13">
        <v>6</v>
      </c>
      <c r="D9" s="13">
        <v>6</v>
      </c>
      <c r="E9" s="13">
        <v>8</v>
      </c>
    </row>
    <row r="10" spans="1:13" customFormat="1" ht="17.25" thickBot="1" x14ac:dyDescent="0.35">
      <c r="A10" s="13" t="s">
        <v>0</v>
      </c>
      <c r="B10" s="13" t="s">
        <v>94</v>
      </c>
      <c r="C10" s="13">
        <v>7</v>
      </c>
      <c r="D10" s="13">
        <v>6</v>
      </c>
      <c r="E10" s="13">
        <v>7</v>
      </c>
    </row>
    <row r="11" spans="1:13" x14ac:dyDescent="0.3">
      <c r="A11" s="13" t="s">
        <v>1</v>
      </c>
      <c r="B11" s="13" t="s">
        <v>1741</v>
      </c>
      <c r="C11" s="13">
        <v>6</v>
      </c>
      <c r="D11" s="13">
        <v>5</v>
      </c>
      <c r="E11" s="13">
        <v>8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1988</v>
      </c>
      <c r="C12" s="13">
        <v>9</v>
      </c>
      <c r="D12" s="13">
        <v>5</v>
      </c>
      <c r="E12" s="13">
        <v>12</v>
      </c>
      <c r="G12" s="19"/>
      <c r="H12" s="17">
        <f t="shared" ref="H12:J12" si="0">SUM(H13:H16)</f>
        <v>706</v>
      </c>
      <c r="I12" s="17">
        <f t="shared" si="0"/>
        <v>539</v>
      </c>
      <c r="J12" s="20">
        <f t="shared" si="0"/>
        <v>789</v>
      </c>
    </row>
    <row r="13" spans="1:13" x14ac:dyDescent="0.3">
      <c r="A13" s="13" t="s">
        <v>1</v>
      </c>
      <c r="B13" s="13" t="s">
        <v>51</v>
      </c>
      <c r="C13" s="13">
        <v>5</v>
      </c>
      <c r="D13" s="13">
        <v>5</v>
      </c>
      <c r="E13" s="13">
        <v>7</v>
      </c>
      <c r="G13" s="19" t="s">
        <v>7</v>
      </c>
      <c r="H13" s="18">
        <f t="shared" ref="H13:J16" si="1">SUMIF($A$2:$A$9999,$G13,C$2:C$9999)</f>
        <v>406</v>
      </c>
      <c r="I13" s="18">
        <f t="shared" si="1"/>
        <v>283</v>
      </c>
      <c r="J13" s="21">
        <f t="shared" si="1"/>
        <v>464</v>
      </c>
    </row>
    <row r="14" spans="1:13" x14ac:dyDescent="0.3">
      <c r="A14" s="13" t="s">
        <v>1</v>
      </c>
      <c r="B14" s="13" t="s">
        <v>31</v>
      </c>
      <c r="C14" s="13">
        <v>5</v>
      </c>
      <c r="D14" s="13">
        <v>5</v>
      </c>
      <c r="E14" s="13">
        <v>5</v>
      </c>
      <c r="G14" s="19" t="s">
        <v>9</v>
      </c>
      <c r="H14" s="18">
        <f t="shared" si="1"/>
        <v>1</v>
      </c>
      <c r="I14" s="18">
        <f t="shared" si="1"/>
        <v>1</v>
      </c>
      <c r="J14" s="21">
        <f t="shared" si="1"/>
        <v>1</v>
      </c>
    </row>
    <row r="15" spans="1:13" x14ac:dyDescent="0.3">
      <c r="A15" s="13" t="s">
        <v>1</v>
      </c>
      <c r="B15" s="13" t="s">
        <v>32</v>
      </c>
      <c r="C15" s="13">
        <v>6</v>
      </c>
      <c r="D15" s="13">
        <v>5</v>
      </c>
      <c r="E15" s="13">
        <v>9</v>
      </c>
      <c r="G15" s="19" t="s">
        <v>11</v>
      </c>
      <c r="H15" s="18">
        <f t="shared" si="1"/>
        <v>285</v>
      </c>
      <c r="I15" s="18">
        <f t="shared" si="1"/>
        <v>245</v>
      </c>
      <c r="J15" s="21">
        <f t="shared" si="1"/>
        <v>306</v>
      </c>
    </row>
    <row r="16" spans="1:13" ht="17.25" thickBot="1" x14ac:dyDescent="0.35">
      <c r="A16" s="13" t="s">
        <v>0</v>
      </c>
      <c r="B16" s="13" t="s">
        <v>354</v>
      </c>
      <c r="C16" s="13">
        <v>5</v>
      </c>
      <c r="D16" s="13">
        <v>5</v>
      </c>
      <c r="E16" s="13">
        <v>5</v>
      </c>
      <c r="G16" s="22" t="s">
        <v>12</v>
      </c>
      <c r="H16" s="23">
        <f t="shared" si="1"/>
        <v>14</v>
      </c>
      <c r="I16" s="23">
        <f t="shared" si="1"/>
        <v>10</v>
      </c>
      <c r="J16" s="24">
        <f t="shared" si="1"/>
        <v>18</v>
      </c>
    </row>
    <row r="17" spans="1:5" x14ac:dyDescent="0.3">
      <c r="A17" s="13" t="s">
        <v>0</v>
      </c>
      <c r="B17" s="13" t="s">
        <v>61</v>
      </c>
      <c r="C17" s="13">
        <v>5</v>
      </c>
      <c r="D17" s="13">
        <v>5</v>
      </c>
      <c r="E17" s="13">
        <v>5</v>
      </c>
    </row>
    <row r="18" spans="1:5" x14ac:dyDescent="0.3">
      <c r="A18" s="13" t="s">
        <v>1</v>
      </c>
      <c r="B18" s="13" t="s">
        <v>1663</v>
      </c>
      <c r="C18" s="13">
        <v>6</v>
      </c>
      <c r="D18" s="13">
        <v>4</v>
      </c>
      <c r="E18" s="13">
        <v>13</v>
      </c>
    </row>
    <row r="19" spans="1:5" x14ac:dyDescent="0.3">
      <c r="A19" s="13" t="s">
        <v>1</v>
      </c>
      <c r="B19" s="13" t="s">
        <v>175</v>
      </c>
      <c r="C19" s="13">
        <v>4</v>
      </c>
      <c r="D19" s="13">
        <v>4</v>
      </c>
      <c r="E19" s="13">
        <v>4</v>
      </c>
    </row>
    <row r="20" spans="1:5" x14ac:dyDescent="0.3">
      <c r="A20" s="13" t="s">
        <v>0</v>
      </c>
      <c r="B20" s="13" t="s">
        <v>34</v>
      </c>
      <c r="C20" s="13">
        <v>4</v>
      </c>
      <c r="D20" s="13">
        <v>4</v>
      </c>
      <c r="E20" s="13">
        <v>4</v>
      </c>
    </row>
    <row r="21" spans="1:5" x14ac:dyDescent="0.3">
      <c r="A21" s="13" t="s">
        <v>0</v>
      </c>
      <c r="B21" s="13" t="s">
        <v>35</v>
      </c>
      <c r="C21" s="13">
        <v>4</v>
      </c>
      <c r="D21" s="13">
        <v>4</v>
      </c>
      <c r="E21" s="13">
        <v>4</v>
      </c>
    </row>
    <row r="22" spans="1:5" x14ac:dyDescent="0.3">
      <c r="A22" s="13" t="s">
        <v>1</v>
      </c>
      <c r="B22" s="13" t="s">
        <v>33</v>
      </c>
      <c r="C22" s="13">
        <v>3</v>
      </c>
      <c r="D22" s="13">
        <v>3</v>
      </c>
      <c r="E22" s="13">
        <v>3</v>
      </c>
    </row>
    <row r="23" spans="1:5" x14ac:dyDescent="0.3">
      <c r="A23" s="13" t="s">
        <v>1</v>
      </c>
      <c r="B23" s="13" t="s">
        <v>34</v>
      </c>
      <c r="C23" s="13">
        <v>3</v>
      </c>
      <c r="D23" s="13">
        <v>3</v>
      </c>
      <c r="E23" s="13">
        <v>3</v>
      </c>
    </row>
    <row r="24" spans="1:5" x14ac:dyDescent="0.3">
      <c r="A24" s="13" t="s">
        <v>1</v>
      </c>
      <c r="B24" s="13" t="s">
        <v>83</v>
      </c>
      <c r="C24" s="13">
        <v>3</v>
      </c>
      <c r="D24" s="13">
        <v>3</v>
      </c>
      <c r="E24" s="13">
        <v>3</v>
      </c>
    </row>
    <row r="25" spans="1:5" x14ac:dyDescent="0.3">
      <c r="A25" s="13" t="s">
        <v>1</v>
      </c>
      <c r="B25" s="13" t="s">
        <v>2701</v>
      </c>
      <c r="C25" s="13">
        <v>4</v>
      </c>
      <c r="D25" s="13">
        <v>3</v>
      </c>
      <c r="E25" s="13">
        <v>4</v>
      </c>
    </row>
    <row r="26" spans="1:5" x14ac:dyDescent="0.3">
      <c r="A26" s="13" t="s">
        <v>1</v>
      </c>
      <c r="B26" s="13" t="s">
        <v>105</v>
      </c>
      <c r="C26" s="13">
        <v>3</v>
      </c>
      <c r="D26" s="13">
        <v>3</v>
      </c>
      <c r="E26" s="13">
        <v>3</v>
      </c>
    </row>
    <row r="27" spans="1:5" x14ac:dyDescent="0.3">
      <c r="A27" s="13" t="s">
        <v>1</v>
      </c>
      <c r="B27" s="13" t="s">
        <v>120</v>
      </c>
      <c r="C27" s="13">
        <v>3</v>
      </c>
      <c r="D27" s="13">
        <v>3</v>
      </c>
      <c r="E27" s="13">
        <v>3</v>
      </c>
    </row>
    <row r="28" spans="1:5" x14ac:dyDescent="0.3">
      <c r="A28" s="13" t="s">
        <v>1</v>
      </c>
      <c r="B28" s="13" t="s">
        <v>37</v>
      </c>
      <c r="C28" s="13">
        <v>3</v>
      </c>
      <c r="D28" s="13">
        <v>3</v>
      </c>
      <c r="E28" s="13">
        <v>3</v>
      </c>
    </row>
    <row r="29" spans="1:5" x14ac:dyDescent="0.3">
      <c r="A29" s="13" t="s">
        <v>1</v>
      </c>
      <c r="B29" s="13" t="s">
        <v>39</v>
      </c>
      <c r="C29" s="13">
        <v>7</v>
      </c>
      <c r="D29" s="13">
        <v>3</v>
      </c>
      <c r="E29" s="13">
        <v>10</v>
      </c>
    </row>
    <row r="30" spans="1:5" x14ac:dyDescent="0.3">
      <c r="A30" s="13" t="s">
        <v>0</v>
      </c>
      <c r="B30" s="13" t="s">
        <v>30</v>
      </c>
      <c r="C30" s="13">
        <v>4</v>
      </c>
      <c r="D30" s="13">
        <v>3</v>
      </c>
      <c r="E30" s="13">
        <v>4</v>
      </c>
    </row>
    <row r="31" spans="1:5" x14ac:dyDescent="0.3">
      <c r="A31" s="13" t="s">
        <v>0</v>
      </c>
      <c r="B31" s="13" t="s">
        <v>148</v>
      </c>
      <c r="C31" s="13">
        <v>3</v>
      </c>
      <c r="D31" s="13">
        <v>3</v>
      </c>
      <c r="E31" s="13">
        <v>3</v>
      </c>
    </row>
    <row r="32" spans="1:5" x14ac:dyDescent="0.3">
      <c r="A32" s="13" t="s">
        <v>0</v>
      </c>
      <c r="B32" s="13" t="s">
        <v>1663</v>
      </c>
      <c r="C32" s="13">
        <v>4</v>
      </c>
      <c r="D32" s="13">
        <v>3</v>
      </c>
      <c r="E32" s="13">
        <v>4</v>
      </c>
    </row>
    <row r="33" spans="1:5" x14ac:dyDescent="0.3">
      <c r="A33" s="13" t="s">
        <v>0</v>
      </c>
      <c r="B33" s="13" t="s">
        <v>1741</v>
      </c>
      <c r="C33" s="13">
        <v>3</v>
      </c>
      <c r="D33" s="13">
        <v>3</v>
      </c>
      <c r="E33" s="13">
        <v>3</v>
      </c>
    </row>
    <row r="34" spans="1:5" x14ac:dyDescent="0.3">
      <c r="A34" s="13" t="s">
        <v>0</v>
      </c>
      <c r="B34" s="13" t="s">
        <v>1988</v>
      </c>
      <c r="C34" s="13">
        <v>3</v>
      </c>
      <c r="D34" s="13">
        <v>3</v>
      </c>
      <c r="E34" s="13">
        <v>3</v>
      </c>
    </row>
    <row r="35" spans="1:5" x14ac:dyDescent="0.3">
      <c r="A35" s="13" t="s">
        <v>0</v>
      </c>
      <c r="B35" s="13" t="s">
        <v>1948</v>
      </c>
      <c r="C35" s="13">
        <v>3</v>
      </c>
      <c r="D35" s="13">
        <v>3</v>
      </c>
      <c r="E35" s="13">
        <v>3</v>
      </c>
    </row>
    <row r="36" spans="1:5" x14ac:dyDescent="0.3">
      <c r="A36" s="13" t="s">
        <v>0</v>
      </c>
      <c r="B36" s="13" t="s">
        <v>2093</v>
      </c>
      <c r="C36" s="13">
        <v>4</v>
      </c>
      <c r="D36" s="13">
        <v>3</v>
      </c>
      <c r="E36" s="13">
        <v>4</v>
      </c>
    </row>
    <row r="37" spans="1:5" x14ac:dyDescent="0.3">
      <c r="A37" s="13" t="s">
        <v>0</v>
      </c>
      <c r="B37" s="13" t="s">
        <v>1269</v>
      </c>
      <c r="C37" s="13">
        <v>3</v>
      </c>
      <c r="D37" s="13">
        <v>3</v>
      </c>
      <c r="E37" s="13">
        <v>3</v>
      </c>
    </row>
    <row r="38" spans="1:5" x14ac:dyDescent="0.3">
      <c r="A38" s="13" t="s">
        <v>0</v>
      </c>
      <c r="B38" s="13" t="s">
        <v>1342</v>
      </c>
      <c r="C38" s="13">
        <v>3</v>
      </c>
      <c r="D38" s="13">
        <v>3</v>
      </c>
      <c r="E38" s="13">
        <v>3</v>
      </c>
    </row>
    <row r="39" spans="1:5" x14ac:dyDescent="0.3">
      <c r="A39" s="13" t="s">
        <v>0</v>
      </c>
      <c r="B39" s="13" t="s">
        <v>37</v>
      </c>
      <c r="C39" s="13">
        <v>3</v>
      </c>
      <c r="D39" s="13">
        <v>3</v>
      </c>
      <c r="E39" s="13">
        <v>3</v>
      </c>
    </row>
    <row r="40" spans="1:5" x14ac:dyDescent="0.3">
      <c r="A40" s="13" t="s">
        <v>1</v>
      </c>
      <c r="B40" s="13" t="s">
        <v>48</v>
      </c>
      <c r="C40" s="13">
        <v>2</v>
      </c>
      <c r="D40" s="13">
        <v>2</v>
      </c>
      <c r="E40" s="13">
        <v>2</v>
      </c>
    </row>
    <row r="41" spans="1:5" x14ac:dyDescent="0.3">
      <c r="A41" s="13" t="s">
        <v>1</v>
      </c>
      <c r="B41" s="13" t="s">
        <v>267</v>
      </c>
      <c r="C41" s="13">
        <v>2</v>
      </c>
      <c r="D41" s="13">
        <v>2</v>
      </c>
      <c r="E41" s="13">
        <v>2</v>
      </c>
    </row>
    <row r="42" spans="1:5" x14ac:dyDescent="0.3">
      <c r="A42" s="13" t="s">
        <v>1</v>
      </c>
      <c r="B42" s="13" t="s">
        <v>151</v>
      </c>
      <c r="C42" s="13">
        <v>3</v>
      </c>
      <c r="D42" s="13">
        <v>2</v>
      </c>
      <c r="E42" s="13">
        <v>3</v>
      </c>
    </row>
    <row r="43" spans="1:5" x14ac:dyDescent="0.3">
      <c r="A43" s="13" t="s">
        <v>1</v>
      </c>
      <c r="B43" s="13" t="s">
        <v>60</v>
      </c>
      <c r="C43" s="13">
        <v>2</v>
      </c>
      <c r="D43" s="13">
        <v>2</v>
      </c>
      <c r="E43" s="13">
        <v>2</v>
      </c>
    </row>
    <row r="44" spans="1:5" x14ac:dyDescent="0.3">
      <c r="A44" s="13" t="s">
        <v>1</v>
      </c>
      <c r="B44" s="13" t="s">
        <v>61</v>
      </c>
      <c r="C44" s="13">
        <v>3</v>
      </c>
      <c r="D44" s="13">
        <v>2</v>
      </c>
      <c r="E44" s="13">
        <v>2</v>
      </c>
    </row>
    <row r="45" spans="1:5" x14ac:dyDescent="0.3">
      <c r="A45" s="13" t="s">
        <v>1</v>
      </c>
      <c r="B45" s="13" t="s">
        <v>94</v>
      </c>
      <c r="C45" s="13">
        <v>3</v>
      </c>
      <c r="D45" s="13">
        <v>2</v>
      </c>
      <c r="E45" s="13">
        <v>3</v>
      </c>
    </row>
    <row r="46" spans="1:5" x14ac:dyDescent="0.3">
      <c r="A46" s="13" t="s">
        <v>1</v>
      </c>
      <c r="B46" s="13" t="s">
        <v>2179</v>
      </c>
      <c r="C46" s="13">
        <v>2</v>
      </c>
      <c r="D46" s="13">
        <v>2</v>
      </c>
      <c r="E46" s="13">
        <v>2</v>
      </c>
    </row>
    <row r="47" spans="1:5" x14ac:dyDescent="0.3">
      <c r="A47" s="13" t="s">
        <v>1</v>
      </c>
      <c r="B47" s="13" t="s">
        <v>2735</v>
      </c>
      <c r="C47" s="13">
        <v>3</v>
      </c>
      <c r="D47" s="13">
        <v>2</v>
      </c>
      <c r="E47" s="13">
        <v>3</v>
      </c>
    </row>
    <row r="48" spans="1:5" x14ac:dyDescent="0.3">
      <c r="A48" s="13" t="s">
        <v>1</v>
      </c>
      <c r="B48" s="13" t="s">
        <v>506</v>
      </c>
      <c r="C48" s="13">
        <v>2</v>
      </c>
      <c r="D48" s="13">
        <v>2</v>
      </c>
      <c r="E48" s="13">
        <v>3</v>
      </c>
    </row>
    <row r="49" spans="1:5" x14ac:dyDescent="0.3">
      <c r="A49" s="13" t="s">
        <v>1</v>
      </c>
      <c r="B49" s="13" t="s">
        <v>937</v>
      </c>
      <c r="C49" s="13">
        <v>2</v>
      </c>
      <c r="D49" s="13">
        <v>2</v>
      </c>
      <c r="E49" s="13">
        <v>4</v>
      </c>
    </row>
    <row r="50" spans="1:5" x14ac:dyDescent="0.3">
      <c r="A50" s="13" t="s">
        <v>1</v>
      </c>
      <c r="B50" s="13" t="s">
        <v>29</v>
      </c>
      <c r="C50" s="13">
        <v>2</v>
      </c>
      <c r="D50" s="13">
        <v>2</v>
      </c>
      <c r="E50" s="13">
        <v>2</v>
      </c>
    </row>
    <row r="51" spans="1:5" x14ac:dyDescent="0.3">
      <c r="A51" s="13" t="s">
        <v>1</v>
      </c>
      <c r="B51" s="13" t="s">
        <v>195</v>
      </c>
      <c r="C51" s="13">
        <v>2</v>
      </c>
      <c r="D51" s="13">
        <v>2</v>
      </c>
      <c r="E51" s="13">
        <v>2</v>
      </c>
    </row>
    <row r="52" spans="1:5" x14ac:dyDescent="0.3">
      <c r="A52" s="13" t="s">
        <v>1</v>
      </c>
      <c r="B52" s="13" t="s">
        <v>109</v>
      </c>
      <c r="C52" s="13">
        <v>2</v>
      </c>
      <c r="D52" s="13">
        <v>2</v>
      </c>
      <c r="E52" s="13">
        <v>2</v>
      </c>
    </row>
    <row r="53" spans="1:5" x14ac:dyDescent="0.3">
      <c r="A53" s="13" t="s">
        <v>1</v>
      </c>
      <c r="B53" s="13" t="s">
        <v>111</v>
      </c>
      <c r="C53" s="13">
        <v>2</v>
      </c>
      <c r="D53" s="13">
        <v>2</v>
      </c>
      <c r="E53" s="13">
        <v>3</v>
      </c>
    </row>
    <row r="54" spans="1:5" x14ac:dyDescent="0.3">
      <c r="A54" s="13" t="s">
        <v>1</v>
      </c>
      <c r="B54" s="13" t="s">
        <v>170</v>
      </c>
      <c r="C54" s="13">
        <v>2</v>
      </c>
      <c r="D54" s="13">
        <v>2</v>
      </c>
      <c r="E54" s="13">
        <v>2</v>
      </c>
    </row>
    <row r="55" spans="1:5" x14ac:dyDescent="0.3">
      <c r="A55" s="13" t="s">
        <v>1</v>
      </c>
      <c r="B55" s="13" t="s">
        <v>568</v>
      </c>
      <c r="C55" s="13">
        <v>2</v>
      </c>
      <c r="D55" s="13">
        <v>2</v>
      </c>
      <c r="E55" s="13">
        <v>2</v>
      </c>
    </row>
    <row r="56" spans="1:5" x14ac:dyDescent="0.3">
      <c r="A56" s="13" t="s">
        <v>1</v>
      </c>
      <c r="B56" s="13" t="s">
        <v>320</v>
      </c>
      <c r="C56" s="13">
        <v>2</v>
      </c>
      <c r="D56" s="13">
        <v>2</v>
      </c>
      <c r="E56" s="13">
        <v>3</v>
      </c>
    </row>
    <row r="57" spans="1:5" x14ac:dyDescent="0.3">
      <c r="A57" s="13" t="s">
        <v>1</v>
      </c>
      <c r="B57" s="13" t="s">
        <v>627</v>
      </c>
      <c r="C57" s="13">
        <v>2</v>
      </c>
      <c r="D57" s="13">
        <v>2</v>
      </c>
      <c r="E57" s="13">
        <v>2</v>
      </c>
    </row>
    <row r="58" spans="1:5" x14ac:dyDescent="0.3">
      <c r="A58" s="13" t="s">
        <v>1</v>
      </c>
      <c r="B58" s="13" t="s">
        <v>118</v>
      </c>
      <c r="C58" s="13">
        <v>3</v>
      </c>
      <c r="D58" s="13">
        <v>2</v>
      </c>
      <c r="E58" s="13">
        <v>3</v>
      </c>
    </row>
    <row r="59" spans="1:5" x14ac:dyDescent="0.3">
      <c r="A59" s="13" t="s">
        <v>0</v>
      </c>
      <c r="B59" s="13" t="s">
        <v>373</v>
      </c>
      <c r="C59" s="13">
        <v>2</v>
      </c>
      <c r="D59" s="13">
        <v>2</v>
      </c>
      <c r="E59" s="13">
        <v>4</v>
      </c>
    </row>
    <row r="60" spans="1:5" x14ac:dyDescent="0.3">
      <c r="A60" s="13" t="s">
        <v>0</v>
      </c>
      <c r="B60" s="13" t="s">
        <v>75</v>
      </c>
      <c r="C60" s="13">
        <v>2</v>
      </c>
      <c r="D60" s="13">
        <v>2</v>
      </c>
      <c r="E60" s="13">
        <v>2</v>
      </c>
    </row>
    <row r="61" spans="1:5" x14ac:dyDescent="0.3">
      <c r="A61" s="13" t="s">
        <v>0</v>
      </c>
      <c r="B61" s="13" t="s">
        <v>260</v>
      </c>
      <c r="C61" s="13">
        <v>2</v>
      </c>
      <c r="D61" s="13">
        <v>2</v>
      </c>
      <c r="E61" s="13">
        <v>2</v>
      </c>
    </row>
    <row r="62" spans="1:5" x14ac:dyDescent="0.3">
      <c r="A62" s="13" t="s">
        <v>0</v>
      </c>
      <c r="B62" s="13" t="s">
        <v>145</v>
      </c>
      <c r="C62" s="13">
        <v>2</v>
      </c>
      <c r="D62" s="13">
        <v>2</v>
      </c>
      <c r="E62" s="13">
        <v>2</v>
      </c>
    </row>
    <row r="63" spans="1:5" x14ac:dyDescent="0.3">
      <c r="A63" s="13" t="s">
        <v>0</v>
      </c>
      <c r="B63" s="13" t="s">
        <v>87</v>
      </c>
      <c r="C63" s="13">
        <v>2</v>
      </c>
      <c r="D63" s="13">
        <v>2</v>
      </c>
      <c r="E63" s="13">
        <v>2</v>
      </c>
    </row>
    <row r="64" spans="1:5" x14ac:dyDescent="0.3">
      <c r="A64" s="13" t="s">
        <v>0</v>
      </c>
      <c r="B64" s="13" t="s">
        <v>1645</v>
      </c>
      <c r="C64" s="13">
        <v>2</v>
      </c>
      <c r="D64" s="13">
        <v>2</v>
      </c>
      <c r="E64" s="13">
        <v>3</v>
      </c>
    </row>
    <row r="65" spans="1:5" x14ac:dyDescent="0.3">
      <c r="A65" s="13" t="s">
        <v>0</v>
      </c>
      <c r="B65" s="13" t="s">
        <v>2203</v>
      </c>
      <c r="C65" s="13">
        <v>2</v>
      </c>
      <c r="D65" s="13">
        <v>2</v>
      </c>
      <c r="E65" s="13">
        <v>2</v>
      </c>
    </row>
    <row r="66" spans="1:5" x14ac:dyDescent="0.3">
      <c r="A66" s="13" t="s">
        <v>0</v>
      </c>
      <c r="B66" s="13" t="s">
        <v>105</v>
      </c>
      <c r="C66" s="13">
        <v>2</v>
      </c>
      <c r="D66" s="13">
        <v>2</v>
      </c>
      <c r="E66" s="13">
        <v>2</v>
      </c>
    </row>
    <row r="67" spans="1:5" x14ac:dyDescent="0.3">
      <c r="A67" s="13" t="s">
        <v>0</v>
      </c>
      <c r="B67" s="13" t="s">
        <v>111</v>
      </c>
      <c r="C67" s="13">
        <v>3</v>
      </c>
      <c r="D67" s="13">
        <v>2</v>
      </c>
      <c r="E67" s="13">
        <v>3</v>
      </c>
    </row>
    <row r="68" spans="1:5" x14ac:dyDescent="0.3">
      <c r="A68" s="13" t="s">
        <v>0</v>
      </c>
      <c r="B68" s="13" t="s">
        <v>62</v>
      </c>
      <c r="C68" s="13">
        <v>2</v>
      </c>
      <c r="D68" s="13">
        <v>2</v>
      </c>
      <c r="E68" s="13">
        <v>2</v>
      </c>
    </row>
    <row r="69" spans="1:5" x14ac:dyDescent="0.3">
      <c r="A69" s="13" t="s">
        <v>0</v>
      </c>
      <c r="B69" s="13" t="s">
        <v>126</v>
      </c>
      <c r="C69" s="13">
        <v>2</v>
      </c>
      <c r="D69" s="13">
        <v>2</v>
      </c>
      <c r="E69" s="13">
        <v>2</v>
      </c>
    </row>
    <row r="70" spans="1:5" x14ac:dyDescent="0.3">
      <c r="A70" s="13" t="s">
        <v>2</v>
      </c>
      <c r="B70" s="13" t="s">
        <v>2701</v>
      </c>
      <c r="C70" s="13">
        <v>2</v>
      </c>
      <c r="D70" s="13">
        <v>2</v>
      </c>
      <c r="E70" s="13">
        <v>2</v>
      </c>
    </row>
    <row r="71" spans="1:5" x14ac:dyDescent="0.3">
      <c r="A71" s="13" t="s">
        <v>2</v>
      </c>
      <c r="B71" s="13" t="s">
        <v>29</v>
      </c>
      <c r="C71" s="13">
        <v>2</v>
      </c>
      <c r="D71" s="13">
        <v>2</v>
      </c>
      <c r="E71" s="13">
        <v>2</v>
      </c>
    </row>
    <row r="72" spans="1:5" x14ac:dyDescent="0.3">
      <c r="A72" s="13" t="s">
        <v>1</v>
      </c>
      <c r="B72" s="13" t="s">
        <v>70</v>
      </c>
      <c r="C72" s="13">
        <v>1</v>
      </c>
      <c r="D72" s="13">
        <v>1</v>
      </c>
      <c r="E72" s="13">
        <v>1</v>
      </c>
    </row>
    <row r="73" spans="1:5" x14ac:dyDescent="0.3">
      <c r="A73" s="13" t="s">
        <v>1</v>
      </c>
      <c r="B73" s="13" t="s">
        <v>373</v>
      </c>
      <c r="C73" s="13">
        <v>1</v>
      </c>
      <c r="D73" s="13">
        <v>1</v>
      </c>
      <c r="E73" s="13">
        <v>1</v>
      </c>
    </row>
    <row r="74" spans="1:5" x14ac:dyDescent="0.3">
      <c r="A74" s="13" t="s">
        <v>1</v>
      </c>
      <c r="B74" s="13" t="s">
        <v>470</v>
      </c>
      <c r="C74" s="13">
        <v>1</v>
      </c>
      <c r="D74" s="13">
        <v>1</v>
      </c>
      <c r="E74" s="13">
        <v>1</v>
      </c>
    </row>
    <row r="75" spans="1:5" x14ac:dyDescent="0.3">
      <c r="A75" s="13" t="s">
        <v>1</v>
      </c>
      <c r="B75" s="13" t="s">
        <v>57</v>
      </c>
      <c r="C75" s="13">
        <v>1</v>
      </c>
      <c r="D75" s="13">
        <v>1</v>
      </c>
      <c r="E75" s="13">
        <v>1</v>
      </c>
    </row>
    <row r="76" spans="1:5" x14ac:dyDescent="0.3">
      <c r="A76" s="13" t="s">
        <v>1</v>
      </c>
      <c r="B76" s="13" t="s">
        <v>808</v>
      </c>
      <c r="C76" s="13">
        <v>3</v>
      </c>
      <c r="D76" s="13">
        <v>1</v>
      </c>
      <c r="E76" s="13">
        <v>3</v>
      </c>
    </row>
    <row r="77" spans="1:5" x14ac:dyDescent="0.3">
      <c r="A77" s="13" t="s">
        <v>1</v>
      </c>
      <c r="B77" s="13" t="s">
        <v>264</v>
      </c>
      <c r="C77" s="13">
        <v>1</v>
      </c>
      <c r="D77" s="13">
        <v>1</v>
      </c>
      <c r="E77" s="13">
        <v>1</v>
      </c>
    </row>
    <row r="78" spans="1:5" x14ac:dyDescent="0.3">
      <c r="A78" s="13" t="s">
        <v>1</v>
      </c>
      <c r="B78" s="13" t="s">
        <v>77</v>
      </c>
      <c r="C78" s="13">
        <v>1</v>
      </c>
      <c r="D78" s="13">
        <v>1</v>
      </c>
      <c r="E78" s="13">
        <v>1</v>
      </c>
    </row>
    <row r="79" spans="1:5" x14ac:dyDescent="0.3">
      <c r="A79" s="13" t="s">
        <v>1</v>
      </c>
      <c r="B79" s="13" t="s">
        <v>2003</v>
      </c>
      <c r="C79" s="13">
        <v>1</v>
      </c>
      <c r="D79" s="13">
        <v>1</v>
      </c>
      <c r="E79" s="13">
        <v>1</v>
      </c>
    </row>
    <row r="80" spans="1:5" x14ac:dyDescent="0.3">
      <c r="A80" s="13" t="s">
        <v>1</v>
      </c>
      <c r="B80" s="13" t="s">
        <v>145</v>
      </c>
      <c r="C80" s="13">
        <v>1</v>
      </c>
      <c r="D80" s="13">
        <v>1</v>
      </c>
      <c r="E80" s="13">
        <v>1</v>
      </c>
    </row>
    <row r="81" spans="1:5" x14ac:dyDescent="0.3">
      <c r="A81" s="13" t="s">
        <v>1</v>
      </c>
      <c r="B81" s="13" t="s">
        <v>148</v>
      </c>
      <c r="C81" s="13">
        <v>1</v>
      </c>
      <c r="D81" s="13">
        <v>1</v>
      </c>
      <c r="E81" s="13">
        <v>1</v>
      </c>
    </row>
    <row r="82" spans="1:5" x14ac:dyDescent="0.3">
      <c r="A82" s="13" t="s">
        <v>1</v>
      </c>
      <c r="B82" s="13" t="s">
        <v>87</v>
      </c>
      <c r="C82" s="13">
        <v>1</v>
      </c>
      <c r="D82" s="13">
        <v>1</v>
      </c>
      <c r="E82" s="13">
        <v>1</v>
      </c>
    </row>
    <row r="83" spans="1:5" x14ac:dyDescent="0.3">
      <c r="A83" s="13" t="s">
        <v>1</v>
      </c>
      <c r="B83" s="13" t="s">
        <v>90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272</v>
      </c>
      <c r="C84" s="13">
        <v>1</v>
      </c>
      <c r="D84" s="13">
        <v>1</v>
      </c>
      <c r="E84" s="13">
        <v>2</v>
      </c>
    </row>
    <row r="85" spans="1:5" x14ac:dyDescent="0.3">
      <c r="A85" s="13" t="s">
        <v>1</v>
      </c>
      <c r="B85" s="13" t="s">
        <v>254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41</v>
      </c>
      <c r="C86" s="13">
        <v>2</v>
      </c>
      <c r="D86" s="13">
        <v>1</v>
      </c>
      <c r="E86" s="13">
        <v>3</v>
      </c>
    </row>
    <row r="87" spans="1:5" x14ac:dyDescent="0.3">
      <c r="A87" s="13" t="s">
        <v>1</v>
      </c>
      <c r="B87" s="13" t="s">
        <v>356</v>
      </c>
      <c r="C87" s="13">
        <v>1</v>
      </c>
      <c r="D87" s="13">
        <v>1</v>
      </c>
      <c r="E87" s="13">
        <v>1</v>
      </c>
    </row>
    <row r="88" spans="1:5" x14ac:dyDescent="0.3">
      <c r="A88" s="13" t="s">
        <v>1</v>
      </c>
      <c r="B88" s="13" t="s">
        <v>1553</v>
      </c>
      <c r="C88" s="13">
        <v>1</v>
      </c>
      <c r="D88" s="13">
        <v>1</v>
      </c>
      <c r="E88" s="13">
        <v>1</v>
      </c>
    </row>
    <row r="89" spans="1:5" x14ac:dyDescent="0.3">
      <c r="A89" s="13" t="s">
        <v>1</v>
      </c>
      <c r="B89" s="13" t="s">
        <v>1882</v>
      </c>
      <c r="C89" s="13">
        <v>2</v>
      </c>
      <c r="D89" s="13">
        <v>1</v>
      </c>
      <c r="E89" s="13">
        <v>2</v>
      </c>
    </row>
    <row r="90" spans="1:5" x14ac:dyDescent="0.3">
      <c r="A90" s="13" t="s">
        <v>1</v>
      </c>
      <c r="B90" s="13" t="s">
        <v>1989</v>
      </c>
      <c r="C90" s="13">
        <v>2</v>
      </c>
      <c r="D90" s="13">
        <v>1</v>
      </c>
      <c r="E90" s="13">
        <v>2</v>
      </c>
    </row>
    <row r="91" spans="1:5" x14ac:dyDescent="0.3">
      <c r="A91" s="13" t="s">
        <v>1</v>
      </c>
      <c r="B91" s="13" t="s">
        <v>2162</v>
      </c>
      <c r="C91" s="13">
        <v>1</v>
      </c>
      <c r="D91" s="13">
        <v>1</v>
      </c>
      <c r="E91" s="13">
        <v>1</v>
      </c>
    </row>
    <row r="92" spans="1:5" x14ac:dyDescent="0.3">
      <c r="A92" s="13" t="s">
        <v>1</v>
      </c>
      <c r="B92" s="13" t="s">
        <v>2203</v>
      </c>
      <c r="C92" s="13">
        <v>2</v>
      </c>
      <c r="D92" s="13">
        <v>1</v>
      </c>
      <c r="E92" s="13">
        <v>2</v>
      </c>
    </row>
    <row r="93" spans="1:5" x14ac:dyDescent="0.3">
      <c r="A93" s="13" t="s">
        <v>1</v>
      </c>
      <c r="B93" s="13" t="s">
        <v>154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559</v>
      </c>
      <c r="C94" s="13">
        <v>1</v>
      </c>
      <c r="D94" s="13">
        <v>1</v>
      </c>
      <c r="E94" s="13">
        <v>1</v>
      </c>
    </row>
    <row r="95" spans="1:5" x14ac:dyDescent="0.3">
      <c r="A95" s="13" t="s">
        <v>1</v>
      </c>
      <c r="B95" s="13" t="s">
        <v>35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476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680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391</v>
      </c>
      <c r="C98" s="13">
        <v>1</v>
      </c>
      <c r="D98" s="13">
        <v>1</v>
      </c>
      <c r="E98" s="13">
        <v>1</v>
      </c>
    </row>
    <row r="99" spans="1:5" x14ac:dyDescent="0.3">
      <c r="A99" s="13" t="s">
        <v>1</v>
      </c>
      <c r="B99" s="13" t="s">
        <v>1232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161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1201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682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311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164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2309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1312</v>
      </c>
      <c r="C106" s="13">
        <v>2</v>
      </c>
      <c r="D106" s="13">
        <v>1</v>
      </c>
      <c r="E106" s="13">
        <v>2</v>
      </c>
    </row>
    <row r="107" spans="1:5" x14ac:dyDescent="0.3">
      <c r="A107" s="13" t="s">
        <v>1</v>
      </c>
      <c r="B107" s="13" t="s">
        <v>1519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1392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394</v>
      </c>
      <c r="C109" s="13">
        <v>1</v>
      </c>
      <c r="D109" s="13">
        <v>1</v>
      </c>
      <c r="E109" s="13">
        <v>2</v>
      </c>
    </row>
    <row r="110" spans="1:5" x14ac:dyDescent="0.3">
      <c r="A110" s="13" t="s">
        <v>1</v>
      </c>
      <c r="B110" s="13" t="s">
        <v>1582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1022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1892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279</v>
      </c>
      <c r="C113" s="13">
        <v>2</v>
      </c>
      <c r="D113" s="13">
        <v>1</v>
      </c>
      <c r="E113" s="13">
        <v>2</v>
      </c>
    </row>
    <row r="114" spans="1:5" x14ac:dyDescent="0.3">
      <c r="A114" s="13" t="s">
        <v>1</v>
      </c>
      <c r="B114" s="13" t="s">
        <v>862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1354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827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1107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2246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2799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319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374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1261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693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432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623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2112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738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402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479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900</v>
      </c>
      <c r="C130" s="13">
        <v>2</v>
      </c>
      <c r="D130" s="13">
        <v>1</v>
      </c>
      <c r="E130" s="13">
        <v>2</v>
      </c>
    </row>
    <row r="131" spans="1:5" x14ac:dyDescent="0.3">
      <c r="A131" s="13" t="s">
        <v>1</v>
      </c>
      <c r="B131" s="13" t="s">
        <v>334</v>
      </c>
      <c r="C131" s="13">
        <v>1</v>
      </c>
      <c r="D131" s="13">
        <v>1</v>
      </c>
      <c r="E131" s="13">
        <v>3</v>
      </c>
    </row>
    <row r="132" spans="1:5" x14ac:dyDescent="0.3">
      <c r="A132" s="13" t="s">
        <v>1</v>
      </c>
      <c r="B132" s="13" t="s">
        <v>196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631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801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121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174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751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1115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435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63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1796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2841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1973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975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1820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337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1439</v>
      </c>
      <c r="C147" s="13">
        <v>1</v>
      </c>
      <c r="D147" s="13">
        <v>1</v>
      </c>
      <c r="E147" s="13">
        <v>2</v>
      </c>
    </row>
    <row r="148" spans="1:5" x14ac:dyDescent="0.3">
      <c r="A148" s="13" t="s">
        <v>1</v>
      </c>
      <c r="B148" s="13" t="s">
        <v>415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339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866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52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187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340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846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847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717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132</v>
      </c>
      <c r="C157" s="13">
        <v>3</v>
      </c>
      <c r="D157" s="13">
        <v>1</v>
      </c>
      <c r="E157" s="13">
        <v>3</v>
      </c>
    </row>
    <row r="158" spans="1:5" x14ac:dyDescent="0.3">
      <c r="A158" s="13" t="s">
        <v>1</v>
      </c>
      <c r="B158" s="13" t="s">
        <v>1219</v>
      </c>
      <c r="C158" s="13">
        <v>1</v>
      </c>
      <c r="D158" s="13">
        <v>1</v>
      </c>
      <c r="E158" s="13">
        <v>3</v>
      </c>
    </row>
    <row r="159" spans="1:5" x14ac:dyDescent="0.3">
      <c r="A159" s="13" t="s">
        <v>1</v>
      </c>
      <c r="B159" s="13" t="s">
        <v>797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1264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233</v>
      </c>
      <c r="C161" s="13">
        <v>2</v>
      </c>
      <c r="D161" s="13">
        <v>1</v>
      </c>
      <c r="E161" s="13">
        <v>2</v>
      </c>
    </row>
    <row r="162" spans="1:5" x14ac:dyDescent="0.3">
      <c r="A162" s="13" t="s">
        <v>1</v>
      </c>
      <c r="B162" s="13" t="s">
        <v>235</v>
      </c>
      <c r="C162" s="13">
        <v>4</v>
      </c>
      <c r="D162" s="13">
        <v>1</v>
      </c>
      <c r="E162" s="13">
        <v>5</v>
      </c>
    </row>
    <row r="163" spans="1:5" x14ac:dyDescent="0.3">
      <c r="A163" s="13" t="s">
        <v>1</v>
      </c>
      <c r="B163" s="13" t="s">
        <v>55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56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547</v>
      </c>
      <c r="C165" s="13">
        <v>1</v>
      </c>
      <c r="D165" s="13">
        <v>1</v>
      </c>
      <c r="E165" s="13"/>
    </row>
    <row r="166" spans="1:5" x14ac:dyDescent="0.3">
      <c r="A166" s="13" t="s">
        <v>1</v>
      </c>
      <c r="B166" s="13" t="s">
        <v>869</v>
      </c>
      <c r="C166" s="13">
        <v>1</v>
      </c>
      <c r="D166" s="13">
        <v>1</v>
      </c>
      <c r="E166" s="13"/>
    </row>
    <row r="167" spans="1:5" x14ac:dyDescent="0.3">
      <c r="A167" s="13" t="s">
        <v>1</v>
      </c>
      <c r="B167" s="13" t="s">
        <v>2842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2843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0</v>
      </c>
      <c r="B169" s="13" t="s">
        <v>299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0</v>
      </c>
      <c r="B170" s="13" t="s">
        <v>470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0</v>
      </c>
      <c r="B171" s="13" t="s">
        <v>382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0</v>
      </c>
      <c r="B172" s="13" t="s">
        <v>264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0</v>
      </c>
      <c r="B173" s="13" t="s">
        <v>596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0</v>
      </c>
      <c r="B174" s="13" t="s">
        <v>1123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0</v>
      </c>
      <c r="B175" s="13" t="s">
        <v>498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0</v>
      </c>
      <c r="B176" s="13" t="s">
        <v>813</v>
      </c>
      <c r="C176" s="13">
        <v>1</v>
      </c>
      <c r="D176" s="13">
        <v>1</v>
      </c>
      <c r="E176" s="13">
        <v>2</v>
      </c>
    </row>
    <row r="177" spans="1:5" x14ac:dyDescent="0.3">
      <c r="A177" s="13" t="s">
        <v>0</v>
      </c>
      <c r="B177" s="13" t="s">
        <v>1208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0</v>
      </c>
      <c r="B178" s="13" t="s">
        <v>796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0</v>
      </c>
      <c r="B179" s="13" t="s">
        <v>81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0</v>
      </c>
      <c r="B180" s="13" t="s">
        <v>1685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0</v>
      </c>
      <c r="B181" s="13" t="s">
        <v>91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0</v>
      </c>
      <c r="B182" s="13" t="s">
        <v>150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0</v>
      </c>
      <c r="B183" s="13" t="s">
        <v>60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0</v>
      </c>
      <c r="B184" s="13" t="s">
        <v>42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0</v>
      </c>
      <c r="B185" s="13" t="s">
        <v>471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0</v>
      </c>
      <c r="B186" s="13" t="s">
        <v>1471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0</v>
      </c>
      <c r="B187" s="13" t="s">
        <v>1881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2069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0</v>
      </c>
      <c r="B189" s="13" t="s">
        <v>678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0</v>
      </c>
      <c r="B190" s="13" t="s">
        <v>559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0</v>
      </c>
      <c r="B191" s="13" t="s">
        <v>476</v>
      </c>
      <c r="C191" s="13">
        <v>1</v>
      </c>
      <c r="D191" s="13">
        <v>1</v>
      </c>
      <c r="E191" s="13">
        <v>4</v>
      </c>
    </row>
    <row r="192" spans="1:5" x14ac:dyDescent="0.3">
      <c r="A192" s="13" t="s">
        <v>0</v>
      </c>
      <c r="B192" s="13" t="s">
        <v>509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0</v>
      </c>
      <c r="B193" s="13" t="s">
        <v>97</v>
      </c>
      <c r="C193" s="13">
        <v>1</v>
      </c>
      <c r="D193" s="13">
        <v>1</v>
      </c>
      <c r="E193" s="13">
        <v>2</v>
      </c>
    </row>
    <row r="194" spans="1:5" x14ac:dyDescent="0.3">
      <c r="A194" s="13" t="s">
        <v>0</v>
      </c>
      <c r="B194" s="13" t="s">
        <v>560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0</v>
      </c>
      <c r="B195" s="13" t="s">
        <v>391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0</v>
      </c>
      <c r="B196" s="13" t="s">
        <v>562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1343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857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392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2076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937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28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311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43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195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165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394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222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109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1945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472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279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824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513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314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315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0</v>
      </c>
      <c r="B217" s="13" t="s">
        <v>735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1107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317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830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453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1721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570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431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0</v>
      </c>
      <c r="B225" s="13" t="s">
        <v>2479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0</v>
      </c>
      <c r="B226" s="13" t="s">
        <v>326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0</v>
      </c>
      <c r="B227" s="13" t="s">
        <v>1710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0</v>
      </c>
      <c r="B228" s="13" t="s">
        <v>123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0</v>
      </c>
      <c r="B229" s="13" t="s">
        <v>1263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0</v>
      </c>
      <c r="B230" s="13" t="s">
        <v>409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0</v>
      </c>
      <c r="B231" s="13" t="s">
        <v>63</v>
      </c>
      <c r="C231" s="13">
        <v>1</v>
      </c>
      <c r="D231" s="13">
        <v>1</v>
      </c>
      <c r="E231" s="13">
        <v>2</v>
      </c>
    </row>
    <row r="232" spans="1:5" x14ac:dyDescent="0.3">
      <c r="A232" s="13" t="s">
        <v>0</v>
      </c>
      <c r="B232" s="13" t="s">
        <v>178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0</v>
      </c>
      <c r="B233" s="13" t="s">
        <v>905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0</v>
      </c>
      <c r="B234" s="13" t="s">
        <v>339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0</v>
      </c>
      <c r="B235" s="13" t="s">
        <v>64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0</v>
      </c>
      <c r="B236" s="13" t="s">
        <v>846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0</v>
      </c>
      <c r="B237" s="13" t="s">
        <v>847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0</v>
      </c>
      <c r="B238" s="13" t="s">
        <v>295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0</v>
      </c>
      <c r="B239" s="13" t="s">
        <v>717</v>
      </c>
      <c r="C239" s="13">
        <v>1</v>
      </c>
      <c r="D239" s="13">
        <v>1</v>
      </c>
      <c r="E239" s="13">
        <v>2</v>
      </c>
    </row>
    <row r="240" spans="1:5" x14ac:dyDescent="0.3">
      <c r="A240" s="13" t="s">
        <v>0</v>
      </c>
      <c r="B240" s="13" t="s">
        <v>66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0</v>
      </c>
      <c r="B241" s="13" t="s">
        <v>2844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0</v>
      </c>
      <c r="B242" s="13" t="s">
        <v>259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0</v>
      </c>
      <c r="B243" s="13" t="s">
        <v>2845</v>
      </c>
      <c r="C243" s="13">
        <v>1</v>
      </c>
      <c r="D243" s="13">
        <v>1</v>
      </c>
      <c r="E243" s="13"/>
    </row>
    <row r="244" spans="1:5" x14ac:dyDescent="0.3">
      <c r="A244" s="13" t="s">
        <v>0</v>
      </c>
      <c r="B244" s="13" t="s">
        <v>641</v>
      </c>
      <c r="C244" s="13">
        <v>1</v>
      </c>
      <c r="D244" s="13">
        <v>1</v>
      </c>
      <c r="E244" s="13"/>
    </row>
    <row r="245" spans="1:5" x14ac:dyDescent="0.3">
      <c r="A245" s="13" t="s">
        <v>0</v>
      </c>
      <c r="B245" s="13" t="s">
        <v>1062</v>
      </c>
      <c r="C245" s="13">
        <v>1</v>
      </c>
      <c r="D245" s="13">
        <v>1</v>
      </c>
      <c r="E245" s="13">
        <v>2</v>
      </c>
    </row>
    <row r="246" spans="1:5" x14ac:dyDescent="0.3">
      <c r="A246" s="13" t="s">
        <v>2654</v>
      </c>
      <c r="B246" s="13" t="s">
        <v>35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2</v>
      </c>
      <c r="B247" s="13" t="s">
        <v>210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2</v>
      </c>
      <c r="B248" s="13" t="s">
        <v>257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2</v>
      </c>
      <c r="B249" s="13" t="s">
        <v>1663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2</v>
      </c>
      <c r="B250" s="13" t="s">
        <v>164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2</v>
      </c>
      <c r="B251" s="13" t="s">
        <v>431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2</v>
      </c>
      <c r="B252" s="13" t="s">
        <v>1843</v>
      </c>
      <c r="C252" s="13">
        <v>1</v>
      </c>
      <c r="D252" s="13">
        <v>1</v>
      </c>
      <c r="E252" s="13">
        <v>4</v>
      </c>
    </row>
    <row r="253" spans="1:5" x14ac:dyDescent="0.3">
      <c r="A253" s="13" t="s">
        <v>1</v>
      </c>
      <c r="B253" s="13" t="s">
        <v>198</v>
      </c>
      <c r="C253" s="13">
        <v>1</v>
      </c>
      <c r="D253" s="13">
        <v>0</v>
      </c>
      <c r="E253" s="13">
        <v>1</v>
      </c>
    </row>
    <row r="254" spans="1:5" x14ac:dyDescent="0.3">
      <c r="A254" s="13" t="s">
        <v>1</v>
      </c>
      <c r="B254" s="13" t="s">
        <v>1267</v>
      </c>
      <c r="C254" s="13">
        <v>1</v>
      </c>
      <c r="D254" s="13">
        <v>0</v>
      </c>
      <c r="E254" s="13">
        <v>0</v>
      </c>
    </row>
    <row r="255" spans="1:5" x14ac:dyDescent="0.3">
      <c r="A255" s="13" t="s">
        <v>1</v>
      </c>
      <c r="B255" s="13" t="s">
        <v>36</v>
      </c>
      <c r="C255" s="13">
        <v>2</v>
      </c>
      <c r="D255" s="13">
        <v>0</v>
      </c>
      <c r="E255" s="13">
        <v>2</v>
      </c>
    </row>
    <row r="256" spans="1:5" x14ac:dyDescent="0.3">
      <c r="A256" s="13" t="s">
        <v>1</v>
      </c>
      <c r="B256" s="13" t="s">
        <v>1361</v>
      </c>
      <c r="C256" s="13">
        <v>1</v>
      </c>
      <c r="D256" s="13">
        <v>0</v>
      </c>
      <c r="E256" s="13">
        <v>0</v>
      </c>
    </row>
    <row r="257" spans="1:5" x14ac:dyDescent="0.3">
      <c r="A257" s="13" t="s">
        <v>1</v>
      </c>
      <c r="B257" s="13" t="s">
        <v>241</v>
      </c>
      <c r="C257" s="13">
        <v>1</v>
      </c>
      <c r="D257" s="13">
        <v>0</v>
      </c>
      <c r="E257" s="13">
        <v>1</v>
      </c>
    </row>
    <row r="258" spans="1:5" x14ac:dyDescent="0.3">
      <c r="A258" s="13" t="s">
        <v>1</v>
      </c>
      <c r="B258" s="13" t="s">
        <v>445</v>
      </c>
      <c r="C258" s="13">
        <v>1</v>
      </c>
      <c r="D258" s="13">
        <v>0</v>
      </c>
      <c r="E258" s="13">
        <v>2</v>
      </c>
    </row>
    <row r="259" spans="1:5" x14ac:dyDescent="0.3">
      <c r="A259" s="13" t="s">
        <v>1</v>
      </c>
      <c r="B259" s="13" t="s">
        <v>591</v>
      </c>
      <c r="C259" s="13">
        <v>1</v>
      </c>
      <c r="D259" s="13">
        <v>0</v>
      </c>
      <c r="E259" s="13">
        <v>1</v>
      </c>
    </row>
    <row r="260" spans="1:5" x14ac:dyDescent="0.3">
      <c r="A260" s="13" t="s">
        <v>1</v>
      </c>
      <c r="B260" s="13" t="s">
        <v>1158</v>
      </c>
      <c r="C260" s="13">
        <v>1</v>
      </c>
      <c r="D260" s="13">
        <v>0</v>
      </c>
      <c r="E260" s="13">
        <v>1</v>
      </c>
    </row>
    <row r="261" spans="1:5" x14ac:dyDescent="0.3">
      <c r="A261" s="13" t="s">
        <v>1</v>
      </c>
      <c r="B261" s="13" t="s">
        <v>302</v>
      </c>
      <c r="C261" s="13">
        <v>1</v>
      </c>
      <c r="D261" s="13">
        <v>0</v>
      </c>
      <c r="E261" s="13">
        <v>1</v>
      </c>
    </row>
    <row r="262" spans="1:5" x14ac:dyDescent="0.3">
      <c r="A262" s="13" t="s">
        <v>1</v>
      </c>
      <c r="B262" s="13" t="s">
        <v>142</v>
      </c>
      <c r="C262" s="13">
        <v>1</v>
      </c>
      <c r="D262" s="13">
        <v>0</v>
      </c>
      <c r="E262" s="13">
        <v>2</v>
      </c>
    </row>
    <row r="263" spans="1:5" x14ac:dyDescent="0.3">
      <c r="A263" s="13" t="s">
        <v>1</v>
      </c>
      <c r="B263" s="13" t="s">
        <v>447</v>
      </c>
      <c r="C263" s="13">
        <v>1</v>
      </c>
      <c r="D263" s="13">
        <v>0</v>
      </c>
      <c r="E263" s="13">
        <v>2</v>
      </c>
    </row>
    <row r="264" spans="1:5" x14ac:dyDescent="0.3">
      <c r="A264" s="13" t="s">
        <v>1</v>
      </c>
      <c r="B264" s="13" t="s">
        <v>348</v>
      </c>
      <c r="C264" s="13">
        <v>1</v>
      </c>
      <c r="D264" s="13">
        <v>0</v>
      </c>
      <c r="E264" s="13">
        <v>1</v>
      </c>
    </row>
    <row r="265" spans="1:5" x14ac:dyDescent="0.3">
      <c r="A265" s="13" t="s">
        <v>1</v>
      </c>
      <c r="B265" s="13" t="s">
        <v>557</v>
      </c>
      <c r="C265" s="13">
        <v>1</v>
      </c>
      <c r="D265" s="13">
        <v>0</v>
      </c>
      <c r="E265" s="13">
        <v>1</v>
      </c>
    </row>
    <row r="266" spans="1:5" x14ac:dyDescent="0.3">
      <c r="A266" s="13" t="s">
        <v>1</v>
      </c>
      <c r="B266" s="13" t="s">
        <v>758</v>
      </c>
      <c r="C266" s="13">
        <v>1</v>
      </c>
      <c r="D266" s="13">
        <v>0</v>
      </c>
      <c r="E266" s="13">
        <v>1</v>
      </c>
    </row>
    <row r="267" spans="1:5" x14ac:dyDescent="0.3">
      <c r="A267" s="13" t="s">
        <v>1</v>
      </c>
      <c r="B267" s="13" t="s">
        <v>209</v>
      </c>
      <c r="C267" s="13">
        <v>1</v>
      </c>
      <c r="D267" s="13">
        <v>0</v>
      </c>
      <c r="E267" s="13">
        <v>1</v>
      </c>
    </row>
    <row r="268" spans="1:5" x14ac:dyDescent="0.3">
      <c r="A268" s="13" t="s">
        <v>1</v>
      </c>
      <c r="B268" s="13" t="s">
        <v>304</v>
      </c>
      <c r="C268" s="13">
        <v>2</v>
      </c>
      <c r="D268" s="13">
        <v>0</v>
      </c>
      <c r="E268" s="13">
        <v>2</v>
      </c>
    </row>
    <row r="269" spans="1:5" x14ac:dyDescent="0.3">
      <c r="A269" s="13" t="s">
        <v>1</v>
      </c>
      <c r="B269" s="13" t="s">
        <v>987</v>
      </c>
      <c r="C269" s="13">
        <v>1</v>
      </c>
      <c r="D269" s="13">
        <v>0</v>
      </c>
      <c r="E269" s="13">
        <v>1</v>
      </c>
    </row>
    <row r="270" spans="1:5" x14ac:dyDescent="0.3">
      <c r="A270" s="13" t="s">
        <v>1</v>
      </c>
      <c r="B270" s="13" t="s">
        <v>351</v>
      </c>
      <c r="C270" s="13">
        <v>1</v>
      </c>
      <c r="D270" s="13">
        <v>0</v>
      </c>
      <c r="E270" s="13">
        <v>1</v>
      </c>
    </row>
    <row r="271" spans="1:5" x14ac:dyDescent="0.3">
      <c r="A271" s="13" t="s">
        <v>1</v>
      </c>
      <c r="B271" s="13" t="s">
        <v>1160</v>
      </c>
      <c r="C271" s="13">
        <v>1</v>
      </c>
      <c r="D271" s="13">
        <v>0</v>
      </c>
      <c r="E271" s="13">
        <v>1</v>
      </c>
    </row>
    <row r="272" spans="1:5" x14ac:dyDescent="0.3">
      <c r="A272" s="13" t="s">
        <v>1</v>
      </c>
      <c r="B272" s="13" t="s">
        <v>215</v>
      </c>
      <c r="C272" s="13">
        <v>1</v>
      </c>
      <c r="D272" s="13">
        <v>0</v>
      </c>
      <c r="E272" s="13">
        <v>0</v>
      </c>
    </row>
    <row r="273" spans="1:5" x14ac:dyDescent="0.3">
      <c r="A273" s="13" t="s">
        <v>1</v>
      </c>
      <c r="B273" s="13" t="s">
        <v>886</v>
      </c>
      <c r="C273" s="13">
        <v>1</v>
      </c>
      <c r="D273" s="13">
        <v>0</v>
      </c>
      <c r="E273" s="13">
        <v>1</v>
      </c>
    </row>
    <row r="274" spans="1:5" x14ac:dyDescent="0.3">
      <c r="A274" s="13" t="s">
        <v>1</v>
      </c>
      <c r="B274" s="13" t="s">
        <v>194</v>
      </c>
      <c r="C274" s="13">
        <v>1</v>
      </c>
      <c r="D274" s="13">
        <v>0</v>
      </c>
      <c r="E274" s="13">
        <v>1</v>
      </c>
    </row>
    <row r="275" spans="1:5" x14ac:dyDescent="0.3">
      <c r="A275" s="13" t="s">
        <v>1</v>
      </c>
      <c r="B275" s="13" t="s">
        <v>247</v>
      </c>
      <c r="C275" s="13">
        <v>1</v>
      </c>
      <c r="D275" s="13">
        <v>0</v>
      </c>
      <c r="E275" s="13">
        <v>1</v>
      </c>
    </row>
    <row r="276" spans="1:5" x14ac:dyDescent="0.3">
      <c r="A276" s="13" t="s">
        <v>1</v>
      </c>
      <c r="B276" s="13" t="s">
        <v>1370</v>
      </c>
      <c r="C276" s="13">
        <v>1</v>
      </c>
      <c r="D276" s="13">
        <v>0</v>
      </c>
      <c r="E276" s="13">
        <v>0</v>
      </c>
    </row>
    <row r="277" spans="1:5" x14ac:dyDescent="0.3">
      <c r="A277" s="13" t="s">
        <v>1</v>
      </c>
      <c r="B277" s="13" t="s">
        <v>1888</v>
      </c>
      <c r="C277" s="13">
        <v>1</v>
      </c>
      <c r="D277" s="13">
        <v>0</v>
      </c>
      <c r="E277" s="13">
        <v>1</v>
      </c>
    </row>
    <row r="278" spans="1:5" x14ac:dyDescent="0.3">
      <c r="A278" s="13" t="s">
        <v>1</v>
      </c>
      <c r="B278" s="13" t="s">
        <v>1885</v>
      </c>
      <c r="C278" s="13">
        <v>1</v>
      </c>
      <c r="D278" s="13">
        <v>0</v>
      </c>
      <c r="E278" s="13">
        <v>0</v>
      </c>
    </row>
    <row r="279" spans="1:5" x14ac:dyDescent="0.3">
      <c r="A279" s="13" t="s">
        <v>1</v>
      </c>
      <c r="B279" s="13" t="s">
        <v>1881</v>
      </c>
      <c r="C279" s="13">
        <v>1</v>
      </c>
      <c r="D279" s="13">
        <v>0</v>
      </c>
      <c r="E279" s="13">
        <v>1</v>
      </c>
    </row>
    <row r="280" spans="1:5" x14ac:dyDescent="0.3">
      <c r="A280" s="13" t="s">
        <v>1</v>
      </c>
      <c r="B280" s="13" t="s">
        <v>1976</v>
      </c>
      <c r="C280" s="13">
        <v>1</v>
      </c>
      <c r="D280" s="13">
        <v>0</v>
      </c>
      <c r="E280" s="13">
        <v>1</v>
      </c>
    </row>
    <row r="281" spans="1:5" x14ac:dyDescent="0.3">
      <c r="A281" s="13" t="s">
        <v>1</v>
      </c>
      <c r="B281" s="13" t="s">
        <v>2069</v>
      </c>
      <c r="C281" s="13">
        <v>1</v>
      </c>
      <c r="D281" s="13">
        <v>0</v>
      </c>
      <c r="E281" s="13">
        <v>1</v>
      </c>
    </row>
    <row r="282" spans="1:5" x14ac:dyDescent="0.3">
      <c r="A282" s="13" t="s">
        <v>1</v>
      </c>
      <c r="B282" s="13" t="s">
        <v>2148</v>
      </c>
      <c r="C282" s="13">
        <v>1</v>
      </c>
      <c r="D282" s="13">
        <v>0</v>
      </c>
      <c r="E282" s="13">
        <v>1</v>
      </c>
    </row>
    <row r="283" spans="1:5" x14ac:dyDescent="0.3">
      <c r="A283" s="13" t="s">
        <v>1</v>
      </c>
      <c r="B283" s="13" t="s">
        <v>2762</v>
      </c>
      <c r="C283" s="13">
        <v>2</v>
      </c>
      <c r="D283" s="13">
        <v>0</v>
      </c>
      <c r="E283" s="13">
        <v>2</v>
      </c>
    </row>
    <row r="284" spans="1:5" x14ac:dyDescent="0.3">
      <c r="A284" s="13" t="s">
        <v>1</v>
      </c>
      <c r="B284" s="13" t="s">
        <v>49</v>
      </c>
      <c r="C284" s="13">
        <v>1</v>
      </c>
      <c r="D284" s="13">
        <v>0</v>
      </c>
      <c r="E284" s="13">
        <v>2</v>
      </c>
    </row>
    <row r="285" spans="1:5" x14ac:dyDescent="0.3">
      <c r="A285" s="13" t="s">
        <v>1</v>
      </c>
      <c r="B285" s="13" t="s">
        <v>97</v>
      </c>
      <c r="C285" s="13">
        <v>1</v>
      </c>
      <c r="D285" s="13">
        <v>0</v>
      </c>
      <c r="E285" s="13">
        <v>1</v>
      </c>
    </row>
    <row r="286" spans="1:5" x14ac:dyDescent="0.3">
      <c r="A286" s="13" t="s">
        <v>1</v>
      </c>
      <c r="B286" s="13" t="s">
        <v>2846</v>
      </c>
      <c r="C286" s="13">
        <v>1</v>
      </c>
      <c r="D286" s="13">
        <v>0</v>
      </c>
      <c r="E286" s="13">
        <v>1</v>
      </c>
    </row>
    <row r="287" spans="1:5" x14ac:dyDescent="0.3">
      <c r="A287" s="13" t="s">
        <v>1</v>
      </c>
      <c r="B287" s="13" t="s">
        <v>1005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1</v>
      </c>
      <c r="B288" s="13" t="s">
        <v>895</v>
      </c>
      <c r="C288" s="13">
        <v>1</v>
      </c>
      <c r="D288" s="13">
        <v>0</v>
      </c>
      <c r="E288" s="13">
        <v>0</v>
      </c>
    </row>
    <row r="289" spans="1:5" x14ac:dyDescent="0.3">
      <c r="A289" s="13" t="s">
        <v>1</v>
      </c>
      <c r="B289" s="13" t="s">
        <v>626</v>
      </c>
      <c r="C289" s="13">
        <v>1</v>
      </c>
      <c r="D289" s="13">
        <v>0</v>
      </c>
      <c r="E289" s="13">
        <v>3</v>
      </c>
    </row>
    <row r="290" spans="1:5" x14ac:dyDescent="0.3">
      <c r="A290" s="13" t="s">
        <v>1</v>
      </c>
      <c r="B290" s="13" t="s">
        <v>115</v>
      </c>
      <c r="C290" s="13">
        <v>1</v>
      </c>
      <c r="D290" s="13">
        <v>0</v>
      </c>
      <c r="E290" s="13">
        <v>2</v>
      </c>
    </row>
    <row r="291" spans="1:5" x14ac:dyDescent="0.3">
      <c r="A291" s="13" t="s">
        <v>1</v>
      </c>
      <c r="B291" s="13" t="s">
        <v>629</v>
      </c>
      <c r="C291" s="13">
        <v>1</v>
      </c>
      <c r="D291" s="13">
        <v>0</v>
      </c>
      <c r="E291" s="13">
        <v>1</v>
      </c>
    </row>
    <row r="292" spans="1:5" x14ac:dyDescent="0.3">
      <c r="A292" s="13" t="s">
        <v>1</v>
      </c>
      <c r="B292" s="13" t="s">
        <v>1101</v>
      </c>
      <c r="C292" s="13">
        <v>1</v>
      </c>
      <c r="D292" s="13">
        <v>0</v>
      </c>
      <c r="E292" s="13">
        <v>0</v>
      </c>
    </row>
    <row r="293" spans="1:5" x14ac:dyDescent="0.3">
      <c r="A293" s="13" t="s">
        <v>1</v>
      </c>
      <c r="B293" s="13" t="s">
        <v>1274</v>
      </c>
      <c r="C293" s="13">
        <v>1</v>
      </c>
      <c r="D293" s="13">
        <v>0</v>
      </c>
      <c r="E293" s="13">
        <v>1</v>
      </c>
    </row>
    <row r="294" spans="1:5" x14ac:dyDescent="0.3">
      <c r="A294" s="13" t="s">
        <v>1</v>
      </c>
      <c r="B294" s="13" t="s">
        <v>122</v>
      </c>
      <c r="C294" s="13">
        <v>1</v>
      </c>
      <c r="D294" s="13">
        <v>0</v>
      </c>
      <c r="E294" s="13">
        <v>1</v>
      </c>
    </row>
    <row r="295" spans="1:5" x14ac:dyDescent="0.3">
      <c r="A295" s="13" t="s">
        <v>1</v>
      </c>
      <c r="B295" s="13" t="s">
        <v>2007</v>
      </c>
      <c r="C295" s="13">
        <v>1</v>
      </c>
      <c r="D295" s="13">
        <v>0</v>
      </c>
      <c r="E295" s="13">
        <v>1</v>
      </c>
    </row>
    <row r="296" spans="1:5" x14ac:dyDescent="0.3">
      <c r="A296" s="13" t="s">
        <v>1</v>
      </c>
      <c r="B296" s="13" t="s">
        <v>841</v>
      </c>
      <c r="C296" s="13">
        <v>1</v>
      </c>
      <c r="D296" s="13">
        <v>0</v>
      </c>
      <c r="E296" s="13">
        <v>2</v>
      </c>
    </row>
    <row r="297" spans="1:5" x14ac:dyDescent="0.3">
      <c r="A297" s="13" t="s">
        <v>1</v>
      </c>
      <c r="B297" s="13" t="s">
        <v>364</v>
      </c>
      <c r="C297" s="13">
        <v>1</v>
      </c>
      <c r="D297" s="13">
        <v>0</v>
      </c>
      <c r="E297" s="13">
        <v>1</v>
      </c>
    </row>
    <row r="298" spans="1:5" x14ac:dyDescent="0.3">
      <c r="A298" s="13" t="s">
        <v>1</v>
      </c>
      <c r="B298" s="13" t="s">
        <v>1838</v>
      </c>
      <c r="C298" s="13">
        <v>1</v>
      </c>
      <c r="D298" s="13">
        <v>0</v>
      </c>
      <c r="E298" s="13">
        <v>1</v>
      </c>
    </row>
    <row r="299" spans="1:5" x14ac:dyDescent="0.3">
      <c r="A299" s="13" t="s">
        <v>1</v>
      </c>
      <c r="B299" s="13" t="s">
        <v>668</v>
      </c>
      <c r="C299" s="13">
        <v>2</v>
      </c>
      <c r="D299" s="13">
        <v>0</v>
      </c>
      <c r="E299" s="13">
        <v>3</v>
      </c>
    </row>
    <row r="300" spans="1:5" x14ac:dyDescent="0.3">
      <c r="A300" s="13" t="s">
        <v>1</v>
      </c>
      <c r="B300" s="13" t="s">
        <v>182</v>
      </c>
      <c r="C300" s="13">
        <v>1</v>
      </c>
      <c r="D300" s="13">
        <v>0</v>
      </c>
      <c r="E300" s="13">
        <v>1</v>
      </c>
    </row>
    <row r="301" spans="1:5" x14ac:dyDescent="0.3">
      <c r="A301" s="13" t="s">
        <v>1</v>
      </c>
      <c r="B301" s="13" t="s">
        <v>458</v>
      </c>
      <c r="C301" s="13">
        <v>1</v>
      </c>
      <c r="D301" s="13">
        <v>0</v>
      </c>
      <c r="E301" s="13">
        <v>1</v>
      </c>
    </row>
    <row r="302" spans="1:5" x14ac:dyDescent="0.3">
      <c r="A302" s="13" t="s">
        <v>1</v>
      </c>
      <c r="B302" s="13" t="s">
        <v>127</v>
      </c>
      <c r="C302" s="13">
        <v>1</v>
      </c>
      <c r="D302" s="13">
        <v>0</v>
      </c>
      <c r="E302" s="13">
        <v>1</v>
      </c>
    </row>
    <row r="303" spans="1:5" x14ac:dyDescent="0.3">
      <c r="A303" s="13" t="s">
        <v>1</v>
      </c>
      <c r="B303" s="13" t="s">
        <v>185</v>
      </c>
      <c r="C303" s="13">
        <v>1</v>
      </c>
      <c r="D303" s="13">
        <v>0</v>
      </c>
      <c r="E303" s="13">
        <v>0</v>
      </c>
    </row>
    <row r="304" spans="1:5" x14ac:dyDescent="0.3">
      <c r="A304" s="13" t="s">
        <v>1</v>
      </c>
      <c r="B304" s="13" t="s">
        <v>482</v>
      </c>
      <c r="C304" s="13">
        <v>1</v>
      </c>
      <c r="D304" s="13">
        <v>0</v>
      </c>
      <c r="E304" s="13">
        <v>1</v>
      </c>
    </row>
    <row r="305" spans="1:5" x14ac:dyDescent="0.3">
      <c r="A305" s="13" t="s">
        <v>1</v>
      </c>
      <c r="B305" s="13" t="s">
        <v>1276</v>
      </c>
      <c r="C305" s="13">
        <v>1</v>
      </c>
      <c r="D305" s="13">
        <v>0</v>
      </c>
      <c r="E305" s="13">
        <v>2</v>
      </c>
    </row>
    <row r="306" spans="1:5" x14ac:dyDescent="0.3">
      <c r="A306" s="13" t="s">
        <v>1</v>
      </c>
      <c r="B306" s="13" t="s">
        <v>803</v>
      </c>
      <c r="C306" s="13">
        <v>1</v>
      </c>
      <c r="D306" s="13">
        <v>0</v>
      </c>
      <c r="E306" s="13">
        <v>1</v>
      </c>
    </row>
    <row r="307" spans="1:5" x14ac:dyDescent="0.3">
      <c r="A307" s="13" t="s">
        <v>1</v>
      </c>
      <c r="B307" s="13" t="s">
        <v>1103</v>
      </c>
      <c r="C307" s="13">
        <v>1</v>
      </c>
      <c r="D307" s="13">
        <v>0</v>
      </c>
      <c r="E307" s="13">
        <v>1</v>
      </c>
    </row>
    <row r="308" spans="1:5" x14ac:dyDescent="0.3">
      <c r="A308" s="13" t="s">
        <v>1</v>
      </c>
      <c r="B308" s="13" t="s">
        <v>134</v>
      </c>
      <c r="C308" s="13">
        <v>1</v>
      </c>
      <c r="D308" s="13">
        <v>0</v>
      </c>
      <c r="E308" s="13">
        <v>1</v>
      </c>
    </row>
    <row r="309" spans="1:5" x14ac:dyDescent="0.3">
      <c r="A309" s="13" t="s">
        <v>1</v>
      </c>
      <c r="B309" s="13" t="s">
        <v>231</v>
      </c>
      <c r="C309" s="13">
        <v>2</v>
      </c>
      <c r="D309" s="13">
        <v>0</v>
      </c>
      <c r="E309" s="13">
        <v>2</v>
      </c>
    </row>
    <row r="310" spans="1:5" x14ac:dyDescent="0.3">
      <c r="A310" s="13" t="s">
        <v>1</v>
      </c>
      <c r="B310" s="13" t="s">
        <v>191</v>
      </c>
      <c r="C310" s="13">
        <v>1</v>
      </c>
      <c r="D310" s="13">
        <v>0</v>
      </c>
      <c r="E310" s="13">
        <v>5</v>
      </c>
    </row>
    <row r="311" spans="1:5" x14ac:dyDescent="0.3">
      <c r="A311" s="13" t="s">
        <v>1</v>
      </c>
      <c r="B311" s="13" t="s">
        <v>192</v>
      </c>
      <c r="C311" s="13">
        <v>1</v>
      </c>
      <c r="D311" s="13">
        <v>0</v>
      </c>
      <c r="E311" s="13">
        <v>1</v>
      </c>
    </row>
    <row r="312" spans="1:5" x14ac:dyDescent="0.3">
      <c r="A312" s="13" t="s">
        <v>1</v>
      </c>
      <c r="B312" s="13" t="s">
        <v>54</v>
      </c>
      <c r="C312" s="13">
        <v>1</v>
      </c>
      <c r="D312" s="13">
        <v>0</v>
      </c>
      <c r="E312" s="13">
        <v>1</v>
      </c>
    </row>
    <row r="313" spans="1:5" x14ac:dyDescent="0.3">
      <c r="A313" s="13" t="s">
        <v>1</v>
      </c>
      <c r="B313" s="13" t="s">
        <v>236</v>
      </c>
      <c r="C313" s="13">
        <v>1</v>
      </c>
      <c r="D313" s="13">
        <v>0</v>
      </c>
      <c r="E313" s="13">
        <v>1</v>
      </c>
    </row>
    <row r="314" spans="1:5" x14ac:dyDescent="0.3">
      <c r="A314" s="13" t="s">
        <v>1</v>
      </c>
      <c r="B314" s="13" t="s">
        <v>640</v>
      </c>
      <c r="C314" s="13">
        <v>2</v>
      </c>
      <c r="D314" s="13">
        <v>0</v>
      </c>
      <c r="E314" s="13">
        <v>1</v>
      </c>
    </row>
    <row r="315" spans="1:5" x14ac:dyDescent="0.3">
      <c r="A315" s="13" t="s">
        <v>1</v>
      </c>
      <c r="B315" s="13" t="s">
        <v>371</v>
      </c>
      <c r="C315" s="13">
        <v>1</v>
      </c>
      <c r="D315" s="13">
        <v>0</v>
      </c>
      <c r="E315" s="13">
        <v>1</v>
      </c>
    </row>
    <row r="316" spans="1:5" x14ac:dyDescent="0.3">
      <c r="A316" s="13" t="s">
        <v>1</v>
      </c>
      <c r="B316" s="13" t="s">
        <v>366</v>
      </c>
      <c r="C316" s="13">
        <v>1</v>
      </c>
      <c r="D316" s="13">
        <v>0</v>
      </c>
      <c r="E316" s="13">
        <v>1</v>
      </c>
    </row>
    <row r="317" spans="1:5" x14ac:dyDescent="0.3">
      <c r="A317" s="13" t="s">
        <v>1</v>
      </c>
      <c r="B317" s="13" t="s">
        <v>461</v>
      </c>
      <c r="C317" s="13">
        <v>1</v>
      </c>
      <c r="D317" s="13">
        <v>0</v>
      </c>
      <c r="E317" s="13">
        <v>1</v>
      </c>
    </row>
    <row r="318" spans="1:5" x14ac:dyDescent="0.3">
      <c r="A318" s="13" t="s">
        <v>1</v>
      </c>
      <c r="B318" s="13" t="s">
        <v>2761</v>
      </c>
      <c r="C318" s="13">
        <v>1</v>
      </c>
      <c r="D318" s="13">
        <v>0</v>
      </c>
      <c r="E318" s="13">
        <v>2</v>
      </c>
    </row>
    <row r="319" spans="1:5" x14ac:dyDescent="0.3">
      <c r="A319" s="13" t="s">
        <v>1</v>
      </c>
      <c r="B319" s="13" t="s">
        <v>1778</v>
      </c>
      <c r="C319" s="13">
        <v>1</v>
      </c>
      <c r="D319" s="13">
        <v>0</v>
      </c>
      <c r="E319" s="13">
        <v>2</v>
      </c>
    </row>
    <row r="320" spans="1:5" x14ac:dyDescent="0.3">
      <c r="A320" s="13" t="s">
        <v>1</v>
      </c>
      <c r="B320" s="13" t="s">
        <v>871</v>
      </c>
      <c r="C320" s="13">
        <v>1</v>
      </c>
      <c r="D320" s="13">
        <v>0</v>
      </c>
      <c r="E320" s="13">
        <v>2</v>
      </c>
    </row>
    <row r="321" spans="1:5" x14ac:dyDescent="0.3">
      <c r="A321" s="13" t="s">
        <v>1</v>
      </c>
      <c r="B321" s="13" t="s">
        <v>418</v>
      </c>
      <c r="C321" s="13">
        <v>0</v>
      </c>
      <c r="D321" s="13">
        <v>2</v>
      </c>
      <c r="E321" s="13"/>
    </row>
    <row r="322" spans="1:5" x14ac:dyDescent="0.3">
      <c r="A322" s="13" t="s">
        <v>0</v>
      </c>
      <c r="B322" s="13" t="s">
        <v>670</v>
      </c>
      <c r="C322" s="13">
        <v>1</v>
      </c>
      <c r="D322" s="13">
        <v>0</v>
      </c>
      <c r="E322" s="13">
        <v>1</v>
      </c>
    </row>
    <row r="323" spans="1:5" x14ac:dyDescent="0.3">
      <c r="A323" s="13" t="s">
        <v>0</v>
      </c>
      <c r="B323" s="13" t="s">
        <v>263</v>
      </c>
      <c r="C323" s="13">
        <v>1</v>
      </c>
      <c r="D323" s="13">
        <v>0</v>
      </c>
      <c r="E323" s="13">
        <v>1</v>
      </c>
    </row>
    <row r="324" spans="1:5" x14ac:dyDescent="0.3">
      <c r="A324" s="13" t="s">
        <v>0</v>
      </c>
      <c r="B324" s="13" t="s">
        <v>243</v>
      </c>
      <c r="C324" s="13">
        <v>1</v>
      </c>
      <c r="D324" s="13">
        <v>0</v>
      </c>
      <c r="E324" s="13">
        <v>1</v>
      </c>
    </row>
    <row r="325" spans="1:5" x14ac:dyDescent="0.3">
      <c r="A325" s="13" t="s">
        <v>0</v>
      </c>
      <c r="B325" s="13" t="s">
        <v>146</v>
      </c>
      <c r="C325" s="13">
        <v>1</v>
      </c>
      <c r="D325" s="13">
        <v>0</v>
      </c>
      <c r="E325" s="13">
        <v>1</v>
      </c>
    </row>
    <row r="326" spans="1:5" x14ac:dyDescent="0.3">
      <c r="A326" s="13" t="s">
        <v>0</v>
      </c>
      <c r="B326" s="13" t="s">
        <v>799</v>
      </c>
      <c r="C326" s="13">
        <v>1</v>
      </c>
      <c r="D326" s="13">
        <v>0</v>
      </c>
      <c r="E326" s="13">
        <v>1</v>
      </c>
    </row>
    <row r="327" spans="1:5" x14ac:dyDescent="0.3">
      <c r="A327" s="13" t="s">
        <v>0</v>
      </c>
      <c r="B327" s="13" t="s">
        <v>653</v>
      </c>
      <c r="C327" s="13">
        <v>1</v>
      </c>
      <c r="D327" s="13">
        <v>0</v>
      </c>
      <c r="E327" s="13">
        <v>1</v>
      </c>
    </row>
    <row r="328" spans="1:5" x14ac:dyDescent="0.3">
      <c r="A328" s="13" t="s">
        <v>0</v>
      </c>
      <c r="B328" s="13" t="s">
        <v>1852</v>
      </c>
      <c r="C328" s="13">
        <v>2</v>
      </c>
      <c r="D328" s="13">
        <v>0</v>
      </c>
      <c r="E328" s="13">
        <v>3</v>
      </c>
    </row>
    <row r="329" spans="1:5" x14ac:dyDescent="0.3">
      <c r="A329" s="13" t="s">
        <v>0</v>
      </c>
      <c r="B329" s="13" t="s">
        <v>2735</v>
      </c>
      <c r="C329" s="13">
        <v>1</v>
      </c>
      <c r="D329" s="13">
        <v>0</v>
      </c>
      <c r="E329" s="13">
        <v>1</v>
      </c>
    </row>
    <row r="330" spans="1:5" x14ac:dyDescent="0.3">
      <c r="A330" s="13" t="s">
        <v>0</v>
      </c>
      <c r="B330" s="13" t="s">
        <v>2847</v>
      </c>
      <c r="C330" s="13">
        <v>1</v>
      </c>
      <c r="D330" s="13">
        <v>0</v>
      </c>
      <c r="E330" s="13">
        <v>1</v>
      </c>
    </row>
    <row r="331" spans="1:5" x14ac:dyDescent="0.3">
      <c r="A331" s="13" t="s">
        <v>0</v>
      </c>
      <c r="B331" s="13" t="s">
        <v>1593</v>
      </c>
      <c r="C331" s="13">
        <v>1</v>
      </c>
      <c r="D331" s="13">
        <v>0</v>
      </c>
      <c r="E331" s="13">
        <v>1</v>
      </c>
    </row>
    <row r="332" spans="1:5" x14ac:dyDescent="0.3">
      <c r="A332" s="13" t="s">
        <v>0</v>
      </c>
      <c r="B332" s="13" t="s">
        <v>252</v>
      </c>
      <c r="C332" s="13">
        <v>1</v>
      </c>
      <c r="D332" s="13">
        <v>0</v>
      </c>
      <c r="E332" s="13">
        <v>1</v>
      </c>
    </row>
    <row r="333" spans="1:5" x14ac:dyDescent="0.3">
      <c r="A333" s="13" t="s">
        <v>0</v>
      </c>
      <c r="B333" s="13" t="s">
        <v>1151</v>
      </c>
      <c r="C333" s="13">
        <v>1</v>
      </c>
      <c r="D333" s="13">
        <v>0</v>
      </c>
      <c r="E333" s="13">
        <v>1</v>
      </c>
    </row>
    <row r="334" spans="1:5" x14ac:dyDescent="0.3">
      <c r="A334" s="13" t="s">
        <v>0</v>
      </c>
      <c r="B334" s="13" t="s">
        <v>1692</v>
      </c>
      <c r="C334" s="13">
        <v>1</v>
      </c>
      <c r="D334" s="13">
        <v>0</v>
      </c>
      <c r="E334" s="13">
        <v>1</v>
      </c>
    </row>
    <row r="335" spans="1:5" x14ac:dyDescent="0.3">
      <c r="A335" s="13" t="s">
        <v>0</v>
      </c>
      <c r="B335" s="13" t="s">
        <v>67</v>
      </c>
      <c r="C335" s="13">
        <v>2</v>
      </c>
      <c r="D335" s="13">
        <v>0</v>
      </c>
      <c r="E335" s="13">
        <v>2</v>
      </c>
    </row>
    <row r="336" spans="1:5" x14ac:dyDescent="0.3">
      <c r="A336" s="13" t="s">
        <v>0</v>
      </c>
      <c r="B336" s="13" t="s">
        <v>54</v>
      </c>
      <c r="C336" s="13">
        <v>1</v>
      </c>
      <c r="D336" s="13">
        <v>0</v>
      </c>
      <c r="E336" s="13">
        <v>2</v>
      </c>
    </row>
    <row r="337" spans="1:5" x14ac:dyDescent="0.3">
      <c r="A337" s="13" t="s">
        <v>0</v>
      </c>
      <c r="B337" s="13" t="s">
        <v>2715</v>
      </c>
      <c r="C337" s="13">
        <v>0</v>
      </c>
      <c r="D337" s="13">
        <v>1</v>
      </c>
      <c r="E337" s="13"/>
    </row>
    <row r="338" spans="1:5" x14ac:dyDescent="0.3">
      <c r="A338" s="13" t="s">
        <v>0</v>
      </c>
      <c r="B338" s="13" t="s">
        <v>32</v>
      </c>
      <c r="C338" s="13">
        <v>1</v>
      </c>
      <c r="D338" s="13">
        <v>0</v>
      </c>
      <c r="E338" s="13">
        <v>1</v>
      </c>
    </row>
    <row r="339" spans="1:5" x14ac:dyDescent="0.3">
      <c r="A339" s="13" t="s">
        <v>2</v>
      </c>
      <c r="B339" s="13" t="s">
        <v>30</v>
      </c>
      <c r="C339" s="13">
        <v>1</v>
      </c>
      <c r="D339" s="13">
        <v>0</v>
      </c>
      <c r="E339" s="13">
        <v>2</v>
      </c>
    </row>
    <row r="340" spans="1:5" x14ac:dyDescent="0.3">
      <c r="A340" s="13" t="s">
        <v>2</v>
      </c>
      <c r="B340" s="13" t="s">
        <v>386</v>
      </c>
      <c r="C340" s="13">
        <v>1</v>
      </c>
      <c r="D340" s="13">
        <v>0</v>
      </c>
      <c r="E340" s="13">
        <v>1</v>
      </c>
    </row>
    <row r="341" spans="1:5" x14ac:dyDescent="0.3">
      <c r="A341" s="13" t="s">
        <v>2</v>
      </c>
      <c r="B341" s="13" t="s">
        <v>226</v>
      </c>
      <c r="C341" s="13">
        <v>1</v>
      </c>
      <c r="D341" s="13">
        <v>0</v>
      </c>
      <c r="E341" s="13">
        <v>1</v>
      </c>
    </row>
    <row r="342" spans="1:5" x14ac:dyDescent="0.3">
      <c r="A342" s="13" t="s">
        <v>2</v>
      </c>
      <c r="B342" s="13" t="s">
        <v>192</v>
      </c>
      <c r="C342" s="13">
        <v>1</v>
      </c>
      <c r="D342" s="13">
        <v>0</v>
      </c>
      <c r="E342" s="13">
        <v>1</v>
      </c>
    </row>
    <row r="343" spans="1:5" x14ac:dyDescent="0.3">
      <c r="A343" s="13"/>
      <c r="B343" s="13"/>
      <c r="C343" s="13"/>
      <c r="D343" s="13"/>
      <c r="E343" s="13"/>
    </row>
    <row r="344" spans="1:5" x14ac:dyDescent="0.3">
      <c r="A344" s="13"/>
      <c r="B344" s="13"/>
      <c r="C344" s="13"/>
      <c r="D344" s="13"/>
      <c r="E344" s="13"/>
    </row>
    <row r="345" spans="1:5" x14ac:dyDescent="0.3">
      <c r="A345" s="13"/>
      <c r="B345" s="13"/>
      <c r="C345" s="13"/>
      <c r="D345" s="13"/>
      <c r="E345" s="13"/>
    </row>
    <row r="346" spans="1:5" x14ac:dyDescent="0.3">
      <c r="A346" s="13"/>
      <c r="B346" s="13"/>
      <c r="C346" s="13"/>
      <c r="D346" s="13"/>
      <c r="E346" s="13"/>
    </row>
    <row r="347" spans="1:5" x14ac:dyDescent="0.3">
      <c r="A347" s="13"/>
      <c r="B347" s="13"/>
      <c r="C347" s="13"/>
      <c r="D347" s="13"/>
      <c r="E347" s="13"/>
    </row>
    <row r="348" spans="1:5" x14ac:dyDescent="0.3">
      <c r="A348" s="13"/>
      <c r="B348" s="13"/>
      <c r="C348" s="13"/>
      <c r="D348" s="13"/>
      <c r="E348" s="13"/>
    </row>
    <row r="349" spans="1:5" x14ac:dyDescent="0.3">
      <c r="A349" s="13"/>
      <c r="B349" s="13"/>
      <c r="C349" s="13"/>
      <c r="D349" s="13"/>
      <c r="E349" s="13"/>
    </row>
    <row r="350" spans="1:5" x14ac:dyDescent="0.3">
      <c r="A350" s="13"/>
      <c r="B350" s="13"/>
      <c r="C350" s="13"/>
      <c r="D350" s="13"/>
      <c r="E350" s="13"/>
    </row>
    <row r="351" spans="1:5" x14ac:dyDescent="0.3">
      <c r="A351" s="13"/>
      <c r="B351" s="13"/>
      <c r="C351" s="13"/>
      <c r="D351" s="13"/>
      <c r="E351" s="13"/>
    </row>
    <row r="352" spans="1:5" x14ac:dyDescent="0.3">
      <c r="A352" s="13"/>
      <c r="B352" s="13"/>
      <c r="C352" s="13"/>
      <c r="D352" s="13"/>
      <c r="E352" s="13"/>
    </row>
    <row r="353" spans="1:5" x14ac:dyDescent="0.3">
      <c r="A353" s="13"/>
      <c r="B353" s="13"/>
      <c r="C353" s="13"/>
      <c r="D353" s="13"/>
      <c r="E353" s="13"/>
    </row>
    <row r="354" spans="1:5" x14ac:dyDescent="0.3">
      <c r="A354" s="13"/>
      <c r="B354" s="13"/>
      <c r="C354" s="13"/>
      <c r="D354" s="13"/>
      <c r="E354" s="13"/>
    </row>
    <row r="355" spans="1:5" x14ac:dyDescent="0.3">
      <c r="A355" s="13"/>
      <c r="B355" s="13"/>
      <c r="C355" s="13"/>
      <c r="D355" s="13"/>
      <c r="E355" s="13"/>
    </row>
    <row r="356" spans="1:5" x14ac:dyDescent="0.3">
      <c r="A356" s="13"/>
      <c r="B356" s="13"/>
      <c r="C356" s="13"/>
      <c r="D356" s="13"/>
      <c r="E356" s="13"/>
    </row>
    <row r="357" spans="1:5" x14ac:dyDescent="0.3">
      <c r="A357" s="13"/>
      <c r="B357" s="13"/>
      <c r="C357" s="13"/>
      <c r="D357" s="13"/>
      <c r="E357" s="13"/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D566A-944D-4BDC-82D3-6CF7F748A45B}">
  <sheetPr codeName="Sheet57"/>
  <dimension ref="A1:M684"/>
  <sheetViews>
    <sheetView workbookViewId="0">
      <selection activeCell="A2" sqref="A2:E684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354</v>
      </c>
      <c r="C2" s="13">
        <v>59</v>
      </c>
      <c r="D2" s="13">
        <v>51</v>
      </c>
      <c r="E2" s="13">
        <v>66</v>
      </c>
    </row>
    <row r="3" spans="1:13" customFormat="1" x14ac:dyDescent="0.3">
      <c r="A3" s="13" t="s">
        <v>1</v>
      </c>
      <c r="B3" s="13" t="s">
        <v>135</v>
      </c>
      <c r="C3" s="13">
        <v>57</v>
      </c>
      <c r="D3" s="13">
        <v>48</v>
      </c>
      <c r="E3" s="13">
        <v>63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81</v>
      </c>
      <c r="D4" s="13">
        <v>31</v>
      </c>
      <c r="E4" s="13">
        <v>139</v>
      </c>
      <c r="G4" s="19" t="s">
        <v>8</v>
      </c>
      <c r="H4" s="15">
        <f>H13+H14</f>
        <v>1159</v>
      </c>
      <c r="I4" s="16">
        <f>H4/H$6</f>
        <v>0.74919198448610214</v>
      </c>
      <c r="J4" s="15">
        <f>I13+I14</f>
        <v>679</v>
      </c>
      <c r="K4" s="16">
        <f>J4/J$6</f>
        <v>0.68104312938816447</v>
      </c>
      <c r="L4" s="15">
        <f>J13+J14</f>
        <v>1349</v>
      </c>
      <c r="M4" s="25">
        <f>L4/L$6</f>
        <v>0.7540525433202907</v>
      </c>
    </row>
    <row r="5" spans="1:13" customFormat="1" x14ac:dyDescent="0.3">
      <c r="A5" s="13" t="s">
        <v>0</v>
      </c>
      <c r="B5" s="13" t="s">
        <v>2701</v>
      </c>
      <c r="C5" s="13">
        <v>33</v>
      </c>
      <c r="D5" s="13">
        <v>24</v>
      </c>
      <c r="E5" s="13">
        <v>44</v>
      </c>
      <c r="G5" s="19" t="s">
        <v>10</v>
      </c>
      <c r="H5" s="15">
        <f>H15+H16</f>
        <v>388</v>
      </c>
      <c r="I5" s="16">
        <f>H5/H$6</f>
        <v>0.25080801551389786</v>
      </c>
      <c r="J5" s="15">
        <f>I15+I16</f>
        <v>318</v>
      </c>
      <c r="K5" s="16">
        <f>J5/J$6</f>
        <v>0.31895687061183553</v>
      </c>
      <c r="L5" s="15">
        <f>J15+J16</f>
        <v>440</v>
      </c>
      <c r="M5" s="25">
        <f>L5/L$6</f>
        <v>0.24594745667970933</v>
      </c>
    </row>
    <row r="6" spans="1:13" customFormat="1" ht="17.25" thickBot="1" x14ac:dyDescent="0.35">
      <c r="A6" s="13" t="s">
        <v>1</v>
      </c>
      <c r="B6" s="13" t="s">
        <v>37</v>
      </c>
      <c r="C6" s="13">
        <v>22</v>
      </c>
      <c r="D6" s="13">
        <v>17</v>
      </c>
      <c r="E6" s="13">
        <v>23</v>
      </c>
      <c r="G6" s="22"/>
      <c r="H6" s="26">
        <f>SUM(H4:H5)</f>
        <v>1547</v>
      </c>
      <c r="I6" s="27">
        <f>I4+I5</f>
        <v>1</v>
      </c>
      <c r="J6" s="26">
        <f>SUM(J4:J5)</f>
        <v>997</v>
      </c>
      <c r="K6" s="27">
        <f>K4+K5</f>
        <v>1</v>
      </c>
      <c r="L6" s="26">
        <f>SUM(L4:L5)</f>
        <v>1789</v>
      </c>
      <c r="M6" s="28">
        <f>M4+M5</f>
        <v>1</v>
      </c>
    </row>
    <row r="7" spans="1:13" customFormat="1" x14ac:dyDescent="0.3">
      <c r="A7" s="13" t="s">
        <v>1</v>
      </c>
      <c r="B7" s="13" t="s">
        <v>1948</v>
      </c>
      <c r="C7" s="13">
        <v>18</v>
      </c>
      <c r="D7" s="13">
        <v>14</v>
      </c>
      <c r="E7" s="13">
        <v>19</v>
      </c>
    </row>
    <row r="8" spans="1:13" customFormat="1" x14ac:dyDescent="0.3">
      <c r="A8" s="13" t="s">
        <v>0</v>
      </c>
      <c r="B8" s="13" t="s">
        <v>354</v>
      </c>
      <c r="C8" s="13">
        <v>13</v>
      </c>
      <c r="D8" s="13">
        <v>12</v>
      </c>
      <c r="E8" s="13">
        <v>13</v>
      </c>
    </row>
    <row r="9" spans="1:13" customFormat="1" x14ac:dyDescent="0.3">
      <c r="A9" s="13" t="s">
        <v>0</v>
      </c>
      <c r="B9" s="13" t="s">
        <v>29</v>
      </c>
      <c r="C9" s="13">
        <v>12</v>
      </c>
      <c r="D9" s="13">
        <v>12</v>
      </c>
      <c r="E9" s="13">
        <v>15</v>
      </c>
    </row>
    <row r="10" spans="1:13" customFormat="1" ht="17.25" thickBot="1" x14ac:dyDescent="0.35">
      <c r="A10" s="13" t="s">
        <v>0</v>
      </c>
      <c r="B10" s="13" t="s">
        <v>31</v>
      </c>
      <c r="C10" s="13">
        <v>12</v>
      </c>
      <c r="D10" s="13">
        <v>12</v>
      </c>
      <c r="E10" s="13">
        <v>12</v>
      </c>
    </row>
    <row r="11" spans="1:13" x14ac:dyDescent="0.3">
      <c r="A11" s="13" t="s">
        <v>0</v>
      </c>
      <c r="B11" s="13" t="s">
        <v>30</v>
      </c>
      <c r="C11" s="13">
        <v>15</v>
      </c>
      <c r="D11" s="13">
        <v>10</v>
      </c>
      <c r="E11" s="13">
        <v>24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61</v>
      </c>
      <c r="C12" s="13">
        <v>9</v>
      </c>
      <c r="D12" s="13">
        <v>9</v>
      </c>
      <c r="E12" s="13">
        <v>9</v>
      </c>
      <c r="G12" s="19"/>
      <c r="H12" s="17">
        <f t="shared" ref="H12:J12" si="0">SUM(H13:H16)</f>
        <v>1547</v>
      </c>
      <c r="I12" s="17">
        <f t="shared" si="0"/>
        <v>997</v>
      </c>
      <c r="J12" s="20">
        <f t="shared" si="0"/>
        <v>1789</v>
      </c>
    </row>
    <row r="13" spans="1:13" x14ac:dyDescent="0.3">
      <c r="A13" s="13" t="s">
        <v>1</v>
      </c>
      <c r="B13" s="13" t="s">
        <v>120</v>
      </c>
      <c r="C13" s="13">
        <v>10</v>
      </c>
      <c r="D13" s="13">
        <v>9</v>
      </c>
      <c r="E13" s="13">
        <v>10</v>
      </c>
      <c r="G13" s="19" t="s">
        <v>7</v>
      </c>
      <c r="H13" s="18">
        <f t="shared" ref="H13:J16" si="1">SUMIF($A$2:$A$9999,$G13,C$2:C$9999)</f>
        <v>1159</v>
      </c>
      <c r="I13" s="18">
        <f t="shared" si="1"/>
        <v>679</v>
      </c>
      <c r="J13" s="21">
        <f t="shared" si="1"/>
        <v>1349</v>
      </c>
    </row>
    <row r="14" spans="1:13" x14ac:dyDescent="0.3">
      <c r="A14" s="13" t="s">
        <v>1</v>
      </c>
      <c r="B14" s="13" t="s">
        <v>1663</v>
      </c>
      <c r="C14" s="13">
        <v>15</v>
      </c>
      <c r="D14" s="13">
        <v>8</v>
      </c>
      <c r="E14" s="13">
        <v>16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1988</v>
      </c>
      <c r="C15" s="13">
        <v>17</v>
      </c>
      <c r="D15" s="13">
        <v>8</v>
      </c>
      <c r="E15" s="13">
        <v>20</v>
      </c>
      <c r="G15" s="19" t="s">
        <v>11</v>
      </c>
      <c r="H15" s="18">
        <f t="shared" si="1"/>
        <v>354</v>
      </c>
      <c r="I15" s="18">
        <f t="shared" si="1"/>
        <v>292</v>
      </c>
      <c r="J15" s="21">
        <f t="shared" si="1"/>
        <v>404</v>
      </c>
    </row>
    <row r="16" spans="1:13" ht="17.25" thickBot="1" x14ac:dyDescent="0.35">
      <c r="A16" s="13" t="s">
        <v>1</v>
      </c>
      <c r="B16" s="13" t="s">
        <v>29</v>
      </c>
      <c r="C16" s="13">
        <v>8</v>
      </c>
      <c r="D16" s="13">
        <v>8</v>
      </c>
      <c r="E16" s="13">
        <v>9</v>
      </c>
      <c r="G16" s="22" t="s">
        <v>12</v>
      </c>
      <c r="H16" s="23">
        <f t="shared" si="1"/>
        <v>34</v>
      </c>
      <c r="I16" s="23">
        <f t="shared" si="1"/>
        <v>26</v>
      </c>
      <c r="J16" s="24">
        <f t="shared" si="1"/>
        <v>36</v>
      </c>
    </row>
    <row r="17" spans="1:5" x14ac:dyDescent="0.3">
      <c r="A17" s="13" t="s">
        <v>0</v>
      </c>
      <c r="B17" s="13" t="s">
        <v>1948</v>
      </c>
      <c r="C17" s="13">
        <v>8</v>
      </c>
      <c r="D17" s="13">
        <v>8</v>
      </c>
      <c r="E17" s="13">
        <v>10</v>
      </c>
    </row>
    <row r="18" spans="1:5" x14ac:dyDescent="0.3">
      <c r="A18" s="13" t="s">
        <v>1</v>
      </c>
      <c r="B18" s="13" t="s">
        <v>48</v>
      </c>
      <c r="C18" s="13">
        <v>12</v>
      </c>
      <c r="D18" s="13">
        <v>7</v>
      </c>
      <c r="E18" s="13">
        <v>12</v>
      </c>
    </row>
    <row r="19" spans="1:5" x14ac:dyDescent="0.3">
      <c r="A19" s="13" t="s">
        <v>1</v>
      </c>
      <c r="B19" s="13" t="s">
        <v>2701</v>
      </c>
      <c r="C19" s="13">
        <v>12</v>
      </c>
      <c r="D19" s="13">
        <v>7</v>
      </c>
      <c r="E19" s="13">
        <v>13</v>
      </c>
    </row>
    <row r="20" spans="1:5" x14ac:dyDescent="0.3">
      <c r="A20" s="13" t="s">
        <v>0</v>
      </c>
      <c r="B20" s="13" t="s">
        <v>37</v>
      </c>
      <c r="C20" s="13">
        <v>7</v>
      </c>
      <c r="D20" s="13">
        <v>7</v>
      </c>
      <c r="E20" s="13">
        <v>10</v>
      </c>
    </row>
    <row r="21" spans="1:5" x14ac:dyDescent="0.3">
      <c r="A21" s="13" t="s">
        <v>1</v>
      </c>
      <c r="B21" s="13" t="s">
        <v>349</v>
      </c>
      <c r="C21" s="13">
        <v>9</v>
      </c>
      <c r="D21" s="13">
        <v>6</v>
      </c>
      <c r="E21" s="13">
        <v>9</v>
      </c>
    </row>
    <row r="22" spans="1:5" x14ac:dyDescent="0.3">
      <c r="A22" s="13" t="s">
        <v>1</v>
      </c>
      <c r="B22" s="13" t="s">
        <v>1849</v>
      </c>
      <c r="C22" s="13">
        <v>7</v>
      </c>
      <c r="D22" s="13">
        <v>6</v>
      </c>
      <c r="E22" s="13">
        <v>7</v>
      </c>
    </row>
    <row r="23" spans="1:5" x14ac:dyDescent="0.3">
      <c r="A23" s="13" t="s">
        <v>0</v>
      </c>
      <c r="B23" s="13" t="s">
        <v>120</v>
      </c>
      <c r="C23" s="13">
        <v>6</v>
      </c>
      <c r="D23" s="13">
        <v>6</v>
      </c>
      <c r="E23" s="13">
        <v>7</v>
      </c>
    </row>
    <row r="24" spans="1:5" x14ac:dyDescent="0.3">
      <c r="A24" s="13" t="s">
        <v>1</v>
      </c>
      <c r="B24" s="13" t="s">
        <v>150</v>
      </c>
      <c r="C24" s="13">
        <v>6</v>
      </c>
      <c r="D24" s="13">
        <v>5</v>
      </c>
      <c r="E24" s="13">
        <v>6</v>
      </c>
    </row>
    <row r="25" spans="1:5" x14ac:dyDescent="0.3">
      <c r="A25" s="13" t="s">
        <v>1</v>
      </c>
      <c r="B25" s="13" t="s">
        <v>1741</v>
      </c>
      <c r="C25" s="13">
        <v>5</v>
      </c>
      <c r="D25" s="13">
        <v>5</v>
      </c>
      <c r="E25" s="13">
        <v>5</v>
      </c>
    </row>
    <row r="26" spans="1:5" x14ac:dyDescent="0.3">
      <c r="A26" s="13" t="s">
        <v>1</v>
      </c>
      <c r="B26" s="13" t="s">
        <v>2093</v>
      </c>
      <c r="C26" s="13">
        <v>12</v>
      </c>
      <c r="D26" s="13">
        <v>5</v>
      </c>
      <c r="E26" s="13">
        <v>12</v>
      </c>
    </row>
    <row r="27" spans="1:5" x14ac:dyDescent="0.3">
      <c r="A27" s="13" t="s">
        <v>1</v>
      </c>
      <c r="B27" s="13" t="s">
        <v>2203</v>
      </c>
      <c r="C27" s="13">
        <v>11</v>
      </c>
      <c r="D27" s="13">
        <v>5</v>
      </c>
      <c r="E27" s="13">
        <v>11</v>
      </c>
    </row>
    <row r="28" spans="1:5" x14ac:dyDescent="0.3">
      <c r="A28" s="13" t="s">
        <v>1</v>
      </c>
      <c r="B28" s="13" t="s">
        <v>2735</v>
      </c>
      <c r="C28" s="13">
        <v>10</v>
      </c>
      <c r="D28" s="13">
        <v>5</v>
      </c>
      <c r="E28" s="13">
        <v>11</v>
      </c>
    </row>
    <row r="29" spans="1:5" x14ac:dyDescent="0.3">
      <c r="A29" s="13" t="s">
        <v>1</v>
      </c>
      <c r="B29" s="13" t="s">
        <v>111</v>
      </c>
      <c r="C29" s="13">
        <v>9</v>
      </c>
      <c r="D29" s="13">
        <v>5</v>
      </c>
      <c r="E29" s="13">
        <v>10</v>
      </c>
    </row>
    <row r="30" spans="1:5" x14ac:dyDescent="0.3">
      <c r="A30" s="13" t="s">
        <v>1</v>
      </c>
      <c r="B30" s="13" t="s">
        <v>31</v>
      </c>
      <c r="C30" s="13">
        <v>6</v>
      </c>
      <c r="D30" s="13">
        <v>5</v>
      </c>
      <c r="E30" s="13">
        <v>6</v>
      </c>
    </row>
    <row r="31" spans="1:5" x14ac:dyDescent="0.3">
      <c r="A31" s="13" t="s">
        <v>0</v>
      </c>
      <c r="B31" s="13" t="s">
        <v>34</v>
      </c>
      <c r="C31" s="13">
        <v>6</v>
      </c>
      <c r="D31" s="13">
        <v>5</v>
      </c>
      <c r="E31" s="13">
        <v>7</v>
      </c>
    </row>
    <row r="32" spans="1:5" x14ac:dyDescent="0.3">
      <c r="A32" s="13" t="s">
        <v>0</v>
      </c>
      <c r="B32" s="13" t="s">
        <v>61</v>
      </c>
      <c r="C32" s="13">
        <v>5</v>
      </c>
      <c r="D32" s="13">
        <v>5</v>
      </c>
      <c r="E32" s="13">
        <v>5</v>
      </c>
    </row>
    <row r="33" spans="1:5" x14ac:dyDescent="0.3">
      <c r="A33" s="13" t="s">
        <v>0</v>
      </c>
      <c r="B33" s="13" t="s">
        <v>1663</v>
      </c>
      <c r="C33" s="13">
        <v>6</v>
      </c>
      <c r="D33" s="13">
        <v>5</v>
      </c>
      <c r="E33" s="13">
        <v>5</v>
      </c>
    </row>
    <row r="34" spans="1:5" x14ac:dyDescent="0.3">
      <c r="A34" s="13" t="s">
        <v>0</v>
      </c>
      <c r="B34" s="13" t="s">
        <v>1741</v>
      </c>
      <c r="C34" s="13">
        <v>6</v>
      </c>
      <c r="D34" s="13">
        <v>5</v>
      </c>
      <c r="E34" s="13">
        <v>6</v>
      </c>
    </row>
    <row r="35" spans="1:5" x14ac:dyDescent="0.3">
      <c r="A35" s="13" t="s">
        <v>1</v>
      </c>
      <c r="B35" s="13" t="s">
        <v>33</v>
      </c>
      <c r="C35" s="13">
        <v>7</v>
      </c>
      <c r="D35" s="13">
        <v>4</v>
      </c>
      <c r="E35" s="13">
        <v>10</v>
      </c>
    </row>
    <row r="36" spans="1:5" x14ac:dyDescent="0.3">
      <c r="A36" s="13" t="s">
        <v>1</v>
      </c>
      <c r="B36" s="13" t="s">
        <v>151</v>
      </c>
      <c r="C36" s="13">
        <v>5</v>
      </c>
      <c r="D36" s="13">
        <v>4</v>
      </c>
      <c r="E36" s="13">
        <v>6</v>
      </c>
    </row>
    <row r="37" spans="1:5" x14ac:dyDescent="0.3">
      <c r="A37" s="13" t="s">
        <v>1</v>
      </c>
      <c r="B37" s="13" t="s">
        <v>60</v>
      </c>
      <c r="C37" s="13">
        <v>4</v>
      </c>
      <c r="D37" s="13">
        <v>4</v>
      </c>
      <c r="E37" s="13">
        <v>4</v>
      </c>
    </row>
    <row r="38" spans="1:5" x14ac:dyDescent="0.3">
      <c r="A38" s="13" t="s">
        <v>1</v>
      </c>
      <c r="B38" s="13" t="s">
        <v>94</v>
      </c>
      <c r="C38" s="13">
        <v>11</v>
      </c>
      <c r="D38" s="13">
        <v>4</v>
      </c>
      <c r="E38" s="13">
        <v>10</v>
      </c>
    </row>
    <row r="39" spans="1:5" x14ac:dyDescent="0.3">
      <c r="A39" s="13" t="s">
        <v>1</v>
      </c>
      <c r="B39" s="13" t="s">
        <v>161</v>
      </c>
      <c r="C39" s="13">
        <v>7</v>
      </c>
      <c r="D39" s="13">
        <v>4</v>
      </c>
      <c r="E39" s="13">
        <v>10</v>
      </c>
    </row>
    <row r="40" spans="1:5" x14ac:dyDescent="0.3">
      <c r="A40" s="13" t="s">
        <v>1</v>
      </c>
      <c r="B40" s="13" t="s">
        <v>51</v>
      </c>
      <c r="C40" s="13">
        <v>4</v>
      </c>
      <c r="D40" s="13">
        <v>4</v>
      </c>
      <c r="E40" s="13">
        <v>7</v>
      </c>
    </row>
    <row r="41" spans="1:5" x14ac:dyDescent="0.3">
      <c r="A41" s="13" t="s">
        <v>1</v>
      </c>
      <c r="B41" s="13" t="s">
        <v>45</v>
      </c>
      <c r="C41" s="13">
        <v>4</v>
      </c>
      <c r="D41" s="13">
        <v>4</v>
      </c>
      <c r="E41" s="13">
        <v>4</v>
      </c>
    </row>
    <row r="42" spans="1:5" x14ac:dyDescent="0.3">
      <c r="A42" s="13" t="s">
        <v>1</v>
      </c>
      <c r="B42" s="13" t="s">
        <v>64</v>
      </c>
      <c r="C42" s="13">
        <v>4</v>
      </c>
      <c r="D42" s="13">
        <v>4</v>
      </c>
      <c r="E42" s="13">
        <v>4</v>
      </c>
    </row>
    <row r="43" spans="1:5" x14ac:dyDescent="0.3">
      <c r="A43" s="13" t="s">
        <v>1</v>
      </c>
      <c r="B43" s="13" t="s">
        <v>191</v>
      </c>
      <c r="C43" s="13">
        <v>9</v>
      </c>
      <c r="D43" s="13">
        <v>4</v>
      </c>
      <c r="E43" s="13">
        <v>9</v>
      </c>
    </row>
    <row r="44" spans="1:5" x14ac:dyDescent="0.3">
      <c r="A44" s="13" t="s">
        <v>0</v>
      </c>
      <c r="B44" s="13" t="s">
        <v>813</v>
      </c>
      <c r="C44" s="13">
        <v>4</v>
      </c>
      <c r="D44" s="13">
        <v>4</v>
      </c>
      <c r="E44" s="13">
        <v>6</v>
      </c>
    </row>
    <row r="45" spans="1:5" x14ac:dyDescent="0.3">
      <c r="A45" s="13" t="s">
        <v>0</v>
      </c>
      <c r="B45" s="13" t="s">
        <v>2203</v>
      </c>
      <c r="C45" s="13">
        <v>5</v>
      </c>
      <c r="D45" s="13">
        <v>4</v>
      </c>
      <c r="E45" s="13">
        <v>6</v>
      </c>
    </row>
    <row r="46" spans="1:5" x14ac:dyDescent="0.3">
      <c r="A46" s="13" t="s">
        <v>0</v>
      </c>
      <c r="B46" s="13" t="s">
        <v>126</v>
      </c>
      <c r="C46" s="13">
        <v>4</v>
      </c>
      <c r="D46" s="13">
        <v>4</v>
      </c>
      <c r="E46" s="13">
        <v>5</v>
      </c>
    </row>
    <row r="47" spans="1:5" x14ac:dyDescent="0.3">
      <c r="A47" s="13" t="s">
        <v>0</v>
      </c>
      <c r="B47" s="13" t="s">
        <v>64</v>
      </c>
      <c r="C47" s="13">
        <v>4</v>
      </c>
      <c r="D47" s="13">
        <v>4</v>
      </c>
      <c r="E47" s="13">
        <v>4</v>
      </c>
    </row>
    <row r="48" spans="1:5" x14ac:dyDescent="0.3">
      <c r="A48" s="13" t="s">
        <v>2</v>
      </c>
      <c r="B48" s="13" t="s">
        <v>1741</v>
      </c>
      <c r="C48" s="13">
        <v>6</v>
      </c>
      <c r="D48" s="13">
        <v>4</v>
      </c>
      <c r="E48" s="13">
        <v>6</v>
      </c>
    </row>
    <row r="49" spans="1:5" x14ac:dyDescent="0.3">
      <c r="A49" s="13" t="s">
        <v>1</v>
      </c>
      <c r="B49" s="13" t="s">
        <v>36</v>
      </c>
      <c r="C49" s="13">
        <v>5</v>
      </c>
      <c r="D49" s="13">
        <v>3</v>
      </c>
      <c r="E49" s="13">
        <v>5</v>
      </c>
    </row>
    <row r="50" spans="1:5" x14ac:dyDescent="0.3">
      <c r="A50" s="13" t="s">
        <v>1</v>
      </c>
      <c r="B50" s="13" t="s">
        <v>264</v>
      </c>
      <c r="C50" s="13">
        <v>3</v>
      </c>
      <c r="D50" s="13">
        <v>3</v>
      </c>
      <c r="E50" s="13">
        <v>3</v>
      </c>
    </row>
    <row r="51" spans="1:5" x14ac:dyDescent="0.3">
      <c r="A51" s="13" t="s">
        <v>1</v>
      </c>
      <c r="B51" s="13" t="s">
        <v>34</v>
      </c>
      <c r="C51" s="13">
        <v>3</v>
      </c>
      <c r="D51" s="13">
        <v>3</v>
      </c>
      <c r="E51" s="13">
        <v>3</v>
      </c>
    </row>
    <row r="52" spans="1:5" x14ac:dyDescent="0.3">
      <c r="A52" s="13" t="s">
        <v>1</v>
      </c>
      <c r="B52" s="13" t="s">
        <v>81</v>
      </c>
      <c r="C52" s="13">
        <v>4</v>
      </c>
      <c r="D52" s="13">
        <v>3</v>
      </c>
      <c r="E52" s="13">
        <v>4</v>
      </c>
    </row>
    <row r="53" spans="1:5" x14ac:dyDescent="0.3">
      <c r="A53" s="13" t="s">
        <v>1</v>
      </c>
      <c r="B53" s="13" t="s">
        <v>351</v>
      </c>
      <c r="C53" s="13">
        <v>8</v>
      </c>
      <c r="D53" s="13">
        <v>3</v>
      </c>
      <c r="E53" s="13">
        <v>8</v>
      </c>
    </row>
    <row r="54" spans="1:5" x14ac:dyDescent="0.3">
      <c r="A54" s="13" t="s">
        <v>1</v>
      </c>
      <c r="B54" s="13" t="s">
        <v>272</v>
      </c>
      <c r="C54" s="13">
        <v>5</v>
      </c>
      <c r="D54" s="13">
        <v>3</v>
      </c>
      <c r="E54" s="13">
        <v>4</v>
      </c>
    </row>
    <row r="55" spans="1:5" x14ac:dyDescent="0.3">
      <c r="A55" s="13" t="s">
        <v>1</v>
      </c>
      <c r="B55" s="13" t="s">
        <v>1645</v>
      </c>
      <c r="C55" s="13">
        <v>4</v>
      </c>
      <c r="D55" s="13">
        <v>3</v>
      </c>
      <c r="E55" s="13">
        <v>4</v>
      </c>
    </row>
    <row r="56" spans="1:5" x14ac:dyDescent="0.3">
      <c r="A56" s="13" t="s">
        <v>1</v>
      </c>
      <c r="B56" s="13" t="s">
        <v>1885</v>
      </c>
      <c r="C56" s="13">
        <v>5</v>
      </c>
      <c r="D56" s="13">
        <v>3</v>
      </c>
      <c r="E56" s="13">
        <v>4</v>
      </c>
    </row>
    <row r="57" spans="1:5" x14ac:dyDescent="0.3">
      <c r="A57" s="13" t="s">
        <v>1</v>
      </c>
      <c r="B57" s="13" t="s">
        <v>1910</v>
      </c>
      <c r="C57" s="13">
        <v>3</v>
      </c>
      <c r="D57" s="13">
        <v>3</v>
      </c>
      <c r="E57" s="13">
        <v>3</v>
      </c>
    </row>
    <row r="58" spans="1:5" x14ac:dyDescent="0.3">
      <c r="A58" s="13" t="s">
        <v>1</v>
      </c>
      <c r="B58" s="13" t="s">
        <v>1882</v>
      </c>
      <c r="C58" s="13">
        <v>5</v>
      </c>
      <c r="D58" s="13">
        <v>3</v>
      </c>
      <c r="E58" s="13">
        <v>5</v>
      </c>
    </row>
    <row r="59" spans="1:5" x14ac:dyDescent="0.3">
      <c r="A59" s="13" t="s">
        <v>1</v>
      </c>
      <c r="B59" s="13" t="s">
        <v>2762</v>
      </c>
      <c r="C59" s="13">
        <v>11</v>
      </c>
      <c r="D59" s="13">
        <v>3</v>
      </c>
      <c r="E59" s="13">
        <v>13</v>
      </c>
    </row>
    <row r="60" spans="1:5" x14ac:dyDescent="0.3">
      <c r="A60" s="13" t="s">
        <v>1</v>
      </c>
      <c r="B60" s="13" t="s">
        <v>101</v>
      </c>
      <c r="C60" s="13">
        <v>4</v>
      </c>
      <c r="D60" s="13">
        <v>3</v>
      </c>
      <c r="E60" s="13">
        <v>4</v>
      </c>
    </row>
    <row r="61" spans="1:5" x14ac:dyDescent="0.3">
      <c r="A61" s="13" t="s">
        <v>1</v>
      </c>
      <c r="B61" s="13" t="s">
        <v>195</v>
      </c>
      <c r="C61" s="13">
        <v>3</v>
      </c>
      <c r="D61" s="13">
        <v>3</v>
      </c>
      <c r="E61" s="13">
        <v>3</v>
      </c>
    </row>
    <row r="62" spans="1:5" x14ac:dyDescent="0.3">
      <c r="A62" s="13" t="s">
        <v>1</v>
      </c>
      <c r="B62" s="13" t="s">
        <v>109</v>
      </c>
      <c r="C62" s="13">
        <v>3</v>
      </c>
      <c r="D62" s="13">
        <v>3</v>
      </c>
      <c r="E62" s="13">
        <v>4</v>
      </c>
    </row>
    <row r="63" spans="1:5" x14ac:dyDescent="0.3">
      <c r="A63" s="13" t="s">
        <v>1</v>
      </c>
      <c r="B63" s="13" t="s">
        <v>279</v>
      </c>
      <c r="C63" s="13">
        <v>3</v>
      </c>
      <c r="D63" s="13">
        <v>3</v>
      </c>
      <c r="E63" s="13">
        <v>4</v>
      </c>
    </row>
    <row r="64" spans="1:5" x14ac:dyDescent="0.3">
      <c r="A64" s="13" t="s">
        <v>1</v>
      </c>
      <c r="B64" s="13" t="s">
        <v>737</v>
      </c>
      <c r="C64" s="13">
        <v>3</v>
      </c>
      <c r="D64" s="13">
        <v>3</v>
      </c>
      <c r="E64" s="13">
        <v>3</v>
      </c>
    </row>
    <row r="65" spans="1:5" x14ac:dyDescent="0.3">
      <c r="A65" s="13" t="s">
        <v>1</v>
      </c>
      <c r="B65" s="13" t="s">
        <v>631</v>
      </c>
      <c r="C65" s="13">
        <v>4</v>
      </c>
      <c r="D65" s="13">
        <v>3</v>
      </c>
      <c r="E65" s="13">
        <v>5</v>
      </c>
    </row>
    <row r="66" spans="1:5" x14ac:dyDescent="0.3">
      <c r="A66" s="13" t="s">
        <v>1</v>
      </c>
      <c r="B66" s="13" t="s">
        <v>661</v>
      </c>
      <c r="C66" s="13">
        <v>3</v>
      </c>
      <c r="D66" s="13">
        <v>3</v>
      </c>
      <c r="E66" s="13">
        <v>4</v>
      </c>
    </row>
    <row r="67" spans="1:5" x14ac:dyDescent="0.3">
      <c r="A67" s="13" t="s">
        <v>1</v>
      </c>
      <c r="B67" s="13" t="s">
        <v>2051</v>
      </c>
      <c r="C67" s="13">
        <v>4</v>
      </c>
      <c r="D67" s="13">
        <v>3</v>
      </c>
      <c r="E67" s="13">
        <v>5</v>
      </c>
    </row>
    <row r="68" spans="1:5" x14ac:dyDescent="0.3">
      <c r="A68" s="13" t="s">
        <v>1</v>
      </c>
      <c r="B68" s="13" t="s">
        <v>63</v>
      </c>
      <c r="C68" s="13">
        <v>3</v>
      </c>
      <c r="D68" s="13">
        <v>3</v>
      </c>
      <c r="E68" s="13">
        <v>3</v>
      </c>
    </row>
    <row r="69" spans="1:5" x14ac:dyDescent="0.3">
      <c r="A69" s="13" t="s">
        <v>1</v>
      </c>
      <c r="B69" s="13" t="s">
        <v>255</v>
      </c>
      <c r="C69" s="13">
        <v>4</v>
      </c>
      <c r="D69" s="13">
        <v>3</v>
      </c>
      <c r="E69" s="13">
        <v>4</v>
      </c>
    </row>
    <row r="70" spans="1:5" x14ac:dyDescent="0.3">
      <c r="A70" s="13" t="s">
        <v>1</v>
      </c>
      <c r="B70" s="13" t="s">
        <v>38</v>
      </c>
      <c r="C70" s="13">
        <v>4</v>
      </c>
      <c r="D70" s="13">
        <v>3</v>
      </c>
      <c r="E70" s="13">
        <v>4</v>
      </c>
    </row>
    <row r="71" spans="1:5" x14ac:dyDescent="0.3">
      <c r="A71" s="13" t="s">
        <v>1</v>
      </c>
      <c r="B71" s="13" t="s">
        <v>66</v>
      </c>
      <c r="C71" s="13">
        <v>5</v>
      </c>
      <c r="D71" s="13">
        <v>3</v>
      </c>
      <c r="E71" s="13">
        <v>8</v>
      </c>
    </row>
    <row r="72" spans="1:5" x14ac:dyDescent="0.3">
      <c r="A72" s="13" t="s">
        <v>0</v>
      </c>
      <c r="B72" s="13" t="s">
        <v>94</v>
      </c>
      <c r="C72" s="13">
        <v>4</v>
      </c>
      <c r="D72" s="13">
        <v>3</v>
      </c>
      <c r="E72" s="13">
        <v>4</v>
      </c>
    </row>
    <row r="73" spans="1:5" x14ac:dyDescent="0.3">
      <c r="A73" s="13" t="s">
        <v>0</v>
      </c>
      <c r="B73" s="13" t="s">
        <v>35</v>
      </c>
      <c r="C73" s="13">
        <v>3</v>
      </c>
      <c r="D73" s="13">
        <v>3</v>
      </c>
      <c r="E73" s="13">
        <v>3</v>
      </c>
    </row>
    <row r="74" spans="1:5" x14ac:dyDescent="0.3">
      <c r="A74" s="13" t="s">
        <v>0</v>
      </c>
      <c r="B74" s="13" t="s">
        <v>63</v>
      </c>
      <c r="C74" s="13">
        <v>3</v>
      </c>
      <c r="D74" s="13">
        <v>3</v>
      </c>
      <c r="E74" s="13">
        <v>3</v>
      </c>
    </row>
    <row r="75" spans="1:5" x14ac:dyDescent="0.3">
      <c r="A75" s="13" t="s">
        <v>2</v>
      </c>
      <c r="B75" s="13" t="s">
        <v>562</v>
      </c>
      <c r="C75" s="13">
        <v>3</v>
      </c>
      <c r="D75" s="13">
        <v>3</v>
      </c>
      <c r="E75" s="13">
        <v>4</v>
      </c>
    </row>
    <row r="76" spans="1:5" x14ac:dyDescent="0.3">
      <c r="A76" s="13" t="s">
        <v>1</v>
      </c>
      <c r="B76" s="13" t="s">
        <v>47</v>
      </c>
      <c r="C76" s="13">
        <v>3</v>
      </c>
      <c r="D76" s="13">
        <v>2</v>
      </c>
      <c r="E76" s="13">
        <v>5</v>
      </c>
    </row>
    <row r="77" spans="1:5" x14ac:dyDescent="0.3">
      <c r="A77" s="13" t="s">
        <v>1</v>
      </c>
      <c r="B77" s="13" t="s">
        <v>584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203</v>
      </c>
      <c r="C78" s="13">
        <v>2</v>
      </c>
      <c r="D78" s="13">
        <v>2</v>
      </c>
      <c r="E78" s="13">
        <v>3</v>
      </c>
    </row>
    <row r="79" spans="1:5" x14ac:dyDescent="0.3">
      <c r="A79" s="13" t="s">
        <v>1</v>
      </c>
      <c r="B79" s="13" t="s">
        <v>140</v>
      </c>
      <c r="C79" s="13">
        <v>2</v>
      </c>
      <c r="D79" s="13">
        <v>2</v>
      </c>
      <c r="E79" s="13">
        <v>3</v>
      </c>
    </row>
    <row r="80" spans="1:5" x14ac:dyDescent="0.3">
      <c r="A80" s="13" t="s">
        <v>1</v>
      </c>
      <c r="B80" s="13" t="s">
        <v>381</v>
      </c>
      <c r="C80" s="13">
        <v>2</v>
      </c>
      <c r="D80" s="13">
        <v>2</v>
      </c>
      <c r="E80" s="13">
        <v>2</v>
      </c>
    </row>
    <row r="81" spans="1:5" x14ac:dyDescent="0.3">
      <c r="A81" s="13" t="s">
        <v>1</v>
      </c>
      <c r="B81" s="13" t="s">
        <v>1208</v>
      </c>
      <c r="C81" s="13">
        <v>2</v>
      </c>
      <c r="D81" s="13">
        <v>2</v>
      </c>
      <c r="E81" s="13">
        <v>2</v>
      </c>
    </row>
    <row r="82" spans="1:5" x14ac:dyDescent="0.3">
      <c r="A82" s="13" t="s">
        <v>1</v>
      </c>
      <c r="B82" s="13" t="s">
        <v>145</v>
      </c>
      <c r="C82" s="13">
        <v>2</v>
      </c>
      <c r="D82" s="13">
        <v>2</v>
      </c>
      <c r="E82" s="13">
        <v>2</v>
      </c>
    </row>
    <row r="83" spans="1:5" x14ac:dyDescent="0.3">
      <c r="A83" s="13" t="s">
        <v>1</v>
      </c>
      <c r="B83" s="13" t="s">
        <v>148</v>
      </c>
      <c r="C83" s="13">
        <v>3</v>
      </c>
      <c r="D83" s="13">
        <v>2</v>
      </c>
      <c r="E83" s="13">
        <v>5</v>
      </c>
    </row>
    <row r="84" spans="1:5" x14ac:dyDescent="0.3">
      <c r="A84" s="13" t="s">
        <v>1</v>
      </c>
      <c r="B84" s="13" t="s">
        <v>87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91</v>
      </c>
      <c r="C85" s="13">
        <v>5</v>
      </c>
      <c r="D85" s="13">
        <v>2</v>
      </c>
      <c r="E85" s="13">
        <v>5</v>
      </c>
    </row>
    <row r="86" spans="1:5" x14ac:dyDescent="0.3">
      <c r="A86" s="13" t="s">
        <v>1</v>
      </c>
      <c r="B86" s="13" t="s">
        <v>41</v>
      </c>
      <c r="C86" s="13">
        <v>2</v>
      </c>
      <c r="D86" s="13">
        <v>2</v>
      </c>
      <c r="E86" s="13">
        <v>3</v>
      </c>
    </row>
    <row r="87" spans="1:5" x14ac:dyDescent="0.3">
      <c r="A87" s="13" t="s">
        <v>1</v>
      </c>
      <c r="B87" s="13" t="s">
        <v>471</v>
      </c>
      <c r="C87" s="13">
        <v>3</v>
      </c>
      <c r="D87" s="13">
        <v>2</v>
      </c>
      <c r="E87" s="13">
        <v>3</v>
      </c>
    </row>
    <row r="88" spans="1:5" x14ac:dyDescent="0.3">
      <c r="A88" s="13" t="s">
        <v>1</v>
      </c>
      <c r="B88" s="13" t="s">
        <v>1419</v>
      </c>
      <c r="C88" s="13">
        <v>2</v>
      </c>
      <c r="D88" s="13">
        <v>2</v>
      </c>
      <c r="E88" s="13">
        <v>4</v>
      </c>
    </row>
    <row r="89" spans="1:5" x14ac:dyDescent="0.3">
      <c r="A89" s="13" t="s">
        <v>1</v>
      </c>
      <c r="B89" s="13" t="s">
        <v>1570</v>
      </c>
      <c r="C89" s="13">
        <v>2</v>
      </c>
      <c r="D89" s="13">
        <v>2</v>
      </c>
      <c r="E89" s="13">
        <v>2</v>
      </c>
    </row>
    <row r="90" spans="1:5" x14ac:dyDescent="0.3">
      <c r="A90" s="13" t="s">
        <v>1</v>
      </c>
      <c r="B90" s="13" t="s">
        <v>1621</v>
      </c>
      <c r="C90" s="13">
        <v>2</v>
      </c>
      <c r="D90" s="13">
        <v>2</v>
      </c>
      <c r="E90" s="13">
        <v>2</v>
      </c>
    </row>
    <row r="91" spans="1:5" x14ac:dyDescent="0.3">
      <c r="A91" s="13" t="s">
        <v>1</v>
      </c>
      <c r="B91" s="13" t="s">
        <v>1654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1900</v>
      </c>
      <c r="C92" s="13">
        <v>4</v>
      </c>
      <c r="D92" s="13">
        <v>2</v>
      </c>
      <c r="E92" s="13">
        <v>4</v>
      </c>
    </row>
    <row r="93" spans="1:5" x14ac:dyDescent="0.3">
      <c r="A93" s="13" t="s">
        <v>1</v>
      </c>
      <c r="B93" s="13" t="s">
        <v>1960</v>
      </c>
      <c r="C93" s="13">
        <v>4</v>
      </c>
      <c r="D93" s="13">
        <v>2</v>
      </c>
      <c r="E93" s="13">
        <v>4</v>
      </c>
    </row>
    <row r="94" spans="1:5" x14ac:dyDescent="0.3">
      <c r="A94" s="13" t="s">
        <v>1</v>
      </c>
      <c r="B94" s="13" t="s">
        <v>155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388</v>
      </c>
      <c r="C95" s="13">
        <v>2</v>
      </c>
      <c r="D95" s="13">
        <v>2</v>
      </c>
      <c r="E95" s="13">
        <v>3</v>
      </c>
    </row>
    <row r="96" spans="1:5" x14ac:dyDescent="0.3">
      <c r="A96" s="13" t="s">
        <v>1</v>
      </c>
      <c r="B96" s="13" t="s">
        <v>507</v>
      </c>
      <c r="C96" s="13">
        <v>3</v>
      </c>
      <c r="D96" s="13">
        <v>2</v>
      </c>
      <c r="E96" s="13">
        <v>4</v>
      </c>
    </row>
    <row r="97" spans="1:5" x14ac:dyDescent="0.3">
      <c r="A97" s="13" t="s">
        <v>1</v>
      </c>
      <c r="B97" s="13" t="s">
        <v>1034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281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568</v>
      </c>
      <c r="C99" s="13">
        <v>2</v>
      </c>
      <c r="D99" s="13">
        <v>2</v>
      </c>
      <c r="E99" s="13">
        <v>2</v>
      </c>
    </row>
    <row r="100" spans="1:5" x14ac:dyDescent="0.3">
      <c r="A100" s="13" t="s">
        <v>1</v>
      </c>
      <c r="B100" s="13" t="s">
        <v>317</v>
      </c>
      <c r="C100" s="13">
        <v>2</v>
      </c>
      <c r="D100" s="13">
        <v>2</v>
      </c>
      <c r="E100" s="13">
        <v>3</v>
      </c>
    </row>
    <row r="101" spans="1:5" x14ac:dyDescent="0.3">
      <c r="A101" s="13" t="s">
        <v>1</v>
      </c>
      <c r="B101" s="13" t="s">
        <v>320</v>
      </c>
      <c r="C101" s="13">
        <v>4</v>
      </c>
      <c r="D101" s="13">
        <v>2</v>
      </c>
      <c r="E101" s="13">
        <v>4</v>
      </c>
    </row>
    <row r="102" spans="1:5" x14ac:dyDescent="0.3">
      <c r="A102" s="13" t="s">
        <v>1</v>
      </c>
      <c r="B102" s="13" t="s">
        <v>1190</v>
      </c>
      <c r="C102" s="13">
        <v>2</v>
      </c>
      <c r="D102" s="13">
        <v>2</v>
      </c>
      <c r="E102" s="13">
        <v>3</v>
      </c>
    </row>
    <row r="103" spans="1:5" x14ac:dyDescent="0.3">
      <c r="A103" s="13" t="s">
        <v>1</v>
      </c>
      <c r="B103" s="13" t="s">
        <v>625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1</v>
      </c>
      <c r="B104" s="13" t="s">
        <v>434</v>
      </c>
      <c r="C104" s="13">
        <v>3</v>
      </c>
      <c r="D104" s="13">
        <v>2</v>
      </c>
      <c r="E104" s="13">
        <v>3</v>
      </c>
    </row>
    <row r="105" spans="1:5" x14ac:dyDescent="0.3">
      <c r="A105" s="13" t="s">
        <v>1</v>
      </c>
      <c r="B105" s="13" t="s">
        <v>2675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1</v>
      </c>
      <c r="B106" s="13" t="s">
        <v>175</v>
      </c>
      <c r="C106" s="13">
        <v>3</v>
      </c>
      <c r="D106" s="13">
        <v>2</v>
      </c>
      <c r="E106" s="13">
        <v>2</v>
      </c>
    </row>
    <row r="107" spans="1:5" x14ac:dyDescent="0.3">
      <c r="A107" s="13" t="s">
        <v>1</v>
      </c>
      <c r="B107" s="13" t="s">
        <v>531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952</v>
      </c>
      <c r="C108" s="13">
        <v>2</v>
      </c>
      <c r="D108" s="13">
        <v>2</v>
      </c>
      <c r="E108" s="13">
        <v>3</v>
      </c>
    </row>
    <row r="109" spans="1:5" x14ac:dyDescent="0.3">
      <c r="A109" s="13" t="s">
        <v>1</v>
      </c>
      <c r="B109" s="13" t="s">
        <v>124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1</v>
      </c>
      <c r="B110" s="13" t="s">
        <v>416</v>
      </c>
      <c r="C110" s="13">
        <v>3</v>
      </c>
      <c r="D110" s="13">
        <v>2</v>
      </c>
      <c r="E110" s="13">
        <v>5</v>
      </c>
    </row>
    <row r="111" spans="1:5" x14ac:dyDescent="0.3">
      <c r="A111" s="13" t="s">
        <v>1</v>
      </c>
      <c r="B111" s="13" t="s">
        <v>1012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1</v>
      </c>
      <c r="B112" s="13" t="s">
        <v>230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1</v>
      </c>
      <c r="B113" s="13" t="s">
        <v>132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1</v>
      </c>
      <c r="B114" s="13" t="s">
        <v>1219</v>
      </c>
      <c r="C114" s="13">
        <v>3</v>
      </c>
      <c r="D114" s="13">
        <v>2</v>
      </c>
      <c r="E114" s="13">
        <v>3</v>
      </c>
    </row>
    <row r="115" spans="1:5" x14ac:dyDescent="0.3">
      <c r="A115" s="13" t="s">
        <v>1</v>
      </c>
      <c r="B115" s="13" t="s">
        <v>190</v>
      </c>
      <c r="C115" s="13">
        <v>2</v>
      </c>
      <c r="D115" s="13">
        <v>2</v>
      </c>
      <c r="E115" s="13">
        <v>2</v>
      </c>
    </row>
    <row r="116" spans="1:5" x14ac:dyDescent="0.3">
      <c r="A116" s="13" t="s">
        <v>1</v>
      </c>
      <c r="B116" s="13" t="s">
        <v>365</v>
      </c>
      <c r="C116" s="13">
        <v>3</v>
      </c>
      <c r="D116" s="13">
        <v>2</v>
      </c>
      <c r="E116" s="13">
        <v>5</v>
      </c>
    </row>
    <row r="117" spans="1:5" x14ac:dyDescent="0.3">
      <c r="A117" s="13" t="s">
        <v>1</v>
      </c>
      <c r="B117" s="13" t="s">
        <v>39</v>
      </c>
      <c r="C117" s="13">
        <v>9</v>
      </c>
      <c r="D117" s="13">
        <v>2</v>
      </c>
      <c r="E117" s="13">
        <v>12</v>
      </c>
    </row>
    <row r="118" spans="1:5" x14ac:dyDescent="0.3">
      <c r="A118" s="13" t="s">
        <v>1</v>
      </c>
      <c r="B118" s="13" t="s">
        <v>54</v>
      </c>
      <c r="C118" s="13">
        <v>8</v>
      </c>
      <c r="D118" s="13">
        <v>2</v>
      </c>
      <c r="E118" s="13">
        <v>10</v>
      </c>
    </row>
    <row r="119" spans="1:5" x14ac:dyDescent="0.3">
      <c r="A119" s="13" t="s">
        <v>1</v>
      </c>
      <c r="B119" s="13" t="s">
        <v>259</v>
      </c>
      <c r="C119" s="13">
        <v>3</v>
      </c>
      <c r="D119" s="13">
        <v>2</v>
      </c>
      <c r="E119" s="13">
        <v>3</v>
      </c>
    </row>
    <row r="120" spans="1:5" x14ac:dyDescent="0.3">
      <c r="A120" s="13" t="s">
        <v>0</v>
      </c>
      <c r="B120" s="13" t="s">
        <v>373</v>
      </c>
      <c r="C120" s="13">
        <v>2</v>
      </c>
      <c r="D120" s="13">
        <v>2</v>
      </c>
      <c r="E120" s="13">
        <v>2</v>
      </c>
    </row>
    <row r="121" spans="1:5" x14ac:dyDescent="0.3">
      <c r="A121" s="13" t="s">
        <v>0</v>
      </c>
      <c r="B121" s="13" t="s">
        <v>264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0</v>
      </c>
      <c r="B122" s="13" t="s">
        <v>474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81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0</v>
      </c>
      <c r="B124" s="13" t="s">
        <v>272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91</v>
      </c>
      <c r="C125" s="13">
        <v>2</v>
      </c>
      <c r="D125" s="13">
        <v>2</v>
      </c>
      <c r="E125" s="13">
        <v>3</v>
      </c>
    </row>
    <row r="126" spans="1:5" x14ac:dyDescent="0.3">
      <c r="A126" s="13" t="s">
        <v>0</v>
      </c>
      <c r="B126" s="13" t="s">
        <v>151</v>
      </c>
      <c r="C126" s="13">
        <v>2</v>
      </c>
      <c r="D126" s="13">
        <v>2</v>
      </c>
      <c r="E126" s="13">
        <v>3</v>
      </c>
    </row>
    <row r="127" spans="1:5" x14ac:dyDescent="0.3">
      <c r="A127" s="13" t="s">
        <v>0</v>
      </c>
      <c r="B127" s="13" t="s">
        <v>1674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1988</v>
      </c>
      <c r="C128" s="13">
        <v>3</v>
      </c>
      <c r="D128" s="13">
        <v>2</v>
      </c>
      <c r="E128" s="13">
        <v>3</v>
      </c>
    </row>
    <row r="129" spans="1:5" x14ac:dyDescent="0.3">
      <c r="A129" s="13" t="s">
        <v>0</v>
      </c>
      <c r="B129" s="13" t="s">
        <v>1342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0</v>
      </c>
      <c r="B130" s="13" t="s">
        <v>105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0</v>
      </c>
      <c r="B131" s="13" t="s">
        <v>164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317</v>
      </c>
      <c r="C132" s="13">
        <v>2</v>
      </c>
      <c r="D132" s="13">
        <v>2</v>
      </c>
      <c r="E132" s="13">
        <v>3</v>
      </c>
    </row>
    <row r="133" spans="1:5" x14ac:dyDescent="0.3">
      <c r="A133" s="13" t="s">
        <v>0</v>
      </c>
      <c r="B133" s="13" t="s">
        <v>319</v>
      </c>
      <c r="C133" s="13">
        <v>2</v>
      </c>
      <c r="D133" s="13">
        <v>2</v>
      </c>
      <c r="E133" s="13">
        <v>2</v>
      </c>
    </row>
    <row r="134" spans="1:5" x14ac:dyDescent="0.3">
      <c r="A134" s="13" t="s">
        <v>0</v>
      </c>
      <c r="B134" s="13" t="s">
        <v>122</v>
      </c>
      <c r="C134" s="13">
        <v>3</v>
      </c>
      <c r="D134" s="13">
        <v>2</v>
      </c>
      <c r="E134" s="13">
        <v>3</v>
      </c>
    </row>
    <row r="135" spans="1:5" x14ac:dyDescent="0.3">
      <c r="A135" s="13" t="s">
        <v>0</v>
      </c>
      <c r="B135" s="13" t="s">
        <v>902</v>
      </c>
      <c r="C135" s="13">
        <v>2</v>
      </c>
      <c r="D135" s="13">
        <v>2</v>
      </c>
      <c r="E135" s="13">
        <v>3</v>
      </c>
    </row>
    <row r="136" spans="1:5" x14ac:dyDescent="0.3">
      <c r="A136" s="13" t="s">
        <v>0</v>
      </c>
      <c r="B136" s="13" t="s">
        <v>1012</v>
      </c>
      <c r="C136" s="13">
        <v>2</v>
      </c>
      <c r="D136" s="13">
        <v>2</v>
      </c>
      <c r="E136" s="13">
        <v>2</v>
      </c>
    </row>
    <row r="137" spans="1:5" x14ac:dyDescent="0.3">
      <c r="A137" s="13" t="s">
        <v>0</v>
      </c>
      <c r="B137" s="13" t="s">
        <v>909</v>
      </c>
      <c r="C137" s="13">
        <v>2</v>
      </c>
      <c r="D137" s="13">
        <v>2</v>
      </c>
      <c r="E137" s="13">
        <v>2</v>
      </c>
    </row>
    <row r="138" spans="1:5" x14ac:dyDescent="0.3">
      <c r="A138" s="13" t="s">
        <v>0</v>
      </c>
      <c r="B138" s="13" t="s">
        <v>39</v>
      </c>
      <c r="C138" s="13">
        <v>2</v>
      </c>
      <c r="D138" s="13">
        <v>2</v>
      </c>
      <c r="E138" s="13">
        <v>3</v>
      </c>
    </row>
    <row r="139" spans="1:5" x14ac:dyDescent="0.3">
      <c r="A139" s="13" t="s">
        <v>0</v>
      </c>
      <c r="B139" s="13" t="s">
        <v>259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0</v>
      </c>
      <c r="B140" s="13" t="s">
        <v>2337</v>
      </c>
      <c r="C140" s="13">
        <v>2</v>
      </c>
      <c r="D140" s="13">
        <v>4</v>
      </c>
      <c r="E140" s="13"/>
    </row>
    <row r="141" spans="1:5" x14ac:dyDescent="0.3">
      <c r="A141" s="13" t="s">
        <v>2</v>
      </c>
      <c r="B141" s="13" t="s">
        <v>258</v>
      </c>
      <c r="C141" s="13">
        <v>4</v>
      </c>
      <c r="D141" s="13">
        <v>2</v>
      </c>
      <c r="E141" s="13">
        <v>4</v>
      </c>
    </row>
    <row r="142" spans="1:5" x14ac:dyDescent="0.3">
      <c r="A142" s="13" t="s">
        <v>1</v>
      </c>
      <c r="B142" s="13" t="s">
        <v>2848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300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1029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240</v>
      </c>
      <c r="C145" s="13">
        <v>1</v>
      </c>
      <c r="D145" s="13">
        <v>1</v>
      </c>
      <c r="E145" s="13">
        <v>2</v>
      </c>
    </row>
    <row r="146" spans="1:5" x14ac:dyDescent="0.3">
      <c r="A146" s="13" t="s">
        <v>1</v>
      </c>
      <c r="B146" s="13" t="s">
        <v>344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1562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583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585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752</v>
      </c>
      <c r="C150" s="13">
        <v>1</v>
      </c>
      <c r="D150" s="13">
        <v>1</v>
      </c>
      <c r="E150" s="13">
        <v>4</v>
      </c>
    </row>
    <row r="151" spans="1:5" x14ac:dyDescent="0.3">
      <c r="A151" s="13" t="s">
        <v>1</v>
      </c>
      <c r="B151" s="13" t="s">
        <v>1455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470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372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588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71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2849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670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204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2850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1159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206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497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267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598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1517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878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1228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756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208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268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209</v>
      </c>
      <c r="C171" s="13">
        <v>2</v>
      </c>
      <c r="D171" s="13">
        <v>1</v>
      </c>
      <c r="E171" s="13">
        <v>2</v>
      </c>
    </row>
    <row r="172" spans="1:5" x14ac:dyDescent="0.3">
      <c r="A172" s="13" t="s">
        <v>1</v>
      </c>
      <c r="B172" s="13" t="s">
        <v>210</v>
      </c>
      <c r="C172" s="13">
        <v>2</v>
      </c>
      <c r="D172" s="13">
        <v>1</v>
      </c>
      <c r="E172" s="13">
        <v>2</v>
      </c>
    </row>
    <row r="173" spans="1:5" x14ac:dyDescent="0.3">
      <c r="A173" s="13" t="s">
        <v>1</v>
      </c>
      <c r="B173" s="13" t="s">
        <v>673</v>
      </c>
      <c r="C173" s="13">
        <v>2</v>
      </c>
      <c r="D173" s="13">
        <v>1</v>
      </c>
      <c r="E173" s="13">
        <v>2</v>
      </c>
    </row>
    <row r="174" spans="1:5" x14ac:dyDescent="0.3">
      <c r="A174" s="13" t="s">
        <v>1</v>
      </c>
      <c r="B174" s="13" t="s">
        <v>304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144</v>
      </c>
      <c r="C175" s="13">
        <v>2</v>
      </c>
      <c r="D175" s="13">
        <v>1</v>
      </c>
      <c r="E175" s="13">
        <v>2</v>
      </c>
    </row>
    <row r="176" spans="1:5" x14ac:dyDescent="0.3">
      <c r="A176" s="13" t="s">
        <v>1</v>
      </c>
      <c r="B176" s="13" t="s">
        <v>82</v>
      </c>
      <c r="C176" s="13">
        <v>2</v>
      </c>
      <c r="D176" s="13">
        <v>1</v>
      </c>
      <c r="E176" s="13">
        <v>3</v>
      </c>
    </row>
    <row r="177" spans="1:5" x14ac:dyDescent="0.3">
      <c r="A177" s="13" t="s">
        <v>1</v>
      </c>
      <c r="B177" s="13" t="s">
        <v>501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270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386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882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1181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86</v>
      </c>
      <c r="C182" s="13">
        <v>2</v>
      </c>
      <c r="D182" s="13">
        <v>1</v>
      </c>
      <c r="E182" s="13">
        <v>4</v>
      </c>
    </row>
    <row r="183" spans="1:5" x14ac:dyDescent="0.3">
      <c r="A183" s="13" t="s">
        <v>1</v>
      </c>
      <c r="B183" s="13" t="s">
        <v>799</v>
      </c>
      <c r="C183" s="13">
        <v>1</v>
      </c>
      <c r="D183" s="13">
        <v>1</v>
      </c>
      <c r="E183" s="13">
        <v>2</v>
      </c>
    </row>
    <row r="184" spans="1:5" x14ac:dyDescent="0.3">
      <c r="A184" s="13" t="s">
        <v>1</v>
      </c>
      <c r="B184" s="13" t="s">
        <v>212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465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992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1268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90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215</v>
      </c>
      <c r="C189" s="13">
        <v>2</v>
      </c>
      <c r="D189" s="13">
        <v>1</v>
      </c>
      <c r="E189" s="13">
        <v>3</v>
      </c>
    </row>
    <row r="190" spans="1:5" x14ac:dyDescent="0.3">
      <c r="A190" s="13" t="s">
        <v>1</v>
      </c>
      <c r="B190" s="13" t="s">
        <v>244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607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609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217</v>
      </c>
      <c r="C193" s="13">
        <v>2</v>
      </c>
      <c r="D193" s="13">
        <v>1</v>
      </c>
      <c r="E193" s="13">
        <v>3</v>
      </c>
    </row>
    <row r="194" spans="1:5" x14ac:dyDescent="0.3">
      <c r="A194" s="13" t="s">
        <v>1</v>
      </c>
      <c r="B194" s="13" t="s">
        <v>805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219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42</v>
      </c>
      <c r="C196" s="13">
        <v>2</v>
      </c>
      <c r="D196" s="13">
        <v>1</v>
      </c>
      <c r="E196" s="13">
        <v>2</v>
      </c>
    </row>
    <row r="197" spans="1:5" x14ac:dyDescent="0.3">
      <c r="A197" s="13" t="s">
        <v>1</v>
      </c>
      <c r="B197" s="13" t="s">
        <v>93</v>
      </c>
      <c r="C197" s="13">
        <v>1</v>
      </c>
      <c r="D197" s="13">
        <v>1</v>
      </c>
      <c r="E197" s="13">
        <v>2</v>
      </c>
    </row>
    <row r="198" spans="1:5" x14ac:dyDescent="0.3">
      <c r="A198" s="13" t="s">
        <v>1</v>
      </c>
      <c r="B198" s="13" t="s">
        <v>1471</v>
      </c>
      <c r="C198" s="13">
        <v>2</v>
      </c>
      <c r="D198" s="13">
        <v>1</v>
      </c>
      <c r="E198" s="13">
        <v>3</v>
      </c>
    </row>
    <row r="199" spans="1:5" x14ac:dyDescent="0.3">
      <c r="A199" s="13" t="s">
        <v>1</v>
      </c>
      <c r="B199" s="13" t="s">
        <v>1473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1631</v>
      </c>
      <c r="C200" s="13">
        <v>3</v>
      </c>
      <c r="D200" s="13">
        <v>1</v>
      </c>
      <c r="E200" s="13">
        <v>3</v>
      </c>
    </row>
    <row r="201" spans="1:5" x14ac:dyDescent="0.3">
      <c r="A201" s="13" t="s">
        <v>1</v>
      </c>
      <c r="B201" s="13" t="s">
        <v>2104</v>
      </c>
      <c r="C201" s="13">
        <v>2</v>
      </c>
      <c r="D201" s="13">
        <v>1</v>
      </c>
      <c r="E201" s="13">
        <v>6</v>
      </c>
    </row>
    <row r="202" spans="1:5" x14ac:dyDescent="0.3">
      <c r="A202" s="13" t="s">
        <v>1</v>
      </c>
      <c r="B202" s="13" t="s">
        <v>1904</v>
      </c>
      <c r="C202" s="13">
        <v>2</v>
      </c>
      <c r="D202" s="13">
        <v>1</v>
      </c>
      <c r="E202" s="13">
        <v>2</v>
      </c>
    </row>
    <row r="203" spans="1:5" x14ac:dyDescent="0.3">
      <c r="A203" s="13" t="s">
        <v>1</v>
      </c>
      <c r="B203" s="13" t="s">
        <v>1919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1888</v>
      </c>
      <c r="C204" s="13">
        <v>3</v>
      </c>
      <c r="D204" s="13">
        <v>1</v>
      </c>
      <c r="E204" s="13">
        <v>3</v>
      </c>
    </row>
    <row r="205" spans="1:5" x14ac:dyDescent="0.3">
      <c r="A205" s="13" t="s">
        <v>1</v>
      </c>
      <c r="B205" s="13" t="s">
        <v>1881</v>
      </c>
      <c r="C205" s="13">
        <v>2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1883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2069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2156</v>
      </c>
      <c r="C208" s="13">
        <v>4</v>
      </c>
      <c r="D208" s="13">
        <v>1</v>
      </c>
      <c r="E208" s="13">
        <v>4</v>
      </c>
    </row>
    <row r="209" spans="1:5" x14ac:dyDescent="0.3">
      <c r="A209" s="13" t="s">
        <v>1</v>
      </c>
      <c r="B209" s="13" t="s">
        <v>2677</v>
      </c>
      <c r="C209" s="13">
        <v>2</v>
      </c>
      <c r="D209" s="13">
        <v>1</v>
      </c>
      <c r="E209" s="13">
        <v>2</v>
      </c>
    </row>
    <row r="210" spans="1:5" x14ac:dyDescent="0.3">
      <c r="A210" s="13" t="s">
        <v>1</v>
      </c>
      <c r="B210" s="13" t="s">
        <v>2734</v>
      </c>
      <c r="C210" s="13">
        <v>4</v>
      </c>
      <c r="D210" s="13">
        <v>1</v>
      </c>
      <c r="E210" s="13">
        <v>4</v>
      </c>
    </row>
    <row r="211" spans="1:5" x14ac:dyDescent="0.3">
      <c r="A211" s="13" t="s">
        <v>1</v>
      </c>
      <c r="B211" s="13" t="s">
        <v>154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678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505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506</v>
      </c>
      <c r="C214" s="13">
        <v>1</v>
      </c>
      <c r="D214" s="13">
        <v>1</v>
      </c>
      <c r="E214" s="13">
        <v>3</v>
      </c>
    </row>
    <row r="215" spans="1:5" x14ac:dyDescent="0.3">
      <c r="A215" s="13" t="s">
        <v>1</v>
      </c>
      <c r="B215" s="13" t="s">
        <v>95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2080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49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1590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1270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475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2678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1290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997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889</v>
      </c>
      <c r="C224" s="13">
        <v>2</v>
      </c>
      <c r="D224" s="13">
        <v>1</v>
      </c>
      <c r="E224" s="13">
        <v>2</v>
      </c>
    </row>
    <row r="225" spans="1:5" x14ac:dyDescent="0.3">
      <c r="A225" s="13" t="s">
        <v>1</v>
      </c>
      <c r="B225" s="13" t="s">
        <v>97</v>
      </c>
      <c r="C225" s="13">
        <v>2</v>
      </c>
      <c r="D225" s="13">
        <v>1</v>
      </c>
      <c r="E225" s="13">
        <v>2</v>
      </c>
    </row>
    <row r="226" spans="1:5" x14ac:dyDescent="0.3">
      <c r="A226" s="13" t="s">
        <v>1</v>
      </c>
      <c r="B226" s="13" t="s">
        <v>1053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680</v>
      </c>
      <c r="C227" s="13">
        <v>2</v>
      </c>
      <c r="D227" s="13">
        <v>1</v>
      </c>
      <c r="E227" s="13">
        <v>2</v>
      </c>
    </row>
    <row r="228" spans="1:5" x14ac:dyDescent="0.3">
      <c r="A228" s="13" t="s">
        <v>1</v>
      </c>
      <c r="B228" s="13" t="s">
        <v>258</v>
      </c>
      <c r="C228" s="13">
        <v>2</v>
      </c>
      <c r="D228" s="13">
        <v>1</v>
      </c>
      <c r="E228" s="13">
        <v>2</v>
      </c>
    </row>
    <row r="229" spans="1:5" x14ac:dyDescent="0.3">
      <c r="A229" s="13" t="s">
        <v>1</v>
      </c>
      <c r="B229" s="13" t="s">
        <v>510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2851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391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160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1232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563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936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102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859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1474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1054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104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393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311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163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164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2852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1312</v>
      </c>
      <c r="C246" s="13">
        <v>2</v>
      </c>
      <c r="D246" s="13">
        <v>1</v>
      </c>
      <c r="E246" s="13">
        <v>2</v>
      </c>
    </row>
    <row r="247" spans="1:5" x14ac:dyDescent="0.3">
      <c r="A247" s="13" t="s">
        <v>1</v>
      </c>
      <c r="B247" s="13" t="s">
        <v>2853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2854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165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1491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394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1131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1096</v>
      </c>
      <c r="C253" s="13">
        <v>2</v>
      </c>
      <c r="D253" s="13">
        <v>1</v>
      </c>
      <c r="E253" s="13">
        <v>2</v>
      </c>
    </row>
    <row r="254" spans="1:5" x14ac:dyDescent="0.3">
      <c r="A254" s="13" t="s">
        <v>1</v>
      </c>
      <c r="B254" s="13" t="s">
        <v>619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169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620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824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1805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1606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512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513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1496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1750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477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1283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1056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828</v>
      </c>
      <c r="C267" s="13">
        <v>2</v>
      </c>
      <c r="D267" s="13">
        <v>1</v>
      </c>
      <c r="E267" s="13">
        <v>2</v>
      </c>
    </row>
    <row r="268" spans="1:5" x14ac:dyDescent="0.3">
      <c r="A268" s="13" t="s">
        <v>1</v>
      </c>
      <c r="B268" s="13" t="s">
        <v>1793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2430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1236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1098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1846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1007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1137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359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2101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695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1880</v>
      </c>
      <c r="C278" s="13">
        <v>1</v>
      </c>
      <c r="D278" s="13">
        <v>1</v>
      </c>
      <c r="E278" s="13">
        <v>2</v>
      </c>
    </row>
    <row r="279" spans="1:5" x14ac:dyDescent="0.3">
      <c r="A279" s="13" t="s">
        <v>1</v>
      </c>
      <c r="B279" s="13" t="s">
        <v>627</v>
      </c>
      <c r="C279" s="13">
        <v>2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327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328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740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1422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1038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172</v>
      </c>
      <c r="C285" s="13">
        <v>2</v>
      </c>
      <c r="D285" s="13">
        <v>1</v>
      </c>
      <c r="E285" s="13">
        <v>2</v>
      </c>
    </row>
    <row r="286" spans="1:5" x14ac:dyDescent="0.3">
      <c r="A286" s="13" t="s">
        <v>1</v>
      </c>
      <c r="B286" s="13" t="s">
        <v>836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2480</v>
      </c>
      <c r="C287" s="13">
        <v>1</v>
      </c>
      <c r="D287" s="13">
        <v>1</v>
      </c>
      <c r="E287" s="13">
        <v>2</v>
      </c>
    </row>
    <row r="288" spans="1:5" x14ac:dyDescent="0.3">
      <c r="A288" s="13" t="s">
        <v>1</v>
      </c>
      <c r="B288" s="13" t="s">
        <v>116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479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837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1140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1242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2038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376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1024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332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362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1109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196</v>
      </c>
      <c r="C299" s="13">
        <v>3</v>
      </c>
      <c r="D299" s="13">
        <v>1</v>
      </c>
      <c r="E299" s="13">
        <v>3</v>
      </c>
    </row>
    <row r="300" spans="1:5" x14ac:dyDescent="0.3">
      <c r="A300" s="13" t="s">
        <v>1</v>
      </c>
      <c r="B300" s="13" t="s">
        <v>363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122</v>
      </c>
      <c r="C301" s="13">
        <v>2</v>
      </c>
      <c r="D301" s="13">
        <v>1</v>
      </c>
      <c r="E301" s="13">
        <v>2</v>
      </c>
    </row>
    <row r="302" spans="1:5" x14ac:dyDescent="0.3">
      <c r="A302" s="13" t="s">
        <v>1</v>
      </c>
      <c r="B302" s="13" t="s">
        <v>123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655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174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335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1092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1205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2696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1120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1324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2855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1192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2070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364</v>
      </c>
      <c r="C314" s="13">
        <v>2</v>
      </c>
      <c r="D314" s="13">
        <v>1</v>
      </c>
      <c r="E314" s="13">
        <v>2</v>
      </c>
    </row>
    <row r="315" spans="1:5" x14ac:dyDescent="0.3">
      <c r="A315" s="13" t="s">
        <v>1</v>
      </c>
      <c r="B315" s="13" t="s">
        <v>708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709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292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668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411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577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975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712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1951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664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665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866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538</v>
      </c>
      <c r="C327" s="13">
        <v>2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779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184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1</v>
      </c>
      <c r="B330" s="13" t="s">
        <v>781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714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1</v>
      </c>
      <c r="B332" s="13" t="s">
        <v>867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1</v>
      </c>
      <c r="B333" s="13" t="s">
        <v>782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483</v>
      </c>
      <c r="C334" s="13">
        <v>2</v>
      </c>
      <c r="D334" s="13">
        <v>1</v>
      </c>
      <c r="E334" s="13">
        <v>2</v>
      </c>
    </row>
    <row r="335" spans="1:5" x14ac:dyDescent="0.3">
      <c r="A335" s="13" t="s">
        <v>1</v>
      </c>
      <c r="B335" s="13" t="s">
        <v>802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295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1</v>
      </c>
      <c r="B337" s="13" t="s">
        <v>716</v>
      </c>
      <c r="C337" s="13">
        <v>2</v>
      </c>
      <c r="D337" s="13">
        <v>1</v>
      </c>
      <c r="E337" s="13">
        <v>2</v>
      </c>
    </row>
    <row r="338" spans="1:5" x14ac:dyDescent="0.3">
      <c r="A338" s="13" t="s">
        <v>1</v>
      </c>
      <c r="B338" s="13" t="s">
        <v>797</v>
      </c>
      <c r="C338" s="13">
        <v>3</v>
      </c>
      <c r="D338" s="13">
        <v>1</v>
      </c>
      <c r="E338" s="13">
        <v>3</v>
      </c>
    </row>
    <row r="339" spans="1:5" x14ac:dyDescent="0.3">
      <c r="A339" s="13" t="s">
        <v>1</v>
      </c>
      <c r="B339" s="13" t="s">
        <v>484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296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1</v>
      </c>
      <c r="B341" s="13" t="s">
        <v>1103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1</v>
      </c>
      <c r="B342" s="13" t="s">
        <v>1641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1</v>
      </c>
      <c r="B343" s="13" t="s">
        <v>1636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1</v>
      </c>
      <c r="B344" s="13" t="s">
        <v>134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1</v>
      </c>
      <c r="B345" s="13" t="s">
        <v>233</v>
      </c>
      <c r="C345" s="13">
        <v>2</v>
      </c>
      <c r="D345" s="13">
        <v>1</v>
      </c>
      <c r="E345" s="13">
        <v>11</v>
      </c>
    </row>
    <row r="346" spans="1:5" x14ac:dyDescent="0.3">
      <c r="A346" s="13" t="s">
        <v>1</v>
      </c>
      <c r="B346" s="13" t="s">
        <v>55</v>
      </c>
      <c r="C346" s="13">
        <v>4</v>
      </c>
      <c r="D346" s="13">
        <v>1</v>
      </c>
      <c r="E346" s="13">
        <v>4</v>
      </c>
    </row>
    <row r="347" spans="1:5" x14ac:dyDescent="0.3">
      <c r="A347" s="13" t="s">
        <v>1</v>
      </c>
      <c r="B347" s="13" t="s">
        <v>1116</v>
      </c>
      <c r="C347" s="13">
        <v>2</v>
      </c>
      <c r="D347" s="13">
        <v>1</v>
      </c>
      <c r="E347" s="13">
        <v>4</v>
      </c>
    </row>
    <row r="348" spans="1:5" x14ac:dyDescent="0.3">
      <c r="A348" s="13" t="s">
        <v>1</v>
      </c>
      <c r="B348" s="13" t="s">
        <v>1666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1</v>
      </c>
      <c r="B349" s="13" t="s">
        <v>546</v>
      </c>
      <c r="C349" s="13">
        <v>1</v>
      </c>
      <c r="D349" s="13">
        <v>1</v>
      </c>
      <c r="E349" s="13"/>
    </row>
    <row r="350" spans="1:5" x14ac:dyDescent="0.3">
      <c r="A350" s="13" t="s">
        <v>1</v>
      </c>
      <c r="B350" s="13" t="s">
        <v>1026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1</v>
      </c>
      <c r="B351" s="13" t="s">
        <v>2856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1</v>
      </c>
      <c r="B352" s="13" t="s">
        <v>1782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1</v>
      </c>
      <c r="B353" s="13" t="s">
        <v>1371</v>
      </c>
      <c r="C353" s="13">
        <v>1</v>
      </c>
      <c r="D353" s="13">
        <v>3</v>
      </c>
      <c r="E353" s="13"/>
    </row>
    <row r="354" spans="1:5" x14ac:dyDescent="0.3">
      <c r="A354" s="13" t="s">
        <v>1</v>
      </c>
      <c r="B354" s="13" t="s">
        <v>1736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1</v>
      </c>
      <c r="B355" s="13" t="s">
        <v>2857</v>
      </c>
      <c r="C355" s="13">
        <v>1</v>
      </c>
      <c r="D355" s="13">
        <v>1</v>
      </c>
      <c r="E355" s="13"/>
    </row>
    <row r="356" spans="1:5" x14ac:dyDescent="0.3">
      <c r="A356" s="13" t="s">
        <v>1</v>
      </c>
      <c r="B356" s="13" t="s">
        <v>641</v>
      </c>
      <c r="C356" s="13">
        <v>1</v>
      </c>
      <c r="D356" s="13">
        <v>1</v>
      </c>
      <c r="E356" s="13"/>
    </row>
    <row r="357" spans="1:5" x14ac:dyDescent="0.3">
      <c r="A357" s="13" t="s">
        <v>1</v>
      </c>
      <c r="B357" s="13" t="s">
        <v>1379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1</v>
      </c>
      <c r="B358" s="13" t="s">
        <v>643</v>
      </c>
      <c r="C358" s="13">
        <v>1</v>
      </c>
      <c r="D358" s="13">
        <v>1</v>
      </c>
      <c r="E358" s="13"/>
    </row>
    <row r="359" spans="1:5" x14ac:dyDescent="0.3">
      <c r="A359" s="13" t="s">
        <v>1</v>
      </c>
      <c r="B359" s="13" t="s">
        <v>964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377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239</v>
      </c>
      <c r="C361" s="13">
        <v>1</v>
      </c>
      <c r="D361" s="13">
        <v>1</v>
      </c>
      <c r="E361" s="13">
        <v>2</v>
      </c>
    </row>
    <row r="362" spans="1:5" x14ac:dyDescent="0.3">
      <c r="A362" s="13" t="s">
        <v>0</v>
      </c>
      <c r="B362" s="13" t="s">
        <v>1694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262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33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48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808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382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556</v>
      </c>
      <c r="C368" s="13">
        <v>1</v>
      </c>
      <c r="D368" s="13">
        <v>1</v>
      </c>
      <c r="E368" s="13">
        <v>2</v>
      </c>
    </row>
    <row r="369" spans="1:5" x14ac:dyDescent="0.3">
      <c r="A369" s="13" t="s">
        <v>0</v>
      </c>
      <c r="B369" s="13" t="s">
        <v>447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77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210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145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148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351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1978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993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150</v>
      </c>
      <c r="C377" s="13">
        <v>1</v>
      </c>
      <c r="D377" s="13">
        <v>1</v>
      </c>
      <c r="E377" s="13">
        <v>2</v>
      </c>
    </row>
    <row r="378" spans="1:5" x14ac:dyDescent="0.3">
      <c r="A378" s="13" t="s">
        <v>0</v>
      </c>
      <c r="B378" s="13" t="s">
        <v>152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60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1518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1645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1885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1881</v>
      </c>
      <c r="C383" s="13">
        <v>3</v>
      </c>
      <c r="D383" s="13">
        <v>1</v>
      </c>
      <c r="E383" s="13">
        <v>3</v>
      </c>
    </row>
    <row r="384" spans="1:5" x14ac:dyDescent="0.3">
      <c r="A384" s="13" t="s">
        <v>0</v>
      </c>
      <c r="B384" s="13" t="s">
        <v>1882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2093</v>
      </c>
      <c r="C385" s="13">
        <v>2</v>
      </c>
      <c r="D385" s="13">
        <v>1</v>
      </c>
      <c r="E385" s="13">
        <v>3</v>
      </c>
    </row>
    <row r="386" spans="1:5" x14ac:dyDescent="0.3">
      <c r="A386" s="13" t="s">
        <v>0</v>
      </c>
      <c r="B386" s="13" t="s">
        <v>154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819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559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49</v>
      </c>
      <c r="C389" s="13">
        <v>1</v>
      </c>
      <c r="D389" s="13">
        <v>1</v>
      </c>
      <c r="E389" s="13">
        <v>2</v>
      </c>
    </row>
    <row r="390" spans="1:5" x14ac:dyDescent="0.3">
      <c r="A390" s="13" t="s">
        <v>0</v>
      </c>
      <c r="B390" s="13" t="s">
        <v>475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476</v>
      </c>
      <c r="C391" s="13">
        <v>1</v>
      </c>
      <c r="D391" s="13">
        <v>1</v>
      </c>
      <c r="E391" s="13">
        <v>2</v>
      </c>
    </row>
    <row r="392" spans="1:5" x14ac:dyDescent="0.3">
      <c r="A392" s="13" t="s">
        <v>0</v>
      </c>
      <c r="B392" s="13" t="s">
        <v>99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2858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258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795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1034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391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1232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28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100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341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275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1255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163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2428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1449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429</v>
      </c>
      <c r="C407" s="13">
        <v>2</v>
      </c>
      <c r="D407" s="13">
        <v>1</v>
      </c>
      <c r="E407" s="13">
        <v>2</v>
      </c>
    </row>
    <row r="408" spans="1:5" x14ac:dyDescent="0.3">
      <c r="A408" s="13" t="s">
        <v>0</v>
      </c>
      <c r="B408" s="13" t="s">
        <v>394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395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619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824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51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280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826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1480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568</v>
      </c>
      <c r="C416" s="13">
        <v>2</v>
      </c>
      <c r="D416" s="13">
        <v>1</v>
      </c>
      <c r="E416" s="13">
        <v>2</v>
      </c>
    </row>
    <row r="417" spans="1:5" x14ac:dyDescent="0.3">
      <c r="A417" s="13" t="s">
        <v>0</v>
      </c>
      <c r="B417" s="13" t="s">
        <v>863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517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113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1098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2379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45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2186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320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358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737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794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401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1138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1087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947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402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114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1009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479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376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434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1024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331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196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363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121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46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531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335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409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1840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1275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844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845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1439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537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255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744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715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186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253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1219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797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296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784</v>
      </c>
      <c r="C461" s="13">
        <v>1</v>
      </c>
      <c r="D461" s="13">
        <v>1</v>
      </c>
      <c r="E461" s="13">
        <v>6</v>
      </c>
    </row>
    <row r="462" spans="1:5" x14ac:dyDescent="0.3">
      <c r="A462" s="13" t="s">
        <v>0</v>
      </c>
      <c r="B462" s="13" t="s">
        <v>666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0</v>
      </c>
      <c r="B463" s="13" t="s">
        <v>135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2496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1768</v>
      </c>
      <c r="C465" s="13">
        <v>1</v>
      </c>
      <c r="D465" s="13">
        <v>2</v>
      </c>
      <c r="E465" s="13"/>
    </row>
    <row r="466" spans="1:5" x14ac:dyDescent="0.3">
      <c r="A466" s="13" t="s">
        <v>0</v>
      </c>
      <c r="B466" s="13" t="s">
        <v>1656</v>
      </c>
      <c r="C466" s="13">
        <v>1</v>
      </c>
      <c r="D466" s="13">
        <v>1</v>
      </c>
      <c r="E466" s="13"/>
    </row>
    <row r="467" spans="1:5" x14ac:dyDescent="0.3">
      <c r="A467" s="13" t="s">
        <v>0</v>
      </c>
      <c r="B467" s="13" t="s">
        <v>2818</v>
      </c>
      <c r="C467" s="13">
        <v>1</v>
      </c>
      <c r="D467" s="13">
        <v>1</v>
      </c>
      <c r="E467" s="13"/>
    </row>
    <row r="468" spans="1:5" x14ac:dyDescent="0.3">
      <c r="A468" s="13" t="s">
        <v>0</v>
      </c>
      <c r="B468" s="13" t="s">
        <v>2172</v>
      </c>
      <c r="C468" s="13">
        <v>1</v>
      </c>
      <c r="D468" s="13">
        <v>1</v>
      </c>
      <c r="E468" s="13">
        <v>2</v>
      </c>
    </row>
    <row r="469" spans="1:5" x14ac:dyDescent="0.3">
      <c r="A469" s="13" t="s">
        <v>0</v>
      </c>
      <c r="B469" s="13" t="s">
        <v>1784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2</v>
      </c>
      <c r="B470" s="13" t="s">
        <v>34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2</v>
      </c>
      <c r="B471" s="13" t="s">
        <v>354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2</v>
      </c>
      <c r="B472" s="13" t="s">
        <v>60</v>
      </c>
      <c r="C472" s="13">
        <v>1</v>
      </c>
      <c r="D472" s="13">
        <v>1</v>
      </c>
      <c r="E472" s="13">
        <v>1</v>
      </c>
    </row>
    <row r="473" spans="1:5" x14ac:dyDescent="0.3">
      <c r="A473" s="13" t="s">
        <v>2</v>
      </c>
      <c r="B473" s="13" t="s">
        <v>93</v>
      </c>
      <c r="C473" s="13">
        <v>1</v>
      </c>
      <c r="D473" s="13">
        <v>1</v>
      </c>
      <c r="E473" s="13">
        <v>2</v>
      </c>
    </row>
    <row r="474" spans="1:5" x14ac:dyDescent="0.3">
      <c r="A474" s="13" t="s">
        <v>2</v>
      </c>
      <c r="B474" s="13" t="s">
        <v>94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2</v>
      </c>
      <c r="B475" s="13" t="s">
        <v>1960</v>
      </c>
      <c r="C475" s="13">
        <v>1</v>
      </c>
      <c r="D475" s="13">
        <v>1</v>
      </c>
      <c r="E475" s="13">
        <v>1</v>
      </c>
    </row>
    <row r="476" spans="1:5" x14ac:dyDescent="0.3">
      <c r="A476" s="13" t="s">
        <v>2</v>
      </c>
      <c r="B476" s="13" t="s">
        <v>154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2</v>
      </c>
      <c r="B477" s="13" t="s">
        <v>105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2</v>
      </c>
      <c r="B478" s="13" t="s">
        <v>29</v>
      </c>
      <c r="C478" s="13">
        <v>1</v>
      </c>
      <c r="D478" s="13">
        <v>1</v>
      </c>
      <c r="E478" s="13">
        <v>1</v>
      </c>
    </row>
    <row r="479" spans="1:5" x14ac:dyDescent="0.3">
      <c r="A479" s="13" t="s">
        <v>2</v>
      </c>
      <c r="B479" s="13" t="s">
        <v>195</v>
      </c>
      <c r="C479" s="13">
        <v>1</v>
      </c>
      <c r="D479" s="13">
        <v>1</v>
      </c>
      <c r="E479" s="13">
        <v>1</v>
      </c>
    </row>
    <row r="480" spans="1:5" x14ac:dyDescent="0.3">
      <c r="A480" s="13" t="s">
        <v>2</v>
      </c>
      <c r="B480" s="13" t="s">
        <v>314</v>
      </c>
      <c r="C480" s="13">
        <v>1</v>
      </c>
      <c r="D480" s="13">
        <v>1</v>
      </c>
      <c r="E480" s="13">
        <v>1</v>
      </c>
    </row>
    <row r="481" spans="1:5" x14ac:dyDescent="0.3">
      <c r="A481" s="13" t="s">
        <v>2</v>
      </c>
      <c r="B481" s="13" t="s">
        <v>1005</v>
      </c>
      <c r="C481" s="13">
        <v>1</v>
      </c>
      <c r="D481" s="13">
        <v>1</v>
      </c>
      <c r="E481" s="13">
        <v>2</v>
      </c>
    </row>
    <row r="482" spans="1:5" x14ac:dyDescent="0.3">
      <c r="A482" s="13" t="s">
        <v>2</v>
      </c>
      <c r="B482" s="13" t="s">
        <v>661</v>
      </c>
      <c r="C482" s="13">
        <v>1</v>
      </c>
      <c r="D482" s="13">
        <v>1</v>
      </c>
      <c r="E482" s="13">
        <v>1</v>
      </c>
    </row>
    <row r="483" spans="1:5" x14ac:dyDescent="0.3">
      <c r="A483" s="13" t="s">
        <v>2</v>
      </c>
      <c r="B483" s="13" t="s">
        <v>123</v>
      </c>
      <c r="C483" s="13">
        <v>1</v>
      </c>
      <c r="D483" s="13">
        <v>1</v>
      </c>
      <c r="E483" s="13">
        <v>1</v>
      </c>
    </row>
    <row r="484" spans="1:5" x14ac:dyDescent="0.3">
      <c r="A484" s="13" t="s">
        <v>2</v>
      </c>
      <c r="B484" s="13" t="s">
        <v>63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2</v>
      </c>
      <c r="B485" s="13" t="s">
        <v>845</v>
      </c>
      <c r="C485" s="13">
        <v>1</v>
      </c>
      <c r="D485" s="13">
        <v>1</v>
      </c>
      <c r="E485" s="13">
        <v>1</v>
      </c>
    </row>
    <row r="486" spans="1:5" x14ac:dyDescent="0.3">
      <c r="A486" s="13" t="s">
        <v>2</v>
      </c>
      <c r="B486" s="13" t="s">
        <v>31</v>
      </c>
      <c r="C486" s="13">
        <v>1</v>
      </c>
      <c r="D486" s="13">
        <v>1</v>
      </c>
      <c r="E486" s="13">
        <v>1</v>
      </c>
    </row>
    <row r="487" spans="1:5" x14ac:dyDescent="0.3">
      <c r="A487" s="13" t="s">
        <v>1</v>
      </c>
      <c r="B487" s="13" t="s">
        <v>581</v>
      </c>
      <c r="C487" s="13">
        <v>1</v>
      </c>
      <c r="D487" s="13">
        <v>0</v>
      </c>
      <c r="E487" s="13">
        <v>1</v>
      </c>
    </row>
    <row r="488" spans="1:5" x14ac:dyDescent="0.3">
      <c r="A488" s="13" t="s">
        <v>1</v>
      </c>
      <c r="B488" s="13" t="s">
        <v>473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137</v>
      </c>
      <c r="C489" s="13">
        <v>1</v>
      </c>
      <c r="D489" s="13">
        <v>0</v>
      </c>
      <c r="E489" s="13">
        <v>1</v>
      </c>
    </row>
    <row r="490" spans="1:5" x14ac:dyDescent="0.3">
      <c r="A490" s="13" t="s">
        <v>1</v>
      </c>
      <c r="B490" s="13" t="s">
        <v>299</v>
      </c>
      <c r="C490" s="13">
        <v>1</v>
      </c>
      <c r="D490" s="13">
        <v>0</v>
      </c>
      <c r="E490" s="13">
        <v>1</v>
      </c>
    </row>
    <row r="491" spans="1:5" x14ac:dyDescent="0.3">
      <c r="A491" s="13" t="s">
        <v>1</v>
      </c>
      <c r="B491" s="13" t="s">
        <v>2185</v>
      </c>
      <c r="C491" s="13">
        <v>1</v>
      </c>
      <c r="D491" s="13">
        <v>0</v>
      </c>
      <c r="E491" s="13">
        <v>2</v>
      </c>
    </row>
    <row r="492" spans="1:5" x14ac:dyDescent="0.3">
      <c r="A492" s="13" t="s">
        <v>1</v>
      </c>
      <c r="B492" s="13" t="s">
        <v>490</v>
      </c>
      <c r="C492" s="13">
        <v>1</v>
      </c>
      <c r="D492" s="13">
        <v>0</v>
      </c>
      <c r="E492" s="13">
        <v>1</v>
      </c>
    </row>
    <row r="493" spans="1:5" x14ac:dyDescent="0.3">
      <c r="A493" s="13" t="s">
        <v>1</v>
      </c>
      <c r="B493" s="13" t="s">
        <v>726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2009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73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592</v>
      </c>
      <c r="C496" s="13">
        <v>1</v>
      </c>
      <c r="D496" s="13">
        <v>0</v>
      </c>
      <c r="E496" s="13">
        <v>1</v>
      </c>
    </row>
    <row r="497" spans="1:5" x14ac:dyDescent="0.3">
      <c r="A497" s="13" t="s">
        <v>1</v>
      </c>
      <c r="B497" s="13" t="s">
        <v>2655</v>
      </c>
      <c r="C497" s="13">
        <v>1</v>
      </c>
      <c r="D497" s="13">
        <v>0</v>
      </c>
      <c r="E497" s="13">
        <v>3</v>
      </c>
    </row>
    <row r="498" spans="1:5" x14ac:dyDescent="0.3">
      <c r="A498" s="13" t="s">
        <v>1</v>
      </c>
      <c r="B498" s="13" t="s">
        <v>1079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265</v>
      </c>
      <c r="C499" s="13">
        <v>1</v>
      </c>
      <c r="D499" s="13">
        <v>0</v>
      </c>
      <c r="E499" s="13">
        <v>2</v>
      </c>
    </row>
    <row r="500" spans="1:5" x14ac:dyDescent="0.3">
      <c r="A500" s="13" t="s">
        <v>1</v>
      </c>
      <c r="B500" s="13" t="s">
        <v>421</v>
      </c>
      <c r="C500" s="13">
        <v>1</v>
      </c>
      <c r="D500" s="13">
        <v>0</v>
      </c>
      <c r="E500" s="13">
        <v>2</v>
      </c>
    </row>
    <row r="501" spans="1:5" x14ac:dyDescent="0.3">
      <c r="A501" s="13" t="s">
        <v>1</v>
      </c>
      <c r="B501" s="13" t="s">
        <v>1227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77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243</v>
      </c>
      <c r="C503" s="13">
        <v>1</v>
      </c>
      <c r="D503" s="13">
        <v>0</v>
      </c>
      <c r="E503" s="13">
        <v>1</v>
      </c>
    </row>
    <row r="504" spans="1:5" x14ac:dyDescent="0.3">
      <c r="A504" s="13" t="s">
        <v>1</v>
      </c>
      <c r="B504" s="13" t="s">
        <v>812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348</v>
      </c>
      <c r="C505" s="13">
        <v>2</v>
      </c>
      <c r="D505" s="13">
        <v>0</v>
      </c>
      <c r="E505" s="13">
        <v>4</v>
      </c>
    </row>
    <row r="506" spans="1:5" x14ac:dyDescent="0.3">
      <c r="A506" s="13" t="s">
        <v>1</v>
      </c>
      <c r="B506" s="13" t="s">
        <v>80</v>
      </c>
      <c r="C506" s="13">
        <v>2</v>
      </c>
      <c r="D506" s="13">
        <v>0</v>
      </c>
      <c r="E506" s="13">
        <v>2</v>
      </c>
    </row>
    <row r="507" spans="1:5" x14ac:dyDescent="0.3">
      <c r="A507" s="13" t="s">
        <v>1</v>
      </c>
      <c r="B507" s="13" t="s">
        <v>269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83</v>
      </c>
      <c r="C508" s="13">
        <v>2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1019</v>
      </c>
      <c r="C509" s="13">
        <v>1</v>
      </c>
      <c r="D509" s="13">
        <v>0</v>
      </c>
      <c r="E509" s="13">
        <v>3</v>
      </c>
    </row>
    <row r="510" spans="1:5" x14ac:dyDescent="0.3">
      <c r="A510" s="13" t="s">
        <v>1</v>
      </c>
      <c r="B510" s="13" t="s">
        <v>2010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305</v>
      </c>
      <c r="C511" s="13">
        <v>1</v>
      </c>
      <c r="D511" s="13">
        <v>0</v>
      </c>
      <c r="E511" s="13">
        <v>2</v>
      </c>
    </row>
    <row r="512" spans="1:5" x14ac:dyDescent="0.3">
      <c r="A512" s="13" t="s">
        <v>1</v>
      </c>
      <c r="B512" s="13" t="s">
        <v>85</v>
      </c>
      <c r="C512" s="13">
        <v>1</v>
      </c>
      <c r="D512" s="13">
        <v>0</v>
      </c>
      <c r="E512" s="13">
        <v>2</v>
      </c>
    </row>
    <row r="513" spans="1:5" x14ac:dyDescent="0.3">
      <c r="A513" s="13" t="s">
        <v>1</v>
      </c>
      <c r="B513" s="13" t="s">
        <v>350</v>
      </c>
      <c r="C513" s="13">
        <v>2</v>
      </c>
      <c r="D513" s="13">
        <v>0</v>
      </c>
      <c r="E513" s="13">
        <v>2</v>
      </c>
    </row>
    <row r="514" spans="1:5" x14ac:dyDescent="0.3">
      <c r="A514" s="13" t="s">
        <v>1</v>
      </c>
      <c r="B514" s="13" t="s">
        <v>147</v>
      </c>
      <c r="C514" s="13">
        <v>2</v>
      </c>
      <c r="D514" s="13">
        <v>0</v>
      </c>
      <c r="E514" s="13">
        <v>3</v>
      </c>
    </row>
    <row r="515" spans="1:5" x14ac:dyDescent="0.3">
      <c r="A515" s="13" t="s">
        <v>1</v>
      </c>
      <c r="B515" s="13" t="s">
        <v>464</v>
      </c>
      <c r="C515" s="13">
        <v>2</v>
      </c>
      <c r="D515" s="13">
        <v>0</v>
      </c>
      <c r="E515" s="13">
        <v>2</v>
      </c>
    </row>
    <row r="516" spans="1:5" x14ac:dyDescent="0.3">
      <c r="A516" s="13" t="s">
        <v>1</v>
      </c>
      <c r="B516" s="13" t="s">
        <v>605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606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214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149</v>
      </c>
      <c r="C519" s="13">
        <v>3</v>
      </c>
      <c r="D519" s="13">
        <v>0</v>
      </c>
      <c r="E519" s="13">
        <v>4</v>
      </c>
    </row>
    <row r="520" spans="1:5" x14ac:dyDescent="0.3">
      <c r="A520" s="13" t="s">
        <v>1</v>
      </c>
      <c r="B520" s="13" t="s">
        <v>676</v>
      </c>
      <c r="C520" s="13">
        <v>1</v>
      </c>
      <c r="D520" s="13">
        <v>0</v>
      </c>
      <c r="E520" s="13">
        <v>1</v>
      </c>
    </row>
    <row r="521" spans="1:5" x14ac:dyDescent="0.3">
      <c r="A521" s="13" t="s">
        <v>1</v>
      </c>
      <c r="B521" s="13" t="s">
        <v>993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352</v>
      </c>
      <c r="C522" s="13">
        <v>1</v>
      </c>
      <c r="D522" s="13">
        <v>0</v>
      </c>
      <c r="E522" s="13">
        <v>2</v>
      </c>
    </row>
    <row r="523" spans="1:5" x14ac:dyDescent="0.3">
      <c r="A523" s="13" t="s">
        <v>1</v>
      </c>
      <c r="B523" s="13" t="s">
        <v>353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152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356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247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888</v>
      </c>
      <c r="C527" s="13">
        <v>2</v>
      </c>
      <c r="D527" s="13">
        <v>0</v>
      </c>
      <c r="E527" s="13">
        <v>5</v>
      </c>
    </row>
    <row r="528" spans="1:5" x14ac:dyDescent="0.3">
      <c r="A528" s="13" t="s">
        <v>1</v>
      </c>
      <c r="B528" s="13" t="s">
        <v>1505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1518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1651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1674</v>
      </c>
      <c r="C531" s="13">
        <v>1</v>
      </c>
      <c r="D531" s="13">
        <v>0</v>
      </c>
      <c r="E531" s="13">
        <v>2</v>
      </c>
    </row>
    <row r="532" spans="1:5" x14ac:dyDescent="0.3">
      <c r="A532" s="13" t="s">
        <v>1</v>
      </c>
      <c r="B532" s="13" t="s">
        <v>1740</v>
      </c>
      <c r="C532" s="13">
        <v>3</v>
      </c>
      <c r="D532" s="13">
        <v>0</v>
      </c>
      <c r="E532" s="13">
        <v>3</v>
      </c>
    </row>
    <row r="533" spans="1:5" x14ac:dyDescent="0.3">
      <c r="A533" s="13" t="s">
        <v>1</v>
      </c>
      <c r="B533" s="13" t="s">
        <v>1886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1929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1969</v>
      </c>
      <c r="C535" s="13">
        <v>1</v>
      </c>
      <c r="D535" s="13">
        <v>0</v>
      </c>
      <c r="E535" s="13">
        <v>3</v>
      </c>
    </row>
    <row r="536" spans="1:5" x14ac:dyDescent="0.3">
      <c r="A536" s="13" t="s">
        <v>1</v>
      </c>
      <c r="B536" s="13" t="s">
        <v>2162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2179</v>
      </c>
      <c r="C537" s="13">
        <v>3</v>
      </c>
      <c r="D537" s="13">
        <v>0</v>
      </c>
      <c r="E537" s="13">
        <v>4</v>
      </c>
    </row>
    <row r="538" spans="1:5" x14ac:dyDescent="0.3">
      <c r="A538" s="13" t="s">
        <v>1</v>
      </c>
      <c r="B538" s="13" t="s">
        <v>2339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2335</v>
      </c>
      <c r="C539" s="13">
        <v>6</v>
      </c>
      <c r="D539" s="13">
        <v>0</v>
      </c>
      <c r="E539" s="13">
        <v>6</v>
      </c>
    </row>
    <row r="540" spans="1:5" x14ac:dyDescent="0.3">
      <c r="A540" s="13" t="s">
        <v>1</v>
      </c>
      <c r="B540" s="13" t="s">
        <v>2624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2737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1920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1931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890</v>
      </c>
      <c r="C544" s="13">
        <v>2</v>
      </c>
      <c r="D544" s="13">
        <v>0</v>
      </c>
      <c r="E544" s="13">
        <v>2</v>
      </c>
    </row>
    <row r="545" spans="1:5" x14ac:dyDescent="0.3">
      <c r="A545" s="13" t="s">
        <v>1</v>
      </c>
      <c r="B545" s="13" t="s">
        <v>1816</v>
      </c>
      <c r="C545" s="13">
        <v>1</v>
      </c>
      <c r="D545" s="13">
        <v>0</v>
      </c>
      <c r="E545" s="13">
        <v>0</v>
      </c>
    </row>
    <row r="546" spans="1:5" x14ac:dyDescent="0.3">
      <c r="A546" s="13" t="s">
        <v>1</v>
      </c>
      <c r="B546" s="13" t="s">
        <v>561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392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2859</v>
      </c>
      <c r="C548" s="13">
        <v>1</v>
      </c>
      <c r="D548" s="13">
        <v>0</v>
      </c>
      <c r="E548" s="13">
        <v>2</v>
      </c>
    </row>
    <row r="549" spans="1:5" x14ac:dyDescent="0.3">
      <c r="A549" s="13" t="s">
        <v>1</v>
      </c>
      <c r="B549" s="13" t="s">
        <v>1603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1165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1392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108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1028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2115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2860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1506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2369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765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1134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1315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827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1135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430</v>
      </c>
      <c r="C563" s="13">
        <v>1</v>
      </c>
      <c r="D563" s="13">
        <v>0</v>
      </c>
      <c r="E563" s="13">
        <v>0</v>
      </c>
    </row>
    <row r="564" spans="1:5" x14ac:dyDescent="0.3">
      <c r="A564" s="13" t="s">
        <v>1</v>
      </c>
      <c r="B564" s="13" t="s">
        <v>686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1107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316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517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1604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1005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2704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452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2720</v>
      </c>
      <c r="C572" s="13">
        <v>1</v>
      </c>
      <c r="D572" s="13">
        <v>0</v>
      </c>
      <c r="E572" s="13">
        <v>0</v>
      </c>
    </row>
    <row r="573" spans="1:5" x14ac:dyDescent="0.3">
      <c r="A573" s="13" t="s">
        <v>1</v>
      </c>
      <c r="B573" s="13" t="s">
        <v>358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522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1108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1488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1620</v>
      </c>
      <c r="C577" s="13">
        <v>1</v>
      </c>
      <c r="D577" s="13">
        <v>0</v>
      </c>
      <c r="E577" s="13">
        <v>0</v>
      </c>
    </row>
    <row r="578" spans="1:5" x14ac:dyDescent="0.3">
      <c r="A578" s="13" t="s">
        <v>1</v>
      </c>
      <c r="B578" s="13" t="s">
        <v>622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2042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1529</v>
      </c>
      <c r="C580" s="13">
        <v>1</v>
      </c>
      <c r="D580" s="13">
        <v>0</v>
      </c>
      <c r="E580" s="13">
        <v>2</v>
      </c>
    </row>
    <row r="581" spans="1:5" x14ac:dyDescent="0.3">
      <c r="A581" s="13" t="s">
        <v>1</v>
      </c>
      <c r="B581" s="13" t="s">
        <v>1336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1086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1657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1087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1878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626</v>
      </c>
      <c r="C586" s="13">
        <v>1</v>
      </c>
      <c r="D586" s="13">
        <v>0</v>
      </c>
      <c r="E586" s="13">
        <v>0</v>
      </c>
    </row>
    <row r="587" spans="1:5" x14ac:dyDescent="0.3">
      <c r="A587" s="13" t="s">
        <v>1</v>
      </c>
      <c r="B587" s="13" t="s">
        <v>114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115</v>
      </c>
      <c r="C588" s="13">
        <v>1</v>
      </c>
      <c r="D588" s="13">
        <v>0</v>
      </c>
      <c r="E588" s="13">
        <v>0</v>
      </c>
    </row>
    <row r="589" spans="1:5" x14ac:dyDescent="0.3">
      <c r="A589" s="13" t="s">
        <v>1</v>
      </c>
      <c r="B589" s="13" t="s">
        <v>739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2861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897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1292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2527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1168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1504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1305</v>
      </c>
      <c r="C596" s="13">
        <v>1</v>
      </c>
      <c r="D596" s="13">
        <v>0</v>
      </c>
      <c r="E596" s="13">
        <v>2</v>
      </c>
    </row>
    <row r="597" spans="1:5" x14ac:dyDescent="0.3">
      <c r="A597" s="13" t="s">
        <v>1</v>
      </c>
      <c r="B597" s="13" t="s">
        <v>1481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1</v>
      </c>
      <c r="B598" s="13" t="s">
        <v>2862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409</v>
      </c>
      <c r="C599" s="13">
        <v>1</v>
      </c>
      <c r="D599" s="13">
        <v>0</v>
      </c>
      <c r="E599" s="13">
        <v>2</v>
      </c>
    </row>
    <row r="600" spans="1:5" x14ac:dyDescent="0.3">
      <c r="A600" s="13" t="s">
        <v>1</v>
      </c>
      <c r="B600" s="13" t="s">
        <v>410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1</v>
      </c>
      <c r="B601" s="13" t="s">
        <v>1346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1011</v>
      </c>
      <c r="C602" s="13">
        <v>2</v>
      </c>
      <c r="D602" s="13">
        <v>0</v>
      </c>
      <c r="E602" s="13">
        <v>2</v>
      </c>
    </row>
    <row r="603" spans="1:5" x14ac:dyDescent="0.3">
      <c r="A603" s="13" t="s">
        <v>1</v>
      </c>
      <c r="B603" s="13" t="s">
        <v>634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713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458</v>
      </c>
      <c r="C605" s="13">
        <v>2</v>
      </c>
      <c r="D605" s="13">
        <v>0</v>
      </c>
      <c r="E605" s="13">
        <v>3</v>
      </c>
    </row>
    <row r="606" spans="1:5" x14ac:dyDescent="0.3">
      <c r="A606" s="13" t="s">
        <v>1</v>
      </c>
      <c r="B606" s="13" t="s">
        <v>907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1424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2863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482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1425</v>
      </c>
      <c r="C610" s="13">
        <v>2</v>
      </c>
      <c r="D610" s="13">
        <v>0</v>
      </c>
      <c r="E610" s="13">
        <v>2</v>
      </c>
    </row>
    <row r="611" spans="1:5" x14ac:dyDescent="0.3">
      <c r="A611" s="13" t="s">
        <v>1</v>
      </c>
      <c r="B611" s="13" t="s">
        <v>1025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1431</v>
      </c>
      <c r="C612" s="13">
        <v>1</v>
      </c>
      <c r="D612" s="13">
        <v>0</v>
      </c>
      <c r="E612" s="13">
        <v>2</v>
      </c>
    </row>
    <row r="613" spans="1:5" x14ac:dyDescent="0.3">
      <c r="A613" s="13" t="s">
        <v>1</v>
      </c>
      <c r="B613" s="13" t="s">
        <v>1490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1</v>
      </c>
      <c r="B614" s="13" t="s">
        <v>1145</v>
      </c>
      <c r="C614" s="13">
        <v>2</v>
      </c>
      <c r="D614" s="13">
        <v>0</v>
      </c>
      <c r="E614" s="13">
        <v>2</v>
      </c>
    </row>
    <row r="615" spans="1:5" x14ac:dyDescent="0.3">
      <c r="A615" s="13" t="s">
        <v>1</v>
      </c>
      <c r="B615" s="13" t="s">
        <v>53</v>
      </c>
      <c r="C615" s="13">
        <v>2</v>
      </c>
      <c r="D615" s="13">
        <v>0</v>
      </c>
      <c r="E615" s="13">
        <v>3</v>
      </c>
    </row>
    <row r="616" spans="1:5" x14ac:dyDescent="0.3">
      <c r="A616" s="13" t="s">
        <v>1</v>
      </c>
      <c r="B616" s="13" t="s">
        <v>256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1</v>
      </c>
      <c r="B617" s="13" t="s">
        <v>651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231</v>
      </c>
      <c r="C618" s="13">
        <v>5</v>
      </c>
      <c r="D618" s="13">
        <v>0</v>
      </c>
      <c r="E618" s="13">
        <v>7</v>
      </c>
    </row>
    <row r="619" spans="1:5" x14ac:dyDescent="0.3">
      <c r="A619" s="13" t="s">
        <v>1</v>
      </c>
      <c r="B619" s="13" t="s">
        <v>232</v>
      </c>
      <c r="C619" s="13">
        <v>6</v>
      </c>
      <c r="D619" s="13">
        <v>0</v>
      </c>
      <c r="E619" s="13">
        <v>7</v>
      </c>
    </row>
    <row r="620" spans="1:5" x14ac:dyDescent="0.3">
      <c r="A620" s="13" t="s">
        <v>1</v>
      </c>
      <c r="B620" s="13" t="s">
        <v>192</v>
      </c>
      <c r="C620" s="13">
        <v>7</v>
      </c>
      <c r="D620" s="13">
        <v>0</v>
      </c>
      <c r="E620" s="13">
        <v>11</v>
      </c>
    </row>
    <row r="621" spans="1:5" x14ac:dyDescent="0.3">
      <c r="A621" s="14" t="s">
        <v>1</v>
      </c>
      <c r="B621" s="14" t="s">
        <v>235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639</v>
      </c>
      <c r="C622" s="14">
        <v>2</v>
      </c>
      <c r="D622" s="14">
        <v>0</v>
      </c>
      <c r="E622" s="14">
        <v>3</v>
      </c>
    </row>
    <row r="623" spans="1:5" x14ac:dyDescent="0.3">
      <c r="A623" s="14" t="s">
        <v>1</v>
      </c>
      <c r="B623" s="14" t="s">
        <v>236</v>
      </c>
      <c r="C623" s="14">
        <v>8</v>
      </c>
      <c r="D623" s="14">
        <v>0</v>
      </c>
      <c r="E623" s="14">
        <v>9</v>
      </c>
    </row>
    <row r="624" spans="1:5" x14ac:dyDescent="0.3">
      <c r="A624" s="14" t="s">
        <v>1</v>
      </c>
      <c r="B624" s="14" t="s">
        <v>640</v>
      </c>
      <c r="C624" s="14">
        <v>3</v>
      </c>
      <c r="D624" s="14">
        <v>0</v>
      </c>
      <c r="E624" s="14">
        <v>5</v>
      </c>
    </row>
    <row r="625" spans="1:5" x14ac:dyDescent="0.3">
      <c r="A625" s="14" t="s">
        <v>1</v>
      </c>
      <c r="B625" s="14" t="s">
        <v>1319</v>
      </c>
      <c r="C625" s="14">
        <v>1</v>
      </c>
      <c r="D625" s="14">
        <v>0</v>
      </c>
      <c r="E625" s="14">
        <v>1</v>
      </c>
    </row>
    <row r="626" spans="1:5" x14ac:dyDescent="0.3">
      <c r="A626" s="14" t="s">
        <v>1</v>
      </c>
      <c r="B626" s="14" t="s">
        <v>371</v>
      </c>
      <c r="C626" s="14">
        <v>4</v>
      </c>
      <c r="D626" s="14">
        <v>0</v>
      </c>
      <c r="E626" s="14">
        <v>4</v>
      </c>
    </row>
    <row r="627" spans="1:5" x14ac:dyDescent="0.3">
      <c r="A627" s="14" t="s">
        <v>1</v>
      </c>
      <c r="B627" s="14" t="s">
        <v>366</v>
      </c>
      <c r="C627" s="14">
        <v>2</v>
      </c>
      <c r="D627" s="14">
        <v>0</v>
      </c>
      <c r="E627" s="14">
        <v>2</v>
      </c>
    </row>
    <row r="628" spans="1:5" x14ac:dyDescent="0.3">
      <c r="A628" s="14" t="s">
        <v>1</v>
      </c>
      <c r="B628" s="14" t="s">
        <v>461</v>
      </c>
      <c r="C628" s="14">
        <v>5</v>
      </c>
      <c r="D628" s="14">
        <v>0</v>
      </c>
      <c r="E628" s="14">
        <v>7</v>
      </c>
    </row>
    <row r="629" spans="1:5" x14ac:dyDescent="0.3">
      <c r="A629" s="14" t="s">
        <v>1</v>
      </c>
      <c r="B629" s="14" t="s">
        <v>1196</v>
      </c>
      <c r="C629" s="14">
        <v>1</v>
      </c>
      <c r="D629" s="14">
        <v>0</v>
      </c>
      <c r="E629" s="14">
        <v>1</v>
      </c>
    </row>
    <row r="630" spans="1:5" x14ac:dyDescent="0.3">
      <c r="A630" s="14" t="s">
        <v>1</v>
      </c>
      <c r="B630" s="14" t="s">
        <v>979</v>
      </c>
      <c r="C630" s="14">
        <v>1</v>
      </c>
      <c r="D630" s="14">
        <v>0</v>
      </c>
      <c r="E630" s="14">
        <v>5</v>
      </c>
    </row>
    <row r="631" spans="1:5" x14ac:dyDescent="0.3">
      <c r="A631" s="14" t="s">
        <v>1</v>
      </c>
      <c r="B631" s="14" t="s">
        <v>1051</v>
      </c>
      <c r="C631" s="14">
        <v>1</v>
      </c>
      <c r="D631" s="14">
        <v>0</v>
      </c>
      <c r="E631" s="14">
        <v>1</v>
      </c>
    </row>
    <row r="632" spans="1:5" x14ac:dyDescent="0.3">
      <c r="A632" s="14" t="s">
        <v>1</v>
      </c>
      <c r="B632" s="14" t="s">
        <v>442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1589</v>
      </c>
      <c r="C633" s="14">
        <v>1</v>
      </c>
      <c r="D633" s="14">
        <v>0</v>
      </c>
      <c r="E633" s="14">
        <v>1</v>
      </c>
    </row>
    <row r="634" spans="1:5" x14ac:dyDescent="0.3">
      <c r="A634" s="14" t="s">
        <v>1</v>
      </c>
      <c r="B634" s="14" t="s">
        <v>2748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1</v>
      </c>
      <c r="B635" s="14" t="s">
        <v>2118</v>
      </c>
      <c r="C635" s="14">
        <v>1</v>
      </c>
      <c r="D635" s="14">
        <v>0</v>
      </c>
      <c r="E635" s="14">
        <v>1</v>
      </c>
    </row>
    <row r="636" spans="1:5" x14ac:dyDescent="0.3">
      <c r="A636" s="14" t="s">
        <v>1</v>
      </c>
      <c r="B636" s="14" t="s">
        <v>720</v>
      </c>
      <c r="C636" s="14">
        <v>0</v>
      </c>
      <c r="D636" s="14">
        <v>1</v>
      </c>
    </row>
    <row r="637" spans="1:5" x14ac:dyDescent="0.3">
      <c r="A637" s="14" t="s">
        <v>1</v>
      </c>
      <c r="B637" s="14" t="s">
        <v>2864</v>
      </c>
      <c r="C637" s="14">
        <v>1</v>
      </c>
      <c r="D637" s="14">
        <v>0</v>
      </c>
      <c r="E637" s="14">
        <v>2</v>
      </c>
    </row>
    <row r="638" spans="1:5" x14ac:dyDescent="0.3">
      <c r="A638" s="14" t="s">
        <v>1</v>
      </c>
      <c r="B638" s="14" t="s">
        <v>2865</v>
      </c>
      <c r="C638" s="14">
        <v>1</v>
      </c>
      <c r="D638" s="14">
        <v>0</v>
      </c>
      <c r="E638" s="14">
        <v>1</v>
      </c>
    </row>
    <row r="639" spans="1:5" x14ac:dyDescent="0.3">
      <c r="A639" s="14" t="s">
        <v>1</v>
      </c>
      <c r="B639" s="14" t="s">
        <v>2671</v>
      </c>
      <c r="C639" s="14">
        <v>1</v>
      </c>
      <c r="D639" s="14">
        <v>0</v>
      </c>
      <c r="E639" s="14">
        <v>1</v>
      </c>
    </row>
    <row r="640" spans="1:5" x14ac:dyDescent="0.3">
      <c r="A640" s="14" t="s">
        <v>1</v>
      </c>
      <c r="B640" s="14" t="s">
        <v>2348</v>
      </c>
      <c r="C640" s="14">
        <v>3</v>
      </c>
      <c r="D640" s="14">
        <v>0</v>
      </c>
      <c r="E640" s="14">
        <v>3</v>
      </c>
    </row>
    <row r="641" spans="1:5" x14ac:dyDescent="0.3">
      <c r="A641" s="14" t="s">
        <v>1</v>
      </c>
      <c r="B641" s="14" t="s">
        <v>2349</v>
      </c>
      <c r="C641" s="14">
        <v>1</v>
      </c>
      <c r="D641" s="14">
        <v>0</v>
      </c>
      <c r="E641" s="14">
        <v>1</v>
      </c>
    </row>
    <row r="642" spans="1:5" x14ac:dyDescent="0.3">
      <c r="A642" s="14" t="s">
        <v>1</v>
      </c>
      <c r="B642" s="14" t="s">
        <v>68</v>
      </c>
      <c r="C642" s="14">
        <v>3</v>
      </c>
      <c r="D642" s="14">
        <v>0</v>
      </c>
      <c r="E642" s="14">
        <v>3</v>
      </c>
    </row>
    <row r="643" spans="1:5" x14ac:dyDescent="0.3">
      <c r="A643" s="14" t="s">
        <v>1</v>
      </c>
      <c r="B643" s="14" t="s">
        <v>32</v>
      </c>
      <c r="C643" s="14">
        <v>5</v>
      </c>
      <c r="D643" s="14">
        <v>0</v>
      </c>
      <c r="E643" s="14">
        <v>6</v>
      </c>
    </row>
    <row r="644" spans="1:5" x14ac:dyDescent="0.3">
      <c r="A644" s="14" t="s">
        <v>1</v>
      </c>
      <c r="B644" s="14" t="s">
        <v>644</v>
      </c>
      <c r="C644" s="14">
        <v>4</v>
      </c>
      <c r="D644" s="14">
        <v>0</v>
      </c>
      <c r="E644" s="14">
        <v>11</v>
      </c>
    </row>
    <row r="645" spans="1:5" x14ac:dyDescent="0.3">
      <c r="A645" s="14" t="s">
        <v>1</v>
      </c>
      <c r="B645" s="14" t="s">
        <v>2866</v>
      </c>
      <c r="C645" s="14">
        <v>0</v>
      </c>
      <c r="D645" s="14">
        <v>1</v>
      </c>
    </row>
    <row r="646" spans="1:5" x14ac:dyDescent="0.3">
      <c r="A646" s="14" t="s">
        <v>0</v>
      </c>
      <c r="B646" s="14" t="s">
        <v>199</v>
      </c>
      <c r="C646" s="14">
        <v>1</v>
      </c>
      <c r="D646" s="14">
        <v>0</v>
      </c>
      <c r="E646" s="14">
        <v>1</v>
      </c>
    </row>
    <row r="647" spans="1:5" x14ac:dyDescent="0.3">
      <c r="A647" s="14" t="s">
        <v>0</v>
      </c>
      <c r="B647" s="14" t="s">
        <v>671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0</v>
      </c>
      <c r="B648" s="14" t="s">
        <v>597</v>
      </c>
      <c r="C648" s="14">
        <v>1</v>
      </c>
      <c r="D648" s="14">
        <v>0</v>
      </c>
      <c r="E648" s="14">
        <v>1</v>
      </c>
    </row>
    <row r="649" spans="1:5" x14ac:dyDescent="0.3">
      <c r="A649" s="14" t="s">
        <v>0</v>
      </c>
      <c r="B649" s="14" t="s">
        <v>41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0</v>
      </c>
      <c r="B650" s="14" t="s">
        <v>1505</v>
      </c>
      <c r="C650" s="14">
        <v>1</v>
      </c>
      <c r="D650" s="14">
        <v>0</v>
      </c>
      <c r="E650" s="14">
        <v>1</v>
      </c>
    </row>
    <row r="651" spans="1:5" x14ac:dyDescent="0.3">
      <c r="A651" s="14" t="s">
        <v>0</v>
      </c>
      <c r="B651" s="14" t="s">
        <v>1852</v>
      </c>
      <c r="C651" s="14">
        <v>1</v>
      </c>
      <c r="D651" s="14">
        <v>0</v>
      </c>
      <c r="E651" s="14">
        <v>1</v>
      </c>
    </row>
    <row r="652" spans="1:5" x14ac:dyDescent="0.3">
      <c r="A652" s="14" t="s">
        <v>0</v>
      </c>
      <c r="B652" s="14" t="s">
        <v>2407</v>
      </c>
      <c r="C652" s="14">
        <v>1</v>
      </c>
      <c r="D652" s="14">
        <v>0</v>
      </c>
      <c r="E652" s="14">
        <v>1</v>
      </c>
    </row>
    <row r="653" spans="1:5" x14ac:dyDescent="0.3">
      <c r="A653" s="14" t="s">
        <v>0</v>
      </c>
      <c r="B653" s="14" t="s">
        <v>2335</v>
      </c>
      <c r="C653" s="14">
        <v>3</v>
      </c>
      <c r="D653" s="14">
        <v>0</v>
      </c>
      <c r="E653" s="14">
        <v>3</v>
      </c>
    </row>
    <row r="654" spans="1:5" x14ac:dyDescent="0.3">
      <c r="A654" s="14" t="s">
        <v>0</v>
      </c>
      <c r="B654" s="14" t="s">
        <v>2677</v>
      </c>
      <c r="C654" s="14">
        <v>1</v>
      </c>
      <c r="D654" s="14">
        <v>0</v>
      </c>
      <c r="E654" s="14">
        <v>2</v>
      </c>
    </row>
    <row r="655" spans="1:5" x14ac:dyDescent="0.3">
      <c r="A655" s="14" t="s">
        <v>0</v>
      </c>
      <c r="B655" s="14" t="s">
        <v>2734</v>
      </c>
      <c r="C655" s="14">
        <v>1</v>
      </c>
      <c r="D655" s="14">
        <v>0</v>
      </c>
      <c r="E655" s="14">
        <v>1</v>
      </c>
    </row>
    <row r="656" spans="1:5" x14ac:dyDescent="0.3">
      <c r="A656" s="14" t="s">
        <v>0</v>
      </c>
      <c r="B656" s="14" t="s">
        <v>2762</v>
      </c>
      <c r="C656" s="14">
        <v>2</v>
      </c>
      <c r="D656" s="14">
        <v>0</v>
      </c>
      <c r="E656" s="14">
        <v>2</v>
      </c>
    </row>
    <row r="657" spans="1:5" x14ac:dyDescent="0.3">
      <c r="A657" s="14" t="s">
        <v>0</v>
      </c>
      <c r="B657" s="14" t="s">
        <v>221</v>
      </c>
      <c r="C657" s="14">
        <v>1</v>
      </c>
      <c r="D657" s="14">
        <v>0</v>
      </c>
      <c r="E657" s="14">
        <v>1</v>
      </c>
    </row>
    <row r="658" spans="1:5" x14ac:dyDescent="0.3">
      <c r="A658" s="14" t="s">
        <v>0</v>
      </c>
      <c r="B658" s="14" t="s">
        <v>307</v>
      </c>
      <c r="C658" s="14">
        <v>1</v>
      </c>
      <c r="D658" s="14">
        <v>0</v>
      </c>
      <c r="E658" s="14">
        <v>1</v>
      </c>
    </row>
    <row r="659" spans="1:5" x14ac:dyDescent="0.3">
      <c r="A659" s="14" t="s">
        <v>0</v>
      </c>
      <c r="B659" s="14" t="s">
        <v>1457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0</v>
      </c>
      <c r="B660" s="14" t="s">
        <v>1002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0</v>
      </c>
      <c r="B661" s="14" t="s">
        <v>1327</v>
      </c>
      <c r="C661" s="14">
        <v>1</v>
      </c>
      <c r="D661" s="14">
        <v>0</v>
      </c>
      <c r="E661" s="14">
        <v>2</v>
      </c>
    </row>
    <row r="662" spans="1:5" x14ac:dyDescent="0.3">
      <c r="A662" s="14" t="s">
        <v>0</v>
      </c>
      <c r="B662" s="14" t="s">
        <v>111</v>
      </c>
      <c r="C662" s="14">
        <v>1</v>
      </c>
      <c r="D662" s="14">
        <v>0</v>
      </c>
      <c r="E662" s="14">
        <v>3</v>
      </c>
    </row>
    <row r="663" spans="1:5" x14ac:dyDescent="0.3">
      <c r="A663" s="14" t="s">
        <v>0</v>
      </c>
      <c r="B663" s="14" t="s">
        <v>579</v>
      </c>
      <c r="C663" s="14">
        <v>1</v>
      </c>
      <c r="D663" s="14">
        <v>0</v>
      </c>
      <c r="E663" s="14">
        <v>1</v>
      </c>
    </row>
    <row r="664" spans="1:5" x14ac:dyDescent="0.3">
      <c r="A664" s="14" t="s">
        <v>0</v>
      </c>
      <c r="B664" s="14" t="s">
        <v>2867</v>
      </c>
      <c r="C664" s="14">
        <v>1</v>
      </c>
      <c r="D664" s="14">
        <v>0</v>
      </c>
      <c r="E664" s="14">
        <v>1</v>
      </c>
    </row>
    <row r="665" spans="1:5" x14ac:dyDescent="0.3">
      <c r="A665" s="14" t="s">
        <v>0</v>
      </c>
      <c r="B665" s="14" t="s">
        <v>2868</v>
      </c>
      <c r="C665" s="14">
        <v>1</v>
      </c>
      <c r="D665" s="14">
        <v>0</v>
      </c>
      <c r="E665" s="14">
        <v>1</v>
      </c>
    </row>
    <row r="666" spans="1:5" x14ac:dyDescent="0.3">
      <c r="A666" s="14" t="s">
        <v>0</v>
      </c>
      <c r="B666" s="14" t="s">
        <v>1005</v>
      </c>
      <c r="C666" s="14">
        <v>1</v>
      </c>
      <c r="D666" s="14">
        <v>0</v>
      </c>
      <c r="E666" s="14">
        <v>1</v>
      </c>
    </row>
    <row r="667" spans="1:5" x14ac:dyDescent="0.3">
      <c r="A667" s="14" t="s">
        <v>0</v>
      </c>
      <c r="B667" s="14" t="s">
        <v>571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0</v>
      </c>
      <c r="B668" s="14" t="s">
        <v>118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0</v>
      </c>
      <c r="B669" s="14" t="s">
        <v>661</v>
      </c>
      <c r="C669" s="14">
        <v>1</v>
      </c>
      <c r="D669" s="14">
        <v>0</v>
      </c>
      <c r="E669" s="14">
        <v>1</v>
      </c>
    </row>
    <row r="670" spans="1:5" x14ac:dyDescent="0.3">
      <c r="A670" s="14" t="s">
        <v>0</v>
      </c>
      <c r="B670" s="14" t="s">
        <v>53</v>
      </c>
      <c r="C670" s="14">
        <v>1</v>
      </c>
      <c r="D670" s="14">
        <v>0</v>
      </c>
      <c r="E670" s="14">
        <v>1</v>
      </c>
    </row>
    <row r="671" spans="1:5" x14ac:dyDescent="0.3">
      <c r="A671" s="14" t="s">
        <v>0</v>
      </c>
      <c r="B671" s="14" t="s">
        <v>2326</v>
      </c>
      <c r="C671" s="14">
        <v>1</v>
      </c>
      <c r="D671" s="14">
        <v>0</v>
      </c>
      <c r="E671" s="14">
        <v>2</v>
      </c>
    </row>
    <row r="672" spans="1:5" x14ac:dyDescent="0.3">
      <c r="A672" s="14" t="s">
        <v>0</v>
      </c>
      <c r="B672" s="14" t="s">
        <v>231</v>
      </c>
      <c r="C672" s="14">
        <v>2</v>
      </c>
      <c r="D672" s="14">
        <v>0</v>
      </c>
      <c r="E672" s="14">
        <v>2</v>
      </c>
    </row>
    <row r="673" spans="1:5" x14ac:dyDescent="0.3">
      <c r="A673" s="14" t="s">
        <v>0</v>
      </c>
      <c r="B673" s="14" t="s">
        <v>191</v>
      </c>
      <c r="C673" s="14">
        <v>1</v>
      </c>
      <c r="D673" s="14">
        <v>0</v>
      </c>
      <c r="E673" s="14">
        <v>1</v>
      </c>
    </row>
    <row r="674" spans="1:5" x14ac:dyDescent="0.3">
      <c r="A674" s="14" t="s">
        <v>0</v>
      </c>
      <c r="B674" s="14" t="s">
        <v>192</v>
      </c>
      <c r="C674" s="14">
        <v>2</v>
      </c>
      <c r="D674" s="14">
        <v>0</v>
      </c>
      <c r="E674" s="14">
        <v>2</v>
      </c>
    </row>
    <row r="675" spans="1:5" x14ac:dyDescent="0.3">
      <c r="A675" s="14" t="s">
        <v>0</v>
      </c>
      <c r="B675" s="14" t="s">
        <v>54</v>
      </c>
      <c r="C675" s="14">
        <v>1</v>
      </c>
      <c r="D675" s="14">
        <v>0</v>
      </c>
      <c r="E675" s="14">
        <v>1</v>
      </c>
    </row>
    <row r="676" spans="1:5" x14ac:dyDescent="0.3">
      <c r="A676" s="14" t="s">
        <v>0</v>
      </c>
      <c r="B676" s="14" t="s">
        <v>869</v>
      </c>
      <c r="C676" s="14">
        <v>0</v>
      </c>
      <c r="D676" s="14">
        <v>1</v>
      </c>
    </row>
    <row r="677" spans="1:5" x14ac:dyDescent="0.3">
      <c r="A677" s="14" t="s">
        <v>0</v>
      </c>
      <c r="B677" s="14" t="s">
        <v>1017</v>
      </c>
      <c r="C677" s="14">
        <v>1</v>
      </c>
      <c r="D677" s="14">
        <v>0</v>
      </c>
      <c r="E677" s="14">
        <v>1</v>
      </c>
    </row>
    <row r="678" spans="1:5" x14ac:dyDescent="0.3">
      <c r="A678" s="14" t="s">
        <v>0</v>
      </c>
      <c r="B678" s="14" t="s">
        <v>2350</v>
      </c>
      <c r="C678" s="14">
        <v>1</v>
      </c>
      <c r="D678" s="14">
        <v>0</v>
      </c>
      <c r="E678" s="14">
        <v>1</v>
      </c>
    </row>
    <row r="679" spans="1:5" x14ac:dyDescent="0.3">
      <c r="A679" s="14" t="s">
        <v>0</v>
      </c>
      <c r="B679" s="14" t="s">
        <v>32</v>
      </c>
      <c r="C679" s="14">
        <v>1</v>
      </c>
      <c r="D679" s="14">
        <v>0</v>
      </c>
      <c r="E679" s="14">
        <v>1</v>
      </c>
    </row>
    <row r="680" spans="1:5" x14ac:dyDescent="0.3">
      <c r="A680" s="14" t="s">
        <v>0</v>
      </c>
      <c r="B680" s="14" t="s">
        <v>644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2</v>
      </c>
      <c r="B681" s="14" t="s">
        <v>210</v>
      </c>
      <c r="C681" s="14">
        <v>1</v>
      </c>
      <c r="D681" s="14">
        <v>0</v>
      </c>
      <c r="E681" s="14">
        <v>0</v>
      </c>
    </row>
    <row r="682" spans="1:5" x14ac:dyDescent="0.3">
      <c r="A682" s="14" t="s">
        <v>2</v>
      </c>
      <c r="B682" s="14" t="s">
        <v>2701</v>
      </c>
      <c r="C682" s="14">
        <v>1</v>
      </c>
      <c r="D682" s="14">
        <v>0</v>
      </c>
      <c r="E682" s="14">
        <v>1</v>
      </c>
    </row>
    <row r="683" spans="1:5" x14ac:dyDescent="0.3">
      <c r="A683" s="14" t="s">
        <v>2</v>
      </c>
      <c r="B683" s="14" t="s">
        <v>2520</v>
      </c>
      <c r="C683" s="14">
        <v>1</v>
      </c>
      <c r="D683" s="14">
        <v>0</v>
      </c>
      <c r="E683" s="14">
        <v>1</v>
      </c>
    </row>
    <row r="684" spans="1:5" x14ac:dyDescent="0.3">
      <c r="A684" s="14" t="s">
        <v>2</v>
      </c>
      <c r="B684" s="14" t="s">
        <v>694</v>
      </c>
      <c r="C684" s="14">
        <v>1</v>
      </c>
      <c r="D684" s="14">
        <v>0</v>
      </c>
      <c r="E684" s="14">
        <v>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7F574-CB09-47D7-A00C-2C44B708CB33}">
  <sheetPr codeName="Sheet58"/>
  <dimension ref="A1:M733"/>
  <sheetViews>
    <sheetView workbookViewId="0">
      <selection activeCell="A2" sqref="A2:E733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30</v>
      </c>
      <c r="C2" s="13">
        <v>107</v>
      </c>
      <c r="D2" s="13">
        <v>52</v>
      </c>
      <c r="E2" s="13">
        <v>199</v>
      </c>
    </row>
    <row r="3" spans="1:13" customFormat="1" x14ac:dyDescent="0.3">
      <c r="A3" s="13" t="s">
        <v>1</v>
      </c>
      <c r="B3" s="13" t="s">
        <v>135</v>
      </c>
      <c r="C3" s="13">
        <v>68</v>
      </c>
      <c r="D3" s="13">
        <v>48</v>
      </c>
      <c r="E3" s="13">
        <v>74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2869</v>
      </c>
      <c r="C4" s="13">
        <v>77</v>
      </c>
      <c r="D4" s="13">
        <v>37</v>
      </c>
      <c r="E4" s="13">
        <v>90</v>
      </c>
      <c r="G4" s="19" t="s">
        <v>8</v>
      </c>
      <c r="H4" s="15">
        <f>H13+H14</f>
        <v>1281</v>
      </c>
      <c r="I4" s="16">
        <f>H4/H$6</f>
        <v>0.75530660377358494</v>
      </c>
      <c r="J4" s="15">
        <f>I13+I14</f>
        <v>723</v>
      </c>
      <c r="K4" s="16">
        <f>J4/J$6</f>
        <v>0.6788732394366197</v>
      </c>
      <c r="L4" s="15">
        <f>J13+J14</f>
        <v>1530</v>
      </c>
      <c r="M4" s="25">
        <f>L4/L$6</f>
        <v>0.75406604238541153</v>
      </c>
    </row>
    <row r="5" spans="1:13" customFormat="1" x14ac:dyDescent="0.3">
      <c r="A5" s="13" t="s">
        <v>1</v>
      </c>
      <c r="B5" s="13" t="s">
        <v>354</v>
      </c>
      <c r="C5" s="13">
        <v>26</v>
      </c>
      <c r="D5" s="13">
        <v>24</v>
      </c>
      <c r="E5" s="13">
        <v>25</v>
      </c>
      <c r="G5" s="19" t="s">
        <v>10</v>
      </c>
      <c r="H5" s="15">
        <f>H15+H16</f>
        <v>415</v>
      </c>
      <c r="I5" s="16">
        <f>H5/H$6</f>
        <v>0.24469339622641509</v>
      </c>
      <c r="J5" s="15">
        <f>I15+I16</f>
        <v>342</v>
      </c>
      <c r="K5" s="16">
        <f>J5/J$6</f>
        <v>0.3211267605633803</v>
      </c>
      <c r="L5" s="15">
        <f>J15+J16</f>
        <v>499</v>
      </c>
      <c r="M5" s="25">
        <f>L5/L$6</f>
        <v>0.24593395761458847</v>
      </c>
    </row>
    <row r="6" spans="1:13" customFormat="1" ht="17.25" thickBot="1" x14ac:dyDescent="0.35">
      <c r="A6" s="13" t="s">
        <v>1</v>
      </c>
      <c r="B6" s="13" t="s">
        <v>37</v>
      </c>
      <c r="C6" s="13">
        <v>18</v>
      </c>
      <c r="D6" s="13">
        <v>16</v>
      </c>
      <c r="E6" s="13">
        <v>18</v>
      </c>
      <c r="G6" s="22"/>
      <c r="H6" s="26">
        <f>SUM(H4:H5)</f>
        <v>1696</v>
      </c>
      <c r="I6" s="27">
        <f>I4+I5</f>
        <v>1</v>
      </c>
      <c r="J6" s="26">
        <f>SUM(J4:J5)</f>
        <v>1065</v>
      </c>
      <c r="K6" s="27">
        <f>K4+K5</f>
        <v>1</v>
      </c>
      <c r="L6" s="26">
        <f>SUM(L4:L5)</f>
        <v>2029</v>
      </c>
      <c r="M6" s="28">
        <f>M4+M5</f>
        <v>1</v>
      </c>
    </row>
    <row r="7" spans="1:13" customFormat="1" x14ac:dyDescent="0.3">
      <c r="A7" s="13" t="s">
        <v>0</v>
      </c>
      <c r="B7" s="13" t="s">
        <v>2701</v>
      </c>
      <c r="C7" s="13">
        <v>25</v>
      </c>
      <c r="D7" s="13">
        <v>16</v>
      </c>
      <c r="E7" s="13">
        <v>27</v>
      </c>
    </row>
    <row r="8" spans="1:13" customFormat="1" x14ac:dyDescent="0.3">
      <c r="A8" s="13" t="s">
        <v>1</v>
      </c>
      <c r="B8" s="13" t="s">
        <v>1988</v>
      </c>
      <c r="C8" s="13">
        <v>20</v>
      </c>
      <c r="D8" s="13">
        <v>15</v>
      </c>
      <c r="E8" s="13">
        <v>24</v>
      </c>
    </row>
    <row r="9" spans="1:13" customFormat="1" x14ac:dyDescent="0.3">
      <c r="A9" s="13" t="s">
        <v>1</v>
      </c>
      <c r="B9" s="13" t="s">
        <v>1663</v>
      </c>
      <c r="C9" s="13">
        <v>17</v>
      </c>
      <c r="D9" s="13">
        <v>13</v>
      </c>
      <c r="E9" s="13">
        <v>20</v>
      </c>
    </row>
    <row r="10" spans="1:13" customFormat="1" ht="17.25" thickBot="1" x14ac:dyDescent="0.35">
      <c r="A10" s="13" t="s">
        <v>0</v>
      </c>
      <c r="B10" s="13" t="s">
        <v>29</v>
      </c>
      <c r="C10" s="13">
        <v>13</v>
      </c>
      <c r="D10" s="13">
        <v>13</v>
      </c>
      <c r="E10" s="13">
        <v>14</v>
      </c>
    </row>
    <row r="11" spans="1:13" x14ac:dyDescent="0.3">
      <c r="A11" s="13" t="s">
        <v>0</v>
      </c>
      <c r="B11" s="13" t="s">
        <v>31</v>
      </c>
      <c r="C11" s="13">
        <v>13</v>
      </c>
      <c r="D11" s="13">
        <v>12</v>
      </c>
      <c r="E11" s="13">
        <v>15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2869</v>
      </c>
      <c r="C12" s="13">
        <v>16</v>
      </c>
      <c r="D12" s="13">
        <v>11</v>
      </c>
      <c r="E12" s="13">
        <v>21</v>
      </c>
      <c r="G12" s="19"/>
      <c r="H12" s="17">
        <f t="shared" ref="H12:J12" si="0">SUM(H13:H16)</f>
        <v>1696</v>
      </c>
      <c r="I12" s="17">
        <f t="shared" si="0"/>
        <v>1065</v>
      </c>
      <c r="J12" s="20">
        <f t="shared" si="0"/>
        <v>2029</v>
      </c>
    </row>
    <row r="13" spans="1:13" x14ac:dyDescent="0.3">
      <c r="A13" s="13" t="s">
        <v>1</v>
      </c>
      <c r="B13" s="13" t="s">
        <v>120</v>
      </c>
      <c r="C13" s="13">
        <v>10</v>
      </c>
      <c r="D13" s="13">
        <v>10</v>
      </c>
      <c r="E13" s="13">
        <v>10</v>
      </c>
      <c r="G13" s="19" t="s">
        <v>7</v>
      </c>
      <c r="H13" s="18">
        <f t="shared" ref="H13:J16" si="1">SUMIF($A$2:$A$9999,$G13,C$2:C$9999)</f>
        <v>1281</v>
      </c>
      <c r="I13" s="18">
        <f t="shared" si="1"/>
        <v>723</v>
      </c>
      <c r="J13" s="21">
        <f t="shared" si="1"/>
        <v>1530</v>
      </c>
    </row>
    <row r="14" spans="1:13" x14ac:dyDescent="0.3">
      <c r="A14" s="13" t="s">
        <v>0</v>
      </c>
      <c r="B14" s="13" t="s">
        <v>354</v>
      </c>
      <c r="C14" s="13">
        <v>10</v>
      </c>
      <c r="D14" s="13">
        <v>9</v>
      </c>
      <c r="E14" s="13">
        <v>11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1948</v>
      </c>
      <c r="C15" s="13">
        <v>12</v>
      </c>
      <c r="D15" s="13">
        <v>8</v>
      </c>
      <c r="E15" s="13">
        <v>13</v>
      </c>
      <c r="G15" s="19" t="s">
        <v>11</v>
      </c>
      <c r="H15" s="18">
        <f t="shared" si="1"/>
        <v>383</v>
      </c>
      <c r="I15" s="18">
        <f t="shared" si="1"/>
        <v>317</v>
      </c>
      <c r="J15" s="21">
        <f t="shared" si="1"/>
        <v>455</v>
      </c>
    </row>
    <row r="16" spans="1:13" ht="17.25" thickBot="1" x14ac:dyDescent="0.35">
      <c r="A16" s="13" t="s">
        <v>1</v>
      </c>
      <c r="B16" s="13" t="s">
        <v>51</v>
      </c>
      <c r="C16" s="13">
        <v>10</v>
      </c>
      <c r="D16" s="13">
        <v>8</v>
      </c>
      <c r="E16" s="13">
        <v>10</v>
      </c>
      <c r="G16" s="22" t="s">
        <v>12</v>
      </c>
      <c r="H16" s="23">
        <f t="shared" si="1"/>
        <v>32</v>
      </c>
      <c r="I16" s="23">
        <f t="shared" si="1"/>
        <v>25</v>
      </c>
      <c r="J16" s="24">
        <f t="shared" si="1"/>
        <v>44</v>
      </c>
    </row>
    <row r="17" spans="1:5" x14ac:dyDescent="0.3">
      <c r="A17" s="13" t="s">
        <v>1</v>
      </c>
      <c r="B17" s="13" t="s">
        <v>61</v>
      </c>
      <c r="C17" s="13">
        <v>9</v>
      </c>
      <c r="D17" s="13">
        <v>7</v>
      </c>
      <c r="E17" s="13">
        <v>9</v>
      </c>
    </row>
    <row r="18" spans="1:5" x14ac:dyDescent="0.3">
      <c r="A18" s="13" t="s">
        <v>1</v>
      </c>
      <c r="B18" s="13" t="s">
        <v>1741</v>
      </c>
      <c r="C18" s="13">
        <v>8</v>
      </c>
      <c r="D18" s="13">
        <v>7</v>
      </c>
      <c r="E18" s="13">
        <v>7</v>
      </c>
    </row>
    <row r="19" spans="1:5" x14ac:dyDescent="0.3">
      <c r="A19" s="13" t="s">
        <v>1</v>
      </c>
      <c r="B19" s="13" t="s">
        <v>2093</v>
      </c>
      <c r="C19" s="13">
        <v>13</v>
      </c>
      <c r="D19" s="13">
        <v>7</v>
      </c>
      <c r="E19" s="13">
        <v>14</v>
      </c>
    </row>
    <row r="20" spans="1:5" x14ac:dyDescent="0.3">
      <c r="A20" s="13" t="s">
        <v>1</v>
      </c>
      <c r="B20" s="13" t="s">
        <v>111</v>
      </c>
      <c r="C20" s="13">
        <v>7</v>
      </c>
      <c r="D20" s="13">
        <v>7</v>
      </c>
      <c r="E20" s="13">
        <v>9</v>
      </c>
    </row>
    <row r="21" spans="1:5" x14ac:dyDescent="0.3">
      <c r="A21" s="13" t="s">
        <v>0</v>
      </c>
      <c r="B21" s="13" t="s">
        <v>30</v>
      </c>
      <c r="C21" s="13">
        <v>14</v>
      </c>
      <c r="D21" s="13">
        <v>7</v>
      </c>
      <c r="E21" s="13">
        <v>30</v>
      </c>
    </row>
    <row r="22" spans="1:5" x14ac:dyDescent="0.3">
      <c r="A22" s="13" t="s">
        <v>0</v>
      </c>
      <c r="B22" s="13" t="s">
        <v>1741</v>
      </c>
      <c r="C22" s="13">
        <v>9</v>
      </c>
      <c r="D22" s="13">
        <v>7</v>
      </c>
      <c r="E22" s="13">
        <v>10</v>
      </c>
    </row>
    <row r="23" spans="1:5" x14ac:dyDescent="0.3">
      <c r="A23" s="13" t="s">
        <v>1</v>
      </c>
      <c r="B23" s="13" t="s">
        <v>33</v>
      </c>
      <c r="C23" s="13">
        <v>8</v>
      </c>
      <c r="D23" s="13">
        <v>6</v>
      </c>
      <c r="E23" s="13">
        <v>10</v>
      </c>
    </row>
    <row r="24" spans="1:5" x14ac:dyDescent="0.3">
      <c r="A24" s="13" t="s">
        <v>1</v>
      </c>
      <c r="B24" s="13" t="s">
        <v>151</v>
      </c>
      <c r="C24" s="13">
        <v>11</v>
      </c>
      <c r="D24" s="13">
        <v>6</v>
      </c>
      <c r="E24" s="13">
        <v>12</v>
      </c>
    </row>
    <row r="25" spans="1:5" x14ac:dyDescent="0.3">
      <c r="A25" s="13" t="s">
        <v>1</v>
      </c>
      <c r="B25" s="13" t="s">
        <v>29</v>
      </c>
      <c r="C25" s="13">
        <v>6</v>
      </c>
      <c r="D25" s="13">
        <v>6</v>
      </c>
      <c r="E25" s="13">
        <v>6</v>
      </c>
    </row>
    <row r="26" spans="1:5" x14ac:dyDescent="0.3">
      <c r="A26" s="13" t="s">
        <v>1</v>
      </c>
      <c r="B26" s="13" t="s">
        <v>45</v>
      </c>
      <c r="C26" s="13">
        <v>7</v>
      </c>
      <c r="D26" s="13">
        <v>6</v>
      </c>
      <c r="E26" s="13">
        <v>7</v>
      </c>
    </row>
    <row r="27" spans="1:5" x14ac:dyDescent="0.3">
      <c r="A27" s="13" t="s">
        <v>1</v>
      </c>
      <c r="B27" s="13" t="s">
        <v>272</v>
      </c>
      <c r="C27" s="13">
        <v>8</v>
      </c>
      <c r="D27" s="13">
        <v>5</v>
      </c>
      <c r="E27" s="13">
        <v>9</v>
      </c>
    </row>
    <row r="28" spans="1:5" x14ac:dyDescent="0.3">
      <c r="A28" s="13" t="s">
        <v>1</v>
      </c>
      <c r="B28" s="13" t="s">
        <v>631</v>
      </c>
      <c r="C28" s="13">
        <v>5</v>
      </c>
      <c r="D28" s="13">
        <v>5</v>
      </c>
      <c r="E28" s="13">
        <v>5</v>
      </c>
    </row>
    <row r="29" spans="1:5" x14ac:dyDescent="0.3">
      <c r="A29" s="13" t="s">
        <v>0</v>
      </c>
      <c r="B29" s="13" t="s">
        <v>1948</v>
      </c>
      <c r="C29" s="13">
        <v>6</v>
      </c>
      <c r="D29" s="13">
        <v>5</v>
      </c>
      <c r="E29" s="13">
        <v>6</v>
      </c>
    </row>
    <row r="30" spans="1:5" x14ac:dyDescent="0.3">
      <c r="A30" s="13" t="s">
        <v>0</v>
      </c>
      <c r="B30" s="13" t="s">
        <v>402</v>
      </c>
      <c r="C30" s="13">
        <v>5</v>
      </c>
      <c r="D30" s="13">
        <v>5</v>
      </c>
      <c r="E30" s="13">
        <v>5</v>
      </c>
    </row>
    <row r="31" spans="1:5" x14ac:dyDescent="0.3">
      <c r="A31" s="13" t="s">
        <v>0</v>
      </c>
      <c r="B31" s="13" t="s">
        <v>37</v>
      </c>
      <c r="C31" s="13">
        <v>6</v>
      </c>
      <c r="D31" s="13">
        <v>5</v>
      </c>
      <c r="E31" s="13">
        <v>7</v>
      </c>
    </row>
    <row r="32" spans="1:5" x14ac:dyDescent="0.3">
      <c r="A32" s="13" t="s">
        <v>0</v>
      </c>
      <c r="B32" s="13" t="s">
        <v>415</v>
      </c>
      <c r="C32" s="13">
        <v>5</v>
      </c>
      <c r="D32" s="13">
        <v>5</v>
      </c>
      <c r="E32" s="13">
        <v>5</v>
      </c>
    </row>
    <row r="33" spans="1:5" x14ac:dyDescent="0.3">
      <c r="A33" s="13" t="s">
        <v>1</v>
      </c>
      <c r="B33" s="13" t="s">
        <v>145</v>
      </c>
      <c r="C33" s="13">
        <v>4</v>
      </c>
      <c r="D33" s="13">
        <v>4</v>
      </c>
      <c r="E33" s="13">
        <v>4</v>
      </c>
    </row>
    <row r="34" spans="1:5" x14ac:dyDescent="0.3">
      <c r="A34" s="13" t="s">
        <v>1</v>
      </c>
      <c r="B34" s="13" t="s">
        <v>42</v>
      </c>
      <c r="C34" s="13">
        <v>6</v>
      </c>
      <c r="D34" s="13">
        <v>4</v>
      </c>
      <c r="E34" s="13">
        <v>6</v>
      </c>
    </row>
    <row r="35" spans="1:5" x14ac:dyDescent="0.3">
      <c r="A35" s="13" t="s">
        <v>1</v>
      </c>
      <c r="B35" s="13" t="s">
        <v>93</v>
      </c>
      <c r="C35" s="13">
        <v>4</v>
      </c>
      <c r="D35" s="13">
        <v>4</v>
      </c>
      <c r="E35" s="13">
        <v>4</v>
      </c>
    </row>
    <row r="36" spans="1:5" x14ac:dyDescent="0.3">
      <c r="A36" s="13" t="s">
        <v>1</v>
      </c>
      <c r="B36" s="13" t="s">
        <v>94</v>
      </c>
      <c r="C36" s="13">
        <v>6</v>
      </c>
      <c r="D36" s="13">
        <v>4</v>
      </c>
      <c r="E36" s="13">
        <v>5</v>
      </c>
    </row>
    <row r="37" spans="1:5" x14ac:dyDescent="0.3">
      <c r="A37" s="13" t="s">
        <v>1</v>
      </c>
      <c r="B37" s="13" t="s">
        <v>2203</v>
      </c>
      <c r="C37" s="13">
        <v>9</v>
      </c>
      <c r="D37" s="13">
        <v>4</v>
      </c>
      <c r="E37" s="13">
        <v>9</v>
      </c>
    </row>
    <row r="38" spans="1:5" x14ac:dyDescent="0.3">
      <c r="A38" s="13" t="s">
        <v>1</v>
      </c>
      <c r="B38" s="13" t="s">
        <v>2735</v>
      </c>
      <c r="C38" s="13">
        <v>8</v>
      </c>
      <c r="D38" s="13">
        <v>4</v>
      </c>
      <c r="E38" s="13">
        <v>8</v>
      </c>
    </row>
    <row r="39" spans="1:5" x14ac:dyDescent="0.3">
      <c r="A39" s="13" t="s">
        <v>1</v>
      </c>
      <c r="B39" s="13" t="s">
        <v>279</v>
      </c>
      <c r="C39" s="13">
        <v>4</v>
      </c>
      <c r="D39" s="13">
        <v>4</v>
      </c>
      <c r="E39" s="13">
        <v>4</v>
      </c>
    </row>
    <row r="40" spans="1:5" x14ac:dyDescent="0.3">
      <c r="A40" s="13" t="s">
        <v>1</v>
      </c>
      <c r="B40" s="13" t="s">
        <v>115</v>
      </c>
      <c r="C40" s="13">
        <v>4</v>
      </c>
      <c r="D40" s="13">
        <v>4</v>
      </c>
      <c r="E40" s="13">
        <v>4</v>
      </c>
    </row>
    <row r="41" spans="1:5" x14ac:dyDescent="0.3">
      <c r="A41" s="13" t="s">
        <v>1</v>
      </c>
      <c r="B41" s="13" t="s">
        <v>661</v>
      </c>
      <c r="C41" s="13">
        <v>4</v>
      </c>
      <c r="D41" s="13">
        <v>4</v>
      </c>
      <c r="E41" s="13">
        <v>4</v>
      </c>
    </row>
    <row r="42" spans="1:5" x14ac:dyDescent="0.3">
      <c r="A42" s="13" t="s">
        <v>1</v>
      </c>
      <c r="B42" s="13" t="s">
        <v>1219</v>
      </c>
      <c r="C42" s="13">
        <v>4</v>
      </c>
      <c r="D42" s="13">
        <v>4</v>
      </c>
      <c r="E42" s="13">
        <v>6</v>
      </c>
    </row>
    <row r="43" spans="1:5" x14ac:dyDescent="0.3">
      <c r="A43" s="13" t="s">
        <v>1</v>
      </c>
      <c r="B43" s="13" t="s">
        <v>39</v>
      </c>
      <c r="C43" s="13">
        <v>10</v>
      </c>
      <c r="D43" s="13">
        <v>4</v>
      </c>
      <c r="E43" s="13">
        <v>37</v>
      </c>
    </row>
    <row r="44" spans="1:5" x14ac:dyDescent="0.3">
      <c r="A44" s="13" t="s">
        <v>1</v>
      </c>
      <c r="B44" s="13" t="s">
        <v>654</v>
      </c>
      <c r="C44" s="13">
        <v>4</v>
      </c>
      <c r="D44" s="13">
        <v>6</v>
      </c>
      <c r="E44" s="13"/>
    </row>
    <row r="45" spans="1:5" x14ac:dyDescent="0.3">
      <c r="A45" s="13" t="s">
        <v>1</v>
      </c>
      <c r="B45" s="13" t="s">
        <v>259</v>
      </c>
      <c r="C45" s="13">
        <v>4</v>
      </c>
      <c r="D45" s="13">
        <v>4</v>
      </c>
      <c r="E45" s="13">
        <v>8</v>
      </c>
    </row>
    <row r="46" spans="1:5" x14ac:dyDescent="0.3">
      <c r="A46" s="13" t="s">
        <v>0</v>
      </c>
      <c r="B46" s="13" t="s">
        <v>61</v>
      </c>
      <c r="C46" s="13">
        <v>4</v>
      </c>
      <c r="D46" s="13">
        <v>4</v>
      </c>
      <c r="E46" s="13">
        <v>4</v>
      </c>
    </row>
    <row r="47" spans="1:5" x14ac:dyDescent="0.3">
      <c r="A47" s="13" t="s">
        <v>0</v>
      </c>
      <c r="B47" s="13" t="s">
        <v>2149</v>
      </c>
      <c r="C47" s="13">
        <v>4</v>
      </c>
      <c r="D47" s="13">
        <v>4</v>
      </c>
      <c r="E47" s="13">
        <v>7</v>
      </c>
    </row>
    <row r="48" spans="1:5" x14ac:dyDescent="0.3">
      <c r="A48" s="13" t="s">
        <v>0</v>
      </c>
      <c r="B48" s="13" t="s">
        <v>120</v>
      </c>
      <c r="C48" s="13">
        <v>4</v>
      </c>
      <c r="D48" s="13">
        <v>4</v>
      </c>
      <c r="E48" s="13">
        <v>4</v>
      </c>
    </row>
    <row r="49" spans="1:5" x14ac:dyDescent="0.3">
      <c r="A49" s="13" t="s">
        <v>1</v>
      </c>
      <c r="B49" s="13" t="s">
        <v>48</v>
      </c>
      <c r="C49" s="13">
        <v>6</v>
      </c>
      <c r="D49" s="13">
        <v>3</v>
      </c>
      <c r="E49" s="13">
        <v>5</v>
      </c>
    </row>
    <row r="50" spans="1:5" x14ac:dyDescent="0.3">
      <c r="A50" s="13" t="s">
        <v>1</v>
      </c>
      <c r="B50" s="13" t="s">
        <v>59</v>
      </c>
      <c r="C50" s="13">
        <v>3</v>
      </c>
      <c r="D50" s="13">
        <v>3</v>
      </c>
      <c r="E50" s="13">
        <v>3</v>
      </c>
    </row>
    <row r="51" spans="1:5" x14ac:dyDescent="0.3">
      <c r="A51" s="13" t="s">
        <v>1</v>
      </c>
      <c r="B51" s="13" t="s">
        <v>34</v>
      </c>
      <c r="C51" s="13">
        <v>3</v>
      </c>
      <c r="D51" s="13">
        <v>3</v>
      </c>
      <c r="E51" s="13">
        <v>3</v>
      </c>
    </row>
    <row r="52" spans="1:5" x14ac:dyDescent="0.3">
      <c r="A52" s="13" t="s">
        <v>1</v>
      </c>
      <c r="B52" s="13" t="s">
        <v>83</v>
      </c>
      <c r="C52" s="13">
        <v>3</v>
      </c>
      <c r="D52" s="13">
        <v>3</v>
      </c>
      <c r="E52" s="13">
        <v>3</v>
      </c>
    </row>
    <row r="53" spans="1:5" x14ac:dyDescent="0.3">
      <c r="A53" s="13" t="s">
        <v>1</v>
      </c>
      <c r="B53" s="13" t="s">
        <v>152</v>
      </c>
      <c r="C53" s="13">
        <v>3</v>
      </c>
      <c r="D53" s="13">
        <v>3</v>
      </c>
      <c r="E53" s="13">
        <v>3</v>
      </c>
    </row>
    <row r="54" spans="1:5" x14ac:dyDescent="0.3">
      <c r="A54" s="13" t="s">
        <v>1</v>
      </c>
      <c r="B54" s="13" t="s">
        <v>1674</v>
      </c>
      <c r="C54" s="13">
        <v>3</v>
      </c>
      <c r="D54" s="13">
        <v>3</v>
      </c>
      <c r="E54" s="13">
        <v>3</v>
      </c>
    </row>
    <row r="55" spans="1:5" x14ac:dyDescent="0.3">
      <c r="A55" s="13" t="s">
        <v>1</v>
      </c>
      <c r="B55" s="13" t="s">
        <v>1849</v>
      </c>
      <c r="C55" s="13">
        <v>4</v>
      </c>
      <c r="D55" s="13">
        <v>3</v>
      </c>
      <c r="E55" s="13">
        <v>4</v>
      </c>
    </row>
    <row r="56" spans="1:5" x14ac:dyDescent="0.3">
      <c r="A56" s="13" t="s">
        <v>1</v>
      </c>
      <c r="B56" s="13" t="s">
        <v>258</v>
      </c>
      <c r="C56" s="13">
        <v>3</v>
      </c>
      <c r="D56" s="13">
        <v>3</v>
      </c>
      <c r="E56" s="13">
        <v>4</v>
      </c>
    </row>
    <row r="57" spans="1:5" x14ac:dyDescent="0.3">
      <c r="A57" s="13" t="s">
        <v>1</v>
      </c>
      <c r="B57" s="13" t="s">
        <v>357</v>
      </c>
      <c r="C57" s="13">
        <v>3</v>
      </c>
      <c r="D57" s="13">
        <v>3</v>
      </c>
      <c r="E57" s="13">
        <v>3</v>
      </c>
    </row>
    <row r="58" spans="1:5" x14ac:dyDescent="0.3">
      <c r="A58" s="13" t="s">
        <v>1</v>
      </c>
      <c r="B58" s="13" t="s">
        <v>195</v>
      </c>
      <c r="C58" s="13">
        <v>3</v>
      </c>
      <c r="D58" s="13">
        <v>3</v>
      </c>
      <c r="E58" s="13">
        <v>3</v>
      </c>
    </row>
    <row r="59" spans="1:5" x14ac:dyDescent="0.3">
      <c r="A59" s="13" t="s">
        <v>1</v>
      </c>
      <c r="B59" s="13" t="s">
        <v>109</v>
      </c>
      <c r="C59" s="13">
        <v>4</v>
      </c>
      <c r="D59" s="13">
        <v>3</v>
      </c>
      <c r="E59" s="13">
        <v>6</v>
      </c>
    </row>
    <row r="60" spans="1:5" x14ac:dyDescent="0.3">
      <c r="A60" s="13" t="s">
        <v>1</v>
      </c>
      <c r="B60" s="13" t="s">
        <v>523</v>
      </c>
      <c r="C60" s="13">
        <v>3</v>
      </c>
      <c r="D60" s="13">
        <v>3</v>
      </c>
      <c r="E60" s="13">
        <v>3</v>
      </c>
    </row>
    <row r="61" spans="1:5" x14ac:dyDescent="0.3">
      <c r="A61" s="13" t="s">
        <v>1</v>
      </c>
      <c r="B61" s="13" t="s">
        <v>118</v>
      </c>
      <c r="C61" s="13">
        <v>3</v>
      </c>
      <c r="D61" s="13">
        <v>3</v>
      </c>
      <c r="E61" s="13">
        <v>3</v>
      </c>
    </row>
    <row r="62" spans="1:5" x14ac:dyDescent="0.3">
      <c r="A62" s="13" t="s">
        <v>1</v>
      </c>
      <c r="B62" s="13" t="s">
        <v>123</v>
      </c>
      <c r="C62" s="13">
        <v>3</v>
      </c>
      <c r="D62" s="13">
        <v>3</v>
      </c>
      <c r="E62" s="13">
        <v>3</v>
      </c>
    </row>
    <row r="63" spans="1:5" x14ac:dyDescent="0.3">
      <c r="A63" s="13" t="s">
        <v>1</v>
      </c>
      <c r="B63" s="13" t="s">
        <v>63</v>
      </c>
      <c r="C63" s="13">
        <v>3</v>
      </c>
      <c r="D63" s="13">
        <v>3</v>
      </c>
      <c r="E63" s="13">
        <v>3</v>
      </c>
    </row>
    <row r="64" spans="1:5" x14ac:dyDescent="0.3">
      <c r="A64" s="13" t="s">
        <v>1</v>
      </c>
      <c r="B64" s="13" t="s">
        <v>415</v>
      </c>
      <c r="C64" s="13">
        <v>4</v>
      </c>
      <c r="D64" s="13">
        <v>3</v>
      </c>
      <c r="E64" s="13">
        <v>5</v>
      </c>
    </row>
    <row r="65" spans="1:5" x14ac:dyDescent="0.3">
      <c r="A65" s="13" t="s">
        <v>1</v>
      </c>
      <c r="B65" s="13" t="s">
        <v>31</v>
      </c>
      <c r="C65" s="13">
        <v>4</v>
      </c>
      <c r="D65" s="13">
        <v>3</v>
      </c>
      <c r="E65" s="13">
        <v>4</v>
      </c>
    </row>
    <row r="66" spans="1:5" x14ac:dyDescent="0.3">
      <c r="A66" s="13" t="s">
        <v>1</v>
      </c>
      <c r="B66" s="13" t="s">
        <v>132</v>
      </c>
      <c r="C66" s="13">
        <v>4</v>
      </c>
      <c r="D66" s="13">
        <v>3</v>
      </c>
      <c r="E66" s="13">
        <v>5</v>
      </c>
    </row>
    <row r="67" spans="1:5" x14ac:dyDescent="0.3">
      <c r="A67" s="13" t="s">
        <v>1</v>
      </c>
      <c r="B67" s="13" t="s">
        <v>66</v>
      </c>
      <c r="C67" s="13">
        <v>8</v>
      </c>
      <c r="D67" s="13">
        <v>3</v>
      </c>
      <c r="E67" s="13">
        <v>9</v>
      </c>
    </row>
    <row r="68" spans="1:5" x14ac:dyDescent="0.3">
      <c r="A68" s="13" t="s">
        <v>0</v>
      </c>
      <c r="B68" s="13" t="s">
        <v>551</v>
      </c>
      <c r="C68" s="13">
        <v>3</v>
      </c>
      <c r="D68" s="13">
        <v>3</v>
      </c>
      <c r="E68" s="13">
        <v>4</v>
      </c>
    </row>
    <row r="69" spans="1:5" x14ac:dyDescent="0.3">
      <c r="A69" s="13" t="s">
        <v>0</v>
      </c>
      <c r="B69" s="13" t="s">
        <v>1208</v>
      </c>
      <c r="C69" s="13">
        <v>3</v>
      </c>
      <c r="D69" s="13">
        <v>3</v>
      </c>
      <c r="E69" s="13">
        <v>3</v>
      </c>
    </row>
    <row r="70" spans="1:5" x14ac:dyDescent="0.3">
      <c r="A70" s="13" t="s">
        <v>0</v>
      </c>
      <c r="B70" s="13" t="s">
        <v>1988</v>
      </c>
      <c r="C70" s="13">
        <v>4</v>
      </c>
      <c r="D70" s="13">
        <v>3</v>
      </c>
      <c r="E70" s="13">
        <v>5</v>
      </c>
    </row>
    <row r="71" spans="1:5" x14ac:dyDescent="0.3">
      <c r="A71" s="13" t="s">
        <v>0</v>
      </c>
      <c r="B71" s="13" t="s">
        <v>35</v>
      </c>
      <c r="C71" s="13">
        <v>3</v>
      </c>
      <c r="D71" s="13">
        <v>3</v>
      </c>
      <c r="E71" s="13">
        <v>6</v>
      </c>
    </row>
    <row r="72" spans="1:5" x14ac:dyDescent="0.3">
      <c r="A72" s="13" t="s">
        <v>0</v>
      </c>
      <c r="B72" s="13" t="s">
        <v>196</v>
      </c>
      <c r="C72" s="13">
        <v>3</v>
      </c>
      <c r="D72" s="13">
        <v>3</v>
      </c>
      <c r="E72" s="13">
        <v>3</v>
      </c>
    </row>
    <row r="73" spans="1:5" x14ac:dyDescent="0.3">
      <c r="A73" s="13" t="s">
        <v>0</v>
      </c>
      <c r="B73" s="13" t="s">
        <v>64</v>
      </c>
      <c r="C73" s="13">
        <v>3</v>
      </c>
      <c r="D73" s="13">
        <v>3</v>
      </c>
      <c r="E73" s="13">
        <v>3</v>
      </c>
    </row>
    <row r="74" spans="1:5" x14ac:dyDescent="0.3">
      <c r="A74" s="13" t="s">
        <v>0</v>
      </c>
      <c r="B74" s="13" t="s">
        <v>39</v>
      </c>
      <c r="C74" s="13">
        <v>5</v>
      </c>
      <c r="D74" s="13">
        <v>3</v>
      </c>
      <c r="E74" s="13">
        <v>5</v>
      </c>
    </row>
    <row r="75" spans="1:5" x14ac:dyDescent="0.3">
      <c r="A75" s="13" t="s">
        <v>2</v>
      </c>
      <c r="B75" s="13" t="s">
        <v>1663</v>
      </c>
      <c r="C75" s="13">
        <v>3</v>
      </c>
      <c r="D75" s="13">
        <v>3</v>
      </c>
      <c r="E75" s="13">
        <v>3</v>
      </c>
    </row>
    <row r="76" spans="1:5" x14ac:dyDescent="0.3">
      <c r="A76" s="13" t="s">
        <v>2</v>
      </c>
      <c r="B76" s="13" t="s">
        <v>317</v>
      </c>
      <c r="C76" s="13">
        <v>3</v>
      </c>
      <c r="D76" s="13">
        <v>3</v>
      </c>
      <c r="E76" s="13">
        <v>7</v>
      </c>
    </row>
    <row r="77" spans="1:5" x14ac:dyDescent="0.3">
      <c r="A77" s="13" t="s">
        <v>1</v>
      </c>
      <c r="B77" s="13" t="s">
        <v>551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57</v>
      </c>
      <c r="C78" s="13">
        <v>3</v>
      </c>
      <c r="D78" s="13">
        <v>2</v>
      </c>
      <c r="E78" s="13">
        <v>3</v>
      </c>
    </row>
    <row r="79" spans="1:5" x14ac:dyDescent="0.3">
      <c r="A79" s="13" t="s">
        <v>1</v>
      </c>
      <c r="B79" s="13" t="s">
        <v>77</v>
      </c>
      <c r="C79" s="13">
        <v>3</v>
      </c>
      <c r="D79" s="13">
        <v>2</v>
      </c>
      <c r="E79" s="13">
        <v>3</v>
      </c>
    </row>
    <row r="80" spans="1:5" x14ac:dyDescent="0.3">
      <c r="A80" s="13" t="s">
        <v>1</v>
      </c>
      <c r="B80" s="13" t="s">
        <v>84</v>
      </c>
      <c r="C80" s="13">
        <v>2</v>
      </c>
      <c r="D80" s="13">
        <v>2</v>
      </c>
      <c r="E80" s="13">
        <v>2</v>
      </c>
    </row>
    <row r="81" spans="1:5" x14ac:dyDescent="0.3">
      <c r="A81" s="13" t="s">
        <v>1</v>
      </c>
      <c r="B81" s="13" t="s">
        <v>86</v>
      </c>
      <c r="C81" s="13">
        <v>2</v>
      </c>
      <c r="D81" s="13">
        <v>2</v>
      </c>
      <c r="E81" s="13">
        <v>3</v>
      </c>
    </row>
    <row r="82" spans="1:5" x14ac:dyDescent="0.3">
      <c r="A82" s="13" t="s">
        <v>1</v>
      </c>
      <c r="B82" s="13" t="s">
        <v>147</v>
      </c>
      <c r="C82" s="13">
        <v>5</v>
      </c>
      <c r="D82" s="13">
        <v>2</v>
      </c>
      <c r="E82" s="13">
        <v>6</v>
      </c>
    </row>
    <row r="83" spans="1:5" x14ac:dyDescent="0.3">
      <c r="A83" s="13" t="s">
        <v>1</v>
      </c>
      <c r="B83" s="13" t="s">
        <v>217</v>
      </c>
      <c r="C83" s="13">
        <v>2</v>
      </c>
      <c r="D83" s="13">
        <v>2</v>
      </c>
      <c r="E83" s="13">
        <v>2</v>
      </c>
    </row>
    <row r="84" spans="1:5" x14ac:dyDescent="0.3">
      <c r="A84" s="13" t="s">
        <v>1</v>
      </c>
      <c r="B84" s="13" t="s">
        <v>150</v>
      </c>
      <c r="C84" s="13">
        <v>6</v>
      </c>
      <c r="D84" s="13">
        <v>2</v>
      </c>
      <c r="E84" s="13">
        <v>6</v>
      </c>
    </row>
    <row r="85" spans="1:5" x14ac:dyDescent="0.3">
      <c r="A85" s="13" t="s">
        <v>1</v>
      </c>
      <c r="B85" s="13" t="s">
        <v>60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1655</v>
      </c>
      <c r="C86" s="13">
        <v>2</v>
      </c>
      <c r="D86" s="13">
        <v>2</v>
      </c>
      <c r="E86" s="13">
        <v>3</v>
      </c>
    </row>
    <row r="87" spans="1:5" x14ac:dyDescent="0.3">
      <c r="A87" s="13" t="s">
        <v>1</v>
      </c>
      <c r="B87" s="13" t="s">
        <v>1882</v>
      </c>
      <c r="C87" s="13">
        <v>6</v>
      </c>
      <c r="D87" s="13">
        <v>2</v>
      </c>
      <c r="E87" s="13">
        <v>7</v>
      </c>
    </row>
    <row r="88" spans="1:5" x14ac:dyDescent="0.3">
      <c r="A88" s="13" t="s">
        <v>1</v>
      </c>
      <c r="B88" s="13" t="s">
        <v>2701</v>
      </c>
      <c r="C88" s="13">
        <v>4</v>
      </c>
      <c r="D88" s="13">
        <v>2</v>
      </c>
      <c r="E88" s="13">
        <v>5</v>
      </c>
    </row>
    <row r="89" spans="1:5" x14ac:dyDescent="0.3">
      <c r="A89" s="13" t="s">
        <v>1</v>
      </c>
      <c r="B89" s="13" t="s">
        <v>2624</v>
      </c>
      <c r="C89" s="13">
        <v>4</v>
      </c>
      <c r="D89" s="13">
        <v>2</v>
      </c>
      <c r="E89" s="13">
        <v>4</v>
      </c>
    </row>
    <row r="90" spans="1:5" x14ac:dyDescent="0.3">
      <c r="A90" s="13" t="s">
        <v>1</v>
      </c>
      <c r="B90" s="13" t="s">
        <v>154</v>
      </c>
      <c r="C90" s="13">
        <v>3</v>
      </c>
      <c r="D90" s="13">
        <v>2</v>
      </c>
      <c r="E90" s="13">
        <v>4</v>
      </c>
    </row>
    <row r="91" spans="1:5" x14ac:dyDescent="0.3">
      <c r="A91" s="13" t="s">
        <v>1</v>
      </c>
      <c r="B91" s="13" t="s">
        <v>506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155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476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392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101</v>
      </c>
      <c r="C95" s="13">
        <v>3</v>
      </c>
      <c r="D95" s="13">
        <v>2</v>
      </c>
      <c r="E95" s="13">
        <v>3</v>
      </c>
    </row>
    <row r="96" spans="1:5" x14ac:dyDescent="0.3">
      <c r="A96" s="13" t="s">
        <v>1</v>
      </c>
      <c r="B96" s="13" t="s">
        <v>44</v>
      </c>
      <c r="C96" s="13">
        <v>2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317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1585</v>
      </c>
      <c r="C98" s="13">
        <v>3</v>
      </c>
      <c r="D98" s="13">
        <v>2</v>
      </c>
      <c r="E98" s="13">
        <v>4</v>
      </c>
    </row>
    <row r="99" spans="1:5" x14ac:dyDescent="0.3">
      <c r="A99" s="13" t="s">
        <v>1</v>
      </c>
      <c r="B99" s="13" t="s">
        <v>516</v>
      </c>
      <c r="C99" s="13">
        <v>3</v>
      </c>
      <c r="D99" s="13">
        <v>2</v>
      </c>
      <c r="E99" s="13">
        <v>3</v>
      </c>
    </row>
    <row r="100" spans="1:5" x14ac:dyDescent="0.3">
      <c r="A100" s="13" t="s">
        <v>1</v>
      </c>
      <c r="B100" s="13" t="s">
        <v>571</v>
      </c>
      <c r="C100" s="13">
        <v>3</v>
      </c>
      <c r="D100" s="13">
        <v>2</v>
      </c>
      <c r="E100" s="13">
        <v>3</v>
      </c>
    </row>
    <row r="101" spans="1:5" x14ac:dyDescent="0.3">
      <c r="A101" s="13" t="s">
        <v>1</v>
      </c>
      <c r="B101" s="13" t="s">
        <v>360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1</v>
      </c>
      <c r="B102" s="13" t="s">
        <v>525</v>
      </c>
      <c r="C102" s="13">
        <v>2</v>
      </c>
      <c r="D102" s="13">
        <v>2</v>
      </c>
      <c r="E102" s="13">
        <v>3</v>
      </c>
    </row>
    <row r="103" spans="1:5" x14ac:dyDescent="0.3">
      <c r="A103" s="13" t="s">
        <v>1</v>
      </c>
      <c r="B103" s="13" t="s">
        <v>1239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1</v>
      </c>
      <c r="B104" s="13" t="s">
        <v>1700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1</v>
      </c>
      <c r="B105" s="13" t="s">
        <v>2214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1</v>
      </c>
      <c r="B106" s="13" t="s">
        <v>668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1</v>
      </c>
      <c r="B107" s="13" t="s">
        <v>975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712</v>
      </c>
      <c r="C108" s="13">
        <v>2</v>
      </c>
      <c r="D108" s="13">
        <v>2</v>
      </c>
      <c r="E108" s="13">
        <v>3</v>
      </c>
    </row>
    <row r="109" spans="1:5" x14ac:dyDescent="0.3">
      <c r="A109" s="13" t="s">
        <v>1</v>
      </c>
      <c r="B109" s="13" t="s">
        <v>414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1</v>
      </c>
      <c r="B110" s="13" t="s">
        <v>1057</v>
      </c>
      <c r="C110" s="13">
        <v>2</v>
      </c>
      <c r="D110" s="13">
        <v>2</v>
      </c>
      <c r="E110" s="13">
        <v>3</v>
      </c>
    </row>
    <row r="111" spans="1:5" x14ac:dyDescent="0.3">
      <c r="A111" s="13" t="s">
        <v>1</v>
      </c>
      <c r="B111" s="13" t="s">
        <v>52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1</v>
      </c>
      <c r="B112" s="13" t="s">
        <v>1826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1</v>
      </c>
      <c r="B113" s="13" t="s">
        <v>797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1</v>
      </c>
      <c r="B114" s="13" t="s">
        <v>191</v>
      </c>
      <c r="C114" s="13">
        <v>8</v>
      </c>
      <c r="D114" s="13">
        <v>2</v>
      </c>
      <c r="E114" s="13">
        <v>12</v>
      </c>
    </row>
    <row r="115" spans="1:5" x14ac:dyDescent="0.3">
      <c r="A115" s="13" t="s">
        <v>1</v>
      </c>
      <c r="B115" s="13" t="s">
        <v>54</v>
      </c>
      <c r="C115" s="13">
        <v>7</v>
      </c>
      <c r="D115" s="13">
        <v>2</v>
      </c>
      <c r="E115" s="13">
        <v>7</v>
      </c>
    </row>
    <row r="116" spans="1:5" x14ac:dyDescent="0.3">
      <c r="A116" s="13" t="s">
        <v>1</v>
      </c>
      <c r="B116" s="13" t="s">
        <v>55</v>
      </c>
      <c r="C116" s="13">
        <v>6</v>
      </c>
      <c r="D116" s="13">
        <v>2</v>
      </c>
      <c r="E116" s="13">
        <v>6</v>
      </c>
    </row>
    <row r="117" spans="1:5" x14ac:dyDescent="0.3">
      <c r="A117" s="13" t="s">
        <v>1</v>
      </c>
      <c r="B117" s="13" t="s">
        <v>32</v>
      </c>
      <c r="C117" s="13">
        <v>5</v>
      </c>
      <c r="D117" s="13">
        <v>2</v>
      </c>
      <c r="E117" s="13">
        <v>8</v>
      </c>
    </row>
    <row r="118" spans="1:5" x14ac:dyDescent="0.3">
      <c r="A118" s="13" t="s">
        <v>0</v>
      </c>
      <c r="B118" s="13" t="s">
        <v>264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0</v>
      </c>
      <c r="B119" s="13" t="s">
        <v>498</v>
      </c>
      <c r="C119" s="13">
        <v>3</v>
      </c>
      <c r="D119" s="13">
        <v>2</v>
      </c>
      <c r="E119" s="13">
        <v>3</v>
      </c>
    </row>
    <row r="120" spans="1:5" x14ac:dyDescent="0.3">
      <c r="A120" s="13" t="s">
        <v>0</v>
      </c>
      <c r="B120" s="13" t="s">
        <v>34</v>
      </c>
      <c r="C120" s="13">
        <v>3</v>
      </c>
      <c r="D120" s="13">
        <v>2</v>
      </c>
      <c r="E120" s="13">
        <v>4</v>
      </c>
    </row>
    <row r="121" spans="1:5" x14ac:dyDescent="0.3">
      <c r="A121" s="13" t="s">
        <v>0</v>
      </c>
      <c r="B121" s="13" t="s">
        <v>1570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0</v>
      </c>
      <c r="B122" s="13" t="s">
        <v>1663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1674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0</v>
      </c>
      <c r="B124" s="13" t="s">
        <v>2093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2203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0</v>
      </c>
      <c r="B126" s="13" t="s">
        <v>161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0</v>
      </c>
      <c r="B127" s="13" t="s">
        <v>311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105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0</v>
      </c>
      <c r="B129" s="13" t="s">
        <v>733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0</v>
      </c>
      <c r="B130" s="13" t="s">
        <v>1055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0</v>
      </c>
      <c r="B131" s="13" t="s">
        <v>395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824</v>
      </c>
      <c r="C132" s="13">
        <v>2</v>
      </c>
      <c r="D132" s="13">
        <v>2</v>
      </c>
      <c r="E132" s="13">
        <v>3</v>
      </c>
    </row>
    <row r="133" spans="1:5" x14ac:dyDescent="0.3">
      <c r="A133" s="13" t="s">
        <v>0</v>
      </c>
      <c r="B133" s="13" t="s">
        <v>51</v>
      </c>
      <c r="C133" s="13">
        <v>2</v>
      </c>
      <c r="D133" s="13">
        <v>2</v>
      </c>
      <c r="E133" s="13">
        <v>3</v>
      </c>
    </row>
    <row r="134" spans="1:5" x14ac:dyDescent="0.3">
      <c r="A134" s="13" t="s">
        <v>0</v>
      </c>
      <c r="B134" s="13" t="s">
        <v>399</v>
      </c>
      <c r="C134" s="13">
        <v>2</v>
      </c>
      <c r="D134" s="13">
        <v>2</v>
      </c>
      <c r="E134" s="13">
        <v>2</v>
      </c>
    </row>
    <row r="135" spans="1:5" x14ac:dyDescent="0.3">
      <c r="A135" s="13" t="s">
        <v>0</v>
      </c>
      <c r="B135" s="13" t="s">
        <v>317</v>
      </c>
      <c r="C135" s="13">
        <v>2</v>
      </c>
      <c r="D135" s="13">
        <v>2</v>
      </c>
      <c r="E135" s="13">
        <v>4</v>
      </c>
    </row>
    <row r="136" spans="1:5" x14ac:dyDescent="0.3">
      <c r="A136" s="13" t="s">
        <v>0</v>
      </c>
      <c r="B136" s="13" t="s">
        <v>1700</v>
      </c>
      <c r="C136" s="13">
        <v>2</v>
      </c>
      <c r="D136" s="13">
        <v>2</v>
      </c>
      <c r="E136" s="13">
        <v>2</v>
      </c>
    </row>
    <row r="137" spans="1:5" x14ac:dyDescent="0.3">
      <c r="A137" s="13" t="s">
        <v>0</v>
      </c>
      <c r="B137" s="13" t="s">
        <v>178</v>
      </c>
      <c r="C137" s="13">
        <v>2</v>
      </c>
      <c r="D137" s="13">
        <v>2</v>
      </c>
      <c r="E137" s="13">
        <v>3</v>
      </c>
    </row>
    <row r="138" spans="1:5" x14ac:dyDescent="0.3">
      <c r="A138" s="13" t="s">
        <v>0</v>
      </c>
      <c r="B138" s="13" t="s">
        <v>255</v>
      </c>
      <c r="C138" s="13">
        <v>2</v>
      </c>
      <c r="D138" s="13">
        <v>2</v>
      </c>
      <c r="E138" s="13">
        <v>2</v>
      </c>
    </row>
    <row r="139" spans="1:5" x14ac:dyDescent="0.3">
      <c r="A139" s="13" t="s">
        <v>0</v>
      </c>
      <c r="B139" s="13" t="s">
        <v>339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0</v>
      </c>
      <c r="B140" s="13" t="s">
        <v>188</v>
      </c>
      <c r="C140" s="13">
        <v>2</v>
      </c>
      <c r="D140" s="13">
        <v>2</v>
      </c>
      <c r="E140" s="13">
        <v>2</v>
      </c>
    </row>
    <row r="141" spans="1:5" x14ac:dyDescent="0.3">
      <c r="A141" s="13" t="s">
        <v>0</v>
      </c>
      <c r="B141" s="13" t="s">
        <v>1145</v>
      </c>
      <c r="C141" s="13">
        <v>2</v>
      </c>
      <c r="D141" s="13">
        <v>2</v>
      </c>
      <c r="E141" s="13">
        <v>3</v>
      </c>
    </row>
    <row r="142" spans="1:5" x14ac:dyDescent="0.3">
      <c r="A142" s="13" t="s">
        <v>0</v>
      </c>
      <c r="B142" s="13" t="s">
        <v>67</v>
      </c>
      <c r="C142" s="13">
        <v>2</v>
      </c>
      <c r="D142" s="13">
        <v>2</v>
      </c>
      <c r="E142" s="13">
        <v>5</v>
      </c>
    </row>
    <row r="143" spans="1:5" x14ac:dyDescent="0.3">
      <c r="A143" s="13" t="s">
        <v>2</v>
      </c>
      <c r="B143" s="13" t="s">
        <v>1741</v>
      </c>
      <c r="C143" s="13">
        <v>3</v>
      </c>
      <c r="D143" s="13">
        <v>2</v>
      </c>
      <c r="E143" s="13">
        <v>5</v>
      </c>
    </row>
    <row r="144" spans="1:5" x14ac:dyDescent="0.3">
      <c r="A144" s="13" t="s">
        <v>2</v>
      </c>
      <c r="B144" s="13" t="s">
        <v>1327</v>
      </c>
      <c r="C144" s="13">
        <v>2</v>
      </c>
      <c r="D144" s="13">
        <v>2</v>
      </c>
      <c r="E144" s="13">
        <v>3</v>
      </c>
    </row>
    <row r="145" spans="1:5" x14ac:dyDescent="0.3">
      <c r="A145" s="13" t="s">
        <v>1</v>
      </c>
      <c r="B145" s="13" t="s">
        <v>36</v>
      </c>
      <c r="C145" s="13">
        <v>2</v>
      </c>
      <c r="D145" s="13">
        <v>1</v>
      </c>
      <c r="E145" s="13">
        <v>2</v>
      </c>
    </row>
    <row r="146" spans="1:5" x14ac:dyDescent="0.3">
      <c r="A146" s="13" t="s">
        <v>1</v>
      </c>
      <c r="B146" s="13" t="s">
        <v>239</v>
      </c>
      <c r="C146" s="13">
        <v>2</v>
      </c>
      <c r="D146" s="13">
        <v>1</v>
      </c>
      <c r="E146" s="13">
        <v>2</v>
      </c>
    </row>
    <row r="147" spans="1:5" x14ac:dyDescent="0.3">
      <c r="A147" s="13" t="s">
        <v>1</v>
      </c>
      <c r="B147" s="13" t="s">
        <v>47</v>
      </c>
      <c r="C147" s="13">
        <v>2</v>
      </c>
      <c r="D147" s="13">
        <v>1</v>
      </c>
      <c r="E147" s="13">
        <v>3</v>
      </c>
    </row>
    <row r="148" spans="1:5" x14ac:dyDescent="0.3">
      <c r="A148" s="13" t="s">
        <v>1</v>
      </c>
      <c r="B148" s="13" t="s">
        <v>1573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199</v>
      </c>
      <c r="C149" s="13">
        <v>2</v>
      </c>
      <c r="D149" s="13">
        <v>1</v>
      </c>
      <c r="E149" s="13">
        <v>2</v>
      </c>
    </row>
    <row r="150" spans="1:5" x14ac:dyDescent="0.3">
      <c r="A150" s="13" t="s">
        <v>1</v>
      </c>
      <c r="B150" s="13" t="s">
        <v>378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1917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344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261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585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444</v>
      </c>
      <c r="C155" s="13">
        <v>1</v>
      </c>
      <c r="D155" s="13">
        <v>1</v>
      </c>
      <c r="E155" s="13">
        <v>2</v>
      </c>
    </row>
    <row r="156" spans="1:5" x14ac:dyDescent="0.3">
      <c r="A156" s="13" t="s">
        <v>1</v>
      </c>
      <c r="B156" s="13" t="s">
        <v>373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752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586</v>
      </c>
      <c r="C158" s="13">
        <v>2</v>
      </c>
      <c r="D158" s="13">
        <v>1</v>
      </c>
      <c r="E158" s="13">
        <v>2</v>
      </c>
    </row>
    <row r="159" spans="1:5" x14ac:dyDescent="0.3">
      <c r="A159" s="13" t="s">
        <v>1</v>
      </c>
      <c r="B159" s="13" t="s">
        <v>470</v>
      </c>
      <c r="C159" s="13">
        <v>1</v>
      </c>
      <c r="D159" s="13">
        <v>1</v>
      </c>
      <c r="E159" s="13">
        <v>2</v>
      </c>
    </row>
    <row r="160" spans="1:5" x14ac:dyDescent="0.3">
      <c r="A160" s="13" t="s">
        <v>1</v>
      </c>
      <c r="B160" s="13" t="s">
        <v>1876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73</v>
      </c>
      <c r="C161" s="13">
        <v>1</v>
      </c>
      <c r="D161" s="13">
        <v>1</v>
      </c>
      <c r="E161" s="13">
        <v>2</v>
      </c>
    </row>
    <row r="162" spans="1:5" x14ac:dyDescent="0.3">
      <c r="A162" s="13" t="s">
        <v>1</v>
      </c>
      <c r="B162" s="13" t="s">
        <v>375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203</v>
      </c>
      <c r="C163" s="13">
        <v>1</v>
      </c>
      <c r="D163" s="13">
        <v>1</v>
      </c>
      <c r="E163" s="13">
        <v>2</v>
      </c>
    </row>
    <row r="164" spans="1:5" x14ac:dyDescent="0.3">
      <c r="A164" s="13" t="s">
        <v>1</v>
      </c>
      <c r="B164" s="13" t="s">
        <v>670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876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1823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265</v>
      </c>
      <c r="C167" s="13">
        <v>1</v>
      </c>
      <c r="D167" s="13">
        <v>1</v>
      </c>
      <c r="E167" s="13">
        <v>2</v>
      </c>
    </row>
    <row r="168" spans="1:5" x14ac:dyDescent="0.3">
      <c r="A168" s="13" t="s">
        <v>1</v>
      </c>
      <c r="B168" s="13" t="s">
        <v>302</v>
      </c>
      <c r="C168" s="13">
        <v>1</v>
      </c>
      <c r="D168" s="13">
        <v>1</v>
      </c>
      <c r="E168" s="13">
        <v>3</v>
      </c>
    </row>
    <row r="169" spans="1:5" x14ac:dyDescent="0.3">
      <c r="A169" s="13" t="s">
        <v>1</v>
      </c>
      <c r="B169" s="13" t="s">
        <v>1520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1090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346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347</v>
      </c>
      <c r="C172" s="13">
        <v>3</v>
      </c>
      <c r="D172" s="13">
        <v>1</v>
      </c>
      <c r="E172" s="13">
        <v>4</v>
      </c>
    </row>
    <row r="173" spans="1:5" x14ac:dyDescent="0.3">
      <c r="A173" s="13" t="s">
        <v>1</v>
      </c>
      <c r="B173" s="13" t="s">
        <v>813</v>
      </c>
      <c r="C173" s="13">
        <v>4</v>
      </c>
      <c r="D173" s="13">
        <v>1</v>
      </c>
      <c r="E173" s="13">
        <v>6</v>
      </c>
    </row>
    <row r="174" spans="1:5" x14ac:dyDescent="0.3">
      <c r="A174" s="13" t="s">
        <v>1</v>
      </c>
      <c r="B174" s="13" t="s">
        <v>80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1208</v>
      </c>
      <c r="C175" s="13">
        <v>2</v>
      </c>
      <c r="D175" s="13">
        <v>1</v>
      </c>
      <c r="E175" s="13">
        <v>2</v>
      </c>
    </row>
    <row r="176" spans="1:5" x14ac:dyDescent="0.3">
      <c r="A176" s="13" t="s">
        <v>1</v>
      </c>
      <c r="B176" s="13" t="s">
        <v>814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448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260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209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304</v>
      </c>
      <c r="C180" s="13">
        <v>3</v>
      </c>
      <c r="D180" s="13">
        <v>1</v>
      </c>
      <c r="E180" s="13">
        <v>3</v>
      </c>
    </row>
    <row r="181" spans="1:5" x14ac:dyDescent="0.3">
      <c r="A181" s="13" t="s">
        <v>1</v>
      </c>
      <c r="B181" s="13" t="s">
        <v>211</v>
      </c>
      <c r="C181" s="13">
        <v>2</v>
      </c>
      <c r="D181" s="13">
        <v>1</v>
      </c>
      <c r="E181" s="13">
        <v>2</v>
      </c>
    </row>
    <row r="182" spans="1:5" x14ac:dyDescent="0.3">
      <c r="A182" s="13" t="s">
        <v>1</v>
      </c>
      <c r="B182" s="13" t="s">
        <v>500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2870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2871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350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148</v>
      </c>
      <c r="C186" s="13">
        <v>2</v>
      </c>
      <c r="D186" s="13">
        <v>1</v>
      </c>
      <c r="E186" s="13">
        <v>2</v>
      </c>
    </row>
    <row r="187" spans="1:5" x14ac:dyDescent="0.3">
      <c r="A187" s="13" t="s">
        <v>1</v>
      </c>
      <c r="B187" s="13" t="s">
        <v>351</v>
      </c>
      <c r="C187" s="13">
        <v>2</v>
      </c>
      <c r="D187" s="13">
        <v>1</v>
      </c>
      <c r="E187" s="13">
        <v>4</v>
      </c>
    </row>
    <row r="188" spans="1:5" x14ac:dyDescent="0.3">
      <c r="A188" s="13" t="s">
        <v>1</v>
      </c>
      <c r="B188" s="13" t="s">
        <v>87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799</v>
      </c>
      <c r="C189" s="13">
        <v>1</v>
      </c>
      <c r="D189" s="13">
        <v>1</v>
      </c>
      <c r="E189" s="13">
        <v>2</v>
      </c>
    </row>
    <row r="190" spans="1:5" x14ac:dyDescent="0.3">
      <c r="A190" s="13" t="s">
        <v>1</v>
      </c>
      <c r="B190" s="13" t="s">
        <v>149</v>
      </c>
      <c r="C190" s="13">
        <v>2</v>
      </c>
      <c r="D190" s="13">
        <v>1</v>
      </c>
      <c r="E190" s="13">
        <v>2</v>
      </c>
    </row>
    <row r="191" spans="1:5" x14ac:dyDescent="0.3">
      <c r="A191" s="13" t="s">
        <v>1</v>
      </c>
      <c r="B191" s="13" t="s">
        <v>609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91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424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612</v>
      </c>
      <c r="C194" s="13">
        <v>2</v>
      </c>
      <c r="D194" s="13">
        <v>1</v>
      </c>
      <c r="E194" s="13">
        <v>2</v>
      </c>
    </row>
    <row r="195" spans="1:5" x14ac:dyDescent="0.3">
      <c r="A195" s="13" t="s">
        <v>1</v>
      </c>
      <c r="B195" s="13" t="s">
        <v>246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761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247</v>
      </c>
      <c r="C197" s="13">
        <v>2</v>
      </c>
      <c r="D197" s="13">
        <v>1</v>
      </c>
      <c r="E197" s="13">
        <v>2</v>
      </c>
    </row>
    <row r="198" spans="1:5" x14ac:dyDescent="0.3">
      <c r="A198" s="13" t="s">
        <v>1</v>
      </c>
      <c r="B198" s="13" t="s">
        <v>471</v>
      </c>
      <c r="C198" s="13">
        <v>2</v>
      </c>
      <c r="D198" s="13">
        <v>1</v>
      </c>
      <c r="E198" s="13">
        <v>2</v>
      </c>
    </row>
    <row r="199" spans="1:5" x14ac:dyDescent="0.3">
      <c r="A199" s="13" t="s">
        <v>1</v>
      </c>
      <c r="B199" s="13" t="s">
        <v>1483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1505</v>
      </c>
      <c r="C200" s="13">
        <v>2</v>
      </c>
      <c r="D200" s="13">
        <v>1</v>
      </c>
      <c r="E200" s="13">
        <v>2</v>
      </c>
    </row>
    <row r="201" spans="1:5" x14ac:dyDescent="0.3">
      <c r="A201" s="13" t="s">
        <v>1</v>
      </c>
      <c r="B201" s="13" t="s">
        <v>1570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1645</v>
      </c>
      <c r="C202" s="13">
        <v>2</v>
      </c>
      <c r="D202" s="13">
        <v>1</v>
      </c>
      <c r="E202" s="13">
        <v>2</v>
      </c>
    </row>
    <row r="203" spans="1:5" x14ac:dyDescent="0.3">
      <c r="A203" s="13" t="s">
        <v>1</v>
      </c>
      <c r="B203" s="13" t="s">
        <v>1696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1926</v>
      </c>
      <c r="C204" s="13">
        <v>1</v>
      </c>
      <c r="D204" s="13">
        <v>1</v>
      </c>
      <c r="E204" s="13">
        <v>2</v>
      </c>
    </row>
    <row r="205" spans="1:5" x14ac:dyDescent="0.3">
      <c r="A205" s="13" t="s">
        <v>1</v>
      </c>
      <c r="B205" s="13" t="s">
        <v>1885</v>
      </c>
      <c r="C205" s="13">
        <v>9</v>
      </c>
      <c r="D205" s="13">
        <v>1</v>
      </c>
      <c r="E205" s="13">
        <v>9</v>
      </c>
    </row>
    <row r="206" spans="1:5" x14ac:dyDescent="0.3">
      <c r="A206" s="13" t="s">
        <v>1</v>
      </c>
      <c r="B206" s="13" t="s">
        <v>1989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2149</v>
      </c>
      <c r="C207" s="13">
        <v>2</v>
      </c>
      <c r="D207" s="13">
        <v>1</v>
      </c>
      <c r="E207" s="13">
        <v>3</v>
      </c>
    </row>
    <row r="208" spans="1:5" x14ac:dyDescent="0.3">
      <c r="A208" s="13" t="s">
        <v>1</v>
      </c>
      <c r="B208" s="13" t="s">
        <v>819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388</v>
      </c>
      <c r="C209" s="13">
        <v>2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2765</v>
      </c>
      <c r="C210" s="13">
        <v>1</v>
      </c>
      <c r="D210" s="13">
        <v>1</v>
      </c>
      <c r="E210" s="13">
        <v>3</v>
      </c>
    </row>
    <row r="211" spans="1:5" x14ac:dyDescent="0.3">
      <c r="A211" s="13" t="s">
        <v>1</v>
      </c>
      <c r="B211" s="13" t="s">
        <v>95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221</v>
      </c>
      <c r="C212" s="13">
        <v>2</v>
      </c>
      <c r="D212" s="13">
        <v>1</v>
      </c>
      <c r="E212" s="13">
        <v>2</v>
      </c>
    </row>
    <row r="213" spans="1:5" x14ac:dyDescent="0.3">
      <c r="A213" s="13" t="s">
        <v>1</v>
      </c>
      <c r="B213" s="13" t="s">
        <v>427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820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1104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49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475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35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96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1342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933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560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156</v>
      </c>
      <c r="C223" s="13">
        <v>2</v>
      </c>
      <c r="D223" s="13">
        <v>1</v>
      </c>
      <c r="E223" s="13">
        <v>2</v>
      </c>
    </row>
    <row r="224" spans="1:5" x14ac:dyDescent="0.3">
      <c r="A224" s="13" t="s">
        <v>1</v>
      </c>
      <c r="B224" s="13" t="s">
        <v>1069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2520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2583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937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28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2114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860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2872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104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393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311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105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891</v>
      </c>
      <c r="C236" s="13">
        <v>1</v>
      </c>
      <c r="D236" s="13">
        <v>1</v>
      </c>
      <c r="E236" s="13">
        <v>2</v>
      </c>
    </row>
    <row r="237" spans="1:5" x14ac:dyDescent="0.3">
      <c r="A237" s="13" t="s">
        <v>1</v>
      </c>
      <c r="B237" s="13" t="s">
        <v>1626</v>
      </c>
      <c r="C237" s="13">
        <v>1</v>
      </c>
      <c r="D237" s="13">
        <v>1</v>
      </c>
      <c r="E237" s="13">
        <v>2</v>
      </c>
    </row>
    <row r="238" spans="1:5" x14ac:dyDescent="0.3">
      <c r="A238" s="13" t="s">
        <v>1</v>
      </c>
      <c r="B238" s="13" t="s">
        <v>511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2490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164</v>
      </c>
      <c r="C240" s="13">
        <v>1</v>
      </c>
      <c r="D240" s="13">
        <v>1</v>
      </c>
      <c r="E240" s="13">
        <v>2</v>
      </c>
    </row>
    <row r="241" spans="1:5" x14ac:dyDescent="0.3">
      <c r="A241" s="13" t="s">
        <v>1</v>
      </c>
      <c r="B241" s="13" t="s">
        <v>1725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429</v>
      </c>
      <c r="C242" s="13">
        <v>3</v>
      </c>
      <c r="D242" s="13">
        <v>1</v>
      </c>
      <c r="E242" s="13">
        <v>3</v>
      </c>
    </row>
    <row r="243" spans="1:5" x14ac:dyDescent="0.3">
      <c r="A243" s="13" t="s">
        <v>1</v>
      </c>
      <c r="B243" s="13" t="s">
        <v>1312</v>
      </c>
      <c r="C243" s="13">
        <v>2</v>
      </c>
      <c r="D243" s="13">
        <v>1</v>
      </c>
      <c r="E243" s="13">
        <v>3</v>
      </c>
    </row>
    <row r="244" spans="1:5" x14ac:dyDescent="0.3">
      <c r="A244" s="13" t="s">
        <v>1</v>
      </c>
      <c r="B244" s="13" t="s">
        <v>2873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1396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165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2874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108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395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618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278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619</v>
      </c>
      <c r="C252" s="13">
        <v>1</v>
      </c>
      <c r="D252" s="13">
        <v>1</v>
      </c>
      <c r="E252" s="13">
        <v>2</v>
      </c>
    </row>
    <row r="253" spans="1:5" x14ac:dyDescent="0.3">
      <c r="A253" s="13" t="s">
        <v>1</v>
      </c>
      <c r="B253" s="13" t="s">
        <v>1945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168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472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942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1097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397</v>
      </c>
      <c r="C258" s="13">
        <v>2</v>
      </c>
      <c r="D258" s="13">
        <v>1</v>
      </c>
      <c r="E258" s="13">
        <v>2</v>
      </c>
    </row>
    <row r="259" spans="1:5" x14ac:dyDescent="0.3">
      <c r="A259" s="13" t="s">
        <v>1</v>
      </c>
      <c r="B259" s="13" t="s">
        <v>1584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825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512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1681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1459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568</v>
      </c>
      <c r="C264" s="13">
        <v>2</v>
      </c>
      <c r="D264" s="13">
        <v>1</v>
      </c>
      <c r="E264" s="13">
        <v>2</v>
      </c>
    </row>
    <row r="265" spans="1:5" x14ac:dyDescent="0.3">
      <c r="A265" s="13" t="s">
        <v>1</v>
      </c>
      <c r="B265" s="13" t="s">
        <v>315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863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1235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518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1098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1005</v>
      </c>
      <c r="C270" s="13">
        <v>1</v>
      </c>
      <c r="D270" s="13">
        <v>1</v>
      </c>
      <c r="E270" s="13">
        <v>3</v>
      </c>
    </row>
    <row r="271" spans="1:5" x14ac:dyDescent="0.3">
      <c r="A271" s="13" t="s">
        <v>1</v>
      </c>
      <c r="B271" s="13" t="s">
        <v>1136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320</v>
      </c>
      <c r="C272" s="13">
        <v>1</v>
      </c>
      <c r="D272" s="13">
        <v>1</v>
      </c>
      <c r="E272" s="13">
        <v>3</v>
      </c>
    </row>
    <row r="273" spans="1:5" x14ac:dyDescent="0.3">
      <c r="A273" s="13" t="s">
        <v>1</v>
      </c>
      <c r="B273" s="13" t="s">
        <v>358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453</v>
      </c>
      <c r="C274" s="13">
        <v>1</v>
      </c>
      <c r="D274" s="13">
        <v>1</v>
      </c>
      <c r="E274" s="13">
        <v>3</v>
      </c>
    </row>
    <row r="275" spans="1:5" x14ac:dyDescent="0.3">
      <c r="A275" s="13" t="s">
        <v>1</v>
      </c>
      <c r="B275" s="13" t="s">
        <v>2875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226</v>
      </c>
      <c r="C276" s="13">
        <v>2</v>
      </c>
      <c r="D276" s="13">
        <v>1</v>
      </c>
      <c r="E276" s="13">
        <v>2</v>
      </c>
    </row>
    <row r="277" spans="1:5" x14ac:dyDescent="0.3">
      <c r="A277" s="13" t="s">
        <v>1</v>
      </c>
      <c r="B277" s="13" t="s">
        <v>1007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917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454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580</v>
      </c>
      <c r="C280" s="13">
        <v>2</v>
      </c>
      <c r="D280" s="13">
        <v>1</v>
      </c>
      <c r="E280" s="13">
        <v>3</v>
      </c>
    </row>
    <row r="281" spans="1:5" x14ac:dyDescent="0.3">
      <c r="A281" s="13" t="s">
        <v>1</v>
      </c>
      <c r="B281" s="13" t="s">
        <v>624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2821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402</v>
      </c>
      <c r="C283" s="13">
        <v>2</v>
      </c>
      <c r="D283" s="13">
        <v>1</v>
      </c>
      <c r="E283" s="13">
        <v>4</v>
      </c>
    </row>
    <row r="284" spans="1:5" x14ac:dyDescent="0.3">
      <c r="A284" s="13" t="s">
        <v>1</v>
      </c>
      <c r="B284" s="13" t="s">
        <v>648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2861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1972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1038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1009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2876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329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2043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1536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837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466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330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699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331</v>
      </c>
      <c r="C297" s="13">
        <v>2</v>
      </c>
      <c r="D297" s="13">
        <v>1</v>
      </c>
      <c r="E297" s="13">
        <v>3</v>
      </c>
    </row>
    <row r="298" spans="1:5" x14ac:dyDescent="0.3">
      <c r="A298" s="13" t="s">
        <v>1</v>
      </c>
      <c r="B298" s="13" t="s">
        <v>332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196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2877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2675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1572</v>
      </c>
      <c r="C302" s="13">
        <v>1</v>
      </c>
      <c r="D302" s="13">
        <v>1</v>
      </c>
      <c r="E302" s="13">
        <v>2</v>
      </c>
    </row>
    <row r="303" spans="1:5" x14ac:dyDescent="0.3">
      <c r="A303" s="13" t="s">
        <v>1</v>
      </c>
      <c r="B303" s="13" t="s">
        <v>175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1549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2878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406</v>
      </c>
      <c r="C306" s="13">
        <v>3</v>
      </c>
      <c r="D306" s="13">
        <v>1</v>
      </c>
      <c r="E306" s="13">
        <v>4</v>
      </c>
    </row>
    <row r="307" spans="1:5" x14ac:dyDescent="0.3">
      <c r="A307" s="13" t="s">
        <v>1</v>
      </c>
      <c r="B307" s="13" t="s">
        <v>407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1481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2879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2880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2006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1540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532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840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705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1795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364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291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2881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2882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1193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533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953</v>
      </c>
      <c r="C323" s="13">
        <v>2</v>
      </c>
      <c r="D323" s="13">
        <v>1</v>
      </c>
      <c r="E323" s="13">
        <v>2</v>
      </c>
    </row>
    <row r="324" spans="1:5" x14ac:dyDescent="0.3">
      <c r="A324" s="13" t="s">
        <v>1</v>
      </c>
      <c r="B324" s="13" t="s">
        <v>955</v>
      </c>
      <c r="C324" s="13">
        <v>1</v>
      </c>
      <c r="D324" s="13">
        <v>1</v>
      </c>
      <c r="E324" s="13">
        <v>3</v>
      </c>
    </row>
    <row r="325" spans="1:5" x14ac:dyDescent="0.3">
      <c r="A325" s="13" t="s">
        <v>1</v>
      </c>
      <c r="B325" s="13" t="s">
        <v>1390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178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633</v>
      </c>
      <c r="C327" s="13">
        <v>2</v>
      </c>
      <c r="D327" s="13">
        <v>1</v>
      </c>
      <c r="E327" s="13">
        <v>3</v>
      </c>
    </row>
    <row r="328" spans="1:5" x14ac:dyDescent="0.3">
      <c r="A328" s="13" t="s">
        <v>1</v>
      </c>
      <c r="B328" s="13" t="s">
        <v>1987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2883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1</v>
      </c>
      <c r="B330" s="13" t="s">
        <v>665</v>
      </c>
      <c r="C330" s="13">
        <v>1</v>
      </c>
      <c r="D330" s="13">
        <v>1</v>
      </c>
      <c r="E330" s="13">
        <v>2</v>
      </c>
    </row>
    <row r="331" spans="1:5" x14ac:dyDescent="0.3">
      <c r="A331" s="13" t="s">
        <v>1</v>
      </c>
      <c r="B331" s="13" t="s">
        <v>1143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1</v>
      </c>
      <c r="B332" s="13" t="s">
        <v>255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1</v>
      </c>
      <c r="B333" s="13" t="s">
        <v>458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339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866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2884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1</v>
      </c>
      <c r="B337" s="13" t="s">
        <v>538</v>
      </c>
      <c r="C337" s="13">
        <v>2</v>
      </c>
      <c r="D337" s="13">
        <v>1</v>
      </c>
      <c r="E337" s="13">
        <v>2</v>
      </c>
    </row>
    <row r="338" spans="1:5" x14ac:dyDescent="0.3">
      <c r="A338" s="13" t="s">
        <v>1</v>
      </c>
      <c r="B338" s="13" t="s">
        <v>126</v>
      </c>
      <c r="C338" s="13">
        <v>2</v>
      </c>
      <c r="D338" s="13">
        <v>1</v>
      </c>
      <c r="E338" s="13">
        <v>2</v>
      </c>
    </row>
    <row r="339" spans="1:5" x14ac:dyDescent="0.3">
      <c r="A339" s="13" t="s">
        <v>1</v>
      </c>
      <c r="B339" s="13" t="s">
        <v>1357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1715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1</v>
      </c>
      <c r="B341" s="13" t="s">
        <v>480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1</v>
      </c>
      <c r="B342" s="13" t="s">
        <v>417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1</v>
      </c>
      <c r="B343" s="13" t="s">
        <v>197</v>
      </c>
      <c r="C343" s="13">
        <v>2</v>
      </c>
      <c r="D343" s="13">
        <v>1</v>
      </c>
      <c r="E343" s="13">
        <v>4</v>
      </c>
    </row>
    <row r="344" spans="1:5" x14ac:dyDescent="0.3">
      <c r="A344" s="13" t="s">
        <v>1</v>
      </c>
      <c r="B344" s="13" t="s">
        <v>38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1</v>
      </c>
      <c r="B345" s="13" t="s">
        <v>64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1</v>
      </c>
      <c r="B346" s="13" t="s">
        <v>188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1</v>
      </c>
      <c r="B347" s="13" t="s">
        <v>295</v>
      </c>
      <c r="C347" s="13">
        <v>1</v>
      </c>
      <c r="D347" s="13">
        <v>1</v>
      </c>
      <c r="E347" s="13">
        <v>2</v>
      </c>
    </row>
    <row r="348" spans="1:5" x14ac:dyDescent="0.3">
      <c r="A348" s="13" t="s">
        <v>1</v>
      </c>
      <c r="B348" s="13" t="s">
        <v>2885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1</v>
      </c>
      <c r="B349" s="13" t="s">
        <v>716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1</v>
      </c>
      <c r="B350" s="13" t="s">
        <v>542</v>
      </c>
      <c r="C350" s="13">
        <v>2</v>
      </c>
      <c r="D350" s="13">
        <v>1</v>
      </c>
      <c r="E350" s="13">
        <v>2</v>
      </c>
    </row>
    <row r="351" spans="1:5" x14ac:dyDescent="0.3">
      <c r="A351" s="13" t="s">
        <v>1</v>
      </c>
      <c r="B351" s="13" t="s">
        <v>1049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1</v>
      </c>
      <c r="B352" s="13" t="s">
        <v>296</v>
      </c>
      <c r="C352" s="13">
        <v>2</v>
      </c>
      <c r="D352" s="13">
        <v>1</v>
      </c>
      <c r="E352" s="13">
        <v>2</v>
      </c>
    </row>
    <row r="353" spans="1:5" x14ac:dyDescent="0.3">
      <c r="A353" s="13" t="s">
        <v>1</v>
      </c>
      <c r="B353" s="13" t="s">
        <v>543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1</v>
      </c>
      <c r="B354" s="13" t="s">
        <v>53</v>
      </c>
      <c r="C354" s="13">
        <v>2</v>
      </c>
      <c r="D354" s="13">
        <v>1</v>
      </c>
      <c r="E354" s="13">
        <v>2</v>
      </c>
    </row>
    <row r="355" spans="1:5" x14ac:dyDescent="0.3">
      <c r="A355" s="13" t="s">
        <v>1</v>
      </c>
      <c r="B355" s="13" t="s">
        <v>1339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1</v>
      </c>
      <c r="B356" s="13" t="s">
        <v>190</v>
      </c>
      <c r="C356" s="13">
        <v>2</v>
      </c>
      <c r="D356" s="13">
        <v>1</v>
      </c>
      <c r="E356" s="13">
        <v>2</v>
      </c>
    </row>
    <row r="357" spans="1:5" x14ac:dyDescent="0.3">
      <c r="A357" s="13" t="s">
        <v>1</v>
      </c>
      <c r="B357" s="13" t="s">
        <v>1050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1</v>
      </c>
      <c r="B358" s="13" t="s">
        <v>67</v>
      </c>
      <c r="C358" s="13">
        <v>3</v>
      </c>
      <c r="D358" s="13">
        <v>1</v>
      </c>
      <c r="E358" s="13">
        <v>3</v>
      </c>
    </row>
    <row r="359" spans="1:5" x14ac:dyDescent="0.3">
      <c r="A359" s="13" t="s">
        <v>1</v>
      </c>
      <c r="B359" s="13" t="s">
        <v>1319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1</v>
      </c>
      <c r="B360" s="13" t="s">
        <v>56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1</v>
      </c>
      <c r="B361" s="13" t="s">
        <v>979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1</v>
      </c>
      <c r="B362" s="13" t="s">
        <v>2886</v>
      </c>
      <c r="C362" s="13">
        <v>1</v>
      </c>
      <c r="D362" s="13">
        <v>2</v>
      </c>
      <c r="E362" s="13"/>
    </row>
    <row r="363" spans="1:5" x14ac:dyDescent="0.3">
      <c r="A363" s="13" t="s">
        <v>1</v>
      </c>
      <c r="B363" s="13" t="s">
        <v>1782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1</v>
      </c>
      <c r="B364" s="13" t="s">
        <v>2887</v>
      </c>
      <c r="C364" s="13">
        <v>1</v>
      </c>
      <c r="D364" s="13">
        <v>1</v>
      </c>
      <c r="E364" s="13">
        <v>2</v>
      </c>
    </row>
    <row r="365" spans="1:5" x14ac:dyDescent="0.3">
      <c r="A365" s="13" t="s">
        <v>1</v>
      </c>
      <c r="B365" s="13" t="s">
        <v>749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1</v>
      </c>
      <c r="B366" s="13" t="s">
        <v>2888</v>
      </c>
      <c r="C366" s="13">
        <v>1</v>
      </c>
      <c r="D366" s="13">
        <v>1</v>
      </c>
      <c r="E366" s="13"/>
    </row>
    <row r="367" spans="1:5" x14ac:dyDescent="0.3">
      <c r="A367" s="13" t="s">
        <v>1</v>
      </c>
      <c r="B367" s="13" t="s">
        <v>2889</v>
      </c>
      <c r="C367" s="13">
        <v>1</v>
      </c>
      <c r="D367" s="13">
        <v>1</v>
      </c>
      <c r="E367" s="13"/>
    </row>
    <row r="368" spans="1:5" x14ac:dyDescent="0.3">
      <c r="A368" s="13" t="s">
        <v>1</v>
      </c>
      <c r="B368" s="13" t="s">
        <v>2890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1</v>
      </c>
      <c r="B369" s="13" t="s">
        <v>1788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1</v>
      </c>
      <c r="B370" s="13" t="s">
        <v>980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1</v>
      </c>
      <c r="B371" s="13" t="s">
        <v>722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1</v>
      </c>
      <c r="B372" s="13" t="s">
        <v>2165</v>
      </c>
      <c r="C372" s="13">
        <v>1</v>
      </c>
      <c r="D372" s="13">
        <v>1</v>
      </c>
      <c r="E372" s="13"/>
    </row>
    <row r="373" spans="1:5" x14ac:dyDescent="0.3">
      <c r="A373" s="13" t="s">
        <v>1</v>
      </c>
      <c r="B373" s="13" t="s">
        <v>1639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1</v>
      </c>
      <c r="B374" s="13" t="s">
        <v>1955</v>
      </c>
      <c r="C374" s="13">
        <v>1</v>
      </c>
      <c r="D374" s="13">
        <v>1</v>
      </c>
      <c r="E374" s="13">
        <v>2</v>
      </c>
    </row>
    <row r="375" spans="1:5" x14ac:dyDescent="0.3">
      <c r="A375" s="13" t="s">
        <v>1</v>
      </c>
      <c r="B375" s="13" t="s">
        <v>1148</v>
      </c>
      <c r="C375" s="13">
        <v>1</v>
      </c>
      <c r="D375" s="13">
        <v>1</v>
      </c>
      <c r="E375" s="13"/>
    </row>
    <row r="376" spans="1:5" x14ac:dyDescent="0.3">
      <c r="A376" s="13" t="s">
        <v>1</v>
      </c>
      <c r="B376" s="13" t="s">
        <v>2348</v>
      </c>
      <c r="C376" s="13">
        <v>6</v>
      </c>
      <c r="D376" s="13">
        <v>1</v>
      </c>
      <c r="E376" s="13">
        <v>6</v>
      </c>
    </row>
    <row r="377" spans="1:5" x14ac:dyDescent="0.3">
      <c r="A377" s="13" t="s">
        <v>1</v>
      </c>
      <c r="B377" s="13" t="s">
        <v>2355</v>
      </c>
      <c r="C377" s="13">
        <v>4</v>
      </c>
      <c r="D377" s="13">
        <v>1</v>
      </c>
      <c r="E377" s="13">
        <v>4</v>
      </c>
    </row>
    <row r="378" spans="1:5" x14ac:dyDescent="0.3">
      <c r="A378" s="13" t="s">
        <v>1</v>
      </c>
      <c r="B378" s="13" t="s">
        <v>1121</v>
      </c>
      <c r="C378" s="13">
        <v>2</v>
      </c>
      <c r="D378" s="13">
        <v>1</v>
      </c>
      <c r="E378" s="13">
        <v>4</v>
      </c>
    </row>
    <row r="379" spans="1:5" x14ac:dyDescent="0.3">
      <c r="A379" s="13" t="s">
        <v>0</v>
      </c>
      <c r="B379" s="13" t="s">
        <v>238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966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875</v>
      </c>
      <c r="C381" s="13">
        <v>1</v>
      </c>
      <c r="D381" s="13">
        <v>1</v>
      </c>
      <c r="E381" s="13">
        <v>2</v>
      </c>
    </row>
    <row r="382" spans="1:5" x14ac:dyDescent="0.3">
      <c r="A382" s="13" t="s">
        <v>0</v>
      </c>
      <c r="B382" s="13" t="s">
        <v>553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71</v>
      </c>
      <c r="C383" s="13">
        <v>2</v>
      </c>
      <c r="D383" s="13">
        <v>1</v>
      </c>
      <c r="E383" s="13">
        <v>2</v>
      </c>
    </row>
    <row r="384" spans="1:5" x14ac:dyDescent="0.3">
      <c r="A384" s="13" t="s">
        <v>0</v>
      </c>
      <c r="B384" s="13" t="s">
        <v>656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48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204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263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446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205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596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474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76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243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40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448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260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81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211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144</v>
      </c>
      <c r="C399" s="13">
        <v>1</v>
      </c>
      <c r="D399" s="13">
        <v>1</v>
      </c>
      <c r="E399" s="13">
        <v>2</v>
      </c>
    </row>
    <row r="400" spans="1:5" x14ac:dyDescent="0.3">
      <c r="A400" s="13" t="s">
        <v>0</v>
      </c>
      <c r="B400" s="13" t="s">
        <v>84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145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147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464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1978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604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306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244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150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151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503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42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93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94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1370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1471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1484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1505</v>
      </c>
      <c r="C417" s="13">
        <v>2</v>
      </c>
      <c r="D417" s="13">
        <v>1</v>
      </c>
      <c r="E417" s="13">
        <v>2</v>
      </c>
    </row>
    <row r="418" spans="1:5" x14ac:dyDescent="0.3">
      <c r="A418" s="13" t="s">
        <v>0</v>
      </c>
      <c r="B418" s="13" t="s">
        <v>1645</v>
      </c>
      <c r="C418" s="13">
        <v>1</v>
      </c>
      <c r="D418" s="13">
        <v>1</v>
      </c>
      <c r="E418" s="13">
        <v>2</v>
      </c>
    </row>
    <row r="419" spans="1:5" x14ac:dyDescent="0.3">
      <c r="A419" s="13" t="s">
        <v>0</v>
      </c>
      <c r="B419" s="13" t="s">
        <v>1655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1904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1926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1886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2148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2408</v>
      </c>
      <c r="C424" s="13">
        <v>2</v>
      </c>
      <c r="D424" s="13">
        <v>1</v>
      </c>
      <c r="E424" s="13">
        <v>2</v>
      </c>
    </row>
    <row r="425" spans="1:5" x14ac:dyDescent="0.3">
      <c r="A425" s="13" t="s">
        <v>0</v>
      </c>
      <c r="B425" s="13" t="s">
        <v>2734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819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1104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1714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476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1658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762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560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156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391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562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159</v>
      </c>
      <c r="C436" s="13">
        <v>1</v>
      </c>
      <c r="D436" s="13">
        <v>1</v>
      </c>
      <c r="E436" s="13">
        <v>2</v>
      </c>
    </row>
    <row r="437" spans="1:5" x14ac:dyDescent="0.3">
      <c r="A437" s="13" t="s">
        <v>0</v>
      </c>
      <c r="B437" s="13" t="s">
        <v>160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1232</v>
      </c>
      <c r="C438" s="13">
        <v>2</v>
      </c>
      <c r="D438" s="13">
        <v>1</v>
      </c>
      <c r="E438" s="13">
        <v>7</v>
      </c>
    </row>
    <row r="439" spans="1:5" x14ac:dyDescent="0.3">
      <c r="A439" s="13" t="s">
        <v>0</v>
      </c>
      <c r="B439" s="13" t="s">
        <v>101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275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1983</v>
      </c>
      <c r="C441" s="13">
        <v>1</v>
      </c>
      <c r="D441" s="13">
        <v>1</v>
      </c>
      <c r="E441" s="13">
        <v>2</v>
      </c>
    </row>
    <row r="442" spans="1:5" x14ac:dyDescent="0.3">
      <c r="A442" s="13" t="s">
        <v>0</v>
      </c>
      <c r="B442" s="13" t="s">
        <v>822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1291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164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2001</v>
      </c>
      <c r="C445" s="13">
        <v>1</v>
      </c>
      <c r="D445" s="13">
        <v>1</v>
      </c>
      <c r="E445" s="13">
        <v>2</v>
      </c>
    </row>
    <row r="446" spans="1:5" x14ac:dyDescent="0.3">
      <c r="A446" s="13" t="s">
        <v>0</v>
      </c>
      <c r="B446" s="13" t="s">
        <v>429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195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108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1892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2209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279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44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170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314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568</v>
      </c>
      <c r="C455" s="13">
        <v>1</v>
      </c>
      <c r="D455" s="13">
        <v>1</v>
      </c>
      <c r="E455" s="13">
        <v>2</v>
      </c>
    </row>
    <row r="456" spans="1:5" x14ac:dyDescent="0.3">
      <c r="A456" s="13" t="s">
        <v>0</v>
      </c>
      <c r="B456" s="13" t="s">
        <v>1005</v>
      </c>
      <c r="C456" s="13">
        <v>2</v>
      </c>
      <c r="D456" s="13">
        <v>1</v>
      </c>
      <c r="E456" s="13">
        <v>2</v>
      </c>
    </row>
    <row r="457" spans="1:5" x14ac:dyDescent="0.3">
      <c r="A457" s="13" t="s">
        <v>0</v>
      </c>
      <c r="B457" s="13" t="s">
        <v>45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285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287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454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401</v>
      </c>
      <c r="C461" s="13">
        <v>1</v>
      </c>
      <c r="D461" s="13">
        <v>1</v>
      </c>
      <c r="E461" s="13">
        <v>2</v>
      </c>
    </row>
    <row r="462" spans="1:5" x14ac:dyDescent="0.3">
      <c r="A462" s="13" t="s">
        <v>0</v>
      </c>
      <c r="B462" s="13" t="s">
        <v>2053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0</v>
      </c>
      <c r="B463" s="13" t="s">
        <v>696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1099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1442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0</v>
      </c>
      <c r="B466" s="13" t="s">
        <v>2861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0</v>
      </c>
      <c r="B467" s="13" t="s">
        <v>172</v>
      </c>
      <c r="C467" s="13">
        <v>2</v>
      </c>
      <c r="D467" s="13">
        <v>1</v>
      </c>
      <c r="E467" s="13">
        <v>2</v>
      </c>
    </row>
    <row r="468" spans="1:5" x14ac:dyDescent="0.3">
      <c r="A468" s="13" t="s">
        <v>0</v>
      </c>
      <c r="B468" s="13" t="s">
        <v>1536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0</v>
      </c>
      <c r="B469" s="13" t="s">
        <v>122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0</v>
      </c>
      <c r="B470" s="13" t="s">
        <v>661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0</v>
      </c>
      <c r="B471" s="13" t="s">
        <v>123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0</v>
      </c>
      <c r="B472" s="13" t="s">
        <v>1549</v>
      </c>
      <c r="C472" s="13">
        <v>1</v>
      </c>
      <c r="D472" s="13">
        <v>1</v>
      </c>
      <c r="E472" s="13">
        <v>1</v>
      </c>
    </row>
    <row r="473" spans="1:5" x14ac:dyDescent="0.3">
      <c r="A473" s="13" t="s">
        <v>0</v>
      </c>
      <c r="B473" s="13" t="s">
        <v>407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0</v>
      </c>
      <c r="B474" s="13" t="s">
        <v>2214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0</v>
      </c>
      <c r="B475" s="13" t="s">
        <v>2879</v>
      </c>
      <c r="C475" s="13">
        <v>1</v>
      </c>
      <c r="D475" s="13">
        <v>1</v>
      </c>
      <c r="E475" s="13">
        <v>1</v>
      </c>
    </row>
    <row r="476" spans="1:5" x14ac:dyDescent="0.3">
      <c r="A476" s="13" t="s">
        <v>0</v>
      </c>
      <c r="B476" s="13" t="s">
        <v>2880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0</v>
      </c>
      <c r="B477" s="13" t="s">
        <v>2006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0</v>
      </c>
      <c r="B478" s="13" t="s">
        <v>1540</v>
      </c>
      <c r="C478" s="13">
        <v>1</v>
      </c>
      <c r="D478" s="13">
        <v>1</v>
      </c>
      <c r="E478" s="13">
        <v>1</v>
      </c>
    </row>
    <row r="479" spans="1:5" x14ac:dyDescent="0.3">
      <c r="A479" s="13" t="s">
        <v>0</v>
      </c>
      <c r="B479" s="13" t="s">
        <v>840</v>
      </c>
      <c r="C479" s="13">
        <v>1</v>
      </c>
      <c r="D479" s="13">
        <v>1</v>
      </c>
      <c r="E479" s="13">
        <v>1</v>
      </c>
    </row>
    <row r="480" spans="1:5" x14ac:dyDescent="0.3">
      <c r="A480" s="13" t="s">
        <v>0</v>
      </c>
      <c r="B480" s="13" t="s">
        <v>2051</v>
      </c>
      <c r="C480" s="13">
        <v>1</v>
      </c>
      <c r="D480" s="13">
        <v>1</v>
      </c>
      <c r="E480" s="13">
        <v>1</v>
      </c>
    </row>
    <row r="481" spans="1:5" x14ac:dyDescent="0.3">
      <c r="A481" s="13" t="s">
        <v>0</v>
      </c>
      <c r="B481" s="13" t="s">
        <v>1423</v>
      </c>
      <c r="C481" s="13">
        <v>1</v>
      </c>
      <c r="D481" s="13">
        <v>1</v>
      </c>
      <c r="E481" s="13">
        <v>1</v>
      </c>
    </row>
    <row r="482" spans="1:5" x14ac:dyDescent="0.3">
      <c r="A482" s="13" t="s">
        <v>0</v>
      </c>
      <c r="B482" s="13" t="s">
        <v>1390</v>
      </c>
      <c r="C482" s="13">
        <v>1</v>
      </c>
      <c r="D482" s="13">
        <v>1</v>
      </c>
      <c r="E482" s="13">
        <v>1</v>
      </c>
    </row>
    <row r="483" spans="1:5" x14ac:dyDescent="0.3">
      <c r="A483" s="13" t="s">
        <v>0</v>
      </c>
      <c r="B483" s="13" t="s">
        <v>1560</v>
      </c>
      <c r="C483" s="13">
        <v>1</v>
      </c>
      <c r="D483" s="13">
        <v>1</v>
      </c>
      <c r="E483" s="13">
        <v>1</v>
      </c>
    </row>
    <row r="484" spans="1:5" x14ac:dyDescent="0.3">
      <c r="A484" s="13" t="s">
        <v>0</v>
      </c>
      <c r="B484" s="13" t="s">
        <v>634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0</v>
      </c>
      <c r="B485" s="13" t="s">
        <v>578</v>
      </c>
      <c r="C485" s="13">
        <v>1</v>
      </c>
      <c r="D485" s="13">
        <v>1</v>
      </c>
      <c r="E485" s="13">
        <v>2</v>
      </c>
    </row>
    <row r="486" spans="1:5" x14ac:dyDescent="0.3">
      <c r="A486" s="13" t="s">
        <v>0</v>
      </c>
      <c r="B486" s="13" t="s">
        <v>180</v>
      </c>
      <c r="C486" s="13">
        <v>1</v>
      </c>
      <c r="D486" s="13">
        <v>1</v>
      </c>
      <c r="E486" s="13">
        <v>1</v>
      </c>
    </row>
    <row r="487" spans="1:5" x14ac:dyDescent="0.3">
      <c r="A487" s="13" t="s">
        <v>0</v>
      </c>
      <c r="B487" s="13" t="s">
        <v>2045</v>
      </c>
      <c r="C487" s="13">
        <v>1</v>
      </c>
      <c r="D487" s="13">
        <v>1</v>
      </c>
      <c r="E487" s="13">
        <v>1</v>
      </c>
    </row>
    <row r="488" spans="1:5" x14ac:dyDescent="0.3">
      <c r="A488" s="13" t="s">
        <v>0</v>
      </c>
      <c r="B488" s="13" t="s">
        <v>229</v>
      </c>
      <c r="C488" s="13">
        <v>1</v>
      </c>
      <c r="D488" s="13">
        <v>1</v>
      </c>
      <c r="E488" s="13">
        <v>1</v>
      </c>
    </row>
    <row r="489" spans="1:5" x14ac:dyDescent="0.3">
      <c r="A489" s="13" t="s">
        <v>0</v>
      </c>
      <c r="B489" s="13" t="s">
        <v>538</v>
      </c>
      <c r="C489" s="13">
        <v>1</v>
      </c>
      <c r="D489" s="13">
        <v>1</v>
      </c>
      <c r="E489" s="13">
        <v>1</v>
      </c>
    </row>
    <row r="490" spans="1:5" x14ac:dyDescent="0.3">
      <c r="A490" s="13" t="s">
        <v>0</v>
      </c>
      <c r="B490" s="13" t="s">
        <v>52</v>
      </c>
      <c r="C490" s="13">
        <v>1</v>
      </c>
      <c r="D490" s="13">
        <v>1</v>
      </c>
      <c r="E490" s="13">
        <v>1</v>
      </c>
    </row>
    <row r="491" spans="1:5" x14ac:dyDescent="0.3">
      <c r="A491" s="13" t="s">
        <v>0</v>
      </c>
      <c r="B491" s="13" t="s">
        <v>782</v>
      </c>
      <c r="C491" s="13">
        <v>1</v>
      </c>
      <c r="D491" s="13">
        <v>1</v>
      </c>
      <c r="E491" s="13">
        <v>2</v>
      </c>
    </row>
    <row r="492" spans="1:5" x14ac:dyDescent="0.3">
      <c r="A492" s="13" t="s">
        <v>0</v>
      </c>
      <c r="B492" s="13" t="s">
        <v>253</v>
      </c>
      <c r="C492" s="13">
        <v>1</v>
      </c>
      <c r="D492" s="13">
        <v>1</v>
      </c>
      <c r="E492" s="13">
        <v>1</v>
      </c>
    </row>
    <row r="493" spans="1:5" x14ac:dyDescent="0.3">
      <c r="A493" s="13" t="s">
        <v>0</v>
      </c>
      <c r="B493" s="13" t="s">
        <v>1490</v>
      </c>
      <c r="C493" s="13">
        <v>1</v>
      </c>
      <c r="D493" s="13">
        <v>1</v>
      </c>
      <c r="E493" s="13">
        <v>1</v>
      </c>
    </row>
    <row r="494" spans="1:5" x14ac:dyDescent="0.3">
      <c r="A494" s="13" t="s">
        <v>0</v>
      </c>
      <c r="B494" s="13" t="s">
        <v>1219</v>
      </c>
      <c r="C494" s="13">
        <v>1</v>
      </c>
      <c r="D494" s="13">
        <v>1</v>
      </c>
      <c r="E494" s="13">
        <v>2</v>
      </c>
    </row>
    <row r="495" spans="1:5" x14ac:dyDescent="0.3">
      <c r="A495" s="13" t="s">
        <v>0</v>
      </c>
      <c r="B495" s="13" t="s">
        <v>1933</v>
      </c>
      <c r="C495" s="13">
        <v>1</v>
      </c>
      <c r="D495" s="13">
        <v>1</v>
      </c>
      <c r="E495" s="13">
        <v>1</v>
      </c>
    </row>
    <row r="496" spans="1:5" x14ac:dyDescent="0.3">
      <c r="A496" s="13" t="s">
        <v>0</v>
      </c>
      <c r="B496" s="13" t="s">
        <v>2326</v>
      </c>
      <c r="C496" s="13">
        <v>1</v>
      </c>
      <c r="D496" s="13">
        <v>1</v>
      </c>
      <c r="E496" s="13">
        <v>1</v>
      </c>
    </row>
    <row r="497" spans="1:5" x14ac:dyDescent="0.3">
      <c r="A497" s="13" t="s">
        <v>0</v>
      </c>
      <c r="B497" s="13" t="s">
        <v>2117</v>
      </c>
      <c r="C497" s="13">
        <v>1</v>
      </c>
      <c r="D497" s="13">
        <v>1</v>
      </c>
      <c r="E497" s="13">
        <v>1</v>
      </c>
    </row>
    <row r="498" spans="1:5" x14ac:dyDescent="0.3">
      <c r="A498" s="13" t="s">
        <v>0</v>
      </c>
      <c r="B498" s="13" t="s">
        <v>1895</v>
      </c>
      <c r="C498" s="13">
        <v>1</v>
      </c>
      <c r="D498" s="13">
        <v>1</v>
      </c>
      <c r="E498" s="13"/>
    </row>
    <row r="499" spans="1:5" x14ac:dyDescent="0.3">
      <c r="A499" s="13" t="s">
        <v>0</v>
      </c>
      <c r="B499" s="13" t="s">
        <v>1666</v>
      </c>
      <c r="C499" s="13">
        <v>1</v>
      </c>
      <c r="D499" s="13">
        <v>1</v>
      </c>
      <c r="E499" s="13">
        <v>1</v>
      </c>
    </row>
    <row r="500" spans="1:5" x14ac:dyDescent="0.3">
      <c r="A500" s="13" t="s">
        <v>0</v>
      </c>
      <c r="B500" s="13" t="s">
        <v>547</v>
      </c>
      <c r="C500" s="13">
        <v>1</v>
      </c>
      <c r="D500" s="13">
        <v>1</v>
      </c>
      <c r="E500" s="13"/>
    </row>
    <row r="501" spans="1:5" x14ac:dyDescent="0.3">
      <c r="A501" s="13" t="s">
        <v>0</v>
      </c>
      <c r="B501" s="13" t="s">
        <v>259</v>
      </c>
      <c r="C501" s="13">
        <v>1</v>
      </c>
      <c r="D501" s="13">
        <v>1</v>
      </c>
      <c r="E501" s="13">
        <v>1</v>
      </c>
    </row>
    <row r="502" spans="1:5" x14ac:dyDescent="0.3">
      <c r="A502" s="13" t="s">
        <v>0</v>
      </c>
      <c r="B502" s="13" t="s">
        <v>2891</v>
      </c>
      <c r="C502" s="13">
        <v>1</v>
      </c>
      <c r="D502" s="13">
        <v>1</v>
      </c>
      <c r="E502" s="13">
        <v>1</v>
      </c>
    </row>
    <row r="503" spans="1:5" x14ac:dyDescent="0.3">
      <c r="A503" s="13" t="s">
        <v>0</v>
      </c>
      <c r="B503" s="13" t="s">
        <v>1309</v>
      </c>
      <c r="C503" s="13">
        <v>1</v>
      </c>
      <c r="D503" s="13">
        <v>1</v>
      </c>
      <c r="E503" s="13">
        <v>1</v>
      </c>
    </row>
    <row r="504" spans="1:5" x14ac:dyDescent="0.3">
      <c r="A504" s="13" t="s">
        <v>0</v>
      </c>
      <c r="B504" s="13" t="s">
        <v>237</v>
      </c>
      <c r="C504" s="13">
        <v>1</v>
      </c>
      <c r="D504" s="13">
        <v>1</v>
      </c>
      <c r="E504" s="13">
        <v>2</v>
      </c>
    </row>
    <row r="505" spans="1:5" x14ac:dyDescent="0.3">
      <c r="A505" s="13" t="s">
        <v>0</v>
      </c>
      <c r="B505" s="13" t="s">
        <v>2142</v>
      </c>
      <c r="C505" s="13">
        <v>1</v>
      </c>
      <c r="D505" s="13">
        <v>2</v>
      </c>
      <c r="E505" s="13"/>
    </row>
    <row r="506" spans="1:5" x14ac:dyDescent="0.3">
      <c r="A506" s="13" t="s">
        <v>0</v>
      </c>
      <c r="B506" s="13" t="s">
        <v>2892</v>
      </c>
      <c r="C506" s="13">
        <v>1</v>
      </c>
      <c r="D506" s="13">
        <v>1</v>
      </c>
      <c r="E506" s="13">
        <v>1</v>
      </c>
    </row>
    <row r="507" spans="1:5" x14ac:dyDescent="0.3">
      <c r="A507" s="13" t="s">
        <v>0</v>
      </c>
      <c r="B507" s="13" t="s">
        <v>2105</v>
      </c>
      <c r="C507" s="13">
        <v>1</v>
      </c>
      <c r="D507" s="13">
        <v>1</v>
      </c>
      <c r="E507" s="13"/>
    </row>
    <row r="508" spans="1:5" x14ac:dyDescent="0.3">
      <c r="A508" s="13" t="s">
        <v>0</v>
      </c>
      <c r="B508" s="13" t="s">
        <v>750</v>
      </c>
      <c r="C508" s="13">
        <v>1</v>
      </c>
      <c r="D508" s="13">
        <v>2</v>
      </c>
      <c r="E508" s="13"/>
    </row>
    <row r="509" spans="1:5" x14ac:dyDescent="0.3">
      <c r="A509" s="13" t="s">
        <v>0</v>
      </c>
      <c r="B509" s="13" t="s">
        <v>2893</v>
      </c>
      <c r="C509" s="13">
        <v>1</v>
      </c>
      <c r="D509" s="13">
        <v>1</v>
      </c>
      <c r="E509" s="13">
        <v>2</v>
      </c>
    </row>
    <row r="510" spans="1:5" x14ac:dyDescent="0.3">
      <c r="A510" s="13" t="s">
        <v>0</v>
      </c>
      <c r="B510" s="13" t="s">
        <v>1527</v>
      </c>
      <c r="C510" s="13">
        <v>1</v>
      </c>
      <c r="D510" s="13">
        <v>1</v>
      </c>
      <c r="E510" s="13">
        <v>1</v>
      </c>
    </row>
    <row r="511" spans="1:5" x14ac:dyDescent="0.3">
      <c r="A511" s="13" t="s">
        <v>0</v>
      </c>
      <c r="B511" s="13" t="s">
        <v>1784</v>
      </c>
      <c r="C511" s="13">
        <v>1</v>
      </c>
      <c r="D511" s="13">
        <v>1</v>
      </c>
      <c r="E511" s="13">
        <v>1</v>
      </c>
    </row>
    <row r="512" spans="1:5" x14ac:dyDescent="0.3">
      <c r="A512" s="13" t="s">
        <v>0</v>
      </c>
      <c r="B512" s="13" t="s">
        <v>2352</v>
      </c>
      <c r="C512" s="13">
        <v>1</v>
      </c>
      <c r="D512" s="13">
        <v>1</v>
      </c>
      <c r="E512" s="13">
        <v>1</v>
      </c>
    </row>
    <row r="513" spans="1:5" x14ac:dyDescent="0.3">
      <c r="A513" s="13" t="s">
        <v>2</v>
      </c>
      <c r="B513" s="13" t="s">
        <v>267</v>
      </c>
      <c r="C513" s="13">
        <v>1</v>
      </c>
      <c r="D513" s="13">
        <v>1</v>
      </c>
      <c r="E513" s="13">
        <v>1</v>
      </c>
    </row>
    <row r="514" spans="1:5" x14ac:dyDescent="0.3">
      <c r="A514" s="13" t="s">
        <v>2</v>
      </c>
      <c r="B514" s="13" t="s">
        <v>914</v>
      </c>
      <c r="C514" s="13">
        <v>1</v>
      </c>
      <c r="D514" s="13">
        <v>1</v>
      </c>
      <c r="E514" s="13">
        <v>2</v>
      </c>
    </row>
    <row r="515" spans="1:5" x14ac:dyDescent="0.3">
      <c r="A515" s="13" t="s">
        <v>2</v>
      </c>
      <c r="B515" s="13" t="s">
        <v>1570</v>
      </c>
      <c r="C515" s="13">
        <v>1</v>
      </c>
      <c r="D515" s="13">
        <v>1</v>
      </c>
      <c r="E515" s="13">
        <v>1</v>
      </c>
    </row>
    <row r="516" spans="1:5" x14ac:dyDescent="0.3">
      <c r="A516" s="13" t="s">
        <v>2</v>
      </c>
      <c r="B516" s="13" t="s">
        <v>1988</v>
      </c>
      <c r="C516" s="13">
        <v>1</v>
      </c>
      <c r="D516" s="13">
        <v>1</v>
      </c>
      <c r="E516" s="13">
        <v>1</v>
      </c>
    </row>
    <row r="517" spans="1:5" x14ac:dyDescent="0.3">
      <c r="A517" s="13" t="s">
        <v>2</v>
      </c>
      <c r="B517" s="13" t="s">
        <v>2093</v>
      </c>
      <c r="C517" s="13">
        <v>1</v>
      </c>
      <c r="D517" s="13">
        <v>1</v>
      </c>
      <c r="E517" s="13">
        <v>1</v>
      </c>
    </row>
    <row r="518" spans="1:5" x14ac:dyDescent="0.3">
      <c r="A518" s="13" t="s">
        <v>2</v>
      </c>
      <c r="B518" s="13" t="s">
        <v>2762</v>
      </c>
      <c r="C518" s="13">
        <v>1</v>
      </c>
      <c r="D518" s="13">
        <v>1</v>
      </c>
      <c r="E518" s="13">
        <v>1</v>
      </c>
    </row>
    <row r="519" spans="1:5" x14ac:dyDescent="0.3">
      <c r="A519" s="13" t="s">
        <v>2</v>
      </c>
      <c r="B519" s="13" t="s">
        <v>2869</v>
      </c>
      <c r="C519" s="13">
        <v>1</v>
      </c>
      <c r="D519" s="13">
        <v>1</v>
      </c>
      <c r="E519" s="13">
        <v>1</v>
      </c>
    </row>
    <row r="520" spans="1:5" x14ac:dyDescent="0.3">
      <c r="A520" s="13" t="s">
        <v>2</v>
      </c>
      <c r="B520" s="13" t="s">
        <v>506</v>
      </c>
      <c r="C520" s="13">
        <v>1</v>
      </c>
      <c r="D520" s="13">
        <v>1</v>
      </c>
      <c r="E520" s="13">
        <v>1</v>
      </c>
    </row>
    <row r="521" spans="1:5" x14ac:dyDescent="0.3">
      <c r="A521" s="13" t="s">
        <v>2</v>
      </c>
      <c r="B521" s="13" t="s">
        <v>1750</v>
      </c>
      <c r="C521" s="13">
        <v>1</v>
      </c>
      <c r="D521" s="13">
        <v>1</v>
      </c>
      <c r="E521" s="13">
        <v>1</v>
      </c>
    </row>
    <row r="522" spans="1:5" x14ac:dyDescent="0.3">
      <c r="A522" s="13" t="s">
        <v>2</v>
      </c>
      <c r="B522" s="13" t="s">
        <v>37</v>
      </c>
      <c r="C522" s="13">
        <v>1</v>
      </c>
      <c r="D522" s="13">
        <v>1</v>
      </c>
      <c r="E522" s="13">
        <v>3</v>
      </c>
    </row>
    <row r="523" spans="1:5" x14ac:dyDescent="0.3">
      <c r="A523" s="13" t="s">
        <v>2</v>
      </c>
      <c r="B523" s="13" t="s">
        <v>661</v>
      </c>
      <c r="C523" s="13">
        <v>1</v>
      </c>
      <c r="D523" s="13">
        <v>1</v>
      </c>
      <c r="E523" s="13">
        <v>2</v>
      </c>
    </row>
    <row r="524" spans="1:5" x14ac:dyDescent="0.3">
      <c r="A524" s="13" t="s">
        <v>2</v>
      </c>
      <c r="B524" s="13" t="s">
        <v>123</v>
      </c>
      <c r="C524" s="13">
        <v>1</v>
      </c>
      <c r="D524" s="13">
        <v>1</v>
      </c>
      <c r="E524" s="13">
        <v>1</v>
      </c>
    </row>
    <row r="525" spans="1:5" x14ac:dyDescent="0.3">
      <c r="A525" s="13" t="s">
        <v>2</v>
      </c>
      <c r="B525" s="13" t="s">
        <v>838</v>
      </c>
      <c r="C525" s="13">
        <v>1</v>
      </c>
      <c r="D525" s="13">
        <v>1</v>
      </c>
      <c r="E525" s="13">
        <v>1</v>
      </c>
    </row>
    <row r="526" spans="1:5" x14ac:dyDescent="0.3">
      <c r="A526" s="13" t="s">
        <v>2</v>
      </c>
      <c r="B526" s="13" t="s">
        <v>63</v>
      </c>
      <c r="C526" s="13">
        <v>1</v>
      </c>
      <c r="D526" s="13">
        <v>1</v>
      </c>
      <c r="E526" s="13">
        <v>1</v>
      </c>
    </row>
    <row r="527" spans="1:5" x14ac:dyDescent="0.3">
      <c r="A527" s="13" t="s">
        <v>2</v>
      </c>
      <c r="B527" s="13" t="s">
        <v>1059</v>
      </c>
      <c r="C527" s="13">
        <v>1</v>
      </c>
      <c r="D527" s="13">
        <v>1</v>
      </c>
      <c r="E527" s="13">
        <v>1</v>
      </c>
    </row>
    <row r="528" spans="1:5" x14ac:dyDescent="0.3">
      <c r="A528" s="13" t="s">
        <v>1</v>
      </c>
      <c r="B528" s="13" t="s">
        <v>377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1029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1466</v>
      </c>
      <c r="C530" s="13">
        <v>1</v>
      </c>
      <c r="D530" s="13">
        <v>0</v>
      </c>
      <c r="E530" s="13">
        <v>2</v>
      </c>
    </row>
    <row r="531" spans="1:5" x14ac:dyDescent="0.3">
      <c r="A531" s="13" t="s">
        <v>1</v>
      </c>
      <c r="B531" s="13" t="s">
        <v>1562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489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491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726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808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204</v>
      </c>
      <c r="C536" s="13">
        <v>2</v>
      </c>
      <c r="D536" s="13">
        <v>0</v>
      </c>
      <c r="E536" s="13">
        <v>2</v>
      </c>
    </row>
    <row r="537" spans="1:5" x14ac:dyDescent="0.3">
      <c r="A537" s="13" t="s">
        <v>1</v>
      </c>
      <c r="B537" s="13" t="s">
        <v>671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556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497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2894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1898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243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348</v>
      </c>
      <c r="C543" s="13">
        <v>2</v>
      </c>
      <c r="D543" s="13">
        <v>0</v>
      </c>
      <c r="E543" s="13">
        <v>2</v>
      </c>
    </row>
    <row r="544" spans="1:5" x14ac:dyDescent="0.3">
      <c r="A544" s="13" t="s">
        <v>1</v>
      </c>
      <c r="B544" s="13" t="s">
        <v>880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269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796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1225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81</v>
      </c>
      <c r="C548" s="13">
        <v>2</v>
      </c>
      <c r="D548" s="13">
        <v>0</v>
      </c>
      <c r="E548" s="13">
        <v>2</v>
      </c>
    </row>
    <row r="549" spans="1:5" x14ac:dyDescent="0.3">
      <c r="A549" s="13" t="s">
        <v>1</v>
      </c>
      <c r="B549" s="13" t="s">
        <v>82</v>
      </c>
      <c r="C549" s="13">
        <v>1</v>
      </c>
      <c r="D549" s="13">
        <v>0</v>
      </c>
      <c r="E549" s="13">
        <v>2</v>
      </c>
    </row>
    <row r="550" spans="1:5" x14ac:dyDescent="0.3">
      <c r="A550" s="13" t="s">
        <v>1</v>
      </c>
      <c r="B550" s="13" t="s">
        <v>349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881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882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1288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85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1031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1503</v>
      </c>
      <c r="C556" s="13">
        <v>1</v>
      </c>
      <c r="D556" s="13">
        <v>0</v>
      </c>
      <c r="E556" s="13">
        <v>2</v>
      </c>
    </row>
    <row r="557" spans="1:5" x14ac:dyDescent="0.3">
      <c r="A557" s="13" t="s">
        <v>1</v>
      </c>
      <c r="B557" s="13" t="s">
        <v>760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215</v>
      </c>
      <c r="C558" s="13">
        <v>1</v>
      </c>
      <c r="D558" s="13">
        <v>0</v>
      </c>
      <c r="E558" s="13">
        <v>0</v>
      </c>
    </row>
    <row r="559" spans="1:5" x14ac:dyDescent="0.3">
      <c r="A559" s="13" t="s">
        <v>1</v>
      </c>
      <c r="B559" s="13" t="s">
        <v>607</v>
      </c>
      <c r="C559" s="13">
        <v>2</v>
      </c>
      <c r="D559" s="13">
        <v>0</v>
      </c>
      <c r="E559" s="13">
        <v>2</v>
      </c>
    </row>
    <row r="560" spans="1:5" x14ac:dyDescent="0.3">
      <c r="A560" s="13" t="s">
        <v>1</v>
      </c>
      <c r="B560" s="13" t="s">
        <v>1184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993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805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886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449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352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194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254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41</v>
      </c>
      <c r="C568" s="13">
        <v>2</v>
      </c>
      <c r="D568" s="13">
        <v>0</v>
      </c>
      <c r="E568" s="13">
        <v>3</v>
      </c>
    </row>
    <row r="569" spans="1:5" x14ac:dyDescent="0.3">
      <c r="A569" s="13" t="s">
        <v>1</v>
      </c>
      <c r="B569" s="13" t="s">
        <v>677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2895</v>
      </c>
      <c r="C570" s="13">
        <v>1</v>
      </c>
      <c r="D570" s="13">
        <v>0</v>
      </c>
      <c r="E570" s="13">
        <v>2</v>
      </c>
    </row>
    <row r="571" spans="1:5" x14ac:dyDescent="0.3">
      <c r="A571" s="13" t="s">
        <v>1</v>
      </c>
      <c r="B571" s="13" t="s">
        <v>2896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2113</v>
      </c>
      <c r="C572" s="13">
        <v>1</v>
      </c>
      <c r="D572" s="13">
        <v>0</v>
      </c>
      <c r="E572" s="13">
        <v>2</v>
      </c>
    </row>
    <row r="573" spans="1:5" x14ac:dyDescent="0.3">
      <c r="A573" s="13" t="s">
        <v>1</v>
      </c>
      <c r="B573" s="13" t="s">
        <v>153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653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888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1067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1419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1471</v>
      </c>
      <c r="C578" s="13">
        <v>2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1485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1518</v>
      </c>
      <c r="C580" s="13">
        <v>2</v>
      </c>
      <c r="D580" s="13">
        <v>0</v>
      </c>
      <c r="E580" s="13">
        <v>2</v>
      </c>
    </row>
    <row r="581" spans="1:5" x14ac:dyDescent="0.3">
      <c r="A581" s="13" t="s">
        <v>1</v>
      </c>
      <c r="B581" s="13" t="s">
        <v>1621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1651</v>
      </c>
      <c r="C582" s="13">
        <v>1</v>
      </c>
      <c r="D582" s="13">
        <v>0</v>
      </c>
      <c r="E582" s="13">
        <v>3</v>
      </c>
    </row>
    <row r="583" spans="1:5" x14ac:dyDescent="0.3">
      <c r="A583" s="13" t="s">
        <v>1</v>
      </c>
      <c r="B583" s="13" t="s">
        <v>1654</v>
      </c>
      <c r="C583" s="13">
        <v>2</v>
      </c>
      <c r="D583" s="13">
        <v>0</v>
      </c>
      <c r="E583" s="13">
        <v>2</v>
      </c>
    </row>
    <row r="584" spans="1:5" x14ac:dyDescent="0.3">
      <c r="A584" s="13" t="s">
        <v>1</v>
      </c>
      <c r="B584" s="13" t="s">
        <v>1664</v>
      </c>
      <c r="C584" s="13">
        <v>2</v>
      </c>
      <c r="D584" s="13">
        <v>0</v>
      </c>
      <c r="E584" s="13">
        <v>2</v>
      </c>
    </row>
    <row r="585" spans="1:5" x14ac:dyDescent="0.3">
      <c r="A585" s="13" t="s">
        <v>1</v>
      </c>
      <c r="B585" s="13" t="s">
        <v>1671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1852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1854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2366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1</v>
      </c>
      <c r="B589" s="13" t="s">
        <v>2104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1886</v>
      </c>
      <c r="C590" s="13">
        <v>3</v>
      </c>
      <c r="D590" s="13">
        <v>0</v>
      </c>
      <c r="E590" s="13">
        <v>3</v>
      </c>
    </row>
    <row r="591" spans="1:5" x14ac:dyDescent="0.3">
      <c r="A591" s="13" t="s">
        <v>1</v>
      </c>
      <c r="B591" s="13" t="s">
        <v>1888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1907</v>
      </c>
      <c r="C592" s="13">
        <v>1</v>
      </c>
      <c r="D592" s="13">
        <v>0</v>
      </c>
      <c r="E592" s="13">
        <v>2</v>
      </c>
    </row>
    <row r="593" spans="1:5" x14ac:dyDescent="0.3">
      <c r="A593" s="13" t="s">
        <v>1</v>
      </c>
      <c r="B593" s="13" t="s">
        <v>1881</v>
      </c>
      <c r="C593" s="13">
        <v>2</v>
      </c>
      <c r="D593" s="13">
        <v>0</v>
      </c>
      <c r="E593" s="13">
        <v>2</v>
      </c>
    </row>
    <row r="594" spans="1:5" x14ac:dyDescent="0.3">
      <c r="A594" s="13" t="s">
        <v>1</v>
      </c>
      <c r="B594" s="13" t="s">
        <v>1900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1883</v>
      </c>
      <c r="C595" s="13">
        <v>2</v>
      </c>
      <c r="D595" s="13">
        <v>0</v>
      </c>
      <c r="E595" s="13">
        <v>2</v>
      </c>
    </row>
    <row r="596" spans="1:5" x14ac:dyDescent="0.3">
      <c r="A596" s="13" t="s">
        <v>1</v>
      </c>
      <c r="B596" s="13" t="s">
        <v>1930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1976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1</v>
      </c>
      <c r="B598" s="13" t="s">
        <v>2061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2069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2148</v>
      </c>
      <c r="C600" s="13">
        <v>4</v>
      </c>
      <c r="D600" s="13">
        <v>0</v>
      </c>
      <c r="E600" s="13">
        <v>4</v>
      </c>
    </row>
    <row r="601" spans="1:5" x14ac:dyDescent="0.3">
      <c r="A601" s="13" t="s">
        <v>1</v>
      </c>
      <c r="B601" s="13" t="s">
        <v>2162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2179</v>
      </c>
      <c r="C602" s="13">
        <v>3</v>
      </c>
      <c r="D602" s="13">
        <v>0</v>
      </c>
      <c r="E602" s="13">
        <v>4</v>
      </c>
    </row>
    <row r="603" spans="1:5" x14ac:dyDescent="0.3">
      <c r="A603" s="13" t="s">
        <v>1</v>
      </c>
      <c r="B603" s="13" t="s">
        <v>2407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2335</v>
      </c>
      <c r="C604" s="13">
        <v>7</v>
      </c>
      <c r="D604" s="13">
        <v>0</v>
      </c>
      <c r="E604" s="13">
        <v>8</v>
      </c>
    </row>
    <row r="605" spans="1:5" x14ac:dyDescent="0.3">
      <c r="A605" s="13" t="s">
        <v>1</v>
      </c>
      <c r="B605" s="13" t="s">
        <v>2408</v>
      </c>
      <c r="C605" s="13">
        <v>1</v>
      </c>
      <c r="D605" s="13">
        <v>0</v>
      </c>
      <c r="E605" s="13">
        <v>1</v>
      </c>
    </row>
    <row r="606" spans="1:5" x14ac:dyDescent="0.3">
      <c r="A606" s="13" t="s">
        <v>1</v>
      </c>
      <c r="B606" s="13" t="s">
        <v>2657</v>
      </c>
      <c r="C606" s="13">
        <v>1</v>
      </c>
      <c r="D606" s="13">
        <v>0</v>
      </c>
      <c r="E606" s="13">
        <v>2</v>
      </c>
    </row>
    <row r="607" spans="1:5" x14ac:dyDescent="0.3">
      <c r="A607" s="13" t="s">
        <v>1</v>
      </c>
      <c r="B607" s="13" t="s">
        <v>2677</v>
      </c>
      <c r="C607" s="13">
        <v>2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2734</v>
      </c>
      <c r="C608" s="13">
        <v>2</v>
      </c>
      <c r="D608" s="13">
        <v>0</v>
      </c>
      <c r="E608" s="13">
        <v>2</v>
      </c>
    </row>
    <row r="609" spans="1:5" x14ac:dyDescent="0.3">
      <c r="A609" s="13" t="s">
        <v>1</v>
      </c>
      <c r="B609" s="13" t="s">
        <v>2762</v>
      </c>
      <c r="C609" s="13">
        <v>17</v>
      </c>
      <c r="D609" s="13">
        <v>0</v>
      </c>
      <c r="E609" s="13">
        <v>20</v>
      </c>
    </row>
    <row r="610" spans="1:5" x14ac:dyDescent="0.3">
      <c r="A610" s="13" t="s">
        <v>1</v>
      </c>
      <c r="B610" s="13" t="s">
        <v>426</v>
      </c>
      <c r="C610" s="13">
        <v>1</v>
      </c>
      <c r="D610" s="13">
        <v>0</v>
      </c>
      <c r="E610" s="13">
        <v>2</v>
      </c>
    </row>
    <row r="611" spans="1:5" x14ac:dyDescent="0.3">
      <c r="A611" s="13" t="s">
        <v>1</v>
      </c>
      <c r="B611" s="13" t="s">
        <v>1984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507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889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1</v>
      </c>
      <c r="B614" s="13" t="s">
        <v>890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1</v>
      </c>
      <c r="B615" s="13" t="s">
        <v>1033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1</v>
      </c>
      <c r="B616" s="13" t="s">
        <v>1385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1</v>
      </c>
      <c r="B617" s="13" t="s">
        <v>795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1002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1070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1</v>
      </c>
      <c r="B620" s="13" t="s">
        <v>161</v>
      </c>
      <c r="C620" s="13">
        <v>2</v>
      </c>
      <c r="D620" s="13">
        <v>0</v>
      </c>
      <c r="E620" s="13">
        <v>2</v>
      </c>
    </row>
    <row r="621" spans="1:5" x14ac:dyDescent="0.3">
      <c r="A621" s="14" t="s">
        <v>1</v>
      </c>
      <c r="B621" s="14" t="s">
        <v>1072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861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1</v>
      </c>
      <c r="B623" s="14" t="s">
        <v>1392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1757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1</v>
      </c>
      <c r="B625" s="14" t="s">
        <v>281</v>
      </c>
      <c r="C625" s="14">
        <v>3</v>
      </c>
      <c r="D625" s="14">
        <v>0</v>
      </c>
      <c r="E625" s="14">
        <v>3</v>
      </c>
    </row>
    <row r="626" spans="1:5" x14ac:dyDescent="0.3">
      <c r="A626" s="14" t="s">
        <v>1</v>
      </c>
      <c r="B626" s="14" t="s">
        <v>1661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1</v>
      </c>
      <c r="B627" s="14" t="s">
        <v>171</v>
      </c>
      <c r="C627" s="14">
        <v>2</v>
      </c>
      <c r="D627" s="14">
        <v>0</v>
      </c>
      <c r="E627" s="14">
        <v>2</v>
      </c>
    </row>
    <row r="628" spans="1:5" x14ac:dyDescent="0.3">
      <c r="A628" s="14" t="s">
        <v>1</v>
      </c>
      <c r="B628" s="14" t="s">
        <v>944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1</v>
      </c>
      <c r="B629" s="14" t="s">
        <v>1258</v>
      </c>
      <c r="C629" s="14">
        <v>1</v>
      </c>
      <c r="D629" s="14">
        <v>0</v>
      </c>
      <c r="E629" s="14">
        <v>1</v>
      </c>
    </row>
    <row r="630" spans="1:5" x14ac:dyDescent="0.3">
      <c r="A630" s="14" t="s">
        <v>1</v>
      </c>
      <c r="B630" s="14" t="s">
        <v>1023</v>
      </c>
      <c r="C630" s="14">
        <v>1</v>
      </c>
      <c r="D630" s="14">
        <v>0</v>
      </c>
      <c r="E630" s="14">
        <v>1</v>
      </c>
    </row>
    <row r="631" spans="1:5" x14ac:dyDescent="0.3">
      <c r="A631" s="14" t="s">
        <v>1</v>
      </c>
      <c r="B631" s="14" t="s">
        <v>432</v>
      </c>
      <c r="C631" s="14">
        <v>1</v>
      </c>
      <c r="D631" s="14">
        <v>0</v>
      </c>
      <c r="E631" s="14">
        <v>1</v>
      </c>
    </row>
    <row r="632" spans="1:5" x14ac:dyDescent="0.3">
      <c r="A632" s="14" t="s">
        <v>1</v>
      </c>
      <c r="B632" s="14" t="s">
        <v>2109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626</v>
      </c>
      <c r="C633" s="14">
        <v>1</v>
      </c>
      <c r="D633" s="14">
        <v>0</v>
      </c>
      <c r="E633" s="14">
        <v>1</v>
      </c>
    </row>
    <row r="634" spans="1:5" x14ac:dyDescent="0.3">
      <c r="A634" s="14" t="s">
        <v>1</v>
      </c>
      <c r="B634" s="14" t="s">
        <v>528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1</v>
      </c>
      <c r="B635" s="14" t="s">
        <v>404</v>
      </c>
      <c r="C635" s="14">
        <v>1</v>
      </c>
      <c r="D635" s="14">
        <v>0</v>
      </c>
      <c r="E635" s="14">
        <v>2</v>
      </c>
    </row>
    <row r="636" spans="1:5" x14ac:dyDescent="0.3">
      <c r="A636" s="14" t="s">
        <v>1</v>
      </c>
      <c r="B636" s="14" t="s">
        <v>173</v>
      </c>
      <c r="C636" s="14">
        <v>1</v>
      </c>
      <c r="D636" s="14">
        <v>0</v>
      </c>
      <c r="E636" s="14">
        <v>1</v>
      </c>
    </row>
    <row r="637" spans="1:5" x14ac:dyDescent="0.3">
      <c r="A637" s="14" t="s">
        <v>1</v>
      </c>
      <c r="B637" s="14" t="s">
        <v>698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1</v>
      </c>
      <c r="B638" s="14" t="s">
        <v>701</v>
      </c>
      <c r="C638" s="14">
        <v>1</v>
      </c>
      <c r="D638" s="14">
        <v>0</v>
      </c>
      <c r="E638" s="14">
        <v>2</v>
      </c>
    </row>
    <row r="639" spans="1:5" x14ac:dyDescent="0.3">
      <c r="A639" s="14" t="s">
        <v>1</v>
      </c>
      <c r="B639" s="14" t="s">
        <v>2102</v>
      </c>
      <c r="C639" s="14">
        <v>1</v>
      </c>
      <c r="D639" s="14">
        <v>0</v>
      </c>
      <c r="E639" s="14">
        <v>1</v>
      </c>
    </row>
    <row r="640" spans="1:5" x14ac:dyDescent="0.3">
      <c r="A640" s="14" t="s">
        <v>1</v>
      </c>
      <c r="B640" s="14" t="s">
        <v>649</v>
      </c>
      <c r="C640" s="14">
        <v>1</v>
      </c>
      <c r="D640" s="14">
        <v>0</v>
      </c>
      <c r="E640" s="14">
        <v>1</v>
      </c>
    </row>
    <row r="641" spans="1:5" x14ac:dyDescent="0.3">
      <c r="A641" s="14" t="s">
        <v>1</v>
      </c>
      <c r="B641" s="14" t="s">
        <v>1305</v>
      </c>
      <c r="C641" s="14">
        <v>1</v>
      </c>
      <c r="D641" s="14">
        <v>0</v>
      </c>
      <c r="E641" s="14">
        <v>1</v>
      </c>
    </row>
    <row r="642" spans="1:5" x14ac:dyDescent="0.3">
      <c r="A642" s="14" t="s">
        <v>1</v>
      </c>
      <c r="B642" s="14" t="s">
        <v>174</v>
      </c>
      <c r="C642" s="14">
        <v>2</v>
      </c>
      <c r="D642" s="14">
        <v>0</v>
      </c>
      <c r="E642" s="14">
        <v>3</v>
      </c>
    </row>
    <row r="643" spans="1:5" x14ac:dyDescent="0.3">
      <c r="A643" s="14" t="s">
        <v>1</v>
      </c>
      <c r="B643" s="14" t="s">
        <v>839</v>
      </c>
      <c r="C643" s="14">
        <v>1</v>
      </c>
      <c r="D643" s="14">
        <v>0</v>
      </c>
      <c r="E643" s="14">
        <v>1</v>
      </c>
    </row>
    <row r="644" spans="1:5" x14ac:dyDescent="0.3">
      <c r="A644" s="14" t="s">
        <v>1</v>
      </c>
      <c r="B644" s="14" t="s">
        <v>1705</v>
      </c>
      <c r="C644" s="14">
        <v>1</v>
      </c>
      <c r="D644" s="14">
        <v>0</v>
      </c>
      <c r="E644" s="14">
        <v>1</v>
      </c>
    </row>
    <row r="645" spans="1:5" x14ac:dyDescent="0.3">
      <c r="A645" s="14" t="s">
        <v>1</v>
      </c>
      <c r="B645" s="14" t="s">
        <v>1550</v>
      </c>
      <c r="C645" s="14">
        <v>1</v>
      </c>
      <c r="D645" s="14">
        <v>0</v>
      </c>
      <c r="E645" s="14">
        <v>1</v>
      </c>
    </row>
    <row r="646" spans="1:5" x14ac:dyDescent="0.3">
      <c r="A646" s="14" t="s">
        <v>1</v>
      </c>
      <c r="B646" s="14" t="s">
        <v>663</v>
      </c>
      <c r="C646" s="14">
        <v>1</v>
      </c>
      <c r="D646" s="14">
        <v>0</v>
      </c>
      <c r="E646" s="14">
        <v>1</v>
      </c>
    </row>
    <row r="647" spans="1:5" x14ac:dyDescent="0.3">
      <c r="A647" s="14" t="s">
        <v>1</v>
      </c>
      <c r="B647" s="14" t="s">
        <v>536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1</v>
      </c>
      <c r="B648" s="14" t="s">
        <v>844</v>
      </c>
      <c r="C648" s="14">
        <v>1</v>
      </c>
      <c r="D648" s="14">
        <v>0</v>
      </c>
      <c r="E648" s="14">
        <v>1</v>
      </c>
    </row>
    <row r="649" spans="1:5" x14ac:dyDescent="0.3">
      <c r="A649" s="14" t="s">
        <v>1</v>
      </c>
      <c r="B649" s="14" t="s">
        <v>1977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1</v>
      </c>
      <c r="B650" s="14" t="s">
        <v>412</v>
      </c>
      <c r="C650" s="14">
        <v>1</v>
      </c>
      <c r="D650" s="14">
        <v>0</v>
      </c>
      <c r="E650" s="14">
        <v>1</v>
      </c>
    </row>
    <row r="651" spans="1:5" x14ac:dyDescent="0.3">
      <c r="A651" s="14" t="s">
        <v>1</v>
      </c>
      <c r="B651" s="14" t="s">
        <v>905</v>
      </c>
      <c r="C651" s="14">
        <v>1</v>
      </c>
      <c r="D651" s="14">
        <v>0</v>
      </c>
      <c r="E651" s="14">
        <v>1</v>
      </c>
    </row>
    <row r="652" spans="1:5" x14ac:dyDescent="0.3">
      <c r="A652" s="14" t="s">
        <v>1</v>
      </c>
      <c r="B652" s="14" t="s">
        <v>907</v>
      </c>
      <c r="C652" s="14">
        <v>1</v>
      </c>
      <c r="D652" s="14">
        <v>0</v>
      </c>
      <c r="E652" s="14">
        <v>1</v>
      </c>
    </row>
    <row r="653" spans="1:5" x14ac:dyDescent="0.3">
      <c r="A653" s="14" t="s">
        <v>1</v>
      </c>
      <c r="B653" s="14" t="s">
        <v>2897</v>
      </c>
      <c r="C653" s="14">
        <v>1</v>
      </c>
      <c r="D653" s="14">
        <v>0</v>
      </c>
      <c r="E653" s="14">
        <v>1</v>
      </c>
    </row>
    <row r="654" spans="1:5" x14ac:dyDescent="0.3">
      <c r="A654" s="14" t="s">
        <v>1</v>
      </c>
      <c r="B654" s="14" t="s">
        <v>1045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1</v>
      </c>
      <c r="B655" s="14" t="s">
        <v>2252</v>
      </c>
      <c r="C655" s="14">
        <v>1</v>
      </c>
      <c r="D655" s="14">
        <v>0</v>
      </c>
      <c r="E655" s="14">
        <v>1</v>
      </c>
    </row>
    <row r="656" spans="1:5" x14ac:dyDescent="0.3">
      <c r="A656" s="14" t="s">
        <v>1</v>
      </c>
      <c r="B656" s="14" t="s">
        <v>483</v>
      </c>
      <c r="C656" s="14">
        <v>1</v>
      </c>
      <c r="D656" s="14">
        <v>0</v>
      </c>
      <c r="E656" s="14">
        <v>1</v>
      </c>
    </row>
    <row r="657" spans="1:5" x14ac:dyDescent="0.3">
      <c r="A657" s="14" t="s">
        <v>1</v>
      </c>
      <c r="B657" s="14" t="s">
        <v>2898</v>
      </c>
      <c r="C657" s="14">
        <v>1</v>
      </c>
      <c r="D657" s="14">
        <v>0</v>
      </c>
      <c r="E657" s="14">
        <v>1</v>
      </c>
    </row>
    <row r="658" spans="1:5" x14ac:dyDescent="0.3">
      <c r="A658" s="14" t="s">
        <v>1</v>
      </c>
      <c r="B658" s="14" t="s">
        <v>1145</v>
      </c>
      <c r="C658" s="14">
        <v>1</v>
      </c>
      <c r="D658" s="14">
        <v>0</v>
      </c>
      <c r="E658" s="14">
        <v>1</v>
      </c>
    </row>
    <row r="659" spans="1:5" x14ac:dyDescent="0.3">
      <c r="A659" s="14" t="s">
        <v>1</v>
      </c>
      <c r="B659" s="14" t="s">
        <v>803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1</v>
      </c>
      <c r="B660" s="14" t="s">
        <v>1432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1</v>
      </c>
      <c r="B661" s="14" t="s">
        <v>2560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1</v>
      </c>
      <c r="B662" s="14" t="s">
        <v>1103</v>
      </c>
      <c r="C662" s="14">
        <v>1</v>
      </c>
      <c r="D662" s="14">
        <v>0</v>
      </c>
      <c r="E662" s="14">
        <v>3</v>
      </c>
    </row>
    <row r="663" spans="1:5" x14ac:dyDescent="0.3">
      <c r="A663" s="14" t="s">
        <v>1</v>
      </c>
      <c r="B663" s="14" t="s">
        <v>651</v>
      </c>
      <c r="C663" s="14">
        <v>1</v>
      </c>
      <c r="D663" s="14">
        <v>0</v>
      </c>
      <c r="E663" s="14">
        <v>1</v>
      </c>
    </row>
    <row r="664" spans="1:5" x14ac:dyDescent="0.3">
      <c r="A664" s="14" t="s">
        <v>1</v>
      </c>
      <c r="B664" s="14" t="s">
        <v>231</v>
      </c>
      <c r="C664" s="14">
        <v>9</v>
      </c>
      <c r="D664" s="14">
        <v>0</v>
      </c>
      <c r="E664" s="14">
        <v>10</v>
      </c>
    </row>
    <row r="665" spans="1:5" x14ac:dyDescent="0.3">
      <c r="A665" s="14" t="s">
        <v>1</v>
      </c>
      <c r="B665" s="14" t="s">
        <v>370</v>
      </c>
      <c r="C665" s="14">
        <v>3</v>
      </c>
      <c r="D665" s="14">
        <v>0</v>
      </c>
      <c r="E665" s="14">
        <v>4</v>
      </c>
    </row>
    <row r="666" spans="1:5" x14ac:dyDescent="0.3">
      <c r="A666" s="14" t="s">
        <v>1</v>
      </c>
      <c r="B666" s="14" t="s">
        <v>365</v>
      </c>
      <c r="C666" s="14">
        <v>2</v>
      </c>
      <c r="D666" s="14">
        <v>0</v>
      </c>
      <c r="E666" s="14">
        <v>2</v>
      </c>
    </row>
    <row r="667" spans="1:5" x14ac:dyDescent="0.3">
      <c r="A667" s="14" t="s">
        <v>1</v>
      </c>
      <c r="B667" s="14" t="s">
        <v>232</v>
      </c>
      <c r="C667" s="14">
        <v>6</v>
      </c>
      <c r="D667" s="14">
        <v>0</v>
      </c>
      <c r="E667" s="14">
        <v>8</v>
      </c>
    </row>
    <row r="668" spans="1:5" x14ac:dyDescent="0.3">
      <c r="A668" s="14" t="s">
        <v>1</v>
      </c>
      <c r="B668" s="14" t="s">
        <v>192</v>
      </c>
      <c r="C668" s="14">
        <v>14</v>
      </c>
      <c r="D668" s="14">
        <v>0</v>
      </c>
      <c r="E668" s="14">
        <v>14</v>
      </c>
    </row>
    <row r="669" spans="1:5" x14ac:dyDescent="0.3">
      <c r="A669" s="14" t="s">
        <v>1</v>
      </c>
      <c r="B669" s="14" t="s">
        <v>233</v>
      </c>
      <c r="C669" s="14">
        <v>2</v>
      </c>
      <c r="D669" s="14">
        <v>0</v>
      </c>
      <c r="E669" s="14">
        <v>1</v>
      </c>
    </row>
    <row r="670" spans="1:5" x14ac:dyDescent="0.3">
      <c r="A670" s="14" t="s">
        <v>1</v>
      </c>
      <c r="B670" s="14" t="s">
        <v>234</v>
      </c>
      <c r="C670" s="14">
        <v>3</v>
      </c>
      <c r="D670" s="14">
        <v>0</v>
      </c>
      <c r="E670" s="14">
        <v>3</v>
      </c>
    </row>
    <row r="671" spans="1:5" x14ac:dyDescent="0.3">
      <c r="A671" s="14" t="s">
        <v>1</v>
      </c>
      <c r="B671" s="14" t="s">
        <v>2899</v>
      </c>
      <c r="C671" s="14">
        <v>1</v>
      </c>
      <c r="D671" s="14">
        <v>0</v>
      </c>
      <c r="E671" s="14">
        <v>1</v>
      </c>
    </row>
    <row r="672" spans="1:5" x14ac:dyDescent="0.3">
      <c r="A672" s="14" t="s">
        <v>1</v>
      </c>
      <c r="B672" s="14" t="s">
        <v>235</v>
      </c>
      <c r="C672" s="14">
        <v>2</v>
      </c>
      <c r="D672" s="14">
        <v>0</v>
      </c>
      <c r="E672" s="14">
        <v>2</v>
      </c>
    </row>
    <row r="673" spans="1:5" x14ac:dyDescent="0.3">
      <c r="A673" s="14" t="s">
        <v>1</v>
      </c>
      <c r="B673" s="14" t="s">
        <v>639</v>
      </c>
      <c r="C673" s="14">
        <v>2</v>
      </c>
      <c r="D673" s="14">
        <v>0</v>
      </c>
      <c r="E673" s="14">
        <v>2</v>
      </c>
    </row>
    <row r="674" spans="1:5" x14ac:dyDescent="0.3">
      <c r="A674" s="14" t="s">
        <v>1</v>
      </c>
      <c r="B674" s="14" t="s">
        <v>236</v>
      </c>
      <c r="C674" s="14">
        <v>4</v>
      </c>
      <c r="D674" s="14">
        <v>0</v>
      </c>
      <c r="E674" s="14">
        <v>6</v>
      </c>
    </row>
    <row r="675" spans="1:5" x14ac:dyDescent="0.3">
      <c r="A675" s="14" t="s">
        <v>1</v>
      </c>
      <c r="B675" s="14" t="s">
        <v>640</v>
      </c>
      <c r="C675" s="14">
        <v>4</v>
      </c>
      <c r="D675" s="14">
        <v>0</v>
      </c>
      <c r="E675" s="14">
        <v>5</v>
      </c>
    </row>
    <row r="676" spans="1:5" x14ac:dyDescent="0.3">
      <c r="A676" s="14" t="s">
        <v>1</v>
      </c>
      <c r="B676" s="14" t="s">
        <v>371</v>
      </c>
      <c r="C676" s="14">
        <v>3</v>
      </c>
      <c r="D676" s="14">
        <v>0</v>
      </c>
      <c r="E676" s="14">
        <v>8</v>
      </c>
    </row>
    <row r="677" spans="1:5" x14ac:dyDescent="0.3">
      <c r="A677" s="14" t="s">
        <v>1</v>
      </c>
      <c r="B677" s="14" t="s">
        <v>366</v>
      </c>
      <c r="C677" s="14">
        <v>3</v>
      </c>
      <c r="D677" s="14">
        <v>0</v>
      </c>
      <c r="E677" s="14">
        <v>5</v>
      </c>
    </row>
    <row r="678" spans="1:5" x14ac:dyDescent="0.3">
      <c r="A678" s="14" t="s">
        <v>1</v>
      </c>
      <c r="B678" s="14" t="s">
        <v>461</v>
      </c>
      <c r="C678" s="14">
        <v>4</v>
      </c>
      <c r="D678" s="14">
        <v>0</v>
      </c>
      <c r="E678" s="14">
        <v>5</v>
      </c>
    </row>
    <row r="679" spans="1:5" x14ac:dyDescent="0.3">
      <c r="A679" s="14" t="s">
        <v>1</v>
      </c>
      <c r="B679" s="14" t="s">
        <v>2442</v>
      </c>
      <c r="C679" s="14">
        <v>1</v>
      </c>
      <c r="D679" s="14">
        <v>0</v>
      </c>
      <c r="E679" s="14">
        <v>1</v>
      </c>
    </row>
    <row r="680" spans="1:5" x14ac:dyDescent="0.3">
      <c r="A680" s="14" t="s">
        <v>1</v>
      </c>
      <c r="B680" s="14" t="s">
        <v>2824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1</v>
      </c>
      <c r="B681" s="14" t="s">
        <v>2232</v>
      </c>
      <c r="C681" s="14">
        <v>1</v>
      </c>
      <c r="D681" s="14">
        <v>0</v>
      </c>
      <c r="E681" s="14">
        <v>1</v>
      </c>
    </row>
    <row r="682" spans="1:5" x14ac:dyDescent="0.3">
      <c r="A682" s="14" t="s">
        <v>1</v>
      </c>
      <c r="B682" s="14" t="s">
        <v>1589</v>
      </c>
      <c r="C682" s="14">
        <v>1</v>
      </c>
      <c r="D682" s="14">
        <v>0</v>
      </c>
      <c r="E682" s="14">
        <v>1</v>
      </c>
    </row>
    <row r="683" spans="1:5" x14ac:dyDescent="0.3">
      <c r="A683" s="14" t="s">
        <v>1</v>
      </c>
      <c r="B683" s="14" t="s">
        <v>2900</v>
      </c>
      <c r="C683" s="14">
        <v>1</v>
      </c>
      <c r="D683" s="14">
        <v>0</v>
      </c>
      <c r="E683" s="14">
        <v>1</v>
      </c>
    </row>
    <row r="684" spans="1:5" x14ac:dyDescent="0.3">
      <c r="A684" s="14" t="s">
        <v>1</v>
      </c>
      <c r="B684" s="14" t="s">
        <v>1662</v>
      </c>
      <c r="C684" s="14">
        <v>1</v>
      </c>
      <c r="D684" s="14">
        <v>0</v>
      </c>
      <c r="E684" s="14">
        <v>1</v>
      </c>
    </row>
    <row r="685" spans="1:5" x14ac:dyDescent="0.3">
      <c r="A685" s="14" t="s">
        <v>1</v>
      </c>
      <c r="B685" s="14" t="s">
        <v>2170</v>
      </c>
      <c r="C685" s="14">
        <v>0</v>
      </c>
      <c r="D685" s="14">
        <v>1</v>
      </c>
    </row>
    <row r="686" spans="1:5" x14ac:dyDescent="0.3">
      <c r="A686" s="14" t="s">
        <v>1</v>
      </c>
      <c r="B686" s="14" t="s">
        <v>720</v>
      </c>
      <c r="C686" s="14">
        <v>0</v>
      </c>
      <c r="D686" s="14">
        <v>1</v>
      </c>
    </row>
    <row r="687" spans="1:5" x14ac:dyDescent="0.3">
      <c r="A687" s="14" t="s">
        <v>1</v>
      </c>
      <c r="B687" s="14" t="s">
        <v>2901</v>
      </c>
      <c r="C687" s="14">
        <v>1</v>
      </c>
      <c r="D687" s="14">
        <v>0</v>
      </c>
      <c r="E687" s="14">
        <v>2</v>
      </c>
    </row>
    <row r="688" spans="1:5" x14ac:dyDescent="0.3">
      <c r="A688" s="14" t="s">
        <v>1</v>
      </c>
      <c r="B688" s="14" t="s">
        <v>2865</v>
      </c>
      <c r="C688" s="14">
        <v>1</v>
      </c>
      <c r="D688" s="14">
        <v>0</v>
      </c>
      <c r="E688" s="14">
        <v>2</v>
      </c>
    </row>
    <row r="689" spans="1:5" x14ac:dyDescent="0.3">
      <c r="A689" s="14" t="s">
        <v>1</v>
      </c>
      <c r="B689" s="14" t="s">
        <v>1321</v>
      </c>
      <c r="C689" s="14">
        <v>2</v>
      </c>
      <c r="D689" s="14">
        <v>0</v>
      </c>
      <c r="E689" s="14">
        <v>2</v>
      </c>
    </row>
    <row r="690" spans="1:5" x14ac:dyDescent="0.3">
      <c r="A690" s="14" t="s">
        <v>1</v>
      </c>
      <c r="B690" s="14" t="s">
        <v>1435</v>
      </c>
      <c r="C690" s="14">
        <v>1</v>
      </c>
      <c r="D690" s="14">
        <v>0</v>
      </c>
      <c r="E690" s="14">
        <v>1</v>
      </c>
    </row>
    <row r="691" spans="1:5" x14ac:dyDescent="0.3">
      <c r="A691" s="14" t="s">
        <v>1</v>
      </c>
      <c r="B691" s="14" t="s">
        <v>2349</v>
      </c>
      <c r="C691" s="14">
        <v>2</v>
      </c>
      <c r="D691" s="14">
        <v>0</v>
      </c>
      <c r="E691" s="14">
        <v>2</v>
      </c>
    </row>
    <row r="692" spans="1:5" x14ac:dyDescent="0.3">
      <c r="A692" s="14" t="s">
        <v>1</v>
      </c>
      <c r="B692" s="14" t="s">
        <v>2350</v>
      </c>
      <c r="C692" s="14">
        <v>3</v>
      </c>
      <c r="D692" s="14">
        <v>0</v>
      </c>
      <c r="E692" s="14">
        <v>3</v>
      </c>
    </row>
    <row r="693" spans="1:5" x14ac:dyDescent="0.3">
      <c r="A693" s="14" t="s">
        <v>1</v>
      </c>
      <c r="B693" s="14" t="s">
        <v>2351</v>
      </c>
      <c r="C693" s="14">
        <v>2</v>
      </c>
      <c r="D693" s="14">
        <v>0</v>
      </c>
      <c r="E693" s="14">
        <v>2</v>
      </c>
    </row>
    <row r="694" spans="1:5" x14ac:dyDescent="0.3">
      <c r="A694" s="14" t="s">
        <v>1</v>
      </c>
      <c r="B694" s="14" t="s">
        <v>2352</v>
      </c>
      <c r="C694" s="14">
        <v>2</v>
      </c>
      <c r="D694" s="14">
        <v>0</v>
      </c>
      <c r="E694" s="14">
        <v>3</v>
      </c>
    </row>
    <row r="695" spans="1:5" x14ac:dyDescent="0.3">
      <c r="A695" s="14" t="s">
        <v>1</v>
      </c>
      <c r="B695" s="14" t="s">
        <v>2353</v>
      </c>
      <c r="C695" s="14">
        <v>2</v>
      </c>
      <c r="D695" s="14">
        <v>0</v>
      </c>
      <c r="E695" s="14">
        <v>2</v>
      </c>
    </row>
    <row r="696" spans="1:5" x14ac:dyDescent="0.3">
      <c r="A696" s="14" t="s">
        <v>1</v>
      </c>
      <c r="B696" s="14" t="s">
        <v>2354</v>
      </c>
      <c r="C696" s="14">
        <v>3</v>
      </c>
      <c r="D696" s="14">
        <v>0</v>
      </c>
      <c r="E696" s="14">
        <v>3</v>
      </c>
    </row>
    <row r="697" spans="1:5" x14ac:dyDescent="0.3">
      <c r="A697" s="14" t="s">
        <v>1</v>
      </c>
      <c r="B697" s="14" t="s">
        <v>68</v>
      </c>
      <c r="C697" s="14">
        <v>1</v>
      </c>
      <c r="D697" s="14">
        <v>0</v>
      </c>
      <c r="E697" s="14">
        <v>1</v>
      </c>
    </row>
    <row r="698" spans="1:5" x14ac:dyDescent="0.3">
      <c r="A698" s="14" t="s">
        <v>1</v>
      </c>
      <c r="B698" s="14" t="s">
        <v>644</v>
      </c>
      <c r="C698" s="14">
        <v>1</v>
      </c>
      <c r="D698" s="14">
        <v>0</v>
      </c>
      <c r="E698" s="14">
        <v>1</v>
      </c>
    </row>
    <row r="699" spans="1:5" x14ac:dyDescent="0.3">
      <c r="A699" s="14" t="s">
        <v>0</v>
      </c>
      <c r="B699" s="14" t="s">
        <v>2008</v>
      </c>
      <c r="C699" s="14">
        <v>1</v>
      </c>
      <c r="D699" s="14">
        <v>0</v>
      </c>
      <c r="E699" s="14">
        <v>1</v>
      </c>
    </row>
    <row r="700" spans="1:5" x14ac:dyDescent="0.3">
      <c r="A700" s="14" t="s">
        <v>0</v>
      </c>
      <c r="B700" s="14" t="s">
        <v>470</v>
      </c>
      <c r="C700" s="14">
        <v>2</v>
      </c>
      <c r="D700" s="14">
        <v>0</v>
      </c>
      <c r="E700" s="14">
        <v>2</v>
      </c>
    </row>
    <row r="701" spans="1:5" x14ac:dyDescent="0.3">
      <c r="A701" s="14" t="s">
        <v>0</v>
      </c>
      <c r="B701" s="14" t="s">
        <v>589</v>
      </c>
      <c r="C701" s="14">
        <v>1</v>
      </c>
      <c r="D701" s="14">
        <v>0</v>
      </c>
      <c r="E701" s="14">
        <v>1</v>
      </c>
    </row>
    <row r="702" spans="1:5" x14ac:dyDescent="0.3">
      <c r="A702" s="14" t="s">
        <v>0</v>
      </c>
      <c r="B702" s="14" t="s">
        <v>347</v>
      </c>
      <c r="C702" s="14">
        <v>1</v>
      </c>
      <c r="D702" s="14">
        <v>0</v>
      </c>
      <c r="E702" s="14">
        <v>1</v>
      </c>
    </row>
    <row r="703" spans="1:5" x14ac:dyDescent="0.3">
      <c r="A703" s="14" t="s">
        <v>0</v>
      </c>
      <c r="B703" s="14" t="s">
        <v>886</v>
      </c>
      <c r="C703" s="14">
        <v>1</v>
      </c>
      <c r="D703" s="14">
        <v>0</v>
      </c>
      <c r="E703" s="14">
        <v>1</v>
      </c>
    </row>
    <row r="704" spans="1:5" x14ac:dyDescent="0.3">
      <c r="A704" s="14" t="s">
        <v>0</v>
      </c>
      <c r="B704" s="14" t="s">
        <v>1553</v>
      </c>
      <c r="C704" s="14">
        <v>1</v>
      </c>
      <c r="D704" s="14">
        <v>0</v>
      </c>
      <c r="E704" s="14">
        <v>1</v>
      </c>
    </row>
    <row r="705" spans="1:5" x14ac:dyDescent="0.3">
      <c r="A705" s="14" t="s">
        <v>0</v>
      </c>
      <c r="B705" s="14" t="s">
        <v>1881</v>
      </c>
      <c r="C705" s="14">
        <v>2</v>
      </c>
      <c r="D705" s="14">
        <v>0</v>
      </c>
      <c r="E705" s="14">
        <v>2</v>
      </c>
    </row>
    <row r="706" spans="1:5" x14ac:dyDescent="0.3">
      <c r="A706" s="14" t="s">
        <v>0</v>
      </c>
      <c r="B706" s="14" t="s">
        <v>1884</v>
      </c>
      <c r="C706" s="14">
        <v>1</v>
      </c>
      <c r="D706" s="14">
        <v>0</v>
      </c>
      <c r="E706" s="14">
        <v>1</v>
      </c>
    </row>
    <row r="707" spans="1:5" x14ac:dyDescent="0.3">
      <c r="A707" s="14" t="s">
        <v>0</v>
      </c>
      <c r="B707" s="14" t="s">
        <v>2677</v>
      </c>
      <c r="C707" s="14">
        <v>1</v>
      </c>
      <c r="D707" s="14">
        <v>0</v>
      </c>
      <c r="E707" s="14">
        <v>1</v>
      </c>
    </row>
    <row r="708" spans="1:5" x14ac:dyDescent="0.3">
      <c r="A708" s="14" t="s">
        <v>0</v>
      </c>
      <c r="B708" s="14" t="s">
        <v>2735</v>
      </c>
      <c r="C708" s="14">
        <v>2</v>
      </c>
      <c r="D708" s="14">
        <v>0</v>
      </c>
      <c r="E708" s="14">
        <v>2</v>
      </c>
    </row>
    <row r="709" spans="1:5" x14ac:dyDescent="0.3">
      <c r="A709" s="14" t="s">
        <v>0</v>
      </c>
      <c r="B709" s="14" t="s">
        <v>1889</v>
      </c>
      <c r="C709" s="14">
        <v>1</v>
      </c>
      <c r="D709" s="14">
        <v>0</v>
      </c>
      <c r="E709" s="14">
        <v>1</v>
      </c>
    </row>
    <row r="710" spans="1:5" x14ac:dyDescent="0.3">
      <c r="A710" s="14" t="s">
        <v>0</v>
      </c>
      <c r="B710" s="14" t="s">
        <v>1176</v>
      </c>
      <c r="C710" s="14">
        <v>1</v>
      </c>
      <c r="D710" s="14">
        <v>0</v>
      </c>
      <c r="E710" s="14">
        <v>1</v>
      </c>
    </row>
    <row r="711" spans="1:5" x14ac:dyDescent="0.3">
      <c r="A711" s="14" t="s">
        <v>0</v>
      </c>
      <c r="B711" s="14" t="s">
        <v>763</v>
      </c>
      <c r="C711" s="14">
        <v>1</v>
      </c>
      <c r="D711" s="14">
        <v>0</v>
      </c>
      <c r="E711" s="14">
        <v>1</v>
      </c>
    </row>
    <row r="712" spans="1:5" x14ac:dyDescent="0.3">
      <c r="A712" s="14" t="s">
        <v>0</v>
      </c>
      <c r="B712" s="14" t="s">
        <v>394</v>
      </c>
      <c r="C712" s="14">
        <v>1</v>
      </c>
      <c r="D712" s="14">
        <v>0</v>
      </c>
      <c r="E712" s="14">
        <v>1</v>
      </c>
    </row>
    <row r="713" spans="1:5" x14ac:dyDescent="0.3">
      <c r="A713" s="14" t="s">
        <v>0</v>
      </c>
      <c r="B713" s="14" t="s">
        <v>111</v>
      </c>
      <c r="C713" s="14">
        <v>1</v>
      </c>
      <c r="D713" s="14">
        <v>0</v>
      </c>
      <c r="E713" s="14">
        <v>1</v>
      </c>
    </row>
    <row r="714" spans="1:5" x14ac:dyDescent="0.3">
      <c r="A714" s="14" t="s">
        <v>0</v>
      </c>
      <c r="B714" s="14" t="s">
        <v>1410</v>
      </c>
      <c r="C714" s="14">
        <v>1</v>
      </c>
      <c r="D714" s="14">
        <v>0</v>
      </c>
      <c r="E714" s="14">
        <v>1</v>
      </c>
    </row>
    <row r="715" spans="1:5" x14ac:dyDescent="0.3">
      <c r="A715" s="14" t="s">
        <v>0</v>
      </c>
      <c r="B715" s="14" t="s">
        <v>737</v>
      </c>
      <c r="C715" s="14">
        <v>1</v>
      </c>
      <c r="D715" s="14">
        <v>0</v>
      </c>
      <c r="E715" s="14">
        <v>3</v>
      </c>
    </row>
    <row r="716" spans="1:5" x14ac:dyDescent="0.3">
      <c r="A716" s="14" t="s">
        <v>0</v>
      </c>
      <c r="B716" s="14" t="s">
        <v>572</v>
      </c>
      <c r="C716" s="14">
        <v>1</v>
      </c>
      <c r="D716" s="14">
        <v>0</v>
      </c>
      <c r="E716" s="14">
        <v>2</v>
      </c>
    </row>
    <row r="717" spans="1:5" x14ac:dyDescent="0.3">
      <c r="A717" s="14" t="s">
        <v>0</v>
      </c>
      <c r="B717" s="14" t="s">
        <v>1215</v>
      </c>
      <c r="C717" s="14">
        <v>1</v>
      </c>
      <c r="D717" s="14">
        <v>0</v>
      </c>
      <c r="E717" s="14">
        <v>1</v>
      </c>
    </row>
    <row r="718" spans="1:5" x14ac:dyDescent="0.3">
      <c r="A718" s="14" t="s">
        <v>0</v>
      </c>
      <c r="B718" s="14" t="s">
        <v>774</v>
      </c>
      <c r="C718" s="14">
        <v>1</v>
      </c>
      <c r="D718" s="14">
        <v>0</v>
      </c>
      <c r="E718" s="14">
        <v>1</v>
      </c>
    </row>
    <row r="719" spans="1:5" x14ac:dyDescent="0.3">
      <c r="A719" s="14" t="s">
        <v>0</v>
      </c>
      <c r="B719" s="14" t="s">
        <v>63</v>
      </c>
      <c r="C719" s="14">
        <v>1</v>
      </c>
      <c r="D719" s="14">
        <v>0</v>
      </c>
      <c r="E719" s="14">
        <v>1</v>
      </c>
    </row>
    <row r="720" spans="1:5" x14ac:dyDescent="0.3">
      <c r="A720" s="14" t="s">
        <v>0</v>
      </c>
      <c r="B720" s="14" t="s">
        <v>1987</v>
      </c>
      <c r="C720" s="14">
        <v>1</v>
      </c>
      <c r="D720" s="14">
        <v>0</v>
      </c>
      <c r="E720" s="14">
        <v>1</v>
      </c>
    </row>
    <row r="721" spans="1:5" x14ac:dyDescent="0.3">
      <c r="A721" s="14" t="s">
        <v>0</v>
      </c>
      <c r="B721" s="14" t="s">
        <v>53</v>
      </c>
      <c r="C721" s="14">
        <v>1</v>
      </c>
      <c r="D721" s="14">
        <v>0</v>
      </c>
      <c r="E721" s="14">
        <v>1</v>
      </c>
    </row>
    <row r="722" spans="1:5" x14ac:dyDescent="0.3">
      <c r="A722" s="14" t="s">
        <v>0</v>
      </c>
      <c r="B722" s="14" t="s">
        <v>784</v>
      </c>
      <c r="C722" s="14">
        <v>1</v>
      </c>
      <c r="D722" s="14">
        <v>0</v>
      </c>
      <c r="E722" s="14">
        <v>2</v>
      </c>
    </row>
    <row r="723" spans="1:5" x14ac:dyDescent="0.3">
      <c r="A723" s="14" t="s">
        <v>0</v>
      </c>
      <c r="B723" s="14" t="s">
        <v>191</v>
      </c>
      <c r="C723" s="14">
        <v>2</v>
      </c>
      <c r="D723" s="14">
        <v>0</v>
      </c>
      <c r="E723" s="14">
        <v>3</v>
      </c>
    </row>
    <row r="724" spans="1:5" x14ac:dyDescent="0.3">
      <c r="A724" s="14" t="s">
        <v>0</v>
      </c>
      <c r="B724" s="14" t="s">
        <v>235</v>
      </c>
      <c r="C724" s="14">
        <v>1</v>
      </c>
      <c r="D724" s="14">
        <v>0</v>
      </c>
      <c r="E724" s="14">
        <v>3</v>
      </c>
    </row>
    <row r="725" spans="1:5" x14ac:dyDescent="0.3">
      <c r="A725" s="14" t="s">
        <v>0</v>
      </c>
      <c r="B725" s="14" t="s">
        <v>236</v>
      </c>
      <c r="C725" s="14">
        <v>2</v>
      </c>
      <c r="D725" s="14">
        <v>0</v>
      </c>
      <c r="E725" s="14">
        <v>7</v>
      </c>
    </row>
    <row r="726" spans="1:5" x14ac:dyDescent="0.3">
      <c r="A726" s="14" t="s">
        <v>0</v>
      </c>
      <c r="B726" s="14" t="s">
        <v>2902</v>
      </c>
      <c r="C726" s="14">
        <v>1</v>
      </c>
      <c r="D726" s="14">
        <v>0</v>
      </c>
      <c r="E726" s="14">
        <v>1</v>
      </c>
    </row>
    <row r="727" spans="1:5" x14ac:dyDescent="0.3">
      <c r="A727" s="14" t="s">
        <v>0</v>
      </c>
      <c r="B727" s="14" t="s">
        <v>2837</v>
      </c>
      <c r="C727" s="14">
        <v>0</v>
      </c>
      <c r="D727" s="14">
        <v>3</v>
      </c>
    </row>
    <row r="728" spans="1:5" x14ac:dyDescent="0.3">
      <c r="A728" s="14" t="s">
        <v>2</v>
      </c>
      <c r="B728" s="14" t="s">
        <v>2203</v>
      </c>
      <c r="C728" s="14">
        <v>1</v>
      </c>
      <c r="D728" s="14">
        <v>0</v>
      </c>
      <c r="E728" s="14">
        <v>1</v>
      </c>
    </row>
    <row r="729" spans="1:5" x14ac:dyDescent="0.3">
      <c r="A729" s="14" t="s">
        <v>2</v>
      </c>
      <c r="B729" s="14" t="s">
        <v>1095</v>
      </c>
      <c r="C729" s="14">
        <v>1</v>
      </c>
      <c r="D729" s="14">
        <v>0</v>
      </c>
      <c r="E729" s="14">
        <v>1</v>
      </c>
    </row>
    <row r="730" spans="1:5" x14ac:dyDescent="0.3">
      <c r="A730" s="14" t="s">
        <v>2</v>
      </c>
      <c r="B730" s="14" t="s">
        <v>694</v>
      </c>
      <c r="C730" s="14">
        <v>1</v>
      </c>
      <c r="D730" s="14">
        <v>0</v>
      </c>
      <c r="E730" s="14">
        <v>1</v>
      </c>
    </row>
    <row r="731" spans="1:5" x14ac:dyDescent="0.3">
      <c r="A731" s="14" t="s">
        <v>2</v>
      </c>
      <c r="B731" s="14" t="s">
        <v>668</v>
      </c>
      <c r="C731" s="14">
        <v>1</v>
      </c>
      <c r="D731" s="14">
        <v>0</v>
      </c>
      <c r="E731" s="14">
        <v>1</v>
      </c>
    </row>
    <row r="732" spans="1:5" x14ac:dyDescent="0.3">
      <c r="A732" s="14" t="s">
        <v>2</v>
      </c>
      <c r="B732" s="14" t="s">
        <v>845</v>
      </c>
      <c r="C732" s="14">
        <v>1</v>
      </c>
      <c r="D732" s="14">
        <v>0</v>
      </c>
      <c r="E732" s="14">
        <v>1</v>
      </c>
    </row>
    <row r="733" spans="1:5" x14ac:dyDescent="0.3">
      <c r="A733" s="14" t="s">
        <v>2</v>
      </c>
      <c r="B733" s="14" t="s">
        <v>231</v>
      </c>
      <c r="C733" s="14">
        <v>1</v>
      </c>
      <c r="D733" s="14">
        <v>0</v>
      </c>
      <c r="E733" s="14">
        <v>2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F54C5-FD1D-47C9-B599-A602BB66146F}">
  <sheetPr codeName="Sheet59"/>
  <dimension ref="A1:M740"/>
  <sheetViews>
    <sheetView workbookViewId="0">
      <selection activeCell="A2" sqref="A2:E740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58</v>
      </c>
      <c r="D2" s="13">
        <v>48</v>
      </c>
      <c r="E2" s="13">
        <v>69</v>
      </c>
    </row>
    <row r="3" spans="1:13" customFormat="1" x14ac:dyDescent="0.3">
      <c r="A3" s="13" t="s">
        <v>1</v>
      </c>
      <c r="B3" s="13" t="s">
        <v>30</v>
      </c>
      <c r="C3" s="13">
        <v>92</v>
      </c>
      <c r="D3" s="13">
        <v>40</v>
      </c>
      <c r="E3" s="13">
        <v>154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2869</v>
      </c>
      <c r="C4" s="13">
        <v>48</v>
      </c>
      <c r="D4" s="13">
        <v>22</v>
      </c>
      <c r="E4" s="13">
        <v>50</v>
      </c>
      <c r="G4" s="19" t="s">
        <v>8</v>
      </c>
      <c r="H4" s="15">
        <f>H13+H14</f>
        <v>1158</v>
      </c>
      <c r="I4" s="16">
        <f>H4/H$6</f>
        <v>0.73244781783681212</v>
      </c>
      <c r="J4" s="15">
        <f>I13+I14</f>
        <v>645</v>
      </c>
      <c r="K4" s="16">
        <f>J4/J$6</f>
        <v>0.65151515151515149</v>
      </c>
      <c r="L4" s="15">
        <f>J13+J14</f>
        <v>1661</v>
      </c>
      <c r="M4" s="25">
        <f>L4/L$6</f>
        <v>0.77148165350673481</v>
      </c>
    </row>
    <row r="5" spans="1:13" customFormat="1" x14ac:dyDescent="0.3">
      <c r="A5" s="13" t="s">
        <v>0</v>
      </c>
      <c r="B5" s="13" t="s">
        <v>29</v>
      </c>
      <c r="C5" s="13">
        <v>21</v>
      </c>
      <c r="D5" s="13">
        <v>21</v>
      </c>
      <c r="E5" s="13">
        <v>27</v>
      </c>
      <c r="G5" s="19" t="s">
        <v>10</v>
      </c>
      <c r="H5" s="15">
        <f>H15+H16</f>
        <v>423</v>
      </c>
      <c r="I5" s="16">
        <f>H5/H$6</f>
        <v>0.26755218216318788</v>
      </c>
      <c r="J5" s="15">
        <f>I15+I16</f>
        <v>345</v>
      </c>
      <c r="K5" s="16">
        <f>J5/J$6</f>
        <v>0.34848484848484851</v>
      </c>
      <c r="L5" s="15">
        <f>J15+J16</f>
        <v>492</v>
      </c>
      <c r="M5" s="25">
        <f>L5/L$6</f>
        <v>0.22851834649326522</v>
      </c>
    </row>
    <row r="6" spans="1:13" customFormat="1" ht="17.25" thickBot="1" x14ac:dyDescent="0.35">
      <c r="A6" s="13" t="s">
        <v>1</v>
      </c>
      <c r="B6" s="13" t="s">
        <v>354</v>
      </c>
      <c r="C6" s="13">
        <v>26</v>
      </c>
      <c r="D6" s="13">
        <v>16</v>
      </c>
      <c r="E6" s="13">
        <v>23</v>
      </c>
      <c r="G6" s="22"/>
      <c r="H6" s="26">
        <f>SUM(H4:H5)</f>
        <v>1581</v>
      </c>
      <c r="I6" s="27">
        <f>I4+I5</f>
        <v>1</v>
      </c>
      <c r="J6" s="26">
        <f>SUM(J4:J5)</f>
        <v>990</v>
      </c>
      <c r="K6" s="27">
        <f>K4+K5</f>
        <v>1</v>
      </c>
      <c r="L6" s="26">
        <f>SUM(L4:L5)</f>
        <v>2153</v>
      </c>
      <c r="M6" s="28">
        <f>M4+M5</f>
        <v>1</v>
      </c>
    </row>
    <row r="7" spans="1:13" customFormat="1" x14ac:dyDescent="0.3">
      <c r="A7" s="13" t="s">
        <v>1</v>
      </c>
      <c r="B7" s="13" t="s">
        <v>1948</v>
      </c>
      <c r="C7" s="13">
        <v>17</v>
      </c>
      <c r="D7" s="13">
        <v>13</v>
      </c>
      <c r="E7" s="13">
        <v>19</v>
      </c>
    </row>
    <row r="8" spans="1:13" customFormat="1" x14ac:dyDescent="0.3">
      <c r="A8" s="13" t="s">
        <v>1</v>
      </c>
      <c r="B8" s="13" t="s">
        <v>120</v>
      </c>
      <c r="C8" s="13">
        <v>13</v>
      </c>
      <c r="D8" s="13">
        <v>12</v>
      </c>
      <c r="E8" s="13">
        <v>14</v>
      </c>
    </row>
    <row r="9" spans="1:13" customFormat="1" x14ac:dyDescent="0.3">
      <c r="A9" s="13" t="s">
        <v>0</v>
      </c>
      <c r="B9" s="13" t="s">
        <v>31</v>
      </c>
      <c r="C9" s="13">
        <v>12</v>
      </c>
      <c r="D9" s="13">
        <v>12</v>
      </c>
      <c r="E9" s="13">
        <v>12</v>
      </c>
    </row>
    <row r="10" spans="1:13" customFormat="1" ht="17.25" thickBot="1" x14ac:dyDescent="0.35">
      <c r="A10" s="13" t="s">
        <v>1</v>
      </c>
      <c r="B10" s="13" t="s">
        <v>1988</v>
      </c>
      <c r="C10" s="13">
        <v>19</v>
      </c>
      <c r="D10" s="13">
        <v>11</v>
      </c>
      <c r="E10" s="13">
        <v>21</v>
      </c>
    </row>
    <row r="11" spans="1:13" x14ac:dyDescent="0.3">
      <c r="A11" s="13" t="s">
        <v>1</v>
      </c>
      <c r="B11" s="13" t="s">
        <v>145</v>
      </c>
      <c r="C11" s="13">
        <v>9</v>
      </c>
      <c r="D11" s="13">
        <v>9</v>
      </c>
      <c r="E11" s="13">
        <v>9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61</v>
      </c>
      <c r="C12" s="13">
        <v>10</v>
      </c>
      <c r="D12" s="13">
        <v>9</v>
      </c>
      <c r="E12" s="13">
        <v>12</v>
      </c>
      <c r="G12" s="19"/>
      <c r="H12" s="17">
        <f t="shared" ref="H12:J12" si="0">SUM(H13:H16)</f>
        <v>1581</v>
      </c>
      <c r="I12" s="17">
        <f t="shared" si="0"/>
        <v>990</v>
      </c>
      <c r="J12" s="20">
        <f t="shared" si="0"/>
        <v>2153</v>
      </c>
    </row>
    <row r="13" spans="1:13" x14ac:dyDescent="0.3">
      <c r="A13" s="13" t="s">
        <v>1</v>
      </c>
      <c r="B13" s="13" t="s">
        <v>37</v>
      </c>
      <c r="C13" s="13">
        <v>12</v>
      </c>
      <c r="D13" s="13">
        <v>9</v>
      </c>
      <c r="E13" s="13">
        <v>12</v>
      </c>
      <c r="G13" s="19" t="s">
        <v>7</v>
      </c>
      <c r="H13" s="18">
        <f t="shared" ref="H13:J16" si="1">SUMIF($A$2:$A$9999,$G13,C$2:C$9999)</f>
        <v>1158</v>
      </c>
      <c r="I13" s="18">
        <f t="shared" si="1"/>
        <v>645</v>
      </c>
      <c r="J13" s="21">
        <f t="shared" si="1"/>
        <v>1661</v>
      </c>
    </row>
    <row r="14" spans="1:13" x14ac:dyDescent="0.3">
      <c r="A14" s="13" t="s">
        <v>0</v>
      </c>
      <c r="B14" s="13" t="s">
        <v>1948</v>
      </c>
      <c r="C14" s="13">
        <v>10</v>
      </c>
      <c r="D14" s="13">
        <v>9</v>
      </c>
      <c r="E14" s="13">
        <v>11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0</v>
      </c>
      <c r="B15" s="13" t="s">
        <v>120</v>
      </c>
      <c r="C15" s="13">
        <v>8</v>
      </c>
      <c r="D15" s="13">
        <v>8</v>
      </c>
      <c r="E15" s="13">
        <v>8</v>
      </c>
      <c r="G15" s="19" t="s">
        <v>11</v>
      </c>
      <c r="H15" s="18">
        <f t="shared" si="1"/>
        <v>379</v>
      </c>
      <c r="I15" s="18">
        <f t="shared" si="1"/>
        <v>310</v>
      </c>
      <c r="J15" s="21">
        <f t="shared" si="1"/>
        <v>439</v>
      </c>
    </row>
    <row r="16" spans="1:13" ht="17.25" thickBot="1" x14ac:dyDescent="0.35">
      <c r="A16" s="13" t="s">
        <v>1</v>
      </c>
      <c r="B16" s="13" t="s">
        <v>94</v>
      </c>
      <c r="C16" s="13">
        <v>10</v>
      </c>
      <c r="D16" s="13">
        <v>7</v>
      </c>
      <c r="E16" s="13">
        <v>10</v>
      </c>
      <c r="G16" s="22" t="s">
        <v>12</v>
      </c>
      <c r="H16" s="23">
        <f t="shared" si="1"/>
        <v>44</v>
      </c>
      <c r="I16" s="23">
        <f t="shared" si="1"/>
        <v>35</v>
      </c>
      <c r="J16" s="24">
        <f t="shared" si="1"/>
        <v>53</v>
      </c>
    </row>
    <row r="17" spans="1:5" x14ac:dyDescent="0.3">
      <c r="A17" s="13" t="s">
        <v>1</v>
      </c>
      <c r="B17" s="13" t="s">
        <v>1741</v>
      </c>
      <c r="C17" s="13">
        <v>8</v>
      </c>
      <c r="D17" s="13">
        <v>7</v>
      </c>
      <c r="E17" s="13">
        <v>8</v>
      </c>
    </row>
    <row r="18" spans="1:5" x14ac:dyDescent="0.3">
      <c r="A18" s="13" t="s">
        <v>1</v>
      </c>
      <c r="B18" s="13" t="s">
        <v>51</v>
      </c>
      <c r="C18" s="13">
        <v>9</v>
      </c>
      <c r="D18" s="13">
        <v>7</v>
      </c>
      <c r="E18" s="13">
        <v>11</v>
      </c>
    </row>
    <row r="19" spans="1:5" x14ac:dyDescent="0.3">
      <c r="A19" s="13" t="s">
        <v>1</v>
      </c>
      <c r="B19" s="13" t="s">
        <v>48</v>
      </c>
      <c r="C19" s="13">
        <v>10</v>
      </c>
      <c r="D19" s="13">
        <v>6</v>
      </c>
      <c r="E19" s="13">
        <v>9</v>
      </c>
    </row>
    <row r="20" spans="1:5" x14ac:dyDescent="0.3">
      <c r="A20" s="13" t="s">
        <v>1</v>
      </c>
      <c r="B20" s="13" t="s">
        <v>63</v>
      </c>
      <c r="C20" s="13">
        <v>6</v>
      </c>
      <c r="D20" s="13">
        <v>6</v>
      </c>
      <c r="E20" s="13">
        <v>7</v>
      </c>
    </row>
    <row r="21" spans="1:5" x14ac:dyDescent="0.3">
      <c r="A21" s="13" t="s">
        <v>0</v>
      </c>
      <c r="B21" s="13" t="s">
        <v>30</v>
      </c>
      <c r="C21" s="13">
        <v>14</v>
      </c>
      <c r="D21" s="13">
        <v>6</v>
      </c>
      <c r="E21" s="13">
        <v>21</v>
      </c>
    </row>
    <row r="22" spans="1:5" x14ac:dyDescent="0.3">
      <c r="A22" s="13" t="s">
        <v>0</v>
      </c>
      <c r="B22" s="13" t="s">
        <v>1741</v>
      </c>
      <c r="C22" s="13">
        <v>6</v>
      </c>
      <c r="D22" s="13">
        <v>6</v>
      </c>
      <c r="E22" s="13">
        <v>6</v>
      </c>
    </row>
    <row r="23" spans="1:5" x14ac:dyDescent="0.3">
      <c r="A23" s="13" t="s">
        <v>0</v>
      </c>
      <c r="B23" s="13" t="s">
        <v>37</v>
      </c>
      <c r="C23" s="13">
        <v>6</v>
      </c>
      <c r="D23" s="13">
        <v>6</v>
      </c>
      <c r="E23" s="13">
        <v>6</v>
      </c>
    </row>
    <row r="24" spans="1:5" x14ac:dyDescent="0.3">
      <c r="A24" s="13" t="s">
        <v>1</v>
      </c>
      <c r="B24" s="13" t="s">
        <v>151</v>
      </c>
      <c r="C24" s="13">
        <v>8</v>
      </c>
      <c r="D24" s="13">
        <v>5</v>
      </c>
      <c r="E24" s="13">
        <v>8</v>
      </c>
    </row>
    <row r="25" spans="1:5" x14ac:dyDescent="0.3">
      <c r="A25" s="13" t="s">
        <v>1</v>
      </c>
      <c r="B25" s="13" t="s">
        <v>1663</v>
      </c>
      <c r="C25" s="13">
        <v>11</v>
      </c>
      <c r="D25" s="13">
        <v>5</v>
      </c>
      <c r="E25" s="13">
        <v>11</v>
      </c>
    </row>
    <row r="26" spans="1:5" x14ac:dyDescent="0.3">
      <c r="A26" s="13" t="s">
        <v>1</v>
      </c>
      <c r="B26" s="13" t="s">
        <v>1885</v>
      </c>
      <c r="C26" s="13">
        <v>6</v>
      </c>
      <c r="D26" s="13">
        <v>5</v>
      </c>
      <c r="E26" s="13">
        <v>7</v>
      </c>
    </row>
    <row r="27" spans="1:5" x14ac:dyDescent="0.3">
      <c r="A27" s="13" t="s">
        <v>1</v>
      </c>
      <c r="B27" s="13" t="s">
        <v>2093</v>
      </c>
      <c r="C27" s="13">
        <v>6</v>
      </c>
      <c r="D27" s="13">
        <v>5</v>
      </c>
      <c r="E27" s="13">
        <v>6</v>
      </c>
    </row>
    <row r="28" spans="1:5" x14ac:dyDescent="0.3">
      <c r="A28" s="13" t="s">
        <v>1</v>
      </c>
      <c r="B28" s="13" t="s">
        <v>195</v>
      </c>
      <c r="C28" s="13">
        <v>7</v>
      </c>
      <c r="D28" s="13">
        <v>5</v>
      </c>
      <c r="E28" s="13">
        <v>9</v>
      </c>
    </row>
    <row r="29" spans="1:5" x14ac:dyDescent="0.3">
      <c r="A29" s="13" t="s">
        <v>1</v>
      </c>
      <c r="B29" s="13" t="s">
        <v>32</v>
      </c>
      <c r="C29" s="13">
        <v>10</v>
      </c>
      <c r="D29" s="13">
        <v>5</v>
      </c>
      <c r="E29" s="13">
        <v>282</v>
      </c>
    </row>
    <row r="30" spans="1:5" x14ac:dyDescent="0.3">
      <c r="A30" s="13" t="s">
        <v>0</v>
      </c>
      <c r="B30" s="13" t="s">
        <v>60</v>
      </c>
      <c r="C30" s="13">
        <v>5</v>
      </c>
      <c r="D30" s="13">
        <v>5</v>
      </c>
      <c r="E30" s="13">
        <v>5</v>
      </c>
    </row>
    <row r="31" spans="1:5" x14ac:dyDescent="0.3">
      <c r="A31" s="13" t="s">
        <v>0</v>
      </c>
      <c r="B31" s="13" t="s">
        <v>2203</v>
      </c>
      <c r="C31" s="13">
        <v>6</v>
      </c>
      <c r="D31" s="13">
        <v>5</v>
      </c>
      <c r="E31" s="13">
        <v>7</v>
      </c>
    </row>
    <row r="32" spans="1:5" x14ac:dyDescent="0.3">
      <c r="A32" s="13" t="s">
        <v>0</v>
      </c>
      <c r="B32" s="13" t="s">
        <v>2869</v>
      </c>
      <c r="C32" s="13">
        <v>6</v>
      </c>
      <c r="D32" s="13">
        <v>5</v>
      </c>
      <c r="E32" s="13">
        <v>6</v>
      </c>
    </row>
    <row r="33" spans="1:5" x14ac:dyDescent="0.3">
      <c r="A33" s="13" t="s">
        <v>0</v>
      </c>
      <c r="B33" s="13" t="s">
        <v>182</v>
      </c>
      <c r="C33" s="13">
        <v>5</v>
      </c>
      <c r="D33" s="13">
        <v>5</v>
      </c>
      <c r="E33" s="13">
        <v>9</v>
      </c>
    </row>
    <row r="34" spans="1:5" x14ac:dyDescent="0.3">
      <c r="A34" s="13" t="s">
        <v>0</v>
      </c>
      <c r="B34" s="13" t="s">
        <v>39</v>
      </c>
      <c r="C34" s="13">
        <v>6</v>
      </c>
      <c r="D34" s="13">
        <v>5</v>
      </c>
      <c r="E34" s="13">
        <v>7</v>
      </c>
    </row>
    <row r="35" spans="1:5" x14ac:dyDescent="0.3">
      <c r="A35" s="13" t="s">
        <v>1</v>
      </c>
      <c r="B35" s="13" t="s">
        <v>1882</v>
      </c>
      <c r="C35" s="13">
        <v>4</v>
      </c>
      <c r="D35" s="13">
        <v>4</v>
      </c>
      <c r="E35" s="13">
        <v>4</v>
      </c>
    </row>
    <row r="36" spans="1:5" x14ac:dyDescent="0.3">
      <c r="A36" s="13" t="s">
        <v>1</v>
      </c>
      <c r="B36" s="13" t="s">
        <v>2203</v>
      </c>
      <c r="C36" s="13">
        <v>9</v>
      </c>
      <c r="D36" s="13">
        <v>4</v>
      </c>
      <c r="E36" s="13">
        <v>8</v>
      </c>
    </row>
    <row r="37" spans="1:5" x14ac:dyDescent="0.3">
      <c r="A37" s="13" t="s">
        <v>1</v>
      </c>
      <c r="B37" s="13" t="s">
        <v>476</v>
      </c>
      <c r="C37" s="13">
        <v>4</v>
      </c>
      <c r="D37" s="13">
        <v>4</v>
      </c>
      <c r="E37" s="13">
        <v>4</v>
      </c>
    </row>
    <row r="38" spans="1:5" x14ac:dyDescent="0.3">
      <c r="A38" s="13" t="s">
        <v>1</v>
      </c>
      <c r="B38" s="13" t="s">
        <v>29</v>
      </c>
      <c r="C38" s="13">
        <v>4</v>
      </c>
      <c r="D38" s="13">
        <v>4</v>
      </c>
      <c r="E38" s="13">
        <v>4</v>
      </c>
    </row>
    <row r="39" spans="1:5" x14ac:dyDescent="0.3">
      <c r="A39" s="13" t="s">
        <v>1</v>
      </c>
      <c r="B39" s="13" t="s">
        <v>123</v>
      </c>
      <c r="C39" s="13">
        <v>4</v>
      </c>
      <c r="D39" s="13">
        <v>4</v>
      </c>
      <c r="E39" s="13">
        <v>5</v>
      </c>
    </row>
    <row r="40" spans="1:5" x14ac:dyDescent="0.3">
      <c r="A40" s="13" t="s">
        <v>0</v>
      </c>
      <c r="B40" s="13" t="s">
        <v>474</v>
      </c>
      <c r="C40" s="13">
        <v>4</v>
      </c>
      <c r="D40" s="13">
        <v>4</v>
      </c>
      <c r="E40" s="13">
        <v>4</v>
      </c>
    </row>
    <row r="41" spans="1:5" x14ac:dyDescent="0.3">
      <c r="A41" s="13" t="s">
        <v>0</v>
      </c>
      <c r="B41" s="13" t="s">
        <v>354</v>
      </c>
      <c r="C41" s="13">
        <v>4</v>
      </c>
      <c r="D41" s="13">
        <v>4</v>
      </c>
      <c r="E41" s="13">
        <v>5</v>
      </c>
    </row>
    <row r="42" spans="1:5" x14ac:dyDescent="0.3">
      <c r="A42" s="13" t="s">
        <v>0</v>
      </c>
      <c r="B42" s="13" t="s">
        <v>61</v>
      </c>
      <c r="C42" s="13">
        <v>4</v>
      </c>
      <c r="D42" s="13">
        <v>4</v>
      </c>
      <c r="E42" s="13">
        <v>5</v>
      </c>
    </row>
    <row r="43" spans="1:5" x14ac:dyDescent="0.3">
      <c r="A43" s="13" t="s">
        <v>0</v>
      </c>
      <c r="B43" s="13" t="s">
        <v>94</v>
      </c>
      <c r="C43" s="13">
        <v>5</v>
      </c>
      <c r="D43" s="13">
        <v>4</v>
      </c>
      <c r="E43" s="13">
        <v>5</v>
      </c>
    </row>
    <row r="44" spans="1:5" x14ac:dyDescent="0.3">
      <c r="A44" s="13" t="s">
        <v>0</v>
      </c>
      <c r="B44" s="13" t="s">
        <v>1663</v>
      </c>
      <c r="C44" s="13">
        <v>4</v>
      </c>
      <c r="D44" s="13">
        <v>4</v>
      </c>
      <c r="E44" s="13">
        <v>4</v>
      </c>
    </row>
    <row r="45" spans="1:5" x14ac:dyDescent="0.3">
      <c r="A45" s="13" t="s">
        <v>0</v>
      </c>
      <c r="B45" s="13" t="s">
        <v>51</v>
      </c>
      <c r="C45" s="13">
        <v>4</v>
      </c>
      <c r="D45" s="13">
        <v>4</v>
      </c>
      <c r="E45" s="13">
        <v>6</v>
      </c>
    </row>
    <row r="46" spans="1:5" x14ac:dyDescent="0.3">
      <c r="A46" s="13" t="s">
        <v>0</v>
      </c>
      <c r="B46" s="13" t="s">
        <v>64</v>
      </c>
      <c r="C46" s="13">
        <v>4</v>
      </c>
      <c r="D46" s="13">
        <v>4</v>
      </c>
      <c r="E46" s="13">
        <v>4</v>
      </c>
    </row>
    <row r="47" spans="1:5" x14ac:dyDescent="0.3">
      <c r="A47" s="13" t="s">
        <v>2</v>
      </c>
      <c r="B47" s="13" t="s">
        <v>121</v>
      </c>
      <c r="C47" s="13">
        <v>4</v>
      </c>
      <c r="D47" s="13">
        <v>4</v>
      </c>
      <c r="E47" s="13">
        <v>5</v>
      </c>
    </row>
    <row r="48" spans="1:5" x14ac:dyDescent="0.3">
      <c r="A48" s="13" t="s">
        <v>1</v>
      </c>
      <c r="B48" s="13" t="s">
        <v>36</v>
      </c>
      <c r="C48" s="13">
        <v>6</v>
      </c>
      <c r="D48" s="13">
        <v>3</v>
      </c>
      <c r="E48" s="13">
        <v>7</v>
      </c>
    </row>
    <row r="49" spans="1:5" x14ac:dyDescent="0.3">
      <c r="A49" s="13" t="s">
        <v>1</v>
      </c>
      <c r="B49" s="13" t="s">
        <v>77</v>
      </c>
      <c r="C49" s="13">
        <v>3</v>
      </c>
      <c r="D49" s="13">
        <v>3</v>
      </c>
      <c r="E49" s="13">
        <v>3</v>
      </c>
    </row>
    <row r="50" spans="1:5" x14ac:dyDescent="0.3">
      <c r="A50" s="13" t="s">
        <v>1</v>
      </c>
      <c r="B50" s="13" t="s">
        <v>147</v>
      </c>
      <c r="C50" s="13">
        <v>3</v>
      </c>
      <c r="D50" s="13">
        <v>3</v>
      </c>
      <c r="E50" s="13">
        <v>3</v>
      </c>
    </row>
    <row r="51" spans="1:5" x14ac:dyDescent="0.3">
      <c r="A51" s="13" t="s">
        <v>1</v>
      </c>
      <c r="B51" s="13" t="s">
        <v>351</v>
      </c>
      <c r="C51" s="13">
        <v>6</v>
      </c>
      <c r="D51" s="13">
        <v>3</v>
      </c>
      <c r="E51" s="13">
        <v>6</v>
      </c>
    </row>
    <row r="52" spans="1:5" x14ac:dyDescent="0.3">
      <c r="A52" s="13" t="s">
        <v>1</v>
      </c>
      <c r="B52" s="13" t="s">
        <v>215</v>
      </c>
      <c r="C52" s="13">
        <v>3</v>
      </c>
      <c r="D52" s="13">
        <v>3</v>
      </c>
      <c r="E52" s="13">
        <v>3</v>
      </c>
    </row>
    <row r="53" spans="1:5" x14ac:dyDescent="0.3">
      <c r="A53" s="13" t="s">
        <v>1</v>
      </c>
      <c r="B53" s="13" t="s">
        <v>60</v>
      </c>
      <c r="C53" s="13">
        <v>3</v>
      </c>
      <c r="D53" s="13">
        <v>3</v>
      </c>
      <c r="E53" s="13">
        <v>4</v>
      </c>
    </row>
    <row r="54" spans="1:5" x14ac:dyDescent="0.3">
      <c r="A54" s="13" t="s">
        <v>1</v>
      </c>
      <c r="B54" s="13" t="s">
        <v>101</v>
      </c>
      <c r="C54" s="13">
        <v>3</v>
      </c>
      <c r="D54" s="13">
        <v>3</v>
      </c>
      <c r="E54" s="13">
        <v>3</v>
      </c>
    </row>
    <row r="55" spans="1:5" x14ac:dyDescent="0.3">
      <c r="A55" s="13" t="s">
        <v>1</v>
      </c>
      <c r="B55" s="13" t="s">
        <v>161</v>
      </c>
      <c r="C55" s="13">
        <v>4</v>
      </c>
      <c r="D55" s="13">
        <v>3</v>
      </c>
      <c r="E55" s="13">
        <v>4</v>
      </c>
    </row>
    <row r="56" spans="1:5" x14ac:dyDescent="0.3">
      <c r="A56" s="13" t="s">
        <v>1</v>
      </c>
      <c r="B56" s="13" t="s">
        <v>111</v>
      </c>
      <c r="C56" s="13">
        <v>4</v>
      </c>
      <c r="D56" s="13">
        <v>3</v>
      </c>
      <c r="E56" s="13">
        <v>4</v>
      </c>
    </row>
    <row r="57" spans="1:5" x14ac:dyDescent="0.3">
      <c r="A57" s="13" t="s">
        <v>1</v>
      </c>
      <c r="B57" s="13" t="s">
        <v>279</v>
      </c>
      <c r="C57" s="13">
        <v>3</v>
      </c>
      <c r="D57" s="13">
        <v>3</v>
      </c>
      <c r="E57" s="13">
        <v>4</v>
      </c>
    </row>
    <row r="58" spans="1:5" x14ac:dyDescent="0.3">
      <c r="A58" s="13" t="s">
        <v>1</v>
      </c>
      <c r="B58" s="13" t="s">
        <v>1005</v>
      </c>
      <c r="C58" s="13">
        <v>3</v>
      </c>
      <c r="D58" s="13">
        <v>3</v>
      </c>
      <c r="E58" s="13">
        <v>4</v>
      </c>
    </row>
    <row r="59" spans="1:5" x14ac:dyDescent="0.3">
      <c r="A59" s="13" t="s">
        <v>1</v>
      </c>
      <c r="B59" s="13" t="s">
        <v>45</v>
      </c>
      <c r="C59" s="13">
        <v>4</v>
      </c>
      <c r="D59" s="13">
        <v>3</v>
      </c>
      <c r="E59" s="13">
        <v>6</v>
      </c>
    </row>
    <row r="60" spans="1:5" x14ac:dyDescent="0.3">
      <c r="A60" s="13" t="s">
        <v>1</v>
      </c>
      <c r="B60" s="13" t="s">
        <v>319</v>
      </c>
      <c r="C60" s="13">
        <v>3</v>
      </c>
      <c r="D60" s="13">
        <v>3</v>
      </c>
      <c r="E60" s="13">
        <v>3</v>
      </c>
    </row>
    <row r="61" spans="1:5" x14ac:dyDescent="0.3">
      <c r="A61" s="13" t="s">
        <v>1</v>
      </c>
      <c r="B61" s="13" t="s">
        <v>118</v>
      </c>
      <c r="C61" s="13">
        <v>3</v>
      </c>
      <c r="D61" s="13">
        <v>3</v>
      </c>
      <c r="E61" s="13">
        <v>4</v>
      </c>
    </row>
    <row r="62" spans="1:5" x14ac:dyDescent="0.3">
      <c r="A62" s="13" t="s">
        <v>1</v>
      </c>
      <c r="B62" s="13" t="s">
        <v>174</v>
      </c>
      <c r="C62" s="13">
        <v>3</v>
      </c>
      <c r="D62" s="13">
        <v>3</v>
      </c>
      <c r="E62" s="13">
        <v>3</v>
      </c>
    </row>
    <row r="63" spans="1:5" x14ac:dyDescent="0.3">
      <c r="A63" s="13" t="s">
        <v>1</v>
      </c>
      <c r="B63" s="13" t="s">
        <v>182</v>
      </c>
      <c r="C63" s="13">
        <v>4</v>
      </c>
      <c r="D63" s="13">
        <v>3</v>
      </c>
      <c r="E63" s="13">
        <v>4</v>
      </c>
    </row>
    <row r="64" spans="1:5" x14ac:dyDescent="0.3">
      <c r="A64" s="13" t="s">
        <v>1</v>
      </c>
      <c r="B64" s="13" t="s">
        <v>132</v>
      </c>
      <c r="C64" s="13">
        <v>4</v>
      </c>
      <c r="D64" s="13">
        <v>3</v>
      </c>
      <c r="E64" s="13">
        <v>4</v>
      </c>
    </row>
    <row r="65" spans="1:5" x14ac:dyDescent="0.3">
      <c r="A65" s="13" t="s">
        <v>1</v>
      </c>
      <c r="B65" s="13" t="s">
        <v>1219</v>
      </c>
      <c r="C65" s="13">
        <v>3</v>
      </c>
      <c r="D65" s="13">
        <v>3</v>
      </c>
      <c r="E65" s="13">
        <v>3</v>
      </c>
    </row>
    <row r="66" spans="1:5" x14ac:dyDescent="0.3">
      <c r="A66" s="13" t="s">
        <v>1</v>
      </c>
      <c r="B66" s="13" t="s">
        <v>190</v>
      </c>
      <c r="C66" s="13">
        <v>4</v>
      </c>
      <c r="D66" s="13">
        <v>3</v>
      </c>
      <c r="E66" s="13">
        <v>4</v>
      </c>
    </row>
    <row r="67" spans="1:5" x14ac:dyDescent="0.3">
      <c r="A67" s="13" t="s">
        <v>1</v>
      </c>
      <c r="B67" s="13" t="s">
        <v>191</v>
      </c>
      <c r="C67" s="13">
        <v>7</v>
      </c>
      <c r="D67" s="13">
        <v>3</v>
      </c>
      <c r="E67" s="13">
        <v>13</v>
      </c>
    </row>
    <row r="68" spans="1:5" x14ac:dyDescent="0.3">
      <c r="A68" s="13" t="s">
        <v>1</v>
      </c>
      <c r="B68" s="13" t="s">
        <v>365</v>
      </c>
      <c r="C68" s="13">
        <v>5</v>
      </c>
      <c r="D68" s="13">
        <v>3</v>
      </c>
      <c r="E68" s="13">
        <v>8</v>
      </c>
    </row>
    <row r="69" spans="1:5" x14ac:dyDescent="0.3">
      <c r="A69" s="13" t="s">
        <v>1</v>
      </c>
      <c r="B69" s="13" t="s">
        <v>39</v>
      </c>
      <c r="C69" s="13">
        <v>8</v>
      </c>
      <c r="D69" s="13">
        <v>3</v>
      </c>
      <c r="E69" s="13">
        <v>16</v>
      </c>
    </row>
    <row r="70" spans="1:5" x14ac:dyDescent="0.3">
      <c r="A70" s="13" t="s">
        <v>0</v>
      </c>
      <c r="B70" s="13" t="s">
        <v>373</v>
      </c>
      <c r="C70" s="13">
        <v>4</v>
      </c>
      <c r="D70" s="13">
        <v>3</v>
      </c>
      <c r="E70" s="13">
        <v>5</v>
      </c>
    </row>
    <row r="71" spans="1:5" x14ac:dyDescent="0.3">
      <c r="A71" s="13" t="s">
        <v>0</v>
      </c>
      <c r="B71" s="13" t="s">
        <v>2148</v>
      </c>
      <c r="C71" s="13">
        <v>3</v>
      </c>
      <c r="D71" s="13">
        <v>3</v>
      </c>
      <c r="E71" s="13">
        <v>3</v>
      </c>
    </row>
    <row r="72" spans="1:5" x14ac:dyDescent="0.3">
      <c r="A72" s="13" t="s">
        <v>0</v>
      </c>
      <c r="B72" s="13" t="s">
        <v>35</v>
      </c>
      <c r="C72" s="13">
        <v>3</v>
      </c>
      <c r="D72" s="13">
        <v>3</v>
      </c>
      <c r="E72" s="13">
        <v>3</v>
      </c>
    </row>
    <row r="73" spans="1:5" x14ac:dyDescent="0.3">
      <c r="A73" s="13" t="s">
        <v>0</v>
      </c>
      <c r="B73" s="13" t="s">
        <v>98</v>
      </c>
      <c r="C73" s="13">
        <v>3</v>
      </c>
      <c r="D73" s="13">
        <v>3</v>
      </c>
      <c r="E73" s="13">
        <v>3</v>
      </c>
    </row>
    <row r="74" spans="1:5" x14ac:dyDescent="0.3">
      <c r="A74" s="13" t="s">
        <v>0</v>
      </c>
      <c r="B74" s="13" t="s">
        <v>319</v>
      </c>
      <c r="C74" s="13">
        <v>3</v>
      </c>
      <c r="D74" s="13">
        <v>3</v>
      </c>
      <c r="E74" s="13">
        <v>3</v>
      </c>
    </row>
    <row r="75" spans="1:5" x14ac:dyDescent="0.3">
      <c r="A75" s="13" t="s">
        <v>0</v>
      </c>
      <c r="B75" s="13" t="s">
        <v>523</v>
      </c>
      <c r="C75" s="13">
        <v>3</v>
      </c>
      <c r="D75" s="13">
        <v>3</v>
      </c>
      <c r="E75" s="13">
        <v>3</v>
      </c>
    </row>
    <row r="76" spans="1:5" x14ac:dyDescent="0.3">
      <c r="A76" s="13" t="s">
        <v>0</v>
      </c>
      <c r="B76" s="13" t="s">
        <v>52</v>
      </c>
      <c r="C76" s="13">
        <v>3</v>
      </c>
      <c r="D76" s="13">
        <v>3</v>
      </c>
      <c r="E76" s="13">
        <v>3</v>
      </c>
    </row>
    <row r="77" spans="1:5" x14ac:dyDescent="0.3">
      <c r="A77" s="13" t="s">
        <v>2</v>
      </c>
      <c r="B77" s="13" t="s">
        <v>1663</v>
      </c>
      <c r="C77" s="13">
        <v>3</v>
      </c>
      <c r="D77" s="13">
        <v>3</v>
      </c>
      <c r="E77" s="13">
        <v>5</v>
      </c>
    </row>
    <row r="78" spans="1:5" x14ac:dyDescent="0.3">
      <c r="A78" s="13" t="s">
        <v>2</v>
      </c>
      <c r="B78" s="13" t="s">
        <v>1741</v>
      </c>
      <c r="C78" s="13">
        <v>4</v>
      </c>
      <c r="D78" s="13">
        <v>3</v>
      </c>
      <c r="E78" s="13">
        <v>5</v>
      </c>
    </row>
    <row r="79" spans="1:5" x14ac:dyDescent="0.3">
      <c r="A79" s="13" t="s">
        <v>1</v>
      </c>
      <c r="B79" s="13" t="s">
        <v>486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586</v>
      </c>
      <c r="C80" s="13">
        <v>3</v>
      </c>
      <c r="D80" s="13">
        <v>2</v>
      </c>
      <c r="E80" s="13">
        <v>4</v>
      </c>
    </row>
    <row r="81" spans="1:5" x14ac:dyDescent="0.3">
      <c r="A81" s="13" t="s">
        <v>1</v>
      </c>
      <c r="B81" s="13" t="s">
        <v>75</v>
      </c>
      <c r="C81" s="13">
        <v>2</v>
      </c>
      <c r="D81" s="13">
        <v>2</v>
      </c>
      <c r="E81" s="13">
        <v>2</v>
      </c>
    </row>
    <row r="82" spans="1:5" x14ac:dyDescent="0.3">
      <c r="A82" s="13" t="s">
        <v>1</v>
      </c>
      <c r="B82" s="13" t="s">
        <v>345</v>
      </c>
      <c r="C82" s="13">
        <v>2</v>
      </c>
      <c r="D82" s="13">
        <v>2</v>
      </c>
      <c r="E82" s="13">
        <v>2</v>
      </c>
    </row>
    <row r="83" spans="1:5" x14ac:dyDescent="0.3">
      <c r="A83" s="13" t="s">
        <v>1</v>
      </c>
      <c r="B83" s="13" t="s">
        <v>267</v>
      </c>
      <c r="C83" s="13">
        <v>2</v>
      </c>
      <c r="D83" s="13">
        <v>2</v>
      </c>
      <c r="E83" s="13">
        <v>2</v>
      </c>
    </row>
    <row r="84" spans="1:5" x14ac:dyDescent="0.3">
      <c r="A84" s="13" t="s">
        <v>1</v>
      </c>
      <c r="B84" s="13" t="s">
        <v>34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813</v>
      </c>
      <c r="C85" s="13">
        <v>2</v>
      </c>
      <c r="D85" s="13">
        <v>2</v>
      </c>
      <c r="E85" s="13">
        <v>3</v>
      </c>
    </row>
    <row r="86" spans="1:5" x14ac:dyDescent="0.3">
      <c r="A86" s="13" t="s">
        <v>1</v>
      </c>
      <c r="B86" s="13" t="s">
        <v>80</v>
      </c>
      <c r="C86" s="13">
        <v>2</v>
      </c>
      <c r="D86" s="13">
        <v>2</v>
      </c>
      <c r="E86" s="13">
        <v>4</v>
      </c>
    </row>
    <row r="87" spans="1:5" x14ac:dyDescent="0.3">
      <c r="A87" s="13" t="s">
        <v>1</v>
      </c>
      <c r="B87" s="13" t="s">
        <v>304</v>
      </c>
      <c r="C87" s="13">
        <v>3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144</v>
      </c>
      <c r="C88" s="13">
        <v>4</v>
      </c>
      <c r="D88" s="13">
        <v>2</v>
      </c>
      <c r="E88" s="13">
        <v>4</v>
      </c>
    </row>
    <row r="89" spans="1:5" x14ac:dyDescent="0.3">
      <c r="A89" s="13" t="s">
        <v>1</v>
      </c>
      <c r="B89" s="13" t="s">
        <v>83</v>
      </c>
      <c r="C89" s="13">
        <v>3</v>
      </c>
      <c r="D89" s="13">
        <v>2</v>
      </c>
      <c r="E89" s="13">
        <v>3</v>
      </c>
    </row>
    <row r="90" spans="1:5" x14ac:dyDescent="0.3">
      <c r="A90" s="13" t="s">
        <v>1</v>
      </c>
      <c r="B90" s="13" t="s">
        <v>148</v>
      </c>
      <c r="C90" s="13">
        <v>5</v>
      </c>
      <c r="D90" s="13">
        <v>2</v>
      </c>
      <c r="E90" s="13">
        <v>5</v>
      </c>
    </row>
    <row r="91" spans="1:5" x14ac:dyDescent="0.3">
      <c r="A91" s="13" t="s">
        <v>1</v>
      </c>
      <c r="B91" s="13" t="s">
        <v>465</v>
      </c>
      <c r="C91" s="13">
        <v>2</v>
      </c>
      <c r="D91" s="13">
        <v>2</v>
      </c>
      <c r="E91" s="13">
        <v>3</v>
      </c>
    </row>
    <row r="92" spans="1:5" x14ac:dyDescent="0.3">
      <c r="A92" s="13" t="s">
        <v>1</v>
      </c>
      <c r="B92" s="13" t="s">
        <v>272</v>
      </c>
      <c r="C92" s="13">
        <v>6</v>
      </c>
      <c r="D92" s="13">
        <v>2</v>
      </c>
      <c r="E92" s="13">
        <v>6</v>
      </c>
    </row>
    <row r="93" spans="1:5" x14ac:dyDescent="0.3">
      <c r="A93" s="13" t="s">
        <v>1</v>
      </c>
      <c r="B93" s="13" t="s">
        <v>885</v>
      </c>
      <c r="C93" s="13">
        <v>2</v>
      </c>
      <c r="D93" s="13">
        <v>2</v>
      </c>
      <c r="E93" s="13">
        <v>3</v>
      </c>
    </row>
    <row r="94" spans="1:5" x14ac:dyDescent="0.3">
      <c r="A94" s="13" t="s">
        <v>1</v>
      </c>
      <c r="B94" s="13" t="s">
        <v>42</v>
      </c>
      <c r="C94" s="13">
        <v>4</v>
      </c>
      <c r="D94" s="13">
        <v>2</v>
      </c>
      <c r="E94" s="13">
        <v>4</v>
      </c>
    </row>
    <row r="95" spans="1:5" x14ac:dyDescent="0.3">
      <c r="A95" s="13" t="s">
        <v>1</v>
      </c>
      <c r="B95" s="13" t="s">
        <v>247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1674</v>
      </c>
      <c r="C96" s="13">
        <v>2</v>
      </c>
      <c r="D96" s="13">
        <v>2</v>
      </c>
      <c r="E96" s="13">
        <v>4</v>
      </c>
    </row>
    <row r="97" spans="1:5" x14ac:dyDescent="0.3">
      <c r="A97" s="13" t="s">
        <v>1</v>
      </c>
      <c r="B97" s="13" t="s">
        <v>1849</v>
      </c>
      <c r="C97" s="13">
        <v>4</v>
      </c>
      <c r="D97" s="13">
        <v>2</v>
      </c>
      <c r="E97" s="13">
        <v>4</v>
      </c>
    </row>
    <row r="98" spans="1:5" x14ac:dyDescent="0.3">
      <c r="A98" s="13" t="s">
        <v>1</v>
      </c>
      <c r="B98" s="13" t="s">
        <v>1881</v>
      </c>
      <c r="C98" s="13">
        <v>3</v>
      </c>
      <c r="D98" s="13">
        <v>2</v>
      </c>
      <c r="E98" s="13">
        <v>3</v>
      </c>
    </row>
    <row r="99" spans="1:5" x14ac:dyDescent="0.3">
      <c r="A99" s="13" t="s">
        <v>1</v>
      </c>
      <c r="B99" s="13" t="s">
        <v>2018</v>
      </c>
      <c r="C99" s="13">
        <v>4</v>
      </c>
      <c r="D99" s="13">
        <v>2</v>
      </c>
      <c r="E99" s="13">
        <v>5</v>
      </c>
    </row>
    <row r="100" spans="1:5" x14ac:dyDescent="0.3">
      <c r="A100" s="13" t="s">
        <v>1</v>
      </c>
      <c r="B100" s="13" t="s">
        <v>35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1</v>
      </c>
      <c r="B101" s="13" t="s">
        <v>109</v>
      </c>
      <c r="C101" s="13">
        <v>3</v>
      </c>
      <c r="D101" s="13">
        <v>2</v>
      </c>
      <c r="E101" s="13">
        <v>4</v>
      </c>
    </row>
    <row r="102" spans="1:5" x14ac:dyDescent="0.3">
      <c r="A102" s="13" t="s">
        <v>1</v>
      </c>
      <c r="B102" s="13" t="s">
        <v>281</v>
      </c>
      <c r="C102" s="13">
        <v>3</v>
      </c>
      <c r="D102" s="13">
        <v>2</v>
      </c>
      <c r="E102" s="13">
        <v>4</v>
      </c>
    </row>
    <row r="103" spans="1:5" x14ac:dyDescent="0.3">
      <c r="A103" s="13" t="s">
        <v>1</v>
      </c>
      <c r="B103" s="13" t="s">
        <v>831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1</v>
      </c>
      <c r="B104" s="13" t="s">
        <v>320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1</v>
      </c>
      <c r="B105" s="13" t="s">
        <v>374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1</v>
      </c>
      <c r="B106" s="13" t="s">
        <v>1188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1</v>
      </c>
      <c r="B107" s="13" t="s">
        <v>525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196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631</v>
      </c>
      <c r="C109" s="13">
        <v>3</v>
      </c>
      <c r="D109" s="13">
        <v>2</v>
      </c>
      <c r="E109" s="13">
        <v>3</v>
      </c>
    </row>
    <row r="110" spans="1:5" x14ac:dyDescent="0.3">
      <c r="A110" s="13" t="s">
        <v>1</v>
      </c>
      <c r="B110" s="13" t="s">
        <v>121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1</v>
      </c>
      <c r="B111" s="13" t="s">
        <v>409</v>
      </c>
      <c r="C111" s="13">
        <v>3</v>
      </c>
      <c r="D111" s="13">
        <v>2</v>
      </c>
      <c r="E111" s="13">
        <v>3</v>
      </c>
    </row>
    <row r="112" spans="1:5" x14ac:dyDescent="0.3">
      <c r="A112" s="13" t="s">
        <v>1</v>
      </c>
      <c r="B112" s="13" t="s">
        <v>664</v>
      </c>
      <c r="C112" s="13">
        <v>4</v>
      </c>
      <c r="D112" s="13">
        <v>2</v>
      </c>
      <c r="E112" s="13">
        <v>3</v>
      </c>
    </row>
    <row r="113" spans="1:5" x14ac:dyDescent="0.3">
      <c r="A113" s="13" t="s">
        <v>1</v>
      </c>
      <c r="B113" s="13" t="s">
        <v>415</v>
      </c>
      <c r="C113" s="13">
        <v>3</v>
      </c>
      <c r="D113" s="13">
        <v>2</v>
      </c>
      <c r="E113" s="13">
        <v>3</v>
      </c>
    </row>
    <row r="114" spans="1:5" x14ac:dyDescent="0.3">
      <c r="A114" s="13" t="s">
        <v>1</v>
      </c>
      <c r="B114" s="13" t="s">
        <v>31</v>
      </c>
      <c r="C114" s="13">
        <v>2</v>
      </c>
      <c r="D114" s="13">
        <v>2</v>
      </c>
      <c r="E114" s="13">
        <v>2</v>
      </c>
    </row>
    <row r="115" spans="1:5" x14ac:dyDescent="0.3">
      <c r="A115" s="13" t="s">
        <v>1</v>
      </c>
      <c r="B115" s="13" t="s">
        <v>64</v>
      </c>
      <c r="C115" s="13">
        <v>2</v>
      </c>
      <c r="D115" s="13">
        <v>2</v>
      </c>
      <c r="E115" s="13">
        <v>2</v>
      </c>
    </row>
    <row r="116" spans="1:5" x14ac:dyDescent="0.3">
      <c r="A116" s="13" t="s">
        <v>1</v>
      </c>
      <c r="B116" s="13" t="s">
        <v>1012</v>
      </c>
      <c r="C116" s="13">
        <v>2</v>
      </c>
      <c r="D116" s="13">
        <v>2</v>
      </c>
      <c r="E116" s="13">
        <v>2</v>
      </c>
    </row>
    <row r="117" spans="1:5" x14ac:dyDescent="0.3">
      <c r="A117" s="13" t="s">
        <v>1</v>
      </c>
      <c r="B117" s="13" t="s">
        <v>909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1</v>
      </c>
      <c r="B118" s="13" t="s">
        <v>66</v>
      </c>
      <c r="C118" s="13">
        <v>3</v>
      </c>
      <c r="D118" s="13">
        <v>2</v>
      </c>
      <c r="E118" s="13">
        <v>8</v>
      </c>
    </row>
    <row r="119" spans="1:5" x14ac:dyDescent="0.3">
      <c r="A119" s="13" t="s">
        <v>1</v>
      </c>
      <c r="B119" s="13" t="s">
        <v>55</v>
      </c>
      <c r="C119" s="13">
        <v>4</v>
      </c>
      <c r="D119" s="13">
        <v>2</v>
      </c>
      <c r="E119" s="13">
        <v>8</v>
      </c>
    </row>
    <row r="120" spans="1:5" x14ac:dyDescent="0.3">
      <c r="A120" s="13" t="s">
        <v>1</v>
      </c>
      <c r="B120" s="13" t="s">
        <v>722</v>
      </c>
      <c r="C120" s="13">
        <v>2</v>
      </c>
      <c r="D120" s="13">
        <v>2</v>
      </c>
      <c r="E120" s="13">
        <v>2</v>
      </c>
    </row>
    <row r="121" spans="1:5" x14ac:dyDescent="0.3">
      <c r="A121" s="13" t="s">
        <v>1</v>
      </c>
      <c r="B121" s="13" t="s">
        <v>2348</v>
      </c>
      <c r="C121" s="13">
        <v>5</v>
      </c>
      <c r="D121" s="13">
        <v>2</v>
      </c>
      <c r="E121" s="13">
        <v>5</v>
      </c>
    </row>
    <row r="122" spans="1:5" x14ac:dyDescent="0.3">
      <c r="A122" s="13" t="s">
        <v>1</v>
      </c>
      <c r="B122" s="13" t="s">
        <v>1121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40</v>
      </c>
      <c r="C123" s="13">
        <v>2</v>
      </c>
      <c r="D123" s="13">
        <v>2</v>
      </c>
      <c r="E123" s="13">
        <v>3</v>
      </c>
    </row>
    <row r="124" spans="1:5" x14ac:dyDescent="0.3">
      <c r="A124" s="13" t="s">
        <v>0</v>
      </c>
      <c r="B124" s="13" t="s">
        <v>93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2701</v>
      </c>
      <c r="C125" s="13">
        <v>3</v>
      </c>
      <c r="D125" s="13">
        <v>2</v>
      </c>
      <c r="E125" s="13">
        <v>3</v>
      </c>
    </row>
    <row r="126" spans="1:5" x14ac:dyDescent="0.3">
      <c r="A126" s="13" t="s">
        <v>0</v>
      </c>
      <c r="B126" s="13" t="s">
        <v>2903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0</v>
      </c>
      <c r="B127" s="13" t="s">
        <v>389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105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0</v>
      </c>
      <c r="B129" s="13" t="s">
        <v>111</v>
      </c>
      <c r="C129" s="13">
        <v>3</v>
      </c>
      <c r="D129" s="13">
        <v>2</v>
      </c>
      <c r="E129" s="13">
        <v>4</v>
      </c>
    </row>
    <row r="130" spans="1:5" x14ac:dyDescent="0.3">
      <c r="A130" s="13" t="s">
        <v>0</v>
      </c>
      <c r="B130" s="13" t="s">
        <v>44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0</v>
      </c>
      <c r="B131" s="13" t="s">
        <v>2904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45</v>
      </c>
      <c r="C132" s="13">
        <v>2</v>
      </c>
      <c r="D132" s="13">
        <v>2</v>
      </c>
      <c r="E132" s="13">
        <v>2</v>
      </c>
    </row>
    <row r="133" spans="1:5" x14ac:dyDescent="0.3">
      <c r="A133" s="13" t="s">
        <v>0</v>
      </c>
      <c r="B133" s="13" t="s">
        <v>114</v>
      </c>
      <c r="C133" s="13">
        <v>2</v>
      </c>
      <c r="D133" s="13">
        <v>2</v>
      </c>
      <c r="E133" s="13">
        <v>2</v>
      </c>
    </row>
    <row r="134" spans="1:5" x14ac:dyDescent="0.3">
      <c r="A134" s="13" t="s">
        <v>0</v>
      </c>
      <c r="B134" s="13" t="s">
        <v>648</v>
      </c>
      <c r="C134" s="13">
        <v>2</v>
      </c>
      <c r="D134" s="13">
        <v>2</v>
      </c>
      <c r="E134" s="13">
        <v>2</v>
      </c>
    </row>
    <row r="135" spans="1:5" x14ac:dyDescent="0.3">
      <c r="A135" s="13" t="s">
        <v>0</v>
      </c>
      <c r="B135" s="13" t="s">
        <v>479</v>
      </c>
      <c r="C135" s="13">
        <v>2</v>
      </c>
      <c r="D135" s="13">
        <v>2</v>
      </c>
      <c r="E135" s="13">
        <v>5</v>
      </c>
    </row>
    <row r="136" spans="1:5" x14ac:dyDescent="0.3">
      <c r="A136" s="13" t="s">
        <v>0</v>
      </c>
      <c r="B136" s="13" t="s">
        <v>121</v>
      </c>
      <c r="C136" s="13">
        <v>2</v>
      </c>
      <c r="D136" s="13">
        <v>2</v>
      </c>
      <c r="E136" s="13">
        <v>2</v>
      </c>
    </row>
    <row r="137" spans="1:5" x14ac:dyDescent="0.3">
      <c r="A137" s="13" t="s">
        <v>0</v>
      </c>
      <c r="B137" s="13" t="s">
        <v>130</v>
      </c>
      <c r="C137" s="13">
        <v>2</v>
      </c>
      <c r="D137" s="13">
        <v>2</v>
      </c>
      <c r="E137" s="13">
        <v>2</v>
      </c>
    </row>
    <row r="138" spans="1:5" x14ac:dyDescent="0.3">
      <c r="A138" s="13" t="s">
        <v>0</v>
      </c>
      <c r="B138" s="13" t="s">
        <v>909</v>
      </c>
      <c r="C138" s="13">
        <v>2</v>
      </c>
      <c r="D138" s="13">
        <v>2</v>
      </c>
      <c r="E138" s="13">
        <v>2</v>
      </c>
    </row>
    <row r="139" spans="1:5" x14ac:dyDescent="0.3">
      <c r="A139" s="13" t="s">
        <v>0</v>
      </c>
      <c r="B139" s="13" t="s">
        <v>365</v>
      </c>
      <c r="C139" s="13">
        <v>3</v>
      </c>
      <c r="D139" s="13">
        <v>2</v>
      </c>
      <c r="E139" s="13">
        <v>4</v>
      </c>
    </row>
    <row r="140" spans="1:5" x14ac:dyDescent="0.3">
      <c r="A140" s="13" t="s">
        <v>2</v>
      </c>
      <c r="B140" s="13" t="s">
        <v>559</v>
      </c>
      <c r="C140" s="13">
        <v>2</v>
      </c>
      <c r="D140" s="13">
        <v>2</v>
      </c>
      <c r="E140" s="13">
        <v>2</v>
      </c>
    </row>
    <row r="141" spans="1:5" x14ac:dyDescent="0.3">
      <c r="A141" s="13" t="s">
        <v>2</v>
      </c>
      <c r="B141" s="13" t="s">
        <v>258</v>
      </c>
      <c r="C141" s="13">
        <v>2</v>
      </c>
      <c r="D141" s="13">
        <v>2</v>
      </c>
      <c r="E141" s="13">
        <v>2</v>
      </c>
    </row>
    <row r="142" spans="1:5" x14ac:dyDescent="0.3">
      <c r="A142" s="13" t="s">
        <v>2</v>
      </c>
      <c r="B142" s="13" t="s">
        <v>311</v>
      </c>
      <c r="C142" s="13">
        <v>2</v>
      </c>
      <c r="D142" s="13">
        <v>2</v>
      </c>
      <c r="E142" s="13">
        <v>2</v>
      </c>
    </row>
    <row r="143" spans="1:5" x14ac:dyDescent="0.3">
      <c r="A143" s="13" t="s">
        <v>2</v>
      </c>
      <c r="B143" s="13" t="s">
        <v>37</v>
      </c>
      <c r="C143" s="13">
        <v>2</v>
      </c>
      <c r="D143" s="13">
        <v>2</v>
      </c>
      <c r="E143" s="13">
        <v>2</v>
      </c>
    </row>
    <row r="144" spans="1:5" x14ac:dyDescent="0.3">
      <c r="A144" s="13" t="s">
        <v>2</v>
      </c>
      <c r="B144" s="13" t="s">
        <v>845</v>
      </c>
      <c r="C144" s="13">
        <v>2</v>
      </c>
      <c r="D144" s="13">
        <v>2</v>
      </c>
      <c r="E144" s="13">
        <v>2</v>
      </c>
    </row>
    <row r="145" spans="1:5" x14ac:dyDescent="0.3">
      <c r="A145" s="13" t="s">
        <v>1</v>
      </c>
      <c r="B145" s="13" t="s">
        <v>343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924</v>
      </c>
      <c r="C146" s="13">
        <v>2</v>
      </c>
      <c r="D146" s="13">
        <v>1</v>
      </c>
      <c r="E146" s="13">
        <v>2</v>
      </c>
    </row>
    <row r="147" spans="1:5" x14ac:dyDescent="0.3">
      <c r="A147" s="13" t="s">
        <v>1</v>
      </c>
      <c r="B147" s="13" t="s">
        <v>925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926</v>
      </c>
      <c r="C148" s="13">
        <v>1</v>
      </c>
      <c r="D148" s="13">
        <v>1</v>
      </c>
      <c r="E148" s="13">
        <v>3</v>
      </c>
    </row>
    <row r="149" spans="1:5" x14ac:dyDescent="0.3">
      <c r="A149" s="13" t="s">
        <v>1</v>
      </c>
      <c r="B149" s="13" t="s">
        <v>551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47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299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1251</v>
      </c>
      <c r="C152" s="13">
        <v>2</v>
      </c>
      <c r="D152" s="13">
        <v>1</v>
      </c>
      <c r="E152" s="13">
        <v>2</v>
      </c>
    </row>
    <row r="153" spans="1:5" x14ac:dyDescent="0.3">
      <c r="A153" s="13" t="s">
        <v>1</v>
      </c>
      <c r="B153" s="13" t="s">
        <v>344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489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201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380</v>
      </c>
      <c r="C156" s="13">
        <v>2</v>
      </c>
      <c r="D156" s="13">
        <v>1</v>
      </c>
      <c r="E156" s="13">
        <v>3</v>
      </c>
    </row>
    <row r="157" spans="1:5" x14ac:dyDescent="0.3">
      <c r="A157" s="13" t="s">
        <v>1</v>
      </c>
      <c r="B157" s="13" t="s">
        <v>554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373</v>
      </c>
      <c r="C158" s="13">
        <v>2</v>
      </c>
      <c r="D158" s="13">
        <v>1</v>
      </c>
      <c r="E158" s="13">
        <v>2</v>
      </c>
    </row>
    <row r="159" spans="1:5" x14ac:dyDescent="0.3">
      <c r="A159" s="13" t="s">
        <v>1</v>
      </c>
      <c r="B159" s="13" t="s">
        <v>470</v>
      </c>
      <c r="C159" s="13">
        <v>2</v>
      </c>
      <c r="D159" s="13">
        <v>1</v>
      </c>
      <c r="E159" s="13">
        <v>3</v>
      </c>
    </row>
    <row r="160" spans="1:5" x14ac:dyDescent="0.3">
      <c r="A160" s="13" t="s">
        <v>1</v>
      </c>
      <c r="B160" s="13" t="s">
        <v>33</v>
      </c>
      <c r="C160" s="13">
        <v>3</v>
      </c>
      <c r="D160" s="13">
        <v>1</v>
      </c>
      <c r="E160" s="13">
        <v>2</v>
      </c>
    </row>
    <row r="161" spans="1:5" x14ac:dyDescent="0.3">
      <c r="A161" s="13" t="s">
        <v>1</v>
      </c>
      <c r="B161" s="13" t="s">
        <v>656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375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203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496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474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499</v>
      </c>
      <c r="C166" s="13">
        <v>1</v>
      </c>
      <c r="D166" s="13">
        <v>1</v>
      </c>
      <c r="E166" s="13">
        <v>2</v>
      </c>
    </row>
    <row r="167" spans="1:5" x14ac:dyDescent="0.3">
      <c r="A167" s="13" t="s">
        <v>1</v>
      </c>
      <c r="B167" s="13" t="s">
        <v>347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243</v>
      </c>
      <c r="C168" s="13">
        <v>2</v>
      </c>
      <c r="D168" s="13">
        <v>1</v>
      </c>
      <c r="E168" s="13">
        <v>2</v>
      </c>
    </row>
    <row r="169" spans="1:5" x14ac:dyDescent="0.3">
      <c r="A169" s="13" t="s">
        <v>1</v>
      </c>
      <c r="B169" s="13" t="s">
        <v>463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1208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269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260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209</v>
      </c>
      <c r="C173" s="13">
        <v>2</v>
      </c>
      <c r="D173" s="13">
        <v>1</v>
      </c>
      <c r="E173" s="13">
        <v>2</v>
      </c>
    </row>
    <row r="174" spans="1:5" x14ac:dyDescent="0.3">
      <c r="A174" s="13" t="s">
        <v>1</v>
      </c>
      <c r="B174" s="13" t="s">
        <v>673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81</v>
      </c>
      <c r="C175" s="13">
        <v>2</v>
      </c>
      <c r="D175" s="13">
        <v>1</v>
      </c>
      <c r="E175" s="13">
        <v>3</v>
      </c>
    </row>
    <row r="176" spans="1:5" x14ac:dyDescent="0.3">
      <c r="A176" s="13" t="s">
        <v>1</v>
      </c>
      <c r="B176" s="13" t="s">
        <v>1229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500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270</v>
      </c>
      <c r="C178" s="13">
        <v>2</v>
      </c>
      <c r="D178" s="13">
        <v>1</v>
      </c>
      <c r="E178" s="13">
        <v>3</v>
      </c>
    </row>
    <row r="179" spans="1:5" x14ac:dyDescent="0.3">
      <c r="A179" s="13" t="s">
        <v>1</v>
      </c>
      <c r="B179" s="13" t="s">
        <v>386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86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87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1182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91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646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254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658</v>
      </c>
      <c r="C186" s="13">
        <v>3</v>
      </c>
      <c r="D186" s="13">
        <v>1</v>
      </c>
      <c r="E186" s="13">
        <v>4</v>
      </c>
    </row>
    <row r="187" spans="1:5" x14ac:dyDescent="0.3">
      <c r="A187" s="13" t="s">
        <v>1</v>
      </c>
      <c r="B187" s="13" t="s">
        <v>152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1448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93</v>
      </c>
      <c r="C189" s="13">
        <v>3</v>
      </c>
      <c r="D189" s="13">
        <v>1</v>
      </c>
      <c r="E189" s="13">
        <v>3</v>
      </c>
    </row>
    <row r="190" spans="1:5" x14ac:dyDescent="0.3">
      <c r="A190" s="13" t="s">
        <v>1</v>
      </c>
      <c r="B190" s="13" t="s">
        <v>471</v>
      </c>
      <c r="C190" s="13">
        <v>2</v>
      </c>
      <c r="D190" s="13">
        <v>1</v>
      </c>
      <c r="E190" s="13">
        <v>2</v>
      </c>
    </row>
    <row r="191" spans="1:5" x14ac:dyDescent="0.3">
      <c r="A191" s="13" t="s">
        <v>1</v>
      </c>
      <c r="B191" s="13" t="s">
        <v>1370</v>
      </c>
      <c r="C191" s="13">
        <v>2</v>
      </c>
      <c r="D191" s="13">
        <v>1</v>
      </c>
      <c r="E191" s="13">
        <v>3</v>
      </c>
    </row>
    <row r="192" spans="1:5" x14ac:dyDescent="0.3">
      <c r="A192" s="13" t="s">
        <v>1</v>
      </c>
      <c r="B192" s="13" t="s">
        <v>1419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1471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1505</v>
      </c>
      <c r="C194" s="13">
        <v>2</v>
      </c>
      <c r="D194" s="13">
        <v>1</v>
      </c>
      <c r="E194" s="13">
        <v>2</v>
      </c>
    </row>
    <row r="195" spans="1:5" x14ac:dyDescent="0.3">
      <c r="A195" s="13" t="s">
        <v>1</v>
      </c>
      <c r="B195" s="13" t="s">
        <v>1645</v>
      </c>
      <c r="C195" s="13">
        <v>3</v>
      </c>
      <c r="D195" s="13">
        <v>1</v>
      </c>
      <c r="E195" s="13">
        <v>3</v>
      </c>
    </row>
    <row r="196" spans="1:5" x14ac:dyDescent="0.3">
      <c r="A196" s="13" t="s">
        <v>1</v>
      </c>
      <c r="B196" s="13" t="s">
        <v>1654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1887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1904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1926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1884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1900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1969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1989</v>
      </c>
      <c r="C203" s="13">
        <v>4</v>
      </c>
      <c r="D203" s="13">
        <v>1</v>
      </c>
      <c r="E203" s="13">
        <v>4</v>
      </c>
    </row>
    <row r="204" spans="1:5" x14ac:dyDescent="0.3">
      <c r="A204" s="13" t="s">
        <v>1</v>
      </c>
      <c r="B204" s="13" t="s">
        <v>2069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2162</v>
      </c>
      <c r="C205" s="13">
        <v>2</v>
      </c>
      <c r="D205" s="13">
        <v>1</v>
      </c>
      <c r="E205" s="13">
        <v>2</v>
      </c>
    </row>
    <row r="206" spans="1:5" x14ac:dyDescent="0.3">
      <c r="A206" s="13" t="s">
        <v>1</v>
      </c>
      <c r="B206" s="13" t="s">
        <v>2179</v>
      </c>
      <c r="C206" s="13">
        <v>3</v>
      </c>
      <c r="D206" s="13">
        <v>1</v>
      </c>
      <c r="E206" s="13">
        <v>2</v>
      </c>
    </row>
    <row r="207" spans="1:5" x14ac:dyDescent="0.3">
      <c r="A207" s="13" t="s">
        <v>1</v>
      </c>
      <c r="B207" s="13" t="s">
        <v>2425</v>
      </c>
      <c r="C207" s="13">
        <v>3</v>
      </c>
      <c r="D207" s="13">
        <v>1</v>
      </c>
      <c r="E207" s="13">
        <v>4</v>
      </c>
    </row>
    <row r="208" spans="1:5" x14ac:dyDescent="0.3">
      <c r="A208" s="13" t="s">
        <v>1</v>
      </c>
      <c r="B208" s="13" t="s">
        <v>2701</v>
      </c>
      <c r="C208" s="13">
        <v>4</v>
      </c>
      <c r="D208" s="13">
        <v>1</v>
      </c>
      <c r="E208" s="13">
        <v>5</v>
      </c>
    </row>
    <row r="209" spans="1:5" x14ac:dyDescent="0.3">
      <c r="A209" s="13" t="s">
        <v>1</v>
      </c>
      <c r="B209" s="13" t="s">
        <v>2734</v>
      </c>
      <c r="C209" s="13">
        <v>3</v>
      </c>
      <c r="D209" s="13">
        <v>1</v>
      </c>
      <c r="E209" s="13">
        <v>4</v>
      </c>
    </row>
    <row r="210" spans="1:5" x14ac:dyDescent="0.3">
      <c r="A210" s="13" t="s">
        <v>1</v>
      </c>
      <c r="B210" s="13" t="s">
        <v>2735</v>
      </c>
      <c r="C210" s="13">
        <v>7</v>
      </c>
      <c r="D210" s="13">
        <v>1</v>
      </c>
      <c r="E210" s="13">
        <v>7</v>
      </c>
    </row>
    <row r="211" spans="1:5" x14ac:dyDescent="0.3">
      <c r="A211" s="13" t="s">
        <v>1</v>
      </c>
      <c r="B211" s="13" t="s">
        <v>2762</v>
      </c>
      <c r="C211" s="13">
        <v>6</v>
      </c>
      <c r="D211" s="13">
        <v>1</v>
      </c>
      <c r="E211" s="13">
        <v>6</v>
      </c>
    </row>
    <row r="212" spans="1:5" x14ac:dyDescent="0.3">
      <c r="A212" s="13" t="s">
        <v>1</v>
      </c>
      <c r="B212" s="13" t="s">
        <v>2905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2906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2907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154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273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426</v>
      </c>
      <c r="C217" s="13">
        <v>2</v>
      </c>
      <c r="D217" s="13">
        <v>1</v>
      </c>
      <c r="E217" s="13">
        <v>3</v>
      </c>
    </row>
    <row r="218" spans="1:5" x14ac:dyDescent="0.3">
      <c r="A218" s="13" t="s">
        <v>1</v>
      </c>
      <c r="B218" s="13" t="s">
        <v>819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2908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95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559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507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1958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1714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932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2909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679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1033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1436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2386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795</v>
      </c>
      <c r="C231" s="13">
        <v>1</v>
      </c>
      <c r="D231" s="13">
        <v>1</v>
      </c>
      <c r="E231" s="13">
        <v>3</v>
      </c>
    </row>
    <row r="232" spans="1:5" x14ac:dyDescent="0.3">
      <c r="A232" s="13" t="s">
        <v>1</v>
      </c>
      <c r="B232" s="13" t="s">
        <v>1034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391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392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937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341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103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1556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104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393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311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105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1094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43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763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822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2019</v>
      </c>
      <c r="C247" s="13">
        <v>2</v>
      </c>
      <c r="D247" s="13">
        <v>1</v>
      </c>
      <c r="E247" s="13">
        <v>2</v>
      </c>
    </row>
    <row r="248" spans="1:5" x14ac:dyDescent="0.3">
      <c r="A248" s="13" t="s">
        <v>1</v>
      </c>
      <c r="B248" s="13" t="s">
        <v>429</v>
      </c>
      <c r="C248" s="13">
        <v>2</v>
      </c>
      <c r="D248" s="13">
        <v>1</v>
      </c>
      <c r="E248" s="13">
        <v>2</v>
      </c>
    </row>
    <row r="249" spans="1:5" x14ac:dyDescent="0.3">
      <c r="A249" s="13" t="s">
        <v>1</v>
      </c>
      <c r="B249" s="13" t="s">
        <v>1312</v>
      </c>
      <c r="C249" s="13">
        <v>2</v>
      </c>
      <c r="D249" s="13">
        <v>1</v>
      </c>
      <c r="E249" s="13">
        <v>3</v>
      </c>
    </row>
    <row r="250" spans="1:5" x14ac:dyDescent="0.3">
      <c r="A250" s="13" t="s">
        <v>1</v>
      </c>
      <c r="B250" s="13" t="s">
        <v>250</v>
      </c>
      <c r="C250" s="13">
        <v>1</v>
      </c>
      <c r="D250" s="13">
        <v>1</v>
      </c>
      <c r="E250" s="13">
        <v>2</v>
      </c>
    </row>
    <row r="251" spans="1:5" x14ac:dyDescent="0.3">
      <c r="A251" s="13" t="s">
        <v>1</v>
      </c>
      <c r="B251" s="13" t="s">
        <v>940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165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1271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1028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2390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619</v>
      </c>
      <c r="C256" s="13">
        <v>2</v>
      </c>
      <c r="D256" s="13">
        <v>1</v>
      </c>
      <c r="E256" s="13">
        <v>2</v>
      </c>
    </row>
    <row r="257" spans="1:5" x14ac:dyDescent="0.3">
      <c r="A257" s="13" t="s">
        <v>1</v>
      </c>
      <c r="B257" s="13" t="s">
        <v>1313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2910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397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1330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512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1581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1808</v>
      </c>
      <c r="C263" s="13">
        <v>1</v>
      </c>
      <c r="D263" s="13">
        <v>1</v>
      </c>
      <c r="E263" s="13">
        <v>2</v>
      </c>
    </row>
    <row r="264" spans="1:5" x14ac:dyDescent="0.3">
      <c r="A264" s="13" t="s">
        <v>1</v>
      </c>
      <c r="B264" s="13" t="s">
        <v>943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517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688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113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736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2911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2912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358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737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1356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917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454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1647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1138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947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2913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1273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836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1081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404</v>
      </c>
      <c r="C283" s="13">
        <v>2</v>
      </c>
      <c r="D283" s="13">
        <v>1</v>
      </c>
      <c r="E283" s="13">
        <v>2</v>
      </c>
    </row>
    <row r="284" spans="1:5" x14ac:dyDescent="0.3">
      <c r="A284" s="13" t="s">
        <v>1</v>
      </c>
      <c r="B284" s="13" t="s">
        <v>405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2914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2314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331</v>
      </c>
      <c r="C287" s="13">
        <v>1</v>
      </c>
      <c r="D287" s="13">
        <v>1</v>
      </c>
      <c r="E287" s="13">
        <v>2</v>
      </c>
    </row>
    <row r="288" spans="1:5" x14ac:dyDescent="0.3">
      <c r="A288" s="13" t="s">
        <v>1</v>
      </c>
      <c r="B288" s="13" t="s">
        <v>774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661</v>
      </c>
      <c r="C289" s="13">
        <v>2</v>
      </c>
      <c r="D289" s="13">
        <v>1</v>
      </c>
      <c r="E289" s="13">
        <v>3</v>
      </c>
    </row>
    <row r="290" spans="1:5" x14ac:dyDescent="0.3">
      <c r="A290" s="13" t="s">
        <v>1</v>
      </c>
      <c r="B290" s="13" t="s">
        <v>838</v>
      </c>
      <c r="C290" s="13">
        <v>1</v>
      </c>
      <c r="D290" s="13">
        <v>1</v>
      </c>
      <c r="E290" s="13">
        <v>2</v>
      </c>
    </row>
    <row r="291" spans="1:5" x14ac:dyDescent="0.3">
      <c r="A291" s="13" t="s">
        <v>1</v>
      </c>
      <c r="B291" s="13" t="s">
        <v>1245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335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1481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1092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743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1115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1618</v>
      </c>
      <c r="C297" s="13">
        <v>1</v>
      </c>
      <c r="D297" s="13">
        <v>1</v>
      </c>
      <c r="E297" s="13">
        <v>2</v>
      </c>
    </row>
    <row r="298" spans="1:5" x14ac:dyDescent="0.3">
      <c r="A298" s="13" t="s">
        <v>1</v>
      </c>
      <c r="B298" s="13" t="s">
        <v>364</v>
      </c>
      <c r="C298" s="13">
        <v>2</v>
      </c>
      <c r="D298" s="13">
        <v>1</v>
      </c>
      <c r="E298" s="13">
        <v>2</v>
      </c>
    </row>
    <row r="299" spans="1:5" x14ac:dyDescent="0.3">
      <c r="A299" s="13" t="s">
        <v>1</v>
      </c>
      <c r="B299" s="13" t="s">
        <v>410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1346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1838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534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1043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178</v>
      </c>
      <c r="C304" s="13">
        <v>2</v>
      </c>
      <c r="D304" s="13">
        <v>1</v>
      </c>
      <c r="E304" s="13">
        <v>2</v>
      </c>
    </row>
    <row r="305" spans="1:5" x14ac:dyDescent="0.3">
      <c r="A305" s="13" t="s">
        <v>1</v>
      </c>
      <c r="B305" s="13" t="s">
        <v>668</v>
      </c>
      <c r="C305" s="13">
        <v>3</v>
      </c>
      <c r="D305" s="13">
        <v>1</v>
      </c>
      <c r="E305" s="13">
        <v>4</v>
      </c>
    </row>
    <row r="306" spans="1:5" x14ac:dyDescent="0.3">
      <c r="A306" s="13" t="s">
        <v>1</v>
      </c>
      <c r="B306" s="13" t="s">
        <v>124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776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2502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845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294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1678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976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456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458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1912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339</v>
      </c>
      <c r="C316" s="13">
        <v>2</v>
      </c>
      <c r="D316" s="13">
        <v>1</v>
      </c>
      <c r="E316" s="13">
        <v>2</v>
      </c>
    </row>
    <row r="317" spans="1:5" x14ac:dyDescent="0.3">
      <c r="A317" s="13" t="s">
        <v>1</v>
      </c>
      <c r="B317" s="13" t="s">
        <v>866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1407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1561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635</v>
      </c>
      <c r="C320" s="13">
        <v>1</v>
      </c>
      <c r="D320" s="13">
        <v>1</v>
      </c>
      <c r="E320" s="13">
        <v>2</v>
      </c>
    </row>
    <row r="321" spans="1:5" x14ac:dyDescent="0.3">
      <c r="A321" s="13" t="s">
        <v>1</v>
      </c>
      <c r="B321" s="13" t="s">
        <v>126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781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714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1152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131</v>
      </c>
      <c r="C325" s="13">
        <v>3</v>
      </c>
      <c r="D325" s="13">
        <v>1</v>
      </c>
      <c r="E325" s="13">
        <v>3</v>
      </c>
    </row>
    <row r="326" spans="1:5" x14ac:dyDescent="0.3">
      <c r="A326" s="13" t="s">
        <v>1</v>
      </c>
      <c r="B326" s="13" t="s">
        <v>38</v>
      </c>
      <c r="C326" s="13">
        <v>2</v>
      </c>
      <c r="D326" s="13">
        <v>1</v>
      </c>
      <c r="E326" s="13">
        <v>3</v>
      </c>
    </row>
    <row r="327" spans="1:5" x14ac:dyDescent="0.3">
      <c r="A327" s="13" t="s">
        <v>1</v>
      </c>
      <c r="B327" s="13" t="s">
        <v>1537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716</v>
      </c>
      <c r="C328" s="13">
        <v>1</v>
      </c>
      <c r="D328" s="13">
        <v>1</v>
      </c>
      <c r="E328" s="13">
        <v>2</v>
      </c>
    </row>
    <row r="329" spans="1:5" x14ac:dyDescent="0.3">
      <c r="A329" s="13" t="s">
        <v>1</v>
      </c>
      <c r="B329" s="13" t="s">
        <v>797</v>
      </c>
      <c r="C329" s="13">
        <v>1</v>
      </c>
      <c r="D329" s="13">
        <v>1</v>
      </c>
      <c r="E329" s="13">
        <v>2</v>
      </c>
    </row>
    <row r="330" spans="1:5" x14ac:dyDescent="0.3">
      <c r="A330" s="13" t="s">
        <v>1</v>
      </c>
      <c r="B330" s="13" t="s">
        <v>542</v>
      </c>
      <c r="C330" s="13">
        <v>2</v>
      </c>
      <c r="D330" s="13">
        <v>1</v>
      </c>
      <c r="E330" s="13">
        <v>2</v>
      </c>
    </row>
    <row r="331" spans="1:5" x14ac:dyDescent="0.3">
      <c r="A331" s="13" t="s">
        <v>1</v>
      </c>
      <c r="B331" s="13" t="s">
        <v>53</v>
      </c>
      <c r="C331" s="13">
        <v>2</v>
      </c>
      <c r="D331" s="13">
        <v>1</v>
      </c>
      <c r="E331" s="13">
        <v>2</v>
      </c>
    </row>
    <row r="332" spans="1:5" x14ac:dyDescent="0.3">
      <c r="A332" s="13" t="s">
        <v>1</v>
      </c>
      <c r="B332" s="13" t="s">
        <v>803</v>
      </c>
      <c r="C332" s="13">
        <v>2</v>
      </c>
      <c r="D332" s="13">
        <v>1</v>
      </c>
      <c r="E332" s="13">
        <v>1</v>
      </c>
    </row>
    <row r="333" spans="1:5" x14ac:dyDescent="0.3">
      <c r="A333" s="13" t="s">
        <v>1</v>
      </c>
      <c r="B333" s="13" t="s">
        <v>785</v>
      </c>
      <c r="C333" s="13">
        <v>1</v>
      </c>
      <c r="D333" s="13">
        <v>1</v>
      </c>
      <c r="E333" s="13">
        <v>3</v>
      </c>
    </row>
    <row r="334" spans="1:5" x14ac:dyDescent="0.3">
      <c r="A334" s="13" t="s">
        <v>1</v>
      </c>
      <c r="B334" s="13" t="s">
        <v>54</v>
      </c>
      <c r="C334" s="13">
        <v>5</v>
      </c>
      <c r="D334" s="13">
        <v>1</v>
      </c>
      <c r="E334" s="13">
        <v>6</v>
      </c>
    </row>
    <row r="335" spans="1:5" x14ac:dyDescent="0.3">
      <c r="A335" s="13" t="s">
        <v>1</v>
      </c>
      <c r="B335" s="13" t="s">
        <v>1858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2915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1</v>
      </c>
      <c r="B337" s="13" t="s">
        <v>547</v>
      </c>
      <c r="C337" s="13">
        <v>1</v>
      </c>
      <c r="D337" s="13">
        <v>1</v>
      </c>
      <c r="E337" s="13"/>
    </row>
    <row r="338" spans="1:5" x14ac:dyDescent="0.3">
      <c r="A338" s="13" t="s">
        <v>1</v>
      </c>
      <c r="B338" s="13" t="s">
        <v>1563</v>
      </c>
      <c r="C338" s="13">
        <v>1</v>
      </c>
      <c r="D338" s="13">
        <v>1</v>
      </c>
      <c r="E338" s="13"/>
    </row>
    <row r="339" spans="1:5" x14ac:dyDescent="0.3">
      <c r="A339" s="13" t="s">
        <v>1</v>
      </c>
      <c r="B339" s="13" t="s">
        <v>259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869</v>
      </c>
      <c r="C340" s="13">
        <v>1</v>
      </c>
      <c r="D340" s="13">
        <v>2</v>
      </c>
      <c r="E340" s="13"/>
    </row>
    <row r="341" spans="1:5" x14ac:dyDescent="0.3">
      <c r="A341" s="13" t="s">
        <v>1</v>
      </c>
      <c r="B341" s="13" t="s">
        <v>1623</v>
      </c>
      <c r="C341" s="13">
        <v>1</v>
      </c>
      <c r="D341" s="13">
        <v>1</v>
      </c>
      <c r="E341" s="13"/>
    </row>
    <row r="342" spans="1:5" x14ac:dyDescent="0.3">
      <c r="A342" s="13" t="s">
        <v>1</v>
      </c>
      <c r="B342" s="13" t="s">
        <v>1673</v>
      </c>
      <c r="C342" s="13">
        <v>1</v>
      </c>
      <c r="D342" s="13">
        <v>1</v>
      </c>
      <c r="E342" s="13">
        <v>2</v>
      </c>
    </row>
    <row r="343" spans="1:5" x14ac:dyDescent="0.3">
      <c r="A343" s="13" t="s">
        <v>1</v>
      </c>
      <c r="B343" s="13" t="s">
        <v>1953</v>
      </c>
      <c r="C343" s="13">
        <v>1</v>
      </c>
      <c r="D343" s="13">
        <v>1</v>
      </c>
      <c r="E343" s="13">
        <v>2</v>
      </c>
    </row>
    <row r="344" spans="1:5" x14ac:dyDescent="0.3">
      <c r="A344" s="13" t="s">
        <v>1</v>
      </c>
      <c r="B344" s="13" t="s">
        <v>2916</v>
      </c>
      <c r="C344" s="13">
        <v>1</v>
      </c>
      <c r="D344" s="13">
        <v>1</v>
      </c>
      <c r="E344" s="13">
        <v>2</v>
      </c>
    </row>
    <row r="345" spans="1:5" x14ac:dyDescent="0.3">
      <c r="A345" s="13" t="s">
        <v>1</v>
      </c>
      <c r="B345" s="13" t="s">
        <v>2618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1</v>
      </c>
      <c r="B346" s="13" t="s">
        <v>720</v>
      </c>
      <c r="C346" s="13">
        <v>1</v>
      </c>
      <c r="D346" s="13">
        <v>1</v>
      </c>
      <c r="E346" s="13"/>
    </row>
    <row r="347" spans="1:5" x14ac:dyDescent="0.3">
      <c r="A347" s="13" t="s">
        <v>1</v>
      </c>
      <c r="B347" s="13" t="s">
        <v>804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1</v>
      </c>
      <c r="B348" s="13" t="s">
        <v>750</v>
      </c>
      <c r="C348" s="13">
        <v>1</v>
      </c>
      <c r="D348" s="13">
        <v>1</v>
      </c>
      <c r="E348" s="13"/>
    </row>
    <row r="349" spans="1:5" x14ac:dyDescent="0.3">
      <c r="A349" s="13" t="s">
        <v>1</v>
      </c>
      <c r="B349" s="13" t="s">
        <v>913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1</v>
      </c>
      <c r="B350" s="13" t="s">
        <v>871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1</v>
      </c>
      <c r="B351" s="13" t="s">
        <v>1527</v>
      </c>
      <c r="C351" s="13">
        <v>1</v>
      </c>
      <c r="D351" s="13">
        <v>1</v>
      </c>
      <c r="E351" s="13">
        <v>2</v>
      </c>
    </row>
    <row r="352" spans="1:5" x14ac:dyDescent="0.3">
      <c r="A352" s="13" t="s">
        <v>1</v>
      </c>
      <c r="B352" s="13" t="s">
        <v>1435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1</v>
      </c>
      <c r="B353" s="13" t="s">
        <v>2352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238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0</v>
      </c>
      <c r="B355" s="13" t="s">
        <v>239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1650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420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75</v>
      </c>
      <c r="C358" s="13">
        <v>2</v>
      </c>
      <c r="D358" s="13">
        <v>1</v>
      </c>
      <c r="E358" s="13">
        <v>2</v>
      </c>
    </row>
    <row r="359" spans="1:5" x14ac:dyDescent="0.3">
      <c r="A359" s="13" t="s">
        <v>0</v>
      </c>
      <c r="B359" s="13" t="s">
        <v>142</v>
      </c>
      <c r="C359" s="13">
        <v>1</v>
      </c>
      <c r="D359" s="13">
        <v>1</v>
      </c>
      <c r="E359" s="13">
        <v>2</v>
      </c>
    </row>
    <row r="360" spans="1:5" x14ac:dyDescent="0.3">
      <c r="A360" s="13" t="s">
        <v>0</v>
      </c>
      <c r="B360" s="13" t="s">
        <v>919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345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267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34</v>
      </c>
      <c r="C363" s="13">
        <v>2</v>
      </c>
      <c r="D363" s="13">
        <v>1</v>
      </c>
      <c r="E363" s="13">
        <v>3</v>
      </c>
    </row>
    <row r="364" spans="1:5" x14ac:dyDescent="0.3">
      <c r="A364" s="13" t="s">
        <v>0</v>
      </c>
      <c r="B364" s="13" t="s">
        <v>813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80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147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603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88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90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215</v>
      </c>
      <c r="C370" s="13">
        <v>1</v>
      </c>
      <c r="D370" s="13">
        <v>1</v>
      </c>
      <c r="E370" s="13">
        <v>2</v>
      </c>
    </row>
    <row r="371" spans="1:5" x14ac:dyDescent="0.3">
      <c r="A371" s="13" t="s">
        <v>0</v>
      </c>
      <c r="B371" s="13" t="s">
        <v>272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91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658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761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42</v>
      </c>
      <c r="C375" s="13">
        <v>1</v>
      </c>
      <c r="D375" s="13">
        <v>1</v>
      </c>
      <c r="E375" s="13">
        <v>3</v>
      </c>
    </row>
    <row r="376" spans="1:5" x14ac:dyDescent="0.3">
      <c r="A376" s="13" t="s">
        <v>0</v>
      </c>
      <c r="B376" s="13" t="s">
        <v>471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1067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1570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1631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1674</v>
      </c>
      <c r="C380" s="13">
        <v>3</v>
      </c>
      <c r="D380" s="13">
        <v>1</v>
      </c>
      <c r="E380" s="13">
        <v>3</v>
      </c>
    </row>
    <row r="381" spans="1:5" x14ac:dyDescent="0.3">
      <c r="A381" s="13" t="s">
        <v>0</v>
      </c>
      <c r="B381" s="13" t="s">
        <v>1886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1884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1900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1988</v>
      </c>
      <c r="C384" s="13">
        <v>3</v>
      </c>
      <c r="D384" s="13">
        <v>1</v>
      </c>
      <c r="E384" s="13">
        <v>3</v>
      </c>
    </row>
    <row r="385" spans="1:5" x14ac:dyDescent="0.3">
      <c r="A385" s="13" t="s">
        <v>0</v>
      </c>
      <c r="B385" s="13" t="s">
        <v>2093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2425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2624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2917</v>
      </c>
      <c r="C388" s="13">
        <v>3</v>
      </c>
      <c r="D388" s="13">
        <v>1</v>
      </c>
      <c r="E388" s="13">
        <v>4</v>
      </c>
    </row>
    <row r="389" spans="1:5" x14ac:dyDescent="0.3">
      <c r="A389" s="13" t="s">
        <v>0</v>
      </c>
      <c r="B389" s="13" t="s">
        <v>154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221</v>
      </c>
      <c r="C390" s="13">
        <v>1</v>
      </c>
      <c r="D390" s="13">
        <v>1</v>
      </c>
      <c r="E390" s="13">
        <v>2</v>
      </c>
    </row>
    <row r="391" spans="1:5" x14ac:dyDescent="0.3">
      <c r="A391" s="13" t="s">
        <v>0</v>
      </c>
      <c r="B391" s="13" t="s">
        <v>559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1720</v>
      </c>
      <c r="C392" s="13">
        <v>1</v>
      </c>
      <c r="D392" s="13">
        <v>1</v>
      </c>
      <c r="E392" s="13">
        <v>2</v>
      </c>
    </row>
    <row r="393" spans="1:5" x14ac:dyDescent="0.3">
      <c r="A393" s="13" t="s">
        <v>0</v>
      </c>
      <c r="B393" s="13" t="s">
        <v>476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1053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258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560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510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1034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156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391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2918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28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564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681</v>
      </c>
      <c r="C404" s="13">
        <v>1</v>
      </c>
      <c r="D404" s="13">
        <v>1</v>
      </c>
      <c r="E404" s="13">
        <v>2</v>
      </c>
    </row>
    <row r="405" spans="1:5" x14ac:dyDescent="0.3">
      <c r="A405" s="13" t="s">
        <v>0</v>
      </c>
      <c r="B405" s="13" t="s">
        <v>1983</v>
      </c>
      <c r="C405" s="13">
        <v>1</v>
      </c>
      <c r="D405" s="13">
        <v>1</v>
      </c>
      <c r="E405" s="13">
        <v>2</v>
      </c>
    </row>
    <row r="406" spans="1:5" x14ac:dyDescent="0.3">
      <c r="A406" s="13" t="s">
        <v>0</v>
      </c>
      <c r="B406" s="13" t="s">
        <v>2439</v>
      </c>
      <c r="C406" s="13">
        <v>1</v>
      </c>
      <c r="D406" s="13">
        <v>1</v>
      </c>
      <c r="E406" s="13">
        <v>2</v>
      </c>
    </row>
    <row r="407" spans="1:5" x14ac:dyDescent="0.3">
      <c r="A407" s="13" t="s">
        <v>0</v>
      </c>
      <c r="B407" s="13" t="s">
        <v>2919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163</v>
      </c>
      <c r="C408" s="13">
        <v>2</v>
      </c>
      <c r="D408" s="13">
        <v>1</v>
      </c>
      <c r="E408" s="13">
        <v>5</v>
      </c>
    </row>
    <row r="409" spans="1:5" x14ac:dyDescent="0.3">
      <c r="A409" s="13" t="s">
        <v>0</v>
      </c>
      <c r="B409" s="13" t="s">
        <v>1055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429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195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165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1021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168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2516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1166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314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1214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316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689</v>
      </c>
      <c r="C420" s="13">
        <v>1</v>
      </c>
      <c r="D420" s="13">
        <v>1</v>
      </c>
      <c r="E420" s="13">
        <v>3</v>
      </c>
    </row>
    <row r="421" spans="1:5" x14ac:dyDescent="0.3">
      <c r="A421" s="13" t="s">
        <v>0</v>
      </c>
      <c r="B421" s="13" t="s">
        <v>318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2116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1187</v>
      </c>
      <c r="C423" s="13">
        <v>1</v>
      </c>
      <c r="D423" s="13">
        <v>1</v>
      </c>
      <c r="E423" s="13">
        <v>4</v>
      </c>
    </row>
    <row r="424" spans="1:5" x14ac:dyDescent="0.3">
      <c r="A424" s="13" t="s">
        <v>0</v>
      </c>
      <c r="B424" s="13" t="s">
        <v>2920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453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570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285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2921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1188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917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401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768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1442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2590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172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837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1902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2922</v>
      </c>
      <c r="C438" s="13">
        <v>1</v>
      </c>
      <c r="D438" s="13">
        <v>1</v>
      </c>
      <c r="E438" s="13">
        <v>2</v>
      </c>
    </row>
    <row r="439" spans="1:5" x14ac:dyDescent="0.3">
      <c r="A439" s="13" t="s">
        <v>0</v>
      </c>
      <c r="B439" s="13" t="s">
        <v>632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62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122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661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46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123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175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751</v>
      </c>
      <c r="C446" s="13">
        <v>1</v>
      </c>
      <c r="D446" s="13">
        <v>1</v>
      </c>
      <c r="E446" s="13">
        <v>2</v>
      </c>
    </row>
    <row r="447" spans="1:5" x14ac:dyDescent="0.3">
      <c r="A447" s="13" t="s">
        <v>0</v>
      </c>
      <c r="B447" s="13" t="s">
        <v>1701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63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1838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178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337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1439</v>
      </c>
      <c r="C452" s="13">
        <v>1</v>
      </c>
      <c r="D452" s="13">
        <v>1</v>
      </c>
      <c r="E452" s="13">
        <v>3</v>
      </c>
    </row>
    <row r="453" spans="1:5" x14ac:dyDescent="0.3">
      <c r="A453" s="13" t="s">
        <v>0</v>
      </c>
      <c r="B453" s="13" t="s">
        <v>1044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456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255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339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538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127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438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131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187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0</v>
      </c>
      <c r="B462" s="13" t="s">
        <v>1381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0</v>
      </c>
      <c r="B463" s="13" t="s">
        <v>295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716</v>
      </c>
      <c r="C464" s="13">
        <v>1</v>
      </c>
      <c r="D464" s="13">
        <v>1</v>
      </c>
      <c r="E464" s="13">
        <v>2</v>
      </c>
    </row>
    <row r="465" spans="1:5" x14ac:dyDescent="0.3">
      <c r="A465" s="13" t="s">
        <v>0</v>
      </c>
      <c r="B465" s="13" t="s">
        <v>230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0</v>
      </c>
      <c r="B466" s="13" t="s">
        <v>1145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0</v>
      </c>
      <c r="B467" s="13" t="s">
        <v>53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0</v>
      </c>
      <c r="B468" s="13" t="s">
        <v>190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0</v>
      </c>
      <c r="B469" s="13" t="s">
        <v>1050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0</v>
      </c>
      <c r="B470" s="13" t="s">
        <v>191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0</v>
      </c>
      <c r="B471" s="13" t="s">
        <v>67</v>
      </c>
      <c r="C471" s="13">
        <v>1</v>
      </c>
      <c r="D471" s="13">
        <v>1</v>
      </c>
      <c r="E471" s="13">
        <v>3</v>
      </c>
    </row>
    <row r="472" spans="1:5" x14ac:dyDescent="0.3">
      <c r="A472" s="13" t="s">
        <v>0</v>
      </c>
      <c r="B472" s="13" t="s">
        <v>135</v>
      </c>
      <c r="C472" s="13">
        <v>1</v>
      </c>
      <c r="D472" s="13">
        <v>1</v>
      </c>
      <c r="E472" s="13">
        <v>3</v>
      </c>
    </row>
    <row r="473" spans="1:5" x14ac:dyDescent="0.3">
      <c r="A473" s="13" t="s">
        <v>0</v>
      </c>
      <c r="B473" s="13" t="s">
        <v>546</v>
      </c>
      <c r="C473" s="13">
        <v>1</v>
      </c>
      <c r="D473" s="13">
        <v>1</v>
      </c>
      <c r="E473" s="13"/>
    </row>
    <row r="474" spans="1:5" x14ac:dyDescent="0.3">
      <c r="A474" s="13" t="s">
        <v>0</v>
      </c>
      <c r="B474" s="13" t="s">
        <v>2923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0</v>
      </c>
      <c r="B475" s="13" t="s">
        <v>911</v>
      </c>
      <c r="C475" s="13">
        <v>1</v>
      </c>
      <c r="D475" s="13">
        <v>1</v>
      </c>
      <c r="E475" s="13">
        <v>1</v>
      </c>
    </row>
    <row r="476" spans="1:5" x14ac:dyDescent="0.3">
      <c r="A476" s="13" t="s">
        <v>0</v>
      </c>
      <c r="B476" s="13" t="s">
        <v>2924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0</v>
      </c>
      <c r="B477" s="13" t="s">
        <v>2121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0</v>
      </c>
      <c r="B478" s="13" t="s">
        <v>2925</v>
      </c>
      <c r="C478" s="13">
        <v>1</v>
      </c>
      <c r="D478" s="13">
        <v>1</v>
      </c>
      <c r="E478" s="13"/>
    </row>
    <row r="479" spans="1:5" x14ac:dyDescent="0.3">
      <c r="A479" s="13" t="s">
        <v>0</v>
      </c>
      <c r="B479" s="13" t="s">
        <v>981</v>
      </c>
      <c r="C479" s="13">
        <v>1</v>
      </c>
      <c r="D479" s="13">
        <v>1</v>
      </c>
      <c r="E479" s="13"/>
    </row>
    <row r="480" spans="1:5" x14ac:dyDescent="0.3">
      <c r="A480" s="13" t="s">
        <v>0</v>
      </c>
      <c r="B480" s="13" t="s">
        <v>2282</v>
      </c>
      <c r="C480" s="13">
        <v>1</v>
      </c>
      <c r="D480" s="13">
        <v>1</v>
      </c>
      <c r="E480" s="13"/>
    </row>
    <row r="481" spans="1:5" x14ac:dyDescent="0.3">
      <c r="A481" s="13" t="s">
        <v>0</v>
      </c>
      <c r="B481" s="13" t="s">
        <v>1404</v>
      </c>
      <c r="C481" s="13">
        <v>1</v>
      </c>
      <c r="D481" s="13">
        <v>1</v>
      </c>
      <c r="E481" s="13"/>
    </row>
    <row r="482" spans="1:5" x14ac:dyDescent="0.3">
      <c r="A482" s="13" t="s">
        <v>0</v>
      </c>
      <c r="B482" s="13" t="s">
        <v>2349</v>
      </c>
      <c r="C482" s="13">
        <v>1</v>
      </c>
      <c r="D482" s="13">
        <v>1</v>
      </c>
      <c r="E482" s="13">
        <v>1</v>
      </c>
    </row>
    <row r="483" spans="1:5" x14ac:dyDescent="0.3">
      <c r="A483" s="13" t="s">
        <v>0</v>
      </c>
      <c r="B483" s="13" t="s">
        <v>2354</v>
      </c>
      <c r="C483" s="13">
        <v>1</v>
      </c>
      <c r="D483" s="13">
        <v>1</v>
      </c>
      <c r="E483" s="13">
        <v>1</v>
      </c>
    </row>
    <row r="484" spans="1:5" x14ac:dyDescent="0.3">
      <c r="A484" s="13" t="s">
        <v>2</v>
      </c>
      <c r="B484" s="13" t="s">
        <v>372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2</v>
      </c>
      <c r="B485" s="13" t="s">
        <v>79</v>
      </c>
      <c r="C485" s="13">
        <v>1</v>
      </c>
      <c r="D485" s="13">
        <v>1</v>
      </c>
      <c r="E485" s="13">
        <v>1</v>
      </c>
    </row>
    <row r="486" spans="1:5" x14ac:dyDescent="0.3">
      <c r="A486" s="13" t="s">
        <v>2</v>
      </c>
      <c r="B486" s="13" t="s">
        <v>260</v>
      </c>
      <c r="C486" s="13">
        <v>1</v>
      </c>
      <c r="D486" s="13">
        <v>1</v>
      </c>
      <c r="E486" s="13">
        <v>1</v>
      </c>
    </row>
    <row r="487" spans="1:5" x14ac:dyDescent="0.3">
      <c r="A487" s="13" t="s">
        <v>2</v>
      </c>
      <c r="B487" s="13" t="s">
        <v>150</v>
      </c>
      <c r="C487" s="13">
        <v>1</v>
      </c>
      <c r="D487" s="13">
        <v>1</v>
      </c>
      <c r="E487" s="13">
        <v>1</v>
      </c>
    </row>
    <row r="488" spans="1:5" x14ac:dyDescent="0.3">
      <c r="A488" s="13" t="s">
        <v>2</v>
      </c>
      <c r="B488" s="13" t="s">
        <v>1570</v>
      </c>
      <c r="C488" s="13">
        <v>1</v>
      </c>
      <c r="D488" s="13">
        <v>1</v>
      </c>
      <c r="E488" s="13">
        <v>1</v>
      </c>
    </row>
    <row r="489" spans="1:5" x14ac:dyDescent="0.3">
      <c r="A489" s="13" t="s">
        <v>2</v>
      </c>
      <c r="B489" s="13" t="s">
        <v>51</v>
      </c>
      <c r="C489" s="13">
        <v>1</v>
      </c>
      <c r="D489" s="13">
        <v>1</v>
      </c>
      <c r="E489" s="13">
        <v>2</v>
      </c>
    </row>
    <row r="490" spans="1:5" x14ac:dyDescent="0.3">
      <c r="A490" s="13" t="s">
        <v>2</v>
      </c>
      <c r="B490" s="13" t="s">
        <v>568</v>
      </c>
      <c r="C490" s="13">
        <v>1</v>
      </c>
      <c r="D490" s="13">
        <v>1</v>
      </c>
      <c r="E490" s="13">
        <v>1</v>
      </c>
    </row>
    <row r="491" spans="1:5" x14ac:dyDescent="0.3">
      <c r="A491" s="13" t="s">
        <v>2</v>
      </c>
      <c r="B491" s="13" t="s">
        <v>113</v>
      </c>
      <c r="C491" s="13">
        <v>1</v>
      </c>
      <c r="D491" s="13">
        <v>1</v>
      </c>
      <c r="E491" s="13">
        <v>1</v>
      </c>
    </row>
    <row r="492" spans="1:5" x14ac:dyDescent="0.3">
      <c r="A492" s="13" t="s">
        <v>2</v>
      </c>
      <c r="B492" s="13" t="s">
        <v>120</v>
      </c>
      <c r="C492" s="13">
        <v>1</v>
      </c>
      <c r="D492" s="13">
        <v>1</v>
      </c>
      <c r="E492" s="13">
        <v>1</v>
      </c>
    </row>
    <row r="493" spans="1:5" x14ac:dyDescent="0.3">
      <c r="A493" s="13" t="s">
        <v>2</v>
      </c>
      <c r="B493" s="13" t="s">
        <v>123</v>
      </c>
      <c r="C493" s="13">
        <v>1</v>
      </c>
      <c r="D493" s="13">
        <v>1</v>
      </c>
      <c r="E493" s="13">
        <v>1</v>
      </c>
    </row>
    <row r="494" spans="1:5" x14ac:dyDescent="0.3">
      <c r="A494" s="13" t="s">
        <v>2</v>
      </c>
      <c r="B494" s="13" t="s">
        <v>63</v>
      </c>
      <c r="C494" s="13">
        <v>1</v>
      </c>
      <c r="D494" s="13">
        <v>1</v>
      </c>
      <c r="E494" s="13">
        <v>1</v>
      </c>
    </row>
    <row r="495" spans="1:5" x14ac:dyDescent="0.3">
      <c r="A495" s="13" t="s">
        <v>2</v>
      </c>
      <c r="B495" s="13" t="s">
        <v>668</v>
      </c>
      <c r="C495" s="13">
        <v>2</v>
      </c>
      <c r="D495" s="13">
        <v>1</v>
      </c>
      <c r="E495" s="13">
        <v>3</v>
      </c>
    </row>
    <row r="496" spans="1:5" x14ac:dyDescent="0.3">
      <c r="A496" s="13" t="s">
        <v>2</v>
      </c>
      <c r="B496" s="13" t="s">
        <v>577</v>
      </c>
      <c r="C496" s="13">
        <v>1</v>
      </c>
      <c r="D496" s="13">
        <v>1</v>
      </c>
      <c r="E496" s="13">
        <v>1</v>
      </c>
    </row>
    <row r="497" spans="1:5" x14ac:dyDescent="0.3">
      <c r="A497" s="13" t="s">
        <v>2</v>
      </c>
      <c r="B497" s="13" t="s">
        <v>67</v>
      </c>
      <c r="C497" s="13">
        <v>1</v>
      </c>
      <c r="D497" s="13">
        <v>1</v>
      </c>
      <c r="E497" s="13">
        <v>1</v>
      </c>
    </row>
    <row r="498" spans="1:5" x14ac:dyDescent="0.3">
      <c r="A498" s="13" t="s">
        <v>1</v>
      </c>
      <c r="B498" s="13" t="s">
        <v>1350</v>
      </c>
      <c r="C498" s="13">
        <v>2</v>
      </c>
      <c r="D498" s="13">
        <v>0</v>
      </c>
      <c r="E498" s="13">
        <v>2</v>
      </c>
    </row>
    <row r="499" spans="1:5" x14ac:dyDescent="0.3">
      <c r="A499" s="13" t="s">
        <v>1</v>
      </c>
      <c r="B499" s="13" t="s">
        <v>965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443</v>
      </c>
      <c r="C500" s="13">
        <v>2</v>
      </c>
      <c r="D500" s="13">
        <v>0</v>
      </c>
      <c r="E500" s="13">
        <v>2</v>
      </c>
    </row>
    <row r="501" spans="1:5" x14ac:dyDescent="0.3">
      <c r="A501" s="13" t="s">
        <v>1</v>
      </c>
      <c r="B501" s="13" t="s">
        <v>300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200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2626</v>
      </c>
      <c r="C503" s="13">
        <v>1</v>
      </c>
      <c r="D503" s="13">
        <v>0</v>
      </c>
      <c r="E503" s="13">
        <v>1</v>
      </c>
    </row>
    <row r="504" spans="1:5" x14ac:dyDescent="0.3">
      <c r="A504" s="13" t="s">
        <v>1</v>
      </c>
      <c r="B504" s="13" t="s">
        <v>1029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1455</v>
      </c>
      <c r="C505" s="13">
        <v>1</v>
      </c>
      <c r="D505" s="13">
        <v>0</v>
      </c>
      <c r="E505" s="13">
        <v>1</v>
      </c>
    </row>
    <row r="506" spans="1:5" x14ac:dyDescent="0.3">
      <c r="A506" s="13" t="s">
        <v>1</v>
      </c>
      <c r="B506" s="13" t="s">
        <v>587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241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140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205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2926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853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242</v>
      </c>
      <c r="C512" s="13">
        <v>1</v>
      </c>
      <c r="D512" s="13">
        <v>0</v>
      </c>
      <c r="E512" s="13">
        <v>2</v>
      </c>
    </row>
    <row r="513" spans="1:5" x14ac:dyDescent="0.3">
      <c r="A513" s="13" t="s">
        <v>1</v>
      </c>
      <c r="B513" s="13" t="s">
        <v>1679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983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348</v>
      </c>
      <c r="C515" s="13">
        <v>2</v>
      </c>
      <c r="D515" s="13">
        <v>0</v>
      </c>
      <c r="E515" s="13">
        <v>2</v>
      </c>
    </row>
    <row r="516" spans="1:5" x14ac:dyDescent="0.3">
      <c r="A516" s="13" t="s">
        <v>1</v>
      </c>
      <c r="B516" s="13" t="s">
        <v>1530</v>
      </c>
      <c r="C516" s="13">
        <v>1</v>
      </c>
      <c r="D516" s="13">
        <v>0</v>
      </c>
      <c r="E516" s="13">
        <v>2</v>
      </c>
    </row>
    <row r="517" spans="1:5" x14ac:dyDescent="0.3">
      <c r="A517" s="13" t="s">
        <v>1</v>
      </c>
      <c r="B517" s="13" t="s">
        <v>1225</v>
      </c>
      <c r="C517" s="13">
        <v>1</v>
      </c>
      <c r="D517" s="13">
        <v>0</v>
      </c>
      <c r="E517" s="13">
        <v>0</v>
      </c>
    </row>
    <row r="518" spans="1:5" x14ac:dyDescent="0.3">
      <c r="A518" s="13" t="s">
        <v>1</v>
      </c>
      <c r="B518" s="13" t="s">
        <v>2536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2927</v>
      </c>
      <c r="C519" s="13">
        <v>1</v>
      </c>
      <c r="D519" s="13">
        <v>0</v>
      </c>
      <c r="E519" s="13">
        <v>1</v>
      </c>
    </row>
    <row r="520" spans="1:5" x14ac:dyDescent="0.3">
      <c r="A520" s="13" t="s">
        <v>1</v>
      </c>
      <c r="B520" s="13" t="s">
        <v>349</v>
      </c>
      <c r="C520" s="13">
        <v>1</v>
      </c>
      <c r="D520" s="13">
        <v>0</v>
      </c>
      <c r="E520" s="13">
        <v>2</v>
      </c>
    </row>
    <row r="521" spans="1:5" x14ac:dyDescent="0.3">
      <c r="A521" s="13" t="s">
        <v>1</v>
      </c>
      <c r="B521" s="13" t="s">
        <v>1019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2288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1031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464</v>
      </c>
      <c r="C524" s="13">
        <v>2</v>
      </c>
      <c r="D524" s="13">
        <v>0</v>
      </c>
      <c r="E524" s="13">
        <v>3</v>
      </c>
    </row>
    <row r="525" spans="1:5" x14ac:dyDescent="0.3">
      <c r="A525" s="13" t="s">
        <v>1</v>
      </c>
      <c r="B525" s="13" t="s">
        <v>89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606</v>
      </c>
      <c r="C526" s="13">
        <v>2</v>
      </c>
      <c r="D526" s="13">
        <v>0</v>
      </c>
      <c r="E526" s="13">
        <v>2</v>
      </c>
    </row>
    <row r="527" spans="1:5" x14ac:dyDescent="0.3">
      <c r="A527" s="13" t="s">
        <v>1</v>
      </c>
      <c r="B527" s="13" t="s">
        <v>214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149</v>
      </c>
      <c r="C528" s="13">
        <v>2</v>
      </c>
      <c r="D528" s="13">
        <v>0</v>
      </c>
      <c r="E528" s="13">
        <v>2</v>
      </c>
    </row>
    <row r="529" spans="1:5" x14ac:dyDescent="0.3">
      <c r="A529" s="13" t="s">
        <v>1</v>
      </c>
      <c r="B529" s="13" t="s">
        <v>90</v>
      </c>
      <c r="C529" s="13">
        <v>1</v>
      </c>
      <c r="D529" s="13">
        <v>0</v>
      </c>
      <c r="E529" s="13">
        <v>2</v>
      </c>
    </row>
    <row r="530" spans="1:5" x14ac:dyDescent="0.3">
      <c r="A530" s="13" t="s">
        <v>1</v>
      </c>
      <c r="B530" s="13" t="s">
        <v>244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676</v>
      </c>
      <c r="C531" s="13">
        <v>2</v>
      </c>
      <c r="D531" s="13">
        <v>0</v>
      </c>
      <c r="E531" s="13">
        <v>2</v>
      </c>
    </row>
    <row r="532" spans="1:5" x14ac:dyDescent="0.3">
      <c r="A532" s="13" t="s">
        <v>1</v>
      </c>
      <c r="B532" s="13" t="s">
        <v>217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818</v>
      </c>
      <c r="C533" s="13">
        <v>1</v>
      </c>
      <c r="D533" s="13">
        <v>0</v>
      </c>
      <c r="E533" s="13">
        <v>2</v>
      </c>
    </row>
    <row r="534" spans="1:5" x14ac:dyDescent="0.3">
      <c r="A534" s="13" t="s">
        <v>1</v>
      </c>
      <c r="B534" s="13" t="s">
        <v>150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1178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352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353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677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356</v>
      </c>
      <c r="C539" s="13">
        <v>1</v>
      </c>
      <c r="D539" s="13">
        <v>0</v>
      </c>
      <c r="E539" s="13">
        <v>2</v>
      </c>
    </row>
    <row r="540" spans="1:5" x14ac:dyDescent="0.3">
      <c r="A540" s="13" t="s">
        <v>1</v>
      </c>
      <c r="B540" s="13" t="s">
        <v>653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1485</v>
      </c>
      <c r="C541" s="13">
        <v>2</v>
      </c>
      <c r="D541" s="13">
        <v>0</v>
      </c>
      <c r="E541" s="13">
        <v>2</v>
      </c>
    </row>
    <row r="542" spans="1:5" x14ac:dyDescent="0.3">
      <c r="A542" s="13" t="s">
        <v>1</v>
      </c>
      <c r="B542" s="13" t="s">
        <v>1518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1631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1651</v>
      </c>
      <c r="C544" s="13">
        <v>2</v>
      </c>
      <c r="D544" s="13">
        <v>0</v>
      </c>
      <c r="E544" s="13">
        <v>2</v>
      </c>
    </row>
    <row r="545" spans="1:5" x14ac:dyDescent="0.3">
      <c r="A545" s="13" t="s">
        <v>1</v>
      </c>
      <c r="B545" s="13" t="s">
        <v>1664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1761</v>
      </c>
      <c r="C546" s="13">
        <v>2</v>
      </c>
      <c r="D546" s="13">
        <v>0</v>
      </c>
      <c r="E546" s="13">
        <v>2</v>
      </c>
    </row>
    <row r="547" spans="1:5" x14ac:dyDescent="0.3">
      <c r="A547" s="13" t="s">
        <v>1</v>
      </c>
      <c r="B547" s="13" t="s">
        <v>1854</v>
      </c>
      <c r="C547" s="13">
        <v>2</v>
      </c>
      <c r="D547" s="13">
        <v>0</v>
      </c>
      <c r="E547" s="13">
        <v>2</v>
      </c>
    </row>
    <row r="548" spans="1:5" x14ac:dyDescent="0.3">
      <c r="A548" s="13" t="s">
        <v>1</v>
      </c>
      <c r="B548" s="13" t="s">
        <v>1888</v>
      </c>
      <c r="C548" s="13">
        <v>2</v>
      </c>
      <c r="D548" s="13">
        <v>0</v>
      </c>
      <c r="E548" s="13">
        <v>2</v>
      </c>
    </row>
    <row r="549" spans="1:5" x14ac:dyDescent="0.3">
      <c r="A549" s="13" t="s">
        <v>1</v>
      </c>
      <c r="B549" s="13" t="s">
        <v>1899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1910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1883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1960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2149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2148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2156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2407</v>
      </c>
      <c r="C556" s="13">
        <v>1</v>
      </c>
      <c r="D556" s="13">
        <v>0</v>
      </c>
      <c r="E556" s="13">
        <v>2</v>
      </c>
    </row>
    <row r="557" spans="1:5" x14ac:dyDescent="0.3">
      <c r="A557" s="13" t="s">
        <v>1</v>
      </c>
      <c r="B557" s="13" t="s">
        <v>2339</v>
      </c>
      <c r="C557" s="13">
        <v>2</v>
      </c>
      <c r="D557" s="13">
        <v>0</v>
      </c>
      <c r="E557" s="13">
        <v>3</v>
      </c>
    </row>
    <row r="558" spans="1:5" x14ac:dyDescent="0.3">
      <c r="A558" s="13" t="s">
        <v>1</v>
      </c>
      <c r="B558" s="13" t="s">
        <v>2335</v>
      </c>
      <c r="C558" s="13">
        <v>5</v>
      </c>
      <c r="D558" s="13">
        <v>0</v>
      </c>
      <c r="E558" s="13">
        <v>6</v>
      </c>
    </row>
    <row r="559" spans="1:5" x14ac:dyDescent="0.3">
      <c r="A559" s="13" t="s">
        <v>1</v>
      </c>
      <c r="B559" s="13" t="s">
        <v>2408</v>
      </c>
      <c r="C559" s="13">
        <v>2</v>
      </c>
      <c r="D559" s="13">
        <v>0</v>
      </c>
      <c r="E559" s="13">
        <v>3</v>
      </c>
    </row>
    <row r="560" spans="1:5" x14ac:dyDescent="0.3">
      <c r="A560" s="13" t="s">
        <v>1</v>
      </c>
      <c r="B560" s="13" t="s">
        <v>2624</v>
      </c>
      <c r="C560" s="13">
        <v>2</v>
      </c>
      <c r="D560" s="13">
        <v>0</v>
      </c>
      <c r="E560" s="13">
        <v>3</v>
      </c>
    </row>
    <row r="561" spans="1:5" x14ac:dyDescent="0.3">
      <c r="A561" s="13" t="s">
        <v>1</v>
      </c>
      <c r="B561" s="13" t="s">
        <v>2657</v>
      </c>
      <c r="C561" s="13">
        <v>1</v>
      </c>
      <c r="D561" s="13">
        <v>0</v>
      </c>
      <c r="E561" s="13">
        <v>2</v>
      </c>
    </row>
    <row r="562" spans="1:5" x14ac:dyDescent="0.3">
      <c r="A562" s="13" t="s">
        <v>1</v>
      </c>
      <c r="B562" s="13" t="s">
        <v>2677</v>
      </c>
      <c r="C562" s="13">
        <v>2</v>
      </c>
      <c r="D562" s="13">
        <v>0</v>
      </c>
      <c r="E562" s="13">
        <v>3</v>
      </c>
    </row>
    <row r="563" spans="1:5" x14ac:dyDescent="0.3">
      <c r="A563" s="13" t="s">
        <v>1</v>
      </c>
      <c r="B563" s="13" t="s">
        <v>2917</v>
      </c>
      <c r="C563" s="13">
        <v>8</v>
      </c>
      <c r="D563" s="13">
        <v>0</v>
      </c>
      <c r="E563" s="13">
        <v>9</v>
      </c>
    </row>
    <row r="564" spans="1:5" x14ac:dyDescent="0.3">
      <c r="A564" s="13" t="s">
        <v>1</v>
      </c>
      <c r="B564" s="13" t="s">
        <v>2753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560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156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562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2582</v>
      </c>
      <c r="C568" s="13">
        <v>1</v>
      </c>
      <c r="D568" s="13">
        <v>0</v>
      </c>
      <c r="E568" s="13">
        <v>2</v>
      </c>
    </row>
    <row r="569" spans="1:5" x14ac:dyDescent="0.3">
      <c r="A569" s="13" t="s">
        <v>1</v>
      </c>
      <c r="B569" s="13" t="s">
        <v>1163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102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1054</v>
      </c>
      <c r="C571" s="13">
        <v>1</v>
      </c>
      <c r="D571" s="13">
        <v>0</v>
      </c>
      <c r="E571" s="13">
        <v>0</v>
      </c>
    </row>
    <row r="572" spans="1:5" x14ac:dyDescent="0.3">
      <c r="A572" s="13" t="s">
        <v>1</v>
      </c>
      <c r="B572" s="13" t="s">
        <v>2584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2928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2929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1408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616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2680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1937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513</v>
      </c>
      <c r="C579" s="13">
        <v>2</v>
      </c>
      <c r="D579" s="13">
        <v>0</v>
      </c>
      <c r="E579" s="13">
        <v>2</v>
      </c>
    </row>
    <row r="580" spans="1:5" x14ac:dyDescent="0.3">
      <c r="A580" s="13" t="s">
        <v>1</v>
      </c>
      <c r="B580" s="13" t="s">
        <v>579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1661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2930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660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171</v>
      </c>
      <c r="C584" s="13">
        <v>1</v>
      </c>
      <c r="D584" s="13">
        <v>0</v>
      </c>
      <c r="E584" s="13">
        <v>0</v>
      </c>
    </row>
    <row r="585" spans="1:5" x14ac:dyDescent="0.3">
      <c r="A585" s="13" t="s">
        <v>1</v>
      </c>
      <c r="B585" s="13" t="s">
        <v>685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1283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1107</v>
      </c>
      <c r="C587" s="13">
        <v>1</v>
      </c>
      <c r="D587" s="13">
        <v>0</v>
      </c>
      <c r="E587" s="13">
        <v>2</v>
      </c>
    </row>
    <row r="588" spans="1:5" x14ac:dyDescent="0.3">
      <c r="A588" s="13" t="s">
        <v>1</v>
      </c>
      <c r="B588" s="13" t="s">
        <v>316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1</v>
      </c>
      <c r="B589" s="13" t="s">
        <v>2931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317</v>
      </c>
      <c r="C590" s="13">
        <v>1</v>
      </c>
      <c r="D590" s="13">
        <v>0</v>
      </c>
      <c r="E590" s="13">
        <v>2</v>
      </c>
    </row>
    <row r="591" spans="1:5" x14ac:dyDescent="0.3">
      <c r="A591" s="13" t="s">
        <v>1</v>
      </c>
      <c r="B591" s="13" t="s">
        <v>2799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1258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2146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1516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453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1108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622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1</v>
      </c>
      <c r="B598" s="13" t="s">
        <v>2932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401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572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1</v>
      </c>
      <c r="B601" s="13" t="s">
        <v>1087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626</v>
      </c>
      <c r="C602" s="13">
        <v>1</v>
      </c>
      <c r="D602" s="13">
        <v>0</v>
      </c>
      <c r="E602" s="13">
        <v>0</v>
      </c>
    </row>
    <row r="603" spans="1:5" x14ac:dyDescent="0.3">
      <c r="A603" s="13" t="s">
        <v>1</v>
      </c>
      <c r="B603" s="13" t="s">
        <v>115</v>
      </c>
      <c r="C603" s="13">
        <v>1</v>
      </c>
      <c r="D603" s="13">
        <v>0</v>
      </c>
      <c r="E603" s="13">
        <v>0</v>
      </c>
    </row>
    <row r="604" spans="1:5" x14ac:dyDescent="0.3">
      <c r="A604" s="13" t="s">
        <v>1</v>
      </c>
      <c r="B604" s="13" t="s">
        <v>897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329</v>
      </c>
      <c r="C605" s="13">
        <v>3</v>
      </c>
      <c r="D605" s="13">
        <v>0</v>
      </c>
      <c r="E605" s="13">
        <v>4</v>
      </c>
    </row>
    <row r="606" spans="1:5" x14ac:dyDescent="0.3">
      <c r="A606" s="13" t="s">
        <v>1</v>
      </c>
      <c r="B606" s="13" t="s">
        <v>772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698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900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2456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701</v>
      </c>
      <c r="C610" s="13">
        <v>2</v>
      </c>
      <c r="D610" s="13">
        <v>0</v>
      </c>
      <c r="E610" s="13">
        <v>2</v>
      </c>
    </row>
    <row r="611" spans="1:5" x14ac:dyDescent="0.3">
      <c r="A611" s="13" t="s">
        <v>1</v>
      </c>
      <c r="B611" s="13" t="s">
        <v>2464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1765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1705</v>
      </c>
      <c r="C613" s="13">
        <v>1</v>
      </c>
      <c r="D613" s="13">
        <v>0</v>
      </c>
      <c r="E613" s="13">
        <v>0</v>
      </c>
    </row>
    <row r="614" spans="1:5" x14ac:dyDescent="0.3">
      <c r="A614" s="13" t="s">
        <v>1</v>
      </c>
      <c r="B614" s="13" t="s">
        <v>1401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1</v>
      </c>
      <c r="B615" s="13" t="s">
        <v>2933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1</v>
      </c>
      <c r="B616" s="13" t="s">
        <v>843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1</v>
      </c>
      <c r="B617" s="13" t="s">
        <v>1814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954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955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1</v>
      </c>
      <c r="B620" s="13" t="s">
        <v>2934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844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1011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1</v>
      </c>
      <c r="B623" s="14" t="s">
        <v>634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711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1</v>
      </c>
      <c r="B625" s="14" t="s">
        <v>712</v>
      </c>
      <c r="C625" s="14">
        <v>1</v>
      </c>
      <c r="D625" s="14">
        <v>0</v>
      </c>
      <c r="E625" s="14">
        <v>1</v>
      </c>
    </row>
    <row r="626" spans="1:5" x14ac:dyDescent="0.3">
      <c r="A626" s="14" t="s">
        <v>1</v>
      </c>
      <c r="B626" s="14" t="s">
        <v>2935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1</v>
      </c>
      <c r="B627" s="14" t="s">
        <v>337</v>
      </c>
      <c r="C627" s="14">
        <v>1</v>
      </c>
      <c r="D627" s="14">
        <v>0</v>
      </c>
      <c r="E627" s="14">
        <v>1</v>
      </c>
    </row>
    <row r="628" spans="1:5" x14ac:dyDescent="0.3">
      <c r="A628" s="14" t="s">
        <v>1</v>
      </c>
      <c r="B628" s="14" t="s">
        <v>1439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1</v>
      </c>
      <c r="B629" s="14" t="s">
        <v>665</v>
      </c>
      <c r="C629" s="14">
        <v>1</v>
      </c>
      <c r="D629" s="14">
        <v>0</v>
      </c>
      <c r="E629" s="14">
        <v>0</v>
      </c>
    </row>
    <row r="630" spans="1:5" x14ac:dyDescent="0.3">
      <c r="A630" s="14" t="s">
        <v>1</v>
      </c>
      <c r="B630" s="14" t="s">
        <v>1454</v>
      </c>
      <c r="C630" s="14">
        <v>1</v>
      </c>
      <c r="D630" s="14">
        <v>0</v>
      </c>
      <c r="E630" s="14">
        <v>1</v>
      </c>
    </row>
    <row r="631" spans="1:5" x14ac:dyDescent="0.3">
      <c r="A631" s="14" t="s">
        <v>1</v>
      </c>
      <c r="B631" s="14" t="s">
        <v>1218</v>
      </c>
      <c r="C631" s="14">
        <v>1</v>
      </c>
      <c r="D631" s="14">
        <v>0</v>
      </c>
      <c r="E631" s="14">
        <v>1</v>
      </c>
    </row>
    <row r="632" spans="1:5" x14ac:dyDescent="0.3">
      <c r="A632" s="14" t="s">
        <v>1</v>
      </c>
      <c r="B632" s="14" t="s">
        <v>846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2541</v>
      </c>
      <c r="C633" s="14">
        <v>1</v>
      </c>
      <c r="D633" s="14">
        <v>0</v>
      </c>
      <c r="E633" s="14">
        <v>1</v>
      </c>
    </row>
    <row r="634" spans="1:5" x14ac:dyDescent="0.3">
      <c r="A634" s="14" t="s">
        <v>1</v>
      </c>
      <c r="B634" s="14" t="s">
        <v>1049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1</v>
      </c>
      <c r="B635" s="14" t="s">
        <v>651</v>
      </c>
      <c r="C635" s="14">
        <v>1</v>
      </c>
      <c r="D635" s="14">
        <v>0</v>
      </c>
      <c r="E635" s="14">
        <v>1</v>
      </c>
    </row>
    <row r="636" spans="1:5" x14ac:dyDescent="0.3">
      <c r="A636" s="14" t="s">
        <v>1</v>
      </c>
      <c r="B636" s="14" t="s">
        <v>231</v>
      </c>
      <c r="C636" s="14">
        <v>10</v>
      </c>
      <c r="D636" s="14">
        <v>0</v>
      </c>
      <c r="E636" s="14">
        <v>21</v>
      </c>
    </row>
    <row r="637" spans="1:5" x14ac:dyDescent="0.3">
      <c r="A637" s="14" t="s">
        <v>1</v>
      </c>
      <c r="B637" s="14" t="s">
        <v>370</v>
      </c>
      <c r="C637" s="14">
        <v>3</v>
      </c>
      <c r="D637" s="14">
        <v>0</v>
      </c>
      <c r="E637" s="14">
        <v>6</v>
      </c>
    </row>
    <row r="638" spans="1:5" x14ac:dyDescent="0.3">
      <c r="A638" s="14" t="s">
        <v>1</v>
      </c>
      <c r="B638" s="14" t="s">
        <v>232</v>
      </c>
      <c r="C638" s="14">
        <v>4</v>
      </c>
      <c r="D638" s="14">
        <v>0</v>
      </c>
      <c r="E638" s="14">
        <v>5</v>
      </c>
    </row>
    <row r="639" spans="1:5" x14ac:dyDescent="0.3">
      <c r="A639" s="14" t="s">
        <v>1</v>
      </c>
      <c r="B639" s="14" t="s">
        <v>460</v>
      </c>
      <c r="C639" s="14">
        <v>1</v>
      </c>
      <c r="D639" s="14">
        <v>0</v>
      </c>
      <c r="E639" s="14">
        <v>1</v>
      </c>
    </row>
    <row r="640" spans="1:5" x14ac:dyDescent="0.3">
      <c r="A640" s="14" t="s">
        <v>1</v>
      </c>
      <c r="B640" s="14" t="s">
        <v>67</v>
      </c>
      <c r="C640" s="14">
        <v>3</v>
      </c>
      <c r="D640" s="14">
        <v>0</v>
      </c>
      <c r="E640" s="14">
        <v>4</v>
      </c>
    </row>
    <row r="641" spans="1:5" x14ac:dyDescent="0.3">
      <c r="A641" s="14" t="s">
        <v>1</v>
      </c>
      <c r="B641" s="14" t="s">
        <v>192</v>
      </c>
      <c r="C641" s="14">
        <v>12</v>
      </c>
      <c r="D641" s="14">
        <v>0</v>
      </c>
      <c r="E641" s="14">
        <v>30</v>
      </c>
    </row>
    <row r="642" spans="1:5" x14ac:dyDescent="0.3">
      <c r="A642" s="14" t="s">
        <v>1</v>
      </c>
      <c r="B642" s="14" t="s">
        <v>233</v>
      </c>
      <c r="C642" s="14">
        <v>1</v>
      </c>
      <c r="D642" s="14">
        <v>0</v>
      </c>
      <c r="E642" s="14">
        <v>3</v>
      </c>
    </row>
    <row r="643" spans="1:5" x14ac:dyDescent="0.3">
      <c r="A643" s="14" t="s">
        <v>1</v>
      </c>
      <c r="B643" s="14" t="s">
        <v>234</v>
      </c>
      <c r="C643" s="14">
        <v>2</v>
      </c>
      <c r="D643" s="14">
        <v>0</v>
      </c>
      <c r="E643" s="14">
        <v>2</v>
      </c>
    </row>
    <row r="644" spans="1:5" x14ac:dyDescent="0.3">
      <c r="A644" s="14" t="s">
        <v>1</v>
      </c>
      <c r="B644" s="14" t="s">
        <v>1440</v>
      </c>
      <c r="C644" s="14">
        <v>1</v>
      </c>
      <c r="D644" s="14">
        <v>0</v>
      </c>
      <c r="E644" s="14">
        <v>1</v>
      </c>
    </row>
    <row r="645" spans="1:5" x14ac:dyDescent="0.3">
      <c r="A645" s="14" t="s">
        <v>1</v>
      </c>
      <c r="B645" s="14" t="s">
        <v>1013</v>
      </c>
      <c r="C645" s="14">
        <v>1</v>
      </c>
      <c r="D645" s="14">
        <v>0</v>
      </c>
      <c r="E645" s="14">
        <v>3</v>
      </c>
    </row>
    <row r="646" spans="1:5" x14ac:dyDescent="0.3">
      <c r="A646" s="14" t="s">
        <v>1</v>
      </c>
      <c r="B646" s="14" t="s">
        <v>235</v>
      </c>
      <c r="C646" s="14">
        <v>3</v>
      </c>
      <c r="D646" s="14">
        <v>0</v>
      </c>
      <c r="E646" s="14">
        <v>3</v>
      </c>
    </row>
    <row r="647" spans="1:5" x14ac:dyDescent="0.3">
      <c r="A647" s="14" t="s">
        <v>1</v>
      </c>
      <c r="B647" s="14" t="s">
        <v>639</v>
      </c>
      <c r="C647" s="14">
        <v>2</v>
      </c>
      <c r="D647" s="14">
        <v>0</v>
      </c>
      <c r="E647" s="14">
        <v>2</v>
      </c>
    </row>
    <row r="648" spans="1:5" x14ac:dyDescent="0.3">
      <c r="A648" s="14" t="s">
        <v>1</v>
      </c>
      <c r="B648" s="14" t="s">
        <v>236</v>
      </c>
      <c r="C648" s="14">
        <v>5</v>
      </c>
      <c r="D648" s="14">
        <v>0</v>
      </c>
      <c r="E648" s="14">
        <v>17</v>
      </c>
    </row>
    <row r="649" spans="1:5" x14ac:dyDescent="0.3">
      <c r="A649" s="14" t="s">
        <v>1</v>
      </c>
      <c r="B649" s="14" t="s">
        <v>640</v>
      </c>
      <c r="C649" s="14">
        <v>1</v>
      </c>
      <c r="D649" s="14">
        <v>0</v>
      </c>
      <c r="E649" s="14">
        <v>2</v>
      </c>
    </row>
    <row r="650" spans="1:5" x14ac:dyDescent="0.3">
      <c r="A650" s="14" t="s">
        <v>1</v>
      </c>
      <c r="B650" s="14" t="s">
        <v>371</v>
      </c>
      <c r="C650" s="14">
        <v>4</v>
      </c>
      <c r="D650" s="14">
        <v>0</v>
      </c>
      <c r="E650" s="14">
        <v>13</v>
      </c>
    </row>
    <row r="651" spans="1:5" x14ac:dyDescent="0.3">
      <c r="A651" s="14" t="s">
        <v>1</v>
      </c>
      <c r="B651" s="14" t="s">
        <v>366</v>
      </c>
      <c r="C651" s="14">
        <v>4</v>
      </c>
      <c r="D651" s="14">
        <v>0</v>
      </c>
      <c r="E651" s="14">
        <v>4</v>
      </c>
    </row>
    <row r="652" spans="1:5" x14ac:dyDescent="0.3">
      <c r="A652" s="14" t="s">
        <v>1</v>
      </c>
      <c r="B652" s="14" t="s">
        <v>1015</v>
      </c>
      <c r="C652" s="14">
        <v>1</v>
      </c>
      <c r="D652" s="14">
        <v>0</v>
      </c>
      <c r="E652" s="14">
        <v>3</v>
      </c>
    </row>
    <row r="653" spans="1:5" x14ac:dyDescent="0.3">
      <c r="A653" s="14" t="s">
        <v>1</v>
      </c>
      <c r="B653" s="14" t="s">
        <v>461</v>
      </c>
      <c r="C653" s="14">
        <v>2</v>
      </c>
      <c r="D653" s="14">
        <v>0</v>
      </c>
      <c r="E653" s="14">
        <v>5</v>
      </c>
    </row>
    <row r="654" spans="1:5" x14ac:dyDescent="0.3">
      <c r="A654" s="14" t="s">
        <v>1</v>
      </c>
      <c r="B654" s="14" t="s">
        <v>848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1</v>
      </c>
      <c r="B655" s="14" t="s">
        <v>1589</v>
      </c>
      <c r="C655" s="14">
        <v>1</v>
      </c>
      <c r="D655" s="14">
        <v>0</v>
      </c>
      <c r="E655" s="14">
        <v>1</v>
      </c>
    </row>
    <row r="656" spans="1:5" x14ac:dyDescent="0.3">
      <c r="A656" s="14" t="s">
        <v>1</v>
      </c>
      <c r="B656" s="14" t="s">
        <v>1173</v>
      </c>
      <c r="C656" s="14">
        <v>0</v>
      </c>
      <c r="D656" s="14">
        <v>1</v>
      </c>
    </row>
    <row r="657" spans="1:5" x14ac:dyDescent="0.3">
      <c r="A657" s="14" t="s">
        <v>1</v>
      </c>
      <c r="B657" s="14" t="s">
        <v>2936</v>
      </c>
      <c r="C657" s="14">
        <v>0</v>
      </c>
      <c r="D657" s="14">
        <v>1</v>
      </c>
    </row>
    <row r="658" spans="1:5" x14ac:dyDescent="0.3">
      <c r="A658" s="14" t="s">
        <v>1</v>
      </c>
      <c r="B658" s="14" t="s">
        <v>1965</v>
      </c>
      <c r="C658" s="14">
        <v>1</v>
      </c>
      <c r="D658" s="14">
        <v>0</v>
      </c>
      <c r="E658" s="14">
        <v>1</v>
      </c>
    </row>
    <row r="659" spans="1:5" x14ac:dyDescent="0.3">
      <c r="A659" s="14" t="s">
        <v>1</v>
      </c>
      <c r="B659" s="14" t="s">
        <v>2937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1</v>
      </c>
      <c r="B660" s="14" t="s">
        <v>1947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1</v>
      </c>
      <c r="B661" s="14" t="s">
        <v>2938</v>
      </c>
      <c r="C661" s="14">
        <v>0</v>
      </c>
      <c r="D661" s="14">
        <v>1</v>
      </c>
    </row>
    <row r="662" spans="1:5" x14ac:dyDescent="0.3">
      <c r="A662" s="14" t="s">
        <v>1</v>
      </c>
      <c r="B662" s="14" t="s">
        <v>2888</v>
      </c>
      <c r="C662" s="14">
        <v>0</v>
      </c>
      <c r="D662" s="14">
        <v>0</v>
      </c>
    </row>
    <row r="663" spans="1:5" x14ac:dyDescent="0.3">
      <c r="A663" s="14" t="s">
        <v>1</v>
      </c>
      <c r="B663" s="14" t="s">
        <v>2939</v>
      </c>
      <c r="C663" s="14">
        <v>0</v>
      </c>
      <c r="D663" s="14">
        <v>1</v>
      </c>
    </row>
    <row r="664" spans="1:5" x14ac:dyDescent="0.3">
      <c r="A664" s="14" t="s">
        <v>1</v>
      </c>
      <c r="B664" s="14" t="s">
        <v>1308</v>
      </c>
      <c r="C664" s="14">
        <v>1</v>
      </c>
      <c r="D664" s="14">
        <v>0</v>
      </c>
      <c r="E664" s="14">
        <v>3</v>
      </c>
    </row>
    <row r="665" spans="1:5" x14ac:dyDescent="0.3">
      <c r="A665" s="14" t="s">
        <v>1</v>
      </c>
      <c r="B665" s="14" t="s">
        <v>2940</v>
      </c>
      <c r="C665" s="14">
        <v>1</v>
      </c>
      <c r="D665" s="14">
        <v>0</v>
      </c>
      <c r="E665" s="14">
        <v>1</v>
      </c>
    </row>
    <row r="666" spans="1:5" x14ac:dyDescent="0.3">
      <c r="A666" s="14" t="s">
        <v>1</v>
      </c>
      <c r="B666" s="14" t="s">
        <v>2123</v>
      </c>
      <c r="C666" s="14">
        <v>0</v>
      </c>
      <c r="D666" s="14">
        <v>1</v>
      </c>
    </row>
    <row r="667" spans="1:5" x14ac:dyDescent="0.3">
      <c r="A667" s="14" t="s">
        <v>1</v>
      </c>
      <c r="B667" s="14" t="s">
        <v>1864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1</v>
      </c>
      <c r="B668" s="14" t="s">
        <v>2941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1</v>
      </c>
      <c r="B669" s="14" t="s">
        <v>2942</v>
      </c>
      <c r="C669" s="14">
        <v>0</v>
      </c>
      <c r="D669" s="14">
        <v>1</v>
      </c>
    </row>
    <row r="670" spans="1:5" x14ac:dyDescent="0.3">
      <c r="A670" s="14" t="s">
        <v>1</v>
      </c>
      <c r="B670" s="14" t="s">
        <v>2943</v>
      </c>
      <c r="C670" s="14">
        <v>1</v>
      </c>
      <c r="D670" s="14">
        <v>0</v>
      </c>
      <c r="E670" s="14">
        <v>1</v>
      </c>
    </row>
    <row r="671" spans="1:5" x14ac:dyDescent="0.3">
      <c r="A671" s="14" t="s">
        <v>1</v>
      </c>
      <c r="B671" s="14" t="s">
        <v>2110</v>
      </c>
      <c r="C671" s="14">
        <v>1</v>
      </c>
      <c r="D671" s="14">
        <v>0</v>
      </c>
      <c r="E671" s="14">
        <v>1</v>
      </c>
    </row>
    <row r="672" spans="1:5" x14ac:dyDescent="0.3">
      <c r="A672" s="14" t="s">
        <v>1</v>
      </c>
      <c r="B672" s="14" t="s">
        <v>2840</v>
      </c>
      <c r="C672" s="14">
        <v>0</v>
      </c>
      <c r="D672" s="14">
        <v>3</v>
      </c>
    </row>
    <row r="673" spans="1:5" x14ac:dyDescent="0.3">
      <c r="A673" s="14" t="s">
        <v>1</v>
      </c>
      <c r="B673" s="14" t="s">
        <v>2944</v>
      </c>
      <c r="C673" s="14">
        <v>1</v>
      </c>
      <c r="D673" s="14">
        <v>0</v>
      </c>
      <c r="E673" s="14">
        <v>1</v>
      </c>
    </row>
    <row r="674" spans="1:5" x14ac:dyDescent="0.3">
      <c r="A674" s="14" t="s">
        <v>1</v>
      </c>
      <c r="B674" s="14" t="s">
        <v>2945</v>
      </c>
      <c r="C674" s="14">
        <v>1</v>
      </c>
      <c r="D674" s="14">
        <v>0</v>
      </c>
      <c r="E674" s="14">
        <v>1</v>
      </c>
    </row>
    <row r="675" spans="1:5" x14ac:dyDescent="0.3">
      <c r="A675" s="14" t="s">
        <v>1</v>
      </c>
      <c r="B675" s="14" t="s">
        <v>2349</v>
      </c>
      <c r="C675" s="14">
        <v>1</v>
      </c>
      <c r="D675" s="14">
        <v>0</v>
      </c>
      <c r="E675" s="14">
        <v>1</v>
      </c>
    </row>
    <row r="676" spans="1:5" x14ac:dyDescent="0.3">
      <c r="A676" s="14" t="s">
        <v>1</v>
      </c>
      <c r="B676" s="14" t="s">
        <v>2350</v>
      </c>
      <c r="C676" s="14">
        <v>1</v>
      </c>
      <c r="D676" s="14">
        <v>0</v>
      </c>
      <c r="E676" s="14">
        <v>1</v>
      </c>
    </row>
    <row r="677" spans="1:5" x14ac:dyDescent="0.3">
      <c r="A677" s="14" t="s">
        <v>1</v>
      </c>
      <c r="B677" s="14" t="s">
        <v>2351</v>
      </c>
      <c r="C677" s="14">
        <v>2</v>
      </c>
      <c r="D677" s="14">
        <v>0</v>
      </c>
      <c r="E677" s="14">
        <v>2</v>
      </c>
    </row>
    <row r="678" spans="1:5" x14ac:dyDescent="0.3">
      <c r="A678" s="14" t="s">
        <v>1</v>
      </c>
      <c r="B678" s="14" t="s">
        <v>2353</v>
      </c>
      <c r="C678" s="14">
        <v>2</v>
      </c>
      <c r="D678" s="14">
        <v>0</v>
      </c>
      <c r="E678" s="14">
        <v>2</v>
      </c>
    </row>
    <row r="679" spans="1:5" x14ac:dyDescent="0.3">
      <c r="A679" s="14" t="s">
        <v>1</v>
      </c>
      <c r="B679" s="14" t="s">
        <v>2354</v>
      </c>
      <c r="C679" s="14">
        <v>1</v>
      </c>
      <c r="D679" s="14">
        <v>0</v>
      </c>
      <c r="E679" s="14">
        <v>1</v>
      </c>
    </row>
    <row r="680" spans="1:5" x14ac:dyDescent="0.3">
      <c r="A680" s="14" t="s">
        <v>1</v>
      </c>
      <c r="B680" s="14" t="s">
        <v>2355</v>
      </c>
      <c r="C680" s="14">
        <v>2</v>
      </c>
      <c r="D680" s="14">
        <v>0</v>
      </c>
      <c r="E680" s="14">
        <v>2</v>
      </c>
    </row>
    <row r="681" spans="1:5" x14ac:dyDescent="0.3">
      <c r="A681" s="14" t="s">
        <v>1</v>
      </c>
      <c r="B681" s="14" t="s">
        <v>68</v>
      </c>
      <c r="C681" s="14">
        <v>1</v>
      </c>
      <c r="D681" s="14">
        <v>0</v>
      </c>
      <c r="E681" s="14">
        <v>2</v>
      </c>
    </row>
    <row r="682" spans="1:5" x14ac:dyDescent="0.3">
      <c r="A682" s="14" t="s">
        <v>1</v>
      </c>
      <c r="B682" s="14" t="s">
        <v>644</v>
      </c>
      <c r="C682" s="14">
        <v>1</v>
      </c>
      <c r="D682" s="14">
        <v>0</v>
      </c>
      <c r="E682" s="14">
        <v>1</v>
      </c>
    </row>
    <row r="683" spans="1:5" x14ac:dyDescent="0.3">
      <c r="A683" s="14" t="s">
        <v>1</v>
      </c>
      <c r="B683" s="14" t="s">
        <v>964</v>
      </c>
      <c r="C683" s="14">
        <v>1</v>
      </c>
      <c r="D683" s="14">
        <v>0</v>
      </c>
      <c r="E683" s="14">
        <v>1</v>
      </c>
    </row>
    <row r="684" spans="1:5" x14ac:dyDescent="0.3">
      <c r="A684" s="14" t="s">
        <v>0</v>
      </c>
      <c r="B684" s="14" t="s">
        <v>138</v>
      </c>
      <c r="C684" s="14">
        <v>1</v>
      </c>
      <c r="D684" s="14">
        <v>0</v>
      </c>
      <c r="E684" s="14">
        <v>1</v>
      </c>
    </row>
    <row r="685" spans="1:5" x14ac:dyDescent="0.3">
      <c r="A685" s="14" t="s">
        <v>0</v>
      </c>
      <c r="B685" s="14" t="s">
        <v>2088</v>
      </c>
      <c r="C685" s="14">
        <v>1</v>
      </c>
      <c r="D685" s="14">
        <v>0</v>
      </c>
      <c r="E685" s="14">
        <v>1</v>
      </c>
    </row>
    <row r="686" spans="1:5" x14ac:dyDescent="0.3">
      <c r="A686" s="14" t="s">
        <v>0</v>
      </c>
      <c r="B686" s="14" t="s">
        <v>596</v>
      </c>
      <c r="C686" s="14">
        <v>1</v>
      </c>
      <c r="D686" s="14">
        <v>0</v>
      </c>
      <c r="E686" s="14">
        <v>1</v>
      </c>
    </row>
    <row r="687" spans="1:5" x14ac:dyDescent="0.3">
      <c r="A687" s="14" t="s">
        <v>0</v>
      </c>
      <c r="B687" s="14" t="s">
        <v>463</v>
      </c>
      <c r="C687" s="14">
        <v>1</v>
      </c>
      <c r="D687" s="14">
        <v>0</v>
      </c>
      <c r="E687" s="14">
        <v>1</v>
      </c>
    </row>
    <row r="688" spans="1:5" x14ac:dyDescent="0.3">
      <c r="A688" s="14" t="s">
        <v>0</v>
      </c>
      <c r="B688" s="14" t="s">
        <v>145</v>
      </c>
      <c r="C688" s="14">
        <v>1</v>
      </c>
      <c r="D688" s="14">
        <v>0</v>
      </c>
      <c r="E688" s="14">
        <v>1</v>
      </c>
    </row>
    <row r="689" spans="1:5" x14ac:dyDescent="0.3">
      <c r="A689" s="14" t="s">
        <v>0</v>
      </c>
      <c r="B689" s="14" t="s">
        <v>818</v>
      </c>
      <c r="C689" s="14">
        <v>1</v>
      </c>
      <c r="D689" s="14">
        <v>0</v>
      </c>
      <c r="E689" s="14">
        <v>1</v>
      </c>
    </row>
    <row r="690" spans="1:5" x14ac:dyDescent="0.3">
      <c r="A690" s="14" t="s">
        <v>0</v>
      </c>
      <c r="B690" s="14" t="s">
        <v>1370</v>
      </c>
      <c r="C690" s="14">
        <v>1</v>
      </c>
      <c r="D690" s="14">
        <v>0</v>
      </c>
      <c r="E690" s="14">
        <v>1</v>
      </c>
    </row>
    <row r="691" spans="1:5" x14ac:dyDescent="0.3">
      <c r="A691" s="14" t="s">
        <v>0</v>
      </c>
      <c r="B691" s="14" t="s">
        <v>1904</v>
      </c>
      <c r="C691" s="14">
        <v>1</v>
      </c>
      <c r="D691" s="14">
        <v>0</v>
      </c>
      <c r="E691" s="14">
        <v>1</v>
      </c>
    </row>
    <row r="692" spans="1:5" x14ac:dyDescent="0.3">
      <c r="A692" s="14" t="s">
        <v>0</v>
      </c>
      <c r="B692" s="14" t="s">
        <v>1881</v>
      </c>
      <c r="C692" s="14">
        <v>1</v>
      </c>
      <c r="D692" s="14">
        <v>0</v>
      </c>
      <c r="E692" s="14">
        <v>1</v>
      </c>
    </row>
    <row r="693" spans="1:5" x14ac:dyDescent="0.3">
      <c r="A693" s="14" t="s">
        <v>0</v>
      </c>
      <c r="B693" s="14" t="s">
        <v>1882</v>
      </c>
      <c r="C693" s="14">
        <v>2</v>
      </c>
      <c r="D693" s="14">
        <v>0</v>
      </c>
      <c r="E693" s="14">
        <v>2</v>
      </c>
    </row>
    <row r="694" spans="1:5" x14ac:dyDescent="0.3">
      <c r="A694" s="14" t="s">
        <v>0</v>
      </c>
      <c r="B694" s="14" t="s">
        <v>2677</v>
      </c>
      <c r="C694" s="14">
        <v>1</v>
      </c>
      <c r="D694" s="14">
        <v>0</v>
      </c>
      <c r="E694" s="14">
        <v>1</v>
      </c>
    </row>
    <row r="695" spans="1:5" x14ac:dyDescent="0.3">
      <c r="A695" s="14" t="s">
        <v>0</v>
      </c>
      <c r="B695" s="14" t="s">
        <v>2762</v>
      </c>
      <c r="C695" s="14">
        <v>1</v>
      </c>
      <c r="D695" s="14">
        <v>0</v>
      </c>
      <c r="E695" s="14">
        <v>1</v>
      </c>
    </row>
    <row r="696" spans="1:5" x14ac:dyDescent="0.3">
      <c r="A696" s="14" t="s">
        <v>0</v>
      </c>
      <c r="B696" s="14" t="s">
        <v>2167</v>
      </c>
      <c r="C696" s="14">
        <v>1</v>
      </c>
      <c r="D696" s="14">
        <v>0</v>
      </c>
      <c r="E696" s="14">
        <v>1</v>
      </c>
    </row>
    <row r="697" spans="1:5" x14ac:dyDescent="0.3">
      <c r="A697" s="14" t="s">
        <v>0</v>
      </c>
      <c r="B697" s="14" t="s">
        <v>2946</v>
      </c>
      <c r="C697" s="14">
        <v>1</v>
      </c>
      <c r="D697" s="14">
        <v>0</v>
      </c>
      <c r="E697" s="14">
        <v>1</v>
      </c>
    </row>
    <row r="698" spans="1:5" x14ac:dyDescent="0.3">
      <c r="A698" s="14" t="s">
        <v>0</v>
      </c>
      <c r="B698" s="14" t="s">
        <v>795</v>
      </c>
      <c r="C698" s="14">
        <v>1</v>
      </c>
      <c r="D698" s="14">
        <v>0</v>
      </c>
      <c r="E698" s="14">
        <v>1</v>
      </c>
    </row>
    <row r="699" spans="1:5" x14ac:dyDescent="0.3">
      <c r="A699" s="14" t="s">
        <v>0</v>
      </c>
      <c r="B699" s="14" t="s">
        <v>1300</v>
      </c>
      <c r="C699" s="14">
        <v>1</v>
      </c>
      <c r="D699" s="14">
        <v>0</v>
      </c>
      <c r="E699" s="14">
        <v>1</v>
      </c>
    </row>
    <row r="700" spans="1:5" x14ac:dyDescent="0.3">
      <c r="A700" s="14" t="s">
        <v>0</v>
      </c>
      <c r="B700" s="14" t="s">
        <v>2947</v>
      </c>
      <c r="C700" s="14">
        <v>1</v>
      </c>
      <c r="D700" s="14">
        <v>0</v>
      </c>
      <c r="E700" s="14">
        <v>1</v>
      </c>
    </row>
    <row r="701" spans="1:5" x14ac:dyDescent="0.3">
      <c r="A701" s="14" t="s">
        <v>0</v>
      </c>
      <c r="B701" s="14" t="s">
        <v>357</v>
      </c>
      <c r="C701" s="14">
        <v>1</v>
      </c>
      <c r="D701" s="14">
        <v>0</v>
      </c>
      <c r="E701" s="14">
        <v>1</v>
      </c>
    </row>
    <row r="702" spans="1:5" x14ac:dyDescent="0.3">
      <c r="A702" s="14" t="s">
        <v>0</v>
      </c>
      <c r="B702" s="14" t="s">
        <v>1255</v>
      </c>
      <c r="C702" s="14">
        <v>1</v>
      </c>
      <c r="D702" s="14">
        <v>0</v>
      </c>
      <c r="E702" s="14">
        <v>1</v>
      </c>
    </row>
    <row r="703" spans="1:5" x14ac:dyDescent="0.3">
      <c r="A703" s="14" t="s">
        <v>0</v>
      </c>
      <c r="B703" s="14" t="s">
        <v>1094</v>
      </c>
      <c r="C703" s="14">
        <v>1</v>
      </c>
      <c r="D703" s="14">
        <v>0</v>
      </c>
      <c r="E703" s="14">
        <v>1</v>
      </c>
    </row>
    <row r="704" spans="1:5" x14ac:dyDescent="0.3">
      <c r="A704" s="14" t="s">
        <v>0</v>
      </c>
      <c r="B704" s="14" t="s">
        <v>1579</v>
      </c>
      <c r="C704" s="14">
        <v>1</v>
      </c>
      <c r="D704" s="14">
        <v>0</v>
      </c>
      <c r="E704" s="14">
        <v>1</v>
      </c>
    </row>
    <row r="705" spans="1:5" x14ac:dyDescent="0.3">
      <c r="A705" s="14" t="s">
        <v>0</v>
      </c>
      <c r="B705" s="14" t="s">
        <v>1114</v>
      </c>
      <c r="C705" s="14">
        <v>1</v>
      </c>
      <c r="D705" s="14">
        <v>0</v>
      </c>
      <c r="E705" s="14">
        <v>1</v>
      </c>
    </row>
    <row r="706" spans="1:5" x14ac:dyDescent="0.3">
      <c r="A706" s="14" t="s">
        <v>0</v>
      </c>
      <c r="B706" s="14" t="s">
        <v>793</v>
      </c>
      <c r="C706" s="14">
        <v>1</v>
      </c>
      <c r="D706" s="14">
        <v>0</v>
      </c>
      <c r="E706" s="14">
        <v>1</v>
      </c>
    </row>
    <row r="707" spans="1:5" x14ac:dyDescent="0.3">
      <c r="A707" s="14" t="s">
        <v>0</v>
      </c>
      <c r="B707" s="14" t="s">
        <v>568</v>
      </c>
      <c r="C707" s="14">
        <v>1</v>
      </c>
      <c r="D707" s="14">
        <v>0</v>
      </c>
      <c r="E707" s="14">
        <v>1</v>
      </c>
    </row>
    <row r="708" spans="1:5" x14ac:dyDescent="0.3">
      <c r="A708" s="14" t="s">
        <v>0</v>
      </c>
      <c r="B708" s="14" t="s">
        <v>828</v>
      </c>
      <c r="C708" s="14">
        <v>1</v>
      </c>
      <c r="D708" s="14">
        <v>0</v>
      </c>
      <c r="E708" s="14">
        <v>1</v>
      </c>
    </row>
    <row r="709" spans="1:5" x14ac:dyDescent="0.3">
      <c r="A709" s="14" t="s">
        <v>0</v>
      </c>
      <c r="B709" s="14" t="s">
        <v>223</v>
      </c>
      <c r="C709" s="14">
        <v>1</v>
      </c>
      <c r="D709" s="14">
        <v>0</v>
      </c>
      <c r="E709" s="14">
        <v>1</v>
      </c>
    </row>
    <row r="710" spans="1:5" x14ac:dyDescent="0.3">
      <c r="A710" s="14" t="s">
        <v>0</v>
      </c>
      <c r="B710" s="14" t="s">
        <v>1652</v>
      </c>
      <c r="C710" s="14">
        <v>1</v>
      </c>
      <c r="D710" s="14">
        <v>0</v>
      </c>
      <c r="E710" s="14">
        <v>1</v>
      </c>
    </row>
    <row r="711" spans="1:5" x14ac:dyDescent="0.3">
      <c r="A711" s="14" t="s">
        <v>0</v>
      </c>
      <c r="B711" s="14" t="s">
        <v>2109</v>
      </c>
      <c r="C711" s="14">
        <v>1</v>
      </c>
      <c r="D711" s="14">
        <v>0</v>
      </c>
      <c r="E711" s="14">
        <v>1</v>
      </c>
    </row>
    <row r="712" spans="1:5" x14ac:dyDescent="0.3">
      <c r="A712" s="14" t="s">
        <v>0</v>
      </c>
      <c r="B712" s="14" t="s">
        <v>196</v>
      </c>
      <c r="C712" s="14">
        <v>1</v>
      </c>
      <c r="D712" s="14">
        <v>0</v>
      </c>
      <c r="E712" s="14">
        <v>1</v>
      </c>
    </row>
    <row r="713" spans="1:5" x14ac:dyDescent="0.3">
      <c r="A713" s="14" t="s">
        <v>0</v>
      </c>
      <c r="B713" s="14" t="s">
        <v>409</v>
      </c>
      <c r="C713" s="14">
        <v>1</v>
      </c>
      <c r="D713" s="14">
        <v>0</v>
      </c>
      <c r="E713" s="14">
        <v>1</v>
      </c>
    </row>
    <row r="714" spans="1:5" x14ac:dyDescent="0.3">
      <c r="A714" s="14" t="s">
        <v>0</v>
      </c>
      <c r="B714" s="14" t="s">
        <v>2051</v>
      </c>
      <c r="C714" s="14">
        <v>1</v>
      </c>
      <c r="D714" s="14">
        <v>0</v>
      </c>
      <c r="E714" s="14">
        <v>1</v>
      </c>
    </row>
    <row r="715" spans="1:5" x14ac:dyDescent="0.3">
      <c r="A715" s="14" t="s">
        <v>0</v>
      </c>
      <c r="B715" s="14" t="s">
        <v>1110</v>
      </c>
      <c r="C715" s="14">
        <v>1</v>
      </c>
      <c r="D715" s="14">
        <v>0</v>
      </c>
      <c r="E715" s="14">
        <v>1</v>
      </c>
    </row>
    <row r="716" spans="1:5" x14ac:dyDescent="0.3">
      <c r="A716" s="14" t="s">
        <v>0</v>
      </c>
      <c r="B716" s="14" t="s">
        <v>782</v>
      </c>
      <c r="C716" s="14">
        <v>2</v>
      </c>
      <c r="D716" s="14">
        <v>0</v>
      </c>
      <c r="E716" s="14">
        <v>1</v>
      </c>
    </row>
    <row r="717" spans="1:5" x14ac:dyDescent="0.3">
      <c r="A717" s="14" t="s">
        <v>0</v>
      </c>
      <c r="B717" s="14" t="s">
        <v>1223</v>
      </c>
      <c r="C717" s="14">
        <v>1</v>
      </c>
      <c r="D717" s="14">
        <v>0</v>
      </c>
      <c r="E717" s="14">
        <v>1</v>
      </c>
    </row>
    <row r="718" spans="1:5" x14ac:dyDescent="0.3">
      <c r="A718" s="14" t="s">
        <v>0</v>
      </c>
      <c r="B718" s="14" t="s">
        <v>539</v>
      </c>
      <c r="C718" s="14">
        <v>1</v>
      </c>
      <c r="D718" s="14">
        <v>0</v>
      </c>
      <c r="E718" s="14">
        <v>1</v>
      </c>
    </row>
    <row r="719" spans="1:5" x14ac:dyDescent="0.3">
      <c r="A719" s="14" t="s">
        <v>0</v>
      </c>
      <c r="B719" s="14" t="s">
        <v>1417</v>
      </c>
      <c r="C719" s="14">
        <v>1</v>
      </c>
      <c r="D719" s="14">
        <v>0</v>
      </c>
      <c r="E719" s="14">
        <v>1</v>
      </c>
    </row>
    <row r="720" spans="1:5" x14ac:dyDescent="0.3">
      <c r="A720" s="14" t="s">
        <v>0</v>
      </c>
      <c r="B720" s="14" t="s">
        <v>132</v>
      </c>
      <c r="C720" s="14">
        <v>1</v>
      </c>
      <c r="D720" s="14">
        <v>0</v>
      </c>
      <c r="E720" s="14">
        <v>1</v>
      </c>
    </row>
    <row r="721" spans="1:5" x14ac:dyDescent="0.3">
      <c r="A721" s="14" t="s">
        <v>0</v>
      </c>
      <c r="B721" s="14" t="s">
        <v>233</v>
      </c>
      <c r="C721" s="14">
        <v>1</v>
      </c>
      <c r="D721" s="14">
        <v>0</v>
      </c>
      <c r="E721" s="14">
        <v>1</v>
      </c>
    </row>
    <row r="722" spans="1:5" x14ac:dyDescent="0.3">
      <c r="A722" s="14" t="s">
        <v>0</v>
      </c>
      <c r="B722" s="14" t="s">
        <v>54</v>
      </c>
      <c r="C722" s="14">
        <v>1</v>
      </c>
      <c r="D722" s="14">
        <v>0</v>
      </c>
      <c r="E722" s="14">
        <v>3</v>
      </c>
    </row>
    <row r="723" spans="1:5" x14ac:dyDescent="0.3">
      <c r="A723" s="14" t="s">
        <v>0</v>
      </c>
      <c r="B723" s="14" t="s">
        <v>235</v>
      </c>
      <c r="C723" s="14">
        <v>1</v>
      </c>
      <c r="D723" s="14">
        <v>0</v>
      </c>
      <c r="E723" s="14">
        <v>1</v>
      </c>
    </row>
    <row r="724" spans="1:5" x14ac:dyDescent="0.3">
      <c r="A724" s="14" t="s">
        <v>0</v>
      </c>
      <c r="B724" s="14" t="s">
        <v>1565</v>
      </c>
      <c r="C724" s="14">
        <v>1</v>
      </c>
      <c r="D724" s="14">
        <v>0</v>
      </c>
      <c r="E724" s="14">
        <v>1</v>
      </c>
    </row>
    <row r="725" spans="1:5" x14ac:dyDescent="0.3">
      <c r="A725" s="14" t="s">
        <v>0</v>
      </c>
      <c r="B725" s="14" t="s">
        <v>1589</v>
      </c>
      <c r="C725" s="14">
        <v>1</v>
      </c>
      <c r="D725" s="14">
        <v>0</v>
      </c>
      <c r="E725" s="14">
        <v>5</v>
      </c>
    </row>
    <row r="726" spans="1:5" x14ac:dyDescent="0.3">
      <c r="A726" s="14" t="s">
        <v>0</v>
      </c>
      <c r="B726" s="14" t="s">
        <v>1914</v>
      </c>
      <c r="C726" s="14">
        <v>1</v>
      </c>
      <c r="D726" s="14">
        <v>0</v>
      </c>
      <c r="E726" s="14">
        <v>2</v>
      </c>
    </row>
    <row r="727" spans="1:5" x14ac:dyDescent="0.3">
      <c r="A727" s="14" t="s">
        <v>0</v>
      </c>
      <c r="B727" s="14" t="s">
        <v>642</v>
      </c>
      <c r="C727" s="14">
        <v>0</v>
      </c>
      <c r="D727" s="14">
        <v>1</v>
      </c>
    </row>
    <row r="728" spans="1:5" x14ac:dyDescent="0.3">
      <c r="A728" s="14" t="s">
        <v>0</v>
      </c>
      <c r="B728" s="14" t="s">
        <v>2948</v>
      </c>
      <c r="C728" s="14">
        <v>0</v>
      </c>
      <c r="D728" s="14">
        <v>1</v>
      </c>
    </row>
    <row r="729" spans="1:5" x14ac:dyDescent="0.3">
      <c r="A729" s="14" t="s">
        <v>0</v>
      </c>
      <c r="B729" s="14" t="s">
        <v>2547</v>
      </c>
      <c r="C729" s="14">
        <v>0</v>
      </c>
      <c r="D729" s="14">
        <v>2</v>
      </c>
    </row>
    <row r="730" spans="1:5" x14ac:dyDescent="0.3">
      <c r="A730" s="14" t="s">
        <v>0</v>
      </c>
      <c r="B730" s="14" t="s">
        <v>2348</v>
      </c>
      <c r="C730" s="14">
        <v>1</v>
      </c>
      <c r="D730" s="14">
        <v>0</v>
      </c>
      <c r="E730" s="14">
        <v>1</v>
      </c>
    </row>
    <row r="731" spans="1:5" x14ac:dyDescent="0.3">
      <c r="A731" s="14" t="s">
        <v>0</v>
      </c>
      <c r="B731" s="14" t="s">
        <v>32</v>
      </c>
      <c r="C731" s="14">
        <v>1</v>
      </c>
      <c r="D731" s="14">
        <v>0</v>
      </c>
      <c r="E731" s="14">
        <v>1</v>
      </c>
    </row>
    <row r="732" spans="1:5" x14ac:dyDescent="0.3">
      <c r="A732" s="14" t="s">
        <v>2</v>
      </c>
      <c r="B732" s="14" t="s">
        <v>48</v>
      </c>
      <c r="C732" s="14">
        <v>1</v>
      </c>
      <c r="D732" s="14">
        <v>0</v>
      </c>
      <c r="E732" s="14">
        <v>1</v>
      </c>
    </row>
    <row r="733" spans="1:5" x14ac:dyDescent="0.3">
      <c r="A733" s="14" t="s">
        <v>2</v>
      </c>
      <c r="B733" s="14" t="s">
        <v>1988</v>
      </c>
      <c r="C733" s="14">
        <v>1</v>
      </c>
      <c r="D733" s="14">
        <v>0</v>
      </c>
      <c r="E733" s="14">
        <v>1</v>
      </c>
    </row>
    <row r="734" spans="1:5" x14ac:dyDescent="0.3">
      <c r="A734" s="14" t="s">
        <v>2</v>
      </c>
      <c r="B734" s="14" t="s">
        <v>1475</v>
      </c>
      <c r="C734" s="14">
        <v>1</v>
      </c>
      <c r="D734" s="14">
        <v>0</v>
      </c>
      <c r="E734" s="14">
        <v>2</v>
      </c>
    </row>
    <row r="735" spans="1:5" x14ac:dyDescent="0.3">
      <c r="A735" s="14" t="s">
        <v>2</v>
      </c>
      <c r="B735" s="14" t="s">
        <v>1395</v>
      </c>
      <c r="C735" s="14">
        <v>1</v>
      </c>
      <c r="D735" s="14">
        <v>0</v>
      </c>
      <c r="E735" s="14">
        <v>2</v>
      </c>
    </row>
    <row r="736" spans="1:5" x14ac:dyDescent="0.3">
      <c r="A736" s="14" t="s">
        <v>2</v>
      </c>
      <c r="B736" s="14" t="s">
        <v>409</v>
      </c>
      <c r="C736" s="14">
        <v>1</v>
      </c>
      <c r="D736" s="14">
        <v>0</v>
      </c>
      <c r="E736" s="14">
        <v>1</v>
      </c>
    </row>
    <row r="737" spans="1:5" x14ac:dyDescent="0.3">
      <c r="A737" s="14" t="s">
        <v>2</v>
      </c>
      <c r="B737" s="14" t="s">
        <v>180</v>
      </c>
      <c r="C737" s="14">
        <v>1</v>
      </c>
      <c r="D737" s="14">
        <v>0</v>
      </c>
      <c r="E737" s="14">
        <v>1</v>
      </c>
    </row>
    <row r="738" spans="1:5" x14ac:dyDescent="0.3">
      <c r="A738" s="14" t="s">
        <v>2</v>
      </c>
      <c r="B738" s="14" t="s">
        <v>236</v>
      </c>
      <c r="C738" s="14">
        <v>1</v>
      </c>
      <c r="D738" s="14">
        <v>0</v>
      </c>
      <c r="E738" s="14">
        <v>1</v>
      </c>
    </row>
    <row r="739" spans="1:5" x14ac:dyDescent="0.3">
      <c r="A739" s="14" t="s">
        <v>2</v>
      </c>
      <c r="B739" s="14" t="s">
        <v>2761</v>
      </c>
      <c r="C739" s="14">
        <v>1</v>
      </c>
      <c r="D739" s="14">
        <v>0</v>
      </c>
      <c r="E739" s="14">
        <v>2</v>
      </c>
    </row>
    <row r="740" spans="1:5" x14ac:dyDescent="0.3">
      <c r="A740" s="14" t="s">
        <v>2</v>
      </c>
      <c r="B740" s="14" t="s">
        <v>2547</v>
      </c>
      <c r="C740" s="14">
        <v>0</v>
      </c>
      <c r="D740" s="14">
        <v>1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C110B-B779-4C07-87A8-C2B86BE1D0E6}">
  <sheetPr codeName="Sheet60"/>
  <dimension ref="A1:M685"/>
  <sheetViews>
    <sheetView workbookViewId="0">
      <selection activeCell="A2" sqref="A2:E685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354</v>
      </c>
      <c r="C2" s="13">
        <v>62</v>
      </c>
      <c r="D2" s="13">
        <v>58</v>
      </c>
      <c r="E2" s="13">
        <v>66</v>
      </c>
    </row>
    <row r="3" spans="1:13" customFormat="1" x14ac:dyDescent="0.3">
      <c r="A3" s="13" t="s">
        <v>1</v>
      </c>
      <c r="B3" s="13" t="s">
        <v>135</v>
      </c>
      <c r="C3" s="13">
        <v>54</v>
      </c>
      <c r="D3" s="13">
        <v>43</v>
      </c>
      <c r="E3" s="13">
        <v>59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91</v>
      </c>
      <c r="D4" s="13">
        <v>40</v>
      </c>
      <c r="E4" s="13">
        <v>139</v>
      </c>
      <c r="G4" s="19" t="s">
        <v>8</v>
      </c>
      <c r="H4" s="15">
        <f>H13+H14</f>
        <v>1150</v>
      </c>
      <c r="I4" s="16">
        <f>H4/H$6</f>
        <v>0.74626865671641796</v>
      </c>
      <c r="J4" s="15">
        <f>I13+I14</f>
        <v>699</v>
      </c>
      <c r="K4" s="16">
        <f>J4/J$6</f>
        <v>0.69002961500493587</v>
      </c>
      <c r="L4" s="15">
        <f>J13+J14</f>
        <v>1373</v>
      </c>
      <c r="M4" s="25">
        <f>L4/L$6</f>
        <v>0.75605726872246692</v>
      </c>
    </row>
    <row r="5" spans="1:13" customFormat="1" x14ac:dyDescent="0.3">
      <c r="A5" s="13" t="s">
        <v>0</v>
      </c>
      <c r="B5" s="13" t="s">
        <v>29</v>
      </c>
      <c r="C5" s="13">
        <v>20</v>
      </c>
      <c r="D5" s="13">
        <v>20</v>
      </c>
      <c r="E5" s="13">
        <v>22</v>
      </c>
      <c r="G5" s="19" t="s">
        <v>10</v>
      </c>
      <c r="H5" s="15">
        <f>H15+H16</f>
        <v>391</v>
      </c>
      <c r="I5" s="16">
        <f>H5/H$6</f>
        <v>0.2537313432835821</v>
      </c>
      <c r="J5" s="15">
        <f>I15+I16</f>
        <v>314</v>
      </c>
      <c r="K5" s="16">
        <f>J5/J$6</f>
        <v>0.30997038499506419</v>
      </c>
      <c r="L5" s="15">
        <f>J15+J16</f>
        <v>443</v>
      </c>
      <c r="M5" s="25">
        <f>L5/L$6</f>
        <v>0.24394273127753305</v>
      </c>
    </row>
    <row r="6" spans="1:13" customFormat="1" ht="17.25" thickBot="1" x14ac:dyDescent="0.35">
      <c r="A6" s="13" t="s">
        <v>0</v>
      </c>
      <c r="B6" s="13" t="s">
        <v>354</v>
      </c>
      <c r="C6" s="13">
        <v>19</v>
      </c>
      <c r="D6" s="13">
        <v>18</v>
      </c>
      <c r="E6" s="13">
        <v>19</v>
      </c>
      <c r="G6" s="22"/>
      <c r="H6" s="26">
        <f>SUM(H4:H5)</f>
        <v>1541</v>
      </c>
      <c r="I6" s="27">
        <f>I4+I5</f>
        <v>1</v>
      </c>
      <c r="J6" s="26">
        <f>SUM(J4:J5)</f>
        <v>1013</v>
      </c>
      <c r="K6" s="27">
        <f>K4+K5</f>
        <v>1</v>
      </c>
      <c r="L6" s="26">
        <f>SUM(L4:L5)</f>
        <v>1816</v>
      </c>
      <c r="M6" s="28">
        <f>M4+M5</f>
        <v>1</v>
      </c>
    </row>
    <row r="7" spans="1:13" customFormat="1" x14ac:dyDescent="0.3">
      <c r="A7" s="13" t="s">
        <v>1</v>
      </c>
      <c r="B7" s="13" t="s">
        <v>120</v>
      </c>
      <c r="C7" s="13">
        <v>14</v>
      </c>
      <c r="D7" s="13">
        <v>14</v>
      </c>
      <c r="E7" s="13">
        <v>15</v>
      </c>
    </row>
    <row r="8" spans="1:13" customFormat="1" x14ac:dyDescent="0.3">
      <c r="A8" s="13" t="s">
        <v>1</v>
      </c>
      <c r="B8" s="13" t="s">
        <v>1948</v>
      </c>
      <c r="C8" s="13">
        <v>15</v>
      </c>
      <c r="D8" s="13">
        <v>13</v>
      </c>
      <c r="E8" s="13">
        <v>15</v>
      </c>
    </row>
    <row r="9" spans="1:13" customFormat="1" x14ac:dyDescent="0.3">
      <c r="A9" s="13" t="s">
        <v>1</v>
      </c>
      <c r="B9" s="13" t="s">
        <v>2869</v>
      </c>
      <c r="C9" s="13">
        <v>25</v>
      </c>
      <c r="D9" s="13">
        <v>13</v>
      </c>
      <c r="E9" s="13">
        <v>32</v>
      </c>
    </row>
    <row r="10" spans="1:13" customFormat="1" ht="17.25" thickBot="1" x14ac:dyDescent="0.35">
      <c r="A10" s="13" t="s">
        <v>0</v>
      </c>
      <c r="B10" s="13" t="s">
        <v>2869</v>
      </c>
      <c r="C10" s="13">
        <v>17</v>
      </c>
      <c r="D10" s="13">
        <v>13</v>
      </c>
      <c r="E10" s="13">
        <v>17</v>
      </c>
    </row>
    <row r="11" spans="1:13" x14ac:dyDescent="0.3">
      <c r="A11" s="13" t="s">
        <v>1</v>
      </c>
      <c r="B11" s="13" t="s">
        <v>37</v>
      </c>
      <c r="C11" s="13">
        <v>16</v>
      </c>
      <c r="D11" s="13">
        <v>11</v>
      </c>
      <c r="E11" s="13">
        <v>18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1741</v>
      </c>
      <c r="C12" s="13">
        <v>11</v>
      </c>
      <c r="D12" s="13">
        <v>10</v>
      </c>
      <c r="E12" s="13">
        <v>17</v>
      </c>
      <c r="G12" s="19"/>
      <c r="H12" s="17">
        <f t="shared" ref="H12:J12" si="0">SUM(H13:H16)</f>
        <v>1541</v>
      </c>
      <c r="I12" s="17">
        <f t="shared" si="0"/>
        <v>1013</v>
      </c>
      <c r="J12" s="20">
        <f t="shared" si="0"/>
        <v>1816</v>
      </c>
    </row>
    <row r="13" spans="1:13" x14ac:dyDescent="0.3">
      <c r="A13" s="13" t="s">
        <v>1</v>
      </c>
      <c r="B13" s="13" t="s">
        <v>1988</v>
      </c>
      <c r="C13" s="13">
        <v>20</v>
      </c>
      <c r="D13" s="13">
        <v>10</v>
      </c>
      <c r="E13" s="13">
        <v>24</v>
      </c>
      <c r="G13" s="19" t="s">
        <v>7</v>
      </c>
      <c r="H13" s="18">
        <f t="shared" ref="H13:J16" si="1">SUMIF($A$2:$A$9999,$G13,C$2:C$9999)</f>
        <v>1150</v>
      </c>
      <c r="I13" s="18">
        <f t="shared" si="1"/>
        <v>699</v>
      </c>
      <c r="J13" s="21">
        <f t="shared" si="1"/>
        <v>1373</v>
      </c>
    </row>
    <row r="14" spans="1:13" x14ac:dyDescent="0.3">
      <c r="A14" s="13" t="s">
        <v>1</v>
      </c>
      <c r="B14" s="13" t="s">
        <v>1549</v>
      </c>
      <c r="C14" s="13">
        <v>10</v>
      </c>
      <c r="D14" s="13">
        <v>10</v>
      </c>
      <c r="E14" s="13">
        <v>10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0</v>
      </c>
      <c r="B15" s="13" t="s">
        <v>31</v>
      </c>
      <c r="C15" s="13">
        <v>11</v>
      </c>
      <c r="D15" s="13">
        <v>10</v>
      </c>
      <c r="E15" s="13">
        <v>11</v>
      </c>
      <c r="G15" s="19" t="s">
        <v>11</v>
      </c>
      <c r="H15" s="18">
        <f t="shared" si="1"/>
        <v>350</v>
      </c>
      <c r="I15" s="18">
        <f t="shared" si="1"/>
        <v>281</v>
      </c>
      <c r="J15" s="21">
        <f t="shared" si="1"/>
        <v>394</v>
      </c>
    </row>
    <row r="16" spans="1:13" ht="17.25" thickBot="1" x14ac:dyDescent="0.35">
      <c r="A16" s="13" t="s">
        <v>1</v>
      </c>
      <c r="B16" s="13" t="s">
        <v>48</v>
      </c>
      <c r="C16" s="13">
        <v>12</v>
      </c>
      <c r="D16" s="13">
        <v>9</v>
      </c>
      <c r="E16" s="13">
        <v>13</v>
      </c>
      <c r="G16" s="22" t="s">
        <v>12</v>
      </c>
      <c r="H16" s="23">
        <f t="shared" si="1"/>
        <v>41</v>
      </c>
      <c r="I16" s="23">
        <f t="shared" si="1"/>
        <v>33</v>
      </c>
      <c r="J16" s="24">
        <f t="shared" si="1"/>
        <v>49</v>
      </c>
    </row>
    <row r="17" spans="1:5" x14ac:dyDescent="0.3">
      <c r="A17" s="13" t="s">
        <v>1</v>
      </c>
      <c r="B17" s="13" t="s">
        <v>1663</v>
      </c>
      <c r="C17" s="13">
        <v>19</v>
      </c>
      <c r="D17" s="13">
        <v>9</v>
      </c>
      <c r="E17" s="13">
        <v>25</v>
      </c>
    </row>
    <row r="18" spans="1:5" x14ac:dyDescent="0.3">
      <c r="A18" s="13" t="s">
        <v>1</v>
      </c>
      <c r="B18" s="13" t="s">
        <v>61</v>
      </c>
      <c r="C18" s="13">
        <v>8</v>
      </c>
      <c r="D18" s="13">
        <v>8</v>
      </c>
      <c r="E18" s="13">
        <v>8</v>
      </c>
    </row>
    <row r="19" spans="1:5" x14ac:dyDescent="0.3">
      <c r="A19" s="13" t="s">
        <v>0</v>
      </c>
      <c r="B19" s="13" t="s">
        <v>30</v>
      </c>
      <c r="C19" s="13">
        <v>11</v>
      </c>
      <c r="D19" s="13">
        <v>8</v>
      </c>
      <c r="E19" s="13">
        <v>16</v>
      </c>
    </row>
    <row r="20" spans="1:5" x14ac:dyDescent="0.3">
      <c r="A20" s="13" t="s">
        <v>1</v>
      </c>
      <c r="B20" s="13" t="s">
        <v>2701</v>
      </c>
      <c r="C20" s="13">
        <v>10</v>
      </c>
      <c r="D20" s="13">
        <v>7</v>
      </c>
      <c r="E20" s="13">
        <v>10</v>
      </c>
    </row>
    <row r="21" spans="1:5" x14ac:dyDescent="0.3">
      <c r="A21" s="13" t="s">
        <v>1</v>
      </c>
      <c r="B21" s="13" t="s">
        <v>2949</v>
      </c>
      <c r="C21" s="13">
        <v>13</v>
      </c>
      <c r="D21" s="13">
        <v>7</v>
      </c>
      <c r="E21" s="13">
        <v>24</v>
      </c>
    </row>
    <row r="22" spans="1:5" x14ac:dyDescent="0.3">
      <c r="A22" s="13" t="s">
        <v>1</v>
      </c>
      <c r="B22" s="13" t="s">
        <v>2917</v>
      </c>
      <c r="C22" s="13">
        <v>16</v>
      </c>
      <c r="D22" s="13">
        <v>7</v>
      </c>
      <c r="E22" s="13">
        <v>21</v>
      </c>
    </row>
    <row r="23" spans="1:5" x14ac:dyDescent="0.3">
      <c r="A23" s="13" t="s">
        <v>1</v>
      </c>
      <c r="B23" s="13" t="s">
        <v>111</v>
      </c>
      <c r="C23" s="13">
        <v>8</v>
      </c>
      <c r="D23" s="13">
        <v>7</v>
      </c>
      <c r="E23" s="13">
        <v>10</v>
      </c>
    </row>
    <row r="24" spans="1:5" x14ac:dyDescent="0.3">
      <c r="A24" s="13" t="s">
        <v>1</v>
      </c>
      <c r="B24" s="13" t="s">
        <v>1882</v>
      </c>
      <c r="C24" s="13">
        <v>7</v>
      </c>
      <c r="D24" s="13">
        <v>6</v>
      </c>
      <c r="E24" s="13">
        <v>7</v>
      </c>
    </row>
    <row r="25" spans="1:5" x14ac:dyDescent="0.3">
      <c r="A25" s="13" t="s">
        <v>1</v>
      </c>
      <c r="B25" s="13" t="s">
        <v>31</v>
      </c>
      <c r="C25" s="13">
        <v>6</v>
      </c>
      <c r="D25" s="13">
        <v>6</v>
      </c>
      <c r="E25" s="13">
        <v>6</v>
      </c>
    </row>
    <row r="26" spans="1:5" x14ac:dyDescent="0.3">
      <c r="A26" s="13" t="s">
        <v>1</v>
      </c>
      <c r="B26" s="13" t="s">
        <v>54</v>
      </c>
      <c r="C26" s="13">
        <v>11</v>
      </c>
      <c r="D26" s="13">
        <v>6</v>
      </c>
      <c r="E26" s="13">
        <v>12</v>
      </c>
    </row>
    <row r="27" spans="1:5" x14ac:dyDescent="0.3">
      <c r="A27" s="13" t="s">
        <v>0</v>
      </c>
      <c r="B27" s="13" t="s">
        <v>120</v>
      </c>
      <c r="C27" s="13">
        <v>9</v>
      </c>
      <c r="D27" s="13">
        <v>6</v>
      </c>
      <c r="E27" s="13">
        <v>9</v>
      </c>
    </row>
    <row r="28" spans="1:5" x14ac:dyDescent="0.3">
      <c r="A28" s="13" t="s">
        <v>0</v>
      </c>
      <c r="B28" s="13" t="s">
        <v>37</v>
      </c>
      <c r="C28" s="13">
        <v>6</v>
      </c>
      <c r="D28" s="13">
        <v>6</v>
      </c>
      <c r="E28" s="13">
        <v>6</v>
      </c>
    </row>
    <row r="29" spans="1:5" x14ac:dyDescent="0.3">
      <c r="A29" s="13" t="s">
        <v>1</v>
      </c>
      <c r="B29" s="13" t="s">
        <v>562</v>
      </c>
      <c r="C29" s="13">
        <v>5</v>
      </c>
      <c r="D29" s="13">
        <v>5</v>
      </c>
      <c r="E29" s="13">
        <v>6</v>
      </c>
    </row>
    <row r="30" spans="1:5" x14ac:dyDescent="0.3">
      <c r="A30" s="13" t="s">
        <v>1</v>
      </c>
      <c r="B30" s="13" t="s">
        <v>104</v>
      </c>
      <c r="C30" s="13">
        <v>5</v>
      </c>
      <c r="D30" s="13">
        <v>5</v>
      </c>
      <c r="E30" s="13">
        <v>6</v>
      </c>
    </row>
    <row r="31" spans="1:5" x14ac:dyDescent="0.3">
      <c r="A31" s="13" t="s">
        <v>1</v>
      </c>
      <c r="B31" s="13" t="s">
        <v>51</v>
      </c>
      <c r="C31" s="13">
        <v>7</v>
      </c>
      <c r="D31" s="13">
        <v>5</v>
      </c>
      <c r="E31" s="13">
        <v>6</v>
      </c>
    </row>
    <row r="32" spans="1:5" x14ac:dyDescent="0.3">
      <c r="A32" s="13" t="s">
        <v>0</v>
      </c>
      <c r="B32" s="13" t="s">
        <v>1741</v>
      </c>
      <c r="C32" s="13">
        <v>5</v>
      </c>
      <c r="D32" s="13">
        <v>5</v>
      </c>
      <c r="E32" s="13">
        <v>6</v>
      </c>
    </row>
    <row r="33" spans="1:5" x14ac:dyDescent="0.3">
      <c r="A33" s="13" t="s">
        <v>0</v>
      </c>
      <c r="B33" s="13" t="s">
        <v>2701</v>
      </c>
      <c r="C33" s="13">
        <v>6</v>
      </c>
      <c r="D33" s="13">
        <v>5</v>
      </c>
      <c r="E33" s="13">
        <v>6</v>
      </c>
    </row>
    <row r="34" spans="1:5" x14ac:dyDescent="0.3">
      <c r="A34" s="13" t="s">
        <v>1</v>
      </c>
      <c r="B34" s="13" t="s">
        <v>150</v>
      </c>
      <c r="C34" s="13">
        <v>6</v>
      </c>
      <c r="D34" s="13">
        <v>4</v>
      </c>
      <c r="E34" s="13">
        <v>7</v>
      </c>
    </row>
    <row r="35" spans="1:5" x14ac:dyDescent="0.3">
      <c r="A35" s="13" t="s">
        <v>1</v>
      </c>
      <c r="B35" s="13" t="s">
        <v>151</v>
      </c>
      <c r="C35" s="13">
        <v>7</v>
      </c>
      <c r="D35" s="13">
        <v>4</v>
      </c>
      <c r="E35" s="13">
        <v>7</v>
      </c>
    </row>
    <row r="36" spans="1:5" x14ac:dyDescent="0.3">
      <c r="A36" s="13" t="s">
        <v>1</v>
      </c>
      <c r="B36" s="13" t="s">
        <v>93</v>
      </c>
      <c r="C36" s="13">
        <v>4</v>
      </c>
      <c r="D36" s="13">
        <v>4</v>
      </c>
      <c r="E36" s="13">
        <v>4</v>
      </c>
    </row>
    <row r="37" spans="1:5" x14ac:dyDescent="0.3">
      <c r="A37" s="13" t="s">
        <v>1</v>
      </c>
      <c r="B37" s="13" t="s">
        <v>94</v>
      </c>
      <c r="C37" s="13">
        <v>5</v>
      </c>
      <c r="D37" s="13">
        <v>4</v>
      </c>
      <c r="E37" s="13">
        <v>5</v>
      </c>
    </row>
    <row r="38" spans="1:5" x14ac:dyDescent="0.3">
      <c r="A38" s="13" t="s">
        <v>1</v>
      </c>
      <c r="B38" s="13" t="s">
        <v>195</v>
      </c>
      <c r="C38" s="13">
        <v>4</v>
      </c>
      <c r="D38" s="13">
        <v>4</v>
      </c>
      <c r="E38" s="13">
        <v>4</v>
      </c>
    </row>
    <row r="39" spans="1:5" x14ac:dyDescent="0.3">
      <c r="A39" s="13" t="s">
        <v>1</v>
      </c>
      <c r="B39" s="13" t="s">
        <v>281</v>
      </c>
      <c r="C39" s="13">
        <v>4</v>
      </c>
      <c r="D39" s="13">
        <v>4</v>
      </c>
      <c r="E39" s="13">
        <v>5</v>
      </c>
    </row>
    <row r="40" spans="1:5" x14ac:dyDescent="0.3">
      <c r="A40" s="13" t="s">
        <v>1</v>
      </c>
      <c r="B40" s="13" t="s">
        <v>196</v>
      </c>
      <c r="C40" s="13">
        <v>5</v>
      </c>
      <c r="D40" s="13">
        <v>4</v>
      </c>
      <c r="E40" s="13">
        <v>5</v>
      </c>
    </row>
    <row r="41" spans="1:5" x14ac:dyDescent="0.3">
      <c r="A41" s="13" t="s">
        <v>1</v>
      </c>
      <c r="B41" s="13" t="s">
        <v>661</v>
      </c>
      <c r="C41" s="13">
        <v>5</v>
      </c>
      <c r="D41" s="13">
        <v>4</v>
      </c>
      <c r="E41" s="13">
        <v>5</v>
      </c>
    </row>
    <row r="42" spans="1:5" x14ac:dyDescent="0.3">
      <c r="A42" s="13" t="s">
        <v>1</v>
      </c>
      <c r="B42" s="13" t="s">
        <v>63</v>
      </c>
      <c r="C42" s="13">
        <v>4</v>
      </c>
      <c r="D42" s="13">
        <v>4</v>
      </c>
      <c r="E42" s="13">
        <v>4</v>
      </c>
    </row>
    <row r="43" spans="1:5" x14ac:dyDescent="0.3">
      <c r="A43" s="13" t="s">
        <v>1</v>
      </c>
      <c r="B43" s="13" t="s">
        <v>229</v>
      </c>
      <c r="C43" s="13">
        <v>4</v>
      </c>
      <c r="D43" s="13">
        <v>4</v>
      </c>
      <c r="E43" s="13">
        <v>4</v>
      </c>
    </row>
    <row r="44" spans="1:5" x14ac:dyDescent="0.3">
      <c r="A44" s="13" t="s">
        <v>1</v>
      </c>
      <c r="B44" s="13" t="s">
        <v>55</v>
      </c>
      <c r="C44" s="13">
        <v>14</v>
      </c>
      <c r="D44" s="13">
        <v>4</v>
      </c>
      <c r="E44" s="13">
        <v>15</v>
      </c>
    </row>
    <row r="45" spans="1:5" x14ac:dyDescent="0.3">
      <c r="A45" s="13" t="s">
        <v>0</v>
      </c>
      <c r="B45" s="13" t="s">
        <v>34</v>
      </c>
      <c r="C45" s="13">
        <v>4</v>
      </c>
      <c r="D45" s="13">
        <v>4</v>
      </c>
      <c r="E45" s="13">
        <v>5</v>
      </c>
    </row>
    <row r="46" spans="1:5" x14ac:dyDescent="0.3">
      <c r="A46" s="13" t="s">
        <v>0</v>
      </c>
      <c r="B46" s="13" t="s">
        <v>351</v>
      </c>
      <c r="C46" s="13">
        <v>4</v>
      </c>
      <c r="D46" s="13">
        <v>4</v>
      </c>
      <c r="E46" s="13">
        <v>5</v>
      </c>
    </row>
    <row r="47" spans="1:5" x14ac:dyDescent="0.3">
      <c r="A47" s="13" t="s">
        <v>0</v>
      </c>
      <c r="B47" s="13" t="s">
        <v>61</v>
      </c>
      <c r="C47" s="13">
        <v>4</v>
      </c>
      <c r="D47" s="13">
        <v>4</v>
      </c>
      <c r="E47" s="13">
        <v>4</v>
      </c>
    </row>
    <row r="48" spans="1:5" x14ac:dyDescent="0.3">
      <c r="A48" s="13" t="s">
        <v>0</v>
      </c>
      <c r="B48" s="13" t="s">
        <v>35</v>
      </c>
      <c r="C48" s="13">
        <v>4</v>
      </c>
      <c r="D48" s="13">
        <v>4</v>
      </c>
      <c r="E48" s="13">
        <v>5</v>
      </c>
    </row>
    <row r="49" spans="1:5" x14ac:dyDescent="0.3">
      <c r="A49" s="13" t="s">
        <v>0</v>
      </c>
      <c r="B49" s="13" t="s">
        <v>45</v>
      </c>
      <c r="C49" s="13">
        <v>4</v>
      </c>
      <c r="D49" s="13">
        <v>4</v>
      </c>
      <c r="E49" s="13">
        <v>4</v>
      </c>
    </row>
    <row r="50" spans="1:5" x14ac:dyDescent="0.3">
      <c r="A50" s="13" t="s">
        <v>1</v>
      </c>
      <c r="B50" s="13" t="s">
        <v>551</v>
      </c>
      <c r="C50" s="13">
        <v>3</v>
      </c>
      <c r="D50" s="13">
        <v>3</v>
      </c>
      <c r="E50" s="13">
        <v>3</v>
      </c>
    </row>
    <row r="51" spans="1:5" x14ac:dyDescent="0.3">
      <c r="A51" s="13" t="s">
        <v>1</v>
      </c>
      <c r="B51" s="13" t="s">
        <v>586</v>
      </c>
      <c r="C51" s="13">
        <v>4</v>
      </c>
      <c r="D51" s="13">
        <v>3</v>
      </c>
      <c r="E51" s="13">
        <v>4</v>
      </c>
    </row>
    <row r="52" spans="1:5" x14ac:dyDescent="0.3">
      <c r="A52" s="13" t="s">
        <v>1</v>
      </c>
      <c r="B52" s="13" t="s">
        <v>33</v>
      </c>
      <c r="C52" s="13">
        <v>3</v>
      </c>
      <c r="D52" s="13">
        <v>3</v>
      </c>
      <c r="E52" s="13">
        <v>3</v>
      </c>
    </row>
    <row r="53" spans="1:5" x14ac:dyDescent="0.3">
      <c r="A53" s="13" t="s">
        <v>1</v>
      </c>
      <c r="B53" s="13" t="s">
        <v>243</v>
      </c>
      <c r="C53" s="13">
        <v>4</v>
      </c>
      <c r="D53" s="13">
        <v>3</v>
      </c>
      <c r="E53" s="13">
        <v>4</v>
      </c>
    </row>
    <row r="54" spans="1:5" x14ac:dyDescent="0.3">
      <c r="A54" s="13" t="s">
        <v>1</v>
      </c>
      <c r="B54" s="13" t="s">
        <v>304</v>
      </c>
      <c r="C54" s="13">
        <v>5</v>
      </c>
      <c r="D54" s="13">
        <v>3</v>
      </c>
      <c r="E54" s="13">
        <v>7</v>
      </c>
    </row>
    <row r="55" spans="1:5" x14ac:dyDescent="0.3">
      <c r="A55" s="13" t="s">
        <v>1</v>
      </c>
      <c r="B55" s="13" t="s">
        <v>87</v>
      </c>
      <c r="C55" s="13">
        <v>5</v>
      </c>
      <c r="D55" s="13">
        <v>3</v>
      </c>
      <c r="E55" s="13">
        <v>5</v>
      </c>
    </row>
    <row r="56" spans="1:5" x14ac:dyDescent="0.3">
      <c r="A56" s="13" t="s">
        <v>1</v>
      </c>
      <c r="B56" s="13" t="s">
        <v>1888</v>
      </c>
      <c r="C56" s="13">
        <v>3</v>
      </c>
      <c r="D56" s="13">
        <v>3</v>
      </c>
      <c r="E56" s="13">
        <v>3</v>
      </c>
    </row>
    <row r="57" spans="1:5" x14ac:dyDescent="0.3">
      <c r="A57" s="13" t="s">
        <v>1</v>
      </c>
      <c r="B57" s="13" t="s">
        <v>1900</v>
      </c>
      <c r="C57" s="13">
        <v>3</v>
      </c>
      <c r="D57" s="13">
        <v>3</v>
      </c>
      <c r="E57" s="13">
        <v>4</v>
      </c>
    </row>
    <row r="58" spans="1:5" x14ac:dyDescent="0.3">
      <c r="A58" s="13" t="s">
        <v>1</v>
      </c>
      <c r="B58" s="13" t="s">
        <v>258</v>
      </c>
      <c r="C58" s="13">
        <v>3</v>
      </c>
      <c r="D58" s="13">
        <v>3</v>
      </c>
      <c r="E58" s="13">
        <v>3</v>
      </c>
    </row>
    <row r="59" spans="1:5" x14ac:dyDescent="0.3">
      <c r="A59" s="13" t="s">
        <v>1</v>
      </c>
      <c r="B59" s="13" t="s">
        <v>279</v>
      </c>
      <c r="C59" s="13">
        <v>4</v>
      </c>
      <c r="D59" s="13">
        <v>3</v>
      </c>
      <c r="E59" s="13">
        <v>4</v>
      </c>
    </row>
    <row r="60" spans="1:5" x14ac:dyDescent="0.3">
      <c r="A60" s="13" t="s">
        <v>1</v>
      </c>
      <c r="B60" s="13" t="s">
        <v>374</v>
      </c>
      <c r="C60" s="13">
        <v>3</v>
      </c>
      <c r="D60" s="13">
        <v>3</v>
      </c>
      <c r="E60" s="13">
        <v>3</v>
      </c>
    </row>
    <row r="61" spans="1:5" x14ac:dyDescent="0.3">
      <c r="A61" s="13" t="s">
        <v>1</v>
      </c>
      <c r="B61" s="13" t="s">
        <v>123</v>
      </c>
      <c r="C61" s="13">
        <v>3</v>
      </c>
      <c r="D61" s="13">
        <v>3</v>
      </c>
      <c r="E61" s="13">
        <v>3</v>
      </c>
    </row>
    <row r="62" spans="1:5" x14ac:dyDescent="0.3">
      <c r="A62" s="13" t="s">
        <v>1</v>
      </c>
      <c r="B62" s="13" t="s">
        <v>38</v>
      </c>
      <c r="C62" s="13">
        <v>4</v>
      </c>
      <c r="D62" s="13">
        <v>3</v>
      </c>
      <c r="E62" s="13">
        <v>4</v>
      </c>
    </row>
    <row r="63" spans="1:5" x14ac:dyDescent="0.3">
      <c r="A63" s="13" t="s">
        <v>1</v>
      </c>
      <c r="B63" s="13" t="s">
        <v>132</v>
      </c>
      <c r="C63" s="13">
        <v>5</v>
      </c>
      <c r="D63" s="13">
        <v>3</v>
      </c>
      <c r="E63" s="13">
        <v>5</v>
      </c>
    </row>
    <row r="64" spans="1:5" x14ac:dyDescent="0.3">
      <c r="A64" s="13" t="s">
        <v>1</v>
      </c>
      <c r="B64" s="13" t="s">
        <v>32</v>
      </c>
      <c r="C64" s="13">
        <v>8</v>
      </c>
      <c r="D64" s="13">
        <v>3</v>
      </c>
      <c r="E64" s="13">
        <v>13</v>
      </c>
    </row>
    <row r="65" spans="1:5" x14ac:dyDescent="0.3">
      <c r="A65" s="13" t="s">
        <v>0</v>
      </c>
      <c r="B65" s="13" t="s">
        <v>42</v>
      </c>
      <c r="C65" s="13">
        <v>3</v>
      </c>
      <c r="D65" s="13">
        <v>3</v>
      </c>
      <c r="E65" s="13">
        <v>3</v>
      </c>
    </row>
    <row r="66" spans="1:5" x14ac:dyDescent="0.3">
      <c r="A66" s="13" t="s">
        <v>0</v>
      </c>
      <c r="B66" s="13" t="s">
        <v>123</v>
      </c>
      <c r="C66" s="13">
        <v>3</v>
      </c>
      <c r="D66" s="13">
        <v>3</v>
      </c>
      <c r="E66" s="13">
        <v>3</v>
      </c>
    </row>
    <row r="67" spans="1:5" x14ac:dyDescent="0.3">
      <c r="A67" s="13" t="s">
        <v>0</v>
      </c>
      <c r="B67" s="13" t="s">
        <v>66</v>
      </c>
      <c r="C67" s="13">
        <v>4</v>
      </c>
      <c r="D67" s="13">
        <v>3</v>
      </c>
      <c r="E67" s="13">
        <v>5</v>
      </c>
    </row>
    <row r="68" spans="1:5" x14ac:dyDescent="0.3">
      <c r="A68" s="13" t="s">
        <v>2</v>
      </c>
      <c r="B68" s="13" t="s">
        <v>1741</v>
      </c>
      <c r="C68" s="13">
        <v>3</v>
      </c>
      <c r="D68" s="13">
        <v>3</v>
      </c>
      <c r="E68" s="13">
        <v>3</v>
      </c>
    </row>
    <row r="69" spans="1:5" x14ac:dyDescent="0.3">
      <c r="A69" s="13" t="s">
        <v>2</v>
      </c>
      <c r="B69" s="13" t="s">
        <v>562</v>
      </c>
      <c r="C69" s="13">
        <v>3</v>
      </c>
      <c r="D69" s="13">
        <v>3</v>
      </c>
      <c r="E69" s="13">
        <v>4</v>
      </c>
    </row>
    <row r="70" spans="1:5" x14ac:dyDescent="0.3">
      <c r="A70" s="13" t="s">
        <v>1</v>
      </c>
      <c r="B70" s="13" t="s">
        <v>377</v>
      </c>
      <c r="C70" s="13">
        <v>2</v>
      </c>
      <c r="D70" s="13">
        <v>2</v>
      </c>
      <c r="E70" s="13">
        <v>2</v>
      </c>
    </row>
    <row r="71" spans="1:5" x14ac:dyDescent="0.3">
      <c r="A71" s="13" t="s">
        <v>1</v>
      </c>
      <c r="B71" s="13" t="s">
        <v>36</v>
      </c>
      <c r="C71" s="13">
        <v>5</v>
      </c>
      <c r="D71" s="13">
        <v>2</v>
      </c>
      <c r="E71" s="13">
        <v>6</v>
      </c>
    </row>
    <row r="72" spans="1:5" x14ac:dyDescent="0.3">
      <c r="A72" s="13" t="s">
        <v>1</v>
      </c>
      <c r="B72" s="13" t="s">
        <v>470</v>
      </c>
      <c r="C72" s="13">
        <v>2</v>
      </c>
      <c r="D72" s="13">
        <v>2</v>
      </c>
      <c r="E72" s="13">
        <v>2</v>
      </c>
    </row>
    <row r="73" spans="1:5" x14ac:dyDescent="0.3">
      <c r="A73" s="13" t="s">
        <v>1</v>
      </c>
      <c r="B73" s="13" t="s">
        <v>206</v>
      </c>
      <c r="C73" s="13">
        <v>3</v>
      </c>
      <c r="D73" s="13">
        <v>2</v>
      </c>
      <c r="E73" s="13">
        <v>3</v>
      </c>
    </row>
    <row r="74" spans="1:5" x14ac:dyDescent="0.3">
      <c r="A74" s="13" t="s">
        <v>1</v>
      </c>
      <c r="B74" s="13" t="s">
        <v>929</v>
      </c>
      <c r="C74" s="13">
        <v>2</v>
      </c>
      <c r="D74" s="13">
        <v>2</v>
      </c>
      <c r="E74" s="13">
        <v>2</v>
      </c>
    </row>
    <row r="75" spans="1:5" x14ac:dyDescent="0.3">
      <c r="A75" s="13" t="s">
        <v>1</v>
      </c>
      <c r="B75" s="13" t="s">
        <v>557</v>
      </c>
      <c r="C75" s="13">
        <v>2</v>
      </c>
      <c r="D75" s="13">
        <v>2</v>
      </c>
      <c r="E75" s="13">
        <v>2</v>
      </c>
    </row>
    <row r="76" spans="1:5" x14ac:dyDescent="0.3">
      <c r="A76" s="13" t="s">
        <v>1</v>
      </c>
      <c r="B76" s="13" t="s">
        <v>1208</v>
      </c>
      <c r="C76" s="13">
        <v>2</v>
      </c>
      <c r="D76" s="13">
        <v>2</v>
      </c>
      <c r="E76" s="13">
        <v>2</v>
      </c>
    </row>
    <row r="77" spans="1:5" x14ac:dyDescent="0.3">
      <c r="A77" s="13" t="s">
        <v>1</v>
      </c>
      <c r="B77" s="13" t="s">
        <v>211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271</v>
      </c>
      <c r="C78" s="13">
        <v>2</v>
      </c>
      <c r="D78" s="13">
        <v>2</v>
      </c>
      <c r="E78" s="13">
        <v>2</v>
      </c>
    </row>
    <row r="79" spans="1:5" x14ac:dyDescent="0.3">
      <c r="A79" s="13" t="s">
        <v>1</v>
      </c>
      <c r="B79" s="13" t="s">
        <v>145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148</v>
      </c>
      <c r="C80" s="13">
        <v>2</v>
      </c>
      <c r="D80" s="13">
        <v>2</v>
      </c>
      <c r="E80" s="13">
        <v>3</v>
      </c>
    </row>
    <row r="81" spans="1:5" x14ac:dyDescent="0.3">
      <c r="A81" s="13" t="s">
        <v>1</v>
      </c>
      <c r="B81" s="13" t="s">
        <v>90</v>
      </c>
      <c r="C81" s="13">
        <v>4</v>
      </c>
      <c r="D81" s="13">
        <v>2</v>
      </c>
      <c r="E81" s="13">
        <v>5</v>
      </c>
    </row>
    <row r="82" spans="1:5" x14ac:dyDescent="0.3">
      <c r="A82" s="13" t="s">
        <v>1</v>
      </c>
      <c r="B82" s="13" t="s">
        <v>272</v>
      </c>
      <c r="C82" s="13">
        <v>3</v>
      </c>
      <c r="D82" s="13">
        <v>2</v>
      </c>
      <c r="E82" s="13">
        <v>2</v>
      </c>
    </row>
    <row r="83" spans="1:5" x14ac:dyDescent="0.3">
      <c r="A83" s="13" t="s">
        <v>1</v>
      </c>
      <c r="B83" s="13" t="s">
        <v>60</v>
      </c>
      <c r="C83" s="13">
        <v>2</v>
      </c>
      <c r="D83" s="13">
        <v>2</v>
      </c>
      <c r="E83" s="13">
        <v>2</v>
      </c>
    </row>
    <row r="84" spans="1:5" x14ac:dyDescent="0.3">
      <c r="A84" s="13" t="s">
        <v>1</v>
      </c>
      <c r="B84" s="13" t="s">
        <v>471</v>
      </c>
      <c r="C84" s="13">
        <v>3</v>
      </c>
      <c r="D84" s="13">
        <v>2</v>
      </c>
      <c r="E84" s="13">
        <v>3</v>
      </c>
    </row>
    <row r="85" spans="1:5" x14ac:dyDescent="0.3">
      <c r="A85" s="13" t="s">
        <v>1</v>
      </c>
      <c r="B85" s="13" t="s">
        <v>1881</v>
      </c>
      <c r="C85" s="13">
        <v>3</v>
      </c>
      <c r="D85" s="13">
        <v>2</v>
      </c>
      <c r="E85" s="13">
        <v>6</v>
      </c>
    </row>
    <row r="86" spans="1:5" x14ac:dyDescent="0.3">
      <c r="A86" s="13" t="s">
        <v>1</v>
      </c>
      <c r="B86" s="13" t="s">
        <v>1960</v>
      </c>
      <c r="C86" s="13">
        <v>6</v>
      </c>
      <c r="D86" s="13">
        <v>2</v>
      </c>
      <c r="E86" s="13">
        <v>7</v>
      </c>
    </row>
    <row r="87" spans="1:5" x14ac:dyDescent="0.3">
      <c r="A87" s="13" t="s">
        <v>1</v>
      </c>
      <c r="B87" s="13" t="s">
        <v>506</v>
      </c>
      <c r="C87" s="13">
        <v>2</v>
      </c>
      <c r="D87" s="13">
        <v>2</v>
      </c>
      <c r="E87" s="13">
        <v>3</v>
      </c>
    </row>
    <row r="88" spans="1:5" x14ac:dyDescent="0.3">
      <c r="A88" s="13" t="s">
        <v>1</v>
      </c>
      <c r="B88" s="13" t="s">
        <v>49</v>
      </c>
      <c r="C88" s="13">
        <v>2</v>
      </c>
      <c r="D88" s="13">
        <v>2</v>
      </c>
      <c r="E88" s="13">
        <v>2</v>
      </c>
    </row>
    <row r="89" spans="1:5" x14ac:dyDescent="0.3">
      <c r="A89" s="13" t="s">
        <v>1</v>
      </c>
      <c r="B89" s="13" t="s">
        <v>889</v>
      </c>
      <c r="C89" s="13">
        <v>2</v>
      </c>
      <c r="D89" s="13">
        <v>2</v>
      </c>
      <c r="E89" s="13">
        <v>3</v>
      </c>
    </row>
    <row r="90" spans="1:5" x14ac:dyDescent="0.3">
      <c r="A90" s="13" t="s">
        <v>1</v>
      </c>
      <c r="B90" s="13" t="s">
        <v>391</v>
      </c>
      <c r="C90" s="13">
        <v>2</v>
      </c>
      <c r="D90" s="13">
        <v>2</v>
      </c>
      <c r="E90" s="13">
        <v>4</v>
      </c>
    </row>
    <row r="91" spans="1:5" x14ac:dyDescent="0.3">
      <c r="A91" s="13" t="s">
        <v>1</v>
      </c>
      <c r="B91" s="13" t="s">
        <v>937</v>
      </c>
      <c r="C91" s="13">
        <v>2</v>
      </c>
      <c r="D91" s="13">
        <v>2</v>
      </c>
      <c r="E91" s="13">
        <v>3</v>
      </c>
    </row>
    <row r="92" spans="1:5" x14ac:dyDescent="0.3">
      <c r="A92" s="13" t="s">
        <v>1</v>
      </c>
      <c r="B92" s="13" t="s">
        <v>101</v>
      </c>
      <c r="C92" s="13">
        <v>2</v>
      </c>
      <c r="D92" s="13">
        <v>2</v>
      </c>
      <c r="E92" s="13">
        <v>3</v>
      </c>
    </row>
    <row r="93" spans="1:5" x14ac:dyDescent="0.3">
      <c r="A93" s="13" t="s">
        <v>1</v>
      </c>
      <c r="B93" s="13" t="s">
        <v>105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29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222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44</v>
      </c>
      <c r="C96" s="13">
        <v>2</v>
      </c>
      <c r="D96" s="13">
        <v>2</v>
      </c>
      <c r="E96" s="13">
        <v>3</v>
      </c>
    </row>
    <row r="97" spans="1:5" x14ac:dyDescent="0.3">
      <c r="A97" s="13" t="s">
        <v>1</v>
      </c>
      <c r="B97" s="13" t="s">
        <v>1376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516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45</v>
      </c>
      <c r="C99" s="13">
        <v>2</v>
      </c>
      <c r="D99" s="13">
        <v>2</v>
      </c>
      <c r="E99" s="13">
        <v>3</v>
      </c>
    </row>
    <row r="100" spans="1:5" x14ac:dyDescent="0.3">
      <c r="A100" s="13" t="s">
        <v>1</v>
      </c>
      <c r="B100" s="13" t="s">
        <v>2393</v>
      </c>
      <c r="C100" s="13">
        <v>2</v>
      </c>
      <c r="D100" s="13">
        <v>2</v>
      </c>
      <c r="E100" s="13">
        <v>3</v>
      </c>
    </row>
    <row r="101" spans="1:5" x14ac:dyDescent="0.3">
      <c r="A101" s="13" t="s">
        <v>1</v>
      </c>
      <c r="B101" s="13" t="s">
        <v>631</v>
      </c>
      <c r="C101" s="13">
        <v>2</v>
      </c>
      <c r="D101" s="13">
        <v>2</v>
      </c>
      <c r="E101" s="13">
        <v>3</v>
      </c>
    </row>
    <row r="102" spans="1:5" x14ac:dyDescent="0.3">
      <c r="A102" s="13" t="s">
        <v>1</v>
      </c>
      <c r="B102" s="13" t="s">
        <v>121</v>
      </c>
      <c r="C102" s="13">
        <v>3</v>
      </c>
      <c r="D102" s="13">
        <v>2</v>
      </c>
      <c r="E102" s="13">
        <v>4</v>
      </c>
    </row>
    <row r="103" spans="1:5" x14ac:dyDescent="0.3">
      <c r="A103" s="13" t="s">
        <v>1</v>
      </c>
      <c r="B103" s="13" t="s">
        <v>951</v>
      </c>
      <c r="C103" s="13">
        <v>2</v>
      </c>
      <c r="D103" s="13">
        <v>2</v>
      </c>
      <c r="E103" s="13">
        <v>3</v>
      </c>
    </row>
    <row r="104" spans="1:5" x14ac:dyDescent="0.3">
      <c r="A104" s="13" t="s">
        <v>1</v>
      </c>
      <c r="B104" s="13" t="s">
        <v>174</v>
      </c>
      <c r="C104" s="13">
        <v>3</v>
      </c>
      <c r="D104" s="13">
        <v>2</v>
      </c>
      <c r="E104" s="13">
        <v>4</v>
      </c>
    </row>
    <row r="105" spans="1:5" x14ac:dyDescent="0.3">
      <c r="A105" s="13" t="s">
        <v>1</v>
      </c>
      <c r="B105" s="13" t="s">
        <v>293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1</v>
      </c>
      <c r="B106" s="13" t="s">
        <v>64</v>
      </c>
      <c r="C106" s="13">
        <v>3</v>
      </c>
      <c r="D106" s="13">
        <v>2</v>
      </c>
      <c r="E106" s="13">
        <v>3</v>
      </c>
    </row>
    <row r="107" spans="1:5" x14ac:dyDescent="0.3">
      <c r="A107" s="13" t="s">
        <v>1</v>
      </c>
      <c r="B107" s="13" t="s">
        <v>295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230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1219</v>
      </c>
      <c r="C109" s="13">
        <v>2</v>
      </c>
      <c r="D109" s="13">
        <v>2</v>
      </c>
      <c r="E109" s="13">
        <v>3</v>
      </c>
    </row>
    <row r="110" spans="1:5" x14ac:dyDescent="0.3">
      <c r="A110" s="13" t="s">
        <v>1</v>
      </c>
      <c r="B110" s="13" t="s">
        <v>53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1</v>
      </c>
      <c r="B111" s="13" t="s">
        <v>39</v>
      </c>
      <c r="C111" s="13">
        <v>8</v>
      </c>
      <c r="D111" s="13">
        <v>2</v>
      </c>
      <c r="E111" s="13">
        <v>10</v>
      </c>
    </row>
    <row r="112" spans="1:5" x14ac:dyDescent="0.3">
      <c r="A112" s="13" t="s">
        <v>0</v>
      </c>
      <c r="B112" s="13" t="s">
        <v>474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0</v>
      </c>
      <c r="B113" s="13" t="s">
        <v>349</v>
      </c>
      <c r="C113" s="13">
        <v>2</v>
      </c>
      <c r="D113" s="13">
        <v>2</v>
      </c>
      <c r="E113" s="13">
        <v>3</v>
      </c>
    </row>
    <row r="114" spans="1:5" x14ac:dyDescent="0.3">
      <c r="A114" s="13" t="s">
        <v>0</v>
      </c>
      <c r="B114" s="13" t="s">
        <v>424</v>
      </c>
      <c r="C114" s="13">
        <v>2</v>
      </c>
      <c r="D114" s="13">
        <v>2</v>
      </c>
      <c r="E114" s="13">
        <v>2</v>
      </c>
    </row>
    <row r="115" spans="1:5" x14ac:dyDescent="0.3">
      <c r="A115" s="13" t="s">
        <v>0</v>
      </c>
      <c r="B115" s="13" t="s">
        <v>60</v>
      </c>
      <c r="C115" s="13">
        <v>2</v>
      </c>
      <c r="D115" s="13">
        <v>2</v>
      </c>
      <c r="E115" s="13">
        <v>2</v>
      </c>
    </row>
    <row r="116" spans="1:5" x14ac:dyDescent="0.3">
      <c r="A116" s="13" t="s">
        <v>0</v>
      </c>
      <c r="B116" s="13" t="s">
        <v>93</v>
      </c>
      <c r="C116" s="13">
        <v>2</v>
      </c>
      <c r="D116" s="13">
        <v>2</v>
      </c>
      <c r="E116" s="13">
        <v>2</v>
      </c>
    </row>
    <row r="117" spans="1:5" x14ac:dyDescent="0.3">
      <c r="A117" s="13" t="s">
        <v>0</v>
      </c>
      <c r="B117" s="13" t="s">
        <v>94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0</v>
      </c>
      <c r="B118" s="13" t="s">
        <v>1663</v>
      </c>
      <c r="C118" s="13">
        <v>2</v>
      </c>
      <c r="D118" s="13">
        <v>2</v>
      </c>
      <c r="E118" s="13">
        <v>3</v>
      </c>
    </row>
    <row r="119" spans="1:5" x14ac:dyDescent="0.3">
      <c r="A119" s="13" t="s">
        <v>0</v>
      </c>
      <c r="B119" s="13" t="s">
        <v>1674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0</v>
      </c>
      <c r="B120" s="13" t="s">
        <v>1740</v>
      </c>
      <c r="C120" s="13">
        <v>4</v>
      </c>
      <c r="D120" s="13">
        <v>2</v>
      </c>
      <c r="E120" s="13">
        <v>4</v>
      </c>
    </row>
    <row r="121" spans="1:5" x14ac:dyDescent="0.3">
      <c r="A121" s="13" t="s">
        <v>0</v>
      </c>
      <c r="B121" s="13" t="s">
        <v>1948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0</v>
      </c>
      <c r="B122" s="13" t="s">
        <v>2179</v>
      </c>
      <c r="C122" s="13">
        <v>3</v>
      </c>
      <c r="D122" s="13">
        <v>2</v>
      </c>
      <c r="E122" s="13">
        <v>3</v>
      </c>
    </row>
    <row r="123" spans="1:5" x14ac:dyDescent="0.3">
      <c r="A123" s="13" t="s">
        <v>0</v>
      </c>
      <c r="B123" s="13" t="s">
        <v>2203</v>
      </c>
      <c r="C123" s="13">
        <v>4</v>
      </c>
      <c r="D123" s="13">
        <v>2</v>
      </c>
      <c r="E123" s="13">
        <v>4</v>
      </c>
    </row>
    <row r="124" spans="1:5" x14ac:dyDescent="0.3">
      <c r="A124" s="13" t="s">
        <v>0</v>
      </c>
      <c r="B124" s="13" t="s">
        <v>2425</v>
      </c>
      <c r="C124" s="13">
        <v>2</v>
      </c>
      <c r="D124" s="13">
        <v>2</v>
      </c>
      <c r="E124" s="13">
        <v>3</v>
      </c>
    </row>
    <row r="125" spans="1:5" x14ac:dyDescent="0.3">
      <c r="A125" s="13" t="s">
        <v>0</v>
      </c>
      <c r="B125" s="13" t="s">
        <v>2949</v>
      </c>
      <c r="C125" s="13">
        <v>5</v>
      </c>
      <c r="D125" s="13">
        <v>2</v>
      </c>
      <c r="E125" s="13">
        <v>9</v>
      </c>
    </row>
    <row r="126" spans="1:5" x14ac:dyDescent="0.3">
      <c r="A126" s="13" t="s">
        <v>0</v>
      </c>
      <c r="B126" s="13" t="s">
        <v>427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0</v>
      </c>
      <c r="B127" s="13" t="s">
        <v>105</v>
      </c>
      <c r="C127" s="13">
        <v>2</v>
      </c>
      <c r="D127" s="13">
        <v>2</v>
      </c>
      <c r="E127" s="13">
        <v>3</v>
      </c>
    </row>
    <row r="128" spans="1:5" x14ac:dyDescent="0.3">
      <c r="A128" s="13" t="s">
        <v>0</v>
      </c>
      <c r="B128" s="13" t="s">
        <v>1055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0</v>
      </c>
      <c r="B129" s="13" t="s">
        <v>279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0</v>
      </c>
      <c r="B130" s="13" t="s">
        <v>51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0</v>
      </c>
      <c r="B131" s="13" t="s">
        <v>517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62</v>
      </c>
      <c r="C132" s="13">
        <v>2</v>
      </c>
      <c r="D132" s="13">
        <v>2</v>
      </c>
      <c r="E132" s="13">
        <v>2</v>
      </c>
    </row>
    <row r="133" spans="1:5" x14ac:dyDescent="0.3">
      <c r="A133" s="13" t="s">
        <v>0</v>
      </c>
      <c r="B133" s="13" t="s">
        <v>409</v>
      </c>
      <c r="C133" s="13">
        <v>2</v>
      </c>
      <c r="D133" s="13">
        <v>2</v>
      </c>
      <c r="E133" s="13">
        <v>2</v>
      </c>
    </row>
    <row r="134" spans="1:5" x14ac:dyDescent="0.3">
      <c r="A134" s="13" t="s">
        <v>0</v>
      </c>
      <c r="B134" s="13" t="s">
        <v>63</v>
      </c>
      <c r="C134" s="13">
        <v>2</v>
      </c>
      <c r="D134" s="13">
        <v>2</v>
      </c>
      <c r="E134" s="13">
        <v>3</v>
      </c>
    </row>
    <row r="135" spans="1:5" x14ac:dyDescent="0.3">
      <c r="A135" s="13" t="s">
        <v>0</v>
      </c>
      <c r="B135" s="13" t="s">
        <v>709</v>
      </c>
      <c r="C135" s="13">
        <v>2</v>
      </c>
      <c r="D135" s="13">
        <v>2</v>
      </c>
      <c r="E135" s="13">
        <v>2</v>
      </c>
    </row>
    <row r="136" spans="1:5" x14ac:dyDescent="0.3">
      <c r="A136" s="13" t="s">
        <v>0</v>
      </c>
      <c r="B136" s="13" t="s">
        <v>130</v>
      </c>
      <c r="C136" s="13">
        <v>3</v>
      </c>
      <c r="D136" s="13">
        <v>2</v>
      </c>
      <c r="E136" s="13">
        <v>3</v>
      </c>
    </row>
    <row r="137" spans="1:5" x14ac:dyDescent="0.3">
      <c r="A137" s="13" t="s">
        <v>2</v>
      </c>
      <c r="B137" s="13" t="s">
        <v>151</v>
      </c>
      <c r="C137" s="13">
        <v>2</v>
      </c>
      <c r="D137" s="13">
        <v>2</v>
      </c>
      <c r="E137" s="13">
        <v>3</v>
      </c>
    </row>
    <row r="138" spans="1:5" x14ac:dyDescent="0.3">
      <c r="A138" s="13" t="s">
        <v>2</v>
      </c>
      <c r="B138" s="13" t="s">
        <v>354</v>
      </c>
      <c r="C138" s="13">
        <v>2</v>
      </c>
      <c r="D138" s="13">
        <v>2</v>
      </c>
      <c r="E138" s="13">
        <v>2</v>
      </c>
    </row>
    <row r="139" spans="1:5" x14ac:dyDescent="0.3">
      <c r="A139" s="13" t="s">
        <v>2</v>
      </c>
      <c r="B139" s="13" t="s">
        <v>1696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1</v>
      </c>
      <c r="B140" s="13" t="s">
        <v>874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924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926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137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70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554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372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1628</v>
      </c>
      <c r="C147" s="13">
        <v>1</v>
      </c>
      <c r="D147" s="13">
        <v>1</v>
      </c>
      <c r="E147" s="13">
        <v>2</v>
      </c>
    </row>
    <row r="148" spans="1:5" x14ac:dyDescent="0.3">
      <c r="A148" s="13" t="s">
        <v>1</v>
      </c>
      <c r="B148" s="13" t="s">
        <v>71</v>
      </c>
      <c r="C148" s="13">
        <v>1</v>
      </c>
      <c r="D148" s="13">
        <v>1</v>
      </c>
      <c r="E148" s="13">
        <v>3</v>
      </c>
    </row>
    <row r="149" spans="1:5" x14ac:dyDescent="0.3">
      <c r="A149" s="13" t="s">
        <v>1</v>
      </c>
      <c r="B149" s="13" t="s">
        <v>657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58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495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263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1936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1946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877</v>
      </c>
      <c r="C155" s="13">
        <v>1</v>
      </c>
      <c r="D155" s="13">
        <v>1</v>
      </c>
      <c r="E155" s="13">
        <v>2</v>
      </c>
    </row>
    <row r="156" spans="1:5" x14ac:dyDescent="0.3">
      <c r="A156" s="13" t="s">
        <v>1</v>
      </c>
      <c r="B156" s="13" t="s">
        <v>2950</v>
      </c>
      <c r="C156" s="13">
        <v>2</v>
      </c>
      <c r="D156" s="13">
        <v>1</v>
      </c>
      <c r="E156" s="13">
        <v>2</v>
      </c>
    </row>
    <row r="157" spans="1:5" x14ac:dyDescent="0.3">
      <c r="A157" s="13" t="s">
        <v>1</v>
      </c>
      <c r="B157" s="13" t="s">
        <v>1280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34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463</v>
      </c>
      <c r="C159" s="13">
        <v>1</v>
      </c>
      <c r="D159" s="13">
        <v>1</v>
      </c>
      <c r="E159" s="13">
        <v>2</v>
      </c>
    </row>
    <row r="160" spans="1:5" x14ac:dyDescent="0.3">
      <c r="A160" s="13" t="s">
        <v>1</v>
      </c>
      <c r="B160" s="13" t="s">
        <v>209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210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81</v>
      </c>
      <c r="C162" s="13">
        <v>2</v>
      </c>
      <c r="D162" s="13">
        <v>1</v>
      </c>
      <c r="E162" s="13">
        <v>6</v>
      </c>
    </row>
    <row r="163" spans="1:5" x14ac:dyDescent="0.3">
      <c r="A163" s="13" t="s">
        <v>1</v>
      </c>
      <c r="B163" s="13" t="s">
        <v>500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385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1249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1112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146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147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991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465</v>
      </c>
      <c r="C170" s="13">
        <v>2</v>
      </c>
      <c r="D170" s="13">
        <v>1</v>
      </c>
      <c r="E170" s="13">
        <v>2</v>
      </c>
    </row>
    <row r="171" spans="1:5" x14ac:dyDescent="0.3">
      <c r="A171" s="13" t="s">
        <v>1</v>
      </c>
      <c r="B171" s="13" t="s">
        <v>213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149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215</v>
      </c>
      <c r="C173" s="13">
        <v>2</v>
      </c>
      <c r="D173" s="13">
        <v>1</v>
      </c>
      <c r="E173" s="13">
        <v>2</v>
      </c>
    </row>
    <row r="174" spans="1:5" x14ac:dyDescent="0.3">
      <c r="A174" s="13" t="s">
        <v>1</v>
      </c>
      <c r="B174" s="13" t="s">
        <v>91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42</v>
      </c>
      <c r="C175" s="13">
        <v>3</v>
      </c>
      <c r="D175" s="13">
        <v>1</v>
      </c>
      <c r="E175" s="13">
        <v>3</v>
      </c>
    </row>
    <row r="176" spans="1:5" x14ac:dyDescent="0.3">
      <c r="A176" s="13" t="s">
        <v>1</v>
      </c>
      <c r="B176" s="13" t="s">
        <v>247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1067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1370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1419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1471</v>
      </c>
      <c r="C180" s="13">
        <v>3</v>
      </c>
      <c r="D180" s="13">
        <v>1</v>
      </c>
      <c r="E180" s="13">
        <v>3</v>
      </c>
    </row>
    <row r="181" spans="1:5" x14ac:dyDescent="0.3">
      <c r="A181" s="13" t="s">
        <v>1</v>
      </c>
      <c r="B181" s="13" t="s">
        <v>1621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1624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1645</v>
      </c>
      <c r="C183" s="13">
        <v>5</v>
      </c>
      <c r="D183" s="13">
        <v>1</v>
      </c>
      <c r="E183" s="13">
        <v>5</v>
      </c>
    </row>
    <row r="184" spans="1:5" x14ac:dyDescent="0.3">
      <c r="A184" s="13" t="s">
        <v>1</v>
      </c>
      <c r="B184" s="13" t="s">
        <v>1696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1926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1885</v>
      </c>
      <c r="C186" s="13">
        <v>3</v>
      </c>
      <c r="D186" s="13">
        <v>1</v>
      </c>
      <c r="E186" s="13">
        <v>3</v>
      </c>
    </row>
    <row r="187" spans="1:5" x14ac:dyDescent="0.3">
      <c r="A187" s="13" t="s">
        <v>1</v>
      </c>
      <c r="B187" s="13" t="s">
        <v>1989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2093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2203</v>
      </c>
      <c r="C189" s="13">
        <v>3</v>
      </c>
      <c r="D189" s="13">
        <v>1</v>
      </c>
      <c r="E189" s="13">
        <v>3</v>
      </c>
    </row>
    <row r="190" spans="1:5" x14ac:dyDescent="0.3">
      <c r="A190" s="13" t="s">
        <v>1</v>
      </c>
      <c r="B190" s="13" t="s">
        <v>2407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2425</v>
      </c>
      <c r="C191" s="13">
        <v>4</v>
      </c>
      <c r="D191" s="13">
        <v>1</v>
      </c>
      <c r="E191" s="13">
        <v>9</v>
      </c>
    </row>
    <row r="192" spans="1:5" x14ac:dyDescent="0.3">
      <c r="A192" s="13" t="s">
        <v>1</v>
      </c>
      <c r="B192" s="13" t="s">
        <v>2734</v>
      </c>
      <c r="C192" s="13">
        <v>3</v>
      </c>
      <c r="D192" s="13">
        <v>1</v>
      </c>
      <c r="E192" s="13">
        <v>4</v>
      </c>
    </row>
    <row r="193" spans="1:5" x14ac:dyDescent="0.3">
      <c r="A193" s="13" t="s">
        <v>1</v>
      </c>
      <c r="B193" s="13" t="s">
        <v>1688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154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1185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388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559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2951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475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1179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932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1452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1658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679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99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1053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1867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2295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1163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2702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161</v>
      </c>
      <c r="C211" s="13">
        <v>2</v>
      </c>
      <c r="D211" s="13">
        <v>1</v>
      </c>
      <c r="E211" s="13">
        <v>2</v>
      </c>
    </row>
    <row r="212" spans="1:5" x14ac:dyDescent="0.3">
      <c r="A212" s="13" t="s">
        <v>1</v>
      </c>
      <c r="B212" s="13" t="s">
        <v>1201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1603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682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2221</v>
      </c>
      <c r="C215" s="13">
        <v>1</v>
      </c>
      <c r="D215" s="13">
        <v>1</v>
      </c>
      <c r="E215" s="13">
        <v>2</v>
      </c>
    </row>
    <row r="216" spans="1:5" x14ac:dyDescent="0.3">
      <c r="A216" s="13" t="s">
        <v>1</v>
      </c>
      <c r="B216" s="13" t="s">
        <v>310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1611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1233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43</v>
      </c>
      <c r="C219" s="13">
        <v>1</v>
      </c>
      <c r="D219" s="13">
        <v>1</v>
      </c>
      <c r="E219" s="13">
        <v>2</v>
      </c>
    </row>
    <row r="220" spans="1:5" x14ac:dyDescent="0.3">
      <c r="A220" s="13" t="s">
        <v>1</v>
      </c>
      <c r="B220" s="13" t="s">
        <v>1072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939</v>
      </c>
      <c r="C221" s="13">
        <v>2</v>
      </c>
      <c r="D221" s="13">
        <v>1</v>
      </c>
      <c r="E221" s="13">
        <v>2</v>
      </c>
    </row>
    <row r="222" spans="1:5" x14ac:dyDescent="0.3">
      <c r="A222" s="13" t="s">
        <v>1</v>
      </c>
      <c r="B222" s="13" t="s">
        <v>429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1165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1003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1353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2952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616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1995</v>
      </c>
      <c r="C228" s="13">
        <v>1</v>
      </c>
      <c r="D228" s="13">
        <v>1</v>
      </c>
      <c r="E228" s="13">
        <v>3</v>
      </c>
    </row>
    <row r="229" spans="1:5" x14ac:dyDescent="0.3">
      <c r="A229" s="13" t="s">
        <v>1</v>
      </c>
      <c r="B229" s="13" t="s">
        <v>394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109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1004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620</v>
      </c>
      <c r="C232" s="13">
        <v>2</v>
      </c>
      <c r="D232" s="13">
        <v>1</v>
      </c>
      <c r="E232" s="13">
        <v>2</v>
      </c>
    </row>
    <row r="233" spans="1:5" x14ac:dyDescent="0.3">
      <c r="A233" s="13" t="s">
        <v>1</v>
      </c>
      <c r="B233" s="13" t="s">
        <v>397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824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579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943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1893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1750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1355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765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399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2953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315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1056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647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317</v>
      </c>
      <c r="C246" s="13">
        <v>1</v>
      </c>
      <c r="D246" s="13">
        <v>1</v>
      </c>
      <c r="E246" s="13">
        <v>2</v>
      </c>
    </row>
    <row r="247" spans="1:5" x14ac:dyDescent="0.3">
      <c r="A247" s="13" t="s">
        <v>1</v>
      </c>
      <c r="B247" s="13" t="s">
        <v>113</v>
      </c>
      <c r="C247" s="13">
        <v>1</v>
      </c>
      <c r="D247" s="13">
        <v>1</v>
      </c>
      <c r="E247" s="13">
        <v>2</v>
      </c>
    </row>
    <row r="248" spans="1:5" x14ac:dyDescent="0.3">
      <c r="A248" s="13" t="s">
        <v>1</v>
      </c>
      <c r="B248" s="13" t="s">
        <v>831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1542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520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1835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2954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522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1923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1620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571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2955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225</v>
      </c>
      <c r="C258" s="13">
        <v>2</v>
      </c>
      <c r="D258" s="13">
        <v>1</v>
      </c>
      <c r="E258" s="13">
        <v>2</v>
      </c>
    </row>
    <row r="259" spans="1:5" x14ac:dyDescent="0.3">
      <c r="A259" s="13" t="s">
        <v>1</v>
      </c>
      <c r="B259" s="13" t="s">
        <v>287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921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1682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1462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917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401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525</v>
      </c>
      <c r="C265" s="13">
        <v>1</v>
      </c>
      <c r="D265" s="13">
        <v>1</v>
      </c>
      <c r="E265" s="13">
        <v>3</v>
      </c>
    </row>
    <row r="266" spans="1:5" x14ac:dyDescent="0.3">
      <c r="A266" s="13" t="s">
        <v>1</v>
      </c>
      <c r="B266" s="13" t="s">
        <v>1317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625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114</v>
      </c>
      <c r="C268" s="13">
        <v>4</v>
      </c>
      <c r="D268" s="13">
        <v>1</v>
      </c>
      <c r="E268" s="13">
        <v>3</v>
      </c>
    </row>
    <row r="269" spans="1:5" x14ac:dyDescent="0.3">
      <c r="A269" s="13" t="s">
        <v>1</v>
      </c>
      <c r="B269" s="13" t="s">
        <v>1101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2590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1038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836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2956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1389</v>
      </c>
      <c r="C274" s="13">
        <v>1</v>
      </c>
      <c r="D274" s="13">
        <v>1</v>
      </c>
      <c r="E274" s="13">
        <v>2</v>
      </c>
    </row>
    <row r="275" spans="1:5" x14ac:dyDescent="0.3">
      <c r="A275" s="13" t="s">
        <v>1</v>
      </c>
      <c r="B275" s="13" t="s">
        <v>434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1204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1613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332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119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2957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62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1742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175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1205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290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2705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2958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843</v>
      </c>
      <c r="C288" s="13">
        <v>2</v>
      </c>
      <c r="D288" s="13">
        <v>1</v>
      </c>
      <c r="E288" s="13">
        <v>3</v>
      </c>
    </row>
    <row r="289" spans="1:5" x14ac:dyDescent="0.3">
      <c r="A289" s="13" t="s">
        <v>1</v>
      </c>
      <c r="B289" s="13" t="s">
        <v>533</v>
      </c>
      <c r="C289" s="13">
        <v>1</v>
      </c>
      <c r="D289" s="13">
        <v>1</v>
      </c>
      <c r="E289" s="13">
        <v>2</v>
      </c>
    </row>
    <row r="290" spans="1:5" x14ac:dyDescent="0.3">
      <c r="A290" s="13" t="s">
        <v>1</v>
      </c>
      <c r="B290" s="13" t="s">
        <v>1346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663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1195</v>
      </c>
      <c r="C292" s="13">
        <v>2</v>
      </c>
      <c r="D292" s="13">
        <v>1</v>
      </c>
      <c r="E292" s="13">
        <v>2</v>
      </c>
    </row>
    <row r="293" spans="1:5" x14ac:dyDescent="0.3">
      <c r="A293" s="13" t="s">
        <v>1</v>
      </c>
      <c r="B293" s="13" t="s">
        <v>178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668</v>
      </c>
      <c r="C294" s="13">
        <v>2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411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633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711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845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294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415</v>
      </c>
      <c r="C300" s="13">
        <v>3</v>
      </c>
      <c r="D300" s="13">
        <v>1</v>
      </c>
      <c r="E300" s="13">
        <v>2</v>
      </c>
    </row>
    <row r="301" spans="1:5" x14ac:dyDescent="0.3">
      <c r="A301" s="13" t="s">
        <v>1</v>
      </c>
      <c r="B301" s="13" t="s">
        <v>181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339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744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52</v>
      </c>
      <c r="C304" s="13">
        <v>2</v>
      </c>
      <c r="D304" s="13">
        <v>1</v>
      </c>
      <c r="E304" s="13">
        <v>2</v>
      </c>
    </row>
    <row r="305" spans="1:5" x14ac:dyDescent="0.3">
      <c r="A305" s="13" t="s">
        <v>1</v>
      </c>
      <c r="B305" s="13" t="s">
        <v>1359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2055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780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1046</v>
      </c>
      <c r="C308" s="13">
        <v>1</v>
      </c>
      <c r="D308" s="13">
        <v>1</v>
      </c>
      <c r="E308" s="13">
        <v>2</v>
      </c>
    </row>
    <row r="309" spans="1:5" x14ac:dyDescent="0.3">
      <c r="A309" s="13" t="s">
        <v>1</v>
      </c>
      <c r="B309" s="13" t="s">
        <v>1755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2202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782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1307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1425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1025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1490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716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797</v>
      </c>
      <c r="C317" s="13">
        <v>2</v>
      </c>
      <c r="D317" s="13">
        <v>1</v>
      </c>
      <c r="E317" s="13">
        <v>2</v>
      </c>
    </row>
    <row r="318" spans="1:5" x14ac:dyDescent="0.3">
      <c r="A318" s="13" t="s">
        <v>1</v>
      </c>
      <c r="B318" s="13" t="s">
        <v>542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1049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1432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1103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190</v>
      </c>
      <c r="C322" s="13">
        <v>3</v>
      </c>
      <c r="D322" s="13">
        <v>1</v>
      </c>
      <c r="E322" s="13">
        <v>3</v>
      </c>
    </row>
    <row r="323" spans="1:5" x14ac:dyDescent="0.3">
      <c r="A323" s="13" t="s">
        <v>1</v>
      </c>
      <c r="B323" s="13" t="s">
        <v>2362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960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66</v>
      </c>
      <c r="C325" s="13">
        <v>4</v>
      </c>
      <c r="D325" s="13">
        <v>1</v>
      </c>
      <c r="E325" s="13">
        <v>4</v>
      </c>
    </row>
    <row r="326" spans="1:5" x14ac:dyDescent="0.3">
      <c r="A326" s="13" t="s">
        <v>1</v>
      </c>
      <c r="B326" s="13" t="s">
        <v>371</v>
      </c>
      <c r="C326" s="13">
        <v>5</v>
      </c>
      <c r="D326" s="13">
        <v>1</v>
      </c>
      <c r="E326" s="13">
        <v>5</v>
      </c>
    </row>
    <row r="327" spans="1:5" x14ac:dyDescent="0.3">
      <c r="A327" s="13" t="s">
        <v>1</v>
      </c>
      <c r="B327" s="13" t="s">
        <v>545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1782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547</v>
      </c>
      <c r="C329" s="13">
        <v>1</v>
      </c>
      <c r="D329" s="13">
        <v>1</v>
      </c>
      <c r="E329" s="13"/>
    </row>
    <row r="330" spans="1:5" x14ac:dyDescent="0.3">
      <c r="A330" s="13" t="s">
        <v>1</v>
      </c>
      <c r="B330" s="13" t="s">
        <v>259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869</v>
      </c>
      <c r="C331" s="13">
        <v>1</v>
      </c>
      <c r="D331" s="13">
        <v>1</v>
      </c>
      <c r="E331" s="13"/>
    </row>
    <row r="332" spans="1:5" x14ac:dyDescent="0.3">
      <c r="A332" s="13" t="s">
        <v>1</v>
      </c>
      <c r="B332" s="13" t="s">
        <v>2959</v>
      </c>
      <c r="C332" s="13">
        <v>1</v>
      </c>
      <c r="D332" s="13">
        <v>1</v>
      </c>
      <c r="E332" s="13"/>
    </row>
    <row r="333" spans="1:5" x14ac:dyDescent="0.3">
      <c r="A333" s="13" t="s">
        <v>1</v>
      </c>
      <c r="B333" s="13" t="s">
        <v>2084</v>
      </c>
      <c r="C333" s="13">
        <v>1</v>
      </c>
      <c r="D333" s="13">
        <v>1</v>
      </c>
      <c r="E333" s="13">
        <v>2</v>
      </c>
    </row>
    <row r="334" spans="1:5" x14ac:dyDescent="0.3">
      <c r="A334" s="13" t="s">
        <v>1</v>
      </c>
      <c r="B334" s="13" t="s">
        <v>1773</v>
      </c>
      <c r="C334" s="13">
        <v>1</v>
      </c>
      <c r="D334" s="13">
        <v>1</v>
      </c>
      <c r="E334" s="13"/>
    </row>
    <row r="335" spans="1:5" x14ac:dyDescent="0.3">
      <c r="A335" s="13" t="s">
        <v>1</v>
      </c>
      <c r="B335" s="13" t="s">
        <v>2960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1791</v>
      </c>
      <c r="C336" s="13">
        <v>1</v>
      </c>
      <c r="D336" s="13">
        <v>2</v>
      </c>
      <c r="E336" s="13"/>
    </row>
    <row r="337" spans="1:5" x14ac:dyDescent="0.3">
      <c r="A337" s="13" t="s">
        <v>1</v>
      </c>
      <c r="B337" s="13" t="s">
        <v>980</v>
      </c>
      <c r="C337" s="13">
        <v>1</v>
      </c>
      <c r="D337" s="13">
        <v>1</v>
      </c>
      <c r="E337" s="13">
        <v>3</v>
      </c>
    </row>
    <row r="338" spans="1:5" x14ac:dyDescent="0.3">
      <c r="A338" s="13" t="s">
        <v>1</v>
      </c>
      <c r="B338" s="13" t="s">
        <v>643</v>
      </c>
      <c r="C338" s="13">
        <v>1</v>
      </c>
      <c r="D338" s="13">
        <v>1</v>
      </c>
      <c r="E338" s="13"/>
    </row>
    <row r="339" spans="1:5" x14ac:dyDescent="0.3">
      <c r="A339" s="13" t="s">
        <v>1</v>
      </c>
      <c r="B339" s="13" t="s">
        <v>1404</v>
      </c>
      <c r="C339" s="13">
        <v>1</v>
      </c>
      <c r="D339" s="13">
        <v>1</v>
      </c>
      <c r="E339" s="13"/>
    </row>
    <row r="340" spans="1:5" x14ac:dyDescent="0.3">
      <c r="A340" s="13" t="s">
        <v>1</v>
      </c>
      <c r="B340" s="13" t="s">
        <v>912</v>
      </c>
      <c r="C340" s="13">
        <v>1</v>
      </c>
      <c r="D340" s="13">
        <v>1</v>
      </c>
      <c r="E340" s="13"/>
    </row>
    <row r="341" spans="1:5" x14ac:dyDescent="0.3">
      <c r="A341" s="13" t="s">
        <v>1</v>
      </c>
      <c r="B341" s="13" t="s">
        <v>2961</v>
      </c>
      <c r="C341" s="13">
        <v>1</v>
      </c>
      <c r="D341" s="13">
        <v>2</v>
      </c>
      <c r="E341" s="13"/>
    </row>
    <row r="342" spans="1:5" x14ac:dyDescent="0.3">
      <c r="A342" s="13" t="s">
        <v>1</v>
      </c>
      <c r="B342" s="13" t="s">
        <v>2962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1</v>
      </c>
      <c r="B343" s="13" t="s">
        <v>1394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1</v>
      </c>
      <c r="B344" s="13" t="s">
        <v>2963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1</v>
      </c>
      <c r="B345" s="13" t="s">
        <v>1344</v>
      </c>
      <c r="C345" s="13">
        <v>1</v>
      </c>
      <c r="D345" s="13">
        <v>1</v>
      </c>
      <c r="E345" s="13"/>
    </row>
    <row r="346" spans="1:5" x14ac:dyDescent="0.3">
      <c r="A346" s="13" t="s">
        <v>1</v>
      </c>
      <c r="B346" s="13" t="s">
        <v>1435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1</v>
      </c>
      <c r="B347" s="13" t="s">
        <v>1967</v>
      </c>
      <c r="C347" s="13">
        <v>1</v>
      </c>
      <c r="D347" s="13">
        <v>1</v>
      </c>
      <c r="E347" s="13">
        <v>2</v>
      </c>
    </row>
    <row r="348" spans="1:5" x14ac:dyDescent="0.3">
      <c r="A348" s="13" t="s">
        <v>1</v>
      </c>
      <c r="B348" s="13" t="s">
        <v>1121</v>
      </c>
      <c r="C348" s="13">
        <v>2</v>
      </c>
      <c r="D348" s="13">
        <v>1</v>
      </c>
      <c r="E348" s="13">
        <v>2</v>
      </c>
    </row>
    <row r="349" spans="1:5" x14ac:dyDescent="0.3">
      <c r="A349" s="13" t="s">
        <v>1</v>
      </c>
      <c r="B349" s="13" t="s">
        <v>1326</v>
      </c>
      <c r="C349" s="13">
        <v>1</v>
      </c>
      <c r="D349" s="13">
        <v>1</v>
      </c>
      <c r="E349" s="13">
        <v>3</v>
      </c>
    </row>
    <row r="350" spans="1:5" x14ac:dyDescent="0.3">
      <c r="A350" s="13" t="s">
        <v>0</v>
      </c>
      <c r="B350" s="13" t="s">
        <v>1122</v>
      </c>
      <c r="C350" s="13">
        <v>1</v>
      </c>
      <c r="D350" s="13">
        <v>1</v>
      </c>
      <c r="E350" s="13">
        <v>2</v>
      </c>
    </row>
    <row r="351" spans="1:5" x14ac:dyDescent="0.3">
      <c r="A351" s="13" t="s">
        <v>0</v>
      </c>
      <c r="B351" s="13" t="s">
        <v>1063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0</v>
      </c>
      <c r="B352" s="13" t="s">
        <v>1351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0</v>
      </c>
      <c r="B353" s="13" t="s">
        <v>262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470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0</v>
      </c>
      <c r="B355" s="13" t="s">
        <v>33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205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383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497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345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1362</v>
      </c>
      <c r="C360" s="13">
        <v>1</v>
      </c>
      <c r="D360" s="13">
        <v>1</v>
      </c>
      <c r="E360" s="13">
        <v>2</v>
      </c>
    </row>
    <row r="361" spans="1:5" x14ac:dyDescent="0.3">
      <c r="A361" s="13" t="s">
        <v>0</v>
      </c>
      <c r="B361" s="13" t="s">
        <v>854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80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1208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260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81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83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270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271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1181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147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148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149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90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272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150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245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151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856</v>
      </c>
      <c r="C378" s="13">
        <v>2</v>
      </c>
      <c r="D378" s="13">
        <v>1</v>
      </c>
      <c r="E378" s="13">
        <v>3</v>
      </c>
    </row>
    <row r="379" spans="1:5" x14ac:dyDescent="0.3">
      <c r="A379" s="13" t="s">
        <v>0</v>
      </c>
      <c r="B379" s="13" t="s">
        <v>1419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1483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1645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1696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1849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1881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1988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2148</v>
      </c>
      <c r="C386" s="13">
        <v>2</v>
      </c>
      <c r="D386" s="13">
        <v>1</v>
      </c>
      <c r="E386" s="13">
        <v>2</v>
      </c>
    </row>
    <row r="387" spans="1:5" x14ac:dyDescent="0.3">
      <c r="A387" s="13" t="s">
        <v>0</v>
      </c>
      <c r="B387" s="13" t="s">
        <v>1615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95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476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274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1452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258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156</v>
      </c>
      <c r="C393" s="13">
        <v>2</v>
      </c>
      <c r="D393" s="13">
        <v>1</v>
      </c>
      <c r="E393" s="13">
        <v>2</v>
      </c>
    </row>
    <row r="394" spans="1:5" x14ac:dyDescent="0.3">
      <c r="A394" s="13" t="s">
        <v>0</v>
      </c>
      <c r="B394" s="13" t="s">
        <v>562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2028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937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101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681</v>
      </c>
      <c r="C398" s="13">
        <v>2</v>
      </c>
      <c r="D398" s="13">
        <v>1</v>
      </c>
      <c r="E398" s="13">
        <v>4</v>
      </c>
    </row>
    <row r="399" spans="1:5" x14ac:dyDescent="0.3">
      <c r="A399" s="13" t="s">
        <v>0</v>
      </c>
      <c r="B399" s="13" t="s">
        <v>1474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2782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311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733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2964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1499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1312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616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394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2390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567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109</v>
      </c>
      <c r="C410" s="13">
        <v>1</v>
      </c>
      <c r="D410" s="13">
        <v>1</v>
      </c>
      <c r="E410" s="13">
        <v>2</v>
      </c>
    </row>
    <row r="411" spans="1:5" x14ac:dyDescent="0.3">
      <c r="A411" s="13" t="s">
        <v>0</v>
      </c>
      <c r="B411" s="13" t="s">
        <v>2297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1021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168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111</v>
      </c>
      <c r="C414" s="13">
        <v>2</v>
      </c>
      <c r="D414" s="13">
        <v>1</v>
      </c>
      <c r="E414" s="13">
        <v>3</v>
      </c>
    </row>
    <row r="415" spans="1:5" x14ac:dyDescent="0.3">
      <c r="A415" s="13" t="s">
        <v>0</v>
      </c>
      <c r="B415" s="13" t="s">
        <v>512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44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170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514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315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1587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2177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374</v>
      </c>
      <c r="C422" s="13">
        <v>2</v>
      </c>
      <c r="D422" s="13">
        <v>1</v>
      </c>
      <c r="E422" s="13">
        <v>2</v>
      </c>
    </row>
    <row r="423" spans="1:5" x14ac:dyDescent="0.3">
      <c r="A423" s="13" t="s">
        <v>0</v>
      </c>
      <c r="B423" s="13" t="s">
        <v>692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286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946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626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114</v>
      </c>
      <c r="C427" s="13">
        <v>1</v>
      </c>
      <c r="D427" s="13">
        <v>1</v>
      </c>
      <c r="E427" s="13">
        <v>2</v>
      </c>
    </row>
    <row r="428" spans="1:5" x14ac:dyDescent="0.3">
      <c r="A428" s="13" t="s">
        <v>0</v>
      </c>
      <c r="B428" s="13" t="s">
        <v>115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2281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1109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631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661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46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1692</v>
      </c>
      <c r="C434" s="13">
        <v>2</v>
      </c>
      <c r="D434" s="13">
        <v>1</v>
      </c>
      <c r="E434" s="13">
        <v>2</v>
      </c>
    </row>
    <row r="435" spans="1:5" x14ac:dyDescent="0.3">
      <c r="A435" s="13" t="s">
        <v>0</v>
      </c>
      <c r="B435" s="13" t="s">
        <v>2150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1120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1263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293</v>
      </c>
      <c r="C438" s="13">
        <v>1</v>
      </c>
      <c r="D438" s="13">
        <v>1</v>
      </c>
      <c r="E438" s="13">
        <v>2</v>
      </c>
    </row>
    <row r="439" spans="1:5" x14ac:dyDescent="0.3">
      <c r="A439" s="13" t="s">
        <v>0</v>
      </c>
      <c r="B439" s="13" t="s">
        <v>179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711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182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339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185</v>
      </c>
      <c r="C443" s="13">
        <v>2</v>
      </c>
      <c r="D443" s="13">
        <v>1</v>
      </c>
      <c r="E443" s="13">
        <v>3</v>
      </c>
    </row>
    <row r="444" spans="1:5" x14ac:dyDescent="0.3">
      <c r="A444" s="13" t="s">
        <v>0</v>
      </c>
      <c r="B444" s="13" t="s">
        <v>439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340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38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539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64</v>
      </c>
      <c r="C448" s="13">
        <v>1</v>
      </c>
      <c r="D448" s="13">
        <v>1</v>
      </c>
      <c r="E448" s="13">
        <v>2</v>
      </c>
    </row>
    <row r="449" spans="1:5" x14ac:dyDescent="0.3">
      <c r="A449" s="13" t="s">
        <v>0</v>
      </c>
      <c r="B449" s="13" t="s">
        <v>188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716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230</v>
      </c>
      <c r="C451" s="13">
        <v>2</v>
      </c>
      <c r="D451" s="13">
        <v>1</v>
      </c>
      <c r="E451" s="13">
        <v>3</v>
      </c>
    </row>
    <row r="452" spans="1:5" x14ac:dyDescent="0.3">
      <c r="A452" s="13" t="s">
        <v>0</v>
      </c>
      <c r="B452" s="13" t="s">
        <v>484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365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1627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2965</v>
      </c>
      <c r="C455" s="13">
        <v>1</v>
      </c>
      <c r="D455" s="13">
        <v>1</v>
      </c>
      <c r="E455" s="13"/>
    </row>
    <row r="456" spans="1:5" x14ac:dyDescent="0.3">
      <c r="A456" s="13" t="s">
        <v>0</v>
      </c>
      <c r="B456" s="13" t="s">
        <v>869</v>
      </c>
      <c r="C456" s="13">
        <v>1</v>
      </c>
      <c r="D456" s="13">
        <v>1</v>
      </c>
      <c r="E456" s="13"/>
    </row>
    <row r="457" spans="1:5" x14ac:dyDescent="0.3">
      <c r="A457" s="13" t="s">
        <v>0</v>
      </c>
      <c r="B457" s="13" t="s">
        <v>2151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2255</v>
      </c>
      <c r="C458" s="13">
        <v>1</v>
      </c>
      <c r="D458" s="13">
        <v>1</v>
      </c>
      <c r="E458" s="13"/>
    </row>
    <row r="459" spans="1:5" x14ac:dyDescent="0.3">
      <c r="A459" s="13" t="s">
        <v>0</v>
      </c>
      <c r="B459" s="13" t="s">
        <v>1861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2352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2</v>
      </c>
      <c r="B461" s="13" t="s">
        <v>264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2</v>
      </c>
      <c r="B462" s="13" t="s">
        <v>421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2</v>
      </c>
      <c r="B463" s="13" t="s">
        <v>60</v>
      </c>
      <c r="C463" s="13">
        <v>1</v>
      </c>
      <c r="D463" s="13">
        <v>1</v>
      </c>
      <c r="E463" s="13">
        <v>3</v>
      </c>
    </row>
    <row r="464" spans="1:5" x14ac:dyDescent="0.3">
      <c r="A464" s="13" t="s">
        <v>2</v>
      </c>
      <c r="B464" s="13" t="s">
        <v>1570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2</v>
      </c>
      <c r="B465" s="13" t="s">
        <v>1663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2</v>
      </c>
      <c r="B466" s="13" t="s">
        <v>1888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2</v>
      </c>
      <c r="B467" s="13" t="s">
        <v>1881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2</v>
      </c>
      <c r="B468" s="13" t="s">
        <v>1988</v>
      </c>
      <c r="C468" s="13">
        <v>1</v>
      </c>
      <c r="D468" s="13">
        <v>1</v>
      </c>
      <c r="E468" s="13">
        <v>2</v>
      </c>
    </row>
    <row r="469" spans="1:5" x14ac:dyDescent="0.3">
      <c r="A469" s="13" t="s">
        <v>2</v>
      </c>
      <c r="B469" s="13" t="s">
        <v>506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2</v>
      </c>
      <c r="B470" s="13" t="s">
        <v>311</v>
      </c>
      <c r="C470" s="13">
        <v>1</v>
      </c>
      <c r="D470" s="13">
        <v>1</v>
      </c>
      <c r="E470" s="13">
        <v>4</v>
      </c>
    </row>
    <row r="471" spans="1:5" x14ac:dyDescent="0.3">
      <c r="A471" s="13" t="s">
        <v>2</v>
      </c>
      <c r="B471" s="13" t="s">
        <v>29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2</v>
      </c>
      <c r="B472" s="13" t="s">
        <v>279</v>
      </c>
      <c r="C472" s="13">
        <v>1</v>
      </c>
      <c r="D472" s="13">
        <v>1</v>
      </c>
      <c r="E472" s="13">
        <v>1</v>
      </c>
    </row>
    <row r="473" spans="1:5" x14ac:dyDescent="0.3">
      <c r="A473" s="13" t="s">
        <v>2</v>
      </c>
      <c r="B473" s="13" t="s">
        <v>51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2</v>
      </c>
      <c r="B474" s="13" t="s">
        <v>1735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2</v>
      </c>
      <c r="B475" s="13" t="s">
        <v>1023</v>
      </c>
      <c r="C475" s="13">
        <v>1</v>
      </c>
      <c r="D475" s="13">
        <v>1</v>
      </c>
      <c r="E475" s="13">
        <v>1</v>
      </c>
    </row>
    <row r="476" spans="1:5" x14ac:dyDescent="0.3">
      <c r="A476" s="13" t="s">
        <v>2</v>
      </c>
      <c r="B476" s="13" t="s">
        <v>1765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2</v>
      </c>
      <c r="B477" s="13" t="s">
        <v>668</v>
      </c>
      <c r="C477" s="13">
        <v>1</v>
      </c>
      <c r="D477" s="13">
        <v>1</v>
      </c>
      <c r="E477" s="13">
        <v>2</v>
      </c>
    </row>
    <row r="478" spans="1:5" x14ac:dyDescent="0.3">
      <c r="A478" s="13" t="s">
        <v>2</v>
      </c>
      <c r="B478" s="13" t="s">
        <v>52</v>
      </c>
      <c r="C478" s="13">
        <v>1</v>
      </c>
      <c r="D478" s="13">
        <v>1</v>
      </c>
      <c r="E478" s="13">
        <v>1</v>
      </c>
    </row>
    <row r="479" spans="1:5" x14ac:dyDescent="0.3">
      <c r="A479" s="13" t="s">
        <v>2</v>
      </c>
      <c r="B479" s="13" t="s">
        <v>1219</v>
      </c>
      <c r="C479" s="13">
        <v>1</v>
      </c>
      <c r="D479" s="13">
        <v>1</v>
      </c>
      <c r="E479" s="13">
        <v>1</v>
      </c>
    </row>
    <row r="480" spans="1:5" x14ac:dyDescent="0.3">
      <c r="A480" s="13" t="s">
        <v>2</v>
      </c>
      <c r="B480" s="13" t="s">
        <v>797</v>
      </c>
      <c r="C480" s="13">
        <v>1</v>
      </c>
      <c r="D480" s="13">
        <v>1</v>
      </c>
      <c r="E480" s="13">
        <v>1</v>
      </c>
    </row>
    <row r="481" spans="1:5" x14ac:dyDescent="0.3">
      <c r="A481" s="13" t="s">
        <v>2</v>
      </c>
      <c r="B481" s="13" t="s">
        <v>2966</v>
      </c>
      <c r="C481" s="13">
        <v>1</v>
      </c>
      <c r="D481" s="13">
        <v>1</v>
      </c>
      <c r="E481" s="13"/>
    </row>
    <row r="482" spans="1:5" x14ac:dyDescent="0.3">
      <c r="A482" s="13" t="s">
        <v>1</v>
      </c>
      <c r="B482" s="13" t="s">
        <v>238</v>
      </c>
      <c r="C482" s="13">
        <v>1</v>
      </c>
      <c r="D482" s="13">
        <v>0</v>
      </c>
      <c r="E482" s="13">
        <v>1</v>
      </c>
    </row>
    <row r="483" spans="1:5" x14ac:dyDescent="0.3">
      <c r="A483" s="13" t="s">
        <v>1</v>
      </c>
      <c r="B483" s="13" t="s">
        <v>368</v>
      </c>
      <c r="C483" s="13">
        <v>1</v>
      </c>
      <c r="D483" s="13">
        <v>0</v>
      </c>
      <c r="E483" s="13">
        <v>1</v>
      </c>
    </row>
    <row r="484" spans="1:5" x14ac:dyDescent="0.3">
      <c r="A484" s="13" t="s">
        <v>1</v>
      </c>
      <c r="B484" s="13" t="s">
        <v>47</v>
      </c>
      <c r="C484" s="13">
        <v>1</v>
      </c>
      <c r="D484" s="13">
        <v>0</v>
      </c>
      <c r="E484" s="13">
        <v>2</v>
      </c>
    </row>
    <row r="485" spans="1:5" x14ac:dyDescent="0.3">
      <c r="A485" s="13" t="s">
        <v>1</v>
      </c>
      <c r="B485" s="13" t="s">
        <v>199</v>
      </c>
      <c r="C485" s="13">
        <v>1</v>
      </c>
      <c r="D485" s="13">
        <v>0</v>
      </c>
      <c r="E485" s="13">
        <v>1</v>
      </c>
    </row>
    <row r="486" spans="1:5" x14ac:dyDescent="0.3">
      <c r="A486" s="13" t="s">
        <v>1</v>
      </c>
      <c r="B486" s="13" t="s">
        <v>553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57</v>
      </c>
      <c r="C487" s="13">
        <v>1</v>
      </c>
      <c r="D487" s="13">
        <v>0</v>
      </c>
      <c r="E487" s="13">
        <v>0</v>
      </c>
    </row>
    <row r="488" spans="1:5" x14ac:dyDescent="0.3">
      <c r="A488" s="13" t="s">
        <v>1</v>
      </c>
      <c r="B488" s="13" t="s">
        <v>73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203</v>
      </c>
      <c r="C489" s="13">
        <v>1</v>
      </c>
      <c r="D489" s="13">
        <v>0</v>
      </c>
      <c r="E489" s="13">
        <v>1</v>
      </c>
    </row>
    <row r="490" spans="1:5" x14ac:dyDescent="0.3">
      <c r="A490" s="13" t="s">
        <v>1</v>
      </c>
      <c r="B490" s="13" t="s">
        <v>808</v>
      </c>
      <c r="C490" s="13">
        <v>1</v>
      </c>
      <c r="D490" s="13">
        <v>0</v>
      </c>
      <c r="E490" s="13">
        <v>1</v>
      </c>
    </row>
    <row r="491" spans="1:5" x14ac:dyDescent="0.3">
      <c r="A491" s="13" t="s">
        <v>1</v>
      </c>
      <c r="B491" s="13" t="s">
        <v>809</v>
      </c>
      <c r="C491" s="13">
        <v>2</v>
      </c>
      <c r="D491" s="13">
        <v>0</v>
      </c>
      <c r="E491" s="13">
        <v>2</v>
      </c>
    </row>
    <row r="492" spans="1:5" x14ac:dyDescent="0.3">
      <c r="A492" s="13" t="s">
        <v>1</v>
      </c>
      <c r="B492" s="13" t="s">
        <v>204</v>
      </c>
      <c r="C492" s="13">
        <v>1</v>
      </c>
      <c r="D492" s="13">
        <v>0</v>
      </c>
      <c r="E492" s="13">
        <v>1</v>
      </c>
    </row>
    <row r="493" spans="1:5" x14ac:dyDescent="0.3">
      <c r="A493" s="13" t="s">
        <v>1</v>
      </c>
      <c r="B493" s="13" t="s">
        <v>2967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496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446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755</v>
      </c>
      <c r="C496" s="13">
        <v>1</v>
      </c>
      <c r="D496" s="13">
        <v>0</v>
      </c>
      <c r="E496" s="13">
        <v>1</v>
      </c>
    </row>
    <row r="497" spans="1:5" x14ac:dyDescent="0.3">
      <c r="A497" s="13" t="s">
        <v>1</v>
      </c>
      <c r="B497" s="13" t="s">
        <v>1158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75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264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596</v>
      </c>
      <c r="C500" s="13">
        <v>1</v>
      </c>
      <c r="D500" s="13">
        <v>0</v>
      </c>
      <c r="E500" s="13">
        <v>1</v>
      </c>
    </row>
    <row r="501" spans="1:5" x14ac:dyDescent="0.3">
      <c r="A501" s="13" t="s">
        <v>1</v>
      </c>
      <c r="B501" s="13" t="s">
        <v>556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790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59</v>
      </c>
      <c r="C503" s="13">
        <v>2</v>
      </c>
      <c r="D503" s="13">
        <v>0</v>
      </c>
      <c r="E503" s="13">
        <v>2</v>
      </c>
    </row>
    <row r="504" spans="1:5" x14ac:dyDescent="0.3">
      <c r="A504" s="13" t="s">
        <v>1</v>
      </c>
      <c r="B504" s="13" t="s">
        <v>207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347</v>
      </c>
      <c r="C505" s="13">
        <v>1</v>
      </c>
      <c r="D505" s="13">
        <v>0</v>
      </c>
      <c r="E505" s="13">
        <v>3</v>
      </c>
    </row>
    <row r="506" spans="1:5" x14ac:dyDescent="0.3">
      <c r="A506" s="13" t="s">
        <v>1</v>
      </c>
      <c r="B506" s="13" t="s">
        <v>983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348</v>
      </c>
      <c r="C507" s="13">
        <v>2</v>
      </c>
      <c r="D507" s="13">
        <v>0</v>
      </c>
      <c r="E507" s="13">
        <v>2</v>
      </c>
    </row>
    <row r="508" spans="1:5" x14ac:dyDescent="0.3">
      <c r="A508" s="13" t="s">
        <v>1</v>
      </c>
      <c r="B508" s="13" t="s">
        <v>756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269</v>
      </c>
      <c r="C509" s="13">
        <v>1</v>
      </c>
      <c r="D509" s="13">
        <v>0</v>
      </c>
      <c r="E509" s="13">
        <v>0</v>
      </c>
    </row>
    <row r="510" spans="1:5" x14ac:dyDescent="0.3">
      <c r="A510" s="13" t="s">
        <v>1</v>
      </c>
      <c r="B510" s="13" t="s">
        <v>2095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814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1695</v>
      </c>
      <c r="C512" s="13">
        <v>1</v>
      </c>
      <c r="D512" s="13">
        <v>0</v>
      </c>
      <c r="E512" s="13">
        <v>1</v>
      </c>
    </row>
    <row r="513" spans="1:5" x14ac:dyDescent="0.3">
      <c r="A513" s="13" t="s">
        <v>1</v>
      </c>
      <c r="B513" s="13" t="s">
        <v>673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144</v>
      </c>
      <c r="C514" s="13">
        <v>3</v>
      </c>
      <c r="D514" s="13">
        <v>0</v>
      </c>
      <c r="E514" s="13">
        <v>2</v>
      </c>
    </row>
    <row r="515" spans="1:5" x14ac:dyDescent="0.3">
      <c r="A515" s="13" t="s">
        <v>1</v>
      </c>
      <c r="B515" s="13" t="s">
        <v>83</v>
      </c>
      <c r="C515" s="13">
        <v>1</v>
      </c>
      <c r="D515" s="13">
        <v>0</v>
      </c>
      <c r="E515" s="13">
        <v>4</v>
      </c>
    </row>
    <row r="516" spans="1:5" x14ac:dyDescent="0.3">
      <c r="A516" s="13" t="s">
        <v>1</v>
      </c>
      <c r="B516" s="13" t="s">
        <v>501</v>
      </c>
      <c r="C516" s="13">
        <v>2</v>
      </c>
      <c r="D516" s="13">
        <v>0</v>
      </c>
      <c r="E516" s="13">
        <v>2</v>
      </c>
    </row>
    <row r="517" spans="1:5" x14ac:dyDescent="0.3">
      <c r="A517" s="13" t="s">
        <v>1</v>
      </c>
      <c r="B517" s="13" t="s">
        <v>349</v>
      </c>
      <c r="C517" s="13">
        <v>1</v>
      </c>
      <c r="D517" s="13">
        <v>0</v>
      </c>
      <c r="E517" s="13">
        <v>2</v>
      </c>
    </row>
    <row r="518" spans="1:5" x14ac:dyDescent="0.3">
      <c r="A518" s="13" t="s">
        <v>1</v>
      </c>
      <c r="B518" s="13" t="s">
        <v>728</v>
      </c>
      <c r="C518" s="13">
        <v>1</v>
      </c>
      <c r="D518" s="13">
        <v>0</v>
      </c>
      <c r="E518" s="13">
        <v>2</v>
      </c>
    </row>
    <row r="519" spans="1:5" x14ac:dyDescent="0.3">
      <c r="A519" s="13" t="s">
        <v>1</v>
      </c>
      <c r="B519" s="13" t="s">
        <v>85</v>
      </c>
      <c r="C519" s="13">
        <v>1</v>
      </c>
      <c r="D519" s="13">
        <v>0</v>
      </c>
      <c r="E519" s="13">
        <v>1</v>
      </c>
    </row>
    <row r="520" spans="1:5" x14ac:dyDescent="0.3">
      <c r="A520" s="13" t="s">
        <v>1</v>
      </c>
      <c r="B520" s="13" t="s">
        <v>464</v>
      </c>
      <c r="C520" s="13">
        <v>1</v>
      </c>
      <c r="D520" s="13">
        <v>0</v>
      </c>
      <c r="E520" s="13">
        <v>0</v>
      </c>
    </row>
    <row r="521" spans="1:5" x14ac:dyDescent="0.3">
      <c r="A521" s="13" t="s">
        <v>1</v>
      </c>
      <c r="B521" s="13" t="s">
        <v>351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502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605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88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676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217</v>
      </c>
      <c r="C526" s="13">
        <v>3</v>
      </c>
      <c r="D526" s="13">
        <v>0</v>
      </c>
      <c r="E526" s="13">
        <v>3</v>
      </c>
    </row>
    <row r="527" spans="1:5" x14ac:dyDescent="0.3">
      <c r="A527" s="13" t="s">
        <v>1</v>
      </c>
      <c r="B527" s="13" t="s">
        <v>612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246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219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658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41</v>
      </c>
      <c r="C531" s="13">
        <v>2</v>
      </c>
      <c r="D531" s="13">
        <v>0</v>
      </c>
      <c r="E531" s="13">
        <v>2</v>
      </c>
    </row>
    <row r="532" spans="1:5" x14ac:dyDescent="0.3">
      <c r="A532" s="13" t="s">
        <v>1</v>
      </c>
      <c r="B532" s="13" t="s">
        <v>425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153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220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856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1473</v>
      </c>
      <c r="C536" s="13">
        <v>2</v>
      </c>
      <c r="D536" s="13">
        <v>0</v>
      </c>
      <c r="E536" s="13">
        <v>2</v>
      </c>
    </row>
    <row r="537" spans="1:5" x14ac:dyDescent="0.3">
      <c r="A537" s="13" t="s">
        <v>1</v>
      </c>
      <c r="B537" s="13" t="s">
        <v>1521</v>
      </c>
      <c r="C537" s="13">
        <v>4</v>
      </c>
      <c r="D537" s="13">
        <v>0</v>
      </c>
      <c r="E537" s="13">
        <v>4</v>
      </c>
    </row>
    <row r="538" spans="1:5" x14ac:dyDescent="0.3">
      <c r="A538" s="13" t="s">
        <v>1</v>
      </c>
      <c r="B538" s="13" t="s">
        <v>1740</v>
      </c>
      <c r="C538" s="13">
        <v>4</v>
      </c>
      <c r="D538" s="13">
        <v>0</v>
      </c>
      <c r="E538" s="13">
        <v>4</v>
      </c>
    </row>
    <row r="539" spans="1:5" x14ac:dyDescent="0.3">
      <c r="A539" s="13" t="s">
        <v>1</v>
      </c>
      <c r="B539" s="13" t="s">
        <v>1849</v>
      </c>
      <c r="C539" s="13">
        <v>2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1866</v>
      </c>
      <c r="C540" s="13">
        <v>1</v>
      </c>
      <c r="D540" s="13">
        <v>0</v>
      </c>
      <c r="E540" s="13">
        <v>2</v>
      </c>
    </row>
    <row r="541" spans="1:5" x14ac:dyDescent="0.3">
      <c r="A541" s="13" t="s">
        <v>1</v>
      </c>
      <c r="B541" s="13" t="s">
        <v>1886</v>
      </c>
      <c r="C541" s="13">
        <v>2</v>
      </c>
      <c r="D541" s="13">
        <v>0</v>
      </c>
      <c r="E541" s="13">
        <v>2</v>
      </c>
    </row>
    <row r="542" spans="1:5" x14ac:dyDescent="0.3">
      <c r="A542" s="13" t="s">
        <v>1</v>
      </c>
      <c r="B542" s="13" t="s">
        <v>1905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1910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1883</v>
      </c>
      <c r="C544" s="13">
        <v>1</v>
      </c>
      <c r="D544" s="13">
        <v>0</v>
      </c>
      <c r="E544" s="13">
        <v>2</v>
      </c>
    </row>
    <row r="545" spans="1:5" x14ac:dyDescent="0.3">
      <c r="A545" s="13" t="s">
        <v>1</v>
      </c>
      <c r="B545" s="13" t="s">
        <v>2069</v>
      </c>
      <c r="C545" s="13">
        <v>1</v>
      </c>
      <c r="D545" s="13">
        <v>0</v>
      </c>
      <c r="E545" s="13">
        <v>2</v>
      </c>
    </row>
    <row r="546" spans="1:5" x14ac:dyDescent="0.3">
      <c r="A546" s="13" t="s">
        <v>1</v>
      </c>
      <c r="B546" s="13" t="s">
        <v>2149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2148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2156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2335</v>
      </c>
      <c r="C549" s="13">
        <v>2</v>
      </c>
      <c r="D549" s="13">
        <v>0</v>
      </c>
      <c r="E549" s="13">
        <v>2</v>
      </c>
    </row>
    <row r="550" spans="1:5" x14ac:dyDescent="0.3">
      <c r="A550" s="13" t="s">
        <v>1</v>
      </c>
      <c r="B550" s="13" t="s">
        <v>2408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2624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2735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2762</v>
      </c>
      <c r="C553" s="13">
        <v>3</v>
      </c>
      <c r="D553" s="13">
        <v>0</v>
      </c>
      <c r="E553" s="13">
        <v>3</v>
      </c>
    </row>
    <row r="554" spans="1:5" x14ac:dyDescent="0.3">
      <c r="A554" s="13" t="s">
        <v>1</v>
      </c>
      <c r="B554" s="13" t="s">
        <v>426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95</v>
      </c>
      <c r="C555" s="13">
        <v>1</v>
      </c>
      <c r="D555" s="13">
        <v>0</v>
      </c>
      <c r="E555" s="13">
        <v>0</v>
      </c>
    </row>
    <row r="556" spans="1:5" x14ac:dyDescent="0.3">
      <c r="A556" s="13" t="s">
        <v>1</v>
      </c>
      <c r="B556" s="13" t="s">
        <v>1437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680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933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510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1164</v>
      </c>
      <c r="C560" s="13">
        <v>1</v>
      </c>
      <c r="D560" s="13">
        <v>0</v>
      </c>
      <c r="E560" s="13">
        <v>2</v>
      </c>
    </row>
    <row r="561" spans="1:5" x14ac:dyDescent="0.3">
      <c r="A561" s="13" t="s">
        <v>1</v>
      </c>
      <c r="B561" s="13" t="s">
        <v>2157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165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108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1411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316</v>
      </c>
      <c r="C565" s="13">
        <v>1</v>
      </c>
      <c r="D565" s="13">
        <v>0</v>
      </c>
      <c r="E565" s="13">
        <v>2</v>
      </c>
    </row>
    <row r="566" spans="1:5" x14ac:dyDescent="0.3">
      <c r="A566" s="13" t="s">
        <v>1</v>
      </c>
      <c r="B566" s="13" t="s">
        <v>2020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320</v>
      </c>
      <c r="C567" s="13">
        <v>1</v>
      </c>
      <c r="D567" s="13">
        <v>0</v>
      </c>
      <c r="E567" s="13">
        <v>2</v>
      </c>
    </row>
    <row r="568" spans="1:5" x14ac:dyDescent="0.3">
      <c r="A568" s="13" t="s">
        <v>1</v>
      </c>
      <c r="B568" s="13" t="s">
        <v>570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1356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323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359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626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627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1731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2968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1039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837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742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2969</v>
      </c>
      <c r="C579" s="13">
        <v>1</v>
      </c>
      <c r="D579" s="13">
        <v>0</v>
      </c>
      <c r="E579" s="13">
        <v>2</v>
      </c>
    </row>
    <row r="580" spans="1:5" x14ac:dyDescent="0.3">
      <c r="A580" s="13" t="s">
        <v>1</v>
      </c>
      <c r="B580" s="13" t="s">
        <v>334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773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122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2015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1216</v>
      </c>
      <c r="C584" s="13">
        <v>1</v>
      </c>
      <c r="D584" s="13">
        <v>0</v>
      </c>
      <c r="E584" s="13">
        <v>2</v>
      </c>
    </row>
    <row r="585" spans="1:5" x14ac:dyDescent="0.3">
      <c r="A585" s="13" t="s">
        <v>1</v>
      </c>
      <c r="B585" s="13" t="s">
        <v>1263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409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842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1840</v>
      </c>
      <c r="C588" s="13">
        <v>1</v>
      </c>
      <c r="D588" s="13">
        <v>0</v>
      </c>
      <c r="E588" s="13">
        <v>3</v>
      </c>
    </row>
    <row r="589" spans="1:5" x14ac:dyDescent="0.3">
      <c r="A589" s="13" t="s">
        <v>1</v>
      </c>
      <c r="B589" s="13" t="s">
        <v>2970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534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955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1380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1390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1011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1295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412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776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1</v>
      </c>
      <c r="B598" s="13" t="s">
        <v>337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456</v>
      </c>
      <c r="C599" s="13">
        <v>1</v>
      </c>
      <c r="D599" s="13">
        <v>0</v>
      </c>
      <c r="E599" s="13">
        <v>2</v>
      </c>
    </row>
    <row r="600" spans="1:5" x14ac:dyDescent="0.3">
      <c r="A600" s="13" t="s">
        <v>1</v>
      </c>
      <c r="B600" s="13" t="s">
        <v>1640</v>
      </c>
      <c r="C600" s="13">
        <v>1</v>
      </c>
      <c r="D600" s="13">
        <v>0</v>
      </c>
      <c r="E600" s="13">
        <v>2</v>
      </c>
    </row>
    <row r="601" spans="1:5" x14ac:dyDescent="0.3">
      <c r="A601" s="13" t="s">
        <v>1</v>
      </c>
      <c r="B601" s="13" t="s">
        <v>1912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183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714</v>
      </c>
      <c r="C603" s="13">
        <v>2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958</v>
      </c>
      <c r="C604" s="13">
        <v>2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867</v>
      </c>
      <c r="C605" s="13">
        <v>2</v>
      </c>
      <c r="D605" s="13">
        <v>0</v>
      </c>
      <c r="E605" s="13">
        <v>2</v>
      </c>
    </row>
    <row r="606" spans="1:5" x14ac:dyDescent="0.3">
      <c r="A606" s="13" t="s">
        <v>1</v>
      </c>
      <c r="B606" s="13" t="s">
        <v>483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540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541</v>
      </c>
      <c r="C608" s="13">
        <v>1</v>
      </c>
      <c r="D608" s="13">
        <v>0</v>
      </c>
      <c r="E608" s="13">
        <v>2</v>
      </c>
    </row>
    <row r="609" spans="1:5" x14ac:dyDescent="0.3">
      <c r="A609" s="13" t="s">
        <v>1</v>
      </c>
      <c r="B609" s="13" t="s">
        <v>188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1537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1</v>
      </c>
      <c r="B611" s="13" t="s">
        <v>909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803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1050</v>
      </c>
      <c r="C613" s="13">
        <v>1</v>
      </c>
      <c r="D613" s="13">
        <v>0</v>
      </c>
      <c r="E613" s="13">
        <v>0</v>
      </c>
    </row>
    <row r="614" spans="1:5" x14ac:dyDescent="0.3">
      <c r="A614" s="13" t="s">
        <v>1</v>
      </c>
      <c r="B614" s="13" t="s">
        <v>231</v>
      </c>
      <c r="C614" s="13">
        <v>5</v>
      </c>
      <c r="D614" s="13">
        <v>0</v>
      </c>
      <c r="E614" s="13">
        <v>14</v>
      </c>
    </row>
    <row r="615" spans="1:5" x14ac:dyDescent="0.3">
      <c r="A615" s="13" t="s">
        <v>1</v>
      </c>
      <c r="B615" s="13" t="s">
        <v>370</v>
      </c>
      <c r="C615" s="13">
        <v>2</v>
      </c>
      <c r="D615" s="13">
        <v>0</v>
      </c>
      <c r="E615" s="13">
        <v>4</v>
      </c>
    </row>
    <row r="616" spans="1:5" x14ac:dyDescent="0.3">
      <c r="A616" s="13" t="s">
        <v>1</v>
      </c>
      <c r="B616" s="13" t="s">
        <v>191</v>
      </c>
      <c r="C616" s="13">
        <v>7</v>
      </c>
      <c r="D616" s="13">
        <v>0</v>
      </c>
      <c r="E616" s="13">
        <v>11</v>
      </c>
    </row>
    <row r="617" spans="1:5" x14ac:dyDescent="0.3">
      <c r="A617" s="13" t="s">
        <v>1</v>
      </c>
      <c r="B617" s="13" t="s">
        <v>365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232</v>
      </c>
      <c r="C618" s="13">
        <v>6</v>
      </c>
      <c r="D618" s="13">
        <v>0</v>
      </c>
      <c r="E618" s="13">
        <v>27</v>
      </c>
    </row>
    <row r="619" spans="1:5" x14ac:dyDescent="0.3">
      <c r="A619" s="13" t="s">
        <v>1</v>
      </c>
      <c r="B619" s="13" t="s">
        <v>460</v>
      </c>
      <c r="C619" s="13">
        <v>2</v>
      </c>
      <c r="D619" s="13">
        <v>0</v>
      </c>
      <c r="E619" s="13">
        <v>8</v>
      </c>
    </row>
    <row r="620" spans="1:5" x14ac:dyDescent="0.3">
      <c r="A620" s="13" t="s">
        <v>1</v>
      </c>
      <c r="B620" s="13" t="s">
        <v>67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192</v>
      </c>
      <c r="C621" s="14">
        <v>9</v>
      </c>
      <c r="D621" s="14">
        <v>0</v>
      </c>
      <c r="E621" s="14">
        <v>9</v>
      </c>
    </row>
    <row r="622" spans="1:5" x14ac:dyDescent="0.3">
      <c r="A622" s="14" t="s">
        <v>1</v>
      </c>
      <c r="B622" s="14" t="s">
        <v>234</v>
      </c>
      <c r="C622" s="14">
        <v>2</v>
      </c>
      <c r="D622" s="14">
        <v>0</v>
      </c>
      <c r="E622" s="14">
        <v>3</v>
      </c>
    </row>
    <row r="623" spans="1:5" x14ac:dyDescent="0.3">
      <c r="A623" s="14" t="s">
        <v>1</v>
      </c>
      <c r="B623" s="14" t="s">
        <v>2577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235</v>
      </c>
      <c r="C624" s="14">
        <v>3</v>
      </c>
      <c r="D624" s="14">
        <v>0</v>
      </c>
      <c r="E624" s="14">
        <v>7</v>
      </c>
    </row>
    <row r="625" spans="1:5" x14ac:dyDescent="0.3">
      <c r="A625" s="14" t="s">
        <v>1</v>
      </c>
      <c r="B625" s="14" t="s">
        <v>639</v>
      </c>
      <c r="C625" s="14">
        <v>2</v>
      </c>
      <c r="D625" s="14">
        <v>0</v>
      </c>
      <c r="E625" s="14">
        <v>2</v>
      </c>
    </row>
    <row r="626" spans="1:5" x14ac:dyDescent="0.3">
      <c r="A626" s="14" t="s">
        <v>1</v>
      </c>
      <c r="B626" s="14" t="s">
        <v>236</v>
      </c>
      <c r="C626" s="14">
        <v>7</v>
      </c>
      <c r="D626" s="14">
        <v>0</v>
      </c>
      <c r="E626" s="14">
        <v>9</v>
      </c>
    </row>
    <row r="627" spans="1:5" x14ac:dyDescent="0.3">
      <c r="A627" s="14" t="s">
        <v>1</v>
      </c>
      <c r="B627" s="14" t="s">
        <v>640</v>
      </c>
      <c r="C627" s="14">
        <v>4</v>
      </c>
      <c r="D627" s="14">
        <v>0</v>
      </c>
      <c r="E627" s="14">
        <v>4</v>
      </c>
    </row>
    <row r="628" spans="1:5" x14ac:dyDescent="0.3">
      <c r="A628" s="14" t="s">
        <v>1</v>
      </c>
      <c r="B628" s="14" t="s">
        <v>366</v>
      </c>
      <c r="C628" s="14">
        <v>3</v>
      </c>
      <c r="D628" s="14">
        <v>0</v>
      </c>
      <c r="E628" s="14">
        <v>4</v>
      </c>
    </row>
    <row r="629" spans="1:5" x14ac:dyDescent="0.3">
      <c r="A629" s="14" t="s">
        <v>1</v>
      </c>
      <c r="B629" s="14" t="s">
        <v>1015</v>
      </c>
      <c r="C629" s="14">
        <v>1</v>
      </c>
      <c r="D629" s="14">
        <v>0</v>
      </c>
      <c r="E629" s="14">
        <v>1</v>
      </c>
    </row>
    <row r="630" spans="1:5" x14ac:dyDescent="0.3">
      <c r="A630" s="14" t="s">
        <v>1</v>
      </c>
      <c r="B630" s="14" t="s">
        <v>461</v>
      </c>
      <c r="C630" s="14">
        <v>1</v>
      </c>
      <c r="D630" s="14">
        <v>0</v>
      </c>
      <c r="E630" s="14">
        <v>1</v>
      </c>
    </row>
    <row r="631" spans="1:5" x14ac:dyDescent="0.3">
      <c r="A631" s="14" t="s">
        <v>1</v>
      </c>
      <c r="B631" s="14" t="s">
        <v>1614</v>
      </c>
      <c r="C631" s="14">
        <v>0</v>
      </c>
      <c r="D631" s="14">
        <v>1</v>
      </c>
    </row>
    <row r="632" spans="1:5" x14ac:dyDescent="0.3">
      <c r="A632" s="14" t="s">
        <v>1</v>
      </c>
      <c r="B632" s="14" t="s">
        <v>442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1512</v>
      </c>
      <c r="C633" s="14">
        <v>1</v>
      </c>
      <c r="D633" s="14">
        <v>0</v>
      </c>
      <c r="E633" s="14">
        <v>2</v>
      </c>
    </row>
    <row r="634" spans="1:5" x14ac:dyDescent="0.3">
      <c r="A634" s="14" t="s">
        <v>1</v>
      </c>
      <c r="B634" s="14" t="s">
        <v>721</v>
      </c>
      <c r="C634" s="14">
        <v>1</v>
      </c>
      <c r="D634" s="14">
        <v>0</v>
      </c>
      <c r="E634" s="14">
        <v>2</v>
      </c>
    </row>
    <row r="635" spans="1:5" x14ac:dyDescent="0.3">
      <c r="A635" s="14" t="s">
        <v>1</v>
      </c>
      <c r="B635" s="14" t="s">
        <v>722</v>
      </c>
      <c r="C635" s="14">
        <v>1</v>
      </c>
      <c r="D635" s="14">
        <v>0</v>
      </c>
      <c r="E635" s="14">
        <v>1</v>
      </c>
    </row>
    <row r="636" spans="1:5" x14ac:dyDescent="0.3">
      <c r="A636" s="14" t="s">
        <v>1</v>
      </c>
      <c r="B636" s="14" t="s">
        <v>1639</v>
      </c>
      <c r="C636" s="14">
        <v>1</v>
      </c>
      <c r="D636" s="14">
        <v>0</v>
      </c>
      <c r="E636" s="14">
        <v>1</v>
      </c>
    </row>
    <row r="637" spans="1:5" x14ac:dyDescent="0.3">
      <c r="A637" s="14" t="s">
        <v>1</v>
      </c>
      <c r="B637" s="14" t="s">
        <v>548</v>
      </c>
      <c r="C637" s="14">
        <v>0</v>
      </c>
      <c r="D637" s="14">
        <v>1</v>
      </c>
    </row>
    <row r="638" spans="1:5" x14ac:dyDescent="0.3">
      <c r="A638" s="14" t="s">
        <v>1</v>
      </c>
      <c r="B638" s="14" t="s">
        <v>2270</v>
      </c>
      <c r="C638" s="14">
        <v>0</v>
      </c>
      <c r="D638" s="14">
        <v>1</v>
      </c>
    </row>
    <row r="639" spans="1:5" x14ac:dyDescent="0.3">
      <c r="A639" s="14" t="s">
        <v>1</v>
      </c>
      <c r="B639" s="14" t="s">
        <v>1321</v>
      </c>
      <c r="C639" s="14">
        <v>1</v>
      </c>
      <c r="D639" s="14">
        <v>0</v>
      </c>
      <c r="E639" s="14">
        <v>2</v>
      </c>
    </row>
    <row r="640" spans="1:5" x14ac:dyDescent="0.3">
      <c r="A640" s="14" t="s">
        <v>1</v>
      </c>
      <c r="B640" s="14" t="s">
        <v>1221</v>
      </c>
      <c r="C640" s="14">
        <v>0</v>
      </c>
      <c r="D640" s="14">
        <v>2</v>
      </c>
    </row>
    <row r="641" spans="1:5" x14ac:dyDescent="0.3">
      <c r="A641" s="14" t="s">
        <v>1</v>
      </c>
      <c r="B641" s="14" t="s">
        <v>2348</v>
      </c>
      <c r="C641" s="14">
        <v>1</v>
      </c>
      <c r="D641" s="14">
        <v>0</v>
      </c>
      <c r="E641" s="14">
        <v>1</v>
      </c>
    </row>
    <row r="642" spans="1:5" x14ac:dyDescent="0.3">
      <c r="A642" s="14" t="s">
        <v>1</v>
      </c>
      <c r="B642" s="14" t="s">
        <v>644</v>
      </c>
      <c r="C642" s="14">
        <v>1</v>
      </c>
      <c r="D642" s="14">
        <v>0</v>
      </c>
      <c r="E642" s="14">
        <v>2</v>
      </c>
    </row>
    <row r="643" spans="1:5" x14ac:dyDescent="0.3">
      <c r="A643" s="14" t="s">
        <v>1</v>
      </c>
      <c r="B643" s="14" t="s">
        <v>2971</v>
      </c>
      <c r="C643" s="14">
        <v>1</v>
      </c>
      <c r="D643" s="14">
        <v>0</v>
      </c>
      <c r="E643" s="14">
        <v>1</v>
      </c>
    </row>
    <row r="644" spans="1:5" x14ac:dyDescent="0.3">
      <c r="A644" s="14" t="s">
        <v>0</v>
      </c>
      <c r="B644" s="14" t="s">
        <v>495</v>
      </c>
      <c r="C644" s="14">
        <v>1</v>
      </c>
      <c r="D644" s="14">
        <v>0</v>
      </c>
      <c r="E644" s="14">
        <v>1</v>
      </c>
    </row>
    <row r="645" spans="1:5" x14ac:dyDescent="0.3">
      <c r="A645" s="14" t="s">
        <v>0</v>
      </c>
      <c r="B645" s="14" t="s">
        <v>74</v>
      </c>
      <c r="C645" s="14">
        <v>1</v>
      </c>
      <c r="D645" s="14">
        <v>0</v>
      </c>
      <c r="E645" s="14">
        <v>1</v>
      </c>
    </row>
    <row r="646" spans="1:5" x14ac:dyDescent="0.3">
      <c r="A646" s="14" t="s">
        <v>0</v>
      </c>
      <c r="B646" s="14" t="s">
        <v>1769</v>
      </c>
      <c r="C646" s="14">
        <v>1</v>
      </c>
      <c r="D646" s="14">
        <v>0</v>
      </c>
      <c r="E646" s="14">
        <v>1</v>
      </c>
    </row>
    <row r="647" spans="1:5" x14ac:dyDescent="0.3">
      <c r="A647" s="14" t="s">
        <v>0</v>
      </c>
      <c r="B647" s="14" t="s">
        <v>988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0</v>
      </c>
      <c r="B648" s="14" t="s">
        <v>91</v>
      </c>
      <c r="C648" s="14">
        <v>1</v>
      </c>
      <c r="D648" s="14">
        <v>0</v>
      </c>
      <c r="E648" s="14">
        <v>1</v>
      </c>
    </row>
    <row r="649" spans="1:5" x14ac:dyDescent="0.3">
      <c r="A649" s="14" t="s">
        <v>0</v>
      </c>
      <c r="B649" s="14" t="s">
        <v>471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0</v>
      </c>
      <c r="B650" s="14" t="s">
        <v>1471</v>
      </c>
      <c r="C650" s="14">
        <v>1</v>
      </c>
      <c r="D650" s="14">
        <v>0</v>
      </c>
      <c r="E650" s="14">
        <v>1</v>
      </c>
    </row>
    <row r="651" spans="1:5" x14ac:dyDescent="0.3">
      <c r="A651" s="14" t="s">
        <v>0</v>
      </c>
      <c r="B651" s="14" t="s">
        <v>1518</v>
      </c>
      <c r="C651" s="14">
        <v>1</v>
      </c>
      <c r="D651" s="14">
        <v>0</v>
      </c>
      <c r="E651" s="14">
        <v>1</v>
      </c>
    </row>
    <row r="652" spans="1:5" x14ac:dyDescent="0.3">
      <c r="A652" s="14" t="s">
        <v>0</v>
      </c>
      <c r="B652" s="14" t="s">
        <v>1570</v>
      </c>
      <c r="C652" s="14">
        <v>1</v>
      </c>
      <c r="D652" s="14">
        <v>0</v>
      </c>
      <c r="E652" s="14">
        <v>1</v>
      </c>
    </row>
    <row r="653" spans="1:5" x14ac:dyDescent="0.3">
      <c r="A653" s="14" t="s">
        <v>0</v>
      </c>
      <c r="B653" s="14" t="s">
        <v>1989</v>
      </c>
      <c r="C653" s="14">
        <v>1</v>
      </c>
      <c r="D653" s="14">
        <v>0</v>
      </c>
      <c r="E653" s="14">
        <v>1</v>
      </c>
    </row>
    <row r="654" spans="1:5" x14ac:dyDescent="0.3">
      <c r="A654" s="14" t="s">
        <v>0</v>
      </c>
      <c r="B654" s="14" t="s">
        <v>2069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0</v>
      </c>
      <c r="B655" s="14" t="s">
        <v>2093</v>
      </c>
      <c r="C655" s="14">
        <v>1</v>
      </c>
      <c r="D655" s="14">
        <v>0</v>
      </c>
      <c r="E655" s="14">
        <v>1</v>
      </c>
    </row>
    <row r="656" spans="1:5" x14ac:dyDescent="0.3">
      <c r="A656" s="14" t="s">
        <v>0</v>
      </c>
      <c r="B656" s="14" t="s">
        <v>2917</v>
      </c>
      <c r="C656" s="14">
        <v>2</v>
      </c>
      <c r="D656" s="14">
        <v>0</v>
      </c>
      <c r="E656" s="14">
        <v>2</v>
      </c>
    </row>
    <row r="657" spans="1:5" x14ac:dyDescent="0.3">
      <c r="A657" s="14" t="s">
        <v>0</v>
      </c>
      <c r="B657" s="14" t="s">
        <v>2972</v>
      </c>
      <c r="C657" s="14">
        <v>2</v>
      </c>
      <c r="D657" s="14">
        <v>0</v>
      </c>
      <c r="E657" s="14">
        <v>7</v>
      </c>
    </row>
    <row r="658" spans="1:5" x14ac:dyDescent="0.3">
      <c r="A658" s="14" t="s">
        <v>0</v>
      </c>
      <c r="B658" s="14" t="s">
        <v>1255</v>
      </c>
      <c r="C658" s="14">
        <v>1</v>
      </c>
      <c r="D658" s="14">
        <v>0</v>
      </c>
      <c r="E658" s="14">
        <v>3</v>
      </c>
    </row>
    <row r="659" spans="1:5" x14ac:dyDescent="0.3">
      <c r="A659" s="14" t="s">
        <v>0</v>
      </c>
      <c r="B659" s="14" t="s">
        <v>1036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0</v>
      </c>
      <c r="B660" s="14" t="s">
        <v>429</v>
      </c>
      <c r="C660" s="14">
        <v>1</v>
      </c>
      <c r="D660" s="14">
        <v>0</v>
      </c>
      <c r="E660" s="14">
        <v>2</v>
      </c>
    </row>
    <row r="661" spans="1:5" x14ac:dyDescent="0.3">
      <c r="A661" s="14" t="s">
        <v>0</v>
      </c>
      <c r="B661" s="14" t="s">
        <v>684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0</v>
      </c>
      <c r="B662" s="14" t="s">
        <v>619</v>
      </c>
      <c r="C662" s="14">
        <v>1</v>
      </c>
      <c r="D662" s="14">
        <v>0</v>
      </c>
      <c r="E662" s="14">
        <v>6</v>
      </c>
    </row>
    <row r="663" spans="1:5" x14ac:dyDescent="0.3">
      <c r="A663" s="14" t="s">
        <v>0</v>
      </c>
      <c r="B663" s="14" t="s">
        <v>451</v>
      </c>
      <c r="C663" s="14">
        <v>1</v>
      </c>
      <c r="D663" s="14">
        <v>0</v>
      </c>
      <c r="E663" s="14">
        <v>1</v>
      </c>
    </row>
    <row r="664" spans="1:5" x14ac:dyDescent="0.3">
      <c r="A664" s="14" t="s">
        <v>0</v>
      </c>
      <c r="B664" s="14" t="s">
        <v>453</v>
      </c>
      <c r="C664" s="14">
        <v>1</v>
      </c>
      <c r="D664" s="14">
        <v>0</v>
      </c>
      <c r="E664" s="14">
        <v>1</v>
      </c>
    </row>
    <row r="665" spans="1:5" x14ac:dyDescent="0.3">
      <c r="A665" s="14" t="s">
        <v>0</v>
      </c>
      <c r="B665" s="14" t="s">
        <v>628</v>
      </c>
      <c r="C665" s="14">
        <v>1</v>
      </c>
      <c r="D665" s="14">
        <v>0</v>
      </c>
      <c r="E665" s="14">
        <v>1</v>
      </c>
    </row>
    <row r="666" spans="1:5" x14ac:dyDescent="0.3">
      <c r="A666" s="14" t="s">
        <v>0</v>
      </c>
      <c r="B666" s="14" t="s">
        <v>329</v>
      </c>
      <c r="C666" s="14">
        <v>1</v>
      </c>
      <c r="D666" s="14">
        <v>0</v>
      </c>
      <c r="E666" s="14">
        <v>1</v>
      </c>
    </row>
    <row r="667" spans="1:5" x14ac:dyDescent="0.3">
      <c r="A667" s="14" t="s">
        <v>0</v>
      </c>
      <c r="B667" s="14" t="s">
        <v>2044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0</v>
      </c>
      <c r="B668" s="14" t="s">
        <v>334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0</v>
      </c>
      <c r="B669" s="14" t="s">
        <v>632</v>
      </c>
      <c r="C669" s="14">
        <v>1</v>
      </c>
      <c r="D669" s="14">
        <v>0</v>
      </c>
      <c r="E669" s="14">
        <v>1</v>
      </c>
    </row>
    <row r="670" spans="1:5" x14ac:dyDescent="0.3">
      <c r="A670" s="14" t="s">
        <v>0</v>
      </c>
      <c r="B670" s="14" t="s">
        <v>1041</v>
      </c>
      <c r="C670" s="14">
        <v>1</v>
      </c>
      <c r="D670" s="14">
        <v>0</v>
      </c>
      <c r="E670" s="14">
        <v>1</v>
      </c>
    </row>
    <row r="671" spans="1:5" x14ac:dyDescent="0.3">
      <c r="A671" s="14" t="s">
        <v>0</v>
      </c>
      <c r="B671" s="14" t="s">
        <v>2973</v>
      </c>
      <c r="C671" s="14">
        <v>1</v>
      </c>
      <c r="D671" s="14">
        <v>0</v>
      </c>
      <c r="E671" s="14">
        <v>1</v>
      </c>
    </row>
    <row r="672" spans="1:5" x14ac:dyDescent="0.3">
      <c r="A672" s="14" t="s">
        <v>0</v>
      </c>
      <c r="B672" s="14" t="s">
        <v>2396</v>
      </c>
      <c r="C672" s="14">
        <v>1</v>
      </c>
      <c r="D672" s="14">
        <v>0</v>
      </c>
      <c r="E672" s="14">
        <v>1</v>
      </c>
    </row>
    <row r="673" spans="1:5" x14ac:dyDescent="0.3">
      <c r="A673" s="14" t="s">
        <v>0</v>
      </c>
      <c r="B673" s="14" t="s">
        <v>235</v>
      </c>
      <c r="C673" s="14">
        <v>1</v>
      </c>
      <c r="D673" s="14">
        <v>0</v>
      </c>
      <c r="E673" s="14">
        <v>1</v>
      </c>
    </row>
    <row r="674" spans="1:5" x14ac:dyDescent="0.3">
      <c r="A674" s="14" t="s">
        <v>0</v>
      </c>
      <c r="B674" s="14" t="s">
        <v>371</v>
      </c>
      <c r="C674" s="14">
        <v>1</v>
      </c>
      <c r="D674" s="14">
        <v>0</v>
      </c>
      <c r="E674" s="14">
        <v>1</v>
      </c>
    </row>
    <row r="675" spans="1:5" x14ac:dyDescent="0.3">
      <c r="A675" s="14" t="s">
        <v>0</v>
      </c>
      <c r="B675" s="14" t="s">
        <v>1016</v>
      </c>
      <c r="C675" s="14">
        <v>1</v>
      </c>
      <c r="D675" s="14">
        <v>0</v>
      </c>
      <c r="E675" s="14">
        <v>2</v>
      </c>
    </row>
    <row r="676" spans="1:5" x14ac:dyDescent="0.3">
      <c r="A676" s="14" t="s">
        <v>0</v>
      </c>
      <c r="B676" s="14" t="s">
        <v>2348</v>
      </c>
      <c r="C676" s="14">
        <v>1</v>
      </c>
      <c r="D676" s="14">
        <v>0</v>
      </c>
      <c r="E676" s="14">
        <v>0</v>
      </c>
    </row>
    <row r="677" spans="1:5" x14ac:dyDescent="0.3">
      <c r="A677" s="14" t="s">
        <v>0</v>
      </c>
      <c r="B677" s="14" t="s">
        <v>32</v>
      </c>
      <c r="C677" s="14">
        <v>2</v>
      </c>
      <c r="D677" s="14">
        <v>0</v>
      </c>
      <c r="E677" s="14">
        <v>3</v>
      </c>
    </row>
    <row r="678" spans="1:5" x14ac:dyDescent="0.3">
      <c r="A678" s="14" t="s">
        <v>2</v>
      </c>
      <c r="B678" s="14" t="s">
        <v>30</v>
      </c>
      <c r="C678" s="14">
        <v>1</v>
      </c>
      <c r="D678" s="14">
        <v>0</v>
      </c>
      <c r="E678" s="14">
        <v>1</v>
      </c>
    </row>
    <row r="679" spans="1:5" x14ac:dyDescent="0.3">
      <c r="A679" s="14" t="s">
        <v>2</v>
      </c>
      <c r="B679" s="14" t="s">
        <v>966</v>
      </c>
      <c r="C679" s="14">
        <v>1</v>
      </c>
      <c r="D679" s="14">
        <v>0</v>
      </c>
      <c r="E679" s="14">
        <v>1</v>
      </c>
    </row>
    <row r="680" spans="1:5" x14ac:dyDescent="0.3">
      <c r="A680" s="14" t="s">
        <v>2</v>
      </c>
      <c r="B680" s="14" t="s">
        <v>215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2</v>
      </c>
      <c r="B681" s="14" t="s">
        <v>272</v>
      </c>
      <c r="C681" s="14">
        <v>1</v>
      </c>
      <c r="D681" s="14">
        <v>0</v>
      </c>
      <c r="E681" s="14">
        <v>1</v>
      </c>
    </row>
    <row r="682" spans="1:5" x14ac:dyDescent="0.3">
      <c r="A682" s="14" t="s">
        <v>2</v>
      </c>
      <c r="B682" s="14" t="s">
        <v>115</v>
      </c>
      <c r="C682" s="14">
        <v>1</v>
      </c>
      <c r="D682" s="14">
        <v>0</v>
      </c>
      <c r="E682" s="14">
        <v>1</v>
      </c>
    </row>
    <row r="683" spans="1:5" x14ac:dyDescent="0.3">
      <c r="A683" s="14" t="s">
        <v>2</v>
      </c>
      <c r="B683" s="14" t="s">
        <v>184</v>
      </c>
      <c r="C683" s="14">
        <v>1</v>
      </c>
      <c r="D683" s="14">
        <v>0</v>
      </c>
      <c r="E683" s="14">
        <v>1</v>
      </c>
    </row>
    <row r="684" spans="1:5" x14ac:dyDescent="0.3">
      <c r="A684" s="14" t="s">
        <v>2</v>
      </c>
      <c r="B684" s="14" t="s">
        <v>231</v>
      </c>
      <c r="C684" s="14">
        <v>1</v>
      </c>
      <c r="D684" s="14">
        <v>0</v>
      </c>
      <c r="E684" s="14">
        <v>1</v>
      </c>
    </row>
    <row r="685" spans="1:5" x14ac:dyDescent="0.3">
      <c r="A685" s="14" t="s">
        <v>2</v>
      </c>
      <c r="B685" s="14" t="s">
        <v>1956</v>
      </c>
      <c r="C685" s="14">
        <v>1</v>
      </c>
      <c r="D685" s="14">
        <v>0</v>
      </c>
      <c r="E685" s="14">
        <v>1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86C64-F297-41D3-9388-6F5C4066E183}">
  <sheetPr codeName="Sheet61"/>
  <dimension ref="A1:M620"/>
  <sheetViews>
    <sheetView workbookViewId="0">
      <selection activeCell="A2" sqref="A2:E613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354</v>
      </c>
      <c r="C2" s="13">
        <v>42</v>
      </c>
      <c r="D2" s="13">
        <v>34</v>
      </c>
      <c r="E2" s="13">
        <v>43</v>
      </c>
    </row>
    <row r="3" spans="1:13" customFormat="1" x14ac:dyDescent="0.3">
      <c r="A3" s="13" t="s">
        <v>1</v>
      </c>
      <c r="B3" s="13" t="s">
        <v>135</v>
      </c>
      <c r="C3" s="13">
        <v>38</v>
      </c>
      <c r="D3" s="13">
        <v>32</v>
      </c>
      <c r="E3" s="13">
        <v>39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63</v>
      </c>
      <c r="D4" s="13">
        <v>28</v>
      </c>
      <c r="E4" s="13">
        <v>90</v>
      </c>
      <c r="G4" s="19" t="s">
        <v>8</v>
      </c>
      <c r="H4" s="15">
        <f>H13+H14</f>
        <v>881</v>
      </c>
      <c r="I4" s="16">
        <f>H4/H$6</f>
        <v>0.71801140994295032</v>
      </c>
      <c r="J4" s="15">
        <f>I13+I14</f>
        <v>536</v>
      </c>
      <c r="K4" s="16">
        <f>J4/J$6</f>
        <v>0.65445665445665446</v>
      </c>
      <c r="L4" s="15">
        <f>J13+J14</f>
        <v>1007</v>
      </c>
      <c r="M4" s="25">
        <f>L4/L$6</f>
        <v>0.70321229050279332</v>
      </c>
    </row>
    <row r="5" spans="1:13" customFormat="1" x14ac:dyDescent="0.3">
      <c r="A5" s="13" t="s">
        <v>0</v>
      </c>
      <c r="B5" s="13" t="s">
        <v>29</v>
      </c>
      <c r="C5" s="13">
        <v>21</v>
      </c>
      <c r="D5" s="13">
        <v>20</v>
      </c>
      <c r="E5" s="13">
        <v>22</v>
      </c>
      <c r="G5" s="19" t="s">
        <v>10</v>
      </c>
      <c r="H5" s="15">
        <f>H15+H16</f>
        <v>346</v>
      </c>
      <c r="I5" s="16">
        <f>H5/H$6</f>
        <v>0.28198859005704974</v>
      </c>
      <c r="J5" s="15">
        <f>I15+I16</f>
        <v>283</v>
      </c>
      <c r="K5" s="16">
        <f>J5/J$6</f>
        <v>0.34554334554334554</v>
      </c>
      <c r="L5" s="15">
        <f>J15+J16</f>
        <v>425</v>
      </c>
      <c r="M5" s="25">
        <f>L5/L$6</f>
        <v>0.29678770949720673</v>
      </c>
    </row>
    <row r="6" spans="1:13" customFormat="1" ht="17.25" thickBot="1" x14ac:dyDescent="0.35">
      <c r="A6" s="13" t="s">
        <v>1</v>
      </c>
      <c r="B6" s="13" t="s">
        <v>2869</v>
      </c>
      <c r="C6" s="13">
        <v>31</v>
      </c>
      <c r="D6" s="13">
        <v>15</v>
      </c>
      <c r="E6" s="13">
        <v>33</v>
      </c>
      <c r="G6" s="22"/>
      <c r="H6" s="26">
        <f>SUM(H4:H5)</f>
        <v>1227</v>
      </c>
      <c r="I6" s="27">
        <f>I4+I5</f>
        <v>1</v>
      </c>
      <c r="J6" s="26">
        <f>SUM(J4:J5)</f>
        <v>819</v>
      </c>
      <c r="K6" s="27">
        <f>K4+K5</f>
        <v>1</v>
      </c>
      <c r="L6" s="26">
        <f>SUM(L4:L5)</f>
        <v>1432</v>
      </c>
      <c r="M6" s="28">
        <f>M4+M5</f>
        <v>1</v>
      </c>
    </row>
    <row r="7" spans="1:13" customFormat="1" x14ac:dyDescent="0.3">
      <c r="A7" s="13" t="s">
        <v>1</v>
      </c>
      <c r="B7" s="13" t="s">
        <v>120</v>
      </c>
      <c r="C7" s="13">
        <v>12</v>
      </c>
      <c r="D7" s="13">
        <v>11</v>
      </c>
      <c r="E7" s="13">
        <v>12</v>
      </c>
    </row>
    <row r="8" spans="1:13" customFormat="1" x14ac:dyDescent="0.3">
      <c r="A8" s="13" t="s">
        <v>0</v>
      </c>
      <c r="B8" s="13" t="s">
        <v>1741</v>
      </c>
      <c r="C8" s="13">
        <v>12</v>
      </c>
      <c r="D8" s="13">
        <v>11</v>
      </c>
      <c r="E8" s="13">
        <v>15</v>
      </c>
    </row>
    <row r="9" spans="1:13" customFormat="1" x14ac:dyDescent="0.3">
      <c r="A9" s="13" t="s">
        <v>1</v>
      </c>
      <c r="B9" s="13" t="s">
        <v>1663</v>
      </c>
      <c r="C9" s="13">
        <v>9</v>
      </c>
      <c r="D9" s="13">
        <v>9</v>
      </c>
      <c r="E9" s="13">
        <v>9</v>
      </c>
    </row>
    <row r="10" spans="1:13" customFormat="1" ht="17.25" thickBot="1" x14ac:dyDescent="0.35">
      <c r="A10" s="13" t="s">
        <v>1</v>
      </c>
      <c r="B10" s="13" t="s">
        <v>1741</v>
      </c>
      <c r="C10" s="13">
        <v>10</v>
      </c>
      <c r="D10" s="13">
        <v>9</v>
      </c>
      <c r="E10" s="13">
        <v>10</v>
      </c>
    </row>
    <row r="11" spans="1:13" x14ac:dyDescent="0.3">
      <c r="A11" s="13" t="s">
        <v>1</v>
      </c>
      <c r="B11" s="13" t="s">
        <v>1948</v>
      </c>
      <c r="C11" s="13">
        <v>8</v>
      </c>
      <c r="D11" s="13">
        <v>8</v>
      </c>
      <c r="E11" s="13">
        <v>9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151</v>
      </c>
      <c r="C12" s="13">
        <v>8</v>
      </c>
      <c r="D12" s="13">
        <v>8</v>
      </c>
      <c r="E12" s="13">
        <v>8</v>
      </c>
      <c r="G12" s="19"/>
      <c r="H12" s="17">
        <f t="shared" ref="H12:J12" si="0">SUM(H13:H16)</f>
        <v>1227</v>
      </c>
      <c r="I12" s="17">
        <f t="shared" si="0"/>
        <v>819</v>
      </c>
      <c r="J12" s="20">
        <f t="shared" si="0"/>
        <v>1432</v>
      </c>
    </row>
    <row r="13" spans="1:13" x14ac:dyDescent="0.3">
      <c r="A13" s="13" t="s">
        <v>1</v>
      </c>
      <c r="B13" s="13" t="s">
        <v>151</v>
      </c>
      <c r="C13" s="13">
        <v>12</v>
      </c>
      <c r="D13" s="13">
        <v>7</v>
      </c>
      <c r="E13" s="13">
        <v>16</v>
      </c>
      <c r="G13" s="19" t="s">
        <v>7</v>
      </c>
      <c r="H13" s="18">
        <f t="shared" ref="H13:J16" si="1">SUMIF($A$2:$A$9999,$G13,C$2:C$9999)</f>
        <v>881</v>
      </c>
      <c r="I13" s="18">
        <f t="shared" si="1"/>
        <v>536</v>
      </c>
      <c r="J13" s="21">
        <f t="shared" si="1"/>
        <v>1007</v>
      </c>
    </row>
    <row r="14" spans="1:13" x14ac:dyDescent="0.3">
      <c r="A14" s="13" t="s">
        <v>1</v>
      </c>
      <c r="B14" s="13" t="s">
        <v>61</v>
      </c>
      <c r="C14" s="13">
        <v>9</v>
      </c>
      <c r="D14" s="13">
        <v>7</v>
      </c>
      <c r="E14" s="13">
        <v>10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2701</v>
      </c>
      <c r="C15" s="13">
        <v>10</v>
      </c>
      <c r="D15" s="13">
        <v>7</v>
      </c>
      <c r="E15" s="13">
        <v>10</v>
      </c>
      <c r="G15" s="19" t="s">
        <v>11</v>
      </c>
      <c r="H15" s="18">
        <f t="shared" si="1"/>
        <v>311</v>
      </c>
      <c r="I15" s="18">
        <f t="shared" si="1"/>
        <v>251</v>
      </c>
      <c r="J15" s="21">
        <f t="shared" si="1"/>
        <v>380</v>
      </c>
    </row>
    <row r="16" spans="1:13" ht="17.25" thickBot="1" x14ac:dyDescent="0.35">
      <c r="A16" s="13" t="s">
        <v>1</v>
      </c>
      <c r="B16" s="13" t="s">
        <v>37</v>
      </c>
      <c r="C16" s="13">
        <v>8</v>
      </c>
      <c r="D16" s="13">
        <v>7</v>
      </c>
      <c r="E16" s="13">
        <v>8</v>
      </c>
      <c r="G16" s="22" t="s">
        <v>12</v>
      </c>
      <c r="H16" s="23">
        <f t="shared" si="1"/>
        <v>35</v>
      </c>
      <c r="I16" s="23">
        <f t="shared" si="1"/>
        <v>32</v>
      </c>
      <c r="J16" s="24">
        <f t="shared" si="1"/>
        <v>45</v>
      </c>
    </row>
    <row r="17" spans="1:5" x14ac:dyDescent="0.3">
      <c r="A17" s="13" t="s">
        <v>0</v>
      </c>
      <c r="B17" s="13" t="s">
        <v>30</v>
      </c>
      <c r="C17" s="13">
        <v>11</v>
      </c>
      <c r="D17" s="13">
        <v>7</v>
      </c>
      <c r="E17" s="13">
        <v>18</v>
      </c>
    </row>
    <row r="18" spans="1:5" x14ac:dyDescent="0.3">
      <c r="A18" s="13" t="s">
        <v>0</v>
      </c>
      <c r="B18" s="13" t="s">
        <v>120</v>
      </c>
      <c r="C18" s="13">
        <v>7</v>
      </c>
      <c r="D18" s="13">
        <v>7</v>
      </c>
      <c r="E18" s="13">
        <v>8</v>
      </c>
    </row>
    <row r="19" spans="1:5" x14ac:dyDescent="0.3">
      <c r="A19" s="13" t="s">
        <v>1</v>
      </c>
      <c r="B19" s="13" t="s">
        <v>29</v>
      </c>
      <c r="C19" s="13">
        <v>6</v>
      </c>
      <c r="D19" s="13">
        <v>6</v>
      </c>
      <c r="E19" s="13">
        <v>6</v>
      </c>
    </row>
    <row r="20" spans="1:5" x14ac:dyDescent="0.3">
      <c r="A20" s="13" t="s">
        <v>1</v>
      </c>
      <c r="B20" s="13" t="s">
        <v>111</v>
      </c>
      <c r="C20" s="13">
        <v>6</v>
      </c>
      <c r="D20" s="13">
        <v>6</v>
      </c>
      <c r="E20" s="13">
        <v>6</v>
      </c>
    </row>
    <row r="21" spans="1:5" x14ac:dyDescent="0.3">
      <c r="A21" s="13" t="s">
        <v>0</v>
      </c>
      <c r="B21" s="13" t="s">
        <v>31</v>
      </c>
      <c r="C21" s="13">
        <v>7</v>
      </c>
      <c r="D21" s="13">
        <v>6</v>
      </c>
      <c r="E21" s="13">
        <v>7</v>
      </c>
    </row>
    <row r="22" spans="1:5" x14ac:dyDescent="0.3">
      <c r="A22" s="13" t="s">
        <v>1</v>
      </c>
      <c r="B22" s="13" t="s">
        <v>1988</v>
      </c>
      <c r="C22" s="13">
        <v>8</v>
      </c>
      <c r="D22" s="13">
        <v>5</v>
      </c>
      <c r="E22" s="13">
        <v>7</v>
      </c>
    </row>
    <row r="23" spans="1:5" x14ac:dyDescent="0.3">
      <c r="A23" s="13" t="s">
        <v>1</v>
      </c>
      <c r="B23" s="13" t="s">
        <v>196</v>
      </c>
      <c r="C23" s="13">
        <v>5</v>
      </c>
      <c r="D23" s="13">
        <v>5</v>
      </c>
      <c r="E23" s="13">
        <v>5</v>
      </c>
    </row>
    <row r="24" spans="1:5" x14ac:dyDescent="0.3">
      <c r="A24" s="13" t="s">
        <v>1</v>
      </c>
      <c r="B24" s="13" t="s">
        <v>123</v>
      </c>
      <c r="C24" s="13">
        <v>5</v>
      </c>
      <c r="D24" s="13">
        <v>5</v>
      </c>
      <c r="E24" s="13">
        <v>5</v>
      </c>
    </row>
    <row r="25" spans="1:5" x14ac:dyDescent="0.3">
      <c r="A25" s="13" t="s">
        <v>1</v>
      </c>
      <c r="B25" s="13" t="s">
        <v>31</v>
      </c>
      <c r="C25" s="13">
        <v>6</v>
      </c>
      <c r="D25" s="13">
        <v>5</v>
      </c>
      <c r="E25" s="13">
        <v>5</v>
      </c>
    </row>
    <row r="26" spans="1:5" x14ac:dyDescent="0.3">
      <c r="A26" s="13" t="s">
        <v>1</v>
      </c>
      <c r="B26" s="13" t="s">
        <v>132</v>
      </c>
      <c r="C26" s="13">
        <v>6</v>
      </c>
      <c r="D26" s="13">
        <v>5</v>
      </c>
      <c r="E26" s="13">
        <v>6</v>
      </c>
    </row>
    <row r="27" spans="1:5" x14ac:dyDescent="0.3">
      <c r="A27" s="13" t="s">
        <v>0</v>
      </c>
      <c r="B27" s="13" t="s">
        <v>1988</v>
      </c>
      <c r="C27" s="13">
        <v>5</v>
      </c>
      <c r="D27" s="13">
        <v>5</v>
      </c>
      <c r="E27" s="13">
        <v>5</v>
      </c>
    </row>
    <row r="28" spans="1:5" x14ac:dyDescent="0.3">
      <c r="A28" s="13" t="s">
        <v>0</v>
      </c>
      <c r="B28" s="13" t="s">
        <v>2869</v>
      </c>
      <c r="C28" s="13">
        <v>6</v>
      </c>
      <c r="D28" s="13">
        <v>5</v>
      </c>
      <c r="E28" s="13">
        <v>7</v>
      </c>
    </row>
    <row r="29" spans="1:5" x14ac:dyDescent="0.3">
      <c r="A29" s="13" t="s">
        <v>0</v>
      </c>
      <c r="B29" s="13" t="s">
        <v>51</v>
      </c>
      <c r="C29" s="13">
        <v>5</v>
      </c>
      <c r="D29" s="13">
        <v>5</v>
      </c>
      <c r="E29" s="13">
        <v>5</v>
      </c>
    </row>
    <row r="30" spans="1:5" x14ac:dyDescent="0.3">
      <c r="A30" s="13" t="s">
        <v>1</v>
      </c>
      <c r="B30" s="13" t="s">
        <v>243</v>
      </c>
      <c r="C30" s="13">
        <v>6</v>
      </c>
      <c r="D30" s="13">
        <v>4</v>
      </c>
      <c r="E30" s="13">
        <v>7</v>
      </c>
    </row>
    <row r="31" spans="1:5" x14ac:dyDescent="0.3">
      <c r="A31" s="13" t="s">
        <v>1</v>
      </c>
      <c r="B31" s="13" t="s">
        <v>145</v>
      </c>
      <c r="C31" s="13">
        <v>4</v>
      </c>
      <c r="D31" s="13">
        <v>4</v>
      </c>
      <c r="E31" s="13">
        <v>4</v>
      </c>
    </row>
    <row r="32" spans="1:5" x14ac:dyDescent="0.3">
      <c r="A32" s="13" t="s">
        <v>1</v>
      </c>
      <c r="B32" s="13" t="s">
        <v>93</v>
      </c>
      <c r="C32" s="13">
        <v>5</v>
      </c>
      <c r="D32" s="13">
        <v>4</v>
      </c>
      <c r="E32" s="13">
        <v>5</v>
      </c>
    </row>
    <row r="33" spans="1:5" x14ac:dyDescent="0.3">
      <c r="A33" s="13" t="s">
        <v>1</v>
      </c>
      <c r="B33" s="13" t="s">
        <v>2762</v>
      </c>
      <c r="C33" s="13">
        <v>4</v>
      </c>
      <c r="D33" s="13">
        <v>4</v>
      </c>
      <c r="E33" s="13">
        <v>5</v>
      </c>
    </row>
    <row r="34" spans="1:5" x14ac:dyDescent="0.3">
      <c r="A34" s="13" t="s">
        <v>1</v>
      </c>
      <c r="B34" s="13" t="s">
        <v>2949</v>
      </c>
      <c r="C34" s="13">
        <v>13</v>
      </c>
      <c r="D34" s="13">
        <v>4</v>
      </c>
      <c r="E34" s="13">
        <v>15</v>
      </c>
    </row>
    <row r="35" spans="1:5" x14ac:dyDescent="0.3">
      <c r="A35" s="13" t="s">
        <v>1</v>
      </c>
      <c r="B35" s="13" t="s">
        <v>279</v>
      </c>
      <c r="C35" s="13">
        <v>4</v>
      </c>
      <c r="D35" s="13">
        <v>4</v>
      </c>
      <c r="E35" s="13">
        <v>5</v>
      </c>
    </row>
    <row r="36" spans="1:5" x14ac:dyDescent="0.3">
      <c r="A36" s="13" t="s">
        <v>1</v>
      </c>
      <c r="B36" s="13" t="s">
        <v>32</v>
      </c>
      <c r="C36" s="13">
        <v>8</v>
      </c>
      <c r="D36" s="13">
        <v>4</v>
      </c>
      <c r="E36" s="13">
        <v>11</v>
      </c>
    </row>
    <row r="37" spans="1:5" x14ac:dyDescent="0.3">
      <c r="A37" s="13" t="s">
        <v>0</v>
      </c>
      <c r="B37" s="13" t="s">
        <v>34</v>
      </c>
      <c r="C37" s="13">
        <v>4</v>
      </c>
      <c r="D37" s="13">
        <v>4</v>
      </c>
      <c r="E37" s="13">
        <v>4</v>
      </c>
    </row>
    <row r="38" spans="1:5" x14ac:dyDescent="0.3">
      <c r="A38" s="13" t="s">
        <v>0</v>
      </c>
      <c r="B38" s="13" t="s">
        <v>354</v>
      </c>
      <c r="C38" s="13">
        <v>4</v>
      </c>
      <c r="D38" s="13">
        <v>4</v>
      </c>
      <c r="E38" s="13">
        <v>4</v>
      </c>
    </row>
    <row r="39" spans="1:5" x14ac:dyDescent="0.3">
      <c r="A39" s="13" t="s">
        <v>0</v>
      </c>
      <c r="B39" s="13" t="s">
        <v>60</v>
      </c>
      <c r="C39" s="13">
        <v>4</v>
      </c>
      <c r="D39" s="13">
        <v>4</v>
      </c>
      <c r="E39" s="13">
        <v>5</v>
      </c>
    </row>
    <row r="40" spans="1:5" x14ac:dyDescent="0.3">
      <c r="A40" s="13" t="s">
        <v>0</v>
      </c>
      <c r="B40" s="13" t="s">
        <v>1663</v>
      </c>
      <c r="C40" s="13">
        <v>4</v>
      </c>
      <c r="D40" s="13">
        <v>4</v>
      </c>
      <c r="E40" s="13">
        <v>5</v>
      </c>
    </row>
    <row r="41" spans="1:5" x14ac:dyDescent="0.3">
      <c r="A41" s="13" t="s">
        <v>0</v>
      </c>
      <c r="B41" s="13" t="s">
        <v>113</v>
      </c>
      <c r="C41" s="13">
        <v>4</v>
      </c>
      <c r="D41" s="13">
        <v>4</v>
      </c>
      <c r="E41" s="13">
        <v>4</v>
      </c>
    </row>
    <row r="42" spans="1:5" x14ac:dyDescent="0.3">
      <c r="A42" s="13" t="s">
        <v>0</v>
      </c>
      <c r="B42" s="13" t="s">
        <v>114</v>
      </c>
      <c r="C42" s="13">
        <v>4</v>
      </c>
      <c r="D42" s="13">
        <v>4</v>
      </c>
      <c r="E42" s="13">
        <v>6</v>
      </c>
    </row>
    <row r="43" spans="1:5" x14ac:dyDescent="0.3">
      <c r="A43" s="13" t="s">
        <v>1</v>
      </c>
      <c r="B43" s="13" t="s">
        <v>473</v>
      </c>
      <c r="C43" s="13">
        <v>3</v>
      </c>
      <c r="D43" s="13">
        <v>3</v>
      </c>
      <c r="E43" s="13">
        <v>3</v>
      </c>
    </row>
    <row r="44" spans="1:5" x14ac:dyDescent="0.3">
      <c r="A44" s="13" t="s">
        <v>1</v>
      </c>
      <c r="B44" s="13" t="s">
        <v>36</v>
      </c>
      <c r="C44" s="13">
        <v>3</v>
      </c>
      <c r="D44" s="13">
        <v>3</v>
      </c>
      <c r="E44" s="13">
        <v>4</v>
      </c>
    </row>
    <row r="45" spans="1:5" x14ac:dyDescent="0.3">
      <c r="A45" s="13" t="s">
        <v>1</v>
      </c>
      <c r="B45" s="13" t="s">
        <v>47</v>
      </c>
      <c r="C45" s="13">
        <v>4</v>
      </c>
      <c r="D45" s="13">
        <v>3</v>
      </c>
      <c r="E45" s="13">
        <v>3</v>
      </c>
    </row>
    <row r="46" spans="1:5" x14ac:dyDescent="0.3">
      <c r="A46" s="13" t="s">
        <v>1</v>
      </c>
      <c r="B46" s="13" t="s">
        <v>48</v>
      </c>
      <c r="C46" s="13">
        <v>6</v>
      </c>
      <c r="D46" s="13">
        <v>3</v>
      </c>
      <c r="E46" s="13">
        <v>6</v>
      </c>
    </row>
    <row r="47" spans="1:5" x14ac:dyDescent="0.3">
      <c r="A47" s="13" t="s">
        <v>1</v>
      </c>
      <c r="B47" s="13" t="s">
        <v>272</v>
      </c>
      <c r="C47" s="13">
        <v>4</v>
      </c>
      <c r="D47" s="13">
        <v>3</v>
      </c>
      <c r="E47" s="13">
        <v>7</v>
      </c>
    </row>
    <row r="48" spans="1:5" x14ac:dyDescent="0.3">
      <c r="A48" s="13" t="s">
        <v>1</v>
      </c>
      <c r="B48" s="13" t="s">
        <v>1849</v>
      </c>
      <c r="C48" s="13">
        <v>3</v>
      </c>
      <c r="D48" s="13">
        <v>3</v>
      </c>
      <c r="E48" s="13">
        <v>4</v>
      </c>
    </row>
    <row r="49" spans="1:5" x14ac:dyDescent="0.3">
      <c r="A49" s="13" t="s">
        <v>1</v>
      </c>
      <c r="B49" s="13" t="s">
        <v>1881</v>
      </c>
      <c r="C49" s="13">
        <v>4</v>
      </c>
      <c r="D49" s="13">
        <v>3</v>
      </c>
      <c r="E49" s="13">
        <v>4</v>
      </c>
    </row>
    <row r="50" spans="1:5" x14ac:dyDescent="0.3">
      <c r="A50" s="13" t="s">
        <v>1</v>
      </c>
      <c r="B50" s="13" t="s">
        <v>1900</v>
      </c>
      <c r="C50" s="13">
        <v>4</v>
      </c>
      <c r="D50" s="13">
        <v>3</v>
      </c>
      <c r="E50" s="13">
        <v>5</v>
      </c>
    </row>
    <row r="51" spans="1:5" x14ac:dyDescent="0.3">
      <c r="A51" s="13" t="s">
        <v>1</v>
      </c>
      <c r="B51" s="13" t="s">
        <v>937</v>
      </c>
      <c r="C51" s="13">
        <v>3</v>
      </c>
      <c r="D51" s="13">
        <v>3</v>
      </c>
      <c r="E51" s="13">
        <v>3</v>
      </c>
    </row>
    <row r="52" spans="1:5" x14ac:dyDescent="0.3">
      <c r="A52" s="13" t="s">
        <v>1</v>
      </c>
      <c r="B52" s="13" t="s">
        <v>824</v>
      </c>
      <c r="C52" s="13">
        <v>3</v>
      </c>
      <c r="D52" s="13">
        <v>3</v>
      </c>
      <c r="E52" s="13">
        <v>4</v>
      </c>
    </row>
    <row r="53" spans="1:5" x14ac:dyDescent="0.3">
      <c r="A53" s="13" t="s">
        <v>1</v>
      </c>
      <c r="B53" s="13" t="s">
        <v>281</v>
      </c>
      <c r="C53" s="13">
        <v>3</v>
      </c>
      <c r="D53" s="13">
        <v>3</v>
      </c>
      <c r="E53" s="13">
        <v>3</v>
      </c>
    </row>
    <row r="54" spans="1:5" x14ac:dyDescent="0.3">
      <c r="A54" s="13" t="s">
        <v>1</v>
      </c>
      <c r="B54" s="13" t="s">
        <v>121</v>
      </c>
      <c r="C54" s="13">
        <v>3</v>
      </c>
      <c r="D54" s="13">
        <v>3</v>
      </c>
      <c r="E54" s="13">
        <v>4</v>
      </c>
    </row>
    <row r="55" spans="1:5" x14ac:dyDescent="0.3">
      <c r="A55" s="13" t="s">
        <v>1</v>
      </c>
      <c r="B55" s="13" t="s">
        <v>66</v>
      </c>
      <c r="C55" s="13">
        <v>6</v>
      </c>
      <c r="D55" s="13">
        <v>3</v>
      </c>
      <c r="E55" s="13">
        <v>13</v>
      </c>
    </row>
    <row r="56" spans="1:5" x14ac:dyDescent="0.3">
      <c r="A56" s="13" t="s">
        <v>1</v>
      </c>
      <c r="B56" s="13" t="s">
        <v>54</v>
      </c>
      <c r="C56" s="13">
        <v>5</v>
      </c>
      <c r="D56" s="13">
        <v>3</v>
      </c>
      <c r="E56" s="13">
        <v>5</v>
      </c>
    </row>
    <row r="57" spans="1:5" x14ac:dyDescent="0.3">
      <c r="A57" s="13" t="s">
        <v>0</v>
      </c>
      <c r="B57" s="13" t="s">
        <v>145</v>
      </c>
      <c r="C57" s="13">
        <v>3</v>
      </c>
      <c r="D57" s="13">
        <v>3</v>
      </c>
      <c r="E57" s="13">
        <v>3</v>
      </c>
    </row>
    <row r="58" spans="1:5" x14ac:dyDescent="0.3">
      <c r="A58" s="13" t="s">
        <v>0</v>
      </c>
      <c r="B58" s="13" t="s">
        <v>42</v>
      </c>
      <c r="C58" s="13">
        <v>4</v>
      </c>
      <c r="D58" s="13">
        <v>3</v>
      </c>
      <c r="E58" s="13">
        <v>6</v>
      </c>
    </row>
    <row r="59" spans="1:5" x14ac:dyDescent="0.3">
      <c r="A59" s="13" t="s">
        <v>0</v>
      </c>
      <c r="B59" s="13" t="s">
        <v>1948</v>
      </c>
      <c r="C59" s="13">
        <v>4</v>
      </c>
      <c r="D59" s="13">
        <v>3</v>
      </c>
      <c r="E59" s="13">
        <v>8</v>
      </c>
    </row>
    <row r="60" spans="1:5" x14ac:dyDescent="0.3">
      <c r="A60" s="13" t="s">
        <v>0</v>
      </c>
      <c r="B60" s="13" t="s">
        <v>35</v>
      </c>
      <c r="C60" s="13">
        <v>3</v>
      </c>
      <c r="D60" s="13">
        <v>3</v>
      </c>
      <c r="E60" s="13">
        <v>4</v>
      </c>
    </row>
    <row r="61" spans="1:5" x14ac:dyDescent="0.3">
      <c r="A61" s="13" t="s">
        <v>0</v>
      </c>
      <c r="B61" s="13" t="s">
        <v>122</v>
      </c>
      <c r="C61" s="13">
        <v>3</v>
      </c>
      <c r="D61" s="13">
        <v>3</v>
      </c>
      <c r="E61" s="13">
        <v>3</v>
      </c>
    </row>
    <row r="62" spans="1:5" x14ac:dyDescent="0.3">
      <c r="A62" s="13" t="s">
        <v>0</v>
      </c>
      <c r="B62" s="13" t="s">
        <v>123</v>
      </c>
      <c r="C62" s="13">
        <v>3</v>
      </c>
      <c r="D62" s="13">
        <v>3</v>
      </c>
      <c r="E62" s="13">
        <v>3</v>
      </c>
    </row>
    <row r="63" spans="1:5" x14ac:dyDescent="0.3">
      <c r="A63" s="13" t="s">
        <v>2</v>
      </c>
      <c r="B63" s="13" t="s">
        <v>29</v>
      </c>
      <c r="C63" s="13">
        <v>3</v>
      </c>
      <c r="D63" s="13">
        <v>3</v>
      </c>
      <c r="E63" s="13">
        <v>4</v>
      </c>
    </row>
    <row r="64" spans="1:5" x14ac:dyDescent="0.3">
      <c r="A64" s="13" t="s">
        <v>2</v>
      </c>
      <c r="B64" s="13" t="s">
        <v>121</v>
      </c>
      <c r="C64" s="13">
        <v>3</v>
      </c>
      <c r="D64" s="13">
        <v>3</v>
      </c>
      <c r="E64" s="13">
        <v>3</v>
      </c>
    </row>
    <row r="65" spans="1:5" x14ac:dyDescent="0.3">
      <c r="A65" s="13" t="s">
        <v>1</v>
      </c>
      <c r="B65" s="13" t="s">
        <v>551</v>
      </c>
      <c r="C65" s="13">
        <v>3</v>
      </c>
      <c r="D65" s="13">
        <v>2</v>
      </c>
      <c r="E65" s="13">
        <v>3</v>
      </c>
    </row>
    <row r="66" spans="1:5" x14ac:dyDescent="0.3">
      <c r="A66" s="13" t="s">
        <v>1</v>
      </c>
      <c r="B66" s="13" t="s">
        <v>382</v>
      </c>
      <c r="C66" s="13">
        <v>2</v>
      </c>
      <c r="D66" s="13">
        <v>2</v>
      </c>
      <c r="E66" s="13">
        <v>2</v>
      </c>
    </row>
    <row r="67" spans="1:5" x14ac:dyDescent="0.3">
      <c r="A67" s="13" t="s">
        <v>1</v>
      </c>
      <c r="B67" s="13" t="s">
        <v>76</v>
      </c>
      <c r="C67" s="13">
        <v>2</v>
      </c>
      <c r="D67" s="13">
        <v>2</v>
      </c>
      <c r="E67" s="13">
        <v>2</v>
      </c>
    </row>
    <row r="68" spans="1:5" x14ac:dyDescent="0.3">
      <c r="A68" s="13" t="s">
        <v>1</v>
      </c>
      <c r="B68" s="13" t="s">
        <v>345</v>
      </c>
      <c r="C68" s="13">
        <v>2</v>
      </c>
      <c r="D68" s="13">
        <v>2</v>
      </c>
      <c r="E68" s="13">
        <v>3</v>
      </c>
    </row>
    <row r="69" spans="1:5" x14ac:dyDescent="0.3">
      <c r="A69" s="13" t="s">
        <v>1</v>
      </c>
      <c r="B69" s="13" t="s">
        <v>81</v>
      </c>
      <c r="C69" s="13">
        <v>4</v>
      </c>
      <c r="D69" s="13">
        <v>2</v>
      </c>
      <c r="E69" s="13">
        <v>4</v>
      </c>
    </row>
    <row r="70" spans="1:5" x14ac:dyDescent="0.3">
      <c r="A70" s="13" t="s">
        <v>1</v>
      </c>
      <c r="B70" s="13" t="s">
        <v>215</v>
      </c>
      <c r="C70" s="13">
        <v>2</v>
      </c>
      <c r="D70" s="13">
        <v>2</v>
      </c>
      <c r="E70" s="13">
        <v>2</v>
      </c>
    </row>
    <row r="71" spans="1:5" x14ac:dyDescent="0.3">
      <c r="A71" s="13" t="s">
        <v>1</v>
      </c>
      <c r="B71" s="13" t="s">
        <v>91</v>
      </c>
      <c r="C71" s="13">
        <v>2</v>
      </c>
      <c r="D71" s="13">
        <v>2</v>
      </c>
      <c r="E71" s="13">
        <v>2</v>
      </c>
    </row>
    <row r="72" spans="1:5" x14ac:dyDescent="0.3">
      <c r="A72" s="13" t="s">
        <v>1</v>
      </c>
      <c r="B72" s="13" t="s">
        <v>219</v>
      </c>
      <c r="C72" s="13">
        <v>2</v>
      </c>
      <c r="D72" s="13">
        <v>2</v>
      </c>
      <c r="E72" s="13">
        <v>3</v>
      </c>
    </row>
    <row r="73" spans="1:5" x14ac:dyDescent="0.3">
      <c r="A73" s="13" t="s">
        <v>1</v>
      </c>
      <c r="B73" s="13" t="s">
        <v>1645</v>
      </c>
      <c r="C73" s="13">
        <v>3</v>
      </c>
      <c r="D73" s="13">
        <v>2</v>
      </c>
      <c r="E73" s="13">
        <v>3</v>
      </c>
    </row>
    <row r="74" spans="1:5" x14ac:dyDescent="0.3">
      <c r="A74" s="13" t="s">
        <v>1</v>
      </c>
      <c r="B74" s="13" t="s">
        <v>1674</v>
      </c>
      <c r="C74" s="13">
        <v>4</v>
      </c>
      <c r="D74" s="13">
        <v>2</v>
      </c>
      <c r="E74" s="13">
        <v>4</v>
      </c>
    </row>
    <row r="75" spans="1:5" x14ac:dyDescent="0.3">
      <c r="A75" s="13" t="s">
        <v>1</v>
      </c>
      <c r="B75" s="13" t="s">
        <v>1885</v>
      </c>
      <c r="C75" s="13">
        <v>3</v>
      </c>
      <c r="D75" s="13">
        <v>2</v>
      </c>
      <c r="E75" s="13">
        <v>3</v>
      </c>
    </row>
    <row r="76" spans="1:5" x14ac:dyDescent="0.3">
      <c r="A76" s="13" t="s">
        <v>1</v>
      </c>
      <c r="B76" s="13" t="s">
        <v>1899</v>
      </c>
      <c r="C76" s="13">
        <v>2</v>
      </c>
      <c r="D76" s="13">
        <v>2</v>
      </c>
      <c r="E76" s="13">
        <v>2</v>
      </c>
    </row>
    <row r="77" spans="1:5" x14ac:dyDescent="0.3">
      <c r="A77" s="13" t="s">
        <v>1</v>
      </c>
      <c r="B77" s="13" t="s">
        <v>1882</v>
      </c>
      <c r="C77" s="13">
        <v>3</v>
      </c>
      <c r="D77" s="13">
        <v>2</v>
      </c>
      <c r="E77" s="13">
        <v>3</v>
      </c>
    </row>
    <row r="78" spans="1:5" x14ac:dyDescent="0.3">
      <c r="A78" s="13" t="s">
        <v>1</v>
      </c>
      <c r="B78" s="13" t="s">
        <v>2093</v>
      </c>
      <c r="C78" s="13">
        <v>3</v>
      </c>
      <c r="D78" s="13">
        <v>2</v>
      </c>
      <c r="E78" s="13">
        <v>3</v>
      </c>
    </row>
    <row r="79" spans="1:5" x14ac:dyDescent="0.3">
      <c r="A79" s="13" t="s">
        <v>1</v>
      </c>
      <c r="B79" s="13" t="s">
        <v>2203</v>
      </c>
      <c r="C79" s="13">
        <v>4</v>
      </c>
      <c r="D79" s="13">
        <v>2</v>
      </c>
      <c r="E79" s="13">
        <v>4</v>
      </c>
    </row>
    <row r="80" spans="1:5" x14ac:dyDescent="0.3">
      <c r="A80" s="13" t="s">
        <v>1</v>
      </c>
      <c r="B80" s="13" t="s">
        <v>258</v>
      </c>
      <c r="C80" s="13">
        <v>2</v>
      </c>
      <c r="D80" s="13">
        <v>2</v>
      </c>
      <c r="E80" s="13">
        <v>2</v>
      </c>
    </row>
    <row r="81" spans="1:5" x14ac:dyDescent="0.3">
      <c r="A81" s="13" t="s">
        <v>1</v>
      </c>
      <c r="B81" s="13" t="s">
        <v>105</v>
      </c>
      <c r="C81" s="13">
        <v>2</v>
      </c>
      <c r="D81" s="13">
        <v>2</v>
      </c>
      <c r="E81" s="13">
        <v>2</v>
      </c>
    </row>
    <row r="82" spans="1:5" x14ac:dyDescent="0.3">
      <c r="A82" s="13" t="s">
        <v>1</v>
      </c>
      <c r="B82" s="13" t="s">
        <v>1028</v>
      </c>
      <c r="C82" s="13">
        <v>2</v>
      </c>
      <c r="D82" s="13">
        <v>2</v>
      </c>
      <c r="E82" s="13">
        <v>3</v>
      </c>
    </row>
    <row r="83" spans="1:5" x14ac:dyDescent="0.3">
      <c r="A83" s="13" t="s">
        <v>1</v>
      </c>
      <c r="B83" s="13" t="s">
        <v>44</v>
      </c>
      <c r="C83" s="13">
        <v>2</v>
      </c>
      <c r="D83" s="13">
        <v>2</v>
      </c>
      <c r="E83" s="13">
        <v>2</v>
      </c>
    </row>
    <row r="84" spans="1:5" x14ac:dyDescent="0.3">
      <c r="A84" s="13" t="s">
        <v>1</v>
      </c>
      <c r="B84" s="13" t="s">
        <v>2974</v>
      </c>
      <c r="C84" s="13">
        <v>2</v>
      </c>
      <c r="D84" s="13">
        <v>2</v>
      </c>
      <c r="E84" s="13">
        <v>3</v>
      </c>
    </row>
    <row r="85" spans="1:5" x14ac:dyDescent="0.3">
      <c r="A85" s="13" t="s">
        <v>1</v>
      </c>
      <c r="B85" s="13" t="s">
        <v>316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45</v>
      </c>
      <c r="C86" s="13">
        <v>3</v>
      </c>
      <c r="D86" s="13">
        <v>2</v>
      </c>
      <c r="E86" s="13">
        <v>3</v>
      </c>
    </row>
    <row r="87" spans="1:5" x14ac:dyDescent="0.3">
      <c r="A87" s="13" t="s">
        <v>1</v>
      </c>
      <c r="B87" s="13" t="s">
        <v>115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771</v>
      </c>
      <c r="C88" s="13">
        <v>2</v>
      </c>
      <c r="D88" s="13">
        <v>2</v>
      </c>
      <c r="E88" s="13">
        <v>10</v>
      </c>
    </row>
    <row r="89" spans="1:5" x14ac:dyDescent="0.3">
      <c r="A89" s="13" t="s">
        <v>1</v>
      </c>
      <c r="B89" s="13" t="s">
        <v>62</v>
      </c>
      <c r="C89" s="13">
        <v>2</v>
      </c>
      <c r="D89" s="13">
        <v>2</v>
      </c>
      <c r="E89" s="13">
        <v>2</v>
      </c>
    </row>
    <row r="90" spans="1:5" x14ac:dyDescent="0.3">
      <c r="A90" s="13" t="s">
        <v>1</v>
      </c>
      <c r="B90" s="13" t="s">
        <v>409</v>
      </c>
      <c r="C90" s="13">
        <v>2</v>
      </c>
      <c r="D90" s="13">
        <v>2</v>
      </c>
      <c r="E90" s="13">
        <v>2</v>
      </c>
    </row>
    <row r="91" spans="1:5" x14ac:dyDescent="0.3">
      <c r="A91" s="13" t="s">
        <v>1</v>
      </c>
      <c r="B91" s="13" t="s">
        <v>63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124</v>
      </c>
      <c r="C92" s="13">
        <v>2</v>
      </c>
      <c r="D92" s="13">
        <v>2</v>
      </c>
      <c r="E92" s="13">
        <v>3</v>
      </c>
    </row>
    <row r="93" spans="1:5" x14ac:dyDescent="0.3">
      <c r="A93" s="13" t="s">
        <v>1</v>
      </c>
      <c r="B93" s="13" t="s">
        <v>845</v>
      </c>
      <c r="C93" s="13">
        <v>2</v>
      </c>
      <c r="D93" s="13">
        <v>2</v>
      </c>
      <c r="E93" s="13">
        <v>3</v>
      </c>
    </row>
    <row r="94" spans="1:5" x14ac:dyDescent="0.3">
      <c r="A94" s="13" t="s">
        <v>1</v>
      </c>
      <c r="B94" s="13" t="s">
        <v>52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716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191</v>
      </c>
      <c r="C96" s="13">
        <v>8</v>
      </c>
      <c r="D96" s="13">
        <v>2</v>
      </c>
      <c r="E96" s="13">
        <v>11</v>
      </c>
    </row>
    <row r="97" spans="1:5" x14ac:dyDescent="0.3">
      <c r="A97" s="13" t="s">
        <v>1</v>
      </c>
      <c r="B97" s="13" t="s">
        <v>1177</v>
      </c>
      <c r="C97" s="13">
        <v>2</v>
      </c>
      <c r="D97" s="13">
        <v>2</v>
      </c>
      <c r="E97" s="13"/>
    </row>
    <row r="98" spans="1:5" x14ac:dyDescent="0.3">
      <c r="A98" s="13" t="s">
        <v>0</v>
      </c>
      <c r="B98" s="13" t="s">
        <v>1208</v>
      </c>
      <c r="C98" s="13">
        <v>2</v>
      </c>
      <c r="D98" s="13">
        <v>2</v>
      </c>
      <c r="E98" s="13">
        <v>2</v>
      </c>
    </row>
    <row r="99" spans="1:5" x14ac:dyDescent="0.3">
      <c r="A99" s="13" t="s">
        <v>0</v>
      </c>
      <c r="B99" s="13" t="s">
        <v>148</v>
      </c>
      <c r="C99" s="13">
        <v>2</v>
      </c>
      <c r="D99" s="13">
        <v>2</v>
      </c>
      <c r="E99" s="13">
        <v>3</v>
      </c>
    </row>
    <row r="100" spans="1:5" x14ac:dyDescent="0.3">
      <c r="A100" s="13" t="s">
        <v>0</v>
      </c>
      <c r="B100" s="13" t="s">
        <v>1125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0</v>
      </c>
      <c r="B101" s="13" t="s">
        <v>2203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0</v>
      </c>
      <c r="B102" s="13" t="s">
        <v>795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0</v>
      </c>
      <c r="B103" s="13" t="s">
        <v>391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0</v>
      </c>
      <c r="B104" s="13" t="s">
        <v>161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0</v>
      </c>
      <c r="B105" s="13" t="s">
        <v>195</v>
      </c>
      <c r="C105" s="13">
        <v>2</v>
      </c>
      <c r="D105" s="13">
        <v>2</v>
      </c>
      <c r="E105" s="13">
        <v>5</v>
      </c>
    </row>
    <row r="106" spans="1:5" x14ac:dyDescent="0.3">
      <c r="A106" s="13" t="s">
        <v>0</v>
      </c>
      <c r="B106" s="13" t="s">
        <v>44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0</v>
      </c>
      <c r="B107" s="13" t="s">
        <v>315</v>
      </c>
      <c r="C107" s="13">
        <v>2</v>
      </c>
      <c r="D107" s="13">
        <v>2</v>
      </c>
      <c r="E107" s="13">
        <v>3</v>
      </c>
    </row>
    <row r="108" spans="1:5" x14ac:dyDescent="0.3">
      <c r="A108" s="13" t="s">
        <v>0</v>
      </c>
      <c r="B108" s="13" t="s">
        <v>648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0</v>
      </c>
      <c r="B109" s="13" t="s">
        <v>900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0</v>
      </c>
      <c r="B110" s="13" t="s">
        <v>121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0</v>
      </c>
      <c r="B111" s="13" t="s">
        <v>130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2</v>
      </c>
      <c r="B112" s="13" t="s">
        <v>60</v>
      </c>
      <c r="C112" s="13">
        <v>2</v>
      </c>
      <c r="D112" s="13">
        <v>2</v>
      </c>
      <c r="E112" s="13">
        <v>4</v>
      </c>
    </row>
    <row r="113" spans="1:5" x14ac:dyDescent="0.3">
      <c r="A113" s="13" t="s">
        <v>2</v>
      </c>
      <c r="B113" s="13" t="s">
        <v>513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2</v>
      </c>
      <c r="B114" s="13" t="s">
        <v>668</v>
      </c>
      <c r="C114" s="13">
        <v>3</v>
      </c>
      <c r="D114" s="13">
        <v>2</v>
      </c>
      <c r="E114" s="13">
        <v>5</v>
      </c>
    </row>
    <row r="115" spans="1:5" x14ac:dyDescent="0.3">
      <c r="A115" s="13" t="s">
        <v>1</v>
      </c>
      <c r="B115" s="13" t="s">
        <v>874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924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239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240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491</v>
      </c>
      <c r="C119" s="13">
        <v>2</v>
      </c>
      <c r="D119" s="13">
        <v>1</v>
      </c>
      <c r="E119" s="13">
        <v>2</v>
      </c>
    </row>
    <row r="120" spans="1:5" x14ac:dyDescent="0.3">
      <c r="A120" s="13" t="s">
        <v>1</v>
      </c>
      <c r="B120" s="13" t="s">
        <v>586</v>
      </c>
      <c r="C120" s="13">
        <v>1</v>
      </c>
      <c r="D120" s="13">
        <v>1</v>
      </c>
      <c r="E120" s="13">
        <v>2</v>
      </c>
    </row>
    <row r="121" spans="1:5" x14ac:dyDescent="0.3">
      <c r="A121" s="13" t="s">
        <v>1</v>
      </c>
      <c r="B121" s="13" t="s">
        <v>71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57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33</v>
      </c>
      <c r="C123" s="13">
        <v>3</v>
      </c>
      <c r="D123" s="13">
        <v>1</v>
      </c>
      <c r="E123" s="13">
        <v>5</v>
      </c>
    </row>
    <row r="124" spans="1:5" x14ac:dyDescent="0.3">
      <c r="A124" s="13" t="s">
        <v>1</v>
      </c>
      <c r="B124" s="13" t="s">
        <v>446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205</v>
      </c>
      <c r="C125" s="13">
        <v>1</v>
      </c>
      <c r="D125" s="13">
        <v>1</v>
      </c>
      <c r="E125" s="13">
        <v>2</v>
      </c>
    </row>
    <row r="126" spans="1:5" x14ac:dyDescent="0.3">
      <c r="A126" s="13" t="s">
        <v>1</v>
      </c>
      <c r="B126" s="13" t="s">
        <v>671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264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141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790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1159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497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267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499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77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59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983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34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985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813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1208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260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1180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209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1225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673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144</v>
      </c>
      <c r="C146" s="13">
        <v>2</v>
      </c>
      <c r="D146" s="13">
        <v>1</v>
      </c>
      <c r="E146" s="13">
        <v>2</v>
      </c>
    </row>
    <row r="147" spans="1:5" x14ac:dyDescent="0.3">
      <c r="A147" s="13" t="s">
        <v>1</v>
      </c>
      <c r="B147" s="13" t="s">
        <v>82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727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147</v>
      </c>
      <c r="C149" s="13">
        <v>1</v>
      </c>
      <c r="D149" s="13">
        <v>1</v>
      </c>
      <c r="E149" s="13">
        <v>2</v>
      </c>
    </row>
    <row r="150" spans="1:5" x14ac:dyDescent="0.3">
      <c r="A150" s="13" t="s">
        <v>1</v>
      </c>
      <c r="B150" s="13" t="s">
        <v>422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351</v>
      </c>
      <c r="C151" s="13">
        <v>3</v>
      </c>
      <c r="D151" s="13">
        <v>1</v>
      </c>
      <c r="E151" s="13">
        <v>4</v>
      </c>
    </row>
    <row r="152" spans="1:5" x14ac:dyDescent="0.3">
      <c r="A152" s="13" t="s">
        <v>1</v>
      </c>
      <c r="B152" s="13" t="s">
        <v>465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90</v>
      </c>
      <c r="C153" s="13">
        <v>2</v>
      </c>
      <c r="D153" s="13">
        <v>1</v>
      </c>
      <c r="E153" s="13">
        <v>2</v>
      </c>
    </row>
    <row r="154" spans="1:5" x14ac:dyDescent="0.3">
      <c r="A154" s="13" t="s">
        <v>1</v>
      </c>
      <c r="B154" s="13" t="s">
        <v>217</v>
      </c>
      <c r="C154" s="13">
        <v>2</v>
      </c>
      <c r="D154" s="13">
        <v>1</v>
      </c>
      <c r="E154" s="13">
        <v>2</v>
      </c>
    </row>
    <row r="155" spans="1:5" x14ac:dyDescent="0.3">
      <c r="A155" s="13" t="s">
        <v>1</v>
      </c>
      <c r="B155" s="13" t="s">
        <v>611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353</v>
      </c>
      <c r="C156" s="13">
        <v>1</v>
      </c>
      <c r="D156" s="13">
        <v>1</v>
      </c>
      <c r="E156" s="13">
        <v>3</v>
      </c>
    </row>
    <row r="157" spans="1:5" x14ac:dyDescent="0.3">
      <c r="A157" s="13" t="s">
        <v>1</v>
      </c>
      <c r="B157" s="13" t="s">
        <v>2975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41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60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42</v>
      </c>
      <c r="C160" s="13">
        <v>3</v>
      </c>
      <c r="D160" s="13">
        <v>1</v>
      </c>
      <c r="E160" s="13">
        <v>3</v>
      </c>
    </row>
    <row r="161" spans="1:5" x14ac:dyDescent="0.3">
      <c r="A161" s="13" t="s">
        <v>1</v>
      </c>
      <c r="B161" s="13" t="s">
        <v>153</v>
      </c>
      <c r="C161" s="13">
        <v>2</v>
      </c>
      <c r="D161" s="13">
        <v>1</v>
      </c>
      <c r="E161" s="13">
        <v>2</v>
      </c>
    </row>
    <row r="162" spans="1:5" x14ac:dyDescent="0.3">
      <c r="A162" s="13" t="s">
        <v>1</v>
      </c>
      <c r="B162" s="13" t="s">
        <v>220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247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94</v>
      </c>
      <c r="C164" s="13">
        <v>4</v>
      </c>
      <c r="D164" s="13">
        <v>1</v>
      </c>
      <c r="E164" s="13">
        <v>4</v>
      </c>
    </row>
    <row r="165" spans="1:5" x14ac:dyDescent="0.3">
      <c r="A165" s="13" t="s">
        <v>1</v>
      </c>
      <c r="B165" s="13" t="s">
        <v>653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1370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1492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1505</v>
      </c>
      <c r="C168" s="13">
        <v>1</v>
      </c>
      <c r="D168" s="13">
        <v>1</v>
      </c>
      <c r="E168" s="13">
        <v>3</v>
      </c>
    </row>
    <row r="169" spans="1:5" x14ac:dyDescent="0.3">
      <c r="A169" s="13" t="s">
        <v>1</v>
      </c>
      <c r="B169" s="13" t="s">
        <v>1568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1886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2162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2179</v>
      </c>
      <c r="C172" s="13">
        <v>2</v>
      </c>
      <c r="D172" s="13">
        <v>1</v>
      </c>
      <c r="E172" s="13">
        <v>2</v>
      </c>
    </row>
    <row r="173" spans="1:5" x14ac:dyDescent="0.3">
      <c r="A173" s="13" t="s">
        <v>1</v>
      </c>
      <c r="B173" s="13" t="s">
        <v>2408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2734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2917</v>
      </c>
      <c r="C175" s="13">
        <v>3</v>
      </c>
      <c r="D175" s="13">
        <v>1</v>
      </c>
      <c r="E175" s="13">
        <v>3</v>
      </c>
    </row>
    <row r="176" spans="1:5" x14ac:dyDescent="0.3">
      <c r="A176" s="13" t="s">
        <v>1</v>
      </c>
      <c r="B176" s="13" t="s">
        <v>819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2976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997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2075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1342</v>
      </c>
      <c r="C180" s="13">
        <v>1</v>
      </c>
      <c r="D180" s="13">
        <v>1</v>
      </c>
      <c r="E180" s="13">
        <v>2</v>
      </c>
    </row>
    <row r="181" spans="1:5" x14ac:dyDescent="0.3">
      <c r="A181" s="13" t="s">
        <v>1</v>
      </c>
      <c r="B181" s="13" t="s">
        <v>97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99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2977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680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156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391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357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100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161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103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1327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104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2978</v>
      </c>
      <c r="C193" s="13">
        <v>1</v>
      </c>
      <c r="D193" s="13">
        <v>1</v>
      </c>
      <c r="E193" s="13">
        <v>2</v>
      </c>
    </row>
    <row r="194" spans="1:5" x14ac:dyDescent="0.3">
      <c r="A194" s="13" t="s">
        <v>1</v>
      </c>
      <c r="B194" s="13" t="s">
        <v>1055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2979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429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565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1312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616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195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2030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108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619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167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1411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1097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51</v>
      </c>
      <c r="C207" s="13">
        <v>2</v>
      </c>
      <c r="D207" s="13">
        <v>1</v>
      </c>
      <c r="E207" s="13">
        <v>2</v>
      </c>
    </row>
    <row r="208" spans="1:5" x14ac:dyDescent="0.3">
      <c r="A208" s="13" t="s">
        <v>1</v>
      </c>
      <c r="B208" s="13" t="s">
        <v>2980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513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170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2981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920</v>
      </c>
      <c r="C212" s="13">
        <v>1</v>
      </c>
      <c r="D212" s="13">
        <v>1</v>
      </c>
      <c r="E212" s="13">
        <v>2</v>
      </c>
    </row>
    <row r="213" spans="1:5" x14ac:dyDescent="0.3">
      <c r="A213" s="13" t="s">
        <v>1</v>
      </c>
      <c r="B213" s="13" t="s">
        <v>1681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1818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451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1135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1497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829</v>
      </c>
      <c r="C218" s="13">
        <v>1</v>
      </c>
      <c r="D218" s="13">
        <v>1</v>
      </c>
      <c r="E218" s="13">
        <v>2</v>
      </c>
    </row>
    <row r="219" spans="1:5" x14ac:dyDescent="0.3">
      <c r="A219" s="13" t="s">
        <v>1</v>
      </c>
      <c r="B219" s="13" t="s">
        <v>517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224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113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251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2982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2041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1085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319</v>
      </c>
      <c r="C226" s="13">
        <v>1</v>
      </c>
      <c r="D226" s="13">
        <v>1</v>
      </c>
      <c r="E226" s="13">
        <v>2</v>
      </c>
    </row>
    <row r="227" spans="1:5" x14ac:dyDescent="0.3">
      <c r="A227" s="13" t="s">
        <v>1</v>
      </c>
      <c r="B227" s="13" t="s">
        <v>358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737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523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401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572</v>
      </c>
      <c r="C231" s="13">
        <v>2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1099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1543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1093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328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628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770</v>
      </c>
      <c r="C237" s="13">
        <v>2</v>
      </c>
      <c r="D237" s="13">
        <v>1</v>
      </c>
      <c r="E237" s="13">
        <v>2</v>
      </c>
    </row>
    <row r="238" spans="1:5" x14ac:dyDescent="0.3">
      <c r="A238" s="13" t="s">
        <v>1</v>
      </c>
      <c r="B238" s="13" t="s">
        <v>1101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172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528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1081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404</v>
      </c>
      <c r="C242" s="13">
        <v>2</v>
      </c>
      <c r="D242" s="13">
        <v>1</v>
      </c>
      <c r="E242" s="13">
        <v>2</v>
      </c>
    </row>
    <row r="243" spans="1:5" x14ac:dyDescent="0.3">
      <c r="A243" s="13" t="s">
        <v>1</v>
      </c>
      <c r="B243" s="13" t="s">
        <v>837</v>
      </c>
      <c r="C243" s="13">
        <v>1</v>
      </c>
      <c r="D243" s="13">
        <v>1</v>
      </c>
      <c r="E243" s="13">
        <v>2</v>
      </c>
    </row>
    <row r="244" spans="1:5" x14ac:dyDescent="0.3">
      <c r="A244" s="13" t="s">
        <v>1</v>
      </c>
      <c r="B244" s="13" t="s">
        <v>1024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331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700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701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631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2464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2983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902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175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1245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406</v>
      </c>
      <c r="C254" s="13">
        <v>2</v>
      </c>
      <c r="D254" s="13">
        <v>1</v>
      </c>
      <c r="E254" s="13">
        <v>2</v>
      </c>
    </row>
    <row r="255" spans="1:5" x14ac:dyDescent="0.3">
      <c r="A255" s="13" t="s">
        <v>1</v>
      </c>
      <c r="B255" s="13" t="s">
        <v>335</v>
      </c>
      <c r="C255" s="13">
        <v>1</v>
      </c>
      <c r="D255" s="13">
        <v>1</v>
      </c>
      <c r="E255" s="13">
        <v>2</v>
      </c>
    </row>
    <row r="256" spans="1:5" x14ac:dyDescent="0.3">
      <c r="A256" s="13" t="s">
        <v>1</v>
      </c>
      <c r="B256" s="13" t="s">
        <v>290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1192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435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953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1194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709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178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412</v>
      </c>
      <c r="C263" s="13">
        <v>2</v>
      </c>
      <c r="D263" s="13">
        <v>1</v>
      </c>
      <c r="E263" s="13">
        <v>2</v>
      </c>
    </row>
    <row r="264" spans="1:5" x14ac:dyDescent="0.3">
      <c r="A264" s="13" t="s">
        <v>1</v>
      </c>
      <c r="B264" s="13" t="s">
        <v>1044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415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181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456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1246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2094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744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126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184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780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1058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130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197</v>
      </c>
      <c r="C276" s="13">
        <v>1</v>
      </c>
      <c r="D276" s="13">
        <v>1</v>
      </c>
      <c r="E276" s="13">
        <v>2</v>
      </c>
    </row>
    <row r="277" spans="1:5" x14ac:dyDescent="0.3">
      <c r="A277" s="13" t="s">
        <v>1</v>
      </c>
      <c r="B277" s="13" t="s">
        <v>483</v>
      </c>
      <c r="C277" s="13">
        <v>3</v>
      </c>
      <c r="D277" s="13">
        <v>1</v>
      </c>
      <c r="E277" s="13">
        <v>3</v>
      </c>
    </row>
    <row r="278" spans="1:5" x14ac:dyDescent="0.3">
      <c r="A278" s="13" t="s">
        <v>1</v>
      </c>
      <c r="B278" s="13" t="s">
        <v>230</v>
      </c>
      <c r="C278" s="13">
        <v>2</v>
      </c>
      <c r="D278" s="13">
        <v>1</v>
      </c>
      <c r="E278" s="13">
        <v>2</v>
      </c>
    </row>
    <row r="279" spans="1:5" x14ac:dyDescent="0.3">
      <c r="A279" s="13" t="s">
        <v>1</v>
      </c>
      <c r="B279" s="13" t="s">
        <v>1219</v>
      </c>
      <c r="C279" s="13">
        <v>3</v>
      </c>
      <c r="D279" s="13">
        <v>1</v>
      </c>
      <c r="E279" s="13">
        <v>3</v>
      </c>
    </row>
    <row r="280" spans="1:5" x14ac:dyDescent="0.3">
      <c r="A280" s="13" t="s">
        <v>1</v>
      </c>
      <c r="B280" s="13" t="s">
        <v>797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484</v>
      </c>
      <c r="C281" s="13">
        <v>2</v>
      </c>
      <c r="D281" s="13">
        <v>1</v>
      </c>
      <c r="E281" s="13">
        <v>2</v>
      </c>
    </row>
    <row r="282" spans="1:5" x14ac:dyDescent="0.3">
      <c r="A282" s="13" t="s">
        <v>1</v>
      </c>
      <c r="B282" s="13" t="s">
        <v>909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2984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134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370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1605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55</v>
      </c>
      <c r="C287" s="13">
        <v>7</v>
      </c>
      <c r="D287" s="13">
        <v>1</v>
      </c>
      <c r="E287" s="13">
        <v>9</v>
      </c>
    </row>
    <row r="288" spans="1:5" x14ac:dyDescent="0.3">
      <c r="A288" s="13" t="s">
        <v>1</v>
      </c>
      <c r="B288" s="13" t="s">
        <v>640</v>
      </c>
      <c r="C288" s="13">
        <v>3</v>
      </c>
      <c r="D288" s="13">
        <v>1</v>
      </c>
      <c r="E288" s="13">
        <v>4</v>
      </c>
    </row>
    <row r="289" spans="1:5" x14ac:dyDescent="0.3">
      <c r="A289" s="13" t="s">
        <v>1</v>
      </c>
      <c r="B289" s="13" t="s">
        <v>1797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2033</v>
      </c>
      <c r="C290" s="13">
        <v>1</v>
      </c>
      <c r="D290" s="13">
        <v>1</v>
      </c>
      <c r="E290" s="13">
        <v>2</v>
      </c>
    </row>
    <row r="291" spans="1:5" x14ac:dyDescent="0.3">
      <c r="A291" s="13" t="s">
        <v>1</v>
      </c>
      <c r="B291" s="13" t="s">
        <v>979</v>
      </c>
      <c r="C291" s="13">
        <v>1</v>
      </c>
      <c r="D291" s="13">
        <v>1</v>
      </c>
      <c r="E291" s="13">
        <v>2</v>
      </c>
    </row>
    <row r="292" spans="1:5" x14ac:dyDescent="0.3">
      <c r="A292" s="13" t="s">
        <v>1</v>
      </c>
      <c r="B292" s="13" t="s">
        <v>1732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1563</v>
      </c>
      <c r="C293" s="13">
        <v>1</v>
      </c>
      <c r="D293" s="13">
        <v>1</v>
      </c>
      <c r="E293" s="13"/>
    </row>
    <row r="294" spans="1:5" x14ac:dyDescent="0.3">
      <c r="A294" s="13" t="s">
        <v>1</v>
      </c>
      <c r="B294" s="13" t="s">
        <v>259</v>
      </c>
      <c r="C294" s="13">
        <v>1</v>
      </c>
      <c r="D294" s="13">
        <v>1</v>
      </c>
      <c r="E294" s="13">
        <v>2</v>
      </c>
    </row>
    <row r="295" spans="1:5" x14ac:dyDescent="0.3">
      <c r="A295" s="13" t="s">
        <v>1</v>
      </c>
      <c r="B295" s="13" t="s">
        <v>2084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980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2985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1874</v>
      </c>
      <c r="C298" s="13">
        <v>1</v>
      </c>
      <c r="D298" s="13">
        <v>1</v>
      </c>
      <c r="E298" s="13">
        <v>2</v>
      </c>
    </row>
    <row r="299" spans="1:5" x14ac:dyDescent="0.3">
      <c r="A299" s="13" t="s">
        <v>1</v>
      </c>
      <c r="B299" s="13" t="s">
        <v>2986</v>
      </c>
      <c r="C299" s="13">
        <v>1</v>
      </c>
      <c r="D299" s="13">
        <v>1</v>
      </c>
      <c r="E299" s="13">
        <v>2</v>
      </c>
    </row>
    <row r="300" spans="1:5" x14ac:dyDescent="0.3">
      <c r="A300" s="13" t="s">
        <v>1</v>
      </c>
      <c r="B300" s="13" t="s">
        <v>2987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418</v>
      </c>
      <c r="C301" s="13">
        <v>1</v>
      </c>
      <c r="D301" s="13">
        <v>2</v>
      </c>
      <c r="E301" s="13"/>
    </row>
    <row r="302" spans="1:5" x14ac:dyDescent="0.3">
      <c r="A302" s="13" t="s">
        <v>1</v>
      </c>
      <c r="B302" s="13" t="s">
        <v>2988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0</v>
      </c>
      <c r="B303" s="13" t="s">
        <v>1063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0</v>
      </c>
      <c r="B304" s="13" t="s">
        <v>36</v>
      </c>
      <c r="C304" s="13">
        <v>1</v>
      </c>
      <c r="D304" s="13">
        <v>1</v>
      </c>
      <c r="E304" s="13">
        <v>2</v>
      </c>
    </row>
    <row r="305" spans="1:5" x14ac:dyDescent="0.3">
      <c r="A305" s="13" t="s">
        <v>0</v>
      </c>
      <c r="B305" s="13" t="s">
        <v>551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0</v>
      </c>
      <c r="B306" s="13" t="s">
        <v>462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0</v>
      </c>
      <c r="B307" s="13" t="s">
        <v>373</v>
      </c>
      <c r="C307" s="13">
        <v>1</v>
      </c>
      <c r="D307" s="13">
        <v>1</v>
      </c>
      <c r="E307" s="13">
        <v>2</v>
      </c>
    </row>
    <row r="308" spans="1:5" x14ac:dyDescent="0.3">
      <c r="A308" s="13" t="s">
        <v>0</v>
      </c>
      <c r="B308" s="13" t="s">
        <v>470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0</v>
      </c>
      <c r="B309" s="13" t="s">
        <v>241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0</v>
      </c>
      <c r="B310" s="13" t="s">
        <v>809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0</v>
      </c>
      <c r="B311" s="13" t="s">
        <v>671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0</v>
      </c>
      <c r="B312" s="13" t="s">
        <v>264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0</v>
      </c>
      <c r="B313" s="13" t="s">
        <v>1362</v>
      </c>
      <c r="C313" s="13">
        <v>1</v>
      </c>
      <c r="D313" s="13">
        <v>1</v>
      </c>
      <c r="E313" s="13">
        <v>2</v>
      </c>
    </row>
    <row r="314" spans="1:5" x14ac:dyDescent="0.3">
      <c r="A314" s="13" t="s">
        <v>0</v>
      </c>
      <c r="B314" s="13" t="s">
        <v>260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0</v>
      </c>
      <c r="B315" s="13" t="s">
        <v>211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0</v>
      </c>
      <c r="B316" s="13" t="s">
        <v>83</v>
      </c>
      <c r="C316" s="13">
        <v>2</v>
      </c>
      <c r="D316" s="13">
        <v>1</v>
      </c>
      <c r="E316" s="13">
        <v>2</v>
      </c>
    </row>
    <row r="317" spans="1:5" x14ac:dyDescent="0.3">
      <c r="A317" s="13" t="s">
        <v>0</v>
      </c>
      <c r="B317" s="13" t="s">
        <v>1288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0</v>
      </c>
      <c r="B318" s="13" t="s">
        <v>87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0</v>
      </c>
      <c r="B319" s="13" t="s">
        <v>1268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0</v>
      </c>
      <c r="B320" s="13" t="s">
        <v>90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0</v>
      </c>
      <c r="B321" s="13" t="s">
        <v>150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0</v>
      </c>
      <c r="B322" s="13" t="s">
        <v>1162</v>
      </c>
      <c r="C322" s="13">
        <v>1</v>
      </c>
      <c r="D322" s="13">
        <v>1</v>
      </c>
      <c r="E322" s="13">
        <v>2</v>
      </c>
    </row>
    <row r="323" spans="1:5" x14ac:dyDescent="0.3">
      <c r="A323" s="13" t="s">
        <v>0</v>
      </c>
      <c r="B323" s="13" t="s">
        <v>612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0</v>
      </c>
      <c r="B324" s="13" t="s">
        <v>41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0</v>
      </c>
      <c r="B325" s="13" t="s">
        <v>93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0</v>
      </c>
      <c r="B326" s="13" t="s">
        <v>61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0</v>
      </c>
      <c r="B327" s="13" t="s">
        <v>1570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0</v>
      </c>
      <c r="B328" s="13" t="s">
        <v>1645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0</v>
      </c>
      <c r="B329" s="13" t="s">
        <v>1740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0</v>
      </c>
      <c r="B330" s="13" t="s">
        <v>1849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0</v>
      </c>
      <c r="B331" s="13" t="s">
        <v>1926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0</v>
      </c>
      <c r="B332" s="13" t="s">
        <v>1885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0</v>
      </c>
      <c r="B333" s="13" t="s">
        <v>1989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0</v>
      </c>
      <c r="B334" s="13" t="s">
        <v>2179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0</v>
      </c>
      <c r="B335" s="13" t="s">
        <v>2701</v>
      </c>
      <c r="C335" s="13">
        <v>3</v>
      </c>
      <c r="D335" s="13">
        <v>1</v>
      </c>
      <c r="E335" s="13">
        <v>3</v>
      </c>
    </row>
    <row r="336" spans="1:5" x14ac:dyDescent="0.3">
      <c r="A336" s="13" t="s">
        <v>0</v>
      </c>
      <c r="B336" s="13" t="s">
        <v>2949</v>
      </c>
      <c r="C336" s="13">
        <v>5</v>
      </c>
      <c r="D336" s="13">
        <v>1</v>
      </c>
      <c r="E336" s="13">
        <v>8</v>
      </c>
    </row>
    <row r="337" spans="1:5" x14ac:dyDescent="0.3">
      <c r="A337" s="13" t="s">
        <v>0</v>
      </c>
      <c r="B337" s="13" t="s">
        <v>506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0</v>
      </c>
      <c r="B338" s="13" t="s">
        <v>95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0</v>
      </c>
      <c r="B339" s="13" t="s">
        <v>1104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0</v>
      </c>
      <c r="B340" s="13" t="s">
        <v>49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0</v>
      </c>
      <c r="B341" s="13" t="s">
        <v>614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0</v>
      </c>
      <c r="B342" s="13" t="s">
        <v>96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0</v>
      </c>
      <c r="B343" s="13" t="s">
        <v>889</v>
      </c>
      <c r="C343" s="13">
        <v>1</v>
      </c>
      <c r="D343" s="13">
        <v>1</v>
      </c>
      <c r="E343" s="13">
        <v>2</v>
      </c>
    </row>
    <row r="344" spans="1:5" x14ac:dyDescent="0.3">
      <c r="A344" s="13" t="s">
        <v>0</v>
      </c>
      <c r="B344" s="13" t="s">
        <v>509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0</v>
      </c>
      <c r="B345" s="13" t="s">
        <v>2012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0</v>
      </c>
      <c r="B346" s="13" t="s">
        <v>1867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0</v>
      </c>
      <c r="B347" s="13" t="s">
        <v>1034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0</v>
      </c>
      <c r="B348" s="13" t="s">
        <v>1369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0</v>
      </c>
      <c r="B349" s="13" t="s">
        <v>159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0</v>
      </c>
      <c r="B350" s="13" t="s">
        <v>563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0</v>
      </c>
      <c r="B351" s="13" t="s">
        <v>937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0</v>
      </c>
      <c r="B352" s="13" t="s">
        <v>102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0</v>
      </c>
      <c r="B353" s="13" t="s">
        <v>1128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1201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0</v>
      </c>
      <c r="B355" s="13" t="s">
        <v>310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311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162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1094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2989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163</v>
      </c>
      <c r="C360" s="13">
        <v>2</v>
      </c>
      <c r="D360" s="13">
        <v>1</v>
      </c>
      <c r="E360" s="13">
        <v>2</v>
      </c>
    </row>
    <row r="361" spans="1:5" x14ac:dyDescent="0.3">
      <c r="A361" s="13" t="s">
        <v>0</v>
      </c>
      <c r="B361" s="13" t="s">
        <v>276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394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108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793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567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1409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168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1557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1681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2191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1214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2990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223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45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1284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523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1137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360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525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115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329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479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331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2991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46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175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2992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535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744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184</v>
      </c>
      <c r="C390" s="13">
        <v>1</v>
      </c>
      <c r="D390" s="13">
        <v>1</v>
      </c>
      <c r="E390" s="13">
        <v>2</v>
      </c>
    </row>
    <row r="391" spans="1:5" x14ac:dyDescent="0.3">
      <c r="A391" s="13" t="s">
        <v>0</v>
      </c>
      <c r="B391" s="13" t="s">
        <v>2055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129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295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132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797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1119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53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909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190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960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66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39</v>
      </c>
      <c r="C402" s="13">
        <v>1</v>
      </c>
      <c r="D402" s="13">
        <v>1</v>
      </c>
      <c r="E402" s="13">
        <v>2</v>
      </c>
    </row>
    <row r="403" spans="1:5" x14ac:dyDescent="0.3">
      <c r="A403" s="13" t="s">
        <v>0</v>
      </c>
      <c r="B403" s="13" t="s">
        <v>2993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545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2994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1861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2352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2</v>
      </c>
      <c r="B408" s="13" t="s">
        <v>264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2</v>
      </c>
      <c r="B409" s="13" t="s">
        <v>83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2</v>
      </c>
      <c r="B410" s="13" t="s">
        <v>148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2</v>
      </c>
      <c r="B411" s="13" t="s">
        <v>272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2</v>
      </c>
      <c r="B412" s="13" t="s">
        <v>1663</v>
      </c>
      <c r="C412" s="13">
        <v>1</v>
      </c>
      <c r="D412" s="13">
        <v>1</v>
      </c>
      <c r="E412" s="13">
        <v>3</v>
      </c>
    </row>
    <row r="413" spans="1:5" x14ac:dyDescent="0.3">
      <c r="A413" s="13" t="s">
        <v>2</v>
      </c>
      <c r="B413" s="13" t="s">
        <v>1741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2</v>
      </c>
      <c r="B414" s="13" t="s">
        <v>2162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2</v>
      </c>
      <c r="B415" s="13" t="s">
        <v>2869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2</v>
      </c>
      <c r="B416" s="13" t="s">
        <v>506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2</v>
      </c>
      <c r="B417" s="13" t="s">
        <v>35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2</v>
      </c>
      <c r="B418" s="13" t="s">
        <v>258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2</v>
      </c>
      <c r="B419" s="13" t="s">
        <v>311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2</v>
      </c>
      <c r="B420" s="13" t="s">
        <v>109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2</v>
      </c>
      <c r="B421" s="13" t="s">
        <v>111</v>
      </c>
      <c r="C421" s="13">
        <v>1</v>
      </c>
      <c r="D421" s="13">
        <v>1</v>
      </c>
      <c r="E421" s="13">
        <v>2</v>
      </c>
    </row>
    <row r="422" spans="1:5" x14ac:dyDescent="0.3">
      <c r="A422" s="13" t="s">
        <v>2</v>
      </c>
      <c r="B422" s="13" t="s">
        <v>687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2</v>
      </c>
      <c r="B423" s="13" t="s">
        <v>45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2</v>
      </c>
      <c r="B424" s="13" t="s">
        <v>406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2</v>
      </c>
      <c r="B425" s="13" t="s">
        <v>63</v>
      </c>
      <c r="C425" s="13">
        <v>1</v>
      </c>
      <c r="D425" s="13">
        <v>1</v>
      </c>
      <c r="E425" s="13">
        <v>2</v>
      </c>
    </row>
    <row r="426" spans="1:5" x14ac:dyDescent="0.3">
      <c r="A426" s="13" t="s">
        <v>2</v>
      </c>
      <c r="B426" s="13" t="s">
        <v>845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2</v>
      </c>
      <c r="B427" s="13" t="s">
        <v>1454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1</v>
      </c>
      <c r="B428" s="13" t="s">
        <v>137</v>
      </c>
      <c r="C428" s="13">
        <v>1</v>
      </c>
      <c r="D428" s="13">
        <v>0</v>
      </c>
      <c r="E428" s="13">
        <v>1</v>
      </c>
    </row>
    <row r="429" spans="1:5" x14ac:dyDescent="0.3">
      <c r="A429" s="13" t="s">
        <v>1</v>
      </c>
      <c r="B429" s="13" t="s">
        <v>69</v>
      </c>
      <c r="C429" s="13">
        <v>1</v>
      </c>
      <c r="D429" s="13">
        <v>0</v>
      </c>
      <c r="E429" s="13">
        <v>1</v>
      </c>
    </row>
    <row r="430" spans="1:5" x14ac:dyDescent="0.3">
      <c r="A430" s="13" t="s">
        <v>1</v>
      </c>
      <c r="B430" s="13" t="s">
        <v>199</v>
      </c>
      <c r="C430" s="13">
        <v>1</v>
      </c>
      <c r="D430" s="13">
        <v>0</v>
      </c>
      <c r="E430" s="13">
        <v>2</v>
      </c>
    </row>
    <row r="431" spans="1:5" x14ac:dyDescent="0.3">
      <c r="A431" s="13" t="s">
        <v>1</v>
      </c>
      <c r="B431" s="13" t="s">
        <v>261</v>
      </c>
      <c r="C431" s="13">
        <v>1</v>
      </c>
      <c r="D431" s="13">
        <v>0</v>
      </c>
      <c r="E431" s="13">
        <v>1</v>
      </c>
    </row>
    <row r="432" spans="1:5" x14ac:dyDescent="0.3">
      <c r="A432" s="13" t="s">
        <v>1</v>
      </c>
      <c r="B432" s="13" t="s">
        <v>1252</v>
      </c>
      <c r="C432" s="13">
        <v>1</v>
      </c>
      <c r="D432" s="13">
        <v>0</v>
      </c>
      <c r="E432" s="13">
        <v>1</v>
      </c>
    </row>
    <row r="433" spans="1:5" x14ac:dyDescent="0.3">
      <c r="A433" s="13" t="s">
        <v>1</v>
      </c>
      <c r="B433" s="13" t="s">
        <v>752</v>
      </c>
      <c r="C433" s="13">
        <v>1</v>
      </c>
      <c r="D433" s="13">
        <v>0</v>
      </c>
      <c r="E433" s="13">
        <v>1</v>
      </c>
    </row>
    <row r="434" spans="1:5" x14ac:dyDescent="0.3">
      <c r="A434" s="13" t="s">
        <v>1</v>
      </c>
      <c r="B434" s="13" t="s">
        <v>470</v>
      </c>
      <c r="C434" s="13">
        <v>1</v>
      </c>
      <c r="D434" s="13">
        <v>0</v>
      </c>
      <c r="E434" s="13">
        <v>1</v>
      </c>
    </row>
    <row r="435" spans="1:5" x14ac:dyDescent="0.3">
      <c r="A435" s="13" t="s">
        <v>1</v>
      </c>
      <c r="B435" s="13" t="s">
        <v>587</v>
      </c>
      <c r="C435" s="13">
        <v>1</v>
      </c>
      <c r="D435" s="13">
        <v>0</v>
      </c>
      <c r="E435" s="13">
        <v>1</v>
      </c>
    </row>
    <row r="436" spans="1:5" x14ac:dyDescent="0.3">
      <c r="A436" s="13" t="s">
        <v>1</v>
      </c>
      <c r="B436" s="13" t="s">
        <v>241</v>
      </c>
      <c r="C436" s="13">
        <v>1</v>
      </c>
      <c r="D436" s="13">
        <v>0</v>
      </c>
      <c r="E436" s="13">
        <v>1</v>
      </c>
    </row>
    <row r="437" spans="1:5" x14ac:dyDescent="0.3">
      <c r="A437" s="13" t="s">
        <v>1</v>
      </c>
      <c r="B437" s="13" t="s">
        <v>2174</v>
      </c>
      <c r="C437" s="13">
        <v>1</v>
      </c>
      <c r="D437" s="13">
        <v>0</v>
      </c>
      <c r="E437" s="13">
        <v>1</v>
      </c>
    </row>
    <row r="438" spans="1:5" x14ac:dyDescent="0.3">
      <c r="A438" s="13" t="s">
        <v>1</v>
      </c>
      <c r="B438" s="13" t="s">
        <v>74</v>
      </c>
      <c r="C438" s="13">
        <v>1</v>
      </c>
      <c r="D438" s="13">
        <v>0</v>
      </c>
      <c r="E438" s="13">
        <v>1</v>
      </c>
    </row>
    <row r="439" spans="1:5" x14ac:dyDescent="0.3">
      <c r="A439" s="13" t="s">
        <v>1</v>
      </c>
      <c r="B439" s="13" t="s">
        <v>1158</v>
      </c>
      <c r="C439" s="13">
        <v>2</v>
      </c>
      <c r="D439" s="13">
        <v>0</v>
      </c>
      <c r="E439" s="13">
        <v>2</v>
      </c>
    </row>
    <row r="440" spans="1:5" x14ac:dyDescent="0.3">
      <c r="A440" s="13" t="s">
        <v>1</v>
      </c>
      <c r="B440" s="13" t="s">
        <v>265</v>
      </c>
      <c r="C440" s="13">
        <v>1</v>
      </c>
      <c r="D440" s="13">
        <v>0</v>
      </c>
      <c r="E440" s="13">
        <v>1</v>
      </c>
    </row>
    <row r="441" spans="1:5" x14ac:dyDescent="0.3">
      <c r="A441" s="13" t="s">
        <v>1</v>
      </c>
      <c r="B441" s="13" t="s">
        <v>206</v>
      </c>
      <c r="C441" s="13">
        <v>1</v>
      </c>
      <c r="D441" s="13">
        <v>0</v>
      </c>
      <c r="E441" s="13">
        <v>0</v>
      </c>
    </row>
    <row r="442" spans="1:5" x14ac:dyDescent="0.3">
      <c r="A442" s="13" t="s">
        <v>1</v>
      </c>
      <c r="B442" s="13" t="s">
        <v>447</v>
      </c>
      <c r="C442" s="13">
        <v>2</v>
      </c>
      <c r="D442" s="13">
        <v>0</v>
      </c>
      <c r="E442" s="13">
        <v>2</v>
      </c>
    </row>
    <row r="443" spans="1:5" x14ac:dyDescent="0.3">
      <c r="A443" s="13" t="s">
        <v>1</v>
      </c>
      <c r="B443" s="13" t="s">
        <v>1530</v>
      </c>
      <c r="C443" s="13">
        <v>1</v>
      </c>
      <c r="D443" s="13">
        <v>0</v>
      </c>
      <c r="E443" s="13">
        <v>1</v>
      </c>
    </row>
    <row r="444" spans="1:5" x14ac:dyDescent="0.3">
      <c r="A444" s="13" t="s">
        <v>1</v>
      </c>
      <c r="B444" s="13" t="s">
        <v>80</v>
      </c>
      <c r="C444" s="13">
        <v>1</v>
      </c>
      <c r="D444" s="13">
        <v>0</v>
      </c>
      <c r="E444" s="13">
        <v>1</v>
      </c>
    </row>
    <row r="445" spans="1:5" x14ac:dyDescent="0.3">
      <c r="A445" s="13" t="s">
        <v>1</v>
      </c>
      <c r="B445" s="13" t="s">
        <v>269</v>
      </c>
      <c r="C445" s="13">
        <v>1</v>
      </c>
      <c r="D445" s="13">
        <v>0</v>
      </c>
      <c r="E445" s="13">
        <v>1</v>
      </c>
    </row>
    <row r="446" spans="1:5" x14ac:dyDescent="0.3">
      <c r="A446" s="13" t="s">
        <v>1</v>
      </c>
      <c r="B446" s="13" t="s">
        <v>855</v>
      </c>
      <c r="C446" s="13">
        <v>1</v>
      </c>
      <c r="D446" s="13">
        <v>0</v>
      </c>
      <c r="E446" s="13">
        <v>1</v>
      </c>
    </row>
    <row r="447" spans="1:5" x14ac:dyDescent="0.3">
      <c r="A447" s="13" t="s">
        <v>1</v>
      </c>
      <c r="B447" s="13" t="s">
        <v>796</v>
      </c>
      <c r="C447" s="13">
        <v>1</v>
      </c>
      <c r="D447" s="13">
        <v>0</v>
      </c>
      <c r="E447" s="13">
        <v>1</v>
      </c>
    </row>
    <row r="448" spans="1:5" x14ac:dyDescent="0.3">
      <c r="A448" s="13" t="s">
        <v>1</v>
      </c>
      <c r="B448" s="13" t="s">
        <v>83</v>
      </c>
      <c r="C448" s="13">
        <v>2</v>
      </c>
      <c r="D448" s="13">
        <v>0</v>
      </c>
      <c r="E448" s="13">
        <v>2</v>
      </c>
    </row>
    <row r="449" spans="1:5" x14ac:dyDescent="0.3">
      <c r="A449" s="13" t="s">
        <v>1</v>
      </c>
      <c r="B449" s="13" t="s">
        <v>759</v>
      </c>
      <c r="C449" s="13">
        <v>1</v>
      </c>
      <c r="D449" s="13">
        <v>0</v>
      </c>
      <c r="E449" s="13">
        <v>1</v>
      </c>
    </row>
    <row r="450" spans="1:5" x14ac:dyDescent="0.3">
      <c r="A450" s="13" t="s">
        <v>1</v>
      </c>
      <c r="B450" s="13" t="s">
        <v>501</v>
      </c>
      <c r="C450" s="13">
        <v>1</v>
      </c>
      <c r="D450" s="13">
        <v>0</v>
      </c>
      <c r="E450" s="13">
        <v>1</v>
      </c>
    </row>
    <row r="451" spans="1:5" x14ac:dyDescent="0.3">
      <c r="A451" s="13" t="s">
        <v>1</v>
      </c>
      <c r="B451" s="13" t="s">
        <v>84</v>
      </c>
      <c r="C451" s="13">
        <v>1</v>
      </c>
      <c r="D451" s="13">
        <v>0</v>
      </c>
      <c r="E451" s="13">
        <v>2</v>
      </c>
    </row>
    <row r="452" spans="1:5" x14ac:dyDescent="0.3">
      <c r="A452" s="13" t="s">
        <v>1</v>
      </c>
      <c r="B452" s="13" t="s">
        <v>349</v>
      </c>
      <c r="C452" s="13">
        <v>2</v>
      </c>
      <c r="D452" s="13">
        <v>0</v>
      </c>
      <c r="E452" s="13">
        <v>2</v>
      </c>
    </row>
    <row r="453" spans="1:5" x14ac:dyDescent="0.3">
      <c r="A453" s="13" t="s">
        <v>1</v>
      </c>
      <c r="B453" s="13" t="s">
        <v>881</v>
      </c>
      <c r="C453" s="13">
        <v>1</v>
      </c>
      <c r="D453" s="13">
        <v>0</v>
      </c>
      <c r="E453" s="13">
        <v>1</v>
      </c>
    </row>
    <row r="454" spans="1:5" x14ac:dyDescent="0.3">
      <c r="A454" s="13" t="s">
        <v>1</v>
      </c>
      <c r="B454" s="13" t="s">
        <v>464</v>
      </c>
      <c r="C454" s="13">
        <v>2</v>
      </c>
      <c r="D454" s="13">
        <v>0</v>
      </c>
      <c r="E454" s="13">
        <v>2</v>
      </c>
    </row>
    <row r="455" spans="1:5" x14ac:dyDescent="0.3">
      <c r="A455" s="13" t="s">
        <v>1</v>
      </c>
      <c r="B455" s="13" t="s">
        <v>87</v>
      </c>
      <c r="C455" s="13">
        <v>1</v>
      </c>
      <c r="D455" s="13">
        <v>0</v>
      </c>
      <c r="E455" s="13">
        <v>1</v>
      </c>
    </row>
    <row r="456" spans="1:5" x14ac:dyDescent="0.3">
      <c r="A456" s="13" t="s">
        <v>1</v>
      </c>
      <c r="B456" s="13" t="s">
        <v>212</v>
      </c>
      <c r="C456" s="13">
        <v>1</v>
      </c>
      <c r="D456" s="13">
        <v>0</v>
      </c>
      <c r="E456" s="13">
        <v>1</v>
      </c>
    </row>
    <row r="457" spans="1:5" x14ac:dyDescent="0.3">
      <c r="A457" s="13" t="s">
        <v>1</v>
      </c>
      <c r="B457" s="13" t="s">
        <v>914</v>
      </c>
      <c r="C457" s="13">
        <v>1</v>
      </c>
      <c r="D457" s="13">
        <v>0</v>
      </c>
      <c r="E457" s="13">
        <v>1</v>
      </c>
    </row>
    <row r="458" spans="1:5" x14ac:dyDescent="0.3">
      <c r="A458" s="13" t="s">
        <v>1</v>
      </c>
      <c r="B458" s="13" t="s">
        <v>1184</v>
      </c>
      <c r="C458" s="13">
        <v>1</v>
      </c>
      <c r="D458" s="13">
        <v>0</v>
      </c>
      <c r="E458" s="13">
        <v>1</v>
      </c>
    </row>
    <row r="459" spans="1:5" x14ac:dyDescent="0.3">
      <c r="A459" s="13" t="s">
        <v>1</v>
      </c>
      <c r="B459" s="13" t="s">
        <v>805</v>
      </c>
      <c r="C459" s="13">
        <v>1</v>
      </c>
      <c r="D459" s="13">
        <v>0</v>
      </c>
      <c r="E459" s="13">
        <v>1</v>
      </c>
    </row>
    <row r="460" spans="1:5" x14ac:dyDescent="0.3">
      <c r="A460" s="13" t="s">
        <v>1</v>
      </c>
      <c r="B460" s="13" t="s">
        <v>818</v>
      </c>
      <c r="C460" s="13">
        <v>1</v>
      </c>
      <c r="D460" s="13">
        <v>0</v>
      </c>
      <c r="E460" s="13">
        <v>1</v>
      </c>
    </row>
    <row r="461" spans="1:5" x14ac:dyDescent="0.3">
      <c r="A461" s="13" t="s">
        <v>1</v>
      </c>
      <c r="B461" s="13" t="s">
        <v>150</v>
      </c>
      <c r="C461" s="13">
        <v>2</v>
      </c>
      <c r="D461" s="13">
        <v>0</v>
      </c>
      <c r="E461" s="13">
        <v>2</v>
      </c>
    </row>
    <row r="462" spans="1:5" x14ac:dyDescent="0.3">
      <c r="A462" s="13" t="s">
        <v>1</v>
      </c>
      <c r="B462" s="13" t="s">
        <v>2995</v>
      </c>
      <c r="C462" s="13">
        <v>1</v>
      </c>
      <c r="D462" s="13">
        <v>0</v>
      </c>
      <c r="E462" s="13">
        <v>1</v>
      </c>
    </row>
    <row r="463" spans="1:5" x14ac:dyDescent="0.3">
      <c r="A463" s="13" t="s">
        <v>1</v>
      </c>
      <c r="B463" s="13" t="s">
        <v>152</v>
      </c>
      <c r="C463" s="13">
        <v>2</v>
      </c>
      <c r="D463" s="13">
        <v>0</v>
      </c>
      <c r="E463" s="13">
        <v>2</v>
      </c>
    </row>
    <row r="464" spans="1:5" x14ac:dyDescent="0.3">
      <c r="A464" s="13" t="s">
        <v>1</v>
      </c>
      <c r="B464" s="13" t="s">
        <v>677</v>
      </c>
      <c r="C464" s="13">
        <v>1</v>
      </c>
      <c r="D464" s="13">
        <v>0</v>
      </c>
      <c r="E464" s="13">
        <v>1</v>
      </c>
    </row>
    <row r="465" spans="1:5" x14ac:dyDescent="0.3">
      <c r="A465" s="13" t="s">
        <v>1</v>
      </c>
      <c r="B465" s="13" t="s">
        <v>471</v>
      </c>
      <c r="C465" s="13">
        <v>1</v>
      </c>
      <c r="D465" s="13">
        <v>0</v>
      </c>
      <c r="E465" s="13">
        <v>1</v>
      </c>
    </row>
    <row r="466" spans="1:5" x14ac:dyDescent="0.3">
      <c r="A466" s="13" t="s">
        <v>1</v>
      </c>
      <c r="B466" s="13" t="s">
        <v>1419</v>
      </c>
      <c r="C466" s="13">
        <v>1</v>
      </c>
      <c r="D466" s="13">
        <v>0</v>
      </c>
      <c r="E466" s="13">
        <v>2</v>
      </c>
    </row>
    <row r="467" spans="1:5" x14ac:dyDescent="0.3">
      <c r="A467" s="13" t="s">
        <v>1</v>
      </c>
      <c r="B467" s="13" t="s">
        <v>1471</v>
      </c>
      <c r="C467" s="13">
        <v>2</v>
      </c>
      <c r="D467" s="13">
        <v>0</v>
      </c>
      <c r="E467" s="13">
        <v>2</v>
      </c>
    </row>
    <row r="468" spans="1:5" x14ac:dyDescent="0.3">
      <c r="A468" s="13" t="s">
        <v>1</v>
      </c>
      <c r="B468" s="13" t="s">
        <v>1485</v>
      </c>
      <c r="C468" s="13">
        <v>1</v>
      </c>
      <c r="D468" s="13">
        <v>0</v>
      </c>
      <c r="E468" s="13">
        <v>1</v>
      </c>
    </row>
    <row r="469" spans="1:5" x14ac:dyDescent="0.3">
      <c r="A469" s="13" t="s">
        <v>1</v>
      </c>
      <c r="B469" s="13" t="s">
        <v>1518</v>
      </c>
      <c r="C469" s="13">
        <v>1</v>
      </c>
      <c r="D469" s="13">
        <v>0</v>
      </c>
      <c r="E469" s="13">
        <v>1</v>
      </c>
    </row>
    <row r="470" spans="1:5" x14ac:dyDescent="0.3">
      <c r="A470" s="13" t="s">
        <v>1</v>
      </c>
      <c r="B470" s="13" t="s">
        <v>1888</v>
      </c>
      <c r="C470" s="13">
        <v>3</v>
      </c>
      <c r="D470" s="13">
        <v>0</v>
      </c>
      <c r="E470" s="13">
        <v>3</v>
      </c>
    </row>
    <row r="471" spans="1:5" x14ac:dyDescent="0.3">
      <c r="A471" s="13" t="s">
        <v>1</v>
      </c>
      <c r="B471" s="13" t="s">
        <v>1884</v>
      </c>
      <c r="C471" s="13">
        <v>1</v>
      </c>
      <c r="D471" s="13">
        <v>0</v>
      </c>
      <c r="E471" s="13">
        <v>1</v>
      </c>
    </row>
    <row r="472" spans="1:5" x14ac:dyDescent="0.3">
      <c r="A472" s="13" t="s">
        <v>1</v>
      </c>
      <c r="B472" s="13" t="s">
        <v>1989</v>
      </c>
      <c r="C472" s="13">
        <v>1</v>
      </c>
      <c r="D472" s="13">
        <v>0</v>
      </c>
      <c r="E472" s="13">
        <v>1</v>
      </c>
    </row>
    <row r="473" spans="1:5" x14ac:dyDescent="0.3">
      <c r="A473" s="13" t="s">
        <v>1</v>
      </c>
      <c r="B473" s="13" t="s">
        <v>2164</v>
      </c>
      <c r="C473" s="13">
        <v>1</v>
      </c>
      <c r="D473" s="13">
        <v>0</v>
      </c>
      <c r="E473" s="13">
        <v>1</v>
      </c>
    </row>
    <row r="474" spans="1:5" x14ac:dyDescent="0.3">
      <c r="A474" s="13" t="s">
        <v>1</v>
      </c>
      <c r="B474" s="13" t="s">
        <v>2335</v>
      </c>
      <c r="C474" s="13">
        <v>2</v>
      </c>
      <c r="D474" s="13">
        <v>0</v>
      </c>
      <c r="E474" s="13">
        <v>3</v>
      </c>
    </row>
    <row r="475" spans="1:5" x14ac:dyDescent="0.3">
      <c r="A475" s="13" t="s">
        <v>1</v>
      </c>
      <c r="B475" s="13" t="s">
        <v>2425</v>
      </c>
      <c r="C475" s="13">
        <v>2</v>
      </c>
      <c r="D475" s="13">
        <v>0</v>
      </c>
      <c r="E475" s="13">
        <v>1</v>
      </c>
    </row>
    <row r="476" spans="1:5" x14ac:dyDescent="0.3">
      <c r="A476" s="13" t="s">
        <v>1</v>
      </c>
      <c r="B476" s="13" t="s">
        <v>2735</v>
      </c>
      <c r="C476" s="13">
        <v>3</v>
      </c>
      <c r="D476" s="13">
        <v>0</v>
      </c>
      <c r="E476" s="13">
        <v>3</v>
      </c>
    </row>
    <row r="477" spans="1:5" x14ac:dyDescent="0.3">
      <c r="A477" s="13" t="s">
        <v>1</v>
      </c>
      <c r="B477" s="13" t="s">
        <v>2972</v>
      </c>
      <c r="C477" s="13">
        <v>3</v>
      </c>
      <c r="D477" s="13">
        <v>0</v>
      </c>
      <c r="E477" s="13">
        <v>5</v>
      </c>
    </row>
    <row r="478" spans="1:5" x14ac:dyDescent="0.3">
      <c r="A478" s="13" t="s">
        <v>1</v>
      </c>
      <c r="B478" s="13" t="s">
        <v>2996</v>
      </c>
      <c r="C478" s="13">
        <v>1</v>
      </c>
      <c r="D478" s="13">
        <v>0</v>
      </c>
      <c r="E478" s="13">
        <v>1</v>
      </c>
    </row>
    <row r="479" spans="1:5" x14ac:dyDescent="0.3">
      <c r="A479" s="13" t="s">
        <v>1</v>
      </c>
      <c r="B479" s="13" t="s">
        <v>154</v>
      </c>
      <c r="C479" s="13">
        <v>2</v>
      </c>
      <c r="D479" s="13">
        <v>0</v>
      </c>
      <c r="E479" s="13">
        <v>1</v>
      </c>
    </row>
    <row r="480" spans="1:5" x14ac:dyDescent="0.3">
      <c r="A480" s="13" t="s">
        <v>1</v>
      </c>
      <c r="B480" s="13" t="s">
        <v>426</v>
      </c>
      <c r="C480" s="13">
        <v>1</v>
      </c>
      <c r="D480" s="13">
        <v>0</v>
      </c>
      <c r="E480" s="13">
        <v>1</v>
      </c>
    </row>
    <row r="481" spans="1:5" x14ac:dyDescent="0.3">
      <c r="A481" s="13" t="s">
        <v>1</v>
      </c>
      <c r="B481" s="13" t="s">
        <v>505</v>
      </c>
      <c r="C481" s="13">
        <v>1</v>
      </c>
      <c r="D481" s="13">
        <v>0</v>
      </c>
      <c r="E481" s="13">
        <v>1</v>
      </c>
    </row>
    <row r="482" spans="1:5" x14ac:dyDescent="0.3">
      <c r="A482" s="13" t="s">
        <v>1</v>
      </c>
      <c r="B482" s="13" t="s">
        <v>507</v>
      </c>
      <c r="C482" s="13">
        <v>1</v>
      </c>
      <c r="D482" s="13">
        <v>0</v>
      </c>
      <c r="E482" s="13">
        <v>1</v>
      </c>
    </row>
    <row r="483" spans="1:5" x14ac:dyDescent="0.3">
      <c r="A483" s="13" t="s">
        <v>1</v>
      </c>
      <c r="B483" s="13" t="s">
        <v>932</v>
      </c>
      <c r="C483" s="13">
        <v>1</v>
      </c>
      <c r="D483" s="13">
        <v>0</v>
      </c>
      <c r="E483" s="13">
        <v>1</v>
      </c>
    </row>
    <row r="484" spans="1:5" x14ac:dyDescent="0.3">
      <c r="A484" s="13" t="s">
        <v>1</v>
      </c>
      <c r="B484" s="13" t="s">
        <v>1452</v>
      </c>
      <c r="C484" s="13">
        <v>1</v>
      </c>
      <c r="D484" s="13">
        <v>0</v>
      </c>
      <c r="E484" s="13">
        <v>0</v>
      </c>
    </row>
    <row r="485" spans="1:5" x14ac:dyDescent="0.3">
      <c r="A485" s="13" t="s">
        <v>1</v>
      </c>
      <c r="B485" s="13" t="s">
        <v>889</v>
      </c>
      <c r="C485" s="13">
        <v>1</v>
      </c>
      <c r="D485" s="13">
        <v>0</v>
      </c>
      <c r="E485" s="13">
        <v>1</v>
      </c>
    </row>
    <row r="486" spans="1:5" x14ac:dyDescent="0.3">
      <c r="A486" s="13" t="s">
        <v>1</v>
      </c>
      <c r="B486" s="13" t="s">
        <v>1176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561</v>
      </c>
      <c r="C487" s="13">
        <v>1</v>
      </c>
      <c r="D487" s="13">
        <v>0</v>
      </c>
      <c r="E487" s="13">
        <v>1</v>
      </c>
    </row>
    <row r="488" spans="1:5" x14ac:dyDescent="0.3">
      <c r="A488" s="13" t="s">
        <v>1</v>
      </c>
      <c r="B488" s="13" t="s">
        <v>101</v>
      </c>
      <c r="C488" s="13">
        <v>1</v>
      </c>
      <c r="D488" s="13">
        <v>0</v>
      </c>
      <c r="E488" s="13">
        <v>2</v>
      </c>
    </row>
    <row r="489" spans="1:5" x14ac:dyDescent="0.3">
      <c r="A489" s="13" t="s">
        <v>1</v>
      </c>
      <c r="B489" s="13" t="s">
        <v>1164</v>
      </c>
      <c r="C489" s="13">
        <v>1</v>
      </c>
      <c r="D489" s="13">
        <v>0</v>
      </c>
      <c r="E489" s="13">
        <v>1</v>
      </c>
    </row>
    <row r="490" spans="1:5" x14ac:dyDescent="0.3">
      <c r="A490" s="13" t="s">
        <v>1</v>
      </c>
      <c r="B490" s="13" t="s">
        <v>1611</v>
      </c>
      <c r="C490" s="13">
        <v>1</v>
      </c>
      <c r="D490" s="13">
        <v>0</v>
      </c>
      <c r="E490" s="13">
        <v>0</v>
      </c>
    </row>
    <row r="491" spans="1:5" x14ac:dyDescent="0.3">
      <c r="A491" s="13" t="s">
        <v>1</v>
      </c>
      <c r="B491" s="13" t="s">
        <v>1095</v>
      </c>
      <c r="C491" s="13">
        <v>1</v>
      </c>
      <c r="D491" s="13">
        <v>0</v>
      </c>
      <c r="E491" s="13">
        <v>1</v>
      </c>
    </row>
    <row r="492" spans="1:5" x14ac:dyDescent="0.3">
      <c r="A492" s="13" t="s">
        <v>1</v>
      </c>
      <c r="B492" s="13" t="s">
        <v>1072</v>
      </c>
      <c r="C492" s="13">
        <v>1</v>
      </c>
      <c r="D492" s="13">
        <v>0</v>
      </c>
      <c r="E492" s="13">
        <v>1</v>
      </c>
    </row>
    <row r="493" spans="1:5" x14ac:dyDescent="0.3">
      <c r="A493" s="13" t="s">
        <v>1</v>
      </c>
      <c r="B493" s="13" t="s">
        <v>50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2153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2997</v>
      </c>
      <c r="C495" s="13">
        <v>1</v>
      </c>
      <c r="D495" s="13">
        <v>0</v>
      </c>
      <c r="E495" s="13">
        <v>2</v>
      </c>
    </row>
    <row r="496" spans="1:5" x14ac:dyDescent="0.3">
      <c r="A496" s="13" t="s">
        <v>1</v>
      </c>
      <c r="B496" s="13" t="s">
        <v>2998</v>
      </c>
      <c r="C496" s="13">
        <v>1</v>
      </c>
      <c r="D496" s="13">
        <v>0</v>
      </c>
      <c r="E496" s="13">
        <v>1</v>
      </c>
    </row>
    <row r="497" spans="1:5" x14ac:dyDescent="0.3">
      <c r="A497" s="13" t="s">
        <v>1</v>
      </c>
      <c r="B497" s="13" t="s">
        <v>1806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1167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315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1056</v>
      </c>
      <c r="C500" s="13">
        <v>1</v>
      </c>
      <c r="D500" s="13">
        <v>0</v>
      </c>
      <c r="E500" s="13">
        <v>0</v>
      </c>
    </row>
    <row r="501" spans="1:5" x14ac:dyDescent="0.3">
      <c r="A501" s="13" t="s">
        <v>1</v>
      </c>
      <c r="B501" s="13" t="s">
        <v>2430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2999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524</v>
      </c>
      <c r="C503" s="13">
        <v>1</v>
      </c>
      <c r="D503" s="13">
        <v>0</v>
      </c>
      <c r="E503" s="13">
        <v>1</v>
      </c>
    </row>
    <row r="504" spans="1:5" x14ac:dyDescent="0.3">
      <c r="A504" s="13" t="s">
        <v>1</v>
      </c>
      <c r="B504" s="13" t="s">
        <v>768</v>
      </c>
      <c r="C504" s="13">
        <v>1</v>
      </c>
      <c r="D504" s="13">
        <v>0</v>
      </c>
      <c r="E504" s="13">
        <v>3</v>
      </c>
    </row>
    <row r="505" spans="1:5" x14ac:dyDescent="0.3">
      <c r="A505" s="13" t="s">
        <v>1</v>
      </c>
      <c r="B505" s="13" t="s">
        <v>403</v>
      </c>
      <c r="C505" s="13">
        <v>1</v>
      </c>
      <c r="D505" s="13">
        <v>0</v>
      </c>
      <c r="E505" s="13">
        <v>2</v>
      </c>
    </row>
    <row r="506" spans="1:5" x14ac:dyDescent="0.3">
      <c r="A506" s="13" t="s">
        <v>1</v>
      </c>
      <c r="B506" s="13" t="s">
        <v>3000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1292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836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479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1241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1140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2314</v>
      </c>
      <c r="C512" s="13">
        <v>1</v>
      </c>
      <c r="D512" s="13">
        <v>0</v>
      </c>
      <c r="E512" s="13">
        <v>1</v>
      </c>
    </row>
    <row r="513" spans="1:5" x14ac:dyDescent="0.3">
      <c r="A513" s="13" t="s">
        <v>1</v>
      </c>
      <c r="B513" s="13" t="s">
        <v>434</v>
      </c>
      <c r="C513" s="13">
        <v>1</v>
      </c>
      <c r="D513" s="13">
        <v>0</v>
      </c>
      <c r="E513" s="13">
        <v>0</v>
      </c>
    </row>
    <row r="514" spans="1:5" x14ac:dyDescent="0.3">
      <c r="A514" s="13" t="s">
        <v>1</v>
      </c>
      <c r="B514" s="13" t="s">
        <v>1076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119</v>
      </c>
      <c r="C515" s="13">
        <v>1</v>
      </c>
      <c r="D515" s="13">
        <v>0</v>
      </c>
      <c r="E515" s="13">
        <v>2</v>
      </c>
    </row>
    <row r="516" spans="1:5" x14ac:dyDescent="0.3">
      <c r="A516" s="13" t="s">
        <v>1</v>
      </c>
      <c r="B516" s="13" t="s">
        <v>1742</v>
      </c>
      <c r="C516" s="13">
        <v>1</v>
      </c>
      <c r="D516" s="13">
        <v>0</v>
      </c>
      <c r="E516" s="13">
        <v>0</v>
      </c>
    </row>
    <row r="517" spans="1:5" x14ac:dyDescent="0.3">
      <c r="A517" s="13" t="s">
        <v>1</v>
      </c>
      <c r="B517" s="13" t="s">
        <v>2316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702</v>
      </c>
      <c r="C518" s="13">
        <v>1</v>
      </c>
      <c r="D518" s="13">
        <v>0</v>
      </c>
      <c r="E518" s="13">
        <v>3</v>
      </c>
    </row>
    <row r="519" spans="1:5" x14ac:dyDescent="0.3">
      <c r="A519" s="13" t="s">
        <v>1</v>
      </c>
      <c r="B519" s="13" t="s">
        <v>46</v>
      </c>
      <c r="C519" s="13">
        <v>1</v>
      </c>
      <c r="D519" s="13">
        <v>0</v>
      </c>
      <c r="E519" s="13">
        <v>1</v>
      </c>
    </row>
    <row r="520" spans="1:5" x14ac:dyDescent="0.3">
      <c r="A520" s="13" t="s">
        <v>1</v>
      </c>
      <c r="B520" s="13" t="s">
        <v>530</v>
      </c>
      <c r="C520" s="13">
        <v>1</v>
      </c>
      <c r="D520" s="13">
        <v>0</v>
      </c>
      <c r="E520" s="13">
        <v>2</v>
      </c>
    </row>
    <row r="521" spans="1:5" x14ac:dyDescent="0.3">
      <c r="A521" s="13" t="s">
        <v>1</v>
      </c>
      <c r="B521" s="13" t="s">
        <v>838</v>
      </c>
      <c r="C521" s="13">
        <v>1</v>
      </c>
      <c r="D521" s="13">
        <v>0</v>
      </c>
      <c r="E521" s="13">
        <v>2</v>
      </c>
    </row>
    <row r="522" spans="1:5" x14ac:dyDescent="0.3">
      <c r="A522" s="13" t="s">
        <v>1</v>
      </c>
      <c r="B522" s="13" t="s">
        <v>2247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531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1692</v>
      </c>
      <c r="C524" s="13">
        <v>1</v>
      </c>
      <c r="D524" s="13">
        <v>0</v>
      </c>
      <c r="E524" s="13">
        <v>2</v>
      </c>
    </row>
    <row r="525" spans="1:5" x14ac:dyDescent="0.3">
      <c r="A525" s="13" t="s">
        <v>1</v>
      </c>
      <c r="B525" s="13" t="s">
        <v>1092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3001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1314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751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2743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364</v>
      </c>
      <c r="C530" s="13">
        <v>1</v>
      </c>
      <c r="D530" s="13">
        <v>0</v>
      </c>
      <c r="E530" s="13">
        <v>4</v>
      </c>
    </row>
    <row r="531" spans="1:5" x14ac:dyDescent="0.3">
      <c r="A531" s="13" t="s">
        <v>1</v>
      </c>
      <c r="B531" s="13" t="s">
        <v>1781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533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1169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1195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1749</v>
      </c>
      <c r="C535" s="13">
        <v>1</v>
      </c>
      <c r="D535" s="13">
        <v>0</v>
      </c>
      <c r="E535" s="13">
        <v>2</v>
      </c>
    </row>
    <row r="536" spans="1:5" x14ac:dyDescent="0.3">
      <c r="A536" s="13" t="s">
        <v>1</v>
      </c>
      <c r="B536" s="13" t="s">
        <v>776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1306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777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185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131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747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540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188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803</v>
      </c>
      <c r="C544" s="13">
        <v>1</v>
      </c>
      <c r="D544" s="13">
        <v>0</v>
      </c>
      <c r="E544" s="13">
        <v>0</v>
      </c>
    </row>
    <row r="545" spans="1:5" x14ac:dyDescent="0.3">
      <c r="A545" s="13" t="s">
        <v>1</v>
      </c>
      <c r="B545" s="13" t="s">
        <v>1059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784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190</v>
      </c>
      <c r="C547" s="13">
        <v>1</v>
      </c>
      <c r="D547" s="13">
        <v>0</v>
      </c>
      <c r="E547" s="13">
        <v>0</v>
      </c>
    </row>
    <row r="548" spans="1:5" x14ac:dyDescent="0.3">
      <c r="A548" s="13" t="s">
        <v>1</v>
      </c>
      <c r="B548" s="13" t="s">
        <v>1277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3002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231</v>
      </c>
      <c r="C550" s="13">
        <v>5</v>
      </c>
      <c r="D550" s="13">
        <v>0</v>
      </c>
      <c r="E550" s="13">
        <v>9</v>
      </c>
    </row>
    <row r="551" spans="1:5" x14ac:dyDescent="0.3">
      <c r="A551" s="13" t="s">
        <v>1</v>
      </c>
      <c r="B551" s="13" t="s">
        <v>232</v>
      </c>
      <c r="C551" s="13">
        <v>2</v>
      </c>
      <c r="D551" s="13">
        <v>0</v>
      </c>
      <c r="E551" s="13">
        <v>2</v>
      </c>
    </row>
    <row r="552" spans="1:5" x14ac:dyDescent="0.3">
      <c r="A552" s="13" t="s">
        <v>1</v>
      </c>
      <c r="B552" s="13" t="s">
        <v>460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67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192</v>
      </c>
      <c r="C554" s="13">
        <v>3</v>
      </c>
      <c r="D554" s="13">
        <v>0</v>
      </c>
      <c r="E554" s="13">
        <v>3</v>
      </c>
    </row>
    <row r="555" spans="1:5" x14ac:dyDescent="0.3">
      <c r="A555" s="13" t="s">
        <v>1</v>
      </c>
      <c r="B555" s="13" t="s">
        <v>39</v>
      </c>
      <c r="C555" s="13">
        <v>3</v>
      </c>
      <c r="D555" s="13">
        <v>0</v>
      </c>
      <c r="E555" s="13">
        <v>3</v>
      </c>
    </row>
    <row r="556" spans="1:5" x14ac:dyDescent="0.3">
      <c r="A556" s="13" t="s">
        <v>1</v>
      </c>
      <c r="B556" s="13" t="s">
        <v>233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234</v>
      </c>
      <c r="C557" s="13">
        <v>2</v>
      </c>
      <c r="D557" s="13">
        <v>0</v>
      </c>
      <c r="E557" s="13">
        <v>2</v>
      </c>
    </row>
    <row r="558" spans="1:5" x14ac:dyDescent="0.3">
      <c r="A558" s="13" t="s">
        <v>1</v>
      </c>
      <c r="B558" s="13" t="s">
        <v>235</v>
      </c>
      <c r="C558" s="13">
        <v>1</v>
      </c>
      <c r="D558" s="13">
        <v>0</v>
      </c>
      <c r="E558" s="13">
        <v>2</v>
      </c>
    </row>
    <row r="559" spans="1:5" x14ac:dyDescent="0.3">
      <c r="A559" s="13" t="s">
        <v>1</v>
      </c>
      <c r="B559" s="13" t="s">
        <v>639</v>
      </c>
      <c r="C559" s="13">
        <v>2</v>
      </c>
      <c r="D559" s="13">
        <v>0</v>
      </c>
      <c r="E559" s="13">
        <v>2</v>
      </c>
    </row>
    <row r="560" spans="1:5" x14ac:dyDescent="0.3">
      <c r="A560" s="13" t="s">
        <v>1</v>
      </c>
      <c r="B560" s="13" t="s">
        <v>236</v>
      </c>
      <c r="C560" s="13">
        <v>5</v>
      </c>
      <c r="D560" s="13">
        <v>0</v>
      </c>
      <c r="E560" s="13">
        <v>5</v>
      </c>
    </row>
    <row r="561" spans="1:5" x14ac:dyDescent="0.3">
      <c r="A561" s="13" t="s">
        <v>1</v>
      </c>
      <c r="B561" s="13" t="s">
        <v>371</v>
      </c>
      <c r="C561" s="13">
        <v>2</v>
      </c>
      <c r="D561" s="13">
        <v>0</v>
      </c>
      <c r="E561" s="13">
        <v>2</v>
      </c>
    </row>
    <row r="562" spans="1:5" x14ac:dyDescent="0.3">
      <c r="A562" s="13" t="s">
        <v>1</v>
      </c>
      <c r="B562" s="13" t="s">
        <v>366</v>
      </c>
      <c r="C562" s="13">
        <v>2</v>
      </c>
      <c r="D562" s="13">
        <v>0</v>
      </c>
      <c r="E562" s="13">
        <v>4</v>
      </c>
    </row>
    <row r="563" spans="1:5" x14ac:dyDescent="0.3">
      <c r="A563" s="13" t="s">
        <v>1</v>
      </c>
      <c r="B563" s="13" t="s">
        <v>461</v>
      </c>
      <c r="C563" s="13">
        <v>2</v>
      </c>
      <c r="D563" s="13">
        <v>0</v>
      </c>
      <c r="E563" s="13">
        <v>3</v>
      </c>
    </row>
    <row r="564" spans="1:5" x14ac:dyDescent="0.3">
      <c r="A564" s="13" t="s">
        <v>1</v>
      </c>
      <c r="B564" s="13" t="s">
        <v>2333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718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848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1662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237</v>
      </c>
      <c r="C568" s="13">
        <v>1</v>
      </c>
      <c r="D568" s="13">
        <v>0</v>
      </c>
      <c r="E568" s="13">
        <v>12</v>
      </c>
    </row>
    <row r="569" spans="1:5" x14ac:dyDescent="0.3">
      <c r="A569" s="13" t="s">
        <v>1</v>
      </c>
      <c r="B569" s="13" t="s">
        <v>1321</v>
      </c>
      <c r="C569" s="13">
        <v>1</v>
      </c>
      <c r="D569" s="13">
        <v>0</v>
      </c>
      <c r="E569" s="13">
        <v>2</v>
      </c>
    </row>
    <row r="570" spans="1:5" x14ac:dyDescent="0.3">
      <c r="A570" s="13" t="s">
        <v>1</v>
      </c>
      <c r="B570" s="13" t="s">
        <v>2351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644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964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0</v>
      </c>
      <c r="B573" s="13" t="s">
        <v>670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0</v>
      </c>
      <c r="B574" s="13" t="s">
        <v>205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0</v>
      </c>
      <c r="B575" s="13" t="s">
        <v>497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0</v>
      </c>
      <c r="B576" s="13" t="s">
        <v>210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0</v>
      </c>
      <c r="B577" s="13" t="s">
        <v>349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0</v>
      </c>
      <c r="B578" s="13" t="s">
        <v>351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0</v>
      </c>
      <c r="B579" s="13" t="s">
        <v>817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0</v>
      </c>
      <c r="B580" s="13" t="s">
        <v>91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0</v>
      </c>
      <c r="B581" s="13" t="s">
        <v>94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0</v>
      </c>
      <c r="B582" s="13" t="s">
        <v>471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0</v>
      </c>
      <c r="B583" s="13" t="s">
        <v>1882</v>
      </c>
      <c r="C583" s="13">
        <v>1</v>
      </c>
      <c r="D583" s="13">
        <v>0</v>
      </c>
      <c r="E583" s="13">
        <v>2</v>
      </c>
    </row>
    <row r="584" spans="1:5" x14ac:dyDescent="0.3">
      <c r="A584" s="13" t="s">
        <v>0</v>
      </c>
      <c r="B584" s="13" t="s">
        <v>2408</v>
      </c>
      <c r="C584" s="13">
        <v>2</v>
      </c>
      <c r="D584" s="13">
        <v>0</v>
      </c>
      <c r="E584" s="13">
        <v>2</v>
      </c>
    </row>
    <row r="585" spans="1:5" x14ac:dyDescent="0.3">
      <c r="A585" s="13" t="s">
        <v>0</v>
      </c>
      <c r="B585" s="13" t="s">
        <v>2762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0</v>
      </c>
      <c r="B586" s="13" t="s">
        <v>2972</v>
      </c>
      <c r="C586" s="13">
        <v>4</v>
      </c>
      <c r="D586" s="13">
        <v>0</v>
      </c>
      <c r="E586" s="13">
        <v>12</v>
      </c>
    </row>
    <row r="587" spans="1:5" x14ac:dyDescent="0.3">
      <c r="A587" s="13" t="s">
        <v>0</v>
      </c>
      <c r="B587" s="13" t="s">
        <v>1301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0</v>
      </c>
      <c r="B588" s="13" t="s">
        <v>3003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0</v>
      </c>
      <c r="B589" s="13" t="s">
        <v>429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0</v>
      </c>
      <c r="B590" s="13" t="s">
        <v>2390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0</v>
      </c>
      <c r="B591" s="13" t="s">
        <v>619</v>
      </c>
      <c r="C591" s="13">
        <v>1</v>
      </c>
      <c r="D591" s="13">
        <v>0</v>
      </c>
      <c r="E591" s="13">
        <v>17</v>
      </c>
    </row>
    <row r="592" spans="1:5" x14ac:dyDescent="0.3">
      <c r="A592" s="13" t="s">
        <v>0</v>
      </c>
      <c r="B592" s="13" t="s">
        <v>111</v>
      </c>
      <c r="C592" s="13">
        <v>2</v>
      </c>
      <c r="D592" s="13">
        <v>0</v>
      </c>
      <c r="E592" s="13">
        <v>2</v>
      </c>
    </row>
    <row r="593" spans="1:5" x14ac:dyDescent="0.3">
      <c r="A593" s="13" t="s">
        <v>0</v>
      </c>
      <c r="B593" s="13" t="s">
        <v>112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0</v>
      </c>
      <c r="B594" s="13" t="s">
        <v>1757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0</v>
      </c>
      <c r="B595" s="13" t="s">
        <v>280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0</v>
      </c>
      <c r="B596" s="13" t="s">
        <v>2068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0</v>
      </c>
      <c r="B597" s="13" t="s">
        <v>326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0</v>
      </c>
      <c r="B598" s="13" t="s">
        <v>334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0</v>
      </c>
      <c r="B599" s="13" t="s">
        <v>574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0</v>
      </c>
      <c r="B600" s="13" t="s">
        <v>185</v>
      </c>
      <c r="C600" s="13">
        <v>1</v>
      </c>
      <c r="D600" s="13">
        <v>0</v>
      </c>
      <c r="E600" s="13">
        <v>3</v>
      </c>
    </row>
    <row r="601" spans="1:5" x14ac:dyDescent="0.3">
      <c r="A601" s="13" t="s">
        <v>0</v>
      </c>
      <c r="B601" s="13" t="s">
        <v>784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0</v>
      </c>
      <c r="B602" s="13" t="s">
        <v>192</v>
      </c>
      <c r="C602" s="13">
        <v>2</v>
      </c>
      <c r="D602" s="13">
        <v>0</v>
      </c>
      <c r="E602" s="13">
        <v>2</v>
      </c>
    </row>
    <row r="603" spans="1:5" x14ac:dyDescent="0.3">
      <c r="A603" s="13" t="s">
        <v>0</v>
      </c>
      <c r="B603" s="13" t="s">
        <v>234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0</v>
      </c>
      <c r="B604" s="13" t="s">
        <v>135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0</v>
      </c>
      <c r="B605" s="13" t="s">
        <v>2761</v>
      </c>
      <c r="C605" s="13">
        <v>1</v>
      </c>
      <c r="D605" s="13">
        <v>0</v>
      </c>
      <c r="E605" s="13">
        <v>3</v>
      </c>
    </row>
    <row r="606" spans="1:5" x14ac:dyDescent="0.3">
      <c r="A606" s="13" t="s">
        <v>0</v>
      </c>
      <c r="B606" s="13" t="s">
        <v>1589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0</v>
      </c>
      <c r="B607" s="13" t="s">
        <v>1673</v>
      </c>
      <c r="C607" s="13">
        <v>2</v>
      </c>
      <c r="D607" s="13">
        <v>0</v>
      </c>
      <c r="E607" s="13">
        <v>3</v>
      </c>
    </row>
    <row r="608" spans="1:5" x14ac:dyDescent="0.3">
      <c r="A608" s="13" t="s">
        <v>0</v>
      </c>
      <c r="B608" s="13" t="s">
        <v>1428</v>
      </c>
      <c r="C608" s="13">
        <v>0</v>
      </c>
      <c r="D608" s="13">
        <v>1</v>
      </c>
      <c r="E608" s="13"/>
    </row>
    <row r="609" spans="1:5" x14ac:dyDescent="0.3">
      <c r="A609" s="13" t="s">
        <v>0</v>
      </c>
      <c r="B609" s="13" t="s">
        <v>3004</v>
      </c>
      <c r="C609" s="13">
        <v>0</v>
      </c>
      <c r="D609" s="13">
        <v>1</v>
      </c>
      <c r="E609" s="13"/>
    </row>
    <row r="610" spans="1:5" x14ac:dyDescent="0.3">
      <c r="A610" s="13" t="s">
        <v>0</v>
      </c>
      <c r="B610" s="13" t="s">
        <v>3005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0</v>
      </c>
      <c r="B611" s="13" t="s">
        <v>32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2</v>
      </c>
      <c r="B612" s="13" t="s">
        <v>151</v>
      </c>
      <c r="C612" s="13">
        <v>1</v>
      </c>
      <c r="D612" s="13">
        <v>0</v>
      </c>
      <c r="E612" s="13">
        <v>2</v>
      </c>
    </row>
    <row r="613" spans="1:5" x14ac:dyDescent="0.3">
      <c r="A613" s="13" t="s">
        <v>2</v>
      </c>
      <c r="B613" s="13" t="s">
        <v>231</v>
      </c>
      <c r="C613" s="13">
        <v>1</v>
      </c>
      <c r="D613" s="13">
        <v>0</v>
      </c>
      <c r="E613" s="13">
        <v>1</v>
      </c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5679C-9E21-4BC4-B9B5-635BCB3A48EF}">
  <sheetPr codeName="Sheet62"/>
  <dimension ref="A1:M620"/>
  <sheetViews>
    <sheetView workbookViewId="0">
      <selection activeCell="Y24" sqref="Y24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135</v>
      </c>
      <c r="C2" s="13">
        <v>50</v>
      </c>
      <c r="D2" s="13">
        <v>48</v>
      </c>
      <c r="E2" s="13">
        <v>49</v>
      </c>
    </row>
    <row r="3" spans="1:13" customFormat="1" x14ac:dyDescent="0.3">
      <c r="A3" s="13" t="s">
        <v>0</v>
      </c>
      <c r="B3" s="13" t="s">
        <v>29</v>
      </c>
      <c r="C3" s="13">
        <v>36</v>
      </c>
      <c r="D3" s="13">
        <v>36</v>
      </c>
      <c r="E3" s="13">
        <v>41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17</v>
      </c>
      <c r="D4" s="13">
        <v>12</v>
      </c>
      <c r="E4" s="13">
        <v>20</v>
      </c>
      <c r="G4" s="19" t="s">
        <v>8</v>
      </c>
      <c r="H4" s="15">
        <f>H13+H14</f>
        <v>299</v>
      </c>
      <c r="I4" s="16">
        <f>H4/H$6</f>
        <v>0.50592216582064298</v>
      </c>
      <c r="J4" s="15">
        <f>I13+I14</f>
        <v>234</v>
      </c>
      <c r="K4" s="16">
        <f>J4/J$6</f>
        <v>0.46893787575150303</v>
      </c>
      <c r="L4" s="15">
        <f>J13+J14</f>
        <v>324</v>
      </c>
      <c r="M4" s="25">
        <f>L4/L$6</f>
        <v>0.50704225352112675</v>
      </c>
    </row>
    <row r="5" spans="1:13" customFormat="1" x14ac:dyDescent="0.3">
      <c r="A5" s="13" t="s">
        <v>0</v>
      </c>
      <c r="B5" s="13" t="s">
        <v>354</v>
      </c>
      <c r="C5" s="13">
        <v>12</v>
      </c>
      <c r="D5" s="13">
        <v>12</v>
      </c>
      <c r="E5" s="13">
        <v>12</v>
      </c>
      <c r="G5" s="19" t="s">
        <v>10</v>
      </c>
      <c r="H5" s="15">
        <f>H15+H16</f>
        <v>292</v>
      </c>
      <c r="I5" s="16">
        <f>H5/H$6</f>
        <v>0.49407783417935702</v>
      </c>
      <c r="J5" s="15">
        <f>I15+I16</f>
        <v>265</v>
      </c>
      <c r="K5" s="16">
        <f>J5/J$6</f>
        <v>0.53106212424849697</v>
      </c>
      <c r="L5" s="15">
        <f>J15+J16</f>
        <v>315</v>
      </c>
      <c r="M5" s="25">
        <f>L5/L$6</f>
        <v>0.49295774647887325</v>
      </c>
    </row>
    <row r="6" spans="1:13" customFormat="1" ht="17.25" thickBot="1" x14ac:dyDescent="0.35">
      <c r="A6" s="13" t="s">
        <v>0</v>
      </c>
      <c r="B6" s="13" t="s">
        <v>31</v>
      </c>
      <c r="C6" s="13">
        <v>12</v>
      </c>
      <c r="D6" s="13">
        <v>11</v>
      </c>
      <c r="E6" s="13">
        <v>13</v>
      </c>
      <c r="G6" s="22"/>
      <c r="H6" s="26">
        <f>SUM(H4:H5)</f>
        <v>591</v>
      </c>
      <c r="I6" s="27">
        <f>I4+I5</f>
        <v>1</v>
      </c>
      <c r="J6" s="26">
        <f>SUM(J4:J5)</f>
        <v>499</v>
      </c>
      <c r="K6" s="27">
        <f>K4+K5</f>
        <v>1</v>
      </c>
      <c r="L6" s="26">
        <f>SUM(L4:L5)</f>
        <v>639</v>
      </c>
      <c r="M6" s="28">
        <f>M4+M5</f>
        <v>1</v>
      </c>
    </row>
    <row r="7" spans="1:13" customFormat="1" x14ac:dyDescent="0.3">
      <c r="A7" s="13" t="s">
        <v>0</v>
      </c>
      <c r="B7" s="13" t="s">
        <v>1741</v>
      </c>
      <c r="C7" s="13">
        <v>9</v>
      </c>
      <c r="D7" s="13">
        <v>9</v>
      </c>
      <c r="E7" s="13">
        <v>9</v>
      </c>
    </row>
    <row r="8" spans="1:13" customFormat="1" x14ac:dyDescent="0.3">
      <c r="A8" s="13" t="s">
        <v>0</v>
      </c>
      <c r="B8" s="13" t="s">
        <v>151</v>
      </c>
      <c r="C8" s="13">
        <v>8</v>
      </c>
      <c r="D8" s="13">
        <v>8</v>
      </c>
      <c r="E8" s="13">
        <v>10</v>
      </c>
    </row>
    <row r="9" spans="1:13" customFormat="1" x14ac:dyDescent="0.3">
      <c r="A9" s="13" t="s">
        <v>1</v>
      </c>
      <c r="B9" s="13" t="s">
        <v>151</v>
      </c>
      <c r="C9" s="13">
        <v>7</v>
      </c>
      <c r="D9" s="13">
        <v>7</v>
      </c>
      <c r="E9" s="13">
        <v>8</v>
      </c>
    </row>
    <row r="10" spans="1:13" customFormat="1" ht="17.25" thickBot="1" x14ac:dyDescent="0.35">
      <c r="A10" s="13" t="s">
        <v>1</v>
      </c>
      <c r="B10" s="13" t="s">
        <v>120</v>
      </c>
      <c r="C10" s="13">
        <v>8</v>
      </c>
      <c r="D10" s="13">
        <v>7</v>
      </c>
      <c r="E10" s="13">
        <v>9</v>
      </c>
    </row>
    <row r="11" spans="1:13" x14ac:dyDescent="0.3">
      <c r="A11" s="13" t="s">
        <v>1</v>
      </c>
      <c r="B11" s="13" t="s">
        <v>37</v>
      </c>
      <c r="C11" s="13">
        <v>7</v>
      </c>
      <c r="D11" s="13">
        <v>7</v>
      </c>
      <c r="E11" s="13">
        <v>7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354</v>
      </c>
      <c r="C12" s="13">
        <v>8</v>
      </c>
      <c r="D12" s="13">
        <v>6</v>
      </c>
      <c r="E12" s="13">
        <v>7</v>
      </c>
      <c r="G12" s="19"/>
      <c r="H12" s="17">
        <f t="shared" ref="H12:J12" si="0">SUM(H13:H16)</f>
        <v>591</v>
      </c>
      <c r="I12" s="17">
        <f t="shared" si="0"/>
        <v>499</v>
      </c>
      <c r="J12" s="20">
        <f t="shared" si="0"/>
        <v>639</v>
      </c>
    </row>
    <row r="13" spans="1:13" x14ac:dyDescent="0.3">
      <c r="A13" s="13" t="s">
        <v>0</v>
      </c>
      <c r="B13" s="13" t="s">
        <v>60</v>
      </c>
      <c r="C13" s="13">
        <v>8</v>
      </c>
      <c r="D13" s="13">
        <v>6</v>
      </c>
      <c r="E13" s="13">
        <v>8</v>
      </c>
      <c r="G13" s="19" t="s">
        <v>7</v>
      </c>
      <c r="H13" s="18">
        <f t="shared" ref="H13:J16" si="1">SUMIF($A$2:$A$9999,$G13,C$2:C$9999)</f>
        <v>299</v>
      </c>
      <c r="I13" s="18">
        <f t="shared" si="1"/>
        <v>234</v>
      </c>
      <c r="J13" s="21">
        <f t="shared" si="1"/>
        <v>324</v>
      </c>
    </row>
    <row r="14" spans="1:13" x14ac:dyDescent="0.3">
      <c r="A14" s="13" t="s">
        <v>0</v>
      </c>
      <c r="B14" s="13" t="s">
        <v>2869</v>
      </c>
      <c r="C14" s="13">
        <v>7</v>
      </c>
      <c r="D14" s="13">
        <v>6</v>
      </c>
      <c r="E14" s="13">
        <v>7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0</v>
      </c>
      <c r="B15" s="13" t="s">
        <v>51</v>
      </c>
      <c r="C15" s="13">
        <v>6</v>
      </c>
      <c r="D15" s="13">
        <v>6</v>
      </c>
      <c r="E15" s="13">
        <v>6</v>
      </c>
      <c r="G15" s="19" t="s">
        <v>11</v>
      </c>
      <c r="H15" s="18">
        <f t="shared" si="1"/>
        <v>275</v>
      </c>
      <c r="I15" s="18">
        <f t="shared" si="1"/>
        <v>253</v>
      </c>
      <c r="J15" s="21">
        <f t="shared" si="1"/>
        <v>298</v>
      </c>
    </row>
    <row r="16" spans="1:13" ht="17.25" thickBot="1" x14ac:dyDescent="0.35">
      <c r="A16" s="13" t="s">
        <v>1</v>
      </c>
      <c r="B16" s="13" t="s">
        <v>1663</v>
      </c>
      <c r="C16" s="13">
        <v>6</v>
      </c>
      <c r="D16" s="13">
        <v>5</v>
      </c>
      <c r="E16" s="13">
        <v>9</v>
      </c>
      <c r="G16" s="22" t="s">
        <v>12</v>
      </c>
      <c r="H16" s="23">
        <f t="shared" si="1"/>
        <v>17</v>
      </c>
      <c r="I16" s="23">
        <f t="shared" si="1"/>
        <v>12</v>
      </c>
      <c r="J16" s="24">
        <f t="shared" si="1"/>
        <v>17</v>
      </c>
    </row>
    <row r="17" spans="1:5" x14ac:dyDescent="0.3">
      <c r="A17" s="13" t="s">
        <v>1</v>
      </c>
      <c r="B17" s="13" t="s">
        <v>29</v>
      </c>
      <c r="C17" s="13">
        <v>5</v>
      </c>
      <c r="D17" s="13">
        <v>5</v>
      </c>
      <c r="E17" s="13">
        <v>5</v>
      </c>
    </row>
    <row r="18" spans="1:5" x14ac:dyDescent="0.3">
      <c r="A18" s="13" t="s">
        <v>0</v>
      </c>
      <c r="B18" s="13" t="s">
        <v>61</v>
      </c>
      <c r="C18" s="13">
        <v>5</v>
      </c>
      <c r="D18" s="13">
        <v>5</v>
      </c>
      <c r="E18" s="13">
        <v>5</v>
      </c>
    </row>
    <row r="19" spans="1:5" x14ac:dyDescent="0.3">
      <c r="A19" s="13" t="s">
        <v>0</v>
      </c>
      <c r="B19" s="13" t="s">
        <v>195</v>
      </c>
      <c r="C19" s="13">
        <v>5</v>
      </c>
      <c r="D19" s="13">
        <v>5</v>
      </c>
      <c r="E19" s="13">
        <v>6</v>
      </c>
    </row>
    <row r="20" spans="1:5" x14ac:dyDescent="0.3">
      <c r="A20" s="13" t="s">
        <v>1</v>
      </c>
      <c r="B20" s="13" t="s">
        <v>1741</v>
      </c>
      <c r="C20" s="13">
        <v>5</v>
      </c>
      <c r="D20" s="13">
        <v>4</v>
      </c>
      <c r="E20" s="13">
        <v>5</v>
      </c>
    </row>
    <row r="21" spans="1:5" x14ac:dyDescent="0.3">
      <c r="A21" s="13" t="s">
        <v>1</v>
      </c>
      <c r="B21" s="13" t="s">
        <v>2869</v>
      </c>
      <c r="C21" s="13">
        <v>5</v>
      </c>
      <c r="D21" s="13">
        <v>4</v>
      </c>
      <c r="E21" s="13">
        <v>5</v>
      </c>
    </row>
    <row r="22" spans="1:5" x14ac:dyDescent="0.3">
      <c r="A22" s="13" t="s">
        <v>1</v>
      </c>
      <c r="B22" s="13" t="s">
        <v>31</v>
      </c>
      <c r="C22" s="13">
        <v>4</v>
      </c>
      <c r="D22" s="13">
        <v>4</v>
      </c>
      <c r="E22" s="13">
        <v>4</v>
      </c>
    </row>
    <row r="23" spans="1:5" x14ac:dyDescent="0.3">
      <c r="A23" s="13" t="s">
        <v>1</v>
      </c>
      <c r="B23" s="13" t="s">
        <v>32</v>
      </c>
      <c r="C23" s="13">
        <v>6</v>
      </c>
      <c r="D23" s="13">
        <v>4</v>
      </c>
      <c r="E23" s="13">
        <v>9</v>
      </c>
    </row>
    <row r="24" spans="1:5" x14ac:dyDescent="0.3">
      <c r="A24" s="13" t="s">
        <v>0</v>
      </c>
      <c r="B24" s="13" t="s">
        <v>1663</v>
      </c>
      <c r="C24" s="13">
        <v>5</v>
      </c>
      <c r="D24" s="13">
        <v>4</v>
      </c>
      <c r="E24" s="13">
        <v>5</v>
      </c>
    </row>
    <row r="25" spans="1:5" x14ac:dyDescent="0.3">
      <c r="A25" s="13" t="s">
        <v>0</v>
      </c>
      <c r="B25" s="13" t="s">
        <v>2203</v>
      </c>
      <c r="C25" s="13">
        <v>4</v>
      </c>
      <c r="D25" s="13">
        <v>4</v>
      </c>
      <c r="E25" s="13">
        <v>4</v>
      </c>
    </row>
    <row r="26" spans="1:5" x14ac:dyDescent="0.3">
      <c r="A26" s="13" t="s">
        <v>0</v>
      </c>
      <c r="B26" s="13" t="s">
        <v>389</v>
      </c>
      <c r="C26" s="13">
        <v>4</v>
      </c>
      <c r="D26" s="13">
        <v>4</v>
      </c>
      <c r="E26" s="13">
        <v>5</v>
      </c>
    </row>
    <row r="27" spans="1:5" x14ac:dyDescent="0.3">
      <c r="A27" s="13" t="s">
        <v>1</v>
      </c>
      <c r="B27" s="13" t="s">
        <v>51</v>
      </c>
      <c r="C27" s="13">
        <v>3</v>
      </c>
      <c r="D27" s="13">
        <v>3</v>
      </c>
      <c r="E27" s="13">
        <v>4</v>
      </c>
    </row>
    <row r="28" spans="1:5" x14ac:dyDescent="0.3">
      <c r="A28" s="13" t="s">
        <v>1</v>
      </c>
      <c r="B28" s="13" t="s">
        <v>63</v>
      </c>
      <c r="C28" s="13">
        <v>3</v>
      </c>
      <c r="D28" s="13">
        <v>3</v>
      </c>
      <c r="E28" s="13">
        <v>3</v>
      </c>
    </row>
    <row r="29" spans="1:5" x14ac:dyDescent="0.3">
      <c r="A29" s="13" t="s">
        <v>0</v>
      </c>
      <c r="B29" s="13" t="s">
        <v>30</v>
      </c>
      <c r="C29" s="13">
        <v>5</v>
      </c>
      <c r="D29" s="13">
        <v>3</v>
      </c>
      <c r="E29" s="13">
        <v>5</v>
      </c>
    </row>
    <row r="30" spans="1:5" x14ac:dyDescent="0.3">
      <c r="A30" s="13" t="s">
        <v>0</v>
      </c>
      <c r="B30" s="13" t="s">
        <v>145</v>
      </c>
      <c r="C30" s="13">
        <v>3</v>
      </c>
      <c r="D30" s="13">
        <v>3</v>
      </c>
      <c r="E30" s="13">
        <v>3</v>
      </c>
    </row>
    <row r="31" spans="1:5" x14ac:dyDescent="0.3">
      <c r="A31" s="13" t="s">
        <v>0</v>
      </c>
      <c r="B31" s="13" t="s">
        <v>35</v>
      </c>
      <c r="C31" s="13">
        <v>3</v>
      </c>
      <c r="D31" s="13">
        <v>3</v>
      </c>
      <c r="E31" s="13">
        <v>3</v>
      </c>
    </row>
    <row r="32" spans="1:5" x14ac:dyDescent="0.3">
      <c r="A32" s="13" t="s">
        <v>0</v>
      </c>
      <c r="B32" s="13" t="s">
        <v>105</v>
      </c>
      <c r="C32" s="13">
        <v>3</v>
      </c>
      <c r="D32" s="13">
        <v>3</v>
      </c>
      <c r="E32" s="13">
        <v>3</v>
      </c>
    </row>
    <row r="33" spans="1:5" x14ac:dyDescent="0.3">
      <c r="A33" s="13" t="s">
        <v>0</v>
      </c>
      <c r="B33" s="13" t="s">
        <v>130</v>
      </c>
      <c r="C33" s="13">
        <v>3</v>
      </c>
      <c r="D33" s="13">
        <v>3</v>
      </c>
      <c r="E33" s="13">
        <v>3</v>
      </c>
    </row>
    <row r="34" spans="1:5" x14ac:dyDescent="0.3">
      <c r="A34" s="13" t="s">
        <v>1</v>
      </c>
      <c r="B34" s="13" t="s">
        <v>33</v>
      </c>
      <c r="C34" s="13">
        <v>2</v>
      </c>
      <c r="D34" s="13">
        <v>2</v>
      </c>
      <c r="E34" s="13">
        <v>2</v>
      </c>
    </row>
    <row r="35" spans="1:5" x14ac:dyDescent="0.3">
      <c r="A35" s="13" t="s">
        <v>1</v>
      </c>
      <c r="B35" s="13" t="s">
        <v>463</v>
      </c>
      <c r="C35" s="13">
        <v>2</v>
      </c>
      <c r="D35" s="13">
        <v>2</v>
      </c>
      <c r="E35" s="13">
        <v>2</v>
      </c>
    </row>
    <row r="36" spans="1:5" x14ac:dyDescent="0.3">
      <c r="A36" s="13" t="s">
        <v>1</v>
      </c>
      <c r="B36" s="13" t="s">
        <v>304</v>
      </c>
      <c r="C36" s="13">
        <v>2</v>
      </c>
      <c r="D36" s="13">
        <v>2</v>
      </c>
      <c r="E36" s="13">
        <v>2</v>
      </c>
    </row>
    <row r="37" spans="1:5" x14ac:dyDescent="0.3">
      <c r="A37" s="13" t="s">
        <v>1</v>
      </c>
      <c r="B37" s="13" t="s">
        <v>83</v>
      </c>
      <c r="C37" s="13">
        <v>2</v>
      </c>
      <c r="D37" s="13">
        <v>2</v>
      </c>
      <c r="E37" s="13">
        <v>2</v>
      </c>
    </row>
    <row r="38" spans="1:5" x14ac:dyDescent="0.3">
      <c r="A38" s="13" t="s">
        <v>1</v>
      </c>
      <c r="B38" s="13" t="s">
        <v>148</v>
      </c>
      <c r="C38" s="13">
        <v>2</v>
      </c>
      <c r="D38" s="13">
        <v>2</v>
      </c>
      <c r="E38" s="13">
        <v>2</v>
      </c>
    </row>
    <row r="39" spans="1:5" x14ac:dyDescent="0.3">
      <c r="A39" s="13" t="s">
        <v>1</v>
      </c>
      <c r="B39" s="13" t="s">
        <v>60</v>
      </c>
      <c r="C39" s="13">
        <v>2</v>
      </c>
      <c r="D39" s="13">
        <v>2</v>
      </c>
      <c r="E39" s="13">
        <v>2</v>
      </c>
    </row>
    <row r="40" spans="1:5" x14ac:dyDescent="0.3">
      <c r="A40" s="13" t="s">
        <v>1</v>
      </c>
      <c r="B40" s="13" t="s">
        <v>1674</v>
      </c>
      <c r="C40" s="13">
        <v>2</v>
      </c>
      <c r="D40" s="13">
        <v>2</v>
      </c>
      <c r="E40" s="13">
        <v>2</v>
      </c>
    </row>
    <row r="41" spans="1:5" x14ac:dyDescent="0.3">
      <c r="A41" s="13" t="s">
        <v>1</v>
      </c>
      <c r="B41" s="13" t="s">
        <v>1885</v>
      </c>
      <c r="C41" s="13">
        <v>2</v>
      </c>
      <c r="D41" s="13">
        <v>2</v>
      </c>
      <c r="E41" s="13">
        <v>2</v>
      </c>
    </row>
    <row r="42" spans="1:5" x14ac:dyDescent="0.3">
      <c r="A42" s="13" t="s">
        <v>1</v>
      </c>
      <c r="B42" s="13" t="s">
        <v>1988</v>
      </c>
      <c r="C42" s="13">
        <v>2</v>
      </c>
      <c r="D42" s="13">
        <v>2</v>
      </c>
      <c r="E42" s="13">
        <v>2</v>
      </c>
    </row>
    <row r="43" spans="1:5" x14ac:dyDescent="0.3">
      <c r="A43" s="13" t="s">
        <v>1</v>
      </c>
      <c r="B43" s="13" t="s">
        <v>2952</v>
      </c>
      <c r="C43" s="13">
        <v>1</v>
      </c>
      <c r="D43" s="13">
        <v>2</v>
      </c>
      <c r="E43" s="13">
        <v>3</v>
      </c>
    </row>
    <row r="44" spans="1:5" x14ac:dyDescent="0.3">
      <c r="A44" s="13" t="s">
        <v>1</v>
      </c>
      <c r="B44" s="13" t="s">
        <v>195</v>
      </c>
      <c r="C44" s="13">
        <v>2</v>
      </c>
      <c r="D44" s="13">
        <v>2</v>
      </c>
      <c r="E44" s="13">
        <v>2</v>
      </c>
    </row>
    <row r="45" spans="1:5" x14ac:dyDescent="0.3">
      <c r="A45" s="13" t="s">
        <v>1</v>
      </c>
      <c r="B45" s="13" t="s">
        <v>1734</v>
      </c>
      <c r="C45" s="13">
        <v>2</v>
      </c>
      <c r="D45" s="13">
        <v>2</v>
      </c>
      <c r="E45" s="13">
        <v>2</v>
      </c>
    </row>
    <row r="46" spans="1:5" x14ac:dyDescent="0.3">
      <c r="A46" s="13" t="s">
        <v>1</v>
      </c>
      <c r="B46" s="13" t="s">
        <v>648</v>
      </c>
      <c r="C46" s="13">
        <v>2</v>
      </c>
      <c r="D46" s="13">
        <v>2</v>
      </c>
      <c r="E46" s="13">
        <v>2</v>
      </c>
    </row>
    <row r="47" spans="1:5" x14ac:dyDescent="0.3">
      <c r="A47" s="13" t="s">
        <v>1</v>
      </c>
      <c r="B47" s="13" t="s">
        <v>175</v>
      </c>
      <c r="C47" s="13">
        <v>2</v>
      </c>
      <c r="D47" s="13">
        <v>2</v>
      </c>
      <c r="E47" s="13">
        <v>2</v>
      </c>
    </row>
    <row r="48" spans="1:5" x14ac:dyDescent="0.3">
      <c r="A48" s="13" t="s">
        <v>0</v>
      </c>
      <c r="B48" s="13" t="s">
        <v>474</v>
      </c>
      <c r="C48" s="13">
        <v>2</v>
      </c>
      <c r="D48" s="13">
        <v>2</v>
      </c>
      <c r="E48" s="13">
        <v>2</v>
      </c>
    </row>
    <row r="49" spans="1:5" x14ac:dyDescent="0.3">
      <c r="A49" s="13" t="s">
        <v>0</v>
      </c>
      <c r="B49" s="13" t="s">
        <v>42</v>
      </c>
      <c r="C49" s="13">
        <v>2</v>
      </c>
      <c r="D49" s="13">
        <v>2</v>
      </c>
      <c r="E49" s="13">
        <v>2</v>
      </c>
    </row>
    <row r="50" spans="1:5" x14ac:dyDescent="0.3">
      <c r="A50" s="13" t="s">
        <v>0</v>
      </c>
      <c r="B50" s="13" t="s">
        <v>94</v>
      </c>
      <c r="C50" s="13">
        <v>2</v>
      </c>
      <c r="D50" s="13">
        <v>2</v>
      </c>
      <c r="E50" s="13">
        <v>2</v>
      </c>
    </row>
    <row r="51" spans="1:5" x14ac:dyDescent="0.3">
      <c r="A51" s="13" t="s">
        <v>0</v>
      </c>
      <c r="B51" s="13" t="s">
        <v>1674</v>
      </c>
      <c r="C51" s="13">
        <v>2</v>
      </c>
      <c r="D51" s="13">
        <v>2</v>
      </c>
      <c r="E51" s="13">
        <v>2</v>
      </c>
    </row>
    <row r="52" spans="1:5" x14ac:dyDescent="0.3">
      <c r="A52" s="13" t="s">
        <v>0</v>
      </c>
      <c r="B52" s="13" t="s">
        <v>1988</v>
      </c>
      <c r="C52" s="13">
        <v>2</v>
      </c>
      <c r="D52" s="13">
        <v>2</v>
      </c>
      <c r="E52" s="13">
        <v>2</v>
      </c>
    </row>
    <row r="53" spans="1:5" x14ac:dyDescent="0.3">
      <c r="A53" s="13" t="s">
        <v>0</v>
      </c>
      <c r="B53" s="13" t="s">
        <v>2949</v>
      </c>
      <c r="C53" s="13">
        <v>2</v>
      </c>
      <c r="D53" s="13">
        <v>2</v>
      </c>
      <c r="E53" s="13">
        <v>7</v>
      </c>
    </row>
    <row r="54" spans="1:5" x14ac:dyDescent="0.3">
      <c r="A54" s="13" t="s">
        <v>0</v>
      </c>
      <c r="B54" s="13" t="s">
        <v>258</v>
      </c>
      <c r="C54" s="13">
        <v>2</v>
      </c>
      <c r="D54" s="13">
        <v>2</v>
      </c>
      <c r="E54" s="13">
        <v>2</v>
      </c>
    </row>
    <row r="55" spans="1:5" x14ac:dyDescent="0.3">
      <c r="A55" s="13" t="s">
        <v>0</v>
      </c>
      <c r="B55" s="13" t="s">
        <v>156</v>
      </c>
      <c r="C55" s="13">
        <v>2</v>
      </c>
      <c r="D55" s="13">
        <v>2</v>
      </c>
      <c r="E55" s="13">
        <v>2</v>
      </c>
    </row>
    <row r="56" spans="1:5" x14ac:dyDescent="0.3">
      <c r="A56" s="13" t="s">
        <v>0</v>
      </c>
      <c r="B56" s="13" t="s">
        <v>159</v>
      </c>
      <c r="C56" s="13">
        <v>2</v>
      </c>
      <c r="D56" s="13">
        <v>2</v>
      </c>
      <c r="E56" s="13">
        <v>2</v>
      </c>
    </row>
    <row r="57" spans="1:5" x14ac:dyDescent="0.3">
      <c r="A57" s="13" t="s">
        <v>0</v>
      </c>
      <c r="B57" s="13" t="s">
        <v>572</v>
      </c>
      <c r="C57" s="13">
        <v>2</v>
      </c>
      <c r="D57" s="13">
        <v>2</v>
      </c>
      <c r="E57" s="13">
        <v>2</v>
      </c>
    </row>
    <row r="58" spans="1:5" x14ac:dyDescent="0.3">
      <c r="A58" s="13" t="s">
        <v>0</v>
      </c>
      <c r="B58" s="13" t="s">
        <v>120</v>
      </c>
      <c r="C58" s="13">
        <v>2</v>
      </c>
      <c r="D58" s="13">
        <v>2</v>
      </c>
      <c r="E58" s="13">
        <v>2</v>
      </c>
    </row>
    <row r="59" spans="1:5" x14ac:dyDescent="0.3">
      <c r="A59" s="13" t="s">
        <v>0</v>
      </c>
      <c r="B59" s="13" t="s">
        <v>37</v>
      </c>
      <c r="C59" s="13">
        <v>2</v>
      </c>
      <c r="D59" s="13">
        <v>2</v>
      </c>
      <c r="E59" s="13">
        <v>2</v>
      </c>
    </row>
    <row r="60" spans="1:5" x14ac:dyDescent="0.3">
      <c r="A60" s="13" t="s">
        <v>0</v>
      </c>
      <c r="B60" s="13" t="s">
        <v>46</v>
      </c>
      <c r="C60" s="13">
        <v>2</v>
      </c>
      <c r="D60" s="13">
        <v>2</v>
      </c>
      <c r="E60" s="13">
        <v>2</v>
      </c>
    </row>
    <row r="61" spans="1:5" x14ac:dyDescent="0.3">
      <c r="A61" s="13" t="s">
        <v>0</v>
      </c>
      <c r="B61" s="13" t="s">
        <v>66</v>
      </c>
      <c r="C61" s="13">
        <v>2</v>
      </c>
      <c r="D61" s="13">
        <v>2</v>
      </c>
      <c r="E61" s="13">
        <v>2</v>
      </c>
    </row>
    <row r="62" spans="1:5" x14ac:dyDescent="0.3">
      <c r="A62" s="13" t="s">
        <v>1</v>
      </c>
      <c r="B62" s="13" t="s">
        <v>1350</v>
      </c>
      <c r="C62" s="13">
        <v>1</v>
      </c>
      <c r="D62" s="13">
        <v>1</v>
      </c>
      <c r="E62" s="13">
        <v>1</v>
      </c>
    </row>
    <row r="63" spans="1:5" x14ac:dyDescent="0.3">
      <c r="A63" s="13" t="s">
        <v>1</v>
      </c>
      <c r="B63" s="13" t="s">
        <v>551</v>
      </c>
      <c r="C63" s="13">
        <v>1</v>
      </c>
      <c r="D63" s="13">
        <v>1</v>
      </c>
      <c r="E63" s="13">
        <v>1</v>
      </c>
    </row>
    <row r="64" spans="1:5" x14ac:dyDescent="0.3">
      <c r="A64" s="13" t="s">
        <v>1</v>
      </c>
      <c r="B64" s="13" t="s">
        <v>553</v>
      </c>
      <c r="C64" s="13">
        <v>1</v>
      </c>
      <c r="D64" s="13">
        <v>1</v>
      </c>
      <c r="E64" s="13">
        <v>1</v>
      </c>
    </row>
    <row r="65" spans="1:5" x14ac:dyDescent="0.3">
      <c r="A65" s="13" t="s">
        <v>1</v>
      </c>
      <c r="B65" s="13" t="s">
        <v>262</v>
      </c>
      <c r="C65" s="13">
        <v>1</v>
      </c>
      <c r="D65" s="13">
        <v>1</v>
      </c>
      <c r="E65" s="13">
        <v>1</v>
      </c>
    </row>
    <row r="66" spans="1:5" x14ac:dyDescent="0.3">
      <c r="A66" s="13" t="s">
        <v>1</v>
      </c>
      <c r="B66" s="13" t="s">
        <v>726</v>
      </c>
      <c r="C66" s="13">
        <v>1</v>
      </c>
      <c r="D66" s="13">
        <v>1</v>
      </c>
      <c r="E66" s="13">
        <v>1</v>
      </c>
    </row>
    <row r="67" spans="1:5" x14ac:dyDescent="0.3">
      <c r="A67" s="13" t="s">
        <v>1</v>
      </c>
      <c r="B67" s="13" t="s">
        <v>381</v>
      </c>
      <c r="C67" s="13">
        <v>1</v>
      </c>
      <c r="D67" s="13">
        <v>1</v>
      </c>
      <c r="E67" s="13">
        <v>1</v>
      </c>
    </row>
    <row r="68" spans="1:5" x14ac:dyDescent="0.3">
      <c r="A68" s="13" t="s">
        <v>1</v>
      </c>
      <c r="B68" s="13" t="s">
        <v>811</v>
      </c>
      <c r="C68" s="13">
        <v>1</v>
      </c>
      <c r="D68" s="13">
        <v>1</v>
      </c>
      <c r="E68" s="13">
        <v>1</v>
      </c>
    </row>
    <row r="69" spans="1:5" x14ac:dyDescent="0.3">
      <c r="A69" s="13" t="s">
        <v>1</v>
      </c>
      <c r="B69" s="13" t="s">
        <v>264</v>
      </c>
      <c r="C69" s="13">
        <v>1</v>
      </c>
      <c r="D69" s="13">
        <v>1</v>
      </c>
      <c r="E69" s="13">
        <v>1</v>
      </c>
    </row>
    <row r="70" spans="1:5" x14ac:dyDescent="0.3">
      <c r="A70" s="13" t="s">
        <v>1</v>
      </c>
      <c r="B70" s="13" t="s">
        <v>474</v>
      </c>
      <c r="C70" s="13">
        <v>1</v>
      </c>
      <c r="D70" s="13">
        <v>1</v>
      </c>
      <c r="E70" s="13">
        <v>1</v>
      </c>
    </row>
    <row r="71" spans="1:5" x14ac:dyDescent="0.3">
      <c r="A71" s="13" t="s">
        <v>1</v>
      </c>
      <c r="B71" s="13" t="s">
        <v>267</v>
      </c>
      <c r="C71" s="13">
        <v>1</v>
      </c>
      <c r="D71" s="13">
        <v>1</v>
      </c>
      <c r="E71" s="13">
        <v>1</v>
      </c>
    </row>
    <row r="72" spans="1:5" x14ac:dyDescent="0.3">
      <c r="A72" s="13" t="s">
        <v>1</v>
      </c>
      <c r="B72" s="13" t="s">
        <v>77</v>
      </c>
      <c r="C72" s="13">
        <v>1</v>
      </c>
      <c r="D72" s="13">
        <v>1</v>
      </c>
      <c r="E72" s="13">
        <v>1</v>
      </c>
    </row>
    <row r="73" spans="1:5" x14ac:dyDescent="0.3">
      <c r="A73" s="13" t="s">
        <v>1</v>
      </c>
      <c r="B73" s="13" t="s">
        <v>59</v>
      </c>
      <c r="C73" s="13">
        <v>1</v>
      </c>
      <c r="D73" s="13">
        <v>1</v>
      </c>
      <c r="E73" s="13">
        <v>1</v>
      </c>
    </row>
    <row r="74" spans="1:5" x14ac:dyDescent="0.3">
      <c r="A74" s="13" t="s">
        <v>1</v>
      </c>
      <c r="B74" s="13" t="s">
        <v>34</v>
      </c>
      <c r="C74" s="13">
        <v>1</v>
      </c>
      <c r="D74" s="13">
        <v>1</v>
      </c>
      <c r="E74" s="13">
        <v>1</v>
      </c>
    </row>
    <row r="75" spans="1:5" x14ac:dyDescent="0.3">
      <c r="A75" s="13" t="s">
        <v>1</v>
      </c>
      <c r="B75" s="13" t="s">
        <v>1208</v>
      </c>
      <c r="C75" s="13">
        <v>1</v>
      </c>
      <c r="D75" s="13">
        <v>1</v>
      </c>
      <c r="E75" s="13">
        <v>1</v>
      </c>
    </row>
    <row r="76" spans="1:5" x14ac:dyDescent="0.3">
      <c r="A76" s="13" t="s">
        <v>1</v>
      </c>
      <c r="B76" s="13" t="s">
        <v>144</v>
      </c>
      <c r="C76" s="13">
        <v>1</v>
      </c>
      <c r="D76" s="13">
        <v>1</v>
      </c>
      <c r="E76" s="13">
        <v>2</v>
      </c>
    </row>
    <row r="77" spans="1:5" x14ac:dyDescent="0.3">
      <c r="A77" s="13" t="s">
        <v>1</v>
      </c>
      <c r="B77" s="13" t="s">
        <v>1209</v>
      </c>
      <c r="C77" s="13">
        <v>1</v>
      </c>
      <c r="D77" s="13">
        <v>1</v>
      </c>
      <c r="E77" s="13">
        <v>3</v>
      </c>
    </row>
    <row r="78" spans="1:5" x14ac:dyDescent="0.3">
      <c r="A78" s="13" t="s">
        <v>1</v>
      </c>
      <c r="B78" s="13" t="s">
        <v>145</v>
      </c>
      <c r="C78" s="13">
        <v>1</v>
      </c>
      <c r="D78" s="13">
        <v>1</v>
      </c>
      <c r="E78" s="13">
        <v>1</v>
      </c>
    </row>
    <row r="79" spans="1:5" x14ac:dyDescent="0.3">
      <c r="A79" s="13" t="s">
        <v>1</v>
      </c>
      <c r="B79" s="13" t="s">
        <v>350</v>
      </c>
      <c r="C79" s="13">
        <v>1</v>
      </c>
      <c r="D79" s="13">
        <v>1</v>
      </c>
      <c r="E79" s="13">
        <v>1</v>
      </c>
    </row>
    <row r="80" spans="1:5" x14ac:dyDescent="0.3">
      <c r="A80" s="13" t="s">
        <v>1</v>
      </c>
      <c r="B80" s="13" t="s">
        <v>87</v>
      </c>
      <c r="C80" s="13">
        <v>1</v>
      </c>
      <c r="D80" s="13">
        <v>1</v>
      </c>
      <c r="E80" s="13">
        <v>1</v>
      </c>
    </row>
    <row r="81" spans="1:5" x14ac:dyDescent="0.3">
      <c r="A81" s="13" t="s">
        <v>1</v>
      </c>
      <c r="B81" s="13" t="s">
        <v>215</v>
      </c>
      <c r="C81" s="13">
        <v>1</v>
      </c>
      <c r="D81" s="13">
        <v>1</v>
      </c>
      <c r="E81" s="13">
        <v>1</v>
      </c>
    </row>
    <row r="82" spans="1:5" x14ac:dyDescent="0.3">
      <c r="A82" s="13" t="s">
        <v>1</v>
      </c>
      <c r="B82" s="13" t="s">
        <v>41</v>
      </c>
      <c r="C82" s="13">
        <v>1</v>
      </c>
      <c r="D82" s="13">
        <v>1</v>
      </c>
      <c r="E82" s="13">
        <v>2</v>
      </c>
    </row>
    <row r="83" spans="1:5" x14ac:dyDescent="0.3">
      <c r="A83" s="13" t="s">
        <v>1</v>
      </c>
      <c r="B83" s="13" t="s">
        <v>42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356</v>
      </c>
      <c r="C84" s="13">
        <v>1</v>
      </c>
      <c r="D84" s="13">
        <v>1</v>
      </c>
      <c r="E84" s="13">
        <v>1</v>
      </c>
    </row>
    <row r="85" spans="1:5" x14ac:dyDescent="0.3">
      <c r="A85" s="13" t="s">
        <v>1</v>
      </c>
      <c r="B85" s="13" t="s">
        <v>61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94</v>
      </c>
      <c r="C86" s="13">
        <v>1</v>
      </c>
      <c r="D86" s="13">
        <v>1</v>
      </c>
      <c r="E86" s="13">
        <v>1</v>
      </c>
    </row>
    <row r="87" spans="1:5" x14ac:dyDescent="0.3">
      <c r="A87" s="13" t="s">
        <v>1</v>
      </c>
      <c r="B87" s="13" t="s">
        <v>1471</v>
      </c>
      <c r="C87" s="13">
        <v>1</v>
      </c>
      <c r="D87" s="13">
        <v>1</v>
      </c>
      <c r="E87" s="13">
        <v>1</v>
      </c>
    </row>
    <row r="88" spans="1:5" x14ac:dyDescent="0.3">
      <c r="A88" s="13" t="s">
        <v>1</v>
      </c>
      <c r="B88" s="13" t="s">
        <v>1645</v>
      </c>
      <c r="C88" s="13">
        <v>1</v>
      </c>
      <c r="D88" s="13">
        <v>1</v>
      </c>
      <c r="E88" s="13">
        <v>4</v>
      </c>
    </row>
    <row r="89" spans="1:5" x14ac:dyDescent="0.3">
      <c r="A89" s="13" t="s">
        <v>1</v>
      </c>
      <c r="B89" s="13" t="s">
        <v>1833</v>
      </c>
      <c r="C89" s="13">
        <v>2</v>
      </c>
      <c r="D89" s="13">
        <v>1</v>
      </c>
      <c r="E89" s="13">
        <v>2</v>
      </c>
    </row>
    <row r="90" spans="1:5" x14ac:dyDescent="0.3">
      <c r="A90" s="13" t="s">
        <v>1</v>
      </c>
      <c r="B90" s="13" t="s">
        <v>1849</v>
      </c>
      <c r="C90" s="13">
        <v>1</v>
      </c>
      <c r="D90" s="13">
        <v>1</v>
      </c>
      <c r="E90" s="13">
        <v>1</v>
      </c>
    </row>
    <row r="91" spans="1:5" x14ac:dyDescent="0.3">
      <c r="A91" s="13" t="s">
        <v>1</v>
      </c>
      <c r="B91" s="13" t="s">
        <v>1926</v>
      </c>
      <c r="C91" s="13">
        <v>1</v>
      </c>
      <c r="D91" s="13">
        <v>1</v>
      </c>
      <c r="E91" s="13">
        <v>1</v>
      </c>
    </row>
    <row r="92" spans="1:5" x14ac:dyDescent="0.3">
      <c r="A92" s="13" t="s">
        <v>1</v>
      </c>
      <c r="B92" s="13" t="s">
        <v>1930</v>
      </c>
      <c r="C92" s="13">
        <v>1</v>
      </c>
      <c r="D92" s="13">
        <v>1</v>
      </c>
      <c r="E92" s="13">
        <v>1</v>
      </c>
    </row>
    <row r="93" spans="1:5" x14ac:dyDescent="0.3">
      <c r="A93" s="13" t="s">
        <v>1</v>
      </c>
      <c r="B93" s="13" t="s">
        <v>1948</v>
      </c>
      <c r="C93" s="13">
        <v>2</v>
      </c>
      <c r="D93" s="13">
        <v>1</v>
      </c>
      <c r="E93" s="13">
        <v>2</v>
      </c>
    </row>
    <row r="94" spans="1:5" x14ac:dyDescent="0.3">
      <c r="A94" s="13" t="s">
        <v>1</v>
      </c>
      <c r="B94" s="13" t="s">
        <v>2949</v>
      </c>
      <c r="C94" s="13">
        <v>3</v>
      </c>
      <c r="D94" s="13">
        <v>1</v>
      </c>
      <c r="E94" s="13">
        <v>3</v>
      </c>
    </row>
    <row r="95" spans="1:5" x14ac:dyDescent="0.3">
      <c r="A95" s="13" t="s">
        <v>1</v>
      </c>
      <c r="B95" s="13" t="s">
        <v>426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95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35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889</v>
      </c>
      <c r="C98" s="13">
        <v>1</v>
      </c>
      <c r="D98" s="13">
        <v>1</v>
      </c>
      <c r="E98" s="13">
        <v>1</v>
      </c>
    </row>
    <row r="99" spans="1:5" x14ac:dyDescent="0.3">
      <c r="A99" s="13" t="s">
        <v>1</v>
      </c>
      <c r="B99" s="13" t="s">
        <v>156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562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341</v>
      </c>
      <c r="C101" s="13">
        <v>2</v>
      </c>
      <c r="D101" s="13">
        <v>1</v>
      </c>
      <c r="E101" s="13">
        <v>2</v>
      </c>
    </row>
    <row r="102" spans="1:5" x14ac:dyDescent="0.3">
      <c r="A102" s="13" t="s">
        <v>1</v>
      </c>
      <c r="B102" s="13" t="s">
        <v>164</v>
      </c>
      <c r="C102" s="13">
        <v>1</v>
      </c>
      <c r="D102" s="13">
        <v>1</v>
      </c>
      <c r="E102" s="13">
        <v>2</v>
      </c>
    </row>
    <row r="103" spans="1:5" x14ac:dyDescent="0.3">
      <c r="A103" s="13" t="s">
        <v>1</v>
      </c>
      <c r="B103" s="13" t="s">
        <v>109</v>
      </c>
      <c r="C103" s="13">
        <v>2</v>
      </c>
      <c r="D103" s="13">
        <v>1</v>
      </c>
      <c r="E103" s="13">
        <v>2</v>
      </c>
    </row>
    <row r="104" spans="1:5" x14ac:dyDescent="0.3">
      <c r="A104" s="13" t="s">
        <v>1</v>
      </c>
      <c r="B104" s="13" t="s">
        <v>472</v>
      </c>
      <c r="C104" s="13">
        <v>1</v>
      </c>
      <c r="D104" s="13">
        <v>1</v>
      </c>
      <c r="E104" s="13">
        <v>2</v>
      </c>
    </row>
    <row r="105" spans="1:5" x14ac:dyDescent="0.3">
      <c r="A105" s="13" t="s">
        <v>1</v>
      </c>
      <c r="B105" s="13" t="s">
        <v>111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279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1097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824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690</v>
      </c>
      <c r="C109" s="13">
        <v>1</v>
      </c>
      <c r="D109" s="13">
        <v>1</v>
      </c>
      <c r="E109" s="13">
        <v>3</v>
      </c>
    </row>
    <row r="110" spans="1:5" x14ac:dyDescent="0.3">
      <c r="A110" s="13" t="s">
        <v>1</v>
      </c>
      <c r="B110" s="13" t="s">
        <v>1322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402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2415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331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573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121</v>
      </c>
      <c r="C115" s="13">
        <v>1</v>
      </c>
      <c r="D115" s="13">
        <v>1</v>
      </c>
      <c r="E115" s="13">
        <v>2</v>
      </c>
    </row>
    <row r="116" spans="1:5" x14ac:dyDescent="0.3">
      <c r="A116" s="13" t="s">
        <v>1</v>
      </c>
      <c r="B116" s="13" t="s">
        <v>2675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661</v>
      </c>
      <c r="C117" s="13">
        <v>3</v>
      </c>
      <c r="D117" s="13">
        <v>1</v>
      </c>
      <c r="E117" s="13">
        <v>5</v>
      </c>
    </row>
    <row r="118" spans="1:5" x14ac:dyDescent="0.3">
      <c r="A118" s="13" t="s">
        <v>1</v>
      </c>
      <c r="B118" s="13" t="s">
        <v>174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709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178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124</v>
      </c>
      <c r="C121" s="13">
        <v>1</v>
      </c>
      <c r="D121" s="13">
        <v>1</v>
      </c>
      <c r="E121" s="13">
        <v>2</v>
      </c>
    </row>
    <row r="122" spans="1:5" x14ac:dyDescent="0.3">
      <c r="A122" s="13" t="s">
        <v>1</v>
      </c>
      <c r="B122" s="13" t="s">
        <v>866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781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958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64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440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1145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1219</v>
      </c>
      <c r="C128" s="13">
        <v>1</v>
      </c>
      <c r="D128" s="13">
        <v>1</v>
      </c>
      <c r="E128" s="13">
        <v>2</v>
      </c>
    </row>
    <row r="129" spans="1:5" x14ac:dyDescent="0.3">
      <c r="A129" s="13" t="s">
        <v>1</v>
      </c>
      <c r="B129" s="13" t="s">
        <v>797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190</v>
      </c>
      <c r="C130" s="13">
        <v>2</v>
      </c>
      <c r="D130" s="13">
        <v>1</v>
      </c>
      <c r="E130" s="13">
        <v>2</v>
      </c>
    </row>
    <row r="131" spans="1:5" x14ac:dyDescent="0.3">
      <c r="A131" s="13" t="s">
        <v>1</v>
      </c>
      <c r="B131" s="13" t="s">
        <v>666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231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67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235</v>
      </c>
      <c r="C134" s="13">
        <v>2</v>
      </c>
      <c r="D134" s="13">
        <v>1</v>
      </c>
      <c r="E134" s="13">
        <v>3</v>
      </c>
    </row>
    <row r="135" spans="1:5" x14ac:dyDescent="0.3">
      <c r="A135" s="13" t="s">
        <v>1</v>
      </c>
      <c r="B135" s="13" t="s">
        <v>55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546</v>
      </c>
      <c r="C136" s="13">
        <v>1</v>
      </c>
      <c r="D136" s="13">
        <v>1</v>
      </c>
      <c r="E136" s="13"/>
    </row>
    <row r="137" spans="1:5" x14ac:dyDescent="0.3">
      <c r="A137" s="13" t="s">
        <v>1</v>
      </c>
      <c r="B137" s="13" t="s">
        <v>1589</v>
      </c>
      <c r="C137" s="13">
        <v>2</v>
      </c>
      <c r="D137" s="13">
        <v>1</v>
      </c>
      <c r="E137" s="13">
        <v>2</v>
      </c>
    </row>
    <row r="138" spans="1:5" x14ac:dyDescent="0.3">
      <c r="A138" s="13" t="s">
        <v>1</v>
      </c>
      <c r="B138" s="13" t="s">
        <v>1464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1837</v>
      </c>
      <c r="C139" s="13">
        <v>1</v>
      </c>
      <c r="D139" s="13">
        <v>1</v>
      </c>
      <c r="E139" s="13"/>
    </row>
    <row r="140" spans="1:5" x14ac:dyDescent="0.3">
      <c r="A140" s="13" t="s">
        <v>1</v>
      </c>
      <c r="B140" s="13" t="s">
        <v>3006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804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1360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2564</v>
      </c>
      <c r="C143" s="13">
        <v>1</v>
      </c>
      <c r="D143" s="13">
        <v>2</v>
      </c>
      <c r="E143" s="13"/>
    </row>
    <row r="144" spans="1:5" x14ac:dyDescent="0.3">
      <c r="A144" s="13" t="s">
        <v>1</v>
      </c>
      <c r="B144" s="13" t="s">
        <v>644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0</v>
      </c>
      <c r="B145" s="13" t="s">
        <v>373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0</v>
      </c>
      <c r="B146" s="13" t="s">
        <v>33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0</v>
      </c>
      <c r="B147" s="13" t="s">
        <v>670</v>
      </c>
      <c r="C147" s="13">
        <v>1</v>
      </c>
      <c r="D147" s="13">
        <v>1</v>
      </c>
      <c r="E147" s="13">
        <v>2</v>
      </c>
    </row>
    <row r="148" spans="1:5" x14ac:dyDescent="0.3">
      <c r="A148" s="13" t="s">
        <v>0</v>
      </c>
      <c r="B148" s="13" t="s">
        <v>754</v>
      </c>
      <c r="C148" s="13">
        <v>1</v>
      </c>
      <c r="D148" s="13">
        <v>1</v>
      </c>
      <c r="E148" s="13">
        <v>2</v>
      </c>
    </row>
    <row r="149" spans="1:5" x14ac:dyDescent="0.3">
      <c r="A149" s="13" t="s">
        <v>0</v>
      </c>
      <c r="B149" s="13" t="s">
        <v>381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0</v>
      </c>
      <c r="B150" s="13" t="s">
        <v>142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0</v>
      </c>
      <c r="B151" s="13" t="s">
        <v>59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0</v>
      </c>
      <c r="B152" s="13" t="s">
        <v>813</v>
      </c>
      <c r="C152" s="13">
        <v>1</v>
      </c>
      <c r="D152" s="13">
        <v>1</v>
      </c>
      <c r="E152" s="13">
        <v>2</v>
      </c>
    </row>
    <row r="153" spans="1:5" x14ac:dyDescent="0.3">
      <c r="A153" s="13" t="s">
        <v>0</v>
      </c>
      <c r="B153" s="13" t="s">
        <v>1208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0</v>
      </c>
      <c r="B154" s="13" t="s">
        <v>2095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0</v>
      </c>
      <c r="B155" s="13" t="s">
        <v>1871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0</v>
      </c>
      <c r="B156" s="13" t="s">
        <v>260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0</v>
      </c>
      <c r="B157" s="13" t="s">
        <v>1695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0</v>
      </c>
      <c r="B158" s="13" t="s">
        <v>84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0</v>
      </c>
      <c r="B159" s="13" t="s">
        <v>147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0</v>
      </c>
      <c r="B160" s="13" t="s">
        <v>148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0</v>
      </c>
      <c r="B161" s="13" t="s">
        <v>1125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0</v>
      </c>
      <c r="B162" s="13" t="s">
        <v>87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0</v>
      </c>
      <c r="B163" s="13" t="s">
        <v>91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0</v>
      </c>
      <c r="B164" s="13" t="s">
        <v>2074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0</v>
      </c>
      <c r="B165" s="13" t="s">
        <v>41</v>
      </c>
      <c r="C165" s="13">
        <v>2</v>
      </c>
      <c r="D165" s="13">
        <v>1</v>
      </c>
      <c r="E165" s="13">
        <v>3</v>
      </c>
    </row>
    <row r="166" spans="1:5" x14ac:dyDescent="0.3">
      <c r="A166" s="13" t="s">
        <v>0</v>
      </c>
      <c r="B166" s="13" t="s">
        <v>504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0</v>
      </c>
      <c r="B167" s="13" t="s">
        <v>1370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0</v>
      </c>
      <c r="B168" s="13" t="s">
        <v>1492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0</v>
      </c>
      <c r="B169" s="13" t="s">
        <v>1655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0</v>
      </c>
      <c r="B170" s="13" t="s">
        <v>1881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0</v>
      </c>
      <c r="B171" s="13" t="s">
        <v>1908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0</v>
      </c>
      <c r="B172" s="13" t="s">
        <v>1948</v>
      </c>
      <c r="C172" s="13">
        <v>3</v>
      </c>
      <c r="D172" s="13">
        <v>1</v>
      </c>
      <c r="E172" s="13">
        <v>4</v>
      </c>
    </row>
    <row r="173" spans="1:5" x14ac:dyDescent="0.3">
      <c r="A173" s="13" t="s">
        <v>0</v>
      </c>
      <c r="B173" s="13" t="s">
        <v>2149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0</v>
      </c>
      <c r="B174" s="13" t="s">
        <v>2148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0</v>
      </c>
      <c r="B175" s="13" t="s">
        <v>2996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0</v>
      </c>
      <c r="B176" s="13" t="s">
        <v>476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0</v>
      </c>
      <c r="B177" s="13" t="s">
        <v>997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0</v>
      </c>
      <c r="B178" s="13" t="s">
        <v>98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0</v>
      </c>
      <c r="B179" s="13" t="s">
        <v>795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0</v>
      </c>
      <c r="B180" s="13" t="s">
        <v>1034</v>
      </c>
      <c r="C180" s="13">
        <v>1</v>
      </c>
      <c r="D180" s="13">
        <v>1</v>
      </c>
      <c r="E180" s="13">
        <v>3</v>
      </c>
    </row>
    <row r="181" spans="1:5" x14ac:dyDescent="0.3">
      <c r="A181" s="13" t="s">
        <v>0</v>
      </c>
      <c r="B181" s="13" t="s">
        <v>915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0</v>
      </c>
      <c r="B182" s="13" t="s">
        <v>28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0</v>
      </c>
      <c r="B183" s="13" t="s">
        <v>341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0</v>
      </c>
      <c r="B184" s="13" t="s">
        <v>311</v>
      </c>
      <c r="C184" s="13">
        <v>1</v>
      </c>
      <c r="D184" s="13">
        <v>1</v>
      </c>
      <c r="E184" s="13">
        <v>2</v>
      </c>
    </row>
    <row r="185" spans="1:5" x14ac:dyDescent="0.3">
      <c r="A185" s="13" t="s">
        <v>0</v>
      </c>
      <c r="B185" s="13" t="s">
        <v>615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0</v>
      </c>
      <c r="B186" s="13" t="s">
        <v>394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0</v>
      </c>
      <c r="B187" s="13" t="s">
        <v>1586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167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0</v>
      </c>
      <c r="B189" s="13" t="s">
        <v>168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0</v>
      </c>
      <c r="B190" s="13" t="s">
        <v>1329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0</v>
      </c>
      <c r="B191" s="13" t="s">
        <v>396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0</v>
      </c>
      <c r="B192" s="13" t="s">
        <v>279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0</v>
      </c>
      <c r="B193" s="13" t="s">
        <v>44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0</v>
      </c>
      <c r="B194" s="13" t="s">
        <v>3007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0</v>
      </c>
      <c r="B195" s="13" t="s">
        <v>170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0</v>
      </c>
      <c r="B196" s="13" t="s">
        <v>1283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1056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1376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2555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1497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517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690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1005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251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453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737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3008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523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739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918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771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631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649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121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123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63</v>
      </c>
      <c r="C216" s="13">
        <v>1</v>
      </c>
      <c r="D216" s="13">
        <v>1</v>
      </c>
      <c r="E216" s="13">
        <v>2</v>
      </c>
    </row>
    <row r="217" spans="1:5" x14ac:dyDescent="0.3">
      <c r="A217" s="13" t="s">
        <v>0</v>
      </c>
      <c r="B217" s="13" t="s">
        <v>709</v>
      </c>
      <c r="C217" s="13">
        <v>1</v>
      </c>
      <c r="D217" s="13">
        <v>1</v>
      </c>
      <c r="E217" s="13">
        <v>2</v>
      </c>
    </row>
    <row r="218" spans="1:5" x14ac:dyDescent="0.3">
      <c r="A218" s="13" t="s">
        <v>0</v>
      </c>
      <c r="B218" s="13" t="s">
        <v>255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3009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866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1857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2252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439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2060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0</v>
      </c>
      <c r="B225" s="13" t="s">
        <v>542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0</v>
      </c>
      <c r="B226" s="13" t="s">
        <v>190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0</v>
      </c>
      <c r="B227" s="13" t="s">
        <v>67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0</v>
      </c>
      <c r="B228" s="13" t="s">
        <v>1015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0</v>
      </c>
      <c r="B229" s="13" t="s">
        <v>3010</v>
      </c>
      <c r="C229" s="13">
        <v>1</v>
      </c>
      <c r="D229" s="13">
        <v>1</v>
      </c>
      <c r="E229" s="13">
        <v>2</v>
      </c>
    </row>
    <row r="230" spans="1:5" x14ac:dyDescent="0.3">
      <c r="A230" s="13" t="s">
        <v>0</v>
      </c>
      <c r="B230" s="13" t="s">
        <v>1565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0</v>
      </c>
      <c r="B231" s="13" t="s">
        <v>1545</v>
      </c>
      <c r="C231" s="13">
        <v>1</v>
      </c>
      <c r="D231" s="13">
        <v>3</v>
      </c>
      <c r="E231" s="13"/>
    </row>
    <row r="232" spans="1:5" x14ac:dyDescent="0.3">
      <c r="A232" s="13" t="s">
        <v>0</v>
      </c>
      <c r="B232" s="13" t="s">
        <v>643</v>
      </c>
      <c r="C232" s="13">
        <v>1</v>
      </c>
      <c r="D232" s="13">
        <v>1</v>
      </c>
      <c r="E232" s="13"/>
    </row>
    <row r="233" spans="1:5" x14ac:dyDescent="0.3">
      <c r="A233" s="13" t="s">
        <v>0</v>
      </c>
      <c r="B233" s="13" t="s">
        <v>2282</v>
      </c>
      <c r="C233" s="13">
        <v>1</v>
      </c>
      <c r="D233" s="13">
        <v>1</v>
      </c>
      <c r="E233" s="13"/>
    </row>
    <row r="234" spans="1:5" x14ac:dyDescent="0.3">
      <c r="A234" s="13" t="s">
        <v>0</v>
      </c>
      <c r="B234" s="13" t="s">
        <v>3011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0</v>
      </c>
      <c r="B235" s="13" t="s">
        <v>2355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0</v>
      </c>
      <c r="B236" s="13" t="s">
        <v>32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2</v>
      </c>
      <c r="B237" s="13" t="s">
        <v>150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2</v>
      </c>
      <c r="B238" s="13" t="s">
        <v>151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2</v>
      </c>
      <c r="B239" s="13" t="s">
        <v>354</v>
      </c>
      <c r="C239" s="13">
        <v>2</v>
      </c>
      <c r="D239" s="13">
        <v>1</v>
      </c>
      <c r="E239" s="13">
        <v>2</v>
      </c>
    </row>
    <row r="240" spans="1:5" x14ac:dyDescent="0.3">
      <c r="A240" s="13" t="s">
        <v>2</v>
      </c>
      <c r="B240" s="13" t="s">
        <v>60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2</v>
      </c>
      <c r="B241" s="13" t="s">
        <v>1655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2</v>
      </c>
      <c r="B242" s="13" t="s">
        <v>29</v>
      </c>
      <c r="C242" s="13">
        <v>2</v>
      </c>
      <c r="D242" s="13">
        <v>1</v>
      </c>
      <c r="E242" s="13">
        <v>2</v>
      </c>
    </row>
    <row r="243" spans="1:5" x14ac:dyDescent="0.3">
      <c r="A243" s="13" t="s">
        <v>2</v>
      </c>
      <c r="B243" s="13" t="s">
        <v>120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2</v>
      </c>
      <c r="B244" s="13" t="s">
        <v>529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2</v>
      </c>
      <c r="B245" s="13" t="s">
        <v>1092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2</v>
      </c>
      <c r="B246" s="13" t="s">
        <v>31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2</v>
      </c>
      <c r="B247" s="13" t="s">
        <v>1417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2</v>
      </c>
      <c r="B248" s="13" t="s">
        <v>39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199</v>
      </c>
      <c r="C249" s="13">
        <v>1</v>
      </c>
      <c r="D249" s="13">
        <v>0</v>
      </c>
      <c r="E249" s="13">
        <v>1</v>
      </c>
    </row>
    <row r="250" spans="1:5" x14ac:dyDescent="0.3">
      <c r="A250" s="13" t="s">
        <v>1</v>
      </c>
      <c r="B250" s="13" t="s">
        <v>48</v>
      </c>
      <c r="C250" s="13">
        <v>2</v>
      </c>
      <c r="D250" s="13">
        <v>0</v>
      </c>
      <c r="E250" s="13">
        <v>1</v>
      </c>
    </row>
    <row r="251" spans="1:5" x14ac:dyDescent="0.3">
      <c r="A251" s="13" t="s">
        <v>1</v>
      </c>
      <c r="B251" s="13" t="s">
        <v>203</v>
      </c>
      <c r="C251" s="13">
        <v>1</v>
      </c>
      <c r="D251" s="13">
        <v>0</v>
      </c>
      <c r="E251" s="13">
        <v>1</v>
      </c>
    </row>
    <row r="252" spans="1:5" x14ac:dyDescent="0.3">
      <c r="A252" s="13" t="s">
        <v>1</v>
      </c>
      <c r="B252" s="13" t="s">
        <v>349</v>
      </c>
      <c r="C252" s="13">
        <v>1</v>
      </c>
      <c r="D252" s="13">
        <v>0</v>
      </c>
      <c r="E252" s="13">
        <v>1</v>
      </c>
    </row>
    <row r="253" spans="1:5" x14ac:dyDescent="0.3">
      <c r="A253" s="13" t="s">
        <v>1</v>
      </c>
      <c r="B253" s="13" t="s">
        <v>85</v>
      </c>
      <c r="C253" s="13">
        <v>1</v>
      </c>
      <c r="D253" s="13">
        <v>0</v>
      </c>
      <c r="E253" s="13">
        <v>1</v>
      </c>
    </row>
    <row r="254" spans="1:5" x14ac:dyDescent="0.3">
      <c r="A254" s="13" t="s">
        <v>1</v>
      </c>
      <c r="B254" s="13" t="s">
        <v>611</v>
      </c>
      <c r="C254" s="13">
        <v>1</v>
      </c>
      <c r="D254" s="13">
        <v>0</v>
      </c>
      <c r="E254" s="13">
        <v>1</v>
      </c>
    </row>
    <row r="255" spans="1:5" x14ac:dyDescent="0.3">
      <c r="A255" s="13" t="s">
        <v>1</v>
      </c>
      <c r="B255" s="13" t="s">
        <v>471</v>
      </c>
      <c r="C255" s="13">
        <v>1</v>
      </c>
      <c r="D255" s="13">
        <v>0</v>
      </c>
      <c r="E255" s="13">
        <v>0</v>
      </c>
    </row>
    <row r="256" spans="1:5" x14ac:dyDescent="0.3">
      <c r="A256" s="13" t="s">
        <v>1</v>
      </c>
      <c r="B256" s="13" t="s">
        <v>1900</v>
      </c>
      <c r="C256" s="13">
        <v>1</v>
      </c>
      <c r="D256" s="13">
        <v>0</v>
      </c>
      <c r="E256" s="13">
        <v>1</v>
      </c>
    </row>
    <row r="257" spans="1:5" x14ac:dyDescent="0.3">
      <c r="A257" s="13" t="s">
        <v>1</v>
      </c>
      <c r="B257" s="13" t="s">
        <v>1960</v>
      </c>
      <c r="C257" s="13">
        <v>1</v>
      </c>
      <c r="D257" s="13">
        <v>0</v>
      </c>
      <c r="E257" s="13">
        <v>1</v>
      </c>
    </row>
    <row r="258" spans="1:5" x14ac:dyDescent="0.3">
      <c r="A258" s="13" t="s">
        <v>1</v>
      </c>
      <c r="B258" s="13" t="s">
        <v>2335</v>
      </c>
      <c r="C258" s="13">
        <v>1</v>
      </c>
      <c r="D258" s="13">
        <v>0</v>
      </c>
      <c r="E258" s="13">
        <v>1</v>
      </c>
    </row>
    <row r="259" spans="1:5" x14ac:dyDescent="0.3">
      <c r="A259" s="13" t="s">
        <v>1</v>
      </c>
      <c r="B259" s="13" t="s">
        <v>2762</v>
      </c>
      <c r="C259" s="13">
        <v>1</v>
      </c>
      <c r="D259" s="13">
        <v>0</v>
      </c>
      <c r="E259" s="13">
        <v>1</v>
      </c>
    </row>
    <row r="260" spans="1:5" x14ac:dyDescent="0.3">
      <c r="A260" s="13" t="s">
        <v>1</v>
      </c>
      <c r="B260" s="13" t="s">
        <v>1033</v>
      </c>
      <c r="C260" s="13">
        <v>1</v>
      </c>
      <c r="D260" s="13">
        <v>0</v>
      </c>
      <c r="E260" s="13">
        <v>1</v>
      </c>
    </row>
    <row r="261" spans="1:5" x14ac:dyDescent="0.3">
      <c r="A261" s="13" t="s">
        <v>1</v>
      </c>
      <c r="B261" s="13" t="s">
        <v>1385</v>
      </c>
      <c r="C261" s="13">
        <v>1</v>
      </c>
      <c r="D261" s="13">
        <v>0</v>
      </c>
      <c r="E261" s="13">
        <v>2</v>
      </c>
    </row>
    <row r="262" spans="1:5" x14ac:dyDescent="0.3">
      <c r="A262" s="13" t="s">
        <v>1</v>
      </c>
      <c r="B262" s="13" t="s">
        <v>428</v>
      </c>
      <c r="C262" s="13">
        <v>1</v>
      </c>
      <c r="D262" s="13">
        <v>0</v>
      </c>
      <c r="E262" s="13">
        <v>1</v>
      </c>
    </row>
    <row r="263" spans="1:5" x14ac:dyDescent="0.3">
      <c r="A263" s="13" t="s">
        <v>1</v>
      </c>
      <c r="B263" s="13" t="s">
        <v>999</v>
      </c>
      <c r="C263" s="13">
        <v>1</v>
      </c>
      <c r="D263" s="13">
        <v>0</v>
      </c>
      <c r="E263" s="13">
        <v>1</v>
      </c>
    </row>
    <row r="264" spans="1:5" x14ac:dyDescent="0.3">
      <c r="A264" s="13" t="s">
        <v>1</v>
      </c>
      <c r="B264" s="13" t="s">
        <v>1872</v>
      </c>
      <c r="C264" s="13">
        <v>1</v>
      </c>
      <c r="D264" s="13">
        <v>0</v>
      </c>
      <c r="E264" s="13">
        <v>1</v>
      </c>
    </row>
    <row r="265" spans="1:5" x14ac:dyDescent="0.3">
      <c r="A265" s="13" t="s">
        <v>1</v>
      </c>
      <c r="B265" s="13" t="s">
        <v>937</v>
      </c>
      <c r="C265" s="13">
        <v>1</v>
      </c>
      <c r="D265" s="13">
        <v>0</v>
      </c>
      <c r="E265" s="13">
        <v>0</v>
      </c>
    </row>
    <row r="266" spans="1:5" x14ac:dyDescent="0.3">
      <c r="A266" s="13" t="s">
        <v>1</v>
      </c>
      <c r="B266" s="13" t="s">
        <v>161</v>
      </c>
      <c r="C266" s="13">
        <v>1</v>
      </c>
      <c r="D266" s="13">
        <v>0</v>
      </c>
      <c r="E266" s="13">
        <v>1</v>
      </c>
    </row>
    <row r="267" spans="1:5" x14ac:dyDescent="0.3">
      <c r="A267" s="13" t="s">
        <v>1</v>
      </c>
      <c r="B267" s="13" t="s">
        <v>1332</v>
      </c>
      <c r="C267" s="13">
        <v>1</v>
      </c>
      <c r="D267" s="13">
        <v>0</v>
      </c>
      <c r="E267" s="13">
        <v>1</v>
      </c>
    </row>
    <row r="268" spans="1:5" x14ac:dyDescent="0.3">
      <c r="A268" s="13" t="s">
        <v>1</v>
      </c>
      <c r="B268" s="13" t="s">
        <v>113</v>
      </c>
      <c r="C268" s="13">
        <v>1</v>
      </c>
      <c r="D268" s="13">
        <v>0</v>
      </c>
      <c r="E268" s="13">
        <v>0</v>
      </c>
    </row>
    <row r="269" spans="1:5" x14ac:dyDescent="0.3">
      <c r="A269" s="13" t="s">
        <v>1</v>
      </c>
      <c r="B269" s="13" t="s">
        <v>622</v>
      </c>
      <c r="C269" s="13">
        <v>1</v>
      </c>
      <c r="D269" s="13">
        <v>0</v>
      </c>
      <c r="E269" s="13">
        <v>1</v>
      </c>
    </row>
    <row r="270" spans="1:5" x14ac:dyDescent="0.3">
      <c r="A270" s="13" t="s">
        <v>1</v>
      </c>
      <c r="B270" s="13" t="s">
        <v>226</v>
      </c>
      <c r="C270" s="13">
        <v>1</v>
      </c>
      <c r="D270" s="13">
        <v>0</v>
      </c>
      <c r="E270" s="13">
        <v>1</v>
      </c>
    </row>
    <row r="271" spans="1:5" x14ac:dyDescent="0.3">
      <c r="A271" s="13" t="s">
        <v>1</v>
      </c>
      <c r="B271" s="13" t="s">
        <v>580</v>
      </c>
      <c r="C271" s="13">
        <v>1</v>
      </c>
      <c r="D271" s="13">
        <v>0</v>
      </c>
      <c r="E271" s="13">
        <v>2</v>
      </c>
    </row>
    <row r="272" spans="1:5" x14ac:dyDescent="0.3">
      <c r="A272" s="13" t="s">
        <v>1</v>
      </c>
      <c r="B272" s="13" t="s">
        <v>172</v>
      </c>
      <c r="C272" s="13">
        <v>1</v>
      </c>
      <c r="D272" s="13">
        <v>0</v>
      </c>
      <c r="E272" s="13">
        <v>1</v>
      </c>
    </row>
    <row r="273" spans="1:5" x14ac:dyDescent="0.3">
      <c r="A273" s="13" t="s">
        <v>1</v>
      </c>
      <c r="B273" s="13" t="s">
        <v>2914</v>
      </c>
      <c r="C273" s="13">
        <v>1</v>
      </c>
      <c r="D273" s="13">
        <v>0</v>
      </c>
      <c r="E273" s="13">
        <v>1</v>
      </c>
    </row>
    <row r="274" spans="1:5" x14ac:dyDescent="0.3">
      <c r="A274" s="13" t="s">
        <v>1</v>
      </c>
      <c r="B274" s="13" t="s">
        <v>1713</v>
      </c>
      <c r="C274" s="13">
        <v>1</v>
      </c>
      <c r="D274" s="13">
        <v>0</v>
      </c>
      <c r="E274" s="13">
        <v>1</v>
      </c>
    </row>
    <row r="275" spans="1:5" x14ac:dyDescent="0.3">
      <c r="A275" s="13" t="s">
        <v>1</v>
      </c>
      <c r="B275" s="13" t="s">
        <v>537</v>
      </c>
      <c r="C275" s="13">
        <v>1</v>
      </c>
      <c r="D275" s="13">
        <v>0</v>
      </c>
      <c r="E275" s="13">
        <v>1</v>
      </c>
    </row>
    <row r="276" spans="1:5" x14ac:dyDescent="0.3">
      <c r="A276" s="13" t="s">
        <v>1</v>
      </c>
      <c r="B276" s="13" t="s">
        <v>191</v>
      </c>
      <c r="C276" s="13">
        <v>3</v>
      </c>
      <c r="D276" s="13">
        <v>0</v>
      </c>
      <c r="E276" s="13">
        <v>4</v>
      </c>
    </row>
    <row r="277" spans="1:5" x14ac:dyDescent="0.3">
      <c r="A277" s="13" t="s">
        <v>1</v>
      </c>
      <c r="B277" s="13" t="s">
        <v>365</v>
      </c>
      <c r="C277" s="13">
        <v>2</v>
      </c>
      <c r="D277" s="13">
        <v>0</v>
      </c>
      <c r="E277" s="13">
        <v>2</v>
      </c>
    </row>
    <row r="278" spans="1:5" x14ac:dyDescent="0.3">
      <c r="A278" s="13" t="s">
        <v>1</v>
      </c>
      <c r="B278" s="13" t="s">
        <v>192</v>
      </c>
      <c r="C278" s="13">
        <v>1</v>
      </c>
      <c r="D278" s="13">
        <v>0</v>
      </c>
      <c r="E278" s="13">
        <v>1</v>
      </c>
    </row>
    <row r="279" spans="1:5" x14ac:dyDescent="0.3">
      <c r="A279" s="13" t="s">
        <v>1</v>
      </c>
      <c r="B279" s="13" t="s">
        <v>39</v>
      </c>
      <c r="C279" s="13">
        <v>3</v>
      </c>
      <c r="D279" s="13">
        <v>0</v>
      </c>
      <c r="E279" s="13">
        <v>3</v>
      </c>
    </row>
    <row r="280" spans="1:5" x14ac:dyDescent="0.3">
      <c r="A280" s="13" t="s">
        <v>1</v>
      </c>
      <c r="B280" s="13" t="s">
        <v>54</v>
      </c>
      <c r="C280" s="13">
        <v>1</v>
      </c>
      <c r="D280" s="13">
        <v>0</v>
      </c>
      <c r="E280" s="13">
        <v>1</v>
      </c>
    </row>
    <row r="281" spans="1:5" x14ac:dyDescent="0.3">
      <c r="A281" s="13" t="s">
        <v>1</v>
      </c>
      <c r="B281" s="13" t="s">
        <v>234</v>
      </c>
      <c r="C281" s="13">
        <v>2</v>
      </c>
      <c r="D281" s="13">
        <v>0</v>
      </c>
      <c r="E281" s="13">
        <v>2</v>
      </c>
    </row>
    <row r="282" spans="1:5" x14ac:dyDescent="0.3">
      <c r="A282" s="13" t="s">
        <v>1</v>
      </c>
      <c r="B282" s="13" t="s">
        <v>640</v>
      </c>
      <c r="C282" s="13">
        <v>1</v>
      </c>
      <c r="D282" s="13">
        <v>0</v>
      </c>
      <c r="E282" s="13">
        <v>1</v>
      </c>
    </row>
    <row r="283" spans="1:5" x14ac:dyDescent="0.3">
      <c r="A283" s="13" t="s">
        <v>1</v>
      </c>
      <c r="B283" s="13" t="s">
        <v>136</v>
      </c>
      <c r="C283" s="13">
        <v>0</v>
      </c>
      <c r="D283" s="13">
        <v>2</v>
      </c>
      <c r="E283" s="13"/>
    </row>
    <row r="284" spans="1:5" x14ac:dyDescent="0.3">
      <c r="A284" s="13" t="s">
        <v>1</v>
      </c>
      <c r="B284" s="13" t="s">
        <v>641</v>
      </c>
      <c r="C284" s="13">
        <v>0</v>
      </c>
      <c r="D284" s="13">
        <v>1</v>
      </c>
      <c r="E284" s="13"/>
    </row>
    <row r="285" spans="1:5" x14ac:dyDescent="0.3">
      <c r="A285" s="13" t="s">
        <v>1</v>
      </c>
      <c r="B285" s="13" t="s">
        <v>3012</v>
      </c>
      <c r="C285" s="13">
        <v>1</v>
      </c>
      <c r="D285" s="13">
        <v>0</v>
      </c>
      <c r="E285" s="13">
        <v>1</v>
      </c>
    </row>
    <row r="286" spans="1:5" x14ac:dyDescent="0.3">
      <c r="A286" s="13" t="s">
        <v>1</v>
      </c>
      <c r="B286" s="13" t="s">
        <v>2348</v>
      </c>
      <c r="C286" s="13">
        <v>1</v>
      </c>
      <c r="D286" s="13">
        <v>0</v>
      </c>
      <c r="E286" s="13">
        <v>1</v>
      </c>
    </row>
    <row r="287" spans="1:5" x14ac:dyDescent="0.3">
      <c r="A287" s="13" t="s">
        <v>1</v>
      </c>
      <c r="B287" s="13" t="s">
        <v>2349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0</v>
      </c>
      <c r="B288" s="13" t="s">
        <v>36</v>
      </c>
      <c r="C288" s="13">
        <v>1</v>
      </c>
      <c r="D288" s="13">
        <v>0</v>
      </c>
      <c r="E288" s="13">
        <v>1</v>
      </c>
    </row>
    <row r="289" spans="1:5" x14ac:dyDescent="0.3">
      <c r="A289" s="13" t="s">
        <v>0</v>
      </c>
      <c r="B289" s="13" t="s">
        <v>497</v>
      </c>
      <c r="C289" s="13">
        <v>1</v>
      </c>
      <c r="D289" s="13">
        <v>0</v>
      </c>
      <c r="E289" s="13">
        <v>1</v>
      </c>
    </row>
    <row r="290" spans="1:5" x14ac:dyDescent="0.3">
      <c r="A290" s="13" t="s">
        <v>0</v>
      </c>
      <c r="B290" s="13" t="s">
        <v>1687</v>
      </c>
      <c r="C290" s="13">
        <v>1</v>
      </c>
      <c r="D290" s="13">
        <v>0</v>
      </c>
      <c r="E290" s="13">
        <v>1</v>
      </c>
    </row>
    <row r="291" spans="1:5" x14ac:dyDescent="0.3">
      <c r="A291" s="13" t="s">
        <v>0</v>
      </c>
      <c r="B291" s="13" t="s">
        <v>349</v>
      </c>
      <c r="C291" s="13">
        <v>1</v>
      </c>
      <c r="D291" s="13">
        <v>0</v>
      </c>
      <c r="E291" s="13">
        <v>1</v>
      </c>
    </row>
    <row r="292" spans="1:5" x14ac:dyDescent="0.3">
      <c r="A292" s="13" t="s">
        <v>0</v>
      </c>
      <c r="B292" s="13" t="s">
        <v>152</v>
      </c>
      <c r="C292" s="13">
        <v>1</v>
      </c>
      <c r="D292" s="13">
        <v>0</v>
      </c>
      <c r="E292" s="13">
        <v>1</v>
      </c>
    </row>
    <row r="293" spans="1:5" x14ac:dyDescent="0.3">
      <c r="A293" s="13" t="s">
        <v>0</v>
      </c>
      <c r="B293" s="13" t="s">
        <v>1578</v>
      </c>
      <c r="C293" s="13">
        <v>2</v>
      </c>
      <c r="D293" s="13">
        <v>0</v>
      </c>
      <c r="E293" s="13">
        <v>2</v>
      </c>
    </row>
    <row r="294" spans="1:5" x14ac:dyDescent="0.3">
      <c r="A294" s="13" t="s">
        <v>0</v>
      </c>
      <c r="B294" s="13" t="s">
        <v>618</v>
      </c>
      <c r="C294" s="13">
        <v>1</v>
      </c>
      <c r="D294" s="13">
        <v>0</v>
      </c>
      <c r="E294" s="13">
        <v>1</v>
      </c>
    </row>
    <row r="295" spans="1:5" x14ac:dyDescent="0.3">
      <c r="A295" s="13" t="s">
        <v>0</v>
      </c>
      <c r="B295" s="13" t="s">
        <v>111</v>
      </c>
      <c r="C295" s="13">
        <v>1</v>
      </c>
      <c r="D295" s="13">
        <v>0</v>
      </c>
      <c r="E295" s="13">
        <v>1</v>
      </c>
    </row>
    <row r="296" spans="1:5" x14ac:dyDescent="0.3">
      <c r="A296" s="13" t="s">
        <v>0</v>
      </c>
      <c r="B296" s="13" t="s">
        <v>1478</v>
      </c>
      <c r="C296" s="13">
        <v>1</v>
      </c>
      <c r="D296" s="13">
        <v>0</v>
      </c>
      <c r="E296" s="13">
        <v>1</v>
      </c>
    </row>
    <row r="297" spans="1:5" x14ac:dyDescent="0.3">
      <c r="A297" s="13" t="s">
        <v>0</v>
      </c>
      <c r="B297" s="13" t="s">
        <v>2066</v>
      </c>
      <c r="C297" s="13">
        <v>1</v>
      </c>
      <c r="D297" s="13">
        <v>0</v>
      </c>
      <c r="E297" s="13">
        <v>1</v>
      </c>
    </row>
    <row r="298" spans="1:5" x14ac:dyDescent="0.3">
      <c r="A298" s="13" t="s">
        <v>0</v>
      </c>
      <c r="B298" s="13" t="s">
        <v>1142</v>
      </c>
      <c r="C298" s="13">
        <v>1</v>
      </c>
      <c r="D298" s="13">
        <v>0</v>
      </c>
      <c r="E298" s="13">
        <v>1</v>
      </c>
    </row>
    <row r="299" spans="1:5" x14ac:dyDescent="0.3">
      <c r="A299" s="13" t="s">
        <v>0</v>
      </c>
      <c r="B299" s="13" t="s">
        <v>39</v>
      </c>
      <c r="C299" s="13">
        <v>1</v>
      </c>
      <c r="D299" s="13">
        <v>0</v>
      </c>
      <c r="E299" s="13">
        <v>1</v>
      </c>
    </row>
    <row r="300" spans="1:5" x14ac:dyDescent="0.3">
      <c r="A300" s="13" t="s">
        <v>0</v>
      </c>
      <c r="B300" s="13" t="s">
        <v>3013</v>
      </c>
      <c r="C300" s="13">
        <v>1</v>
      </c>
      <c r="D300" s="13">
        <v>0</v>
      </c>
      <c r="E300" s="13">
        <v>1</v>
      </c>
    </row>
    <row r="301" spans="1:5" x14ac:dyDescent="0.3">
      <c r="A301" s="13" t="s">
        <v>2</v>
      </c>
      <c r="B301" s="13" t="s">
        <v>77</v>
      </c>
      <c r="C301" s="13">
        <v>1</v>
      </c>
      <c r="D301" s="13">
        <v>0</v>
      </c>
      <c r="E301" s="13">
        <v>1</v>
      </c>
    </row>
    <row r="302" spans="1:5" x14ac:dyDescent="0.3">
      <c r="A302" s="13" t="s">
        <v>2</v>
      </c>
      <c r="B302" s="13" t="s">
        <v>94</v>
      </c>
      <c r="C302" s="13">
        <v>1</v>
      </c>
      <c r="D302" s="13">
        <v>0</v>
      </c>
      <c r="E302" s="13">
        <v>1</v>
      </c>
    </row>
    <row r="303" spans="1:5" x14ac:dyDescent="0.3">
      <c r="A303" s="13" t="s">
        <v>2</v>
      </c>
      <c r="B303" s="13" t="s">
        <v>1663</v>
      </c>
      <c r="C303" s="13">
        <v>1</v>
      </c>
      <c r="D303" s="13">
        <v>0</v>
      </c>
      <c r="E303" s="13">
        <v>1</v>
      </c>
    </row>
    <row r="304" spans="1:5" x14ac:dyDescent="0.3">
      <c r="A304" s="13"/>
      <c r="B304" s="13"/>
      <c r="C304" s="13"/>
      <c r="D304" s="13"/>
      <c r="E304" s="13"/>
    </row>
    <row r="305" spans="1:5" x14ac:dyDescent="0.3">
      <c r="A305" s="13"/>
      <c r="B305" s="13"/>
      <c r="C305" s="13"/>
      <c r="D305" s="13"/>
      <c r="E305" s="13"/>
    </row>
    <row r="306" spans="1:5" x14ac:dyDescent="0.3">
      <c r="A306" s="13"/>
      <c r="B306" s="13"/>
      <c r="C306" s="13"/>
      <c r="D306" s="13"/>
      <c r="E306" s="13"/>
    </row>
    <row r="307" spans="1:5" x14ac:dyDescent="0.3">
      <c r="A307" s="13"/>
      <c r="B307" s="13"/>
      <c r="C307" s="13"/>
      <c r="D307" s="13"/>
      <c r="E307" s="13"/>
    </row>
    <row r="308" spans="1:5" x14ac:dyDescent="0.3">
      <c r="A308" s="13"/>
      <c r="B308" s="13"/>
      <c r="C308" s="13"/>
      <c r="D308" s="13"/>
      <c r="E308" s="13"/>
    </row>
    <row r="309" spans="1:5" x14ac:dyDescent="0.3">
      <c r="A309" s="13"/>
      <c r="B309" s="13"/>
      <c r="C309" s="13"/>
      <c r="D309" s="13"/>
      <c r="E309" s="13"/>
    </row>
    <row r="310" spans="1:5" x14ac:dyDescent="0.3">
      <c r="A310" s="13"/>
      <c r="B310" s="13"/>
      <c r="C310" s="13"/>
      <c r="D310" s="13"/>
      <c r="E310" s="13"/>
    </row>
    <row r="311" spans="1:5" x14ac:dyDescent="0.3">
      <c r="A311" s="13"/>
      <c r="B311" s="13"/>
      <c r="C311" s="13"/>
      <c r="D311" s="13"/>
      <c r="E311" s="13"/>
    </row>
    <row r="312" spans="1:5" x14ac:dyDescent="0.3">
      <c r="A312" s="13"/>
      <c r="B312" s="13"/>
      <c r="C312" s="13"/>
      <c r="D312" s="13"/>
      <c r="E312" s="13"/>
    </row>
    <row r="313" spans="1:5" x14ac:dyDescent="0.3">
      <c r="A313" s="13"/>
      <c r="B313" s="13"/>
      <c r="C313" s="13"/>
      <c r="D313" s="13"/>
      <c r="E313" s="13"/>
    </row>
    <row r="314" spans="1:5" x14ac:dyDescent="0.3">
      <c r="A314" s="13"/>
      <c r="B314" s="13"/>
      <c r="C314" s="13"/>
      <c r="D314" s="13"/>
      <c r="E314" s="13"/>
    </row>
    <row r="315" spans="1:5" x14ac:dyDescent="0.3">
      <c r="A315" s="13"/>
      <c r="B315" s="13"/>
      <c r="C315" s="13"/>
      <c r="D315" s="13"/>
      <c r="E315" s="13"/>
    </row>
    <row r="316" spans="1:5" x14ac:dyDescent="0.3">
      <c r="A316" s="13"/>
      <c r="B316" s="13"/>
      <c r="C316" s="13"/>
      <c r="D316" s="13"/>
      <c r="E316" s="13"/>
    </row>
    <row r="317" spans="1:5" x14ac:dyDescent="0.3">
      <c r="A317" s="13"/>
      <c r="B317" s="13"/>
      <c r="C317" s="13"/>
      <c r="D317" s="13"/>
      <c r="E317" s="13"/>
    </row>
    <row r="318" spans="1:5" x14ac:dyDescent="0.3">
      <c r="A318" s="13"/>
      <c r="B318" s="13"/>
      <c r="C318" s="13"/>
      <c r="D318" s="13"/>
      <c r="E318" s="13"/>
    </row>
    <row r="319" spans="1:5" x14ac:dyDescent="0.3">
      <c r="A319" s="13"/>
      <c r="B319" s="13"/>
      <c r="C319" s="13"/>
      <c r="D319" s="13"/>
      <c r="E319" s="13"/>
    </row>
    <row r="320" spans="1:5" x14ac:dyDescent="0.3">
      <c r="A320" s="13"/>
      <c r="B320" s="13"/>
      <c r="C320" s="13"/>
      <c r="D320" s="13"/>
      <c r="E320" s="13"/>
    </row>
    <row r="321" spans="1:5" x14ac:dyDescent="0.3">
      <c r="A321" s="13"/>
      <c r="B321" s="13"/>
      <c r="C321" s="13"/>
      <c r="D321" s="13"/>
      <c r="E321" s="13"/>
    </row>
    <row r="322" spans="1:5" x14ac:dyDescent="0.3">
      <c r="A322" s="13"/>
      <c r="B322" s="13"/>
      <c r="C322" s="13"/>
      <c r="D322" s="13"/>
      <c r="E322" s="13"/>
    </row>
    <row r="323" spans="1:5" x14ac:dyDescent="0.3">
      <c r="A323" s="13"/>
      <c r="B323" s="13"/>
      <c r="C323" s="13"/>
      <c r="D323" s="13"/>
      <c r="E323" s="13"/>
    </row>
    <row r="324" spans="1:5" x14ac:dyDescent="0.3">
      <c r="A324" s="13"/>
      <c r="B324" s="13"/>
      <c r="C324" s="13"/>
      <c r="D324" s="13"/>
      <c r="E324" s="13"/>
    </row>
    <row r="325" spans="1:5" x14ac:dyDescent="0.3">
      <c r="A325" s="13"/>
      <c r="B325" s="13"/>
      <c r="C325" s="13"/>
      <c r="D325" s="13"/>
      <c r="E325" s="13"/>
    </row>
    <row r="326" spans="1:5" x14ac:dyDescent="0.3">
      <c r="A326" s="13"/>
      <c r="B326" s="13"/>
      <c r="C326" s="13"/>
      <c r="D326" s="13"/>
      <c r="E326" s="13"/>
    </row>
    <row r="327" spans="1:5" x14ac:dyDescent="0.3">
      <c r="A327" s="13"/>
      <c r="B327" s="13"/>
      <c r="C327" s="13"/>
      <c r="D327" s="13"/>
      <c r="E327" s="13"/>
    </row>
    <row r="328" spans="1:5" x14ac:dyDescent="0.3">
      <c r="A328" s="13"/>
      <c r="B328" s="13"/>
      <c r="C328" s="13"/>
      <c r="D328" s="13"/>
      <c r="E328" s="13"/>
    </row>
    <row r="329" spans="1:5" x14ac:dyDescent="0.3">
      <c r="A329" s="13"/>
      <c r="B329" s="13"/>
      <c r="C329" s="13"/>
      <c r="D329" s="13"/>
      <c r="E329" s="13"/>
    </row>
    <row r="330" spans="1:5" x14ac:dyDescent="0.3">
      <c r="A330" s="13"/>
      <c r="B330" s="13"/>
      <c r="C330" s="13"/>
      <c r="D330" s="13"/>
      <c r="E330" s="13"/>
    </row>
    <row r="331" spans="1:5" x14ac:dyDescent="0.3">
      <c r="A331" s="13"/>
      <c r="B331" s="13"/>
      <c r="C331" s="13"/>
      <c r="D331" s="13"/>
      <c r="E331" s="13"/>
    </row>
    <row r="332" spans="1:5" x14ac:dyDescent="0.3">
      <c r="A332" s="13"/>
      <c r="B332" s="13"/>
      <c r="C332" s="13"/>
      <c r="D332" s="13"/>
      <c r="E332" s="13"/>
    </row>
    <row r="333" spans="1:5" x14ac:dyDescent="0.3">
      <c r="A333" s="13"/>
      <c r="B333" s="13"/>
      <c r="C333" s="13"/>
      <c r="D333" s="13"/>
      <c r="E333" s="13"/>
    </row>
    <row r="334" spans="1:5" x14ac:dyDescent="0.3">
      <c r="A334" s="13"/>
      <c r="B334" s="13"/>
      <c r="C334" s="13"/>
      <c r="D334" s="13"/>
      <c r="E334" s="13"/>
    </row>
    <row r="335" spans="1:5" x14ac:dyDescent="0.3">
      <c r="A335" s="13"/>
      <c r="B335" s="13"/>
      <c r="C335" s="13"/>
      <c r="D335" s="13"/>
      <c r="E335" s="13"/>
    </row>
    <row r="336" spans="1:5" x14ac:dyDescent="0.3">
      <c r="A336" s="13"/>
      <c r="B336" s="13"/>
      <c r="C336" s="13"/>
      <c r="D336" s="13"/>
      <c r="E336" s="13"/>
    </row>
    <row r="337" spans="1:5" x14ac:dyDescent="0.3">
      <c r="A337" s="13"/>
      <c r="B337" s="13"/>
      <c r="C337" s="13"/>
      <c r="D337" s="13"/>
      <c r="E337" s="13"/>
    </row>
    <row r="338" spans="1:5" x14ac:dyDescent="0.3">
      <c r="A338" s="13"/>
      <c r="B338" s="13"/>
      <c r="C338" s="13"/>
      <c r="D338" s="13"/>
      <c r="E338" s="13"/>
    </row>
    <row r="339" spans="1:5" x14ac:dyDescent="0.3">
      <c r="A339" s="13"/>
      <c r="B339" s="13"/>
      <c r="C339" s="13"/>
      <c r="D339" s="13"/>
      <c r="E339" s="13"/>
    </row>
    <row r="340" spans="1:5" x14ac:dyDescent="0.3">
      <c r="A340" s="13"/>
      <c r="B340" s="13"/>
      <c r="C340" s="13"/>
      <c r="D340" s="13"/>
      <c r="E340" s="13"/>
    </row>
    <row r="341" spans="1:5" x14ac:dyDescent="0.3">
      <c r="A341" s="13"/>
      <c r="B341" s="13"/>
      <c r="C341" s="13"/>
      <c r="D341" s="13"/>
      <c r="E341" s="13"/>
    </row>
    <row r="342" spans="1:5" x14ac:dyDescent="0.3">
      <c r="A342" s="13"/>
      <c r="B342" s="13"/>
      <c r="C342" s="13"/>
      <c r="D342" s="13"/>
      <c r="E342" s="13"/>
    </row>
    <row r="343" spans="1:5" x14ac:dyDescent="0.3">
      <c r="A343" s="13"/>
      <c r="B343" s="13"/>
      <c r="C343" s="13"/>
      <c r="D343" s="13"/>
      <c r="E343" s="13"/>
    </row>
    <row r="344" spans="1:5" x14ac:dyDescent="0.3">
      <c r="A344" s="13"/>
      <c r="B344" s="13"/>
      <c r="C344" s="13"/>
      <c r="D344" s="13"/>
      <c r="E344" s="13"/>
    </row>
    <row r="345" spans="1:5" x14ac:dyDescent="0.3">
      <c r="A345" s="13"/>
      <c r="B345" s="13"/>
      <c r="C345" s="13"/>
      <c r="D345" s="13"/>
      <c r="E345" s="13"/>
    </row>
    <row r="346" spans="1:5" x14ac:dyDescent="0.3">
      <c r="A346" s="13"/>
      <c r="B346" s="13"/>
      <c r="C346" s="13"/>
      <c r="D346" s="13"/>
      <c r="E346" s="13"/>
    </row>
    <row r="347" spans="1:5" x14ac:dyDescent="0.3">
      <c r="A347" s="13"/>
      <c r="B347" s="13"/>
      <c r="C347" s="13"/>
      <c r="D347" s="13"/>
      <c r="E347" s="13"/>
    </row>
    <row r="348" spans="1:5" x14ac:dyDescent="0.3">
      <c r="A348" s="13"/>
      <c r="B348" s="13"/>
      <c r="C348" s="13"/>
      <c r="D348" s="13"/>
      <c r="E348" s="13"/>
    </row>
    <row r="349" spans="1:5" x14ac:dyDescent="0.3">
      <c r="A349" s="13"/>
      <c r="B349" s="13"/>
      <c r="C349" s="13"/>
      <c r="D349" s="13"/>
      <c r="E349" s="13"/>
    </row>
    <row r="350" spans="1:5" x14ac:dyDescent="0.3">
      <c r="A350" s="13"/>
      <c r="B350" s="13"/>
      <c r="C350" s="13"/>
      <c r="D350" s="13"/>
      <c r="E350" s="13"/>
    </row>
    <row r="351" spans="1:5" x14ac:dyDescent="0.3">
      <c r="A351" s="13"/>
      <c r="B351" s="13"/>
      <c r="C351" s="13"/>
      <c r="D351" s="13"/>
      <c r="E351" s="13"/>
    </row>
    <row r="352" spans="1:5" x14ac:dyDescent="0.3">
      <c r="A352" s="13"/>
      <c r="B352" s="13"/>
      <c r="C352" s="13"/>
      <c r="D352" s="13"/>
      <c r="E352" s="13"/>
    </row>
    <row r="353" spans="1:5" x14ac:dyDescent="0.3">
      <c r="A353" s="13"/>
      <c r="B353" s="13"/>
      <c r="C353" s="13"/>
      <c r="D353" s="13"/>
      <c r="E353" s="13"/>
    </row>
    <row r="354" spans="1:5" x14ac:dyDescent="0.3">
      <c r="A354" s="13"/>
      <c r="B354" s="13"/>
      <c r="C354" s="13"/>
      <c r="D354" s="13"/>
      <c r="E354" s="13"/>
    </row>
    <row r="355" spans="1:5" x14ac:dyDescent="0.3">
      <c r="A355" s="13"/>
      <c r="B355" s="13"/>
      <c r="C355" s="13"/>
      <c r="D355" s="13"/>
      <c r="E355" s="13"/>
    </row>
    <row r="356" spans="1:5" x14ac:dyDescent="0.3">
      <c r="A356" s="13"/>
      <c r="B356" s="13"/>
      <c r="C356" s="13"/>
      <c r="D356" s="13"/>
      <c r="E356" s="13"/>
    </row>
    <row r="357" spans="1:5" x14ac:dyDescent="0.3">
      <c r="A357" s="13"/>
      <c r="B357" s="13"/>
      <c r="C357" s="13"/>
      <c r="D357" s="13"/>
      <c r="E357" s="13"/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33</vt:i4>
      </vt:variant>
    </vt:vector>
  </HeadingPairs>
  <TitlesOfParts>
    <vt:vector size="33" baseType="lpstr">
      <vt:lpstr>통합</vt:lpstr>
      <vt:lpstr>서식</vt:lpstr>
      <vt:lpstr>8.1</vt:lpstr>
      <vt:lpstr>8.2</vt:lpstr>
      <vt:lpstr>8.3</vt:lpstr>
      <vt:lpstr>8.4</vt:lpstr>
      <vt:lpstr>8.5</vt:lpstr>
      <vt:lpstr>8.6</vt:lpstr>
      <vt:lpstr>8.7</vt:lpstr>
      <vt:lpstr>8.8</vt:lpstr>
      <vt:lpstr>8.9</vt:lpstr>
      <vt:lpstr>8.10</vt:lpstr>
      <vt:lpstr>8.11</vt:lpstr>
      <vt:lpstr>8.12</vt:lpstr>
      <vt:lpstr>8.13</vt:lpstr>
      <vt:lpstr>8.14</vt:lpstr>
      <vt:lpstr>8.15</vt:lpstr>
      <vt:lpstr>8.16</vt:lpstr>
      <vt:lpstr>8.17</vt:lpstr>
      <vt:lpstr>8.18</vt:lpstr>
      <vt:lpstr>8.19</vt:lpstr>
      <vt:lpstr>8.20</vt:lpstr>
      <vt:lpstr>8.21</vt:lpstr>
      <vt:lpstr>8.22</vt:lpstr>
      <vt:lpstr>8.23</vt:lpstr>
      <vt:lpstr>8.24</vt:lpstr>
      <vt:lpstr>8.25</vt:lpstr>
      <vt:lpstr>8.26</vt:lpstr>
      <vt:lpstr>8.27</vt:lpstr>
      <vt:lpstr>8.28</vt:lpstr>
      <vt:lpstr>8.29</vt:lpstr>
      <vt:lpstr>8.30</vt:lpstr>
      <vt:lpstr>8.31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Joon Young Lee</cp:lastModifiedBy>
  <dcterms:created xsi:type="dcterms:W3CDTF">2018-08-15T04:09:10Z</dcterms:created>
  <dcterms:modified xsi:type="dcterms:W3CDTF">2024-09-06T03:55:09Z</dcterms:modified>
</cp:coreProperties>
</file>