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Prain Global/SK Innovation/국문/7월 뉴스룸/일일보고(7.1-7.31)/"/>
    </mc:Choice>
  </mc:AlternateContent>
  <xr:revisionPtr revIDLastSave="2" documentId="8_{6E3F9E94-7733-461D-AFAE-15A9466DE22A}" xr6:coauthVersionLast="47" xr6:coauthVersionMax="47" xr10:uidLastSave="{03842FC2-5F8E-4D07-A60E-285ADD9DDA83}"/>
  <bookViews>
    <workbookView xWindow="-120" yWindow="-120" windowWidth="29040" windowHeight="15720" tabRatio="958" xr2:uid="{00000000-000D-0000-FFFF-FFFF00000000}"/>
  </bookViews>
  <sheets>
    <sheet name="통합" sheetId="33" r:id="rId1"/>
    <sheet name="서식" sheetId="34" r:id="rId2"/>
    <sheet name="7.1" sheetId="313" r:id="rId3"/>
    <sheet name="7.2" sheetId="314" r:id="rId4"/>
    <sheet name="7.3" sheetId="315" r:id="rId5"/>
    <sheet name="7.4" sheetId="316" r:id="rId6"/>
    <sheet name="7.5" sheetId="317" r:id="rId7"/>
    <sheet name="7.6" sheetId="318" r:id="rId8"/>
    <sheet name="7.7" sheetId="319" r:id="rId9"/>
    <sheet name="7.8" sheetId="320" r:id="rId10"/>
    <sheet name="7.9" sheetId="321" r:id="rId11"/>
    <sheet name="7.10" sheetId="322" r:id="rId12"/>
    <sheet name="7.11" sheetId="323" r:id="rId13"/>
    <sheet name="7.12" sheetId="324" r:id="rId14"/>
    <sheet name="7.13" sheetId="325" r:id="rId15"/>
    <sheet name="7.14" sheetId="326" r:id="rId16"/>
    <sheet name="7.15" sheetId="327" r:id="rId17"/>
    <sheet name="7.16" sheetId="328" r:id="rId18"/>
    <sheet name="7.17" sheetId="329" r:id="rId19"/>
    <sheet name="7.18" sheetId="330" r:id="rId20"/>
    <sheet name="7.19" sheetId="331" r:id="rId21"/>
    <sheet name="7.20" sheetId="332" r:id="rId22"/>
    <sheet name="7.21" sheetId="333" r:id="rId23"/>
    <sheet name="7.22" sheetId="334" r:id="rId24"/>
    <sheet name="7.23" sheetId="335" r:id="rId25"/>
    <sheet name="7.24" sheetId="336" r:id="rId26"/>
    <sheet name="7.25" sheetId="337" r:id="rId27"/>
    <sheet name="7.26" sheetId="338" r:id="rId28"/>
    <sheet name="7.27" sheetId="339" r:id="rId29"/>
    <sheet name="7.28" sheetId="340" r:id="rId30"/>
    <sheet name="7.29" sheetId="341" r:id="rId31"/>
    <sheet name="7.30" sheetId="342" r:id="rId32"/>
    <sheet name="7.31" sheetId="343" r:id="rId33"/>
  </sheets>
  <definedNames>
    <definedName name="array1">#REF!</definedName>
    <definedName name="가">#REF!</definedName>
    <definedName name="가격">#REF!</definedName>
    <definedName name="개수">#REF!</definedName>
    <definedName name="점수">#REF!</definedName>
  </definedNames>
  <calcPr calcId="191029"/>
</workbook>
</file>

<file path=xl/calcChain.xml><?xml version="1.0" encoding="utf-8"?>
<calcChain xmlns="http://schemas.openxmlformats.org/spreadsheetml/2006/main">
  <c r="J16" i="343" l="1"/>
  <c r="I16" i="343"/>
  <c r="H16" i="343"/>
  <c r="J15" i="343"/>
  <c r="I15" i="343"/>
  <c r="J5" i="343" s="1"/>
  <c r="H15" i="343"/>
  <c r="H5" i="343" s="1"/>
  <c r="J14" i="343"/>
  <c r="I14" i="343"/>
  <c r="H14" i="343"/>
  <c r="H4" i="343" s="1"/>
  <c r="J13" i="343"/>
  <c r="J12" i="343" s="1"/>
  <c r="I13" i="343"/>
  <c r="H13" i="343"/>
  <c r="J16" i="342"/>
  <c r="I16" i="342"/>
  <c r="J5" i="342" s="1"/>
  <c r="H16" i="342"/>
  <c r="J15" i="342"/>
  <c r="I15" i="342"/>
  <c r="H15" i="342"/>
  <c r="H5" i="342" s="1"/>
  <c r="J14" i="342"/>
  <c r="I14" i="342"/>
  <c r="H14" i="342"/>
  <c r="J13" i="342"/>
  <c r="J12" i="342" s="1"/>
  <c r="I13" i="342"/>
  <c r="H13" i="342"/>
  <c r="H4" i="342" s="1"/>
  <c r="J16" i="341"/>
  <c r="I16" i="341"/>
  <c r="H16" i="341"/>
  <c r="J15" i="341"/>
  <c r="L5" i="341" s="1"/>
  <c r="I15" i="341"/>
  <c r="J5" i="341" s="1"/>
  <c r="H15" i="341"/>
  <c r="J14" i="341"/>
  <c r="I14" i="341"/>
  <c r="H14" i="341"/>
  <c r="J13" i="341"/>
  <c r="I13" i="341"/>
  <c r="J4" i="341" s="1"/>
  <c r="H13" i="341"/>
  <c r="H12" i="341" s="1"/>
  <c r="J16" i="340"/>
  <c r="I16" i="340"/>
  <c r="H16" i="340"/>
  <c r="J15" i="340"/>
  <c r="L5" i="340" s="1"/>
  <c r="I15" i="340"/>
  <c r="H15" i="340"/>
  <c r="H5" i="340" s="1"/>
  <c r="J14" i="340"/>
  <c r="I14" i="340"/>
  <c r="H14" i="340"/>
  <c r="J13" i="340"/>
  <c r="J12" i="340" s="1"/>
  <c r="I13" i="340"/>
  <c r="H13" i="340"/>
  <c r="H4" i="340" s="1"/>
  <c r="J16" i="339"/>
  <c r="L5" i="339" s="1"/>
  <c r="I16" i="339"/>
  <c r="J5" i="339" s="1"/>
  <c r="H16" i="339"/>
  <c r="J15" i="339"/>
  <c r="I15" i="339"/>
  <c r="H15" i="339"/>
  <c r="H5" i="339" s="1"/>
  <c r="J14" i="339"/>
  <c r="I14" i="339"/>
  <c r="J4" i="339" s="1"/>
  <c r="H14" i="339"/>
  <c r="J13" i="339"/>
  <c r="J12" i="339" s="1"/>
  <c r="I13" i="339"/>
  <c r="H13" i="339"/>
  <c r="J16" i="338"/>
  <c r="I16" i="338"/>
  <c r="H16" i="338"/>
  <c r="J15" i="338"/>
  <c r="I15" i="338"/>
  <c r="H15" i="338"/>
  <c r="H5" i="338" s="1"/>
  <c r="J14" i="338"/>
  <c r="I14" i="338"/>
  <c r="J4" i="338" s="1"/>
  <c r="H14" i="338"/>
  <c r="J13" i="338"/>
  <c r="J12" i="338" s="1"/>
  <c r="I13" i="338"/>
  <c r="H13" i="338"/>
  <c r="J16" i="337"/>
  <c r="I16" i="337"/>
  <c r="H16" i="337"/>
  <c r="J15" i="337"/>
  <c r="L5" i="337" s="1"/>
  <c r="I15" i="337"/>
  <c r="H15" i="337"/>
  <c r="J14" i="337"/>
  <c r="I14" i="337"/>
  <c r="J4" i="337" s="1"/>
  <c r="H14" i="337"/>
  <c r="J13" i="337"/>
  <c r="I13" i="337"/>
  <c r="H13" i="337"/>
  <c r="H4" i="337" s="1"/>
  <c r="J5" i="337"/>
  <c r="J16" i="336"/>
  <c r="I16" i="336"/>
  <c r="H16" i="336"/>
  <c r="J15" i="336"/>
  <c r="L5" i="336" s="1"/>
  <c r="I15" i="336"/>
  <c r="H15" i="336"/>
  <c r="H5" i="336" s="1"/>
  <c r="J14" i="336"/>
  <c r="I14" i="336"/>
  <c r="I12" i="336" s="1"/>
  <c r="H14" i="336"/>
  <c r="J13" i="336"/>
  <c r="I13" i="336"/>
  <c r="H13" i="336"/>
  <c r="H4" i="336" s="1"/>
  <c r="J5" i="336"/>
  <c r="J16" i="335"/>
  <c r="I16" i="335"/>
  <c r="H16" i="335"/>
  <c r="J15" i="335"/>
  <c r="L5" i="335" s="1"/>
  <c r="I15" i="335"/>
  <c r="H15" i="335"/>
  <c r="H5" i="335" s="1"/>
  <c r="J14" i="335"/>
  <c r="I14" i="335"/>
  <c r="I12" i="335" s="1"/>
  <c r="H14" i="335"/>
  <c r="J13" i="335"/>
  <c r="I13" i="335"/>
  <c r="H13" i="335"/>
  <c r="H4" i="335" s="1"/>
  <c r="J5" i="335"/>
  <c r="J16" i="334"/>
  <c r="I16" i="334"/>
  <c r="H16" i="334"/>
  <c r="J15" i="334"/>
  <c r="L5" i="334" s="1"/>
  <c r="I15" i="334"/>
  <c r="J5" i="334" s="1"/>
  <c r="H15" i="334"/>
  <c r="H5" i="334" s="1"/>
  <c r="J14" i="334"/>
  <c r="I14" i="334"/>
  <c r="I12" i="334" s="1"/>
  <c r="H14" i="334"/>
  <c r="J13" i="334"/>
  <c r="I13" i="334"/>
  <c r="H13" i="334"/>
  <c r="H4" i="334" s="1"/>
  <c r="J16" i="333"/>
  <c r="L5" i="333" s="1"/>
  <c r="I16" i="333"/>
  <c r="H16" i="333"/>
  <c r="J15" i="333"/>
  <c r="I15" i="333"/>
  <c r="J5" i="333" s="1"/>
  <c r="H15" i="333"/>
  <c r="H5" i="333" s="1"/>
  <c r="J14" i="333"/>
  <c r="I14" i="333"/>
  <c r="H14" i="333"/>
  <c r="H4" i="333" s="1"/>
  <c r="J13" i="333"/>
  <c r="J12" i="333" s="1"/>
  <c r="I13" i="333"/>
  <c r="I12" i="333" s="1"/>
  <c r="H13" i="333"/>
  <c r="J16" i="332"/>
  <c r="I16" i="332"/>
  <c r="H16" i="332"/>
  <c r="J15" i="332"/>
  <c r="I15" i="332"/>
  <c r="H15" i="332"/>
  <c r="H5" i="332" s="1"/>
  <c r="J14" i="332"/>
  <c r="I14" i="332"/>
  <c r="H14" i="332"/>
  <c r="J13" i="332"/>
  <c r="J12" i="332" s="1"/>
  <c r="I13" i="332"/>
  <c r="J4" i="332" s="1"/>
  <c r="H13" i="332"/>
  <c r="H4" i="332" s="1"/>
  <c r="H6" i="332" s="1"/>
  <c r="I4" i="332" s="1"/>
  <c r="L5" i="332"/>
  <c r="J5" i="332"/>
  <c r="J16" i="331"/>
  <c r="I16" i="331"/>
  <c r="H16" i="331"/>
  <c r="J15" i="331"/>
  <c r="I15" i="331"/>
  <c r="H15" i="331"/>
  <c r="H5" i="331" s="1"/>
  <c r="J14" i="331"/>
  <c r="I14" i="331"/>
  <c r="I12" i="331" s="1"/>
  <c r="H14" i="331"/>
  <c r="J13" i="331"/>
  <c r="I13" i="331"/>
  <c r="H13" i="331"/>
  <c r="H12" i="331" s="1"/>
  <c r="L5" i="331"/>
  <c r="J5" i="331"/>
  <c r="J16" i="330"/>
  <c r="I16" i="330"/>
  <c r="H16" i="330"/>
  <c r="J15" i="330"/>
  <c r="I15" i="330"/>
  <c r="J5" i="330" s="1"/>
  <c r="H15" i="330"/>
  <c r="H5" i="330" s="1"/>
  <c r="J14" i="330"/>
  <c r="I14" i="330"/>
  <c r="H14" i="330"/>
  <c r="J13" i="330"/>
  <c r="J12" i="330" s="1"/>
  <c r="I13" i="330"/>
  <c r="H13" i="330"/>
  <c r="L5" i="330"/>
  <c r="H4" i="330"/>
  <c r="J16" i="329"/>
  <c r="I16" i="329"/>
  <c r="H16" i="329"/>
  <c r="J15" i="329"/>
  <c r="I15" i="329"/>
  <c r="H15" i="329"/>
  <c r="H5" i="329" s="1"/>
  <c r="J14" i="329"/>
  <c r="I14" i="329"/>
  <c r="H14" i="329"/>
  <c r="J13" i="329"/>
  <c r="J12" i="329" s="1"/>
  <c r="I13" i="329"/>
  <c r="H13" i="329"/>
  <c r="H4" i="329" s="1"/>
  <c r="L5" i="329"/>
  <c r="J5" i="329"/>
  <c r="J16" i="328"/>
  <c r="I16" i="328"/>
  <c r="H16" i="328"/>
  <c r="J15" i="328"/>
  <c r="L5" i="328" s="1"/>
  <c r="I15" i="328"/>
  <c r="H15" i="328"/>
  <c r="H5" i="328" s="1"/>
  <c r="J14" i="328"/>
  <c r="I14" i="328"/>
  <c r="I12" i="328" s="1"/>
  <c r="H14" i="328"/>
  <c r="J13" i="328"/>
  <c r="I13" i="328"/>
  <c r="H13" i="328"/>
  <c r="J5" i="328"/>
  <c r="J16" i="327"/>
  <c r="I16" i="327"/>
  <c r="H16" i="327"/>
  <c r="J15" i="327"/>
  <c r="I15" i="327"/>
  <c r="J5" i="327" s="1"/>
  <c r="H15" i="327"/>
  <c r="H5" i="327" s="1"/>
  <c r="J14" i="327"/>
  <c r="I14" i="327"/>
  <c r="H14" i="327"/>
  <c r="J13" i="327"/>
  <c r="I13" i="327"/>
  <c r="H13" i="327"/>
  <c r="L5" i="327"/>
  <c r="H4" i="327"/>
  <c r="J16" i="326"/>
  <c r="L5" i="326" s="1"/>
  <c r="I16" i="326"/>
  <c r="H16" i="326"/>
  <c r="J15" i="326"/>
  <c r="I15" i="326"/>
  <c r="H15" i="326"/>
  <c r="J14" i="326"/>
  <c r="I14" i="326"/>
  <c r="J4" i="326" s="1"/>
  <c r="H14" i="326"/>
  <c r="J13" i="326"/>
  <c r="I13" i="326"/>
  <c r="H13" i="326"/>
  <c r="H4" i="326" s="1"/>
  <c r="J5" i="326"/>
  <c r="J16" i="325"/>
  <c r="I16" i="325"/>
  <c r="H16" i="325"/>
  <c r="J15" i="325"/>
  <c r="I15" i="325"/>
  <c r="H15" i="325"/>
  <c r="H5" i="325" s="1"/>
  <c r="J14" i="325"/>
  <c r="I14" i="325"/>
  <c r="I12" i="325" s="1"/>
  <c r="H14" i="325"/>
  <c r="J13" i="325"/>
  <c r="I13" i="325"/>
  <c r="H13" i="325"/>
  <c r="J5" i="325"/>
  <c r="J16" i="324"/>
  <c r="I16" i="324"/>
  <c r="J5" i="324" s="1"/>
  <c r="H16" i="324"/>
  <c r="J15" i="324"/>
  <c r="L5" i="324" s="1"/>
  <c r="I15" i="324"/>
  <c r="H15" i="324"/>
  <c r="H5" i="324" s="1"/>
  <c r="J14" i="324"/>
  <c r="I14" i="324"/>
  <c r="J4" i="324" s="1"/>
  <c r="H14" i="324"/>
  <c r="J13" i="324"/>
  <c r="I13" i="324"/>
  <c r="H13" i="324"/>
  <c r="J16" i="323"/>
  <c r="I16" i="323"/>
  <c r="H16" i="323"/>
  <c r="J15" i="323"/>
  <c r="I15" i="323"/>
  <c r="H15" i="323"/>
  <c r="H12" i="323" s="1"/>
  <c r="J14" i="323"/>
  <c r="I14" i="323"/>
  <c r="J4" i="323" s="1"/>
  <c r="H14" i="323"/>
  <c r="H4" i="323" s="1"/>
  <c r="J13" i="323"/>
  <c r="I13" i="323"/>
  <c r="H13" i="323"/>
  <c r="L5" i="323"/>
  <c r="J5" i="323"/>
  <c r="J16" i="322"/>
  <c r="I16" i="322"/>
  <c r="H16" i="322"/>
  <c r="J15" i="322"/>
  <c r="I15" i="322"/>
  <c r="J5" i="322" s="1"/>
  <c r="H15" i="322"/>
  <c r="H5" i="322" s="1"/>
  <c r="J14" i="322"/>
  <c r="I14" i="322"/>
  <c r="H14" i="322"/>
  <c r="J13" i="322"/>
  <c r="I13" i="322"/>
  <c r="H13" i="322"/>
  <c r="H4" i="322" s="1"/>
  <c r="L5" i="322"/>
  <c r="J16" i="321"/>
  <c r="I16" i="321"/>
  <c r="H16" i="321"/>
  <c r="J15" i="321"/>
  <c r="I15" i="321"/>
  <c r="J5" i="321" s="1"/>
  <c r="H15" i="321"/>
  <c r="H5" i="321" s="1"/>
  <c r="J14" i="321"/>
  <c r="I14" i="321"/>
  <c r="H14" i="321"/>
  <c r="J13" i="321"/>
  <c r="I13" i="321"/>
  <c r="H13" i="321"/>
  <c r="L5" i="321"/>
  <c r="H4" i="321"/>
  <c r="J16" i="320"/>
  <c r="I16" i="320"/>
  <c r="H16" i="320"/>
  <c r="J15" i="320"/>
  <c r="L5" i="320" s="1"/>
  <c r="I15" i="320"/>
  <c r="H15" i="320"/>
  <c r="H5" i="320" s="1"/>
  <c r="J14" i="320"/>
  <c r="I14" i="320"/>
  <c r="H14" i="320"/>
  <c r="J13" i="320"/>
  <c r="I13" i="320"/>
  <c r="I12" i="320" s="1"/>
  <c r="H13" i="320"/>
  <c r="J5" i="320"/>
  <c r="H4" i="320"/>
  <c r="H6" i="320" s="1"/>
  <c r="I4" i="320" s="1"/>
  <c r="J16" i="319"/>
  <c r="I16" i="319"/>
  <c r="H16" i="319"/>
  <c r="J15" i="319"/>
  <c r="I15" i="319"/>
  <c r="H15" i="319"/>
  <c r="H5" i="319" s="1"/>
  <c r="J14" i="319"/>
  <c r="I14" i="319"/>
  <c r="H14" i="319"/>
  <c r="J13" i="319"/>
  <c r="J12" i="319" s="1"/>
  <c r="I13" i="319"/>
  <c r="I12" i="319" s="1"/>
  <c r="H13" i="319"/>
  <c r="L5" i="319"/>
  <c r="J5" i="319"/>
  <c r="J16" i="318"/>
  <c r="I16" i="318"/>
  <c r="H16" i="318"/>
  <c r="J15" i="318"/>
  <c r="L5" i="318" s="1"/>
  <c r="I15" i="318"/>
  <c r="J5" i="318" s="1"/>
  <c r="H15" i="318"/>
  <c r="H5" i="318" s="1"/>
  <c r="J14" i="318"/>
  <c r="I14" i="318"/>
  <c r="I12" i="318" s="1"/>
  <c r="H14" i="318"/>
  <c r="J13" i="318"/>
  <c r="I13" i="318"/>
  <c r="H13" i="318"/>
  <c r="H4" i="318" s="1"/>
  <c r="J16" i="317"/>
  <c r="I16" i="317"/>
  <c r="H16" i="317"/>
  <c r="J15" i="317"/>
  <c r="I15" i="317"/>
  <c r="J5" i="317" s="1"/>
  <c r="H15" i="317"/>
  <c r="H5" i="317" s="1"/>
  <c r="J14" i="317"/>
  <c r="L4" i="317" s="1"/>
  <c r="I14" i="317"/>
  <c r="J4" i="317" s="1"/>
  <c r="H14" i="317"/>
  <c r="J13" i="317"/>
  <c r="I13" i="317"/>
  <c r="H13" i="317"/>
  <c r="L5" i="317"/>
  <c r="H4" i="317"/>
  <c r="J16" i="316"/>
  <c r="I16" i="316"/>
  <c r="H16" i="316"/>
  <c r="H5" i="316" s="1"/>
  <c r="J15" i="316"/>
  <c r="L5" i="316" s="1"/>
  <c r="I15" i="316"/>
  <c r="H15" i="316"/>
  <c r="J14" i="316"/>
  <c r="I14" i="316"/>
  <c r="H14" i="316"/>
  <c r="J13" i="316"/>
  <c r="J12" i="316" s="1"/>
  <c r="I13" i="316"/>
  <c r="I12" i="316" s="1"/>
  <c r="H13" i="316"/>
  <c r="H12" i="316" s="1"/>
  <c r="J5" i="316"/>
  <c r="J16" i="315"/>
  <c r="L5" i="315" s="1"/>
  <c r="I16" i="315"/>
  <c r="H16" i="315"/>
  <c r="J15" i="315"/>
  <c r="I15" i="315"/>
  <c r="H15" i="315"/>
  <c r="H5" i="315" s="1"/>
  <c r="J14" i="315"/>
  <c r="I14" i="315"/>
  <c r="H14" i="315"/>
  <c r="H4" i="315" s="1"/>
  <c r="J13" i="315"/>
  <c r="J12" i="315" s="1"/>
  <c r="I13" i="315"/>
  <c r="I12" i="315" s="1"/>
  <c r="H13" i="315"/>
  <c r="J5" i="315"/>
  <c r="J16" i="314"/>
  <c r="I16" i="314"/>
  <c r="H16" i="314"/>
  <c r="J15" i="314"/>
  <c r="I15" i="314"/>
  <c r="J5" i="314" s="1"/>
  <c r="H15" i="314"/>
  <c r="H5" i="314" s="1"/>
  <c r="J14" i="314"/>
  <c r="I14" i="314"/>
  <c r="H14" i="314"/>
  <c r="J13" i="314"/>
  <c r="J12" i="314" s="1"/>
  <c r="I13" i="314"/>
  <c r="H13" i="314"/>
  <c r="H4" i="314" s="1"/>
  <c r="L5" i="314"/>
  <c r="J16" i="313"/>
  <c r="I16" i="313"/>
  <c r="H16" i="313"/>
  <c r="J15" i="313"/>
  <c r="I15" i="313"/>
  <c r="H15" i="313"/>
  <c r="H5" i="313" s="1"/>
  <c r="J14" i="313"/>
  <c r="I14" i="313"/>
  <c r="H14" i="313"/>
  <c r="H4" i="313" s="1"/>
  <c r="H6" i="313" s="1"/>
  <c r="I4" i="313" s="1"/>
  <c r="J13" i="313"/>
  <c r="I13" i="313"/>
  <c r="H13" i="313"/>
  <c r="L5" i="313"/>
  <c r="J5" i="313"/>
  <c r="H12" i="343" l="1"/>
  <c r="I12" i="343"/>
  <c r="L5" i="343"/>
  <c r="H6" i="343"/>
  <c r="I4" i="343" s="1"/>
  <c r="I5" i="343"/>
  <c r="J4" i="343"/>
  <c r="L4" i="343"/>
  <c r="L5" i="342"/>
  <c r="I12" i="342"/>
  <c r="H6" i="342"/>
  <c r="I4" i="342" s="1"/>
  <c r="J4" i="342"/>
  <c r="H12" i="342"/>
  <c r="L4" i="342"/>
  <c r="H4" i="341"/>
  <c r="H5" i="341"/>
  <c r="J12" i="341"/>
  <c r="I12" i="341"/>
  <c r="J6" i="341"/>
  <c r="K5" i="341" s="1"/>
  <c r="K4" i="341"/>
  <c r="H6" i="341"/>
  <c r="I4" i="341" s="1"/>
  <c r="I5" i="341"/>
  <c r="L4" i="341"/>
  <c r="J4" i="340"/>
  <c r="J5" i="340"/>
  <c r="H6" i="340"/>
  <c r="I5" i="340" s="1"/>
  <c r="I4" i="340"/>
  <c r="I6" i="340" s="1"/>
  <c r="J6" i="340"/>
  <c r="K5" i="340" s="1"/>
  <c r="K4" i="340"/>
  <c r="I12" i="340"/>
  <c r="H12" i="340"/>
  <c r="L4" i="340"/>
  <c r="H4" i="339"/>
  <c r="H6" i="339" s="1"/>
  <c r="I5" i="339" s="1"/>
  <c r="I12" i="339"/>
  <c r="J6" i="339"/>
  <c r="K5" i="339" s="1"/>
  <c r="K4" i="339"/>
  <c r="K6" i="339" s="1"/>
  <c r="H12" i="339"/>
  <c r="L4" i="339"/>
  <c r="H4" i="338"/>
  <c r="L5" i="338"/>
  <c r="I12" i="338"/>
  <c r="J5" i="338"/>
  <c r="H6" i="338"/>
  <c r="I5" i="338" s="1"/>
  <c r="I4" i="338"/>
  <c r="H12" i="338"/>
  <c r="L4" i="338"/>
  <c r="H12" i="337"/>
  <c r="I12" i="337"/>
  <c r="J12" i="337"/>
  <c r="J6" i="337"/>
  <c r="K5" i="337" s="1"/>
  <c r="K4" i="337"/>
  <c r="K6" i="337" s="1"/>
  <c r="L4" i="337"/>
  <c r="H5" i="337"/>
  <c r="H6" i="337" s="1"/>
  <c r="I4" i="337" s="1"/>
  <c r="J4" i="336"/>
  <c r="J12" i="336"/>
  <c r="H6" i="336"/>
  <c r="I4" i="336" s="1"/>
  <c r="J6" i="336"/>
  <c r="K5" i="336" s="1"/>
  <c r="I5" i="336"/>
  <c r="H12" i="336"/>
  <c r="L4" i="336"/>
  <c r="J4" i="335"/>
  <c r="J12" i="335"/>
  <c r="H6" i="335"/>
  <c r="I5" i="335" s="1"/>
  <c r="J6" i="335"/>
  <c r="K5" i="335" s="1"/>
  <c r="K4" i="335"/>
  <c r="K6" i="335" s="1"/>
  <c r="H12" i="335"/>
  <c r="L4" i="335"/>
  <c r="L4" i="334"/>
  <c r="H6" i="334"/>
  <c r="I4" i="334" s="1"/>
  <c r="L6" i="334"/>
  <c r="M5" i="334" s="1"/>
  <c r="M4" i="334"/>
  <c r="J4" i="334"/>
  <c r="H12" i="334"/>
  <c r="J12" i="334"/>
  <c r="H12" i="333"/>
  <c r="H6" i="333"/>
  <c r="I5" i="333" s="1"/>
  <c r="J4" i="333"/>
  <c r="L4" i="333"/>
  <c r="I12" i="332"/>
  <c r="H12" i="332"/>
  <c r="I5" i="332"/>
  <c r="I6" i="332" s="1"/>
  <c r="J6" i="332"/>
  <c r="K5" i="332" s="1"/>
  <c r="K4" i="332"/>
  <c r="K6" i="332" s="1"/>
  <c r="L4" i="332"/>
  <c r="H4" i="331"/>
  <c r="H6" i="331" s="1"/>
  <c r="I4" i="331" s="1"/>
  <c r="J4" i="331"/>
  <c r="J6" i="331" s="1"/>
  <c r="K5" i="331" s="1"/>
  <c r="J12" i="331"/>
  <c r="L4" i="331"/>
  <c r="H12" i="330"/>
  <c r="J4" i="330"/>
  <c r="H6" i="330"/>
  <c r="I4" i="330"/>
  <c r="I5" i="330"/>
  <c r="J6" i="330"/>
  <c r="K5" i="330" s="1"/>
  <c r="I12" i="330"/>
  <c r="L4" i="330"/>
  <c r="I12" i="329"/>
  <c r="H6" i="329"/>
  <c r="I5" i="329" s="1"/>
  <c r="L4" i="329"/>
  <c r="J4" i="329"/>
  <c r="H12" i="329"/>
  <c r="J4" i="328"/>
  <c r="H4" i="328"/>
  <c r="J12" i="328"/>
  <c r="J6" i="328"/>
  <c r="K5" i="328" s="1"/>
  <c r="K4" i="328"/>
  <c r="K6" i="328" s="1"/>
  <c r="H6" i="328"/>
  <c r="I5" i="328" s="1"/>
  <c r="H12" i="328"/>
  <c r="L4" i="328"/>
  <c r="H12" i="327"/>
  <c r="H6" i="327"/>
  <c r="I4" i="327" s="1"/>
  <c r="J4" i="327"/>
  <c r="J12" i="327"/>
  <c r="I5" i="327"/>
  <c r="I6" i="327" s="1"/>
  <c r="J6" i="327"/>
  <c r="K5" i="327" s="1"/>
  <c r="I12" i="327"/>
  <c r="L4" i="327"/>
  <c r="H5" i="326"/>
  <c r="H6" i="326" s="1"/>
  <c r="J12" i="326"/>
  <c r="J6" i="326"/>
  <c r="K5" i="326" s="1"/>
  <c r="L4" i="326"/>
  <c r="I12" i="326"/>
  <c r="H12" i="326"/>
  <c r="J12" i="325"/>
  <c r="H12" i="325"/>
  <c r="L5" i="325"/>
  <c r="H4" i="325"/>
  <c r="L4" i="325"/>
  <c r="J4" i="325"/>
  <c r="H4" i="324"/>
  <c r="I12" i="324"/>
  <c r="J12" i="324"/>
  <c r="H6" i="324"/>
  <c r="I5" i="324" s="1"/>
  <c r="J6" i="324"/>
  <c r="K5" i="324" s="1"/>
  <c r="K4" i="324"/>
  <c r="K6" i="324" s="1"/>
  <c r="H12" i="324"/>
  <c r="L4" i="324"/>
  <c r="J12" i="323"/>
  <c r="K4" i="323"/>
  <c r="K6" i="323" s="1"/>
  <c r="J6" i="323"/>
  <c r="K5" i="323" s="1"/>
  <c r="L4" i="323"/>
  <c r="I12" i="323"/>
  <c r="H5" i="323"/>
  <c r="H6" i="323" s="1"/>
  <c r="I4" i="323" s="1"/>
  <c r="I12" i="322"/>
  <c r="J12" i="322"/>
  <c r="H6" i="322"/>
  <c r="I4" i="322"/>
  <c r="I5" i="322"/>
  <c r="J4" i="322"/>
  <c r="H12" i="322"/>
  <c r="L4" i="322"/>
  <c r="H12" i="321"/>
  <c r="J4" i="321"/>
  <c r="I12" i="321"/>
  <c r="H6" i="321"/>
  <c r="I4" i="321" s="1"/>
  <c r="J12" i="321"/>
  <c r="I5" i="321"/>
  <c r="I6" i="321" s="1"/>
  <c r="J6" i="321"/>
  <c r="K5" i="321" s="1"/>
  <c r="K4" i="321"/>
  <c r="K6" i="321" s="1"/>
  <c r="L4" i="321"/>
  <c r="J12" i="320"/>
  <c r="I5" i="320"/>
  <c r="I6" i="320" s="1"/>
  <c r="L4" i="320"/>
  <c r="J4" i="320"/>
  <c r="H12" i="320"/>
  <c r="H12" i="319"/>
  <c r="H4" i="319"/>
  <c r="J4" i="319"/>
  <c r="L4" i="319"/>
  <c r="J4" i="318"/>
  <c r="J12" i="318"/>
  <c r="H6" i="318"/>
  <c r="I5" i="318" s="1"/>
  <c r="J6" i="318"/>
  <c r="K5" i="318" s="1"/>
  <c r="H12" i="318"/>
  <c r="L4" i="318"/>
  <c r="I12" i="317"/>
  <c r="L6" i="317"/>
  <c r="M4" i="317" s="1"/>
  <c r="M5" i="317"/>
  <c r="J6" i="317"/>
  <c r="K5" i="317" s="1"/>
  <c r="H6" i="317"/>
  <c r="I4" i="317" s="1"/>
  <c r="H12" i="317"/>
  <c r="J12" i="317"/>
  <c r="H4" i="316"/>
  <c r="H6" i="316" s="1"/>
  <c r="I4" i="316" s="1"/>
  <c r="J4" i="316"/>
  <c r="L4" i="316"/>
  <c r="H12" i="315"/>
  <c r="H6" i="315"/>
  <c r="I5" i="315" s="1"/>
  <c r="J4" i="315"/>
  <c r="L4" i="315"/>
  <c r="H12" i="314"/>
  <c r="I12" i="314"/>
  <c r="J4" i="314"/>
  <c r="L4" i="314"/>
  <c r="H6" i="314"/>
  <c r="I4" i="314" s="1"/>
  <c r="H12" i="313"/>
  <c r="I12" i="313"/>
  <c r="J12" i="313"/>
  <c r="I5" i="313"/>
  <c r="I6" i="313" s="1"/>
  <c r="J4" i="313"/>
  <c r="L4" i="313"/>
  <c r="I6" i="343" l="1"/>
  <c r="J6" i="343"/>
  <c r="K5" i="343" s="1"/>
  <c r="K4" i="343"/>
  <c r="K6" i="343" s="1"/>
  <c r="L6" i="343"/>
  <c r="M5" i="343" s="1"/>
  <c r="I5" i="342"/>
  <c r="I6" i="342"/>
  <c r="L6" i="342"/>
  <c r="M5" i="342" s="1"/>
  <c r="J6" i="342"/>
  <c r="K5" i="342" s="1"/>
  <c r="I6" i="341"/>
  <c r="K6" i="341"/>
  <c r="L6" i="341"/>
  <c r="M5" i="341" s="1"/>
  <c r="M4" i="341"/>
  <c r="M6" i="341" s="1"/>
  <c r="K6" i="340"/>
  <c r="L6" i="340"/>
  <c r="M5" i="340" s="1"/>
  <c r="L6" i="339"/>
  <c r="M5" i="339" s="1"/>
  <c r="M4" i="339"/>
  <c r="M6" i="339" s="1"/>
  <c r="I4" i="339"/>
  <c r="I6" i="339" s="1"/>
  <c r="K5" i="338"/>
  <c r="J6" i="338"/>
  <c r="K4" i="338" s="1"/>
  <c r="K6" i="338" s="1"/>
  <c r="I6" i="338"/>
  <c r="L6" i="338"/>
  <c r="M5" i="338" s="1"/>
  <c r="M4" i="338"/>
  <c r="M6" i="338" s="1"/>
  <c r="I5" i="337"/>
  <c r="I6" i="337" s="1"/>
  <c r="L6" i="337"/>
  <c r="M5" i="337" s="1"/>
  <c r="I6" i="336"/>
  <c r="K4" i="336"/>
  <c r="K6" i="336" s="1"/>
  <c r="L6" i="336"/>
  <c r="M5" i="336" s="1"/>
  <c r="M4" i="336"/>
  <c r="M6" i="336" s="1"/>
  <c r="I4" i="335"/>
  <c r="L6" i="335"/>
  <c r="M5" i="335" s="1"/>
  <c r="I6" i="335"/>
  <c r="J6" i="334"/>
  <c r="K5" i="334" s="1"/>
  <c r="M6" i="334"/>
  <c r="I5" i="334"/>
  <c r="I6" i="334" s="1"/>
  <c r="I4" i="333"/>
  <c r="L6" i="333"/>
  <c r="M5" i="333" s="1"/>
  <c r="I6" i="333"/>
  <c r="J6" i="333"/>
  <c r="K5" i="333" s="1"/>
  <c r="K4" i="333"/>
  <c r="L6" i="332"/>
  <c r="M5" i="332" s="1"/>
  <c r="M4" i="332"/>
  <c r="M6" i="332" s="1"/>
  <c r="I5" i="331"/>
  <c r="I6" i="331" s="1"/>
  <c r="K4" i="331"/>
  <c r="K6" i="331" s="1"/>
  <c r="L6" i="331"/>
  <c r="M5" i="331" s="1"/>
  <c r="M4" i="331"/>
  <c r="M6" i="331" s="1"/>
  <c r="I6" i="330"/>
  <c r="K4" i="330"/>
  <c r="K6" i="330" s="1"/>
  <c r="L6" i="330"/>
  <c r="M5" i="330" s="1"/>
  <c r="M4" i="330"/>
  <c r="M6" i="330" s="1"/>
  <c r="L6" i="329"/>
  <c r="M5" i="329" s="1"/>
  <c r="M4" i="329"/>
  <c r="M6" i="329" s="1"/>
  <c r="I4" i="329"/>
  <c r="I6" i="329" s="1"/>
  <c r="J6" i="329"/>
  <c r="K5" i="329" s="1"/>
  <c r="I4" i="328"/>
  <c r="I6" i="328" s="1"/>
  <c r="L6" i="328"/>
  <c r="M5" i="328" s="1"/>
  <c r="K4" i="327"/>
  <c r="K6" i="327" s="1"/>
  <c r="L6" i="327"/>
  <c r="M5" i="327" s="1"/>
  <c r="M4" i="327"/>
  <c r="M6" i="327" s="1"/>
  <c r="I4" i="326"/>
  <c r="I5" i="326"/>
  <c r="I6" i="326" s="1"/>
  <c r="L6" i="326"/>
  <c r="M5" i="326" s="1"/>
  <c r="K4" i="326"/>
  <c r="K6" i="326" s="1"/>
  <c r="L6" i="325"/>
  <c r="M5" i="325" s="1"/>
  <c r="J6" i="325"/>
  <c r="K5" i="325" s="1"/>
  <c r="H6" i="325"/>
  <c r="I5" i="325" s="1"/>
  <c r="L6" i="324"/>
  <c r="M5" i="324" s="1"/>
  <c r="M4" i="324"/>
  <c r="I4" i="324"/>
  <c r="I6" i="324" s="1"/>
  <c r="I5" i="323"/>
  <c r="I6" i="323" s="1"/>
  <c r="L6" i="323"/>
  <c r="M5" i="323" s="1"/>
  <c r="M4" i="323"/>
  <c r="I6" i="322"/>
  <c r="L6" i="322"/>
  <c r="M5" i="322" s="1"/>
  <c r="J6" i="322"/>
  <c r="K5" i="322" s="1"/>
  <c r="K4" i="322"/>
  <c r="K6" i="322" s="1"/>
  <c r="L6" i="321"/>
  <c r="M5" i="321" s="1"/>
  <c r="M4" i="321"/>
  <c r="M6" i="321" s="1"/>
  <c r="L6" i="320"/>
  <c r="M5" i="320" s="1"/>
  <c r="J6" i="320"/>
  <c r="K5" i="320" s="1"/>
  <c r="K4" i="320"/>
  <c r="K6" i="320" s="1"/>
  <c r="L6" i="319"/>
  <c r="M5" i="319" s="1"/>
  <c r="J6" i="319"/>
  <c r="K5" i="319" s="1"/>
  <c r="H6" i="319"/>
  <c r="I5" i="319" s="1"/>
  <c r="I4" i="319"/>
  <c r="I6" i="319" s="1"/>
  <c r="L6" i="318"/>
  <c r="M5" i="318" s="1"/>
  <c r="K4" i="318"/>
  <c r="K6" i="318" s="1"/>
  <c r="I4" i="318"/>
  <c r="I6" i="318" s="1"/>
  <c r="M6" i="317"/>
  <c r="I5" i="317"/>
  <c r="I6" i="317"/>
  <c r="K4" i="317"/>
  <c r="K6" i="317" s="1"/>
  <c r="I5" i="316"/>
  <c r="I6" i="316" s="1"/>
  <c r="L6" i="316"/>
  <c r="M5" i="316" s="1"/>
  <c r="J6" i="316"/>
  <c r="K5" i="316" s="1"/>
  <c r="J6" i="315"/>
  <c r="K5" i="315" s="1"/>
  <c r="K4" i="315"/>
  <c r="K6" i="315" s="1"/>
  <c r="I4" i="315"/>
  <c r="I6" i="315" s="1"/>
  <c r="L6" i="315"/>
  <c r="M5" i="315" s="1"/>
  <c r="L6" i="314"/>
  <c r="M5" i="314" s="1"/>
  <c r="M4" i="314"/>
  <c r="M6" i="314" s="1"/>
  <c r="J6" i="314"/>
  <c r="K5" i="314" s="1"/>
  <c r="I5" i="314"/>
  <c r="I6" i="314" s="1"/>
  <c r="J6" i="313"/>
  <c r="K5" i="313" s="1"/>
  <c r="L6" i="313"/>
  <c r="M5" i="313" s="1"/>
  <c r="M4" i="313"/>
  <c r="M6" i="313" s="1"/>
  <c r="M4" i="343" l="1"/>
  <c r="M6" i="343" s="1"/>
  <c r="K4" i="342"/>
  <c r="K6" i="342" s="1"/>
  <c r="M4" i="342"/>
  <c r="M6" i="342" s="1"/>
  <c r="M4" i="340"/>
  <c r="M6" i="340" s="1"/>
  <c r="M4" i="337"/>
  <c r="M6" i="337" s="1"/>
  <c r="M4" i="335"/>
  <c r="M6" i="335" s="1"/>
  <c r="K4" i="334"/>
  <c r="K6" i="334" s="1"/>
  <c r="K6" i="333"/>
  <c r="M4" i="333"/>
  <c r="M6" i="333" s="1"/>
  <c r="K4" i="329"/>
  <c r="K6" i="329" s="1"/>
  <c r="M4" i="328"/>
  <c r="M6" i="328" s="1"/>
  <c r="M4" i="326"/>
  <c r="M6" i="326" s="1"/>
  <c r="I4" i="325"/>
  <c r="I6" i="325" s="1"/>
  <c r="K4" i="325"/>
  <c r="K6" i="325" s="1"/>
  <c r="M4" i="325"/>
  <c r="M6" i="325" s="1"/>
  <c r="M6" i="324"/>
  <c r="M6" i="323"/>
  <c r="M4" i="322"/>
  <c r="M6" i="322" s="1"/>
  <c r="M4" i="320"/>
  <c r="M6" i="320" s="1"/>
  <c r="K4" i="319"/>
  <c r="K6" i="319" s="1"/>
  <c r="M4" i="319"/>
  <c r="M6" i="319" s="1"/>
  <c r="M4" i="318"/>
  <c r="M6" i="318" s="1"/>
  <c r="M4" i="316"/>
  <c r="M6" i="316" s="1"/>
  <c r="K4" i="316"/>
  <c r="K6" i="316" s="1"/>
  <c r="M4" i="315"/>
  <c r="M6" i="315" s="1"/>
  <c r="K4" i="314"/>
  <c r="K6" i="314" s="1"/>
  <c r="K4" i="313"/>
  <c r="K6" i="313" s="1"/>
  <c r="J16" i="34" l="1"/>
  <c r="I16" i="34"/>
  <c r="H16" i="34"/>
  <c r="J15" i="34"/>
  <c r="I15" i="34"/>
  <c r="H15" i="34"/>
  <c r="J14" i="34"/>
  <c r="I14" i="34"/>
  <c r="H14" i="34"/>
  <c r="J13" i="34"/>
  <c r="I13" i="34"/>
  <c r="H13" i="34"/>
  <c r="H12" i="34" s="1"/>
  <c r="B4" i="33"/>
  <c r="C4" i="33" s="1"/>
  <c r="J4" i="33"/>
  <c r="I12" i="34" l="1"/>
  <c r="J12" i="34"/>
  <c r="B5" i="33"/>
  <c r="L5" i="34"/>
  <c r="E4" i="33"/>
  <c r="D4" i="33"/>
  <c r="K4" i="33"/>
  <c r="C5" i="33" l="1"/>
  <c r="B6" i="33"/>
  <c r="H5" i="34"/>
  <c r="J5" i="34"/>
  <c r="J4" i="34"/>
  <c r="H4" i="34"/>
  <c r="L4" i="34"/>
  <c r="L6" i="34" s="1"/>
  <c r="M4" i="34" s="1"/>
  <c r="G4" i="33"/>
  <c r="H4" i="33"/>
  <c r="N5" i="33"/>
  <c r="J6" i="34" l="1"/>
  <c r="K5" i="34" s="1"/>
  <c r="H6" i="34"/>
  <c r="I5" i="34" s="1"/>
  <c r="B7" i="33"/>
  <c r="C6" i="33"/>
  <c r="M5" i="34"/>
  <c r="M6" i="34" s="1"/>
  <c r="F4" i="33"/>
  <c r="L4" i="33"/>
  <c r="N6" i="33"/>
  <c r="M6" i="33"/>
  <c r="G5" i="33"/>
  <c r="J5" i="33"/>
  <c r="N4" i="33"/>
  <c r="D5" i="33"/>
  <c r="E5" i="33"/>
  <c r="M5" i="33"/>
  <c r="K6" i="33"/>
  <c r="H5" i="33"/>
  <c r="G6" i="33"/>
  <c r="E6" i="33"/>
  <c r="H6" i="33"/>
  <c r="K5" i="33"/>
  <c r="D6" i="33"/>
  <c r="M4" i="33"/>
  <c r="J6" i="33"/>
  <c r="I4" i="34" l="1"/>
  <c r="I6" i="34" s="1"/>
  <c r="K4" i="34"/>
  <c r="K6" i="34" s="1"/>
  <c r="F5" i="33"/>
  <c r="L5" i="33"/>
  <c r="O5" i="33"/>
  <c r="I5" i="33"/>
  <c r="F6" i="33"/>
  <c r="I6" i="33"/>
  <c r="L6" i="33"/>
  <c r="O6" i="33"/>
  <c r="C7" i="33"/>
  <c r="B8" i="33"/>
  <c r="D7" i="33"/>
  <c r="B9" i="33" l="1"/>
  <c r="C8" i="33"/>
  <c r="O4" i="33"/>
  <c r="I4" i="33"/>
  <c r="K7" i="33"/>
  <c r="J7" i="33"/>
  <c r="N8" i="33"/>
  <c r="M7" i="33"/>
  <c r="H7" i="33"/>
  <c r="N7" i="33"/>
  <c r="G7" i="33"/>
  <c r="E7" i="33"/>
  <c r="I7" i="33" l="1"/>
  <c r="O7" i="33"/>
  <c r="L7" i="33"/>
  <c r="F7" i="33"/>
  <c r="C9" i="33"/>
  <c r="B10" i="33"/>
  <c r="E8" i="33"/>
  <c r="E9" i="33"/>
  <c r="M8" i="33"/>
  <c r="K8" i="33"/>
  <c r="J8" i="33"/>
  <c r="H8" i="33"/>
  <c r="D8" i="33"/>
  <c r="G8" i="33"/>
  <c r="F8" i="33" l="1"/>
  <c r="O8" i="33"/>
  <c r="L8" i="33"/>
  <c r="I8" i="33"/>
  <c r="C10" i="33"/>
  <c r="B11" i="33"/>
  <c r="D9" i="33"/>
  <c r="H10" i="33"/>
  <c r="K9" i="33"/>
  <c r="H9" i="33"/>
  <c r="G9" i="33"/>
  <c r="J9" i="33"/>
  <c r="N9" i="33"/>
  <c r="M9" i="33"/>
  <c r="O9" i="33" l="1"/>
  <c r="I9" i="33"/>
  <c r="L9" i="33"/>
  <c r="F9" i="33"/>
  <c r="B12" i="33"/>
  <c r="C11" i="33"/>
  <c r="D10" i="33"/>
  <c r="E10" i="33"/>
  <c r="K10" i="33"/>
  <c r="G10" i="33"/>
  <c r="M11" i="33"/>
  <c r="J10" i="33"/>
  <c r="M10" i="33"/>
  <c r="N10" i="33"/>
  <c r="L10" i="33" l="1"/>
  <c r="O10" i="33"/>
  <c r="F10" i="33"/>
  <c r="I10" i="33"/>
  <c r="C12" i="33"/>
  <c r="B13" i="33"/>
  <c r="H11" i="33"/>
  <c r="D11" i="33"/>
  <c r="J11" i="33"/>
  <c r="G11" i="33"/>
  <c r="E11" i="33"/>
  <c r="D12" i="33"/>
  <c r="K11" i="33"/>
  <c r="N11" i="33"/>
  <c r="I11" i="33" l="1"/>
  <c r="O11" i="33"/>
  <c r="F11" i="33"/>
  <c r="L11" i="33"/>
  <c r="B14" i="33"/>
  <c r="C13" i="33"/>
  <c r="M12" i="33"/>
  <c r="E12" i="33"/>
  <c r="N12" i="33"/>
  <c r="K12" i="33"/>
  <c r="H12" i="33"/>
  <c r="D13" i="33"/>
  <c r="J12" i="33"/>
  <c r="G12" i="33"/>
  <c r="O12" i="33" l="1"/>
  <c r="I12" i="33"/>
  <c r="F12" i="33"/>
  <c r="L12" i="33"/>
  <c r="B15" i="33"/>
  <c r="C14" i="33"/>
  <c r="H13" i="33"/>
  <c r="M13" i="33"/>
  <c r="J13" i="33"/>
  <c r="K13" i="33"/>
  <c r="D14" i="33"/>
  <c r="E13" i="33"/>
  <c r="N13" i="33"/>
  <c r="G13" i="33"/>
  <c r="O13" i="33" l="1"/>
  <c r="I13" i="33"/>
  <c r="F13" i="33"/>
  <c r="L13" i="33"/>
  <c r="B16" i="33"/>
  <c r="C15" i="33"/>
  <c r="E14" i="33"/>
  <c r="G14" i="33"/>
  <c r="M14" i="33"/>
  <c r="N14" i="33"/>
  <c r="K14" i="33"/>
  <c r="H14" i="33"/>
  <c r="J14" i="33"/>
  <c r="K15" i="33"/>
  <c r="F14" i="33" l="1"/>
  <c r="O14" i="33"/>
  <c r="I14" i="33"/>
  <c r="L14" i="33"/>
  <c r="C16" i="33"/>
  <c r="B17" i="33"/>
  <c r="G16" i="33"/>
  <c r="D15" i="33"/>
  <c r="N15" i="33"/>
  <c r="J15" i="33"/>
  <c r="H15" i="33"/>
  <c r="G15" i="33"/>
  <c r="M15" i="33"/>
  <c r="E15" i="33"/>
  <c r="F15" i="33" l="1"/>
  <c r="I15" i="33"/>
  <c r="L15" i="33"/>
  <c r="O15" i="33"/>
  <c r="B18" i="33"/>
  <c r="C17" i="33"/>
  <c r="N16" i="33"/>
  <c r="D16" i="33"/>
  <c r="H16" i="33"/>
  <c r="M17" i="33"/>
  <c r="E16" i="33"/>
  <c r="M16" i="33"/>
  <c r="J16" i="33"/>
  <c r="K16" i="33"/>
  <c r="F16" i="33" l="1"/>
  <c r="O16" i="33"/>
  <c r="I16" i="33"/>
  <c r="L16" i="33"/>
  <c r="B19" i="33"/>
  <c r="C18" i="33"/>
  <c r="G17" i="33"/>
  <c r="J17" i="33"/>
  <c r="D17" i="33"/>
  <c r="K17" i="33"/>
  <c r="E17" i="33"/>
  <c r="H17" i="33"/>
  <c r="G18" i="33"/>
  <c r="N17" i="33"/>
  <c r="O17" i="33" l="1"/>
  <c r="F17" i="33"/>
  <c r="L17" i="33"/>
  <c r="I17" i="33"/>
  <c r="B20" i="33"/>
  <c r="C19" i="33"/>
  <c r="D18" i="33"/>
  <c r="N18" i="33"/>
  <c r="M18" i="33"/>
  <c r="E18" i="33"/>
  <c r="J18" i="33"/>
  <c r="K18" i="33"/>
  <c r="N19" i="33"/>
  <c r="H18" i="33"/>
  <c r="O18" i="33" l="1"/>
  <c r="F18" i="33"/>
  <c r="I18" i="33"/>
  <c r="L18" i="33"/>
  <c r="C20" i="33"/>
  <c r="B21" i="33"/>
  <c r="N20" i="33"/>
  <c r="D19" i="33"/>
  <c r="H19" i="33"/>
  <c r="E19" i="33"/>
  <c r="M19" i="33"/>
  <c r="G19" i="33"/>
  <c r="K19" i="33"/>
  <c r="J19" i="33"/>
  <c r="O19" i="33" l="1"/>
  <c r="I19" i="33"/>
  <c r="L19" i="33"/>
  <c r="F19" i="33"/>
  <c r="B22" i="33"/>
  <c r="C21" i="33"/>
  <c r="J20" i="33"/>
  <c r="M21" i="33"/>
  <c r="D20" i="33"/>
  <c r="G20" i="33"/>
  <c r="E20" i="33"/>
  <c r="K20" i="33"/>
  <c r="H20" i="33"/>
  <c r="M20" i="33"/>
  <c r="L20" i="33" l="1"/>
  <c r="O20" i="33"/>
  <c r="F20" i="33"/>
  <c r="I20" i="33"/>
  <c r="B23" i="33"/>
  <c r="C22" i="33"/>
  <c r="J21" i="33"/>
  <c r="K21" i="33"/>
  <c r="J22" i="33"/>
  <c r="H21" i="33"/>
  <c r="N21" i="33"/>
  <c r="D21" i="33"/>
  <c r="G21" i="33"/>
  <c r="E21" i="33"/>
  <c r="I21" i="33" l="1"/>
  <c r="F21" i="33"/>
  <c r="L21" i="33"/>
  <c r="O21" i="33"/>
  <c r="B24" i="33"/>
  <c r="C23" i="33"/>
  <c r="M22" i="33"/>
  <c r="D22" i="33"/>
  <c r="K22" i="33"/>
  <c r="E22" i="33"/>
  <c r="G22" i="33"/>
  <c r="N22" i="33"/>
  <c r="M23" i="33"/>
  <c r="H22" i="33"/>
  <c r="F22" i="33" l="1"/>
  <c r="O22" i="33"/>
  <c r="I22" i="33"/>
  <c r="L22" i="33"/>
  <c r="B25" i="33"/>
  <c r="C24" i="33"/>
  <c r="G23" i="33"/>
  <c r="J23" i="33"/>
  <c r="K23" i="33"/>
  <c r="N23" i="33"/>
  <c r="H23" i="33"/>
  <c r="D23" i="33"/>
  <c r="E23" i="33"/>
  <c r="G24" i="33"/>
  <c r="O23" i="33" l="1"/>
  <c r="L23" i="33"/>
  <c r="F23" i="33"/>
  <c r="I23" i="33"/>
  <c r="B26" i="33"/>
  <c r="C25" i="33"/>
  <c r="D24" i="33"/>
  <c r="E24" i="33"/>
  <c r="N24" i="33"/>
  <c r="H24" i="33"/>
  <c r="M24" i="33"/>
  <c r="G25" i="33"/>
  <c r="K24" i="33"/>
  <c r="J24" i="33"/>
  <c r="L24" i="33" l="1"/>
  <c r="O24" i="33"/>
  <c r="F24" i="33"/>
  <c r="I24" i="33"/>
  <c r="B27" i="33"/>
  <c r="C26" i="33"/>
  <c r="E25" i="33"/>
  <c r="J25" i="33"/>
  <c r="H26" i="33"/>
  <c r="N25" i="33"/>
  <c r="M25" i="33"/>
  <c r="H25" i="33"/>
  <c r="D25" i="33"/>
  <c r="K25" i="33"/>
  <c r="L25" i="33" l="1"/>
  <c r="O25" i="33"/>
  <c r="F25" i="33"/>
  <c r="I25" i="33"/>
  <c r="B28" i="33"/>
  <c r="C27" i="33"/>
  <c r="K26" i="33"/>
  <c r="D26" i="33"/>
  <c r="E26" i="33"/>
  <c r="N26" i="33"/>
  <c r="H27" i="33"/>
  <c r="J26" i="33"/>
  <c r="M26" i="33"/>
  <c r="G26" i="33"/>
  <c r="O26" i="33" l="1"/>
  <c r="I26" i="33"/>
  <c r="L26" i="33"/>
  <c r="F26" i="33"/>
  <c r="C28" i="33"/>
  <c r="B29" i="33"/>
  <c r="J27" i="33"/>
  <c r="K28" i="33"/>
  <c r="G27" i="33"/>
  <c r="M27" i="33"/>
  <c r="D27" i="33"/>
  <c r="K27" i="33"/>
  <c r="N27" i="33"/>
  <c r="E27" i="33"/>
  <c r="L27" i="33" l="1"/>
  <c r="F27" i="33"/>
  <c r="O27" i="33"/>
  <c r="I27" i="33"/>
  <c r="B30" i="33"/>
  <c r="C29" i="33"/>
  <c r="E28" i="33"/>
  <c r="N28" i="33"/>
  <c r="M28" i="33"/>
  <c r="J28" i="33"/>
  <c r="H28" i="33"/>
  <c r="G28" i="33"/>
  <c r="M29" i="33"/>
  <c r="D28" i="33"/>
  <c r="I28" i="33" l="1"/>
  <c r="O28" i="33"/>
  <c r="F28" i="33"/>
  <c r="L28" i="33"/>
  <c r="B31" i="33"/>
  <c r="C30" i="33"/>
  <c r="J29" i="33"/>
  <c r="N29" i="33"/>
  <c r="H30" i="33"/>
  <c r="K29" i="33"/>
  <c r="G29" i="33"/>
  <c r="E29" i="33"/>
  <c r="D29" i="33"/>
  <c r="H29" i="33"/>
  <c r="F29" i="33" l="1"/>
  <c r="O29" i="33"/>
  <c r="L29" i="33"/>
  <c r="I29" i="33"/>
  <c r="B32" i="33"/>
  <c r="B33" i="33" s="1"/>
  <c r="B34" i="33" s="1"/>
  <c r="C31" i="33"/>
  <c r="D30" i="33"/>
  <c r="G30" i="33"/>
  <c r="E30" i="33"/>
  <c r="J30" i="33"/>
  <c r="K30" i="33"/>
  <c r="N30" i="33"/>
  <c r="M30" i="33"/>
  <c r="H31" i="33"/>
  <c r="O30" i="33" l="1"/>
  <c r="L30" i="33"/>
  <c r="I30" i="33"/>
  <c r="F30" i="33"/>
  <c r="C32" i="33"/>
  <c r="G31" i="33"/>
  <c r="N31" i="33"/>
  <c r="E31" i="33"/>
  <c r="J31" i="33"/>
  <c r="D31" i="33"/>
  <c r="M31" i="33"/>
  <c r="K31" i="33"/>
  <c r="H32" i="33"/>
  <c r="L31" i="33" l="1"/>
  <c r="I31" i="33"/>
  <c r="O31" i="33"/>
  <c r="F31" i="33"/>
  <c r="C34" i="33"/>
  <c r="C33" i="33"/>
  <c r="E32" i="33"/>
  <c r="N32" i="33"/>
  <c r="D32" i="33"/>
  <c r="M32" i="33"/>
  <c r="K32" i="33"/>
  <c r="K33" i="33"/>
  <c r="K34" i="33"/>
  <c r="J32" i="33"/>
  <c r="G32" i="33"/>
  <c r="F32" i="33" l="1"/>
  <c r="L32" i="33"/>
  <c r="I32" i="33"/>
  <c r="O32" i="33"/>
  <c r="K36" i="33"/>
  <c r="K35" i="33"/>
  <c r="J33" i="33"/>
  <c r="D34" i="33"/>
  <c r="G33" i="33"/>
  <c r="E34" i="33"/>
  <c r="N34" i="33"/>
  <c r="D33" i="33"/>
  <c r="H34" i="33"/>
  <c r="N33" i="33"/>
  <c r="G34" i="33"/>
  <c r="M34" i="33"/>
  <c r="H33" i="33"/>
  <c r="E33" i="33"/>
  <c r="M33" i="33"/>
  <c r="J34" i="33"/>
  <c r="J36" i="33" l="1"/>
  <c r="J35" i="33"/>
  <c r="D35" i="33"/>
  <c r="D36" i="33"/>
  <c r="H36" i="33"/>
  <c r="G36" i="33"/>
  <c r="E36" i="33"/>
  <c r="E35" i="33"/>
  <c r="N36" i="33"/>
  <c r="M36" i="33"/>
  <c r="F34" i="33"/>
  <c r="L33" i="33"/>
  <c r="O34" i="33"/>
  <c r="F33" i="33"/>
  <c r="I33" i="33"/>
  <c r="I34" i="33"/>
  <c r="L34" i="33"/>
  <c r="O33" i="33"/>
  <c r="F35" i="33" l="1"/>
  <c r="L36" i="33"/>
  <c r="O36" i="33"/>
  <c r="I36" i="33"/>
  <c r="L35" i="33"/>
  <c r="F36" i="33"/>
</calcChain>
</file>

<file path=xl/sharedStrings.xml><?xml version="1.0" encoding="utf-8"?>
<sst xmlns="http://schemas.openxmlformats.org/spreadsheetml/2006/main" count="40052" uniqueCount="3514">
  <si>
    <t>mobile</t>
  </si>
  <si>
    <t>desktop</t>
  </si>
  <si>
    <t>tablet</t>
  </si>
  <si>
    <t>총 사용자</t>
    <phoneticPr fontId="2" type="noConversion"/>
  </si>
  <si>
    <t>새 사용자</t>
    <phoneticPr fontId="2" type="noConversion"/>
  </si>
  <si>
    <t>조회수</t>
    <phoneticPr fontId="2" type="noConversion"/>
  </si>
  <si>
    <t>비율</t>
    <phoneticPr fontId="2" type="noConversion"/>
  </si>
  <si>
    <t>desktop</t>
    <phoneticPr fontId="2" type="noConversion"/>
  </si>
  <si>
    <t>PC</t>
    <phoneticPr fontId="2" type="noConversion"/>
  </si>
  <si>
    <t>smart tv</t>
    <phoneticPr fontId="2" type="noConversion"/>
  </si>
  <si>
    <t>Mo</t>
    <phoneticPr fontId="2" type="noConversion"/>
  </si>
  <si>
    <t>mobile</t>
    <phoneticPr fontId="2" type="noConversion"/>
  </si>
  <si>
    <t>tablet</t>
    <phoneticPr fontId="2" type="noConversion"/>
  </si>
  <si>
    <t>기기</t>
    <phoneticPr fontId="2" type="noConversion"/>
  </si>
  <si>
    <t>경로</t>
    <phoneticPr fontId="2" type="noConversion"/>
  </si>
  <si>
    <t>UV</t>
    <phoneticPr fontId="2" type="noConversion"/>
  </si>
  <si>
    <t>PV</t>
    <phoneticPr fontId="2" type="noConversion"/>
  </si>
  <si>
    <t>합</t>
    <phoneticPr fontId="2" type="noConversion"/>
  </si>
  <si>
    <t>날짜</t>
    <phoneticPr fontId="2" type="noConversion"/>
  </si>
  <si>
    <t>PC 수치</t>
    <phoneticPr fontId="2" type="noConversion"/>
  </si>
  <si>
    <t>PC 비율</t>
    <phoneticPr fontId="2" type="noConversion"/>
  </si>
  <si>
    <t>MO 비율</t>
    <phoneticPr fontId="2" type="noConversion"/>
  </si>
  <si>
    <t>MO 수치</t>
    <phoneticPr fontId="2" type="noConversion"/>
  </si>
  <si>
    <t>수치 합</t>
    <phoneticPr fontId="2" type="noConversion"/>
  </si>
  <si>
    <t>평균</t>
    <phoneticPr fontId="2" type="noConversion"/>
  </si>
  <si>
    <t>시트명</t>
    <phoneticPr fontId="2" type="noConversion"/>
  </si>
  <si>
    <t>연</t>
    <phoneticPr fontId="2" type="noConversion"/>
  </si>
  <si>
    <t>월</t>
    <phoneticPr fontId="2" type="noConversion"/>
  </si>
  <si>
    <t>/archives/24686</t>
  </si>
  <si>
    <t>/archives/32828</t>
  </si>
  <si>
    <t>/</t>
  </si>
  <si>
    <t>/archives/96864</t>
  </si>
  <si>
    <t>/posts</t>
  </si>
  <si>
    <t>/archives/103947</t>
  </si>
  <si>
    <t>/archives/10815</t>
  </si>
  <si>
    <t>/archives/16295</t>
  </si>
  <si>
    <t>/archives/100667</t>
  </si>
  <si>
    <t>/archives/84588</t>
  </si>
  <si>
    <t>/archives/97077</t>
  </si>
  <si>
    <t>/archives/category/business/sk-on</t>
  </si>
  <si>
    <t>/archives/109462</t>
  </si>
  <si>
    <t>/archives/113680</t>
  </si>
  <si>
    <t>/archives/113998</t>
  </si>
  <si>
    <t>/archives/30434</t>
  </si>
  <si>
    <t>/archives/51614</t>
  </si>
  <si>
    <t>/archives/63622</t>
  </si>
  <si>
    <t>/archives/85006</t>
  </si>
  <si>
    <t>/archives/100892</t>
  </si>
  <si>
    <t>/archives/104002</t>
  </si>
  <si>
    <t>/archives/14875</t>
  </si>
  <si>
    <t>/archives/36253</t>
  </si>
  <si>
    <t>/archives/49884</t>
  </si>
  <si>
    <t>/archives/95110</t>
  </si>
  <si>
    <t>/archives/98731</t>
  </si>
  <si>
    <t>/archives/category/field-news</t>
  </si>
  <si>
    <t>/archives/category/industry-and-insight</t>
  </si>
  <si>
    <t>/archives/category/social-news</t>
  </si>
  <si>
    <t>/archives/103932</t>
  </si>
  <si>
    <t>/archives/104504</t>
  </si>
  <si>
    <t>/archives/107557</t>
  </si>
  <si>
    <t>/archives/113952</t>
  </si>
  <si>
    <t>/archives/114094</t>
  </si>
  <si>
    <t>/archives/8422</t>
  </si>
  <si>
    <t>/archives/8935</t>
  </si>
  <si>
    <t>/archives/92808</t>
  </si>
  <si>
    <t>/archives/97391</t>
  </si>
  <si>
    <t>/archives/98613</t>
  </si>
  <si>
    <t>/archives/category/business/sk-enmove</t>
  </si>
  <si>
    <t>/archives/category/business/sk-incheonpetrochem</t>
  </si>
  <si>
    <t>/newsroom-guide</t>
  </si>
  <si>
    <t>/archives/100327</t>
  </si>
  <si>
    <t>/archives/10131</t>
  </si>
  <si>
    <t>/archives/102328</t>
  </si>
  <si>
    <t>/archives/103803</t>
  </si>
  <si>
    <t>/archives/103818</t>
  </si>
  <si>
    <t>/archives/103989</t>
  </si>
  <si>
    <t>/archives/105395</t>
  </si>
  <si>
    <t>/archives/105532</t>
  </si>
  <si>
    <t>/archives/105914</t>
  </si>
  <si>
    <t>/archives/107411</t>
  </si>
  <si>
    <t>/archives/107845</t>
  </si>
  <si>
    <t>/archives/107963</t>
  </si>
  <si>
    <t>/archives/108874</t>
  </si>
  <si>
    <t>/archives/110015</t>
  </si>
  <si>
    <t>/archives/110206</t>
  </si>
  <si>
    <t>/archives/110323</t>
  </si>
  <si>
    <t>/archives/110536</t>
  </si>
  <si>
    <t>/archives/111373</t>
  </si>
  <si>
    <t>/archives/111406</t>
  </si>
  <si>
    <t>/archives/111978</t>
  </si>
  <si>
    <t>/archives/112133</t>
  </si>
  <si>
    <t>/archives/112210</t>
  </si>
  <si>
    <t>/archives/112480</t>
  </si>
  <si>
    <t>/archives/112908</t>
  </si>
  <si>
    <t>/archives/113289</t>
  </si>
  <si>
    <t>/archives/114065</t>
  </si>
  <si>
    <t>/archives/114138</t>
  </si>
  <si>
    <t>/archives/13682</t>
  </si>
  <si>
    <t>/archives/17876</t>
  </si>
  <si>
    <t>/archives/20706</t>
  </si>
  <si>
    <t>/archives/20855</t>
  </si>
  <si>
    <t>/archives/20948</t>
  </si>
  <si>
    <t>/archives/24874</t>
  </si>
  <si>
    <t>/archives/25579</t>
  </si>
  <si>
    <t>/archives/25711</t>
  </si>
  <si>
    <t>/archives/25955</t>
  </si>
  <si>
    <t>/archives/27825</t>
  </si>
  <si>
    <t>/archives/28782</t>
  </si>
  <si>
    <t>/archives/32713</t>
  </si>
  <si>
    <t>/archives/34426</t>
  </si>
  <si>
    <t>/archives/37693</t>
  </si>
  <si>
    <t>/archives/45433</t>
  </si>
  <si>
    <t>/archives/47192</t>
  </si>
  <si>
    <t>/archives/48028</t>
  </si>
  <si>
    <t>/archives/49054</t>
  </si>
  <si>
    <t>/archives/61743</t>
  </si>
  <si>
    <t>/archives/7636</t>
  </si>
  <si>
    <t>/archives/76541</t>
  </si>
  <si>
    <t>/archives/79784</t>
  </si>
  <si>
    <t>/archives/8034</t>
  </si>
  <si>
    <t>/archives/83065</t>
  </si>
  <si>
    <t>/archives/83181</t>
  </si>
  <si>
    <t>/archives/83720</t>
  </si>
  <si>
    <t>/archives/8448</t>
  </si>
  <si>
    <t>/archives/84762</t>
  </si>
  <si>
    <t>/archives/8502</t>
  </si>
  <si>
    <t>/archives/91050</t>
  </si>
  <si>
    <t>/archives/95080</t>
  </si>
  <si>
    <t>/archives/9512</t>
  </si>
  <si>
    <t>/archives/95380</t>
  </si>
  <si>
    <t>/archives/95467</t>
  </si>
  <si>
    <t>/archives/9562</t>
  </si>
  <si>
    <t>/archives/96339</t>
  </si>
  <si>
    <t>/archives/96475</t>
  </si>
  <si>
    <t>/archives/96759</t>
  </si>
  <si>
    <t>/archives/98107</t>
  </si>
  <si>
    <t>/archives/98325</t>
  </si>
  <si>
    <t>/archives/99932</t>
  </si>
  <si>
    <t>/archives/category/press/press-release</t>
  </si>
  <si>
    <t>/archives/tag/?붿????몃옖?ㅽ룷硫붿씠??1</t>
  </si>
  <si>
    <t>/archives/100222</t>
  </si>
  <si>
    <t>/archives/102043</t>
  </si>
  <si>
    <t>/archives/102075</t>
  </si>
  <si>
    <t>/archives/104136</t>
  </si>
  <si>
    <t>/archives/104517</t>
  </si>
  <si>
    <t>/archives/105641</t>
  </si>
  <si>
    <t>/archives/105821</t>
  </si>
  <si>
    <t>/archives/106205</t>
  </si>
  <si>
    <t>/archives/110144</t>
  </si>
  <si>
    <t>/archives/111387</t>
  </si>
  <si>
    <t>/archives/111495</t>
  </si>
  <si>
    <t>/archives/111540</t>
  </si>
  <si>
    <t>/archives/111831</t>
  </si>
  <si>
    <t>/archives/112418</t>
  </si>
  <si>
    <t>/archives/112956</t>
  </si>
  <si>
    <t>/archives/113159</t>
  </si>
  <si>
    <t>/archives/113855</t>
  </si>
  <si>
    <t>/archives/114052</t>
  </si>
  <si>
    <t>/archives/11700</t>
  </si>
  <si>
    <t>/archives/13104</t>
  </si>
  <si>
    <t>/archives/21617</t>
  </si>
  <si>
    <t>/archives/22421</t>
  </si>
  <si>
    <t>/archives/23134</t>
  </si>
  <si>
    <t>/archives/23352</t>
  </si>
  <si>
    <t>/archives/23662</t>
  </si>
  <si>
    <t>/archives/25903</t>
  </si>
  <si>
    <t>/archives/29155</t>
  </si>
  <si>
    <t>/archives/31846</t>
  </si>
  <si>
    <t>/archives/32685</t>
  </si>
  <si>
    <t>/archives/36237</t>
  </si>
  <si>
    <t>/archives/37258</t>
  </si>
  <si>
    <t>/archives/45601</t>
  </si>
  <si>
    <t>/archives/47000</t>
  </si>
  <si>
    <t>/archives/47699</t>
  </si>
  <si>
    <t>/archives/53520</t>
  </si>
  <si>
    <t>/archives/55965</t>
  </si>
  <si>
    <t>/archives/78785</t>
  </si>
  <si>
    <t>/archives/80837</t>
  </si>
  <si>
    <t>/archives/85278</t>
  </si>
  <si>
    <t>/archives/8544</t>
  </si>
  <si>
    <t>/archives/90087</t>
  </si>
  <si>
    <t>/archives/90219</t>
  </si>
  <si>
    <t>/archives/9049</t>
  </si>
  <si>
    <t>/archives/9249</t>
  </si>
  <si>
    <t>/archives/93460</t>
  </si>
  <si>
    <t>/archives/93799</t>
  </si>
  <si>
    <t>/archives/94081</t>
  </si>
  <si>
    <t>/archives/94468</t>
  </si>
  <si>
    <t>/archives/95134</t>
  </si>
  <si>
    <t>/archives/96097</t>
  </si>
  <si>
    <t>/archives/9670</t>
  </si>
  <si>
    <t>/archives/96846</t>
  </si>
  <si>
    <t>/archives/97638</t>
  </si>
  <si>
    <t>/archives/99298</t>
  </si>
  <si>
    <t>/archives/99361</t>
  </si>
  <si>
    <t>/archives/category/business/sk-energy</t>
  </si>
  <si>
    <t>/archives/category/business/sk-innovation</t>
  </si>
  <si>
    <t>/archives/tag/safety-golden-rule</t>
  </si>
  <si>
    <t>/archives/113462</t>
  </si>
  <si>
    <t>/archives/34678</t>
  </si>
  <si>
    <t>/archives/8355</t>
  </si>
  <si>
    <t>/archives/96387</t>
  </si>
  <si>
    <t>/archives/100041</t>
  </si>
  <si>
    <t>/archives/101143</t>
  </si>
  <si>
    <t>/archives/101258</t>
  </si>
  <si>
    <t>/archives/102398</t>
  </si>
  <si>
    <t>/archives/102980</t>
  </si>
  <si>
    <t>/archives/104187</t>
  </si>
  <si>
    <t>/archives/104532</t>
  </si>
  <si>
    <t>/archives/105313</t>
  </si>
  <si>
    <t>/archives/105770</t>
  </si>
  <si>
    <t>/archives/107610</t>
  </si>
  <si>
    <t>/archives/108461</t>
  </si>
  <si>
    <t>/archives/109888</t>
  </si>
  <si>
    <t>/archives/109977</t>
  </si>
  <si>
    <t>/archives/110120</t>
  </si>
  <si>
    <t>/archives/112046</t>
  </si>
  <si>
    <t>/archives/112331</t>
  </si>
  <si>
    <t>/archives/112411</t>
  </si>
  <si>
    <t>/archives/112487</t>
  </si>
  <si>
    <t>/archives/112566</t>
  </si>
  <si>
    <t>/archives/112776</t>
  </si>
  <si>
    <t>/archives/113192</t>
  </si>
  <si>
    <t>/archives/113565</t>
  </si>
  <si>
    <t>/archives/114084</t>
  </si>
  <si>
    <t>/archives/14040</t>
  </si>
  <si>
    <t>/archives/38098</t>
  </si>
  <si>
    <t>/archives/60522</t>
  </si>
  <si>
    <t>/archives/61356</t>
  </si>
  <si>
    <t>/archives/70139</t>
  </si>
  <si>
    <t>/archives/70737</t>
  </si>
  <si>
    <t>/archives/77592</t>
  </si>
  <si>
    <t>/archives/93636</t>
  </si>
  <si>
    <t>/archives/94318</t>
  </si>
  <si>
    <t>/archives/9807</t>
  </si>
  <si>
    <t>/archives/category/business</t>
  </si>
  <si>
    <t>/archives/category/business/sk-geo-centric</t>
  </si>
  <si>
    <t>/archives/category/business/sk-tradinginternational</t>
  </si>
  <si>
    <t>/archives/category/field-news/inno-field</t>
  </si>
  <si>
    <t>/archives/category/field-news/inno-people</t>
  </si>
  <si>
    <t>/archives/category/industry-and-insight/basics</t>
  </si>
  <si>
    <t>/archives/tag/?몃?怨듦컧-clan</t>
  </si>
  <si>
    <t>/archives/100553</t>
  </si>
  <si>
    <t>/archives/100739</t>
  </si>
  <si>
    <t>/archives/101442</t>
  </si>
  <si>
    <t>/archives/103704</t>
  </si>
  <si>
    <t>/archives/107506</t>
  </si>
  <si>
    <t>/archives/107738</t>
  </si>
  <si>
    <t>/archives/112513</t>
  </si>
  <si>
    <t>/archives/112989</t>
  </si>
  <si>
    <t>/archives/113268</t>
  </si>
  <si>
    <t>/archives/114118</t>
  </si>
  <si>
    <t>/archives/13718</t>
  </si>
  <si>
    <t>/archives/26999</t>
  </si>
  <si>
    <t>/archives/34403</t>
  </si>
  <si>
    <t>/archives/53209</t>
  </si>
  <si>
    <t>/archives/63101</t>
  </si>
  <si>
    <t>/archives/69322</t>
  </si>
  <si>
    <t>/archives/82567</t>
  </si>
  <si>
    <t>/archives/96879</t>
  </si>
  <si>
    <t>/archives/tag/sk?몃젅?대뵫?명꽣?댁뀛??1</t>
  </si>
  <si>
    <t>/archives/113520</t>
  </si>
  <si>
    <t>/archives/94030</t>
  </si>
  <si>
    <t>/archives/98767</t>
  </si>
  <si>
    <t>/archives/111283</t>
  </si>
  <si>
    <t>/archives/21277</t>
  </si>
  <si>
    <t>/archives/tag/sk?대끂踰좎씠???몄궛complex</t>
  </si>
  <si>
    <t>/archives/10963</t>
  </si>
  <si>
    <t>/archives/100840</t>
  </si>
  <si>
    <t>/archives/10179</t>
  </si>
  <si>
    <t>/archives/102896</t>
  </si>
  <si>
    <t>/archives/104914</t>
  </si>
  <si>
    <t>/archives/10512</t>
  </si>
  <si>
    <t>/archives/10557</t>
  </si>
  <si>
    <t>/archives/105571</t>
  </si>
  <si>
    <t>/archives/106626</t>
  </si>
  <si>
    <t>/archives/106868</t>
  </si>
  <si>
    <t>/archives/108815</t>
  </si>
  <si>
    <t>/archives/109118</t>
  </si>
  <si>
    <t>/archives/110471</t>
  </si>
  <si>
    <t>/archives/110975</t>
  </si>
  <si>
    <t>/archives/112580</t>
  </si>
  <si>
    <t>/archives/11737</t>
  </si>
  <si>
    <t>/archives/18429</t>
  </si>
  <si>
    <t>/archives/22117</t>
  </si>
  <si>
    <t>/archives/2624</t>
  </si>
  <si>
    <t>/archives/33139</t>
  </si>
  <si>
    <t>/archives/34651</t>
  </si>
  <si>
    <t>/archives/45061</t>
  </si>
  <si>
    <t>/archives/48279</t>
  </si>
  <si>
    <t>/archives/50461</t>
  </si>
  <si>
    <t>/archives/51077</t>
  </si>
  <si>
    <t>/archives/6654</t>
  </si>
  <si>
    <t>/archives/67606</t>
  </si>
  <si>
    <t>/archives/68240</t>
  </si>
  <si>
    <t>/archives/69589</t>
  </si>
  <si>
    <t>/archives/69864</t>
  </si>
  <si>
    <t>/archives/70521</t>
  </si>
  <si>
    <t>/archives/80192</t>
  </si>
  <si>
    <t>/archives/80526</t>
  </si>
  <si>
    <t>/archives/87190</t>
  </si>
  <si>
    <t>/archives/88269</t>
  </si>
  <si>
    <t>/archives/9006</t>
  </si>
  <si>
    <t>/archives/91072</t>
  </si>
  <si>
    <t>/archives/92988</t>
  </si>
  <si>
    <t>/archives/9782</t>
  </si>
  <si>
    <t>/archives/98610</t>
  </si>
  <si>
    <t>/archives/tag/ep</t>
  </si>
  <si>
    <t>/archives/tag/?덉쭏寃쎌쁺??1</t>
  </si>
  <si>
    <t>/archives/tag/?됰났?섎옒</t>
  </si>
  <si>
    <t>/archives/100970</t>
  </si>
  <si>
    <t>/archives/101248</t>
  </si>
  <si>
    <t>/archives/102588</t>
  </si>
  <si>
    <t>/archives/105651</t>
  </si>
  <si>
    <t>/archives/108949</t>
  </si>
  <si>
    <t>/archives/110055</t>
  </si>
  <si>
    <t>/archives/111245</t>
  </si>
  <si>
    <t>/archives/112011</t>
  </si>
  <si>
    <t>/archives/14636</t>
  </si>
  <si>
    <t>/archives/21775</t>
  </si>
  <si>
    <t>/archives/27324</t>
  </si>
  <si>
    <t>/archives/28045</t>
  </si>
  <si>
    <t>/archives/28520</t>
  </si>
  <si>
    <t>/archives/28909</t>
  </si>
  <si>
    <t>/archives/29960</t>
  </si>
  <si>
    <t>/archives/56046</t>
  </si>
  <si>
    <t>/archives/59030</t>
  </si>
  <si>
    <t>/archives/59917</t>
  </si>
  <si>
    <t>/archives/60291</t>
  </si>
  <si>
    <t>/archives/64019</t>
  </si>
  <si>
    <t>/archives/65154</t>
  </si>
  <si>
    <t>/archives/6688</t>
  </si>
  <si>
    <t>/archives/68210</t>
  </si>
  <si>
    <t>/archives/69750</t>
  </si>
  <si>
    <t>/archives/7103</t>
  </si>
  <si>
    <t>/archives/71405</t>
  </si>
  <si>
    <t>/archives/72552</t>
  </si>
  <si>
    <t>/archives/7475</t>
  </si>
  <si>
    <t>/archives/76494</t>
  </si>
  <si>
    <t>/archives/77093</t>
  </si>
  <si>
    <t>/archives/7918</t>
  </si>
  <si>
    <t>/archives/82120</t>
  </si>
  <si>
    <t>/archives/82326</t>
  </si>
  <si>
    <t>/archives/8289</t>
  </si>
  <si>
    <t>/archives/83099</t>
  </si>
  <si>
    <t>/archives/83166</t>
  </si>
  <si>
    <t>/archives/86272</t>
  </si>
  <si>
    <t>/archives/88930</t>
  </si>
  <si>
    <t>/archives/93157</t>
  </si>
  <si>
    <t>/archives/93410</t>
  </si>
  <si>
    <t>/archives/9439</t>
  </si>
  <si>
    <t>/archives/9705</t>
  </si>
  <si>
    <t>/archives/25596</t>
  </si>
  <si>
    <t>/archives/26466</t>
  </si>
  <si>
    <t>/archives/100061</t>
  </si>
  <si>
    <t>/archives/101589</t>
  </si>
  <si>
    <t>/archives/106345</t>
  </si>
  <si>
    <t>/archives/106701</t>
  </si>
  <si>
    <t>/archives/107618</t>
  </si>
  <si>
    <t>/archives/107925</t>
  </si>
  <si>
    <t>/archives/110819</t>
  </si>
  <si>
    <t>/archives/111394</t>
  </si>
  <si>
    <t>/archives/111929</t>
  </si>
  <si>
    <t>/archives/113432</t>
  </si>
  <si>
    <t>/archives/113475</t>
  </si>
  <si>
    <t>/archives/113797</t>
  </si>
  <si>
    <t>/archives/113899</t>
  </si>
  <si>
    <t>/archives/114014</t>
  </si>
  <si>
    <t>/archives/23957</t>
  </si>
  <si>
    <t>/archives/67318</t>
  </si>
  <si>
    <t>/archives/71556</t>
  </si>
  <si>
    <t>/archives/7288</t>
  </si>
  <si>
    <t>/archives/81946</t>
  </si>
  <si>
    <t>/archives/83119</t>
  </si>
  <si>
    <t>/archives/83751</t>
  </si>
  <si>
    <t>/archives/88154</t>
  </si>
  <si>
    <t>/archives/category/business/sk-enterm</t>
  </si>
  <si>
    <t>/archives/category/press/archive</t>
  </si>
  <si>
    <t>/archives/tag/?몄궛clx</t>
  </si>
  <si>
    <t>/archives/100759</t>
  </si>
  <si>
    <t>/archives/108563</t>
  </si>
  <si>
    <t>/archives/category/business/sk-earthon</t>
  </si>
  <si>
    <t>/archives/category/press</t>
  </si>
  <si>
    <t>/archives/103372</t>
  </si>
  <si>
    <t>/archives/10330</t>
  </si>
  <si>
    <t>/archives/67904</t>
  </si>
  <si>
    <t>/archives/94456</t>
  </si>
  <si>
    <t>/archives/104151</t>
  </si>
  <si>
    <t>/archives/8171</t>
  </si>
  <si>
    <t>/archives/100159</t>
  </si>
  <si>
    <t>/archives/101202</t>
  </si>
  <si>
    <t>/archives/101304</t>
  </si>
  <si>
    <t>/archives/102419</t>
  </si>
  <si>
    <t>/archives/105048</t>
  </si>
  <si>
    <t>/archives/105499</t>
  </si>
  <si>
    <t>/archives/105803</t>
  </si>
  <si>
    <t>/archives/108889</t>
  </si>
  <si>
    <t>/archives/110768</t>
  </si>
  <si>
    <t>/archives/110846</t>
  </si>
  <si>
    <t>/archives/13135</t>
  </si>
  <si>
    <t>/archives/13264</t>
  </si>
  <si>
    <t>/archives/14188</t>
  </si>
  <si>
    <t>/archives/14770</t>
  </si>
  <si>
    <t>/archives/22283</t>
  </si>
  <si>
    <t>/archives/24192</t>
  </si>
  <si>
    <t>/archives/28157</t>
  </si>
  <si>
    <t>/archives/36348</t>
  </si>
  <si>
    <t>/archives/38114</t>
  </si>
  <si>
    <t>/archives/47994</t>
  </si>
  <si>
    <t>/archives/48690</t>
  </si>
  <si>
    <t>/archives/53791</t>
  </si>
  <si>
    <t>/archives/56972</t>
  </si>
  <si>
    <t>/archives/62799</t>
  </si>
  <si>
    <t>/archives/72120</t>
  </si>
  <si>
    <t>/archives/75805</t>
  </si>
  <si>
    <t>/archives/76643</t>
  </si>
  <si>
    <t>/archives/80564</t>
  </si>
  <si>
    <t>/archives/81289</t>
  </si>
  <si>
    <t>/archives/85894</t>
  </si>
  <si>
    <t>/archives/85896</t>
  </si>
  <si>
    <t>/archives/87110</t>
  </si>
  <si>
    <t>/archives/88198</t>
  </si>
  <si>
    <t>/archives/88287</t>
  </si>
  <si>
    <t>/archives/90418</t>
  </si>
  <si>
    <t>/archives/9082</t>
  </si>
  <si>
    <t>/archives/91375</t>
  </si>
  <si>
    <t>/archives/91695</t>
  </si>
  <si>
    <t>/archives/93340</t>
  </si>
  <si>
    <t>/archives/93757</t>
  </si>
  <si>
    <t>/archives/94311</t>
  </si>
  <si>
    <t>/archives/9637</t>
  </si>
  <si>
    <t>/archives/tag/?섍꼍怨쇳븰湲곗닠??1</t>
  </si>
  <si>
    <t>/archives/102285</t>
  </si>
  <si>
    <t>/archives/105449</t>
  </si>
  <si>
    <t>/archives/106307</t>
  </si>
  <si>
    <t>/archives/111582</t>
  </si>
  <si>
    <t>/archives/112834</t>
  </si>
  <si>
    <t>/archives/112995</t>
  </si>
  <si>
    <t>/archives/113881</t>
  </si>
  <si>
    <t>/archives/11793</t>
  </si>
  <si>
    <t>/archives/14070</t>
  </si>
  <si>
    <t>/archives/21649</t>
  </si>
  <si>
    <t>/archives/33788</t>
  </si>
  <si>
    <t>/archives/36747</t>
  </si>
  <si>
    <t>/archives/58745</t>
  </si>
  <si>
    <t>/archives/70071</t>
  </si>
  <si>
    <t>/archives/72162</t>
  </si>
  <si>
    <t>/archives/78506</t>
  </si>
  <si>
    <t>/archives/81784</t>
  </si>
  <si>
    <t>/archives/88816</t>
  </si>
  <si>
    <t>/archives/90754</t>
  </si>
  <si>
    <t>/archives/96252</t>
  </si>
  <si>
    <t>/archives/96309</t>
  </si>
  <si>
    <t>/archives/96535</t>
  </si>
  <si>
    <t>/archives/9764</t>
  </si>
  <si>
    <t>/archives/97693</t>
  </si>
  <si>
    <t>/archives/tag/sk-battery-america</t>
  </si>
  <si>
    <t>/archives/101177</t>
  </si>
  <si>
    <t>/archives/103233</t>
  </si>
  <si>
    <t>/archives/103860</t>
  </si>
  <si>
    <t>/archives/105131</t>
  </si>
  <si>
    <t>/archives/106126</t>
  </si>
  <si>
    <t>/archives/109571</t>
  </si>
  <si>
    <t>/archives/113419</t>
  </si>
  <si>
    <t>/archives/113632</t>
  </si>
  <si>
    <t>/archives/57650</t>
  </si>
  <si>
    <t>/archives/63586</t>
  </si>
  <si>
    <t>/archives/6811</t>
  </si>
  <si>
    <t>/archives/72104</t>
  </si>
  <si>
    <t>/archives/81090</t>
  </si>
  <si>
    <t>/archives/82496</t>
  </si>
  <si>
    <t>/archives/85785</t>
  </si>
  <si>
    <t>/archives/93867</t>
  </si>
  <si>
    <t>/archives/94104</t>
  </si>
  <si>
    <t>/archives/94113</t>
  </si>
  <si>
    <t>/archives/98484</t>
  </si>
  <si>
    <t>/archives/category/business/sk-ietechnology</t>
  </si>
  <si>
    <t>/archives/category/press/notice</t>
  </si>
  <si>
    <t>/archives/102531</t>
  </si>
  <si>
    <t>/archives/108569</t>
  </si>
  <si>
    <t>/archives/111652</t>
  </si>
  <si>
    <t>/archives/112239</t>
  </si>
  <si>
    <t>/archives/81000</t>
  </si>
  <si>
    <t>/archives/93206</t>
  </si>
  <si>
    <t>/archives/tag/?붾）???뚮윭??1</t>
  </si>
  <si>
    <t>/archives/tag/梨꾩슜</t>
  </si>
  <si>
    <t>/archives/103349</t>
  </si>
  <si>
    <t>/archives/114153</t>
  </si>
  <si>
    <t>/archives/47741</t>
  </si>
  <si>
    <t>/archives/100001</t>
  </si>
  <si>
    <t>/archives/105883</t>
  </si>
  <si>
    <t>/archives/15974</t>
  </si>
  <si>
    <t>/archives/18301</t>
  </si>
  <si>
    <t>/archives/55989</t>
  </si>
  <si>
    <t>/archives/80343</t>
  </si>
  <si>
    <t>/archives/80568</t>
  </si>
  <si>
    <t>/archives/95732</t>
  </si>
  <si>
    <t>/archives/95988</t>
  </si>
  <si>
    <t>/archives/96752</t>
  </si>
  <si>
    <t>/archives/97264</t>
  </si>
  <si>
    <t>/archives/98605</t>
  </si>
  <si>
    <t>/archives/96132</t>
  </si>
  <si>
    <t>/archives/100309</t>
  </si>
  <si>
    <t>/archives/100641</t>
  </si>
  <si>
    <t>/archives/100723</t>
  </si>
  <si>
    <t>/archives/101465</t>
  </si>
  <si>
    <t>/archives/101945</t>
  </si>
  <si>
    <t>/archives/102835</t>
  </si>
  <si>
    <t>/archives/103178</t>
  </si>
  <si>
    <t>/archives/104331</t>
  </si>
  <si>
    <t>/archives/104533</t>
  </si>
  <si>
    <t>/archives/104883</t>
  </si>
  <si>
    <t>/archives/104996</t>
  </si>
  <si>
    <t>/archives/105002</t>
  </si>
  <si>
    <t>/archives/105237</t>
  </si>
  <si>
    <t>/archives/106172</t>
  </si>
  <si>
    <t>/archives/107036</t>
  </si>
  <si>
    <t>/archives/107142</t>
  </si>
  <si>
    <t>/archives/109761</t>
  </si>
  <si>
    <t>/archives/110382</t>
  </si>
  <si>
    <t>/archives/110458</t>
  </si>
  <si>
    <t>/archives/111968</t>
  </si>
  <si>
    <t>/archives/11371</t>
  </si>
  <si>
    <t>/archives/113942</t>
  </si>
  <si>
    <t>/archives/11993</t>
  </si>
  <si>
    <t>/archives/12929</t>
  </si>
  <si>
    <t>/archives/15214</t>
  </si>
  <si>
    <t>/archives/19039</t>
  </si>
  <si>
    <t>/archives/19825</t>
  </si>
  <si>
    <t>/archives/21543</t>
  </si>
  <si>
    <t>/archives/22185</t>
  </si>
  <si>
    <t>/archives/24123</t>
  </si>
  <si>
    <t>/archives/30560</t>
  </si>
  <si>
    <t>/archives/50688</t>
  </si>
  <si>
    <t>/archives/50898</t>
  </si>
  <si>
    <t>/archives/53590</t>
  </si>
  <si>
    <t>/archives/54173</t>
  </si>
  <si>
    <t>/archives/55168</t>
  </si>
  <si>
    <t>/archives/57820</t>
  </si>
  <si>
    <t>/archives/60780</t>
  </si>
  <si>
    <t>/archives/61110</t>
  </si>
  <si>
    <t>/archives/61250</t>
  </si>
  <si>
    <t>/archives/62607</t>
  </si>
  <si>
    <t>/archives/63128</t>
  </si>
  <si>
    <t>/archives/67506</t>
  </si>
  <si>
    <t>/archives/6772</t>
  </si>
  <si>
    <t>/archives/70300</t>
  </si>
  <si>
    <t>/archives/72713</t>
  </si>
  <si>
    <t>/archives/7348</t>
  </si>
  <si>
    <t>/archives/7359</t>
  </si>
  <si>
    <t>/archives/74464</t>
  </si>
  <si>
    <t>/archives/7868</t>
  </si>
  <si>
    <t>/archives/7938</t>
  </si>
  <si>
    <t>/archives/84900</t>
  </si>
  <si>
    <t>/archives/85134</t>
  </si>
  <si>
    <t>/archives/85853</t>
  </si>
  <si>
    <t>/archives/86689</t>
  </si>
  <si>
    <t>/archives/88954</t>
  </si>
  <si>
    <t>/archives/89828</t>
  </si>
  <si>
    <t>/archives/90090</t>
  </si>
  <si>
    <t>/archives/90393</t>
  </si>
  <si>
    <t>/archives/93780</t>
  </si>
  <si>
    <t>/archives/94594</t>
  </si>
  <si>
    <t>/archives/94616</t>
  </si>
  <si>
    <t>/archives/97113</t>
  </si>
  <si>
    <t>/archives/97463</t>
  </si>
  <si>
    <t>/archives/97579</t>
  </si>
  <si>
    <t>/archives/98253</t>
  </si>
  <si>
    <t>/archives/98694</t>
  </si>
  <si>
    <t>/archives/99525</t>
  </si>
  <si>
    <t>/archives/tag/sk-battery-hungary</t>
  </si>
  <si>
    <t>/archives/tag/sk-supex異붽뎄?묒쓽??1</t>
  </si>
  <si>
    <t>/archives/tag/sk寃쎌쁺寃쎌젣?곌뎄??1</t>
  </si>
  <si>
    <t>/archives/tag/?ㅽ뵂-?대끂踰좎씠??1</t>
  </si>
  <si>
    <t>/archives/tag/?ν깂媛</t>
  </si>
  <si>
    <t>/archives/tag/?뚮줈源?1</t>
  </si>
  <si>
    <t>/archives/tag/?됰났紐⑥쓬</t>
  </si>
  <si>
    <t>/archives/100851</t>
  </si>
  <si>
    <t>/archives/101641</t>
  </si>
  <si>
    <t>/archives/102756</t>
  </si>
  <si>
    <t>/archives/103092</t>
  </si>
  <si>
    <t>/archives/103594</t>
  </si>
  <si>
    <t>/archives/105691</t>
  </si>
  <si>
    <t>/archives/108736</t>
  </si>
  <si>
    <t>/archives/110919</t>
  </si>
  <si>
    <t>/archives/14136</t>
  </si>
  <si>
    <t>/archives/21354</t>
  </si>
  <si>
    <t>/archives/21634</t>
  </si>
  <si>
    <t>/archives/22310</t>
  </si>
  <si>
    <t>/archives/24005</t>
  </si>
  <si>
    <t>/archives/25258</t>
  </si>
  <si>
    <t>/archives/34162</t>
  </si>
  <si>
    <t>/archives/35195</t>
  </si>
  <si>
    <t>/archives/38706</t>
  </si>
  <si>
    <t>/archives/57901</t>
  </si>
  <si>
    <t>/archives/64647</t>
  </si>
  <si>
    <t>/archives/68608</t>
  </si>
  <si>
    <t>/archives/69107</t>
  </si>
  <si>
    <t>/archives/72390</t>
  </si>
  <si>
    <t>/archives/84210</t>
  </si>
  <si>
    <t>/archives/84376</t>
  </si>
  <si>
    <t>/archives/84713</t>
  </si>
  <si>
    <t>/archives/87527</t>
  </si>
  <si>
    <t>/archives/87921</t>
  </si>
  <si>
    <t>/archives/9192</t>
  </si>
  <si>
    <t>/archives/93235</t>
  </si>
  <si>
    <t>/archives/51746</t>
  </si>
  <si>
    <t>/archives/7268</t>
  </si>
  <si>
    <t>/404</t>
  </si>
  <si>
    <t>/archives/101213</t>
  </si>
  <si>
    <t>/archives/102095</t>
  </si>
  <si>
    <t>/archives/102733</t>
  </si>
  <si>
    <t>/archives/103145</t>
  </si>
  <si>
    <t>/archives/103336</t>
  </si>
  <si>
    <t>/archives/103449</t>
  </si>
  <si>
    <t>/archives/103500</t>
  </si>
  <si>
    <t>/archives/103688</t>
  </si>
  <si>
    <t>/archives/103830</t>
  </si>
  <si>
    <t>/archives/104300</t>
  </si>
  <si>
    <t>/archives/104596</t>
  </si>
  <si>
    <t>/archives/104638</t>
  </si>
  <si>
    <t>/archives/105440</t>
  </si>
  <si>
    <t>/archives/105461</t>
  </si>
  <si>
    <t>/archives/105639</t>
  </si>
  <si>
    <t>/archives/105676</t>
  </si>
  <si>
    <t>/archives/106254</t>
  </si>
  <si>
    <t>/archives/106387</t>
  </si>
  <si>
    <t>/archives/107289</t>
  </si>
  <si>
    <t>/archives/110681</t>
  </si>
  <si>
    <t>/archives/110801</t>
  </si>
  <si>
    <t>/archives/110932</t>
  </si>
  <si>
    <t>/archives/111435</t>
  </si>
  <si>
    <t>/archives/111887</t>
  </si>
  <si>
    <t>/archives/111949</t>
  </si>
  <si>
    <t>/archives/112036</t>
  </si>
  <si>
    <t>/archives/112250</t>
  </si>
  <si>
    <t>/archives/112544</t>
  </si>
  <si>
    <t>/archives/112603</t>
  </si>
  <si>
    <t>/archives/112754</t>
  </si>
  <si>
    <t>/archives/113083</t>
  </si>
  <si>
    <t>/archives/113197</t>
  </si>
  <si>
    <t>/archives/113226</t>
  </si>
  <si>
    <t>/archives/114038</t>
  </si>
  <si>
    <t>/archives/16903</t>
  </si>
  <si>
    <t>/archives/22567</t>
  </si>
  <si>
    <t>/archives/30153</t>
  </si>
  <si>
    <t>/archives/34624</t>
  </si>
  <si>
    <t>/archives/34669</t>
  </si>
  <si>
    <t>/archives/38936</t>
  </si>
  <si>
    <t>/archives/4521</t>
  </si>
  <si>
    <t>/archives/47895</t>
  </si>
  <si>
    <t>/archives/57622</t>
  </si>
  <si>
    <t>/archives/60629</t>
  </si>
  <si>
    <t>/archives/70156</t>
  </si>
  <si>
    <t>/archives/72250</t>
  </si>
  <si>
    <t>/archives/74629</t>
  </si>
  <si>
    <t>/archives/75079</t>
  </si>
  <si>
    <t>/archives/75513</t>
  </si>
  <si>
    <t>/archives/76328</t>
  </si>
  <si>
    <t>/archives/7725</t>
  </si>
  <si>
    <t>/archives/78311</t>
  </si>
  <si>
    <t>/archives/82691</t>
  </si>
  <si>
    <t>/archives/83571</t>
  </si>
  <si>
    <t>/archives/83801</t>
  </si>
  <si>
    <t>/archives/90963</t>
  </si>
  <si>
    <t>/archives/91287</t>
  </si>
  <si>
    <t>/archives/91679</t>
  </si>
  <si>
    <t>/archives/95007</t>
  </si>
  <si>
    <t>/archives/96322</t>
  </si>
  <si>
    <t>/archives/96489</t>
  </si>
  <si>
    <t>/archives/99215</t>
  </si>
  <si>
    <t>/archives/99229</t>
  </si>
  <si>
    <t>/archives/category/field-news/management</t>
  </si>
  <si>
    <t>/archives/category/industry-and-insight/inno-column</t>
  </si>
  <si>
    <t>/archives/tag/諛고꽣由?1</t>
  </si>
  <si>
    <t>/archives/tag/?좎옄??1</t>
  </si>
  <si>
    <t>/archives/tag/?뷀겕由?1</t>
  </si>
  <si>
    <t>/privacy-policy</t>
  </si>
  <si>
    <t>/archives/113099</t>
  </si>
  <si>
    <t>/archives/113149</t>
  </si>
  <si>
    <t>/archives/59768</t>
  </si>
  <si>
    <t>/archives/7696</t>
  </si>
  <si>
    <t>/archives/8369</t>
  </si>
  <si>
    <t>/archives/88135</t>
  </si>
  <si>
    <t>/archives/category/9</t>
  </si>
  <si>
    <t>/archives/76271</t>
  </si>
  <si>
    <t>/archives/114172</t>
  </si>
  <si>
    <t>/archives/tag/sk寃쎌쁺寃쎌젣?곌뎄??4</t>
  </si>
  <si>
    <t>/archives/84111</t>
  </si>
  <si>
    <t>/archives/85055</t>
  </si>
  <si>
    <t>/archives/103988</t>
  </si>
  <si>
    <t>/archives/104049</t>
  </si>
  <si>
    <t>/archives/113663</t>
  </si>
  <si>
    <t>/archives/31658</t>
  </si>
  <si>
    <t>/archives/54273</t>
  </si>
  <si>
    <t>/archives/8482</t>
  </si>
  <si>
    <t>/archives/86834</t>
  </si>
  <si>
    <t>/archives/89053</t>
  </si>
  <si>
    <t>/archives/9299</t>
  </si>
  <si>
    <t>/archives/93770</t>
  </si>
  <si>
    <t>/archives/99949</t>
  </si>
  <si>
    <t>/archives/tag/諛고꽣由?2</t>
  </si>
  <si>
    <t>/archives/109111</t>
  </si>
  <si>
    <t>/archives/90543</t>
  </si>
  <si>
    <t>/archives/102910</t>
  </si>
  <si>
    <t>/archives/104439</t>
  </si>
  <si>
    <t>/archives/105331</t>
  </si>
  <si>
    <t>/archives/106235</t>
  </si>
  <si>
    <t>/archives/110003</t>
  </si>
  <si>
    <t>/archives/111454</t>
  </si>
  <si>
    <t>/archives/111466</t>
  </si>
  <si>
    <t>/archives/112724</t>
  </si>
  <si>
    <t>/archives/113891</t>
  </si>
  <si>
    <t>/archives/11761</t>
  </si>
  <si>
    <t>/archives/19981</t>
  </si>
  <si>
    <t>/archives/21261</t>
  </si>
  <si>
    <t>/archives/25623</t>
  </si>
  <si>
    <t>/archives/27705</t>
  </si>
  <si>
    <t>/archives/34578</t>
  </si>
  <si>
    <t>/archives/35023</t>
  </si>
  <si>
    <t>/archives/56073</t>
  </si>
  <si>
    <t>/archives/59623</t>
  </si>
  <si>
    <t>/archives/59934</t>
  </si>
  <si>
    <t>/archives/61117</t>
  </si>
  <si>
    <t>/archives/62310</t>
  </si>
  <si>
    <t>/archives/62375</t>
  </si>
  <si>
    <t>/archives/67841</t>
  </si>
  <si>
    <t>/archives/68575</t>
  </si>
  <si>
    <t>/archives/70471</t>
  </si>
  <si>
    <t>/archives/71038</t>
  </si>
  <si>
    <t>/archives/72623</t>
  </si>
  <si>
    <t>/archives/73326</t>
  </si>
  <si>
    <t>/archives/7577</t>
  </si>
  <si>
    <t>/archives/80355</t>
  </si>
  <si>
    <t>/archives/81923</t>
  </si>
  <si>
    <t>/archives/82172</t>
  </si>
  <si>
    <t>/archives/8269</t>
  </si>
  <si>
    <t>/archives/83097</t>
  </si>
  <si>
    <t>/archives/84804</t>
  </si>
  <si>
    <t>/archives/85586</t>
  </si>
  <si>
    <t>/archives/86086</t>
  </si>
  <si>
    <t>/archives/86866</t>
  </si>
  <si>
    <t>/archives/86941</t>
  </si>
  <si>
    <t>/archives/88031</t>
  </si>
  <si>
    <t>/archives/89317</t>
  </si>
  <si>
    <t>/archives/8957</t>
  </si>
  <si>
    <t>/archives/89977</t>
  </si>
  <si>
    <t>/archives/92338</t>
  </si>
  <si>
    <t>/archives/92599</t>
  </si>
  <si>
    <t>/archives/92917</t>
  </si>
  <si>
    <t>/archives/93491</t>
  </si>
  <si>
    <t>/archives/96145</t>
  </si>
  <si>
    <t>/archives/96454</t>
  </si>
  <si>
    <t>/archives/97929</t>
  </si>
  <si>
    <t>/archives/98042</t>
  </si>
  <si>
    <t>/archives/tag/great-music-festival</t>
  </si>
  <si>
    <t>/archives/tag/hou</t>
  </si>
  <si>
    <t>/archives/tag/?섍퉭?④낵</t>
  </si>
  <si>
    <t>/archives/tag/?쒕끂??1</t>
  </si>
  <si>
    <t>/archives/tag/?좎엯?ъ썝-援먯쑁怨쇱젙</t>
  </si>
  <si>
    <t>/archives/tag/?깃??щⅤ-蹂듯빀-?뺤젣留덉쭊</t>
  </si>
  <si>
    <t>/archives/tag/?먯썝遊됱궗</t>
  </si>
  <si>
    <t>/archives/tag/議곗쭅臾명솕</t>
  </si>
  <si>
    <t>/archives/tag/?뚮씪?먯씪??1</t>
  </si>
  <si>
    <t>/archives/103287</t>
  </si>
  <si>
    <t>/archives/110489</t>
  </si>
  <si>
    <t>/archives/11127</t>
  </si>
  <si>
    <t>/archives/113624</t>
  </si>
  <si>
    <t>/archives/19728</t>
  </si>
  <si>
    <t>/archives/21532</t>
  </si>
  <si>
    <t>/archives/21973</t>
  </si>
  <si>
    <t>/archives/26620</t>
  </si>
  <si>
    <t>/archives/30647</t>
  </si>
  <si>
    <t>/archives/38911</t>
  </si>
  <si>
    <t>/archives/59136</t>
  </si>
  <si>
    <t>/archives/62659</t>
  </si>
  <si>
    <t>/archives/69357</t>
  </si>
  <si>
    <t>/archives/70856</t>
  </si>
  <si>
    <t>/archives/73613</t>
  </si>
  <si>
    <t>/archives/7660</t>
  </si>
  <si>
    <t>/archives/7762</t>
  </si>
  <si>
    <t>/archives/78965</t>
  </si>
  <si>
    <t>/archives/82619</t>
  </si>
  <si>
    <t>/archives/87503</t>
  </si>
  <si>
    <t>/archives/9501</t>
  </si>
  <si>
    <t>/archives/95327</t>
  </si>
  <si>
    <t>/archives/96184</t>
  </si>
  <si>
    <t>/archives/96818</t>
  </si>
  <si>
    <t>/archives/97573</t>
  </si>
  <si>
    <t>/archives/tag/洹몃┛諛몃윴??2030</t>
  </si>
  <si>
    <t>/archives/tag/?쇰젆?몃줈??1</t>
  </si>
  <si>
    <t>/archives/86766</t>
  </si>
  <si>
    <t>/archives/103302</t>
  </si>
  <si>
    <t>/archives/104261</t>
  </si>
  <si>
    <t>/archives/104964</t>
  </si>
  <si>
    <t>/archives/105258</t>
  </si>
  <si>
    <t>/archives/10794</t>
  </si>
  <si>
    <t>/archives/108834</t>
  </si>
  <si>
    <t>/archives/109386</t>
  </si>
  <si>
    <t>/archives/109663</t>
  </si>
  <si>
    <t>/archives/110328</t>
  </si>
  <si>
    <t>/archives/112071</t>
  </si>
  <si>
    <t>/archives/113925</t>
  </si>
  <si>
    <t>/archives/21314</t>
  </si>
  <si>
    <t>/archives/26151</t>
  </si>
  <si>
    <t>/archives/31789</t>
  </si>
  <si>
    <t>/archives/32157</t>
  </si>
  <si>
    <t>/archives/56657</t>
  </si>
  <si>
    <t>/archives/74012</t>
  </si>
  <si>
    <t>/archives/74611</t>
  </si>
  <si>
    <t>/archives/76343</t>
  </si>
  <si>
    <t>/archives/76429</t>
  </si>
  <si>
    <t>/archives/77009</t>
  </si>
  <si>
    <t>/archives/77887</t>
  </si>
  <si>
    <t>/archives/78753</t>
  </si>
  <si>
    <t>/archives/81735</t>
  </si>
  <si>
    <t>/archives/83278</t>
  </si>
  <si>
    <t>/archives/84557</t>
  </si>
  <si>
    <t>/archives/84789</t>
  </si>
  <si>
    <t>/archives/92248</t>
  </si>
  <si>
    <t>/archives/93529</t>
  </si>
  <si>
    <t>/archives/93938</t>
  </si>
  <si>
    <t>/archives/94778</t>
  </si>
  <si>
    <t>/archives/95609</t>
  </si>
  <si>
    <t>/archives/95863</t>
  </si>
  <si>
    <t>/archives/96768</t>
  </si>
  <si>
    <t>/archives/97418</t>
  </si>
  <si>
    <t>/archives/98931</t>
  </si>
  <si>
    <t>/archives/98991</t>
  </si>
  <si>
    <t>/archives/99041</t>
  </si>
  <si>
    <t>/archives/tag/green-transformation</t>
  </si>
  <si>
    <t>/archives/tag/?꾧렇?꾧렇罹좏럹??1</t>
  </si>
  <si>
    <t>/archives/tag/以묓븳?앺솕</t>
  </si>
  <si>
    <t>/archives/tag/?먰뵆?쇱뒪??1</t>
  </si>
  <si>
    <t>/archives/tag/?됰났-cc</t>
  </si>
  <si>
    <t>/archives/105707</t>
  </si>
  <si>
    <t>/archives/111155</t>
  </si>
  <si>
    <t>/archives/24737</t>
  </si>
  <si>
    <t>/archives/38469</t>
  </si>
  <si>
    <t>/archives/70759</t>
  </si>
  <si>
    <t>/archives/21558</t>
  </si>
  <si>
    <t>/archives/109603</t>
  </si>
  <si>
    <t>/archives/98215</t>
  </si>
  <si>
    <t>/archives/100916</t>
  </si>
  <si>
    <t>/archives/112024</t>
  </si>
  <si>
    <t>/archives/50203</t>
  </si>
  <si>
    <t>/archives/76210</t>
  </si>
  <si>
    <t>/archives/84007</t>
  </si>
  <si>
    <t>/archives/97804</t>
  </si>
  <si>
    <t>/archives/98805</t>
  </si>
  <si>
    <t>/archives/tag/?대텇?댁쑀</t>
  </si>
  <si>
    <t>/archives/112824</t>
  </si>
  <si>
    <t>/archives/88430</t>
  </si>
  <si>
    <t>/archives/10005</t>
  </si>
  <si>
    <t>/archives/103529</t>
  </si>
  <si>
    <t>/archives/104421</t>
  </si>
  <si>
    <t>/archives/104459</t>
  </si>
  <si>
    <t>/archives/104493</t>
  </si>
  <si>
    <t>/archives/105362</t>
  </si>
  <si>
    <t>/archives/107822</t>
  </si>
  <si>
    <t>/archives/108755</t>
  </si>
  <si>
    <t>/archives/109216</t>
  </si>
  <si>
    <t>/archives/110237</t>
  </si>
  <si>
    <t>/archives/110245</t>
  </si>
  <si>
    <t>/archives/112167</t>
  </si>
  <si>
    <t>/archives/112882</t>
  </si>
  <si>
    <t>/archives/12513</t>
  </si>
  <si>
    <t>/archives/14225</t>
  </si>
  <si>
    <t>/archives/16075</t>
  </si>
  <si>
    <t>/archives/25690</t>
  </si>
  <si>
    <t>/archives/31857</t>
  </si>
  <si>
    <t>/archives/47218</t>
  </si>
  <si>
    <t>/archives/48881</t>
  </si>
  <si>
    <t>/archives/50273</t>
  </si>
  <si>
    <t>/archives/52963</t>
  </si>
  <si>
    <t>/archives/54500</t>
  </si>
  <si>
    <t>/archives/57359</t>
  </si>
  <si>
    <t>/archives/59389</t>
  </si>
  <si>
    <t>/archives/60917</t>
  </si>
  <si>
    <t>/archives/61753</t>
  </si>
  <si>
    <t>/archives/61987</t>
  </si>
  <si>
    <t>/archives/64250</t>
  </si>
  <si>
    <t>/archives/67302</t>
  </si>
  <si>
    <t>/archives/69252</t>
  </si>
  <si>
    <t>/archives/69621</t>
  </si>
  <si>
    <t>/archives/73355</t>
  </si>
  <si>
    <t>/archives/75713</t>
  </si>
  <si>
    <t>/archives/79287</t>
  </si>
  <si>
    <t>/archives/80603</t>
  </si>
  <si>
    <t>/archives/83392</t>
  </si>
  <si>
    <t>/archives/85187</t>
  </si>
  <si>
    <t>/archives/85956</t>
  </si>
  <si>
    <t>/archives/86916</t>
  </si>
  <si>
    <t>/archives/88042</t>
  </si>
  <si>
    <t>/archives/88339</t>
  </si>
  <si>
    <t>/archives/88849</t>
  </si>
  <si>
    <t>/archives/90811</t>
  </si>
  <si>
    <t>/archives/92880</t>
  </si>
  <si>
    <t>/archives/97593</t>
  </si>
  <si>
    <t>/archives/97661</t>
  </si>
  <si>
    <t>/archives/tag/ocean-h</t>
  </si>
  <si>
    <t>/archives/tag/sk-supex異붽뎄?묒쓽??2</t>
  </si>
  <si>
    <t>/archives/tag/sk吏??1</t>
  </si>
  <si>
    <t>/blog</t>
  </si>
  <si>
    <t>/archives/102543</t>
  </si>
  <si>
    <t>/archives/105091</t>
  </si>
  <si>
    <t>/archives/107388</t>
  </si>
  <si>
    <t>/archives/107793</t>
  </si>
  <si>
    <t>/archives/109282</t>
  </si>
  <si>
    <t>/archives/114221</t>
  </si>
  <si>
    <t>/archives/24003</t>
  </si>
  <si>
    <t>/archives/25383</t>
  </si>
  <si>
    <t>/archives/25734</t>
  </si>
  <si>
    <t>/archives/26127</t>
  </si>
  <si>
    <t>/archives/34140</t>
  </si>
  <si>
    <t>/archives/48476</t>
  </si>
  <si>
    <t>/archives/59457</t>
  </si>
  <si>
    <t>/archives/6947</t>
  </si>
  <si>
    <t>/archives/93034</t>
  </si>
  <si>
    <t>/archives/94397</t>
  </si>
  <si>
    <t>/archives/9660</t>
  </si>
  <si>
    <t>/archives/98404</t>
  </si>
  <si>
    <t>/archives/tag/sk二쇱쑀??1</t>
  </si>
  <si>
    <t>/archives/tag/?ы쉶怨듯뿄-怨듬え??1</t>
  </si>
  <si>
    <t>/archives/tag/?ы깮洹쇰Т</t>
  </si>
  <si>
    <t>/archives/tag/?섎え?덉븘</t>
  </si>
  <si>
    <t>/archives/112428</t>
  </si>
  <si>
    <t>/archives/tag/?뚯씠?몄뀥-?ㅽ넗由?1</t>
  </si>
  <si>
    <t>/archives/100111</t>
  </si>
  <si>
    <t>/archives/102329</t>
  </si>
  <si>
    <t>/archives/104601</t>
  </si>
  <si>
    <t>/archives/104695</t>
  </si>
  <si>
    <t>/archives/106899</t>
  </si>
  <si>
    <t>/archives/107662</t>
  </si>
  <si>
    <t>/archives/107995</t>
  </si>
  <si>
    <t>/archives/108416</t>
  </si>
  <si>
    <t>/archives/108925</t>
  </si>
  <si>
    <t>/archives/111159</t>
  </si>
  <si>
    <t>/archives/111224</t>
  </si>
  <si>
    <t>/archives/111533</t>
  </si>
  <si>
    <t>/archives/111866</t>
  </si>
  <si>
    <t>/archives/113218</t>
  </si>
  <si>
    <t>/archives/113297</t>
  </si>
  <si>
    <t>/archives/114199</t>
  </si>
  <si>
    <t>/archives/114208</t>
  </si>
  <si>
    <t>/archives/18648</t>
  </si>
  <si>
    <t>/archives/19881</t>
  </si>
  <si>
    <t>/archives/29639</t>
  </si>
  <si>
    <t>/archives/34225</t>
  </si>
  <si>
    <t>/archives/64114</t>
  </si>
  <si>
    <t>/archives/69310</t>
  </si>
  <si>
    <t>/archives/70099</t>
  </si>
  <si>
    <t>/archives/71578</t>
  </si>
  <si>
    <t>/archives/72017</t>
  </si>
  <si>
    <t>/archives/78120</t>
  </si>
  <si>
    <t>/archives/79054</t>
  </si>
  <si>
    <t>/archives/82005</t>
  </si>
  <si>
    <t>/archives/8227</t>
  </si>
  <si>
    <t>/archives/82343</t>
  </si>
  <si>
    <t>/archives/8511</t>
  </si>
  <si>
    <t>/archives/86732</t>
  </si>
  <si>
    <t>/archives/91442</t>
  </si>
  <si>
    <t>/archives/92277</t>
  </si>
  <si>
    <t>/archives/93276</t>
  </si>
  <si>
    <t>/archives/94488</t>
  </si>
  <si>
    <t>/archives/97067</t>
  </si>
  <si>
    <t>/archives/98756</t>
  </si>
  <si>
    <t>/archives/99281</t>
  </si>
  <si>
    <t>/archives/tag/sk?대끂踰좎씠??吏곸썝?쒖꽕</t>
  </si>
  <si>
    <t>/archives/tag/?꾧린李?諛고꽣由?1</t>
  </si>
  <si>
    <t>/archives/tag/?쒖＜?좊굹?댄떚?쐄c</t>
  </si>
  <si>
    <t>/archives/tag/移대낯-??洹몃┛</t>
  </si>
  <si>
    <t>/archives/112156</t>
  </si>
  <si>
    <t>/archives/22252</t>
  </si>
  <si>
    <t>/archives/45706</t>
  </si>
  <si>
    <t>/archives/72036</t>
  </si>
  <si>
    <t>/archives/77996</t>
  </si>
  <si>
    <t>/archives/106168</t>
  </si>
  <si>
    <t>/archives/5506</t>
  </si>
  <si>
    <t>/archives/71505</t>
  </si>
  <si>
    <t>/archives/9986</t>
  </si>
  <si>
    <t>/archives/tag/?섍꼍怨쇳븰湲곗닠??2</t>
  </si>
  <si>
    <t>/archives/100113</t>
  </si>
  <si>
    <t>/archives/100130</t>
  </si>
  <si>
    <t>/archives/100207</t>
  </si>
  <si>
    <t>/archives/101509</t>
  </si>
  <si>
    <t>/archives/102193</t>
  </si>
  <si>
    <t>/archives/103400</t>
  </si>
  <si>
    <t>/archives/104985</t>
  </si>
  <si>
    <t>/archives/107394</t>
  </si>
  <si>
    <t>/archives/107887</t>
  </si>
  <si>
    <t>/archives/111054</t>
  </si>
  <si>
    <t>/archives/112345</t>
  </si>
  <si>
    <t>/archives/17256</t>
  </si>
  <si>
    <t>/archives/21295</t>
  </si>
  <si>
    <t>/archives/22734</t>
  </si>
  <si>
    <t>/archives/23283</t>
  </si>
  <si>
    <t>/archives/24523</t>
  </si>
  <si>
    <t>/archives/24588</t>
  </si>
  <si>
    <t>/archives/32311</t>
  </si>
  <si>
    <t>/archives/3293</t>
  </si>
  <si>
    <t>/archives/34905</t>
  </si>
  <si>
    <t>/archives/45364</t>
  </si>
  <si>
    <t>/archives/47950</t>
  </si>
  <si>
    <t>/archives/54522</t>
  </si>
  <si>
    <t>/archives/60093</t>
  </si>
  <si>
    <t>/archives/62211</t>
  </si>
  <si>
    <t>/archives/67865</t>
  </si>
  <si>
    <t>/archives/71524</t>
  </si>
  <si>
    <t>/archives/74339</t>
  </si>
  <si>
    <t>/archives/77266</t>
  </si>
  <si>
    <t>/archives/79941</t>
  </si>
  <si>
    <t>/archives/8113</t>
  </si>
  <si>
    <t>/archives/83217</t>
  </si>
  <si>
    <t>/archives/85171</t>
  </si>
  <si>
    <t>/archives/88712</t>
  </si>
  <si>
    <t>/archives/89158</t>
  </si>
  <si>
    <t>/archives/89651</t>
  </si>
  <si>
    <t>/archives/89908</t>
  </si>
  <si>
    <t>/archives/90522</t>
  </si>
  <si>
    <t>/archives/92105</t>
  </si>
  <si>
    <t>/archives/92534</t>
  </si>
  <si>
    <t>/archives/94627</t>
  </si>
  <si>
    <t>/archives/96443</t>
  </si>
  <si>
    <t>/archives/98822</t>
  </si>
  <si>
    <t>/archives/9962</t>
  </si>
  <si>
    <t>/archives/tag/sk?몄쿇?앹쑀?뷀븰</t>
  </si>
  <si>
    <t>/archives/tag/sk吏?ㅼ꽱?몃┃</t>
  </si>
  <si>
    <t>/archives/tag/solux-plus</t>
  </si>
  <si>
    <t>/archives/tag/遊됱궗?쒕룞</t>
  </si>
  <si>
    <t>/archives/tag/?섍꼍-?대땲?뷀떚釉?1</t>
  </si>
  <si>
    <t>/privacy20210908</t>
  </si>
  <si>
    <t>/archives/100303</t>
  </si>
  <si>
    <t>/archives/10070</t>
  </si>
  <si>
    <t>/archives/101462</t>
  </si>
  <si>
    <t>/archives/12222</t>
  </si>
  <si>
    <t>/archives/24485</t>
  </si>
  <si>
    <t>/archives/62178</t>
  </si>
  <si>
    <t>/archives/63062</t>
  </si>
  <si>
    <t>/archives/8051</t>
  </si>
  <si>
    <t>/archives/88291</t>
  </si>
  <si>
    <t>/archives/89493</t>
  </si>
  <si>
    <t>/archives/92800</t>
  </si>
  <si>
    <t>/archives/93813</t>
  </si>
  <si>
    <t>/archives/96251</t>
  </si>
  <si>
    <t>/archives/category/social-news/social-company</t>
  </si>
  <si>
    <t>/archives/tag/mou</t>
  </si>
  <si>
    <t>/archives/tag/踰좎씠吏?besk-?뚰겕?濡쒖?</t>
  </si>
  <si>
    <t>/archives/tag/?깃??щⅤ</t>
  </si>
  <si>
    <t>/archives/tag/?먮꼫吏-?몃옖吏??1</t>
  </si>
  <si>
    <t>/archives/103076</t>
  </si>
  <si>
    <t>/archives/107857</t>
  </si>
  <si>
    <t>/archives/108058</t>
  </si>
  <si>
    <t>/archives/108286</t>
  </si>
  <si>
    <t>/archives/108327</t>
  </si>
  <si>
    <t>/archives/110560</t>
  </si>
  <si>
    <t>/archives/110743</t>
  </si>
  <si>
    <t>/archives/111105</t>
  </si>
  <si>
    <t>/archives/111616</t>
  </si>
  <si>
    <t>/archives/111875</t>
  </si>
  <si>
    <t>/archives/112183</t>
  </si>
  <si>
    <t>/archives/112318</t>
  </si>
  <si>
    <t>/archives/112815</t>
  </si>
  <si>
    <t>/archives/112842</t>
  </si>
  <si>
    <t>/archives/112867</t>
  </si>
  <si>
    <t>/archives/18073</t>
  </si>
  <si>
    <t>/archives/18414</t>
  </si>
  <si>
    <t>/archives/21385</t>
  </si>
  <si>
    <t>/archives/21853</t>
  </si>
  <si>
    <t>/archives/25421</t>
  </si>
  <si>
    <t>/archives/25442</t>
  </si>
  <si>
    <t>/archives/25466</t>
  </si>
  <si>
    <t>/archives/34060</t>
  </si>
  <si>
    <t>/archives/3536</t>
  </si>
  <si>
    <t>/archives/47014</t>
  </si>
  <si>
    <t>/archives/62987</t>
  </si>
  <si>
    <t>/archives/64364</t>
  </si>
  <si>
    <t>/archives/70929</t>
  </si>
  <si>
    <t>/archives/72855</t>
  </si>
  <si>
    <t>/archives/73541</t>
  </si>
  <si>
    <t>/archives/78699</t>
  </si>
  <si>
    <t>/archives/87900</t>
  </si>
  <si>
    <t>/archives/91087</t>
  </si>
  <si>
    <t>/archives/97461</t>
  </si>
  <si>
    <t>/archives/category/field-news/inno-field/incheon</t>
  </si>
  <si>
    <t>/archives/category/field-news/inno-field/ulsan</t>
  </si>
  <si>
    <t>/archives/category/press/archive/photo</t>
  </si>
  <si>
    <t>/archives/tag/sk?먮꼫吏</t>
  </si>
  <si>
    <t>/archives/tag/?≪묠?됯컖</t>
  </si>
  <si>
    <t>/archives/103003</t>
  </si>
  <si>
    <t>/archives/110959</t>
  </si>
  <si>
    <t>/archives/114206</t>
  </si>
  <si>
    <t>/archives/45977</t>
  </si>
  <si>
    <t>/archives/46319</t>
  </si>
  <si>
    <t>/archives/63816</t>
  </si>
  <si>
    <t>/archives/82045</t>
  </si>
  <si>
    <t>/archives/97151</t>
  </si>
  <si>
    <t>/archives/tag/sk-?몄궛complex</t>
  </si>
  <si>
    <t>/archives/tag/?μ뒳??1</t>
  </si>
  <si>
    <t>/archives/37795</t>
  </si>
  <si>
    <t>/archives/101315</t>
  </si>
  <si>
    <t>/archives/102435</t>
  </si>
  <si>
    <t>/archives/111486</t>
  </si>
  <si>
    <t>/archives/14965</t>
  </si>
  <si>
    <t>/archives/20287</t>
  </si>
  <si>
    <t>/archives/21573</t>
  </si>
  <si>
    <t>/archives/28109</t>
  </si>
  <si>
    <t>/archives/29138</t>
  </si>
  <si>
    <t>/archives/37748</t>
  </si>
  <si>
    <t>/archives/73240</t>
  </si>
  <si>
    <t>/archives/78553</t>
  </si>
  <si>
    <t>/archives/79656</t>
  </si>
  <si>
    <t>/archives/83464</t>
  </si>
  <si>
    <t>/archives/85075</t>
  </si>
  <si>
    <t>/archives/87887</t>
  </si>
  <si>
    <t>/archives/89841</t>
  </si>
  <si>
    <t>/archives/93153</t>
  </si>
  <si>
    <t>/archives/9370</t>
  </si>
  <si>
    <t>/archives/93954</t>
  </si>
  <si>
    <t>/archives/95617</t>
  </si>
  <si>
    <t>/archives/95661</t>
  </si>
  <si>
    <t>/archives/97507</t>
  </si>
  <si>
    <t>/archives/98201</t>
  </si>
  <si>
    <t>/archives/98363</t>
  </si>
  <si>
    <t>/archives/99678</t>
  </si>
  <si>
    <t>/archives/tag/ess</t>
  </si>
  <si>
    <t>/archives/tag/no-1-fcc?앹궛1-unit</t>
  </si>
  <si>
    <t>/archives/112142</t>
  </si>
  <si>
    <t>/archives/21215</t>
  </si>
  <si>
    <t>/archives/26114</t>
  </si>
  <si>
    <t>/archives/32681</t>
  </si>
  <si>
    <t>/archives/59095</t>
  </si>
  <si>
    <t>/archives/91684</t>
  </si>
  <si>
    <t>/archives/94822</t>
  </si>
  <si>
    <t>/archives/96200</t>
  </si>
  <si>
    <t>/archives/98889</t>
  </si>
  <si>
    <t>/archives/99547</t>
  </si>
  <si>
    <t>/archives/tag/?좎엯?ъ썝</t>
  </si>
  <si>
    <t>/archives/tag/議곗??꾩＜</t>
  </si>
  <si>
    <t>/archives/100438</t>
  </si>
  <si>
    <t>/archives/110665</t>
  </si>
  <si>
    <t>/archives/114197</t>
  </si>
  <si>
    <t>/archives/114201</t>
  </si>
  <si>
    <t>/archives/114278</t>
  </si>
  <si>
    <t>/archives/19049</t>
  </si>
  <si>
    <t>/archives/22805</t>
  </si>
  <si>
    <t>/archives/25648</t>
  </si>
  <si>
    <t>/archives/3160</t>
  </si>
  <si>
    <t>/archives/32845</t>
  </si>
  <si>
    <t>/archives/53297</t>
  </si>
  <si>
    <t>/archives/67827</t>
  </si>
  <si>
    <t>/archives/7751</t>
  </si>
  <si>
    <t>/archives/81526</t>
  </si>
  <si>
    <t>/archives/82821</t>
  </si>
  <si>
    <t>/archives/86313</t>
  </si>
  <si>
    <t>/archives/8978</t>
  </si>
  <si>
    <t>/archives/category/today/event</t>
  </si>
  <si>
    <t>/archives/105264</t>
  </si>
  <si>
    <t>/archives/94009</t>
  </si>
  <si>
    <t>/archives/37362</t>
  </si>
  <si>
    <t>/archives/63456</t>
  </si>
  <si>
    <t>/archives/79895</t>
  </si>
  <si>
    <t>/archives/80546</t>
  </si>
  <si>
    <t>/archives/88319</t>
  </si>
  <si>
    <t>/archives/tag/?뱀꽌諛?1</t>
  </si>
  <si>
    <t>/archives/110894</t>
  </si>
  <si>
    <t>/archives/113475/4-sk?대끂踰좎씠??ces2024_sk?먮뜑?쒕뱶_sk-wonderland_?먰??ㅽ떛?꾩씪?쒕뱶_2</t>
  </si>
  <si>
    <t>/archives/11955</t>
  </si>
  <si>
    <t>/archives/28345</t>
  </si>
  <si>
    <t>/archives/34202</t>
  </si>
  <si>
    <t>/archives/64591</t>
  </si>
  <si>
    <t>/archives/73031</t>
  </si>
  <si>
    <t>/archives/7380</t>
  </si>
  <si>
    <t>/archives/tag/?대━?먯뒪?뚮Ⅴ?ㅽ룿</t>
  </si>
  <si>
    <t>/archives/105551</t>
  </si>
  <si>
    <t>/archives/106297</t>
  </si>
  <si>
    <t>/archives/89108</t>
  </si>
  <si>
    <t>/archives/106017</t>
  </si>
  <si>
    <t>/archives/106085</t>
  </si>
  <si>
    <t>/archives/86439</t>
  </si>
  <si>
    <t>/archives/76420</t>
  </si>
  <si>
    <t>/archives/30101</t>
  </si>
  <si>
    <t>/archives/3095</t>
  </si>
  <si>
    <t>/archives/37759</t>
  </si>
  <si>
    <t>/archives/4846</t>
  </si>
  <si>
    <t>/archives/61918</t>
  </si>
  <si>
    <t>/archives/62742</t>
  </si>
  <si>
    <t>/archives/73965</t>
  </si>
  <si>
    <t>/archives/77408</t>
  </si>
  <si>
    <t>/archives/78457</t>
  </si>
  <si>
    <t>/archives/95234</t>
  </si>
  <si>
    <t>/archives/95463</t>
  </si>
  <si>
    <t>/archives/99191</t>
  </si>
  <si>
    <t>/archives/14427</t>
  </si>
  <si>
    <t>/archives/26278</t>
  </si>
  <si>
    <t>/archives/36456</t>
  </si>
  <si>
    <t>/archives/59820</t>
  </si>
  <si>
    <t>/archives/68188</t>
  </si>
  <si>
    <t>/archives/8326</t>
  </si>
  <si>
    <t>/archives/90978</t>
  </si>
  <si>
    <t>/archives/97942</t>
  </si>
  <si>
    <t>/archives/category/social-news/csr</t>
  </si>
  <si>
    <t>/archives/100614</t>
  </si>
  <si>
    <t>/archives/111421</t>
  </si>
  <si>
    <t>/archives/27964</t>
  </si>
  <si>
    <t>/archives/33074</t>
  </si>
  <si>
    <t>/archives/8754</t>
  </si>
  <si>
    <t>/archives/category/social-news/biz-social</t>
  </si>
  <si>
    <t>/archives/95827</t>
  </si>
  <si>
    <t>/archives/98149</t>
  </si>
  <si>
    <t>/archives/98307</t>
  </si>
  <si>
    <t>/archives/26321</t>
  </si>
  <si>
    <t>/archives/87345</t>
  </si>
  <si>
    <t>/newsletter_agreement</t>
  </si>
  <si>
    <t>/archives/10019</t>
  </si>
  <si>
    <t>/archives/53167</t>
  </si>
  <si>
    <t>/archives/105850</t>
  </si>
  <si>
    <t>/archives/110720</t>
  </si>
  <si>
    <t>/archives/111843</t>
  </si>
  <si>
    <t>/archives/17479</t>
  </si>
  <si>
    <t>/archives/22870</t>
  </si>
  <si>
    <t>/archives/25882</t>
  </si>
  <si>
    <t>/archives/31776</t>
  </si>
  <si>
    <t>/archives/33937</t>
  </si>
  <si>
    <t>/archives/37000</t>
  </si>
  <si>
    <t>/archives/4735</t>
  </si>
  <si>
    <t>/archives/54675</t>
  </si>
  <si>
    <t>/archives/56726</t>
  </si>
  <si>
    <t>/archives/58337</t>
  </si>
  <si>
    <t>/archives/64674</t>
  </si>
  <si>
    <t>/archives/71231</t>
  </si>
  <si>
    <t>/archives/73799</t>
  </si>
  <si>
    <t>/archives/79812</t>
  </si>
  <si>
    <t>/archives/80912</t>
  </si>
  <si>
    <t>/archives/82839</t>
  </si>
  <si>
    <t>/archives/89361</t>
  </si>
  <si>
    <t>/archives/93962</t>
  </si>
  <si>
    <t>/archives/96733</t>
  </si>
  <si>
    <t>/archives/98112</t>
  </si>
  <si>
    <t>/archives/category/寃쎌쁺吏??좊뀈-?명꽣酉?1</t>
  </si>
  <si>
    <t>/archives/tag/sk吏?ㅼ꽭?몃┃-?곹븯??踰뺤씤</t>
  </si>
  <si>
    <t>/archives/tag/李쎈┰湲곕뀗??1</t>
  </si>
  <si>
    <t>/archives/113186</t>
  </si>
  <si>
    <t>/archives/71803</t>
  </si>
  <si>
    <t>/archives/81367</t>
  </si>
  <si>
    <t>/archives/83253</t>
  </si>
  <si>
    <t>/archives/96171</t>
  </si>
  <si>
    <t>/archives/97392</t>
  </si>
  <si>
    <t>/archives/tag/sne由ъ꽌移?1</t>
  </si>
  <si>
    <t>/archives/101604</t>
  </si>
  <si>
    <t>/archives/101730</t>
  </si>
  <si>
    <t>/archives/103054</t>
  </si>
  <si>
    <t>/archives/105172</t>
  </si>
  <si>
    <t>/archives/105521</t>
  </si>
  <si>
    <t>/archives/105741</t>
  </si>
  <si>
    <t>/archives/109630</t>
  </si>
  <si>
    <t>/archives/112006</t>
  </si>
  <si>
    <t>/archives/112709</t>
  </si>
  <si>
    <t>/archives/113055</t>
  </si>
  <si>
    <t>/archives/24660</t>
  </si>
  <si>
    <t>/archives/26899</t>
  </si>
  <si>
    <t>/archives/33833</t>
  </si>
  <si>
    <t>/archives/55939</t>
  </si>
  <si>
    <t>/archives/57491</t>
  </si>
  <si>
    <t>/archives/81931</t>
  </si>
  <si>
    <t>/archives/89099</t>
  </si>
  <si>
    <t>/archives/tag/esg</t>
  </si>
  <si>
    <t>/archives/tag/?묎레??1</t>
  </si>
  <si>
    <t>/archives/100598</t>
  </si>
  <si>
    <t>/archives/113121</t>
  </si>
  <si>
    <t>/archives/38490</t>
  </si>
  <si>
    <t>/archives/94067</t>
  </si>
  <si>
    <t>/archives/tag/sk?대끂踰좎씠??1</t>
  </si>
  <si>
    <t>/archives/35116</t>
  </si>
  <si>
    <t>/archives/112655</t>
  </si>
  <si>
    <t>/archives/21592</t>
  </si>
  <si>
    <t>/archives/tag/sk寃쎌쁺寃쎌젣?곌뎄??2</t>
  </si>
  <si>
    <t>/archives/113061</t>
  </si>
  <si>
    <t>/archives/16114</t>
  </si>
  <si>
    <t>/archives/9318</t>
  </si>
  <si>
    <t>/archives/109765</t>
  </si>
  <si>
    <t>/archives/111324</t>
  </si>
  <si>
    <t>/archives/11223</t>
  </si>
  <si>
    <t>/archives/112490</t>
  </si>
  <si>
    <t>/archives/112771</t>
  </si>
  <si>
    <t>/archives/11848</t>
  </si>
  <si>
    <t>/archives/14893</t>
  </si>
  <si>
    <t>/archives/20263</t>
  </si>
  <si>
    <t>/archives/32839</t>
  </si>
  <si>
    <t>/archives/64969</t>
  </si>
  <si>
    <t>/archives/71296</t>
  </si>
  <si>
    <t>/archives/72020</t>
  </si>
  <si>
    <t>/archives/73127</t>
  </si>
  <si>
    <t>/archives/74664</t>
  </si>
  <si>
    <t>/archives/87660</t>
  </si>
  <si>
    <t>/archives/8856</t>
  </si>
  <si>
    <t>/archives/89566</t>
  </si>
  <si>
    <t>/archives/89732</t>
  </si>
  <si>
    <t>/archives/90112</t>
  </si>
  <si>
    <t>/archives/category/social-news/1percent-sharing</t>
  </si>
  <si>
    <t>/archives/tag/all-time-net-zero</t>
  </si>
  <si>
    <t>/archives/tag/re100</t>
  </si>
  <si>
    <t>/archives/tag/?쇳븯??諛⑹떇???곸떊</t>
  </si>
  <si>
    <t>/archives/100255</t>
  </si>
  <si>
    <t>/archives/26029</t>
  </si>
  <si>
    <t>/archives/79533</t>
  </si>
  <si>
    <t>/archives/79887</t>
  </si>
  <si>
    <t>/archives/82278</t>
  </si>
  <si>
    <t>/archives/86636</t>
  </si>
  <si>
    <t>/archives/99533</t>
  </si>
  <si>
    <t>/archives/tag/怨좎닚?꾪뿵??1</t>
  </si>
  <si>
    <t>/archives/100197</t>
  </si>
  <si>
    <t>/archives/104829</t>
  </si>
  <si>
    <t>/archives/105384</t>
  </si>
  <si>
    <t>/archives/109090</t>
  </si>
  <si>
    <t>/archives/110425</t>
  </si>
  <si>
    <t>/archives/110994</t>
  </si>
  <si>
    <t>/archives/112053</t>
  </si>
  <si>
    <t>/archives/22990</t>
  </si>
  <si>
    <t>/archives/58004</t>
  </si>
  <si>
    <t>/archives/59742</t>
  </si>
  <si>
    <t>/archives/74279</t>
  </si>
  <si>
    <t>/archives/81495</t>
  </si>
  <si>
    <t>/archives/83888</t>
  </si>
  <si>
    <t>/archives/86006</t>
  </si>
  <si>
    <t>/archives/87448</t>
  </si>
  <si>
    <t>/archives/97325</t>
  </si>
  <si>
    <t>/archives/98182</t>
  </si>
  <si>
    <t>/archives/99441</t>
  </si>
  <si>
    <t>/archives/tag/?앷?由?肄붾쭏濡?1</t>
  </si>
  <si>
    <t>/archives/34241</t>
  </si>
  <si>
    <t>/archives/96958</t>
  </si>
  <si>
    <t>/archives/101469</t>
  </si>
  <si>
    <t>/archives/102586</t>
  </si>
  <si>
    <t>/archives/109962</t>
  </si>
  <si>
    <t>/archives/106374</t>
  </si>
  <si>
    <t>/archives/106411</t>
  </si>
  <si>
    <t>/archives/107717</t>
  </si>
  <si>
    <t>/archives/110156</t>
  </si>
  <si>
    <t>/archives/112305</t>
  </si>
  <si>
    <t>/archives/13420</t>
  </si>
  <si>
    <t>/archives/19623</t>
  </si>
  <si>
    <t>/archives/23900</t>
  </si>
  <si>
    <t>/archives/30145</t>
  </si>
  <si>
    <t>/archives/58321</t>
  </si>
  <si>
    <t>/archives/59794</t>
  </si>
  <si>
    <t>/archives/61876</t>
  </si>
  <si>
    <t>/archives/67796</t>
  </si>
  <si>
    <t>/archives/69742</t>
  </si>
  <si>
    <t>/archives/76261</t>
  </si>
  <si>
    <t>/archives/77515</t>
  </si>
  <si>
    <t>/archives/80881</t>
  </si>
  <si>
    <t>/archives/81070</t>
  </si>
  <si>
    <t>/archives/81203</t>
  </si>
  <si>
    <t>/archives/82021</t>
  </si>
  <si>
    <t>/archives/85805</t>
  </si>
  <si>
    <t>/archives/94248</t>
  </si>
  <si>
    <t>/archives/tag/sgr</t>
  </si>
  <si>
    <t>/archives/tag/?щ궡-?좎튂??1</t>
  </si>
  <si>
    <t>/archives/tag/梨꾩슜?ㅻ챸??1</t>
  </si>
  <si>
    <t>/archives/111312</t>
  </si>
  <si>
    <t>/archives/2964</t>
  </si>
  <si>
    <t>/archives/80987</t>
  </si>
  <si>
    <t>/archives/98280</t>
  </si>
  <si>
    <t>/archives/tag/?됰났?곗콉</t>
  </si>
  <si>
    <t>/archives/100500</t>
  </si>
  <si>
    <t>/archives/101026</t>
  </si>
  <si>
    <t>/archives/101342</t>
  </si>
  <si>
    <t>/archives/102863</t>
  </si>
  <si>
    <t>/archives/103216</t>
  </si>
  <si>
    <t>/archives/105208</t>
  </si>
  <si>
    <t>/archives/23219</t>
  </si>
  <si>
    <t>/archives/27556</t>
  </si>
  <si>
    <t>/archives/32247</t>
  </si>
  <si>
    <t>/archives/38609</t>
  </si>
  <si>
    <t>/archives/51378</t>
  </si>
  <si>
    <t>/archives/61829</t>
  </si>
  <si>
    <t>/archives/64305</t>
  </si>
  <si>
    <t>/archives/68784</t>
  </si>
  <si>
    <t>/archives/68858</t>
  </si>
  <si>
    <t>/archives/78837</t>
  </si>
  <si>
    <t>/archives/84037</t>
  </si>
  <si>
    <t>/archives/87619</t>
  </si>
  <si>
    <t>/archives/98444</t>
  </si>
  <si>
    <t>/archives/tag/pbat</t>
  </si>
  <si>
    <t>/archives/tag/洹몃┛-?몃옖?ㅽ룷硫붿씠??1</t>
  </si>
  <si>
    <t>/archives/105068</t>
  </si>
  <si>
    <t>/archives/105726</t>
  </si>
  <si>
    <t>/archives/100073</t>
  </si>
  <si>
    <t>/archives/11242</t>
  </si>
  <si>
    <t>/archives/14117</t>
  </si>
  <si>
    <t>/archives/15945</t>
  </si>
  <si>
    <t>/archives/21512</t>
  </si>
  <si>
    <t>/archives/37348</t>
  </si>
  <si>
    <t>/archives/51079</t>
  </si>
  <si>
    <t>/archives/78143</t>
  </si>
  <si>
    <t>/archives/80420</t>
  </si>
  <si>
    <t>/archives/89203</t>
  </si>
  <si>
    <t>/archives/89362</t>
  </si>
  <si>
    <t>/archives/90239</t>
  </si>
  <si>
    <t>/archives/97705</t>
  </si>
  <si>
    <t>/archives/99699</t>
  </si>
  <si>
    <t>/archives/tag/bm-?곸떊</t>
  </si>
  <si>
    <t>/archives/tag/ldpe</t>
  </si>
  <si>
    <t>/archives/tag/湲濡쒕쾶?щ읆</t>
  </si>
  <si>
    <t>/archives/107982</t>
  </si>
  <si>
    <t>/archives/37645</t>
  </si>
  <si>
    <t>/archives/54391</t>
  </si>
  <si>
    <t>/archives/55181</t>
  </si>
  <si>
    <t>/archives/56574</t>
  </si>
  <si>
    <t>/archives/64414</t>
  </si>
  <si>
    <t>/archives/8217</t>
  </si>
  <si>
    <t>/archives/100515</t>
  </si>
  <si>
    <t>/archives/103424</t>
  </si>
  <si>
    <t>/archives/111302</t>
  </si>
  <si>
    <t>/archives/111667</t>
  </si>
  <si>
    <t>/archives/17628</t>
  </si>
  <si>
    <t>/archives/32119</t>
  </si>
  <si>
    <t>/archives/78599</t>
  </si>
  <si>
    <t>/archives/79470</t>
  </si>
  <si>
    <t>/archives/79559</t>
  </si>
  <si>
    <t>/archives/85005</t>
  </si>
  <si>
    <t>/archives/91215</t>
  </si>
  <si>
    <t>/archives/98087</t>
  </si>
  <si>
    <t>/archives/tag/financial-story</t>
  </si>
  <si>
    <t>/archives/103669</t>
  </si>
  <si>
    <t>/archives/112385</t>
  </si>
  <si>
    <t>/archives/12432</t>
  </si>
  <si>
    <t>/archives/14651</t>
  </si>
  <si>
    <t>/archives/22377</t>
  </si>
  <si>
    <t>/archives/29201</t>
  </si>
  <si>
    <t>/archives/29674</t>
  </si>
  <si>
    <t>/archives/67997</t>
  </si>
  <si>
    <t>/archives/80919</t>
  </si>
  <si>
    <t>/archives/84628</t>
  </si>
  <si>
    <t>/archives/85165</t>
  </si>
  <si>
    <t>/archives/92541</t>
  </si>
  <si>
    <t>/archives/96997</t>
  </si>
  <si>
    <t>/archives/tag/?앹쑀</t>
  </si>
  <si>
    <t>/archives/tag/?앹쑀?뷀븰</t>
  </si>
  <si>
    <t>/archives/tag/?섏냼異⑹쟾??1</t>
  </si>
  <si>
    <t>/archives/tag/?꾩냼以묐┰</t>
  </si>
  <si>
    <t>/archives/26728</t>
  </si>
  <si>
    <t>/archives/34355</t>
  </si>
  <si>
    <t>/archives/46029</t>
  </si>
  <si>
    <t>/archives/86750</t>
  </si>
  <si>
    <t>/archives/57233</t>
  </si>
  <si>
    <t>/archives/60017</t>
  </si>
  <si>
    <t>/archives/74262</t>
  </si>
  <si>
    <t>/archives/77626</t>
  </si>
  <si>
    <t>/archives/91011</t>
  </si>
  <si>
    <t>/archives/category/industry-and-insight/specialist-column</t>
  </si>
  <si>
    <t>/archives/tag/?붾㈃蹂댄샇湲?1</t>
  </si>
  <si>
    <t>/archives/tag/?⑺듃泥댄겕?댁쑀</t>
  </si>
  <si>
    <t>/archives/62426</t>
  </si>
  <si>
    <t>/archives/8247</t>
  </si>
  <si>
    <t>/archives/87278</t>
  </si>
  <si>
    <t>/archives/87414</t>
  </si>
  <si>
    <t>/archives/87474</t>
  </si>
  <si>
    <t>/sr-report-2-2</t>
  </si>
  <si>
    <t>/archives/26186</t>
  </si>
  <si>
    <t>/archives/31912</t>
  </si>
  <si>
    <t>/archives/46360</t>
  </si>
  <si>
    <t>/archives/47927</t>
  </si>
  <si>
    <t>/archives/49396</t>
  </si>
  <si>
    <t>/archives/95813</t>
  </si>
  <si>
    <t>/archives/5026</t>
  </si>
  <si>
    <t>/archives/61803</t>
  </si>
  <si>
    <t>/archives/tag/諛고꽣由?怨듭옣</t>
  </si>
  <si>
    <t>/archives/tag/?먯쑀遺꾨퀎利앸쪟</t>
  </si>
  <si>
    <t>/archives/tag/sk?됰났?대┛?댁쭛</t>
  </si>
  <si>
    <t>/archives/105458</t>
  </si>
  <si>
    <t>/archives/50863</t>
  </si>
  <si>
    <t>/archives/72610</t>
  </si>
  <si>
    <t>/archives/75940</t>
  </si>
  <si>
    <t>/archives/83028</t>
  </si>
  <si>
    <t>/archives/98783</t>
  </si>
  <si>
    <t>/archives/tag/carbon-to-green</t>
  </si>
  <si>
    <t>/archives/17812</t>
  </si>
  <si>
    <t>/archives/19961</t>
  </si>
  <si>
    <t>/archives/22942</t>
  </si>
  <si>
    <t>/archives/tag/?섏씠?대끂踰좎씠??1</t>
  </si>
  <si>
    <t>/archives/24435</t>
  </si>
  <si>
    <t>/archives/4835</t>
  </si>
  <si>
    <t>/archives/89031</t>
  </si>
  <si>
    <t>/archives/94695</t>
  </si>
  <si>
    <t>/archives/97821</t>
  </si>
  <si>
    <t>/archives/99460</t>
  </si>
  <si>
    <t>/archives/100244</t>
  </si>
  <si>
    <t>/archives/45237</t>
  </si>
  <si>
    <t>/archives/10083</t>
  </si>
  <si>
    <t>/archives/18082</t>
  </si>
  <si>
    <t>/archives/28659</t>
  </si>
  <si>
    <t>/archives/34190</t>
  </si>
  <si>
    <t>/archives/52642</t>
  </si>
  <si>
    <t>/archives/56487</t>
  </si>
  <si>
    <t>/archives/68973</t>
  </si>
  <si>
    <t>/archives/70662</t>
  </si>
  <si>
    <t>/archives/95282</t>
  </si>
  <si>
    <t>/archives/tag/vrds</t>
  </si>
  <si>
    <t>/archives/tag/?몄뒪蹂쇳듃</t>
  </si>
  <si>
    <t>/archives/tag/??????룹젣濡?1</t>
  </si>
  <si>
    <t>/archives/9525</t>
  </si>
  <si>
    <t>/archives/tag/?먰넻?뺣같?곕━</t>
  </si>
  <si>
    <t>/archives/101404</t>
  </si>
  <si>
    <t>/archives/103044</t>
  </si>
  <si>
    <t>/archives/103250</t>
  </si>
  <si>
    <t>/archives/107579</t>
  </si>
  <si>
    <t>/archives/29254</t>
  </si>
  <si>
    <t>/archives/69528</t>
  </si>
  <si>
    <t>/archives/7554</t>
  </si>
  <si>
    <t>/archives/77070</t>
  </si>
  <si>
    <t>/archives/8496</t>
  </si>
  <si>
    <t>/archives/88779</t>
  </si>
  <si>
    <t>/archives/97724</t>
  </si>
  <si>
    <t>/archives/98905</t>
  </si>
  <si>
    <t>/archives/tag/湲곗뾽pr-罹좏럹??1</t>
  </si>
  <si>
    <t>/archives/21997</t>
  </si>
  <si>
    <t>/archives/114309</t>
  </si>
  <si>
    <t>/archives/tag/sk寃쎌쁺寃쎌젣?곌뎄??3</t>
  </si>
  <si>
    <t>/archives/100387</t>
  </si>
  <si>
    <t>/archives/20823</t>
  </si>
  <si>
    <t>/archives/27289</t>
  </si>
  <si>
    <t>/archives/28579</t>
  </si>
  <si>
    <t>/archives/49220</t>
  </si>
  <si>
    <t>/archives/50967</t>
  </si>
  <si>
    <t>/archives/59442</t>
  </si>
  <si>
    <t>/archives/61057</t>
  </si>
  <si>
    <t>/archives/72905</t>
  </si>
  <si>
    <t>/archives/90662</t>
  </si>
  <si>
    <t>/archives/94375</t>
  </si>
  <si>
    <t>/archives/tag/sk-energy-international</t>
  </si>
  <si>
    <t>/archives/tag/?ㅽ궎?몃㎤</t>
  </si>
  <si>
    <t>/archives/90131</t>
  </si>
  <si>
    <t>/archives/97544</t>
  </si>
  <si>
    <t>/archives/110572</t>
  </si>
  <si>
    <t>/archives/110892</t>
  </si>
  <si>
    <t>/archives/111732</t>
  </si>
  <si>
    <t>/archives/21407</t>
  </si>
  <si>
    <t>/archives/27747</t>
  </si>
  <si>
    <t>/archives/28402</t>
  </si>
  <si>
    <t>/archives/34632</t>
  </si>
  <si>
    <t>/archives/8008</t>
  </si>
  <si>
    <t>/archives/90355</t>
  </si>
  <si>
    <t>/archives/tag/?됰났誘우쓬</t>
  </si>
  <si>
    <t>/archives/35678</t>
  </si>
  <si>
    <t>/archives/92722</t>
  </si>
  <si>
    <t>/archives/tag/?꾩떆?좎쟾</t>
  </si>
  <si>
    <t>/archives/tag/吏곷Т?뚭컻</t>
  </si>
  <si>
    <t>/archives/24591</t>
  </si>
  <si>
    <t>/archives/35115</t>
  </si>
  <si>
    <t>/archives/35200</t>
  </si>
  <si>
    <t>/archives/50154</t>
  </si>
  <si>
    <t>/archives/54002</t>
  </si>
  <si>
    <t>/archives/67879</t>
  </si>
  <si>
    <t>/archives/70977</t>
  </si>
  <si>
    <t>/archives/73661</t>
  </si>
  <si>
    <t>/archives/83237</t>
  </si>
  <si>
    <t>/archives/87651</t>
  </si>
  <si>
    <t>/archives/93652</t>
  </si>
  <si>
    <t>/archives/category/2023</t>
  </si>
  <si>
    <t>/archives/tag/?곗떆??1</t>
  </si>
  <si>
    <t>/archives/10147</t>
  </si>
  <si>
    <t>/archives/105618</t>
  </si>
  <si>
    <t>/archives/112761</t>
  </si>
  <si>
    <t>/archives/94739</t>
  </si>
  <si>
    <t>/archives/107809</t>
  </si>
  <si>
    <t>/archives/17730</t>
  </si>
  <si>
    <t>/archives/32337</t>
  </si>
  <si>
    <t>/archives/45946</t>
  </si>
  <si>
    <t>/archives/48168</t>
  </si>
  <si>
    <t>/archives/48438</t>
  </si>
  <si>
    <t>/archives/48939</t>
  </si>
  <si>
    <t>/archives/56469</t>
  </si>
  <si>
    <t>/archives/70664</t>
  </si>
  <si>
    <t>/archives/78153</t>
  </si>
  <si>
    <t>/archives/88917</t>
  </si>
  <si>
    <t>/archives/96226</t>
  </si>
  <si>
    <t>/archives/97308</t>
  </si>
  <si>
    <t>/archives/tag/2020-?좎븘??移쒗솚寃??덊띁蹂대뱶</t>
  </si>
  <si>
    <t>/archives/45515</t>
  </si>
  <si>
    <t>/archives/114327</t>
  </si>
  <si>
    <t>/archives/18264</t>
  </si>
  <si>
    <t>/archives/60500</t>
  </si>
  <si>
    <t>/archives/7820</t>
  </si>
  <si>
    <t>/archives/90340</t>
  </si>
  <si>
    <t>/archives/94710</t>
  </si>
  <si>
    <t>/archives/97027</t>
  </si>
  <si>
    <t>/archives/98428</t>
  </si>
  <si>
    <t>/archives/66493</t>
  </si>
  <si>
    <t>/archives/73628</t>
  </si>
  <si>
    <t>/archives/tag/epdm-怨듭젙</t>
  </si>
  <si>
    <t>/archives/tag/?숉깂?쒕┝二쇱쑀??1</t>
  </si>
  <si>
    <t>/archives/112279</t>
  </si>
  <si>
    <t>/archives/87254</t>
  </si>
  <si>
    <t>/archives/97687</t>
  </si>
  <si>
    <t>/archives/98956</t>
  </si>
  <si>
    <t>/archives/tag/遺紐⑥큹泥?뻾??1</t>
  </si>
  <si>
    <t>/archives/tag/利앷텒??由ы룷??1</t>
  </si>
  <si>
    <t>/archives/tag/?됰났?ㅼ?</t>
  </si>
  <si>
    <t>/archives/20723</t>
  </si>
  <si>
    <t>/archives/14089</t>
  </si>
  <si>
    <t>/archives/58468</t>
  </si>
  <si>
    <t>/archives/93353</t>
  </si>
  <si>
    <t>/archives/95853</t>
  </si>
  <si>
    <t>/archives/category/field-news/inno-field/europe</t>
  </si>
  <si>
    <t>/archives/tag/?쇱쓬而듬쭔?ㅺ린</t>
  </si>
  <si>
    <t>/archives/77615</t>
  </si>
  <si>
    <t>/archives/78657</t>
  </si>
  <si>
    <t>/archives/105749</t>
  </si>
  <si>
    <t>/archives/108498</t>
  </si>
  <si>
    <t>/archives/61410</t>
  </si>
  <si>
    <t>/archives/24951</t>
  </si>
  <si>
    <t>/archives/114010</t>
  </si>
  <si>
    <t>/archives/32708</t>
  </si>
  <si>
    <t>/archives/tag/?곗씠?곗꽱??1</t>
  </si>
  <si>
    <t>/archives/23614</t>
  </si>
  <si>
    <t>/archives/69913</t>
  </si>
  <si>
    <t>/archives/18606</t>
  </si>
  <si>
    <t>/archives/25675</t>
  </si>
  <si>
    <t>/archives/30186</t>
  </si>
  <si>
    <t>/archives/96953</t>
  </si>
  <si>
    <t>/archives/84993</t>
  </si>
  <si>
    <t>/archives/103310</t>
  </si>
  <si>
    <t>/archives/107875</t>
  </si>
  <si>
    <t>/archives/23448</t>
  </si>
  <si>
    <t>/archives/24078</t>
  </si>
  <si>
    <t>/archives/57140</t>
  </si>
  <si>
    <t>/archives/60947</t>
  </si>
  <si>
    <t>/archives/71756</t>
  </si>
  <si>
    <t>/archives/71937</t>
  </si>
  <si>
    <t>/archives/89524</t>
  </si>
  <si>
    <t>/archives/tag/sk?대끂踰좎씠???ы쉶怨듯뿄</t>
  </si>
  <si>
    <t>/archives/101160</t>
  </si>
  <si>
    <t>/archives/101476</t>
  </si>
  <si>
    <t>/archives/74438</t>
  </si>
  <si>
    <t>/archives/tag/怨듭쑀?ㅽ뵾??1</t>
  </si>
  <si>
    <t>/archives/tag/??묒꽍??1</t>
  </si>
  <si>
    <t>/archives/46792</t>
  </si>
  <si>
    <t>/archives/92610</t>
  </si>
  <si>
    <t>/archives/95574</t>
  </si>
  <si>
    <t>/archives/tag/?몃?怨듦컧</t>
  </si>
  <si>
    <t>/archives/tag/?됰났-而ㅻ??덊떚-?쇳꽣</t>
  </si>
  <si>
    <t>/archives/114336</t>
  </si>
  <si>
    <t>/archives/110469</t>
  </si>
  <si>
    <t>/archives/113475/3-sk?대끂踰좎씠??ces2024_sk?먮뜑?쒕뱶_sk-wonderland_?먮뜑湲濡쒕툕_1-4</t>
  </si>
  <si>
    <t>/archives/114354</t>
  </si>
  <si>
    <t>/archives/12380</t>
  </si>
  <si>
    <t>/archives/25965</t>
  </si>
  <si>
    <t>/archives/31435</t>
  </si>
  <si>
    <t>/archives/33770</t>
  </si>
  <si>
    <t>/archives/95649</t>
  </si>
  <si>
    <t>/archives/tag/lsfo</t>
  </si>
  <si>
    <t>/archives/tag/踰숈빱?⑥쑀</t>
  </si>
  <si>
    <t>/archives/58410</t>
  </si>
  <si>
    <t>/archives/63080</t>
  </si>
  <si>
    <t>/archives/108585</t>
  </si>
  <si>
    <t>/archives/56647</t>
  </si>
  <si>
    <t>/archives/86310</t>
  </si>
  <si>
    <t>/archives/87738</t>
  </si>
  <si>
    <t>/archives/114364</t>
  </si>
  <si>
    <t>/archives/114430</t>
  </si>
  <si>
    <t>/archives/114407</t>
  </si>
  <si>
    <t>/archives/38329</t>
  </si>
  <si>
    <t>/archives/100999</t>
  </si>
  <si>
    <t>/archives/26042</t>
  </si>
  <si>
    <t>/archives/68450</t>
  </si>
  <si>
    <t>/archives/89025</t>
  </si>
  <si>
    <t>/archives/89459</t>
  </si>
  <si>
    <t>/archives/97843</t>
  </si>
  <si>
    <t>/archives/25194</t>
  </si>
  <si>
    <t>/archives/36270</t>
  </si>
  <si>
    <t>/archives/77475</t>
  </si>
  <si>
    <t>/archives/114412</t>
  </si>
  <si>
    <t>/archives/54267</t>
  </si>
  <si>
    <t>/archives/57706</t>
  </si>
  <si>
    <t>/archives/tag/?뚰듃?펣k</t>
  </si>
  <si>
    <t>/archives/tag/?대같????궗</t>
  </si>
  <si>
    <t>/archives/63284</t>
  </si>
  <si>
    <t>/archives/tag/留밴렇?щ툕</t>
  </si>
  <si>
    <t>/archives/54432</t>
  </si>
  <si>
    <t>/archives/60611</t>
  </si>
  <si>
    <t>/archives/114461</t>
  </si>
  <si>
    <t>/archives/114474</t>
  </si>
  <si>
    <t>/archives/31735</t>
  </si>
  <si>
    <t>/archives/35079</t>
  </si>
  <si>
    <t>/archives/83537</t>
  </si>
  <si>
    <t>/archives/87786</t>
  </si>
  <si>
    <t>/archives/111748</t>
  </si>
  <si>
    <t>/archives/83372</t>
  </si>
  <si>
    <t>/archives/tag/intelligent-wwtp</t>
  </si>
  <si>
    <t>/archives/114483</t>
  </si>
  <si>
    <t>/archives/2410</t>
  </si>
  <si>
    <t>/archives/50204</t>
  </si>
  <si>
    <t>/archives/82944</t>
  </si>
  <si>
    <t>/archives/tag/異뺤감?곗떊</t>
  </si>
  <si>
    <t>/archives/12554</t>
  </si>
  <si>
    <t>/archives/94923</t>
  </si>
  <si>
    <t>/archives/33974</t>
  </si>
  <si>
    <t>/archives/75901</t>
  </si>
  <si>
    <t>/archives/90997</t>
  </si>
  <si>
    <t>/archives/tag/蹂듭?</t>
  </si>
  <si>
    <t>/archives/109169</t>
  </si>
  <si>
    <t>/archives/109674</t>
  </si>
  <si>
    <t>/archives/68805</t>
  </si>
  <si>
    <t>/archives/104279</t>
  </si>
  <si>
    <t>/archives/6742</t>
  </si>
  <si>
    <t>/archives/107523</t>
  </si>
  <si>
    <t>/archives/114530</t>
  </si>
  <si>
    <t>/archives/35099</t>
  </si>
  <si>
    <t>/archives/105945</t>
  </si>
  <si>
    <t>/archives/114522</t>
  </si>
  <si>
    <t>/archives/21488</t>
  </si>
  <si>
    <t>/archives/22292</t>
  </si>
  <si>
    <t>/archives/28011</t>
  </si>
  <si>
    <t>/archives/32220</t>
  </si>
  <si>
    <t>/archives/52624</t>
  </si>
  <si>
    <t>/archives/76761</t>
  </si>
  <si>
    <t>/archives/tag/?됰났?붾뵥</t>
  </si>
  <si>
    <t>/archives/55625</t>
  </si>
  <si>
    <t>/archives/71614</t>
  </si>
  <si>
    <t>/archives/108091</t>
  </si>
  <si>
    <t>/archives/111914</t>
  </si>
  <si>
    <t>/archives/31955</t>
  </si>
  <si>
    <t>/archives/34475</t>
  </si>
  <si>
    <t>/archives/49319</t>
  </si>
  <si>
    <t>/archives/70048</t>
  </si>
  <si>
    <t>/archives/72267</t>
  </si>
  <si>
    <t>/archives/76626</t>
  </si>
  <si>
    <t>/archives/80453</t>
  </si>
  <si>
    <t>/archives/97763</t>
  </si>
  <si>
    <t>/archives/tag/移쒗솚寃?罹좏럹??1</t>
  </si>
  <si>
    <t>/archives/110586</t>
  </si>
  <si>
    <t>/archives/86645</t>
  </si>
  <si>
    <t>/archives/101484</t>
  </si>
  <si>
    <t>/archives/48793</t>
  </si>
  <si>
    <t>/archives/58976</t>
  </si>
  <si>
    <t>/archives/62220</t>
  </si>
  <si>
    <t>/archives/75150</t>
  </si>
  <si>
    <t>/archives/tag/留덈┛?대끂踰좎씠??1</t>
  </si>
  <si>
    <t>/archives/104937</t>
  </si>
  <si>
    <t>/archives/tag/sk二쇱쑀??2</t>
  </si>
  <si>
    <t>/archives/tag/移쒖씪??1</t>
  </si>
  <si>
    <t>/archives/108704</t>
  </si>
  <si>
    <t>/archives/80299</t>
  </si>
  <si>
    <t>/archives/85464</t>
  </si>
  <si>
    <t>/archives/87839</t>
  </si>
  <si>
    <t>/archives/90024</t>
  </si>
  <si>
    <t>/archives/93249</t>
  </si>
  <si>
    <t>/archives/tag/湲곗닠?곸떊?곌뎄??1</t>
  </si>
  <si>
    <t>/archives/114608</t>
  </si>
  <si>
    <t>/archives/78772</t>
  </si>
  <si>
    <t>/archives/tag/踰좏듃??1</t>
  </si>
  <si>
    <t>/archives/tag/而ㅻ㉧?ㅼ떆</t>
  </si>
  <si>
    <t>/archives/26085</t>
  </si>
  <si>
    <t>/archives/4924</t>
  </si>
  <si>
    <t>/archives/54098</t>
  </si>
  <si>
    <t>/archives/87197</t>
  </si>
  <si>
    <t>/archives/90077</t>
  </si>
  <si>
    <t>/archives/91353</t>
  </si>
  <si>
    <t>/archives/94849</t>
  </si>
  <si>
    <t>/archives/10169</t>
  </si>
  <si>
    <t>/archives/21926/釉붾줈洹?2_8-2</t>
  </si>
  <si>
    <t>/archives/27519</t>
  </si>
  <si>
    <t>/archives/28766</t>
  </si>
  <si>
    <t>/archives/tag/sk猷⑤툕由ъ빻痢?1</t>
  </si>
  <si>
    <t>/archives/tag/sk?덇?湲?쇱씠?붿쫰</t>
  </si>
  <si>
    <t>/archives/85718</t>
  </si>
  <si>
    <t>/archives/tag/ilboc</t>
  </si>
  <si>
    <t>/archives/tag/?ㅽ솢??1</t>
  </si>
  <si>
    <t>/archives/tag/?대컲李?1</t>
  </si>
  <si>
    <t>/archives/101057</t>
  </si>
  <si>
    <t>/archives/114610</t>
  </si>
  <si>
    <t>/archives/114616</t>
  </si>
  <si>
    <t>/archives/69240</t>
  </si>
  <si>
    <t>/archives/114632</t>
  </si>
  <si>
    <t>/archives/16386</t>
  </si>
  <si>
    <t>/archives/26267</t>
  </si>
  <si>
    <t>/archives/84572</t>
  </si>
  <si>
    <t>/archives/85339</t>
  </si>
  <si>
    <t>/archives/91933</t>
  </si>
  <si>
    <t>/archives/tag/?섏궗寃곗젙?묒쓽泥?1</t>
  </si>
  <si>
    <t>/archives/101011</t>
  </si>
  <si>
    <t>/archives/103891</t>
  </si>
  <si>
    <t>/archives/20370</t>
  </si>
  <si>
    <t>/archives/34111</t>
  </si>
  <si>
    <t>/archives/34730</t>
  </si>
  <si>
    <t>/archives/35698</t>
  </si>
  <si>
    <t>/archives/75071</t>
  </si>
  <si>
    <t>/archives/30576</t>
  </si>
  <si>
    <t>/archives/34305</t>
  </si>
  <si>
    <t>/archives/59490</t>
  </si>
  <si>
    <t>/archives/tag/ces-2020</t>
  </si>
  <si>
    <t>/archives/52070</t>
  </si>
  <si>
    <t>/archives/tag/?λ?異뺤젣</t>
  </si>
  <si>
    <t>/archives/45470</t>
  </si>
  <si>
    <t>/archives/101108</t>
  </si>
  <si>
    <t>/archives/49626</t>
  </si>
  <si>
    <t>/archives/60327</t>
  </si>
  <si>
    <t>/archives/4050</t>
  </si>
  <si>
    <t>/archives/59270</t>
  </si>
  <si>
    <t>/archives/83477</t>
  </si>
  <si>
    <t>/archives/27438</t>
  </si>
  <si>
    <t>/archives/75439</t>
  </si>
  <si>
    <t>/archives/tag/sk-?몄궛clx</t>
  </si>
  <si>
    <t>/archives/tag/?μ븷?명몴以?ъ뾽??1</t>
  </si>
  <si>
    <t>/archives/15654</t>
  </si>
  <si>
    <t>/archives/tag/she</t>
  </si>
  <si>
    <t>/archives/tag/以묒쭏?좊텇??1</t>
  </si>
  <si>
    <t>/archives/105667</t>
  </si>
  <si>
    <t>/archives/22498</t>
  </si>
  <si>
    <t>/archives/23385</t>
  </si>
  <si>
    <t>/archives/61623</t>
  </si>
  <si>
    <t>/archives/86852</t>
  </si>
  <si>
    <t>/archives/92661</t>
  </si>
  <si>
    <t>/archives/tag/?뺤쟾湲??먮━</t>
  </si>
  <si>
    <t>/archives/114675</t>
  </si>
  <si>
    <t>/archives/32790</t>
  </si>
  <si>
    <t>/archives/80233</t>
  </si>
  <si>
    <t>/archives/72139</t>
  </si>
  <si>
    <t>/archives/114679</t>
  </si>
  <si>
    <t>/archives/23978</t>
  </si>
  <si>
    <t>/archives/84026</t>
  </si>
  <si>
    <t>/archives/88349</t>
  </si>
  <si>
    <t>/archives/27448</t>
  </si>
  <si>
    <t>/archives/78278</t>
  </si>
  <si>
    <t>/archives/61840</t>
  </si>
  <si>
    <t>/archives/category/field-news/inno-field/seosan-jeungpyeong</t>
  </si>
  <si>
    <t>/archives/49664</t>
  </si>
  <si>
    <t>/archives/tag/?ы쉶?곴?移?1</t>
  </si>
  <si>
    <t>/archives/73907</t>
  </si>
  <si>
    <t>/archives/86192</t>
  </si>
  <si>
    <t>/archives/tag/sk洹몃９</t>
  </si>
  <si>
    <t>/archives/85603</t>
  </si>
  <si>
    <t>/archives/tag/???湲곗닠?곸떊?곌뎄??1</t>
  </si>
  <si>
    <t>/archives/114677</t>
  </si>
  <si>
    <t>/archives/28281</t>
  </si>
  <si>
    <t>/archives/99389</t>
  </si>
  <si>
    <t>/archives/38086</t>
  </si>
  <si>
    <t>/archives/82704</t>
  </si>
  <si>
    <t>/archives/tag/pet-?댁쨷??1</t>
  </si>
  <si>
    <t>/archives/13174</t>
  </si>
  <si>
    <t>/archives/31746</t>
  </si>
  <si>
    <t>/archives/71313</t>
  </si>
  <si>
    <t>/archives/7927</t>
  </si>
  <si>
    <t>/archives/97301</t>
  </si>
  <si>
    <t>/archives/108156</t>
  </si>
  <si>
    <t>/archives/114681</t>
  </si>
  <si>
    <t>/archives/87558</t>
  </si>
  <si>
    <t>/archives/tag/?띾낫?곸긽</t>
  </si>
  <si>
    <t>/archives/tag/?щ윭??留뚮뱾湲?1</t>
  </si>
  <si>
    <t>/archives/54600</t>
  </si>
  <si>
    <t>/archives/68704</t>
  </si>
  <si>
    <t>/archives/84193</t>
  </si>
  <si>
    <t>/archives/114688</t>
  </si>
  <si>
    <t>/)?먯꽌</t>
  </si>
  <si>
    <t>/archives/74097</t>
  </si>
  <si>
    <t>/archives/93574</t>
  </si>
  <si>
    <t>/archives/74848</t>
  </si>
  <si>
    <t>/archives/tag/湲?뚯퐫??1</t>
  </si>
  <si>
    <t>/archives/114689</t>
  </si>
  <si>
    <t>/archives/11875</t>
  </si>
  <si>
    <t>/archives/29775</t>
  </si>
  <si>
    <t>/archives/92681</t>
  </si>
  <si>
    <t>/archives/tag/blueovalsk</t>
  </si>
  <si>
    <t>/archives/79918</t>
  </si>
  <si>
    <t>/archives/103657</t>
  </si>
  <si>
    <t>/archives/107261</t>
  </si>
  <si>
    <t>/archives/12657</t>
  </si>
  <si>
    <t>/archives/82471</t>
  </si>
  <si>
    <t>/archives/tag/踰좎씠吏뺤옄?숈감</t>
  </si>
  <si>
    <t>/archives/114751</t>
  </si>
  <si>
    <t>/archives/83896</t>
  </si>
  <si>
    <t>/archives/tag/?섏냼李?1</t>
  </si>
  <si>
    <t>/archives/tag/移대낯-釉뚮━??1</t>
  </si>
  <si>
    <t>/archives/tag/?쒖쨷寃쎌젣臾명솕援먯쑁?묓쉶</t>
  </si>
  <si>
    <t>/archives/10614</t>
  </si>
  <si>
    <t>/archives/15100</t>
  </si>
  <si>
    <t>/archives/45895</t>
  </si>
  <si>
    <t>/archives/72952</t>
  </si>
  <si>
    <t>/archives/86980</t>
  </si>
  <si>
    <t>/archives/99350</t>
  </si>
  <si>
    <t>/archives/tag/寃쎌쑀-?섎컻??李⑥씠</t>
  </si>
  <si>
    <t>/archives/tag/?ш퀬?됯?</t>
  </si>
  <si>
    <t>/archives/54066</t>
  </si>
  <si>
    <t>/archives/52417</t>
  </si>
  <si>
    <t>/archives/111701</t>
  </si>
  <si>
    <t>/archives/77562</t>
  </si>
  <si>
    <t>/archives/tag/?먮꼫吏-?덊띁?ㅽ뀒?댁뀡</t>
  </si>
  <si>
    <t>/archives/tag/?ㅽ뵂-?대끂踰좎씠??2</t>
  </si>
  <si>
    <t>/archives/tag/?ш퀬?됯??먯씡</t>
  </si>
  <si>
    <t>/archives/tag/?쒕씪?댄겢由щ떇-?앹쑀?꾩깉</t>
  </si>
  <si>
    <t>/archives/93880</t>
  </si>
  <si>
    <t>/archives/99339</t>
  </si>
  <si>
    <t>/archives/86343</t>
  </si>
  <si>
    <t>/archives/87743</t>
  </si>
  <si>
    <t>/archives/tag/?ㅽ럹??1</t>
  </si>
  <si>
    <t>/archives/114773</t>
  </si>
  <si>
    <t>/archives/22393</t>
  </si>
  <si>
    <t>/archives/73718</t>
  </si>
  <si>
    <t>/archives/98681</t>
  </si>
  <si>
    <t>/archives/53044</t>
  </si>
  <si>
    <t>/archives/tag/湲곗닠?먭꺽利?1</t>
  </si>
  <si>
    <t>/archives/tag/?띿젣二쇱썝吏??븘?숈꽱??1</t>
  </si>
  <si>
    <t>/archives/103126</t>
  </si>
  <si>
    <t>/archives/56598</t>
  </si>
  <si>
    <t>/archives/114789</t>
  </si>
  <si>
    <t>/archives/67584</t>
  </si>
  <si>
    <t>/archives/57792</t>
  </si>
  <si>
    <t>/archives/tag/由ы뒳?댁삩?꾩?</t>
  </si>
  <si>
    <t>/archives/tag/?쇰갑??1</t>
  </si>
  <si>
    <t>/archives/114801</t>
  </si>
  <si>
    <t>/archives/114810</t>
  </si>
  <si>
    <t>/archives/tag/?섏궗寃곗젙-理쒖쟻??1</t>
  </si>
  <si>
    <t>/archives/102992</t>
  </si>
  <si>
    <t>/archives/103105</t>
  </si>
  <si>
    <t>/archives/66701</t>
  </si>
  <si>
    <t>/archives/73751</t>
  </si>
  <si>
    <t>/archives/90326</t>
  </si>
  <si>
    <t>/archives/30273</t>
  </si>
  <si>
    <t>/archives/18662</t>
  </si>
  <si>
    <t>/archives/26926</t>
  </si>
  <si>
    <t>/archives/33862</t>
  </si>
  <si>
    <t>/archives/73232</t>
  </si>
  <si>
    <t>/archives/82596</t>
  </si>
  <si>
    <t>/archives/52998</t>
  </si>
  <si>
    <t>/archives/tag/留밴렇濡쒕툕??蹂듭썝?ъ뾽</t>
  </si>
  <si>
    <t>/archives/114973</t>
  </si>
  <si>
    <t>/archives/114931</t>
  </si>
  <si>
    <t>/archives/107304</t>
  </si>
  <si>
    <t>/archives/tag/?뚯떇吏</t>
  </si>
  <si>
    <t>/archives/tag/?됰났?묒쓽??1</t>
  </si>
  <si>
    <t>/archives/24538</t>
  </si>
  <si>
    <t>/archives/36434</t>
  </si>
  <si>
    <t>/archives/7443</t>
  </si>
  <si>
    <t>/archives/tag/gmf</t>
  </si>
  <si>
    <t>/archives/tag/蹂듯빀-二쇱쑀??1</t>
  </si>
  <si>
    <t>/archives/114987</t>
  </si>
  <si>
    <t>/archives/9072</t>
  </si>
  <si>
    <t>/archives/48092</t>
  </si>
  <si>
    <t>/archives/114983</t>
  </si>
  <si>
    <t>/archives/114991</t>
  </si>
  <si>
    <t>/archives/114993</t>
  </si>
  <si>
    <t>/archives/58543</t>
  </si>
  <si>
    <t>/archives/15187</t>
  </si>
  <si>
    <t>/archives/tag/?댄듃??븯?곗뒪</t>
  </si>
  <si>
    <t>/archives/114999</t>
  </si>
  <si>
    <t>/archives/55833</t>
  </si>
  <si>
    <t>/archives/8872</t>
  </si>
  <si>
    <t>/ir-?뚯떇</t>
  </si>
  <si>
    <t>/archives/65098</t>
  </si>
  <si>
    <t>/archives/81437</t>
  </si>
  <si>
    <t>/archives/93130</t>
  </si>
  <si>
    <t>/archives/107701</t>
  </si>
  <si>
    <t>/archives/50750/190329_?섏씠?몄씠?쇨린_2?꾩감二쇰땲?댁궗???명꽣酉??섎???2</t>
  </si>
  <si>
    <t>/archives/53704</t>
  </si>
  <si>
    <t>/archives/56262</t>
  </si>
  <si>
    <t>/archives/71812</t>
  </si>
  <si>
    <t>/archives/20133</t>
  </si>
  <si>
    <t>/archives/46397</t>
  </si>
  <si>
    <t>/archives/54482</t>
  </si>
  <si>
    <t>/archives/64439</t>
  </si>
  <si>
    <t>/archives/tag/?쒗뿕移섍린?꾩큹肄쒕┸</t>
  </si>
  <si>
    <t>/archives/tag/?대━移대낫?ㅼ씠??1</t>
  </si>
  <si>
    <t>/archives/111719</t>
  </si>
  <si>
    <t>/archives/51926</t>
  </si>
  <si>
    <t>/archives/95303</t>
  </si>
  <si>
    <t>/archives/109520</t>
  </si>
  <si>
    <t>/archives/tag/吏묒쨷?λ넂?대뒗?뚯떇</t>
  </si>
  <si>
    <t>/archives/11677</t>
  </si>
  <si>
    <t>/archives/22032</t>
  </si>
  <si>
    <t>/archives/31844</t>
  </si>
  <si>
    <t>/archives/32255</t>
  </si>
  <si>
    <t>/archives/33727</t>
  </si>
  <si>
    <t>/archives/34256</t>
  </si>
  <si>
    <t>/archives/74508</t>
  </si>
  <si>
    <t>/archives/86378</t>
  </si>
  <si>
    <t>/archives/94210</t>
  </si>
  <si>
    <t>/archives/64081</t>
  </si>
  <si>
    <t>/archives/88995</t>
  </si>
  <si>
    <t>/archives/tag/?앹쑀?쒗뭹?댁쁺unit</t>
  </si>
  <si>
    <t>/archives/10112</t>
  </si>
  <si>
    <t>/archives/109932</t>
  </si>
  <si>
    <t>/archives/115020</t>
  </si>
  <si>
    <t>/archives/37211</t>
  </si>
  <si>
    <t>/archives/63379</t>
  </si>
  <si>
    <t>/archives/92582</t>
  </si>
  <si>
    <t>/archives/tag/best</t>
  </si>
  <si>
    <t>/archives/tag/sk?쒕┛?ъ삦</t>
  </si>
  <si>
    <t>/archives/31970</t>
  </si>
  <si>
    <t>/archives/83613</t>
  </si>
  <si>
    <t>/archives/85944</t>
  </si>
  <si>
    <t>/archives/8740</t>
  </si>
  <si>
    <t>/archives/91753</t>
  </si>
  <si>
    <t>/archives/tag/2?꾩감?ъ썝</t>
  </si>
  <si>
    <t>/archives/tag/mpge</t>
  </si>
  <si>
    <t>/archives/tag/quick-start</t>
  </si>
  <si>
    <t>/archives/tag/援먯쑁?덈젴??1</t>
  </si>
  <si>
    <t>/archives/tag/罹좏럹??1</t>
  </si>
  <si>
    <t>/archives/tag/?댁쇅?ы뻾-以鍮꾨Ъ-泥댄겕由ъ뒪??1</t>
  </si>
  <si>
    <t>/archives/106469</t>
  </si>
  <si>
    <t>/archives/54191</t>
  </si>
  <si>
    <t>/archives/86363</t>
  </si>
  <si>
    <t>/archives/83141</t>
  </si>
  <si>
    <t>/archives/93024</t>
  </si>
  <si>
    <t>/archives/94161</t>
  </si>
  <si>
    <t>/archives/107482</t>
  </si>
  <si>
    <t>/archives/62099</t>
  </si>
  <si>
    <t>/archives/20005</t>
  </si>
  <si>
    <t>/archives/35211</t>
  </si>
  <si>
    <t>/archives/63729</t>
  </si>
  <si>
    <t>/archives/76496</t>
  </si>
  <si>
    <t>/archives/84498</t>
  </si>
  <si>
    <t>/archives/34597</t>
  </si>
  <si>
    <t>/archives/9351</t>
  </si>
  <si>
    <t>/archives/tag/?⑤씪???ъ링??웾寃??1</t>
  </si>
  <si>
    <t>/archives/45808</t>
  </si>
  <si>
    <t>/archives/16528</t>
  </si>
  <si>
    <t>/archives/2675</t>
  </si>
  <si>
    <t>/archives/95591</t>
  </si>
  <si>
    <t>/archives/tag/洹몃┛?먮꼫吏</t>
  </si>
  <si>
    <t>/archives/tag/?쒕씪?댁븘?댁뒪-?ㅽ뿕</t>
  </si>
  <si>
    <t>/archives/tag/?좊뀈??1</t>
  </si>
  <si>
    <t>/archives/tag/?덉쟾</t>
  </si>
  <si>
    <t>/archives/tag/?섍꼍蹂댄샇</t>
  </si>
  <si>
    <t>/archives/27589</t>
  </si>
  <si>
    <t>/archives/58841</t>
  </si>
  <si>
    <t>/archives/tag/?몄옱???ъ옣</t>
  </si>
  <si>
    <t>/archives/14924</t>
  </si>
  <si>
    <t>/archives/32355</t>
  </si>
  <si>
    <t>/archives/68308</t>
  </si>
  <si>
    <t>/archives/81106</t>
  </si>
  <si>
    <t>/archives/tag/肄붾컮?섎쑉媛쒖쭏?섎뒗踰?1</t>
  </si>
  <si>
    <t>/archives/28149</t>
  </si>
  <si>
    <t>/archives/88943</t>
  </si>
  <si>
    <t>/archives/tag/?뚮젆?쒕툝-而ㅻ쾭-?덈룄??1</t>
  </si>
  <si>
    <t>/archives/113475/4-sk?대끂踰좎씠??ces2024_sk?먮뜑?쒕뱶_sk-wonderland_?먰??ㅽ떛?꾩씪?쒕뱶_1</t>
  </si>
  <si>
    <t>/archives/27907</t>
  </si>
  <si>
    <t>/archives/33685</t>
  </si>
  <si>
    <t>/archives/61492</t>
  </si>
  <si>
    <t>/archives/75211</t>
  </si>
  <si>
    <t>/archives/82866</t>
  </si>
  <si>
    <t>/archives/tag/洹몃┛??1</t>
  </si>
  <si>
    <t>/archives/tag/諛쒕떖?μ븷??吏곷Т-援먯쑁</t>
  </si>
  <si>
    <t>/archives/tag/?명듃濡?1</t>
  </si>
  <si>
    <t>/archives/112614</t>
  </si>
  <si>
    <t>/archives/27996</t>
  </si>
  <si>
    <t>/archives/81490</t>
  </si>
  <si>
    <t>/archives/84220</t>
  </si>
  <si>
    <t>/archives/tag/sk?대끂踰좎씠??怨듬え???쒖긽??1</t>
  </si>
  <si>
    <t>/archives/tag/理쒖씠??1</t>
  </si>
  <si>
    <t>/archives/110104</t>
  </si>
  <si>
    <t>/archives/30069</t>
  </si>
  <si>
    <t>/archives/77232</t>
  </si>
  <si>
    <t>/archives/88689</t>
  </si>
  <si>
    <t>/archives/95143</t>
  </si>
  <si>
    <t>/archives/tag/i-green-we-green-罹좏럹??1</t>
  </si>
  <si>
    <t>/archives/tag/skgca</t>
  </si>
  <si>
    <t>/archives/tag/?좎엯-?붿??덉뼱</t>
  </si>
  <si>
    <t>/archives/105586</t>
  </si>
  <si>
    <t>/archives/35072</t>
  </si>
  <si>
    <t>/archives/57534</t>
  </si>
  <si>
    <t>/archives/tag/steam-purge</t>
  </si>
  <si>
    <t>/archives/tag/?됰났?섎닎?щ옉?뉕린</t>
  </si>
  <si>
    <t>/archives/31801</t>
  </si>
  <si>
    <t>/archives/36968</t>
  </si>
  <si>
    <t>/archives/101443</t>
  </si>
  <si>
    <t>/archives/106338</t>
  </si>
  <si>
    <t>/archives/115043</t>
  </si>
  <si>
    <t>/archives/55295</t>
  </si>
  <si>
    <t>/archives/61281</t>
  </si>
  <si>
    <t>/archives/tag/skinnotech</t>
  </si>
  <si>
    <t>/archives/tag/?됰났?섎닎-?щ옉?뉕린</t>
  </si>
  <si>
    <t>/archives/tag/?섍꼍怨쇳븰湲곗닠??3</t>
  </si>
  <si>
    <t>/archives/115074</t>
  </si>
  <si>
    <t>/archives/115057</t>
  </si>
  <si>
    <t>/archives/31909</t>
  </si>
  <si>
    <t>/archives/82520</t>
  </si>
  <si>
    <t>/archives/84500</t>
  </si>
  <si>
    <t>/archives/91878</t>
  </si>
  <si>
    <t>/archives/97416</t>
  </si>
  <si>
    <t>/archives/tag/saran</t>
  </si>
  <si>
    <t>/archives/tag/?대━?щ젅?</t>
  </si>
  <si>
    <t>/archives/tag/?앷?由?1</t>
  </si>
  <si>
    <t>/archives/100695</t>
  </si>
  <si>
    <t>/archives/tag/ccs</t>
  </si>
  <si>
    <t>/archives/tag/源以</t>
  </si>
  <si>
    <t>/archives/tag/?곗???1</t>
  </si>
  <si>
    <t>/archives/53542</t>
  </si>
  <si>
    <t>/archives/60002</t>
  </si>
  <si>
    <t>/archives/92217</t>
  </si>
  <si>
    <t>/archives/102350</t>
  </si>
  <si>
    <t>/archives/6916</t>
  </si>
  <si>
    <t>/archives/84916</t>
  </si>
  <si>
    <t>/archives/90700</t>
  </si>
  <si>
    <t>/archives/tag/?꾨씪誘몃뱶-?ъ쑀</t>
  </si>
  <si>
    <t>/archives/93073</t>
  </si>
  <si>
    <t>/archives/54917</t>
  </si>
  <si>
    <t>/archives/111264</t>
  </si>
  <si>
    <t>/archives/115099</t>
  </si>
  <si>
    <t>/archives/115101</t>
  </si>
  <si>
    <t>/archives/91230</t>
  </si>
  <si>
    <t>/archives/71721</t>
  </si>
  <si>
    <t>/archives/96274</t>
  </si>
  <si>
    <t>/archives/tag/李쎈┰湲곕뀗??3</t>
  </si>
  <si>
    <t>/archives/67660</t>
  </si>
  <si>
    <t>/archives/91535</t>
  </si>
  <si>
    <t>/archives/50397</t>
  </si>
  <si>
    <t>/archives/32010</t>
  </si>
  <si>
    <t>/archives/49759</t>
  </si>
  <si>
    <t>/archives/8432</t>
  </si>
  <si>
    <t>/archives/tag/bmr</t>
  </si>
  <si>
    <t>/archives/tag/g-r-o-w-t-h</t>
  </si>
  <si>
    <t>/archives/tag/??⑸웾諛⑹궗??1</t>
  </si>
  <si>
    <t>/archives/110395</t>
  </si>
  <si>
    <t>/archives/115113</t>
  </si>
  <si>
    <t>/archives/101080</t>
  </si>
  <si>
    <t>/archives/20916</t>
  </si>
  <si>
    <t>/archives/26596</t>
  </si>
  <si>
    <t>/archives/62012</t>
  </si>
  <si>
    <t>/archives/85445</t>
  </si>
  <si>
    <t>/archives/88371</t>
  </si>
  <si>
    <t>/archives/tag/sk?⑤땲</t>
  </si>
  <si>
    <t>/archives/tag/猷⑦봽?몃뜑?ㅽ듃由?1</t>
  </si>
  <si>
    <t>/archives/tag/supex異붽뎄??1</t>
  </si>
  <si>
    <t>/archives/107386</t>
  </si>
  <si>
    <t>/archives/109165</t>
  </si>
  <si>
    <t>/archives/110186</t>
  </si>
  <si>
    <t>/archives/25509</t>
  </si>
  <si>
    <t>/archives/2875</t>
  </si>
  <si>
    <t>/archives/54742</t>
  </si>
  <si>
    <t>/archives/55393</t>
  </si>
  <si>
    <t>/archives/72546</t>
  </si>
  <si>
    <t>/archives/91121</t>
  </si>
  <si>
    <t>/archives/97984</t>
  </si>
  <si>
    <t>/archives/tag/?몃?怨듦컧clan</t>
  </si>
  <si>
    <t>/archives/tag/?댁긽??1</t>
  </si>
  <si>
    <t>/archives/tag/?됱퐫</t>
  </si>
  <si>
    <t>/archives/16858</t>
  </si>
  <si>
    <t>/archives/19559</t>
  </si>
  <si>
    <t>/archives/31805</t>
  </si>
  <si>
    <t>/archives/72972</t>
  </si>
  <si>
    <t>/archives/tag/pta</t>
  </si>
  <si>
    <t>/archives/tag/pvc</t>
  </si>
  <si>
    <t>/archives/tag/pvdc</t>
  </si>
  <si>
    <t>/archives/tag/由щ돱???대깽??1</t>
  </si>
  <si>
    <t>/archives/tag/?꾪뙥???뚰듃?덈쭅</t>
  </si>
  <si>
    <t>/archives/48060</t>
  </si>
  <si>
    <t>/archives/96050</t>
  </si>
  <si>
    <t>/archives/111591</t>
  </si>
  <si>
    <t>/archives/30539</t>
  </si>
  <si>
    <t>/archives/tag/踰꾪궥由ъ뒪???묒떇</t>
  </si>
  <si>
    <t>/archives/11323</t>
  </si>
  <si>
    <t>/archives/tag/吏곷Т-留뚯”??1</t>
  </si>
  <si>
    <t>/archives/tag/?대━?쇳솕鍮꾨땺pvc</t>
  </si>
  <si>
    <t>/archives/tag/chat-gpt</t>
  </si>
  <si>
    <t>/archives/15017</t>
  </si>
  <si>
    <t>/archives/24836</t>
  </si>
  <si>
    <t>/archives/tag/?쇱쑀?ш퀬-?泥섎쾿</t>
  </si>
  <si>
    <t>/archives/29742</t>
  </si>
  <si>
    <t>/archives/35017</t>
  </si>
  <si>
    <t>/archives/83684</t>
  </si>
  <si>
    <t>/archives/88707</t>
  </si>
  <si>
    <t>/archives/tag/skoh</t>
  </si>
  <si>
    <t>/archives/tag/?ъ쑀</t>
  </si>
  <si>
    <t>/archives/tag/?뚯궗?ъ뼱</t>
  </si>
  <si>
    <t>/archives/37290</t>
  </si>
  <si>
    <t>/archives/tag/湲곗뾽臾명솕</t>
  </si>
  <si>
    <t>/archives/61771</t>
  </si>
  <si>
    <t>/archives/88639</t>
  </si>
  <si>
    <t>/archives/tag/媛먭컖?곸씤?ъ쭊李띾뒗踰?1</t>
  </si>
  <si>
    <t>/archives/tag/?쒕┛鍮뚮뵫</t>
  </si>
  <si>
    <t>/archives/tag/?덉뒪?좊━</t>
  </si>
  <si>
    <t>/archives/16183</t>
  </si>
  <si>
    <t>/archives/32385</t>
  </si>
  <si>
    <t>/archives/53362</t>
  </si>
  <si>
    <t>/archives/tag/flexible-cover-window</t>
  </si>
  <si>
    <t>/archives/tag/skiet</t>
  </si>
  <si>
    <t>/archives/tag/?뚮Т??1</t>
  </si>
  <si>
    <t>/archives/tag/sk?ㅼ씪濡쒗뙣??1</t>
  </si>
  <si>
    <t>/archives/tag/?ㅻ쭏?명룿-?댄뵆</t>
  </si>
  <si>
    <t>/archives/45306</t>
  </si>
  <si>
    <t>/archives/60196</t>
  </si>
  <si>
    <t>/archives/87177</t>
  </si>
  <si>
    <t>/archives/8810</t>
  </si>
  <si>
    <t>/archives/60362</t>
  </si>
  <si>
    <t>/archives/78018</t>
  </si>
  <si>
    <t>/archives/60564</t>
  </si>
  <si>
    <t>/archives/67998</t>
  </si>
  <si>
    <t>/archives/87571</t>
  </si>
  <si>
    <t>/archives/tag/?꾨え吏</t>
  </si>
  <si>
    <t>/archives/71451</t>
  </si>
  <si>
    <t>/archives/9131</t>
  </si>
  <si>
    <t>/archives/34939</t>
  </si>
  <si>
    <t>/archives/tag/green-for-better-life</t>
  </si>
  <si>
    <t>/archives/102613</t>
  </si>
  <si>
    <t>/archives/30212</t>
  </si>
  <si>
    <t>/archives/47748</t>
  </si>
  <si>
    <t>/archives/84845</t>
  </si>
  <si>
    <t>/archives/28505</t>
  </si>
  <si>
    <t>/archives/32706</t>
  </si>
  <si>
    <t>/archives/32835</t>
  </si>
  <si>
    <t>/archives/33088</t>
  </si>
  <si>
    <t>/archives/33806</t>
  </si>
  <si>
    <t>/archives/36824</t>
  </si>
  <si>
    <t>/archives/36872</t>
  </si>
  <si>
    <t>/archives/37470</t>
  </si>
  <si>
    <t>/archives/37497</t>
  </si>
  <si>
    <t>/archives/37626</t>
  </si>
  <si>
    <t>/archives/48569</t>
  </si>
  <si>
    <t>/archives/49184</t>
  </si>
  <si>
    <t>/archives/49476</t>
  </si>
  <si>
    <t>/archives/49495</t>
  </si>
  <si>
    <t>/archives/49566</t>
  </si>
  <si>
    <t>/archives/49588</t>
  </si>
  <si>
    <t>/archives/49594</t>
  </si>
  <si>
    <t>/archives/49650</t>
  </si>
  <si>
    <t>/archives/49929</t>
  </si>
  <si>
    <t>/archives/50303</t>
  </si>
  <si>
    <t>/archives/50376</t>
  </si>
  <si>
    <t>/archives/50415</t>
  </si>
  <si>
    <t>/archives/51972</t>
  </si>
  <si>
    <t>/archives/52166</t>
  </si>
  <si>
    <t>/archives/52962</t>
  </si>
  <si>
    <t>/archives/53342</t>
  </si>
  <si>
    <t>/archives/53429</t>
  </si>
  <si>
    <t>/archives/53447</t>
  </si>
  <si>
    <t>/archives/53940</t>
  </si>
  <si>
    <t>/archives/54892</t>
  </si>
  <si>
    <t>/archives/55224</t>
  </si>
  <si>
    <t>/archives/55780</t>
  </si>
  <si>
    <t>/archives/56239</t>
  </si>
  <si>
    <t>/archives/56936</t>
  </si>
  <si>
    <t>/archives/57654</t>
  </si>
  <si>
    <t>/archives/58614</t>
  </si>
  <si>
    <t>/archives/58666</t>
  </si>
  <si>
    <t>/archives/59569</t>
  </si>
  <si>
    <t>/archives/59758</t>
  </si>
  <si>
    <t>/archives/59764</t>
  </si>
  <si>
    <t>/archives/60047</t>
  </si>
  <si>
    <t>/archives/60501</t>
  </si>
  <si>
    <t>/archives/60621</t>
  </si>
  <si>
    <t>/archives/60686</t>
  </si>
  <si>
    <t>/archives/tag/踰꾪궥由ъ뒪???묒꽦??1</t>
  </si>
  <si>
    <t>/archives/13378</t>
  </si>
  <si>
    <t>/archives/27389</t>
  </si>
  <si>
    <t>/archives/28061</t>
  </si>
  <si>
    <t>/archives/28990</t>
  </si>
  <si>
    <t>/archives/89316</t>
  </si>
  <si>
    <t>/archives/tag/怨좎슜?몃룞遺</t>
  </si>
  <si>
    <t>/archives/28891</t>
  </si>
  <si>
    <t>/archives/103774</t>
  </si>
  <si>
    <t>/archives/51899</t>
  </si>
  <si>
    <t>/archives/61657</t>
  </si>
  <si>
    <t>/archives/79586</t>
  </si>
  <si>
    <t>/archives/81839</t>
  </si>
  <si>
    <t>/archives/tag/?≪븘?댁쭅</t>
  </si>
  <si>
    <t>/archives/20157</t>
  </si>
  <si>
    <t>/archives/32657</t>
  </si>
  <si>
    <t>/archives/57119</t>
  </si>
  <si>
    <t>/archives/63220</t>
  </si>
  <si>
    <t>/archives/90451</t>
  </si>
  <si>
    <t>/archives/95785</t>
  </si>
  <si>
    <t>/archives/tag/誘멸뎅???1</t>
  </si>
  <si>
    <t>/archives/tag/??숈깮-?먯썝遊됱궗??1</t>
  </si>
  <si>
    <t>/archives/48770</t>
  </si>
  <si>
    <t>/archives/77306</t>
  </si>
  <si>
    <t>/archives/92932</t>
  </si>
  <si>
    <t>/archives/category/business/innovation</t>
  </si>
  <si>
    <t>/archives/tag/媛議깆튇?붽꼍??1</t>
  </si>
  <si>
    <t>/archives/tag/?ы쉶?곴꼍??1</t>
  </si>
  <si>
    <t>/archives/89603</t>
  </si>
  <si>
    <t>/archives/105115</t>
  </si>
  <si>
    <t>/archives/105902</t>
  </si>
  <si>
    <t>/archives/27576</t>
  </si>
  <si>
    <t>/archives/31699</t>
  </si>
  <si>
    <t>/archives/35757</t>
  </si>
  <si>
    <t>/archives/36616</t>
  </si>
  <si>
    <t>/archives/96592</t>
  </si>
  <si>
    <t>/archives/tag/ca100</t>
  </si>
  <si>
    <t>/archives/tag/??닿낵?숆탳??1</t>
  </si>
  <si>
    <t>/archives/tag/?낆궗?댄겢留?1</t>
  </si>
  <si>
    <t>/archives/111606</t>
  </si>
  <si>
    <t>/archives/55675</t>
  </si>
  <si>
    <t>/archives/88552</t>
  </si>
  <si>
    <t>/archives/tag/?좎엯?곗닔</t>
  </si>
  <si>
    <t>/archives/110446</t>
  </si>
  <si>
    <t>/archives/48110</t>
  </si>
  <si>
    <t>/archives/8489</t>
  </si>
  <si>
    <t>/archives/90538</t>
  </si>
  <si>
    <t>/archives/91414</t>
  </si>
  <si>
    <t>/archives/tag/?몃읆??1</t>
  </si>
  <si>
    <t>/archives/115209</t>
  </si>
  <si>
    <t>/archives/115249</t>
  </si>
  <si>
    <t>/archives/109418</t>
  </si>
  <si>
    <t>/archives/113614</t>
  </si>
  <si>
    <t>/archives/64895</t>
  </si>
  <si>
    <t>/archives/97246</t>
  </si>
  <si>
    <t>/archives/tag/din-certco</t>
  </si>
  <si>
    <t>/archives/tag/怨듬え??1</t>
  </si>
  <si>
    <t>/archives/tag/?ㅻЦ議곗궗</t>
  </si>
  <si>
    <t>/archives/tag/李⑥씠???몄궗?대뜑</t>
  </si>
  <si>
    <t>/archives/16032</t>
  </si>
  <si>
    <t>/archives/89364</t>
  </si>
  <si>
    <t>/archives/tag/諛붿씠??梨뚮┛吏</t>
  </si>
  <si>
    <t>/archives/35199</t>
  </si>
  <si>
    <t>/archives/89190</t>
  </si>
  <si>
    <t>/archives/tag/?ㅻ쭏?명뵆?쒗듃</t>
  </si>
  <si>
    <t>/archives/75226</t>
  </si>
  <si>
    <t>/archives/8004</t>
  </si>
  <si>
    <t>/archives/87320</t>
  </si>
  <si>
    <t>/archives/75304</t>
  </si>
  <si>
    <t>/archives/tag/renewable-?섑봽?</t>
  </si>
  <si>
    <t>/archives/113475/3-sk?대끂踰좎씠??ces2024_sk?먮뜑?쒕뱶_sk-wonderland_?먮뜑湲濡쒕툕_5</t>
  </si>
  <si>
    <t>/archives/59164</t>
  </si>
  <si>
    <t>/archives/tag/hdpe</t>
  </si>
  <si>
    <t>/archives/tag/sk?대끂踰좎씠??蹂듭?</t>
  </si>
  <si>
    <t>/archives/tag/?뚮씪?ㅽ떛-醫낅쪟</t>
  </si>
  <si>
    <t>/archives/85878</t>
  </si>
  <si>
    <t>/archives/107493</t>
  </si>
  <si>
    <t>/archives/68684</t>
  </si>
  <si>
    <t>/archives/78933</t>
  </si>
  <si>
    <t>/archives/82405</t>
  </si>
  <si>
    <t>/archives/85550</t>
  </si>
  <si>
    <t>/archives/tag/?ㅽ넗由??곗씠</t>
  </si>
  <si>
    <t>/archives/112686</t>
  </si>
  <si>
    <t>/archives/9412</t>
  </si>
  <si>
    <t>/archives/tag/珥덈벑?숈깮-?뷀븰罹좏봽</t>
  </si>
  <si>
    <t>/archives/tag/?댁뼇-愿묐Ъ?먯썝</t>
  </si>
  <si>
    <t>/archives/115258</t>
  </si>
  <si>
    <t>/archives/82878</t>
  </si>
  <si>
    <t>/archives/92961</t>
  </si>
  <si>
    <t>/archives/29765</t>
  </si>
  <si>
    <t>/archives/64577</t>
  </si>
  <si>
    <t>/archives/115214</t>
  </si>
  <si>
    <t>/archives/29185</t>
  </si>
  <si>
    <t>/archives/31918</t>
  </si>
  <si>
    <t>/archives/92759</t>
  </si>
  <si>
    <t>/archives/tag/梨꾩슜-臾몄쓽-?꾩슜-梨쀫큸</t>
  </si>
  <si>
    <t>/archives/102664</t>
  </si>
  <si>
    <t>/archives/115113/諛ν띁2</t>
  </si>
  <si>
    <t>/archives/115302</t>
  </si>
  <si>
    <t>/archives/30125</t>
  </si>
  <si>
    <t>/archives/86522</t>
  </si>
  <si>
    <t>/archives/93430</t>
  </si>
  <si>
    <t>/archives/6988</t>
  </si>
  <si>
    <t>/archives/tag/sk猷⑤툕由ъ빻痢?3</t>
  </si>
  <si>
    <t>/archives/13158</t>
  </si>
  <si>
    <t>/archives/82402</t>
  </si>
  <si>
    <t>/archives/95714</t>
  </si>
  <si>
    <t>/archives/tag/oi-post</t>
  </si>
  <si>
    <t>/archives/tag/??쒕?援?移쒗솚寃??⑦궎吏??щ읆</t>
  </si>
  <si>
    <t>/archives/tag/?앹쑀?ъ뾽</t>
  </si>
  <si>
    <t>/archives/tag/?댁쫰-?대깽??1</t>
  </si>
  <si>
    <t>/archives/tag/?쇱씠?ㅻ??숆탳</t>
  </si>
  <si>
    <t>/archives/tag/議곌꼍紐??ъ옣</t>
  </si>
  <si>
    <t>/archives/70782</t>
  </si>
  <si>
    <t>/archives/71636</t>
  </si>
  <si>
    <t>/archives/79927</t>
  </si>
  <si>
    <t>/archives/tag/?묒뾽?덉쟾媛?대뱶</t>
  </si>
  <si>
    <t>/archives/tag/?ㅽ??몄뾽</t>
  </si>
  <si>
    <t>/archives/tag/理쒖씤洹?1</t>
  </si>
  <si>
    <t>/archives/115324</t>
  </si>
  <si>
    <t>/archives/115337</t>
  </si>
  <si>
    <t>/archives/21366</t>
  </si>
  <si>
    <t>/archives/22022</t>
  </si>
  <si>
    <t>/archives/8254</t>
  </si>
  <si>
    <t>/archives/tag/?쇱씠?⑥폁??1</t>
  </si>
  <si>
    <t>/archives/80746</t>
  </si>
  <si>
    <t>/archives/tag/sk-es</t>
  </si>
  <si>
    <t>/archives/tag/?덇?湲?쇱씠?붿쫰</t>
  </si>
  <si>
    <t>/archives/tag/?댁궗??1</t>
  </si>
  <si>
    <t>/archives/tag/?⑸룉?щ젰</t>
  </si>
  <si>
    <t>/archives/108347</t>
  </si>
  <si>
    <t>/archives/109513</t>
  </si>
  <si>
    <t>/archives/22103</t>
  </si>
  <si>
    <t>/archives/tag/amogy</t>
  </si>
  <si>
    <t>/archives/tag/z?대뵫</t>
  </si>
  <si>
    <t>/archives/tag/?뚭레??1</t>
  </si>
  <si>
    <t>/archives/tag/利앷텒?щ━?ы듃</t>
  </si>
  <si>
    <t>/archives/tag/?댁쇅?ы뻾-轅??1</t>
  </si>
  <si>
    <t>/archives/108029</t>
  </si>
  <si>
    <t>/archives/90737</t>
  </si>
  <si>
    <t>/archives/92145</t>
  </si>
  <si>
    <t>/archives/109195</t>
  </si>
  <si>
    <t>/archives/tag/1004遊됱궗??1</t>
  </si>
  <si>
    <t>/archives/103367</t>
  </si>
  <si>
    <t>/archives/105193</t>
  </si>
  <si>
    <t>/archives/18280</t>
  </si>
  <si>
    <t>/archives/27113</t>
  </si>
  <si>
    <t>/archives/74314</t>
  </si>
  <si>
    <t>/archives/81224</t>
  </si>
  <si>
    <t>/archives/90120</t>
  </si>
  <si>
    <t>/wp-login.php</t>
  </si>
  <si>
    <t>/archives/72888</t>
  </si>
  <si>
    <t>/archives/115558</t>
  </si>
  <si>
    <t>/archives/115727</t>
  </si>
  <si>
    <t>/archives/115706</t>
  </si>
  <si>
    <t>/archives/115587</t>
  </si>
  <si>
    <t>/archives/115537</t>
  </si>
  <si>
    <t>/archives/115394</t>
  </si>
  <si>
    <t>/archives/115353</t>
  </si>
  <si>
    <t>/archives/102268</t>
  </si>
  <si>
    <t>/archives/115390</t>
  </si>
  <si>
    <t>/archives/115517</t>
  </si>
  <si>
    <t>/archives/16254</t>
  </si>
  <si>
    <t>/archives/19349</t>
  </si>
  <si>
    <t>/archives/19392</t>
  </si>
  <si>
    <t>/archives/37159</t>
  </si>
  <si>
    <t>/archives/4298</t>
  </si>
  <si>
    <t>/archives/46873</t>
  </si>
  <si>
    <t>/archives/54808</t>
  </si>
  <si>
    <t>/archives/61897</t>
  </si>
  <si>
    <t>/archives/7435</t>
  </si>
  <si>
    <t>/archives/76179</t>
  </si>
  <si>
    <t>/archives/8409</t>
  </si>
  <si>
    <t>/archives/93075</t>
  </si>
  <si>
    <t>/archives/96022</t>
  </si>
  <si>
    <t>/archives/tag/ceo??????1</t>
  </si>
  <si>
    <t>/archives/tag/gm?ㅼ씠?댄듃</t>
  </si>
  <si>
    <t>/archives/tag/sk洹몃９-理쒗깭???뚯옣</t>
  </si>
  <si>
    <t>/archives/tag/sk?щ┝?쏀빖?쒕낵寃쎄린??1</t>
  </si>
  <si>
    <t>/archives/tag/supex</t>
  </si>
  <si>
    <t>/archives/tag/?щ궡蹂듭?</t>
  </si>
  <si>
    <t>/archives/tag/?ㅽ럹??移대Ⅴ??ㅻ굹-怨듭옣</t>
  </si>
  <si>
    <t>/archives/tag/?ы솕?꾪솕?섏냼</t>
  </si>
  <si>
    <t>/archives/tag/?댄뵾鍮?1</t>
  </si>
  <si>
    <t>/archives/107637</t>
  </si>
  <si>
    <t>/archives/115622</t>
  </si>
  <si>
    <t>/archives/115664</t>
  </si>
  <si>
    <t>/archives/27811</t>
  </si>
  <si>
    <t>/archives/80790</t>
  </si>
  <si>
    <t>/archives/81877</t>
  </si>
  <si>
    <t>/archives/tag/諛섎뵩遺덉씠-?꾨줈?앺듃</t>
  </si>
  <si>
    <t>/archives/tag/silicon-foundry</t>
  </si>
  <si>
    <t>/archives/100505</t>
  </si>
  <si>
    <t>/archives/110195</t>
  </si>
  <si>
    <t>/archives/112850</t>
  </si>
  <si>
    <t>/archives/114997</t>
  </si>
  <si>
    <t>/archives/115371</t>
  </si>
  <si>
    <t>/archives/115403</t>
  </si>
  <si>
    <t>/archives/115494</t>
  </si>
  <si>
    <t>/archives/115532</t>
  </si>
  <si>
    <t>/archives/115611</t>
  </si>
  <si>
    <t>/archives/115648</t>
  </si>
  <si>
    <t>/archives/115691</t>
  </si>
  <si>
    <t>/archives/24981</t>
  </si>
  <si>
    <t>/archives/31809</t>
  </si>
  <si>
    <t>/archives/34367</t>
  </si>
  <si>
    <t>/archives/69489</t>
  </si>
  <si>
    <t>/archives/74686</t>
  </si>
  <si>
    <t>/archives/81736</t>
  </si>
  <si>
    <t>/archives/87728</t>
  </si>
  <si>
    <t>/archives/94170</t>
  </si>
  <si>
    <t>/archives/96585</t>
  </si>
  <si>
    <t>/archives/99911</t>
  </si>
  <si>
    <t>/archives/tag/besk</t>
  </si>
  <si>
    <t>/archives/tag/sk?ъ삦</t>
  </si>
  <si>
    <t>/archives/tag/sk醫낇빀?뷀븰</t>
  </si>
  <si>
    <t>/archives/tag/以怨듭떇</t>
  </si>
  <si>
    <t>/archives/tag/?덊뵿</t>
  </si>
  <si>
    <t>/archives/112846</t>
  </si>
  <si>
    <t>/archives/tag/?명궧?꾩긽</t>
  </si>
  <si>
    <t>/archives/tag/諛쒕젅</t>
  </si>
  <si>
    <t>/archives/tag/?먯랬?앷뎅臾쇱슂由?1</t>
  </si>
  <si>
    <t>/archives/tag/理쒗깭???뚯옣</t>
  </si>
  <si>
    <t>/archives/101367</t>
  </si>
  <si>
    <t>/archives/102398/230118_ces_2023_由щ럭_移대뱶?댁뒪_01</t>
  </si>
  <si>
    <t>/archives/115416</t>
  </si>
  <si>
    <t>/archives/115416/9-skgca-sk吏?ㅼ꽱?몃┃?꾨찓由ъ뭅</t>
  </si>
  <si>
    <t>/archives/115416/????꾧킅??떆?몄씤蹂듭?愿_臾명솕泥댄뿕?쒕룞-?ъ쭊</t>
  </si>
  <si>
    <t>/archives/13362</t>
  </si>
  <si>
    <t>/archives/19581</t>
  </si>
  <si>
    <t>/archives/32181</t>
  </si>
  <si>
    <t>/archives/33962</t>
  </si>
  <si>
    <t>/archives/35830</t>
  </si>
  <si>
    <t>/archives/36689</t>
  </si>
  <si>
    <t>/archives/4215</t>
  </si>
  <si>
    <t>/archives/68104</t>
  </si>
  <si>
    <t>/archives/73173</t>
  </si>
  <si>
    <t>/archives/74611/200820_?곸떇in_?щ쫫泥좎뿉?덉??덉빟踰?移대뱶?댁뒪_01</t>
  </si>
  <si>
    <t>/archives/91730</t>
  </si>
  <si>
    <t>/archives/97915</t>
  </si>
  <si>
    <t>/archives/99595</t>
  </si>
  <si>
    <t>/archives/tag/c2c</t>
  </si>
  <si>
    <t>/archives/tag/vin</t>
  </si>
  <si>
    <t>/archives/tag/湲곗븘?梨??щ쭩??1</t>
  </si>
  <si>
    <t>/archives/tag/諛붿꽭由??ъ슜踰?1</t>
  </si>
  <si>
    <t>/archives/tag/?щ궡臾명솕</t>
  </si>
  <si>
    <t>/archives/tag/?ъ슦?붿븘?쇰퉬???섏텧??1</t>
  </si>
  <si>
    <t>/archives/tag/?쇱긽-???앹쑀</t>
  </si>
  <si>
    <t>/archives/tag/?쒕겮-?섎닎-?⑦깮???꾨줈?앺듃</t>
  </si>
  <si>
    <t>/?ъ쭊3-移대뱶?댁뒪-?띾낫?먮즺-2-2</t>
  </si>
  <si>
    <t>/archives/115380</t>
  </si>
  <si>
    <t>/archives/115416/7-20240501_skee_1-sk?몃젅?대뵫?명꽣?댁뀛???좊읇-3</t>
  </si>
  <si>
    <t>/archives/24313</t>
  </si>
  <si>
    <t>/archives/62569</t>
  </si>
  <si>
    <t>/archives/62583</t>
  </si>
  <si>
    <t>/archives/tag/it</t>
  </si>
  <si>
    <t>/archives/tag/skbmp</t>
  </si>
  <si>
    <t>/archives/tag/?곸깮</t>
  </si>
  <si>
    <t>/archives/tag/?쒗뿕移좊븣醫뗭?硫붾돱</t>
  </si>
  <si>
    <t>/archives/92311</t>
  </si>
  <si>
    <t>/archives/100251</t>
  </si>
  <si>
    <t>/archives/112614/2-3-2</t>
  </si>
  <si>
    <t>/archives/113616</t>
  </si>
  <si>
    <t>/archives/115637</t>
  </si>
  <si>
    <t>/archives/115712</t>
  </si>
  <si>
    <t>/archives/115714</t>
  </si>
  <si>
    <t>/archives/115716</t>
  </si>
  <si>
    <t>/archives/115719</t>
  </si>
  <si>
    <t>/archives/16651</t>
  </si>
  <si>
    <t>/archives/25093</t>
  </si>
  <si>
    <t>/archives/36447</t>
  </si>
  <si>
    <t>/archives/62858</t>
  </si>
  <si>
    <t>/archives/70915</t>
  </si>
  <si>
    <t>/archives/81759</t>
  </si>
  <si>
    <t>/archives/87831</t>
  </si>
  <si>
    <t>/archives/95542</t>
  </si>
  <si>
    <t>/archives/98899</t>
  </si>
  <si>
    <t>/archives/99804</t>
  </si>
  <si>
    <t>/archives/tag/sk?대끂踰좎씠???꾩쭅??遊됱궗</t>
  </si>
  <si>
    <t>/archives/tag/?곕줈-??媛숈씠</t>
  </si>
  <si>
    <t>/archives/76234</t>
  </si>
  <si>
    <t>/archives/94268</t>
  </si>
  <si>
    <t>/archives/tag/由ы뒳?댁삩諛고꽣由щ텇由щ쭑</t>
  </si>
  <si>
    <t>/archives/100883</t>
  </si>
  <si>
    <t>/archives/105945/230510_?λ?異뺤젣?띾낫移대뱶?댁뒪_蹂몃Ц02-2</t>
  </si>
  <si>
    <t>/archives/28823</t>
  </si>
  <si>
    <t>/archives/31437</t>
  </si>
  <si>
    <t>/archives/36780</t>
  </si>
  <si>
    <t>/archives/49173</t>
  </si>
  <si>
    <t>/archives/61576</t>
  </si>
  <si>
    <t>/archives/69146</t>
  </si>
  <si>
    <t>/archives/80842/210205_sk?먮꼫吏_ceo遊됱궗_?명꽣酉곗떊李쏀샇-2</t>
  </si>
  <si>
    <t>/archives/81478</t>
  </si>
  <si>
    <t>/archives/86140</t>
  </si>
  <si>
    <t>/archives/90926</t>
  </si>
  <si>
    <t>/archives/93909</t>
  </si>
  <si>
    <t>/archives/tag/ios-27001</t>
  </si>
  <si>
    <t>/archives/tag/px</t>
  </si>
  <si>
    <t>/archives/tag/rd</t>
  </si>
  <si>
    <t>/archives/tag/?꾩떆?ъ깮</t>
  </si>
  <si>
    <t>/archives/tag/?낃굅?몄씤-吏?먯궗??1</t>
  </si>
  <si>
    <t>/archives/tag/?앹쑀?뺤젣?λ젰</t>
  </si>
  <si>
    <t>/archives/tag/?섏긽</t>
  </si>
  <si>
    <t>/archives/tag/?곕━?먭쾶?곸떊??먯뿰?ㅻ읇??1</t>
  </si>
  <si>
    <t>/archives/tag/?ㅼ썙??1</t>
  </si>
  <si>
    <t>/archives/tag/?щ쭩?ㅼ?-紐낅옉?대룞??1</t>
  </si>
  <si>
    <t>/archives/45668</t>
  </si>
  <si>
    <t>/archives/62279</t>
  </si>
  <si>
    <t>/archives/62471</t>
  </si>
  <si>
    <t>/archives/category/multimedia/inno-story</t>
  </si>
  <si>
    <t>/archives/tag/源?吏?1</t>
  </si>
  <si>
    <t>/archives/tag/留덈씪?ㅽ겢??1</t>
  </si>
  <si>
    <t>/archives/tag/?덊띁留⑥씠-?뚯븘?붾떎</t>
  </si>
  <si>
    <t>/archives/tag/肄붿삤濡깆씤?붿뒪?몃━</t>
  </si>
  <si>
    <t>/archives/100361</t>
  </si>
  <si>
    <t>/archives/106465</t>
  </si>
  <si>
    <t>/archives/113043</t>
  </si>
  <si>
    <t>/archives/115347</t>
  </si>
  <si>
    <t>/archives/28650</t>
  </si>
  <si>
    <t>/archives/31715</t>
  </si>
  <si>
    <t>/archives/38848</t>
  </si>
  <si>
    <t>/archives/85495</t>
  </si>
  <si>
    <t>/archives/tag/湲곗뾽pr</t>
  </si>
  <si>
    <t>/archives/tag/?섏텧</t>
  </si>
  <si>
    <t>/archives/24507</t>
  </si>
  <si>
    <t>/archives/60736</t>
  </si>
  <si>
    <t>/archives/tag/djsi-?붾뱶-湲곗뾽</t>
  </si>
  <si>
    <t>/archives/tag/?몃룞議고빀</t>
  </si>
  <si>
    <t>/archives/tag/吏?띻??κ꼍??1</t>
  </si>
  <si>
    <t>/archives/115731</t>
  </si>
  <si>
    <t>/archives/tag/?곸뼱罹좏봽?뚮컮</t>
  </si>
  <si>
    <t>/archives/115416/sk??肄붾쭏濡?援ъ꽦???뚰삁-罹좏럹??2</t>
  </si>
  <si>
    <t>/archives/35089</t>
  </si>
  <si>
    <t>/archives/47614</t>
  </si>
  <si>
    <t>/archives/70040</t>
  </si>
  <si>
    <t>/archives/73180</t>
  </si>
  <si>
    <t>/archives/74074</t>
  </si>
  <si>
    <t>/archives/74709</t>
  </si>
  <si>
    <t>/archives/78984</t>
  </si>
  <si>
    <t>/archives/92980</t>
  </si>
  <si>
    <t>/archives/tag/源?꾨?-?쇳꽣??1</t>
  </si>
  <si>
    <t>/archives/tag/?꾨꼸?쒗듃?쇳봽</t>
  </si>
  <si>
    <t>/archives/tag/諛붿씠?ㅼ뿉?덉?</t>
  </si>
  <si>
    <t>/archives/tag/?곗???콐由곗?</t>
  </si>
  <si>
    <t>/archives/tag/?뺢린蹂댁닔</t>
  </si>
  <si>
    <t>/archives/tag/?섎컮由ъ?留뚮뱶?붾쾿</t>
  </si>
  <si>
    <t>/archives/tag/?쒓뎅?ㅻ쭏?몄씠紐⑤퉴由ы떚?묓쉶</t>
  </si>
  <si>
    <t>/archives/16310</t>
  </si>
  <si>
    <t>/archives/90401</t>
  </si>
  <si>
    <t>/archives/9607</t>
  </si>
  <si>
    <t>/archives/tag/sk?먮꼫吏-異뺢뎄??1</t>
  </si>
  <si>
    <t>/archives/tag/unist</t>
  </si>
  <si>
    <t>/archives/tag/?④컻吏덈쭏臾대━</t>
  </si>
  <si>
    <t>/archives/108263</t>
  </si>
  <si>
    <t>/archives/111618</t>
  </si>
  <si>
    <t>/archives/11497</t>
  </si>
  <si>
    <t>/archives/115779</t>
  </si>
  <si>
    <t>/archives/6002</t>
  </si>
  <si>
    <t>/archives/65061</t>
  </si>
  <si>
    <t>/archives/65607</t>
  </si>
  <si>
    <t>/archives/75479</t>
  </si>
  <si>
    <t>/archives/91550</t>
  </si>
  <si>
    <t>/archives/97057</t>
  </si>
  <si>
    <t>/archives/tag/sk耳誘몄뭡</t>
  </si>
  <si>
    <t>/archives/tag/?섑봽?</t>
  </si>
  <si>
    <t>/archives/tag/?앹쑀?쒗뭹</t>
  </si>
  <si>
    <t>/archives/tag/?붿??덉뼱-?명꽣酉?1</t>
  </si>
  <si>
    <t>/archives/tag/?몄튂誘?1</t>
  </si>
  <si>
    <t>/archives/tag/?띾낫</t>
  </si>
  <si>
    <t>/archives/115416/5-skbmp-sk?섏씠?뚰겕諛고꽣由щ㉧?곕━?쇱뒪?대???1</t>
  </si>
  <si>
    <t>/archives/83511</t>
  </si>
  <si>
    <t>/archives/tag/skbmc</t>
  </si>
  <si>
    <t>/archives/105343</t>
  </si>
  <si>
    <t>/archives/115791</t>
  </si>
  <si>
    <t>/archives/21061</t>
  </si>
  <si>
    <t>/archives/25812</t>
  </si>
  <si>
    <t>/archives/32711</t>
  </si>
  <si>
    <t>/archives/71107</t>
  </si>
  <si>
    <t>/archives/73628/200730_?곸떇in_?먮룞李⑥슜?뚮씪?ㅽ떛_移대뱶?댁뒪_03-2</t>
  </si>
  <si>
    <t>/archives/74530</t>
  </si>
  <si>
    <t>/archives/78094</t>
  </si>
  <si>
    <t>/archives/78155</t>
  </si>
  <si>
    <t>/archives/83997</t>
  </si>
  <si>
    <t>/archives/91297</t>
  </si>
  <si>
    <t>/archives/91844</t>
  </si>
  <si>
    <t>/archives/tag/eva</t>
  </si>
  <si>
    <t>/archives/tag/public-zone</t>
  </si>
  <si>
    <t>/archives/tag/sk?먮꼫吏-?ы쉶怨듯뿄?쒕룞</t>
  </si>
  <si>
    <t>/archives/tag/vines</t>
  </si>
  <si>
    <t>/archives/tag/援??諛쒖쟾-?꾨줈?앺듃-怨듬え??1</t>
  </si>
  <si>
    <t>/archives/tag/臾쇰쪟?쇳꽣</t>
  </si>
  <si>
    <t>/archives/tag/誘몄뀡?ㅼ씪</t>
  </si>
  <si>
    <t>/archives/25139</t>
  </si>
  <si>
    <t>/archives/61527</t>
  </si>
  <si>
    <t>/archives/64159</t>
  </si>
  <si>
    <t>/archives/83636</t>
  </si>
  <si>
    <t>/archives/78547</t>
  </si>
  <si>
    <t>/archives/115801</t>
  </si>
  <si>
    <t>/archives/115804</t>
  </si>
  <si>
    <t>/archives/31772</t>
  </si>
  <si>
    <t>/archives/57937</t>
  </si>
  <si>
    <t>/archives/81569</t>
  </si>
  <si>
    <t>/archives/91318</t>
  </si>
  <si>
    <t>/archives/91323</t>
  </si>
  <si>
    <t>/archives/98079</t>
  </si>
  <si>
    <t>/archives/102619</t>
  </si>
  <si>
    <t>/archives/103844</t>
  </si>
  <si>
    <t>/archives/111942</t>
  </si>
  <si>
    <t>/archives/tag/寃쎌쑀李⑥뿉-?섎컻??1</t>
  </si>
  <si>
    <t>/archives/tag/留밴렇濡쒕툕</t>
  </si>
  <si>
    <t>/archives/tag/?쒖슱?뀀떒??1</t>
  </si>
  <si>
    <t>/archives/tag/?좊??뺤떊</t>
  </si>
  <si>
    <t>/archives/17796</t>
  </si>
  <si>
    <t>/archives/23851</t>
  </si>
  <si>
    <t>/archives/52945</t>
  </si>
  <si>
    <t>/archives/96340</t>
  </si>
  <si>
    <t>/archives/101965</t>
  </si>
  <si>
    <t>/archives/tag/鍮꾩쟾-紐⑤퉴由ы떚</t>
  </si>
  <si>
    <t>/archives/27728</t>
  </si>
  <si>
    <t>/archives/13333</t>
  </si>
  <si>
    <t>/archives/32360</t>
  </si>
  <si>
    <t>/archives/35175</t>
  </si>
  <si>
    <t>/archives/69012</t>
  </si>
  <si>
    <t>/archives/74559</t>
  </si>
  <si>
    <t>/archives/83624</t>
  </si>
  <si>
    <t>/archives/99006</t>
  </si>
  <si>
    <t>/archives/tag/sheco</t>
  </si>
  <si>
    <t>/archives/tag/yubase</t>
  </si>
  <si>
    <t>/archives/tag/?⑥떎媛??2</t>
  </si>
  <si>
    <t>/archives/tag/?꾪뙥??媛以??뚭퀎</t>
  </si>
  <si>
    <t>/archives/65231</t>
  </si>
  <si>
    <t>/archives/tag/sk-?섎컲湲?怨듭콈</t>
  </si>
  <si>
    <t>/archives/tag/?뷀븰?먭뎄?꾨윴?곗뼱?섏뒪?곕쾶</t>
  </si>
  <si>
    <t>/archives/45550</t>
  </si>
  <si>
    <t>/archives/92138</t>
  </si>
  <si>
    <t>/archives/tag/留밴렇濡쒕툕?앹닔?쒕룞</t>
  </si>
  <si>
    <t>/archives/tag/?앹쑀?섏깋源?1</t>
  </si>
  <si>
    <t>/archives/tag/?ㅽ궎?μ븣諛?1</t>
  </si>
  <si>
    <t>/06letter_12_v2</t>
  </si>
  <si>
    <t>/archives/1156</t>
  </si>
  <si>
    <t>/archives/115664/sk-on-mo</t>
  </si>
  <si>
    <t>/archives/115664/sk-on-pc</t>
  </si>
  <si>
    <t>/archives/115664/sk-on-th</t>
  </si>
  <si>
    <t>/archives/115664/sk?대끂踰좎씠??sk??誘멸뎅-?쇱뒪踰좎씠嫄곗뒪?먯꽌-?대┛-由ы뒳쨌</t>
  </si>
  <si>
    <t>/archives/115665</t>
  </si>
  <si>
    <t>/archives/115666</t>
  </si>
  <si>
    <t>/archives/115667</t>
  </si>
  <si>
    <t>/archives/115669</t>
  </si>
  <si>
    <t>/archives/115673</t>
  </si>
  <si>
    <t>/archives/115674</t>
  </si>
  <si>
    <t>/archives/115675</t>
  </si>
  <si>
    <t>/archives/115676</t>
  </si>
  <si>
    <t>/archives/115677</t>
  </si>
  <si>
    <t>/archives/115678</t>
  </si>
  <si>
    <t>/archives/115679</t>
  </si>
  <si>
    <t>/archives/115680</t>
  </si>
  <si>
    <t>/archives/115681</t>
  </si>
  <si>
    <t>/archives/115682</t>
  </si>
  <si>
    <t>/archives/115683</t>
  </si>
  <si>
    <t>/archives/115684</t>
  </si>
  <si>
    <t>/archives/115685</t>
  </si>
  <si>
    <t>/archives/115686</t>
  </si>
  <si>
    <t>/archives/115808</t>
  </si>
  <si>
    <t>/archives/19794</t>
  </si>
  <si>
    <t>/archives/66283</t>
  </si>
  <si>
    <t>/archives/tag/trader</t>
  </si>
  <si>
    <t>/archives/tag/uo-?ㅻ쭏?몃퉼</t>
  </si>
  <si>
    <t>/archives/115509</t>
  </si>
  <si>
    <t>/archives/115512</t>
  </si>
  <si>
    <t>/archives/tag/?щ궡-?대┛?댁쭛</t>
  </si>
  <si>
    <t>/archives/tag/?앹닔</t>
  </si>
  <si>
    <t>/archives/104829/230330_遺?곗뿊?ㅽ룷?좎튂湲곗썝-?됱궗_?대?吏1_1_1340</t>
  </si>
  <si>
    <t>/archives/107282</t>
  </si>
  <si>
    <t>/archives/108426</t>
  </si>
  <si>
    <t>/archives/113475/5-sk?대끂踰좎씠??ces2024_sk?먮뜑?쒕뱶_sk-wonderland_?꾩떛移?留ㅼ쭅移댄럹??1</t>
  </si>
  <si>
    <t>/archives/15111</t>
  </si>
  <si>
    <t>/archives/19912</t>
  </si>
  <si>
    <t>/archives/25152</t>
  </si>
  <si>
    <t>/archives/27414</t>
  </si>
  <si>
    <t>/archives/31593</t>
  </si>
  <si>
    <t>/archives/35674</t>
  </si>
  <si>
    <t>/archives/36800</t>
  </si>
  <si>
    <t>/archives/55733</t>
  </si>
  <si>
    <t>/archives/5854</t>
  </si>
  <si>
    <t>/archives/69435</t>
  </si>
  <si>
    <t>/archives/73092</t>
  </si>
  <si>
    <t>/archives/80054</t>
  </si>
  <si>
    <t>/archives/92202</t>
  </si>
  <si>
    <t>/archives/98134</t>
  </si>
  <si>
    <t>/archives/tag/ec3</t>
  </si>
  <si>
    <t>/archives/tag/sscb</t>
  </si>
  <si>
    <t>/archives/tag/?먰쉶?ы삎-?μ븷???쒖??ъ뾽??1</t>
  </si>
  <si>
    <t>/archives/tag/?쇱꽌吏-異붿쿇</t>
  </si>
  <si>
    <t>/archives/33778</t>
  </si>
  <si>
    <t>/archives/38692</t>
  </si>
  <si>
    <t>/archives/82778</t>
  </si>
  <si>
    <t>/archives/99820</t>
  </si>
  <si>
    <t>/archives/tag/?명꽣酉?1</t>
  </si>
  <si>
    <t>/archives/tag/由щ돱?대툝-?섑봽?</t>
  </si>
  <si>
    <t>/archives/108133</t>
  </si>
  <si>
    <t>/archives/110864</t>
  </si>
  <si>
    <t>/archives/115416/4-?щ쭩?ㅼ?-泥댁쑁援먯떎-諛쒕떖?μ븷?꾨룞-?대룞-?됱궗</t>
  </si>
  <si>
    <t>/archives/19392https:/www.thelec.kr/news/articleView.html</t>
  </si>
  <si>
    <t>/archives/32291</t>
  </si>
  <si>
    <t>/archives/70728</t>
  </si>
  <si>
    <t>/archives/7627</t>
  </si>
  <si>
    <t>/archives/77144</t>
  </si>
  <si>
    <t>/archives/86617</t>
  </si>
  <si>
    <t>/archives/87160</t>
  </si>
  <si>
    <t>/archives/tag/?섎닎由щ뜑?ㅽ겢??1</t>
  </si>
  <si>
    <t>/archives/tag/?섎Т瑜??ъ뼱???섎뒗-?댁쑀</t>
  </si>
  <si>
    <t>/archives/tag/留밴렇濡쒕툕-?섎Т-湲곕?</t>
  </si>
  <si>
    <t>/archives/tag/?뚯옱</t>
  </si>
  <si>
    <t>/archives/tag/?곗떆??2</t>
  </si>
  <si>
    <t>/archives/tag/珥됰ℓ</t>
  </si>
  <si>
    <t>/archives/102795</t>
  </si>
  <si>
    <t>/archives/103579</t>
  </si>
  <si>
    <t>/archives/111193</t>
  </si>
  <si>
    <t>/archives/111661</t>
  </si>
  <si>
    <t>/archives/18017</t>
  </si>
  <si>
    <t>/archives/20110</t>
  </si>
  <si>
    <t>/archives/21119</t>
  </si>
  <si>
    <t>/archives/23728</t>
  </si>
  <si>
    <t>/archives/31769</t>
  </si>
  <si>
    <t>/archives/32663</t>
  </si>
  <si>
    <t>/archives/81824</t>
  </si>
  <si>
    <t>/archives/8281</t>
  </si>
  <si>
    <t>/archives/84858</t>
  </si>
  <si>
    <t>/archives/92039</t>
  </si>
  <si>
    <t>/archives/tag/湲곕?紐낅Ц媛</t>
  </si>
  <si>
    <t>/archives/tag/?ㅽ궎?퇵r</t>
  </si>
  <si>
    <t>/archives/tag/?듯떚留덉씠?쒖씠??1</t>
  </si>
  <si>
    <t>/archives/tag/?덊듃???먮━</t>
  </si>
  <si>
    <t>/archives/104346</t>
  </si>
  <si>
    <t>/archives/22607</t>
  </si>
  <si>
    <t>/archives/29550</t>
  </si>
  <si>
    <t>/archives/55038</t>
  </si>
  <si>
    <t>/archives/9463</t>
  </si>
  <si>
    <t>/archives/tag/sk-on</t>
  </si>
  <si>
    <t>/archives/tag/?ъ슦?붿븘?쇰퉬??1</t>
  </si>
  <si>
    <t>/archives/tag/?뺤쑀??1</t>
  </si>
  <si>
    <t>/archives/tag/?몄궛-?뺤쑀怨듭옣</t>
  </si>
  <si>
    <t>/archives/105836</t>
  </si>
  <si>
    <t>/archives/108128</t>
  </si>
  <si>
    <t>/archives/109157</t>
  </si>
  <si>
    <t>/archives/114925</t>
  </si>
  <si>
    <t>/archives/115817</t>
  </si>
  <si>
    <t>/archives/32259</t>
  </si>
  <si>
    <t>/archives/47697</t>
  </si>
  <si>
    <t>/archives/50750/190329_?섏씠?몄씠?쇨린_2?꾩감二쇰땲?댁궗???명꽣酉??댁긽吏?1</t>
  </si>
  <si>
    <t>/archives/58557</t>
  </si>
  <si>
    <t>/archives/6217</t>
  </si>
  <si>
    <t>/archives/89812</t>
  </si>
  <si>
    <t>/archives/95976</t>
  </si>
  <si>
    <t>/archives/98052</t>
  </si>
  <si>
    <t>/archives/tag/sk1004??1</t>
  </si>
  <si>
    <t>/archives/tag/?먯퐫?몄뿉?덉?</t>
  </si>
  <si>
    <t>/archives/tag/?뺤젣留덉쭊</t>
  </si>
  <si>
    <t>/archives/tag/梨뾤pt</t>
  </si>
  <si>
    <t>/archives/115635</t>
  </si>
  <si>
    <t>/archives/115639</t>
  </si>
  <si>
    <t>/archives/</t>
  </si>
  <si>
    <t>/archives/112393</t>
  </si>
  <si>
    <t>/archives/23925</t>
  </si>
  <si>
    <t>/archives/24556</t>
  </si>
  <si>
    <t>/archives/28634</t>
  </si>
  <si>
    <t>/archives/35137</t>
  </si>
  <si>
    <t>/archives/47896</t>
  </si>
  <si>
    <t>/archives/49603</t>
  </si>
  <si>
    <t>/archives/72805</t>
  </si>
  <si>
    <t>/archives/76525</t>
  </si>
  <si>
    <t>/archives/78734</t>
  </si>
  <si>
    <t>/archives/80333</t>
  </si>
  <si>
    <t>/archives/80939</t>
  </si>
  <si>
    <t>/archives/81633</t>
  </si>
  <si>
    <t>/archives/92263</t>
  </si>
  <si>
    <t>/archives/tag/mbwa</t>
  </si>
  <si>
    <t>/archives/tag/sheco-ark</t>
  </si>
  <si>
    <t>/archives/tag/sk?대끂踰좎씠??csr</t>
  </si>
  <si>
    <t>/archives/tag/轅踰?1</t>
  </si>
  <si>
    <t>/archives/tag/?섏냼異⑹쟾???곕즺?꾩?</t>
  </si>
  <si>
    <t>/archives/tag/吏곴툒-?듯빀</t>
  </si>
  <si>
    <t>/archives/11911</t>
  </si>
  <si>
    <t>/archives/28208</t>
  </si>
  <si>
    <t>/archives/35144</t>
  </si>
  <si>
    <t>/archives/59272</t>
  </si>
  <si>
    <t>/archives/69364</t>
  </si>
  <si>
    <t>/archives/76606</t>
  </si>
  <si>
    <t>/archives/81654</t>
  </si>
  <si>
    <t>/archives/tag/iatf-16949</t>
  </si>
  <si>
    <t>/archives/tag/寃쎈턿愿묒쑀</t>
  </si>
  <si>
    <t>/archives/tag/?앹쑀?앸Ъ</t>
  </si>
  <si>
    <t>/archives/tag/?꾨━?ы듃</t>
  </si>
  <si>
    <t>/archives/100145</t>
  </si>
  <si>
    <t>/archives/100482</t>
  </si>
  <si>
    <t>/archives/100589</t>
  </si>
  <si>
    <t>/archives/10375</t>
  </si>
  <si>
    <t>/archives/115779'- 2020??Neste濡쒕???諛붿씠?ㅼ썝猷?怨듦툒諛쏅뒗 湲곕컲??留덈젴, 2021??諛붿씠??SAP ?섏텧 ??NPG, ?섎?, ?꾩꽭?????섏텧?덈ぉ ?뺣? - 遺곷? 移쒗솚寃??곕즺?낆껜 Gevo? 2026?꾧퉴吏 諛붿씠???꾨줈?꾨젋???곸뾽?뷀븯湲??꾪븳 怨듬룞?곌뎄媛쒕컻 ?묒빟 泥닿껐 LG?뷀븰</t>
  </si>
  <si>
    <t>/archives/30256</t>
  </si>
  <si>
    <t>/archives/48183</t>
  </si>
  <si>
    <t>/archives/50750/190329_?섏씠?몄씠?쇨린_2?꾩감二쇰땲?댁궗???명꽣酉?誘쇱긽泥?2</t>
  </si>
  <si>
    <t>/archives/53968</t>
  </si>
  <si>
    <t>/archives/6395</t>
  </si>
  <si>
    <t>/archives/67539</t>
  </si>
  <si>
    <t>/archives/7118</t>
  </si>
  <si>
    <t>/archives/7391</t>
  </si>
  <si>
    <t>/archives/74130</t>
  </si>
  <si>
    <t>/archives/76033</t>
  </si>
  <si>
    <t>/archives/7840</t>
  </si>
  <si>
    <t>/archives/7987</t>
  </si>
  <si>
    <t>/archives/80051</t>
  </si>
  <si>
    <t>/archives/82087</t>
  </si>
  <si>
    <t>/archives/93988</t>
  </si>
  <si>
    <t>/archives/97751</t>
  </si>
  <si>
    <t>/archives/tag/sk1004-遊됱궗??1</t>
  </si>
  <si>
    <t>/archives/tag/?닿??뚯꽦-?대━?곕젅??1</t>
  </si>
  <si>
    <t>/archives/tag/?⑤낫??1</t>
  </si>
  <si>
    <t>/archives/tag/?먯쑀?섏뿭?쒖꽕</t>
  </si>
  <si>
    <t>/archives/104093</t>
  </si>
  <si>
    <t>/archives/19746</t>
  </si>
  <si>
    <t>/archives/26011</t>
  </si>
  <si>
    <t>/archives/tag/%EC%84%B8%EB%8C%80%?%B3%B5%?%B0%90-clan</t>
  </si>
  <si>
    <t>/archives/tag/ceo</t>
  </si>
  <si>
    <t>/archives/105198</t>
  </si>
  <si>
    <t>/archives/108711</t>
  </si>
  <si>
    <t>/archives/12929/?먮꼫吏????吏곸옣_v1_04</t>
  </si>
  <si>
    <t>/archives/19206</t>
  </si>
  <si>
    <t>/archives/23749</t>
  </si>
  <si>
    <t>/archives/31451</t>
  </si>
  <si>
    <t>/archives/35120</t>
  </si>
  <si>
    <t>/archives/48739</t>
  </si>
  <si>
    <t>/archives/55029</t>
  </si>
  <si>
    <t>/archives/7533</t>
  </si>
  <si>
    <t>/archives/87963</t>
  </si>
  <si>
    <t>/archives/tag/ncfs</t>
  </si>
  <si>
    <t>/archives/tag/?명깮??梨꾩슜</t>
  </si>
  <si>
    <t>/archives/31950</t>
  </si>
  <si>
    <t>/archives/38676</t>
  </si>
  <si>
    <t>/archives/71038/200521_?멸퀎?앸Ъ?ㅼ뼇?깆쓽??移대뱶?댁뒪_04-3</t>
  </si>
  <si>
    <t>/archives/102566</t>
  </si>
  <si>
    <t>/archives/115416/1-?쒓컯吏?댁씠-2</t>
  </si>
  <si>
    <t>/archives/115416/sk?대끂踰좎씠???몄궛clx-寃쎌쁺吏?</t>
  </si>
  <si>
    <t>/archives/46156</t>
  </si>
  <si>
    <t>/archives/73882</t>
  </si>
  <si>
    <t>/archives/88601</t>
  </si>
  <si>
    <t>/archives/91368</t>
  </si>
  <si>
    <t>/archives/tag/?숇꽕?묎툒泥섏튂??1</t>
  </si>
  <si>
    <t>/archives/tag/?먯퐫?꾪겕</t>
  </si>
  <si>
    <t>/archives/tag/?대━?뚮윭??諛고꽣由?而댄띁??1</t>
  </si>
  <si>
    <t>/archives/tag/skct</t>
  </si>
  <si>
    <t>/archives/103524</t>
  </si>
  <si>
    <t>/archives/32116</t>
  </si>
  <si>
    <t>/archives/72582</t>
  </si>
  <si>
    <t>/archives/79148</t>
  </si>
  <si>
    <t>/archives/95339</t>
  </si>
  <si>
    <t>/archives/95950</t>
  </si>
  <si>
    <t>/archives/tag/e-skb</t>
  </si>
  <si>
    <t>/archives/tag/?ㅻ굹移?1</t>
  </si>
  <si>
    <t>/archives/tag/?쇱엲猷⑦듃</t>
  </si>
  <si>
    <t>/archives/113610</t>
  </si>
  <si>
    <t>/archives/24754</t>
  </si>
  <si>
    <t>/archives/31477</t>
  </si>
  <si>
    <t>/archives/48924</t>
  </si>
  <si>
    <t>/archives/81412</t>
  </si>
  <si>
    <t>/archives/97615</t>
  </si>
  <si>
    <t>/archives/104686</t>
  </si>
  <si>
    <t>/archives/115324/skipc-pc-pc</t>
  </si>
  <si>
    <t>/archives/115830</t>
  </si>
  <si>
    <t>/archives/55528</t>
  </si>
  <si>
    <t>/archives/75246</t>
  </si>
  <si>
    <t>/archives/tag/?쒗븨</t>
  </si>
  <si>
    <t>/archives/tag/?뚰넻</t>
  </si>
  <si>
    <t>/archives/tag/癒몃━媛醫뗭븘吏?붾룄?쒕씫</t>
  </si>
  <si>
    <t>/archives/tag/?섎뒫?꾩떆?쎈찓??1</t>
  </si>
  <si>
    <t>/archives/tag/肄붾컮?섎쑉媛쒖쭏?섎뒗踰?2</t>
  </si>
  <si>
    <t>/archives/27926</t>
  </si>
  <si>
    <t>/archives/35171</t>
  </si>
  <si>
    <t>/archives/88550</t>
  </si>
  <si>
    <t>/archives/101589/?먯뼱紐⑤퉴由ы떚4</t>
  </si>
  <si>
    <t>/archives/27610</t>
  </si>
  <si>
    <t>/archives/95946</t>
  </si>
  <si>
    <t>/archives/12929/?먮꼫吏????媛??v1_02</t>
  </si>
  <si>
    <t>/archives/29687</t>
  </si>
  <si>
    <t>/archives/32334</t>
  </si>
  <si>
    <t>/archives/tag/?덊빐-踰꾪궥由ъ뒪??1</t>
  </si>
  <si>
    <t>/archives/tag/?먮꼫吏쨌?뷀븰</t>
  </si>
  <si>
    <t>/archives/55469</t>
  </si>
  <si>
    <t>/archives/84588?닿굅</t>
  </si>
  <si>
    <t>/archives/tag/sabic</t>
  </si>
  <si>
    <t>/archives/tag/sk-?몄궛compelx</t>
  </si>
  <si>
    <t>/archives/tag/?꾩퓼?꾨━?-留뚮뱾湲?1</t>
  </si>
  <si>
    <t>/archives/55258</t>
  </si>
  <si>
    <t>/archives/94982</t>
  </si>
  <si>
    <t>/archives/37170</t>
  </si>
  <si>
    <t>/archives/80905</t>
  </si>
  <si>
    <t>/archives/99839</t>
  </si>
  <si>
    <t>/archives/tag/?꾨꼸?쒗듃?쇳봽-?뱀꽑</t>
  </si>
  <si>
    <t>/archives/59134</t>
  </si>
  <si>
    <t>/archives/64382</t>
  </si>
  <si>
    <t>/archives/tag/洹몃┛??2</t>
  </si>
  <si>
    <t>/archives/105584</t>
  </si>
  <si>
    <t>/archives/115837</t>
  </si>
  <si>
    <t>/archives/31491</t>
  </si>
  <si>
    <t>/archives/63520</t>
  </si>
  <si>
    <t>/archives/88009</t>
  </si>
  <si>
    <t>/archives/91621</t>
  </si>
  <si>
    <t>/archives/95051</t>
  </si>
  <si>
    <t>/archives/tag/fp-dual</t>
  </si>
  <si>
    <t>/archives/tag/sovac</t>
  </si>
  <si>
    <t>/archives/tag/湲濡쒕쾶-而ㅻ??덉??댁뀡-肄붾뵒?ㅼ씠??1</t>
  </si>
  <si>
    <t>/archives/tag/湲고쉷湲곗궗</t>
  </si>
  <si>
    <t>/archives/tag/紐⑥뼱??1</t>
  </si>
  <si>
    <t>/archives/24412</t>
  </si>
  <si>
    <t>/archives/25046</t>
  </si>
  <si>
    <t>/archives/27759</t>
  </si>
  <si>
    <t>/archives/94578</t>
  </si>
  <si>
    <t>/archives/tag/踰싰퐙</t>
  </si>
  <si>
    <t>/archives/tag/?먮룞李??섏떊??1</t>
  </si>
  <si>
    <t>/archives/60291(24.04.08</t>
  </si>
  <si>
    <t>/archives/96633</t>
  </si>
  <si>
    <t>/archives/108026</t>
  </si>
  <si>
    <t>/archives/108651</t>
  </si>
  <si>
    <t>/archives/109167</t>
  </si>
  <si>
    <t>/archives/111198</t>
  </si>
  <si>
    <t>/archives/113622</t>
  </si>
  <si>
    <t>/archives/114688https:/skinnonews.com/archives/112411</t>
  </si>
  <si>
    <t>/archives/18984</t>
  </si>
  <si>
    <t>/archives/24220</t>
  </si>
  <si>
    <t>/archives/27029</t>
  </si>
  <si>
    <t>/archives/35100</t>
  </si>
  <si>
    <t>/archives/38659</t>
  </si>
  <si>
    <t>/archives/64499</t>
  </si>
  <si>
    <t>/archives/79193</t>
  </si>
  <si>
    <t>/archives/85665</t>
  </si>
  <si>
    <t>/archives/tag/sne由ъ꽌移?2</t>
  </si>
  <si>
    <t>/archives/tag/??꾩＜?좎냼</t>
  </si>
  <si>
    <t>/archives/tag/?좎옱?앹뿉?덉?</t>
  </si>
  <si>
    <t>/archives/tag/?뚰삁</t>
  </si>
  <si>
    <t>/archives/tag/?곸떊???곸떊?섎떎</t>
  </si>
  <si>
    <t>/archives/tag/?댁궗??2</t>
  </si>
  <si>
    <t>/archives/14552</t>
  </si>
  <si>
    <t>/archives/23796</t>
  </si>
  <si>
    <t>/archives/63866</t>
  </si>
  <si>
    <t>/archives/70127</t>
  </si>
  <si>
    <t>/archives/73454</t>
  </si>
  <si>
    <t>/archives/82718</t>
  </si>
  <si>
    <t>/archives/85657</t>
  </si>
  <si>
    <t>/archives/94522</t>
  </si>
  <si>
    <t>/archives/date/2011/06</t>
  </si>
  <si>
    <t>/archives/date/2019/01</t>
  </si>
  <si>
    <t>/archives/date/2019/12</t>
  </si>
  <si>
    <t>/archives/date/2020/09</t>
  </si>
  <si>
    <t>/archives/tag/2015???앹쑀-?뚮퉬</t>
  </si>
  <si>
    <t>/archives/tag/2018-sk-?숇컲?깆옣-?묐젰??諛뺣엺???쇱젙</t>
  </si>
  <si>
    <t>/archives/tag/loop-industries</t>
  </si>
  <si>
    <t>/archives/tag/ncc-怨듭젙</t>
  </si>
  <si>
    <t>/archives/tag/sk-?됰났?섎닎-諛붿옄??1</t>
  </si>
  <si>
    <t>/archives/tag/援먯쑁?곸긽</t>
  </si>
  <si>
    <t>/archives/tag/?쒕씪?댄뵆?쇱썙留뚮뱾湲?1</t>
  </si>
  <si>
    <t>/archives/tag/?붿?????궗愿</t>
  </si>
  <si>
    <t>/archives/tag/諛붿씠???곕즺</t>
  </si>
  <si>
    <t>/archives/tag/諛고꽣由??ъ뾽</t>
  </si>
  <si>
    <t>/archives/tag/?ㅻ쭪??1</t>
  </si>
  <si>
    <t>/archives/tag/?낅Т怨듦컙</t>
  </si>
  <si>
    <t>/archives/tag/?묎?</t>
  </si>
  <si>
    <t>/archives/tag/移쒗솚寃쎌틺?섏씤</t>
  </si>
  <si>
    <t>/archives/tag/移댄럹</t>
  </si>
  <si>
    <t>/archives/tag/?꾩냼?쒕줈???꾨줈?앺듃</t>
  </si>
  <si>
    <t>/archives/tag/?뚮씪?ㅽ떛-由ъ궗?댄겢-?대윭?ㅽ꽣</t>
  </si>
  <si>
    <t>/archives/110612</t>
  </si>
  <si>
    <t>/archives/113889</t>
  </si>
  <si>
    <t>/archives/12000</t>
  </si>
  <si>
    <t>/archives/31708</t>
  </si>
  <si>
    <t>/archives/85216</t>
  </si>
  <si>
    <t>/archives/tag/sk?대끂踰좎씠??怨듬え??1</t>
  </si>
  <si>
    <t>/archives/tag/怨좊옒?釉붾윭</t>
  </si>
  <si>
    <t>/archives/tag/?섏슱ev</t>
  </si>
  <si>
    <t>/archives/tag/?몃벑??1</t>
  </si>
  <si>
    <t>/archives/104100</t>
  </si>
  <si>
    <t>/archives/104487</t>
  </si>
  <si>
    <t>/archives/106456</t>
  </si>
  <si>
    <t>/archives/108120</t>
  </si>
  <si>
    <t>/archives/28560</t>
  </si>
  <si>
    <t>/archives/31826</t>
  </si>
  <si>
    <t>/archives/31837</t>
  </si>
  <si>
    <t>/archives/96561</t>
  </si>
  <si>
    <t>/archives/99744</t>
  </si>
  <si>
    <t>/archives/tag/imo2020</t>
  </si>
  <si>
    <t>/archives/tag/?앷컖?쒕떎</t>
  </si>
  <si>
    <t>/archives/tag/?됰났cc</t>
  </si>
  <si>
    <t>/archives/tag/sk?대끂踰좎씠???대━癒?1</t>
  </si>
  <si>
    <t>/archives/tag/?곗뺨?ㅽ듃</t>
  </si>
  <si>
    <t>/archives/tag/?꾧린李⑤같?곕━</t>
  </si>
  <si>
    <t>/archives/115877</t>
  </si>
  <si>
    <t>/archives/tag/?댁궗??9</t>
  </si>
  <si>
    <t>/archives/94907</t>
  </si>
  <si>
    <t>/archives/tag/?≪옱?곗?-諛섎뵩遺덉씠</t>
  </si>
  <si>
    <t>/190904_?꾧린李⑥땐?꾧린_移대뱶?댁뒪_6</t>
  </si>
  <si>
    <t>/archives/105774</t>
  </si>
  <si>
    <t>/archives/109159</t>
  </si>
  <si>
    <t>/archives/13926</t>
  </si>
  <si>
    <t>/archives/32202</t>
  </si>
  <si>
    <t>/archives/38397</t>
  </si>
  <si>
    <t>/archives/55519</t>
  </si>
  <si>
    <t>/archives/64226</t>
  </si>
  <si>
    <t>/archives/64779</t>
  </si>
  <si>
    <t>/archives/66709</t>
  </si>
  <si>
    <t>/archives/79857</t>
  </si>
  <si>
    <t>/archives/date/2014/09</t>
  </si>
  <si>
    <t>/archives/tag/援????숆탳</t>
  </si>
  <si>
    <t>/archives/tag/湲濡쒕쾶?뚰겕?濡쒖?</t>
  </si>
  <si>
    <t>/archives/tag/?앷컖?ㅼ쭛湲?1</t>
  </si>
  <si>
    <t>/archives/tag/?쒖궛-諛고꽣由ш났??1</t>
  </si>
  <si>
    <t>/archives/tag/?섑룊?쒖텛</t>
  </si>
  <si>
    <t>/archives/46456</t>
  </si>
  <si>
    <t>/archives/71979</t>
  </si>
  <si>
    <t>/archives/83500</t>
  </si>
  <si>
    <t>/archives/tag/sk-careers-fair</t>
  </si>
  <si>
    <t>/archives/tag/?앹쑀媛쒕컻-?ъ뾽</t>
  </si>
  <si>
    <t>/archives/tag/?듭뿭??1</t>
  </si>
  <si>
    <t>/archives/26675</t>
  </si>
  <si>
    <t>/archives/108378</t>
  </si>
  <si>
    <t>/archives/115351</t>
  </si>
  <si>
    <t>/archives/14392</t>
  </si>
  <si>
    <t>/archives/31596</t>
  </si>
  <si>
    <t>/archives/32268</t>
  </si>
  <si>
    <t>/archives/32378</t>
  </si>
  <si>
    <t>/archives/47573</t>
  </si>
  <si>
    <t>/archives/68798</t>
  </si>
  <si>
    <t>/archives/70623</t>
  </si>
  <si>
    <t>/archives/82989</t>
  </si>
  <si>
    <t>/archives/86173</t>
  </si>
  <si>
    <t>/archives/89695</t>
  </si>
  <si>
    <t>/archives/tag/諛붿꽭由?1</t>
  </si>
  <si>
    <t>/archives/tag/?앹쑀?쒗뭹-?댁넚?섎떒</t>
  </si>
  <si>
    <t>/archives/tag/?ㅽ궎?명뀒??1</t>
  </si>
  <si>
    <t>/archives/tag/?먰떥??1</t>
  </si>
  <si>
    <t>/archives/tag/?댁깋-二쇱쑀??1</t>
  </si>
  <si>
    <t>/archives/tag/?쒖?臾대뱶??1</t>
  </si>
  <si>
    <t>/archives/90353</t>
  </si>
  <si>
    <t>/archives/100316</t>
  </si>
  <si>
    <t>/archives/51666</t>
  </si>
  <si>
    <t>/archives/71141</t>
  </si>
  <si>
    <t>/archives/90746</t>
  </si>
  <si>
    <t>/archives/98598</t>
  </si>
  <si>
    <t>/archives/tag/green-balance-2030</t>
  </si>
  <si>
    <t>/archives/tag/ncm8</t>
  </si>
  <si>
    <t>/archives/tag/osp</t>
  </si>
  <si>
    <t>/archives/tag/tips</t>
  </si>
  <si>
    <t>/archives/tag/we-green-incheon</t>
  </si>
  <si>
    <t>/archives/tag/媛뺤쓽</t>
  </si>
  <si>
    <t>/archives/tag/怨쇱씪-蹂닿?踰?1</t>
  </si>
  <si>
    <t>/archives/tag/源?ъ썝</t>
  </si>
  <si>
    <t>/archives/tag/?몄꽑??1</t>
  </si>
  <si>
    <t>/archives/tag/??숈깮-?쒗룷?곗쫰</t>
  </si>
  <si>
    <t>/archives/tag/?붿???o-e</t>
  </si>
  <si>
    <t>/archives/tag/由ы뒳?댁삩諛고꽣由?1</t>
  </si>
  <si>
    <t>/archives/tag/紐⑥꽦蹂댄샇</t>
  </si>
  <si>
    <t>/archives/tag/諛깆떊</t>
  </si>
  <si>
    <t>/archives/tag/?꾩뒪肄?1</t>
  </si>
  <si>
    <t>/archives/tag/?낃퀎</t>
  </si>
  <si>
    <t>/archives/tag/?곕쭚?뺤궛-轅??1</t>
  </si>
  <si>
    <t>/archives/tag/?덈뒫</t>
  </si>
  <si>
    <t>/archives/tag/?붾퀎-?댁쇅?ы뻾吏-異붿쿇</t>
  </si>
  <si>
    <t>/archives/tag/?꾩썝-?곕쭚-?됱궗</t>
  </si>
  <si>
    <t>/archives/tag/?μ븷?몃㉫??ㅼ쿇??1</t>
  </si>
  <si>
    <t>/archives/tag/????깊겕</t>
  </si>
  <si>
    <t>/archives/tag/?⑥갹??1</t>
  </si>
  <si>
    <t>/archives/31691</t>
  </si>
  <si>
    <t>/archives/67961</t>
  </si>
  <si>
    <t>/archives/74791</t>
  </si>
  <si>
    <t>/archives/tag/sn-plus</t>
  </si>
  <si>
    <t>/archives/tag/?앹쑀異쒗븯1-unit</t>
  </si>
  <si>
    <t>/archives/tag/?좊쿋?댁뒪</t>
  </si>
  <si>
    <t>/archives/tag/以묐룞</t>
  </si>
  <si>
    <t>/archives/102010</t>
  </si>
  <si>
    <t>/archives/115416/8-skea-sk?붾Т釉뚯븘硫붾━移?1</t>
  </si>
  <si>
    <t>/archives/115416/sk?붾Т釉??쒓컯吏?댁씠-3</t>
  </si>
  <si>
    <t>/archives/27774</t>
  </si>
  <si>
    <t>/archives/32534</t>
  </si>
  <si>
    <t>/archives/32707</t>
  </si>
  <si>
    <t>/archives/4980</t>
  </si>
  <si>
    <t>/archives/70576</t>
  </si>
  <si>
    <t>/archives/73281</t>
  </si>
  <si>
    <t>/archives/8333</t>
  </si>
  <si>
    <t>/archives/92504</t>
  </si>
  <si>
    <t>/archives/94546</t>
  </si>
  <si>
    <t>/archives/tag/?댁뀛?먯??ㅺ렇?섑뵿梨꾨꼸</t>
  </si>
  <si>
    <t>/archives/tag/諛쒕떖?μ븷</t>
  </si>
  <si>
    <t>/archives/tag/?뺤떊嫄닿컯</t>
  </si>
  <si>
    <t>/archives/63939</t>
  </si>
  <si>
    <t>/archives/103732</t>
  </si>
  <si>
    <t>/archives/113897</t>
  </si>
  <si>
    <t>/archives/21455</t>
  </si>
  <si>
    <t>/archives/25846</t>
  </si>
  <si>
    <t>/archives/31887</t>
  </si>
  <si>
    <t>/archives/35725</t>
  </si>
  <si>
    <t>/archives/37445</t>
  </si>
  <si>
    <t>/archives/3840</t>
  </si>
  <si>
    <t>/archives/57541</t>
  </si>
  <si>
    <t>/archives/58629</t>
  </si>
  <si>
    <t>/archives/64129</t>
  </si>
  <si>
    <t>/archives/68955</t>
  </si>
  <si>
    <t>/archives/69015</t>
  </si>
  <si>
    <t>/archives/97374</t>
  </si>
  <si>
    <t>/archives/9802</t>
  </si>
  <si>
    <t>/archives/99681</t>
  </si>
  <si>
    <t>/archives/date/2011/01</t>
  </si>
  <si>
    <t>/archives/date/2012/12</t>
  </si>
  <si>
    <t>/archives/date/2016/11</t>
  </si>
  <si>
    <t>/archives/date/2017/05</t>
  </si>
  <si>
    <t>/archives/date/2017/10</t>
  </si>
  <si>
    <t>/archives/date/2018/04</t>
  </si>
  <si>
    <t>/archives/date/2019/03</t>
  </si>
  <si>
    <t>/archives/date/2021/02</t>
  </si>
  <si>
    <t>/archives/tag/2016-怨듯쑕??1</t>
  </si>
  <si>
    <t>/archives/tag/2016-紐⑤컮???몃젋??1</t>
  </si>
  <si>
    <t>/archives/tag/2019-2020-sk?몃뱶蹂?肄붾━?꾨━洹??곗듅</t>
  </si>
  <si>
    <t>/archives/tag/2019-利앺룊援??ы쉶寃쎌젣???쒖꽦???꾩씠?붿뼱-寃쎌뿰???1</t>
  </si>
  <si>
    <t>/archives/tag/baas</t>
  </si>
  <si>
    <t>/archives/tag/basf</t>
  </si>
  <si>
    <t>/archives/tag/ces</t>
  </si>
  <si>
    <t>/archives/tag/ces-2022</t>
  </si>
  <si>
    <t>/archives/tag/ces2022</t>
  </si>
  <si>
    <t>/archives/tag/deep-change</t>
  </si>
  <si>
    <t>/archives/tag/fcw</t>
  </si>
  <si>
    <t>/archives/tag/i-lab</t>
  </si>
  <si>
    <t>/archives/tag/kk</t>
  </si>
  <si>
    <t>/archives/tag/ms-teams</t>
  </si>
  <si>
    <t>/archives/tag/one-team-spirit</t>
  </si>
  <si>
    <t>/archives/tag/skinno-people</t>
  </si>
  <si>
    <t>/archives/tag/sk?ㅽ넗??1</t>
  </si>
  <si>
    <t>/archives/tag/sk?대끂踰좎씠???꾧린李?諛고꽣由??쒖궛怨듭옣</t>
  </si>
  <si>
    <t>/archives/tag/sv짼-?꾪뙥???뚰듃?덈쭅-紐⑤뜽</t>
  </si>
  <si>
    <t>/archives/tag/t-on</t>
  </si>
  <si>
    <t>/archives/tag/together-in-action</t>
  </si>
  <si>
    <t>/archives/tag/掠길돈?욅풆</t>
  </si>
  <si>
    <t>/archives/tag/媛??1</t>
  </si>
  <si>
    <t>/archives/tag/湲곗븘?먮룞李?1</t>
  </si>
  <si>
    <t>/archives/tag/湲곗뾽媛移?1</t>
  </si>
  <si>
    <t>/archives/tag/?섎Ъ諛μ쟾</t>
  </si>
  <si>
    <t>/archives/tag/?낃굅?몄씤蹂댄샇?ъ뾽</t>
  </si>
  <si>
    <t>/archives/tag/?낆씪-k-show</t>
  </si>
  <si>
    <t>/archives/tag/?쒕┰而ㅽ뵾</t>
  </si>
  <si>
    <t>/archives/tag/?붿????몃옖?ㅽ룷留ㅼ씠??1</t>
  </si>
  <si>
    <t>/archives/tag/由щ돱?대툝-踰ㅼ젨</t>
  </si>
  <si>
    <t>/archives/tag/硫붿쉘</t>
  </si>
  <si>
    <t>/archives/tag/紐⑦꽣??1</t>
  </si>
  <si>
    <t>/archives/tag/誘몃뵒?대뜲??1</t>
  </si>
  <si>
    <t>/archives/tag/誘몄꽭癒쇱?-?쇨껸??1</t>
  </si>
  <si>
    <t>/archives/tag/誘몄냼?앸같</t>
  </si>
  <si>
    <t>/archives/tag/諛붿씠?ㅻℓ???곌뎄-?λ퉬</t>
  </si>
  <si>
    <t>/archives/tag/諛고꽣由ъ뿬沅?1</t>
  </si>
  <si>
    <t>/archives/tag/諛몃윴??몃뜲??1</t>
  </si>
  <si>
    <t>/archives/tag/鍮꾨?踰덊샇-?ㅼ젙-??1</t>
  </si>
  <si>
    <t>/archives/tag/鍮낅툕?덉씠??1</t>
  </si>
  <si>
    <t>/archives/tag/?곕┝?뱁솕</t>
  </si>
  <si>
    <t>/archives/tag/?쇨퀎?뺢컙?⑦븯寃?1</t>
  </si>
  <si>
    <t>/archives/tag/?곸긽</t>
  </si>
  <si>
    <t>/archives/tag/?앺솢鍮??щ젰</t>
  </si>
  <si>
    <t>/archives/tag/?ㅻ궇-?λ낫湲?1</t>
  </si>
  <si>
    <t>/archives/tag/?깃퇏愿??숆탳</t>
  </si>
  <si>
    <t>/archives/tag/?멸퀎-?몃Ⅸ-?섎뒛????1</t>
  </si>
  <si>
    <t>/archives/tag/?몄쥌</t>
  </si>
  <si>
    <t>/archives/tag/?먯퐫</t>
  </si>
  <si>
    <t>/archives/tag/?ㅻ쭏?명룿</t>
  </si>
  <si>
    <t>/archives/tag/?ㅼ떆?μ씤-吏濡쒖쓽-轅?1</t>
  </si>
  <si>
    <t>/archives/tag/?ㅽ듃?덉뒪-吏??1</t>
  </si>
  <si>
    <t>/archives/tag/?ㅼ쟻-媛쒖꽑</t>
  </si>
  <si>
    <t>/archives/tag/?ㅼ쟻媛쒖꽑</t>
  </si>
  <si>
    <t>/archives/tag/?꾩묠?앹궗-?④낵</t>
  </si>
  <si>
    <t>/archives/tag/?먭렇</t>
  </si>
  <si>
    <t>/archives/tag/?щ쫫?쇱쓬而?1</t>
  </si>
  <si>
    <t>/archives/tag/?곕쭚</t>
  </si>
  <si>
    <t>/archives/tag/?좉?</t>
  </si>
  <si>
    <t>/archives/tag/?댁썐?щ옉?섎닎</t>
  </si>
  <si>
    <t>/archives/tag/?꾩궗-?덉쟾-?먭?????1</t>
  </si>
  <si>
    <t>/archives/tag/?덉빟</t>
  </si>
  <si>
    <t>/archives/tag/?뺤썡-?蹂대쫫-?됱궗</t>
  </si>
  <si>
    <t>/archives/tag/議?諛붿씠??誘멸뎅-??듬졊</t>
  </si>
  <si>
    <t>/archives/tag/二쇱쑀??媛寃?1</t>
  </si>
  <si>
    <t>/archives/tag/以묎뎅-?꾧린李?諛깆씤??1</t>
  </si>
  <si>
    <t>/archives/tag/吏?щ젅?댁떛?섏뒪?곕쾶</t>
  </si>
  <si>
    <t>/archives/tag/泥댁씤吏??1</t>
  </si>
  <si>
    <t>/archives/tag/理쒖슦?섎챸?덇린??1</t>
  </si>
  <si>
    <t>/archives/tag/移쒗솚寃?誘몃옒-紐⑤퉴由ы떚</t>
  </si>
  <si>
    <t>/archives/tag/移대뱶留덉???1</t>
  </si>
  <si>
    <t>/archives/tag/?꾨줈?꾨젋</t>
  </si>
  <si>
    <t>/archives/tag/?꾨━誘몄뾼-?꾩뒪?뷀듃</t>
  </si>
  <si>
    <t>/archives/tag/?좎븘踰꾩?</t>
  </si>
  <si>
    <t>/archives/tag/?됰났-survey</t>
  </si>
  <si>
    <t>/archives/tag/?됱젙?덉쟾遺?κ???1</t>
  </si>
  <si>
    <t>/archives/tag/?됱큿??1</t>
  </si>
  <si>
    <t>/archives/115893</t>
  </si>
  <si>
    <t>/archives/38296</t>
  </si>
  <si>
    <t>/archives/83326</t>
  </si>
  <si>
    <t>/archives/107079</t>
  </si>
  <si>
    <t>/archives/100866</t>
  </si>
  <si>
    <t>/archives/96162</t>
  </si>
  <si>
    <t>/archives/tag/罹좏븨</t>
  </si>
  <si>
    <t>/archives/tag/踰좎씠?뱀냼???쒖슜踰?1</t>
  </si>
  <si>
    <t>/archives/tag/?붿??덉뼱</t>
  </si>
  <si>
    <t>/archives/100953</t>
  </si>
  <si>
    <t>/archives/56324</t>
  </si>
  <si>
    <t>/archives/date/2014/08</t>
  </si>
  <si>
    <t>/archives/tag/?쇨껸?대뜲??1</t>
  </si>
  <si>
    <t>/archives/tag/?쇱떆?몃겮</t>
  </si>
  <si>
    <t>/archives/tag/?뚰삁-由대젅??罹좏럹??1</t>
  </si>
  <si>
    <t>/archives/100395</t>
  </si>
  <si>
    <t>/archives/107164</t>
  </si>
  <si>
    <t>/archives/21168</t>
  </si>
  <si>
    <t>/archives/31820</t>
  </si>
  <si>
    <t>/archives/77954</t>
  </si>
  <si>
    <t>/archives/80496</t>
  </si>
  <si>
    <t>/archives/82886</t>
  </si>
  <si>
    <t>/archives/97339</t>
  </si>
  <si>
    <t>/archives/tag/k由ш렇</t>
  </si>
  <si>
    <t>/archives/tag/?먰쉶?ы삎-?μ븷?명몴以?ъ뾽??1</t>
  </si>
  <si>
    <t>/archives/89899</t>
  </si>
  <si>
    <t>/archives/91688</t>
  </si>
  <si>
    <t>/archives/tag/?꾧린李?1</t>
  </si>
  <si>
    <t>/archives/101108/02-368</t>
  </si>
  <si>
    <t>/archives/107394/002-10</t>
  </si>
  <si>
    <t>/archives/108286/2023-媛뺣쫱-?멸퀎?⑹갹???議곗쭅??8_1340</t>
  </si>
  <si>
    <t>/archives/108286/ib__8125_1340</t>
  </si>
  <si>
    <t>/archives/108286/ib__8154_1340</t>
  </si>
  <si>
    <t>/archives/108286/ib__8227_1340</t>
  </si>
  <si>
    <t>/archives/108286/ib__8250_1340</t>
  </si>
  <si>
    <t>/archives/108498/kakaotalk_20230711_155406139_07</t>
  </si>
  <si>
    <t>/archives/112382</t>
  </si>
  <si>
    <t>/archives/27745</t>
  </si>
  <si>
    <t>/archives/32843/10-204</t>
  </si>
  <si>
    <t>/archives/32843/11-174</t>
  </si>
  <si>
    <t>/archives/85638</t>
  </si>
  <si>
    <t>/archives/tag/difa2021</t>
  </si>
  <si>
    <t>/archives/tag/esg-寃쎌쁺</t>
  </si>
  <si>
    <t>/archives/tag/zic</t>
  </si>
  <si>
    <t>/archives/tag/愿묎퀬</t>
  </si>
  <si>
    <t>/archives/tag/湲濡쒕쾶-湲곗뾽</t>
  </si>
  <si>
    <t>/archives/tag/留덉폆而щ━</t>
  </si>
  <si>
    <t>/archives/tag/諛쒖뿴?댁쓽???먮━</t>
  </si>
  <si>
    <t>/archives/tag/遺꾨끂-?ㅼ뒪由щ뒗-踰?1</t>
  </si>
  <si>
    <t>/archives/tag/?덉걶紐⑸룄由?1</t>
  </si>
  <si>
    <t>/archives/tag/?ㅽ솢湲곗쑀-怨듦툒</t>
  </si>
  <si>
    <t>/archives/tag/?쇳쉶??嫄댁쟾吏</t>
  </si>
  <si>
    <t>/archives/tag/肄붾줈??9洹밸났湲?1</t>
  </si>
  <si>
    <t>/archives/tag/?묒옄?꾪솚</t>
  </si>
  <si>
    <t>/archives/56484</t>
  </si>
  <si>
    <t>/archives/79790</t>
  </si>
  <si>
    <t>/archives/tag/?ㅻ━湲몄뼱蹂댁씠?붿궗吏?1</t>
  </si>
  <si>
    <t>/archives/tag/?쒖삩?됲겕</t>
  </si>
  <si>
    <t>/archives/38760</t>
  </si>
  <si>
    <t>/archives/111627</t>
  </si>
  <si>
    <t>/archives/51671</t>
  </si>
  <si>
    <t>/archives/tag/臾대뱶?깅쭔?ㅺ린</t>
  </si>
  <si>
    <t>/archives/115896</t>
  </si>
  <si>
    <t>/archives/31518</t>
  </si>
  <si>
    <t>/archives/70507</t>
  </si>
  <si>
    <t>/archives/80987/210215_?좎엯?ъ썝?곗닔_?명꽣酉곌?媛??1</t>
  </si>
  <si>
    <t>/archives/85238</t>
  </si>
  <si>
    <t>/archives/93852</t>
  </si>
  <si>
    <t>/archives/96498</t>
  </si>
  <si>
    <t>/archives/98527</t>
  </si>
  <si>
    <t>/archives/tag/?ㅻ궡?곗씠??1</t>
  </si>
  <si>
    <t>/archives/tag/?덉꽑李멸?紐⑥쭛</t>
  </si>
  <si>
    <t>/archives/tag/吏?섏쿋-踰싰퐙</t>
  </si>
  <si>
    <t>/archives/tag/?몃씪?댄깂</t>
  </si>
  <si>
    <t>/privacy20230701</t>
  </si>
  <si>
    <t>/archives/103010</t>
  </si>
  <si>
    <t>/archives/29224</t>
  </si>
  <si>
    <t>/archives/34344</t>
  </si>
  <si>
    <t>/archives/100521</t>
  </si>
  <si>
    <t>/archives/110657</t>
  </si>
  <si>
    <t>/archives/115731/signin</t>
  </si>
  <si>
    <t>/archives/30137</t>
  </si>
  <si>
    <t>/archives/77501</t>
  </si>
  <si>
    <t>/archives/89093</t>
  </si>
  <si>
    <t>/archives/94658</t>
  </si>
  <si>
    <t>/archives/tag/all-time-net-zero-?꾩씠?붿뼱-怨듬え??1</t>
  </si>
  <si>
    <t>/archives/tag/?щ궡?쒖꽕</t>
  </si>
  <si>
    <t>/archives/tag/?꾧툑?묒긽</t>
  </si>
  <si>
    <t>/archives/62064</t>
  </si>
  <si>
    <t>/archives/69852</t>
  </si>
  <si>
    <t>/archives/78696</t>
  </si>
  <si>
    <t>/archives/115922</t>
  </si>
  <si>
    <t>/archives/115899</t>
  </si>
  <si>
    <t>/archives/26574</t>
  </si>
  <si>
    <t>/archives/31934</t>
  </si>
  <si>
    <t>/archives/78191</t>
  </si>
  <si>
    <t>/archives/80142</t>
  </si>
  <si>
    <t>/archives/87053</t>
  </si>
  <si>
    <t>/archives/88105</t>
  </si>
  <si>
    <t>/archives/928803</t>
  </si>
  <si>
    <t>/archives/tag/im-zic</t>
  </si>
  <si>
    <t>/archives/tag/媛?섎뼞?쇰줈鍮쇰뭡濡?1</t>
  </si>
  <si>
    <t>/archives/tag/媛?꾧컧?깊뵆?덉씠??1</t>
  </si>
  <si>
    <t>/archives/tag/湲濡쒕쾶-?좊쿋?댁뒪</t>
  </si>
  <si>
    <t>/archives/tag/?좎븘???덊띁蹂대뱶</t>
  </si>
  <si>
    <t>/archives/tag/留덈┛??1</t>
  </si>
  <si>
    <t>/archives/tag/諛쒕떖?μ븷?꾨룞</t>
  </si>
  <si>
    <t>/archives/tag/釉뚮젆?쒗듃</t>
  </si>
  <si>
    <t>/archives/tag/?앹쑀怨듦툒</t>
  </si>
  <si>
    <t>/archives/tag/?ㅽ깲?щ뱶</t>
  </si>
  <si>
    <t>/archives/tag/?좎꽦?μ궗??1</t>
  </si>
  <si>
    <t>/archives/tag/?좎엯?ъ썝-?곗닔</t>
  </si>
  <si>
    <t>/archives/tag/?곕쭚?쒖긽??1</t>
  </si>
  <si>
    <t>/archives/tag/?먮そ?섑슚??1</t>
  </si>
  <si>
    <t>/archives/tag/?먯쇅??李⑤떒-吏??1</t>
  </si>
  <si>
    <t>/archives/tag/吏?쓎nnovation</t>
  </si>
  <si>
    <t>/archives/tag/痍⑤굹臾쇱슂由?1</t>
  </si>
  <si>
    <t>/archives/tag/移댁슫?щ쭅</t>
  </si>
  <si>
    <t>/archives/tag/?쒓뎅?μ븷?멸퀬?⑷났??1</t>
  </si>
  <si>
    <t>/archives/tag/?됰났?쒕냽??1</t>
  </si>
  <si>
    <t>/archives/4376</t>
  </si>
  <si>
    <t>/archives/75408</t>
  </si>
  <si>
    <t>/archives/87068</t>
  </si>
  <si>
    <t>/archives/tag/sk1004遊됱궗??1</t>
  </si>
  <si>
    <t>/archives/104697</t>
  </si>
  <si>
    <t>/archives/115933</t>
  </si>
  <si>
    <t>/archives/28873</t>
  </si>
  <si>
    <t>/archives/31513</t>
  </si>
  <si>
    <t>/archives/61480</t>
  </si>
  <si>
    <t>/archives/75441</t>
  </si>
  <si>
    <t>/archives/96682</t>
  </si>
  <si>
    <t>/archives/tag/agile</t>
  </si>
  <si>
    <t>/archives/tag/she-first-寃쎌쁺</t>
  </si>
  <si>
    <t>/archives/101491</t>
  </si>
  <si>
    <t>/archives/79487</t>
  </si>
  <si>
    <t>/archives/tag/sk?댁뒪??1</t>
  </si>
  <si>
    <t>/archives/tag/?대챸</t>
  </si>
  <si>
    <t>/archives/107063</t>
  </si>
  <si>
    <t>/archives/115416/3-sk?대끂踰좎씠???몄궛clx-?꾩떆??諛곕떖-遊됱궗-5</t>
  </si>
  <si>
    <t>/archives/tag/諛쒖뿴?댁쓽</t>
  </si>
  <si>
    <t>/archives/tag/?명꽣諛고꽣由?2021</t>
  </si>
  <si>
    <t>/archives/91650</t>
  </si>
  <si>
    <t>/archives/97378</t>
  </si>
  <si>
    <t>/archives/101557</t>
  </si>
  <si>
    <t>/archives/105137</t>
  </si>
  <si>
    <t>/archives/112614/2-1-2</t>
  </si>
  <si>
    <t>/archives/115950</t>
  </si>
  <si>
    <t>/archives/26859</t>
  </si>
  <si>
    <t>/archives/35774</t>
  </si>
  <si>
    <t>/archives/55300</t>
  </si>
  <si>
    <t>/archives/77036</t>
  </si>
  <si>
    <t>/archives/84212</t>
  </si>
  <si>
    <t>/archives/84457</t>
  </si>
  <si>
    <t>/archives/tag/safety-net</t>
  </si>
  <si>
    <t>/archives/tag/smart-plant</t>
  </si>
  <si>
    <t>/archives/tag/?ы쉶怨듯뿄</t>
  </si>
  <si>
    <t>/archives/tag/?꾧렇?꾧렇梨뚮┛吏</t>
  </si>
  <si>
    <t>/archives/tag/?쒕겮-?섎닎-?⑦깮??1</t>
  </si>
  <si>
    <t>/archives/tag/?됰났green?붿옄??1</t>
  </si>
  <si>
    <t>/archives/100443</t>
  </si>
  <si>
    <t>/archives/tag/icon</t>
  </si>
  <si>
    <t>/archives/115954</t>
  </si>
  <si>
    <t>/archives/73454/200724_留밴렇濡쒕툕_移대뱶?댁뒪_01</t>
  </si>
  <si>
    <t>/archives/115416/1-醫낅줈援?泥쒖궗臾대즺湲됱떇??諛ν띁</t>
  </si>
  <si>
    <t>/archives/79163</t>
  </si>
  <si>
    <t>/archives/tag/?꾨Ⅴ耳留?1</t>
  </si>
  <si>
    <t>/archives/tag/?꾪겕由?1</t>
  </si>
  <si>
    <t>/archives/tag/議곗쭅-遺꾩쐞湲?諛??뚰넻-?쒖꽦??1</t>
  </si>
  <si>
    <t>/archives/113029</t>
  </si>
  <si>
    <t>/archives/tag/?뺥솕?곗??댁뒪</t>
  </si>
  <si>
    <t>/archives/115969</t>
  </si>
  <si>
    <t>/archives/14984</t>
  </si>
  <si>
    <t>/archives/89735</t>
  </si>
  <si>
    <t>/archives/tag/?고쁺</t>
  </si>
  <si>
    <t>/archives/tag/sk?몄궛-clx</t>
  </si>
  <si>
    <t>/archives/32839/1_蹂대뱶寃뚯엫_?곕큺怨?04</t>
  </si>
  <si>
    <t>/archives/68480</t>
  </si>
  <si>
    <t>/archives/92054</t>
  </si>
  <si>
    <t>/archives/tag/寃쎌쑀</t>
  </si>
  <si>
    <t>/archives/tag/湲곕?</t>
  </si>
  <si>
    <t>/archives/tag/?몄씠釉뚮뜑移좊뱶??1</t>
  </si>
  <si>
    <t>/archives/93683</t>
  </si>
  <si>
    <t>/archives/tag/?됰났?쒕┝愿</t>
  </si>
  <si>
    <t>/archives/36959</t>
  </si>
  <si>
    <t>/archives/93699</t>
  </si>
  <si>
    <t>/kr</t>
  </si>
  <si>
    <t>/skon-sfbatteries-at-interbattery2024</t>
  </si>
  <si>
    <t>/archives/115954&amp;ct=ga&amp;cd=CAEYBioTNDU1MTY3MTk2MjUwODQwMDYyNDIcMjlkY2FiYThmZDhkY2M4Nzpjby5rcjprbzpVUw&amp;usg=AOvVaw0RLM44PwDxF5ea1dE2NTUH</t>
  </si>
  <si>
    <t>/archives/115954&amp;source=alertsmail&amp;hl=ko&amp;gl=US&amp;msgid=NDU1MTY3MTk2MjUwODQwMDYyNA&amp;s=AB2Xq4jT_4TGxriZtNP4_ubEL_ZCd3MRTB-wmu4</t>
  </si>
  <si>
    <t>/archives/115954&amp;ss=tw&amp;rt=??鍮⑤━</t>
  </si>
  <si>
    <t>/archives/tag/洹몃┛-諛붿씠??怨쇳븰湲곗닠?곌뎄??1</t>
  </si>
  <si>
    <t>/archives/104034</t>
  </si>
  <si>
    <t>/archives/31489</t>
  </si>
  <si>
    <t>/archives/92379</t>
  </si>
  <si>
    <t>/archives/tag/移댁씠?몄꽌??1</t>
  </si>
  <si>
    <t>/archives/31840</t>
  </si>
  <si>
    <t>/archives/105996</t>
  </si>
  <si>
    <t>/archives/73982</t>
  </si>
  <si>
    <t>/archives/91418</t>
  </si>
  <si>
    <t>/archives/97594</t>
  </si>
  <si>
    <t>/archives/tag/留먮났-蹂댁뼇??1</t>
  </si>
  <si>
    <t>/archives/47294</t>
  </si>
  <si>
    <t>/archives/31473</t>
  </si>
  <si>
    <t>/archives/65173</t>
  </si>
  <si>
    <t>/archives/93317</t>
  </si>
  <si>
    <t>/archives/tag/寃⑥슱諛⑺븰?뚮컮</t>
  </si>
  <si>
    <t>/archives/tag/蹂대땲?섎땲</t>
  </si>
  <si>
    <t>/archives/115971</t>
  </si>
  <si>
    <t>/archives/tag/?섏씪濡?2</t>
  </si>
  <si>
    <t>/archives/28992</t>
  </si>
  <si>
    <t>/archives/67135</t>
  </si>
  <si>
    <t>/archives/67486</t>
  </si>
  <si>
    <t>/archives/74906</t>
  </si>
  <si>
    <t>/archives/90311</t>
  </si>
  <si>
    <t>/archives/96588</t>
  </si>
  <si>
    <t>/archives/tag/?대떎由?1</t>
  </si>
  <si>
    <t>/archives/tag/?꾨룄???좊━-遺꾨━留?1</t>
  </si>
  <si>
    <t>/archives/tag/?꾨줈寃뚯씠癒?1</t>
  </si>
  <si>
    <t>/archives/tag/?섍꼍?숈븞??援먯쑁-?꾨줈洹몃옩</t>
  </si>
  <si>
    <t>/archives/26063</t>
  </si>
  <si>
    <t>/archives/66432/200107_1?됰났?섎닎?ㅽ넗由?3-2</t>
  </si>
  <si>
    <t>/archives/79099</t>
  </si>
  <si>
    <t>/archives/tag/?몃튆?λ뫁??1</t>
  </si>
  <si>
    <t>/archives/56806</t>
  </si>
  <si>
    <t>/archives/tag/臾대즺湲됱떇</t>
  </si>
  <si>
    <t>/archives/101388</t>
  </si>
  <si>
    <t>/archives/103918</t>
  </si>
  <si>
    <t>/archives/32272</t>
  </si>
  <si>
    <t>/archives/54233</t>
  </si>
  <si>
    <t>/archives/64853</t>
  </si>
  <si>
    <t>/archives/74037</t>
  </si>
  <si>
    <t>/archives/82401</t>
  </si>
  <si>
    <t>/archives/86042</t>
  </si>
  <si>
    <t>/archives/9619</t>
  </si>
  <si>
    <t>/archives/tag/援먯쑁</t>
  </si>
  <si>
    <t>/archives/tag/?댁뼇?먮꼫吏</t>
  </si>
  <si>
    <t>/archives/100405</t>
  </si>
  <si>
    <t>/archives/27786</t>
  </si>
  <si>
    <t>/archives/58955</t>
  </si>
  <si>
    <t>/archives/88566</t>
  </si>
  <si>
    <t>/archives/92081</t>
  </si>
  <si>
    <t>/114877-2</t>
  </si>
  <si>
    <t>/archives/102197</t>
  </si>
  <si>
    <t>/archives/10330/</t>
  </si>
  <si>
    <t>/archives/110436</t>
  </si>
  <si>
    <t>/archives/15235</t>
  </si>
  <si>
    <t>/archives/32189</t>
  </si>
  <si>
    <t>/archives/78793</t>
  </si>
  <si>
    <t>/archives/88118</t>
  </si>
  <si>
    <t>/archives/92374</t>
  </si>
  <si>
    <t>/archives/tag/clx</t>
  </si>
  <si>
    <t>/archives/tag/?곷궓-?뚰봽??1</t>
  </si>
  <si>
    <t>/archives/tag/移쒗솚寃??⑷린</t>
  </si>
  <si>
    <t>/archives/71355</t>
  </si>
  <si>
    <t>/archives/tag/?곹솕-?앹떊</t>
  </si>
  <si>
    <t>/archives/112428/5-1-24</t>
  </si>
  <si>
    <t>/archives/115416/2-醫낅줈援?泥쒖궗臾대즺湲됱떇??諛ν띁</t>
  </si>
  <si>
    <t>/archives/15788</t>
  </si>
  <si>
    <t>/archives/28330</t>
  </si>
  <si>
    <t>/archives/8624</t>
  </si>
  <si>
    <t>/archives/93434</t>
  </si>
  <si>
    <t>/archives/94895</t>
  </si>
  <si>
    <t>/archives/99726</t>
  </si>
  <si>
    <t>/archives/tag/?꾨젰洹쇰Т??1</t>
  </si>
  <si>
    <t>/archives/14751</t>
  </si>
  <si>
    <t>/archives/18345</t>
  </si>
  <si>
    <t>/archives/tag/?먮같?곕━</t>
  </si>
  <si>
    <t>/archives/102616</t>
  </si>
  <si>
    <t>/archives/32081</t>
  </si>
  <si>
    <t>/archives/76964</t>
  </si>
  <si>
    <t>/archives/76970</t>
  </si>
  <si>
    <t>/archives/86025</t>
  </si>
  <si>
    <t>/archives/92040</t>
  </si>
  <si>
    <t>/archives/96606</t>
  </si>
  <si>
    <t>/archives/category/business/sk-geo</t>
  </si>
  <si>
    <t>/archives/category/business/sk-geocentric</t>
  </si>
  <si>
    <t>/archives/tag/wti-?뺤젣留덉쭊-?④낵</t>
  </si>
  <si>
    <t>/archives/tag/?댁뼇?덉쟾愿由ш린??1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</si>
</sst>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/&quot;d;@"/>
    <numFmt numFmtId="177" formatCode="m&quot;월&quot;\ d&quot;일&quot;;@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1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4" fillId="0" borderId="0" xfId="3">
      <alignment vertical="center"/>
    </xf>
    <xf numFmtId="0" fontId="5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41" fontId="0" fillId="3" borderId="1" xfId="4" applyFont="1" applyFill="1" applyBorder="1">
      <alignment vertical="center"/>
    </xf>
    <xf numFmtId="41" fontId="0" fillId="4" borderId="1" xfId="4" applyFont="1" applyFill="1" applyBorder="1">
      <alignment vertical="center"/>
    </xf>
    <xf numFmtId="9" fontId="0" fillId="2" borderId="1" xfId="5" applyFont="1" applyFill="1" applyBorder="1">
      <alignment vertical="center"/>
    </xf>
    <xf numFmtId="0" fontId="6" fillId="7" borderId="1" xfId="0" applyFont="1" applyFill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9" fontId="0" fillId="5" borderId="1" xfId="5" applyFont="1" applyFill="1" applyBorder="1">
      <alignment vertical="center"/>
    </xf>
    <xf numFmtId="41" fontId="9" fillId="6" borderId="1" xfId="0" applyNumberFormat="1" applyFont="1" applyFill="1" applyBorder="1">
      <alignment vertical="center"/>
    </xf>
    <xf numFmtId="9" fontId="9" fillId="6" borderId="1" xfId="5" applyFont="1" applyFill="1" applyBorder="1">
      <alignment vertical="center"/>
    </xf>
    <xf numFmtId="9" fontId="9" fillId="6" borderId="1" xfId="0" applyNumberFormat="1" applyFont="1" applyFill="1" applyBorder="1">
      <alignment vertical="center"/>
    </xf>
    <xf numFmtId="41" fontId="10" fillId="6" borderId="1" xfId="0" applyNumberFormat="1" applyFont="1" applyFill="1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3" applyFill="1">
      <alignment vertical="center"/>
    </xf>
    <xf numFmtId="41" fontId="0" fillId="8" borderId="1" xfId="0" applyNumberFormat="1" applyFill="1" applyBorder="1">
      <alignment vertical="center"/>
    </xf>
    <xf numFmtId="9" fontId="0" fillId="8" borderId="1" xfId="5" applyFont="1" applyFill="1" applyBorder="1">
      <alignment vertical="center"/>
    </xf>
    <xf numFmtId="41" fontId="5" fillId="8" borderId="1" xfId="0" applyNumberFormat="1" applyFont="1" applyFill="1" applyBorder="1">
      <alignment vertical="center"/>
    </xf>
    <xf numFmtId="41" fontId="0" fillId="8" borderId="1" xfId="4" applyFont="1" applyFill="1" applyBorder="1">
      <alignment vertical="center"/>
    </xf>
    <xf numFmtId="0" fontId="0" fillId="8" borderId="6" xfId="0" applyFill="1" applyBorder="1">
      <alignment vertical="center"/>
    </xf>
    <xf numFmtId="41" fontId="5" fillId="8" borderId="7" xfId="0" applyNumberFormat="1" applyFont="1" applyFill="1" applyBorder="1">
      <alignment vertical="center"/>
    </xf>
    <xf numFmtId="41" fontId="0" fillId="8" borderId="7" xfId="4" applyFont="1" applyFill="1" applyBorder="1">
      <alignment vertical="center"/>
    </xf>
    <xf numFmtId="0" fontId="0" fillId="8" borderId="8" xfId="0" applyFill="1" applyBorder="1">
      <alignment vertical="center"/>
    </xf>
    <xf numFmtId="41" fontId="0" fillId="8" borderId="9" xfId="4" applyFont="1" applyFill="1" applyBorder="1">
      <alignment vertical="center"/>
    </xf>
    <xf numFmtId="41" fontId="0" fillId="8" borderId="10" xfId="4" applyFont="1" applyFill="1" applyBorder="1">
      <alignment vertical="center"/>
    </xf>
    <xf numFmtId="9" fontId="0" fillId="8" borderId="7" xfId="5" applyFont="1" applyFill="1" applyBorder="1">
      <alignment vertical="center"/>
    </xf>
    <xf numFmtId="41" fontId="5" fillId="8" borderId="9" xfId="0" applyNumberFormat="1" applyFont="1" applyFill="1" applyBorder="1">
      <alignment vertical="center"/>
    </xf>
    <xf numFmtId="9" fontId="5" fillId="8" borderId="9" xfId="0" applyNumberFormat="1" applyFont="1" applyFill="1" applyBorder="1">
      <alignment vertical="center"/>
    </xf>
    <xf numFmtId="9" fontId="5" fillId="8" borderId="10" xfId="0" applyNumberFormat="1" applyFont="1" applyFill="1" applyBorder="1">
      <alignment vertical="center"/>
    </xf>
    <xf numFmtId="0" fontId="0" fillId="5" borderId="3" xfId="0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6" borderId="2" xfId="0" applyFont="1" applyFill="1" applyBorder="1">
      <alignment vertical="center"/>
    </xf>
    <xf numFmtId="0" fontId="5" fillId="0" borderId="1" xfId="4" applyNumberFormat="1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</cellXfs>
  <cellStyles count="6">
    <cellStyle name="백분율" xfId="5" builtinId="5"/>
    <cellStyle name="쉼표 [0]" xfId="4" builtinId="6"/>
    <cellStyle name="쉼표 [0] 2" xfId="1" xr:uid="{00000000-0005-0000-0000-000002000000}"/>
    <cellStyle name="표준" xfId="0" builtinId="0"/>
    <cellStyle name="표준 2" xfId="2" xr:uid="{00000000-0005-0000-0000-000004000000}"/>
    <cellStyle name="표준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134471</xdr:colOff>
      <xdr:row>1</xdr:row>
      <xdr:rowOff>22412</xdr:rowOff>
    </xdr:from>
    <xdr:to>
      <xdr:col>18</xdr:col>
      <xdr:colOff>515471</xdr:colOff>
      <xdr:row>4</xdr:row>
      <xdr:rowOff>56030</xdr:rowOff>
    </xdr:to>
    <xdr:sp macro="[0]!현재_통합_문서.UpdateDailyReport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F056430-05EF-A1AD-AAD0-75C8C479758B}"/>
            </a:ext>
          </a:extLst>
        </xdr:cNvPr>
        <xdr:cNvSpPr/>
      </xdr:nvSpPr>
      <xdr:spPr>
        <a:xfrm>
          <a:off x="11329147" y="235324"/>
          <a:ext cx="1748118" cy="7956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6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V17" sqref="V17"/>
    </sheetView>
  </sheetViews>
  <sheetFormatPr defaultRowHeight="16.5" x14ac:dyDescent="0.3"/>
  <cols>
    <col min="2" max="2" width="9.5" bestFit="1" customWidth="1"/>
    <col min="3" max="3" width="9.125" customWidth="1"/>
    <col min="4" max="6" width="9.875" customWidth="1"/>
    <col min="12" max="12" width="9.375" bestFit="1" customWidth="1"/>
  </cols>
  <sheetData>
    <row r="1" spans="2:15" x14ac:dyDescent="0.3">
      <c r="B1" t="s">
        <v>26</v>
      </c>
      <c r="C1" t="s">
        <v>27</v>
      </c>
    </row>
    <row r="2" spans="2:15" ht="26.25" x14ac:dyDescent="0.3">
      <c r="B2" s="9">
        <v>2024</v>
      </c>
      <c r="C2" s="9">
        <v>7</v>
      </c>
      <c r="D2" s="42" t="s">
        <v>15</v>
      </c>
      <c r="E2" s="43"/>
      <c r="F2" s="43"/>
      <c r="G2" s="43"/>
      <c r="H2" s="43"/>
      <c r="I2" s="43"/>
      <c r="J2" s="43" t="s">
        <v>16</v>
      </c>
      <c r="K2" s="43"/>
      <c r="L2" s="43"/>
      <c r="M2" s="43"/>
      <c r="N2" s="43"/>
      <c r="O2" s="43"/>
    </row>
    <row r="3" spans="2:15" x14ac:dyDescent="0.3">
      <c r="B3" s="10" t="s">
        <v>18</v>
      </c>
      <c r="C3" s="10" t="s">
        <v>25</v>
      </c>
      <c r="D3" s="2" t="s">
        <v>19</v>
      </c>
      <c r="E3" s="2" t="s">
        <v>22</v>
      </c>
      <c r="F3" s="3" t="s">
        <v>23</v>
      </c>
      <c r="G3" s="4" t="s">
        <v>20</v>
      </c>
      <c r="H3" s="4" t="s">
        <v>21</v>
      </c>
      <c r="I3" s="5" t="s">
        <v>17</v>
      </c>
      <c r="J3" s="2" t="s">
        <v>19</v>
      </c>
      <c r="K3" s="2" t="s">
        <v>22</v>
      </c>
      <c r="L3" s="3" t="s">
        <v>23</v>
      </c>
      <c r="M3" s="4" t="s">
        <v>20</v>
      </c>
      <c r="N3" s="4" t="s">
        <v>21</v>
      </c>
      <c r="O3" s="5" t="s">
        <v>17</v>
      </c>
    </row>
    <row r="4" spans="2:15" x14ac:dyDescent="0.3">
      <c r="B4" s="41">
        <f>DATE(B2,C2,1)</f>
        <v>45474</v>
      </c>
      <c r="C4" s="40" t="str">
        <f>TEXT(B4,"M.D")</f>
        <v>7.1</v>
      </c>
      <c r="D4" s="6">
        <f t="shared" ref="D4:D31" ca="1" si="0">INDIRECT($C4&amp;"!H4")</f>
        <v>1096</v>
      </c>
      <c r="E4" s="6">
        <f t="shared" ref="E4:E31" ca="1" si="1">INDIRECT($C4&amp;"!H5")</f>
        <v>462</v>
      </c>
      <c r="F4" s="7">
        <f ca="1">SUM(D4:E4)</f>
        <v>1558</v>
      </c>
      <c r="G4" s="11">
        <f t="shared" ref="G4:G31" ca="1" si="2">INDIRECT($C4&amp;"!I4")</f>
        <v>0.70346598202824129</v>
      </c>
      <c r="H4" s="11">
        <f t="shared" ref="H4:H31" ca="1" si="3">INDIRECT($C4&amp;"!I5")</f>
        <v>0.29653401797175866</v>
      </c>
      <c r="I4" s="8">
        <f ca="1">SUM(G4:H4)</f>
        <v>1</v>
      </c>
      <c r="J4" s="6">
        <f t="shared" ref="J4:J31" ca="1" si="4">INDIRECT($C4&amp;"!L4")</f>
        <v>1267</v>
      </c>
      <c r="K4" s="6">
        <f t="shared" ref="K4:K31" ca="1" si="5">INDIRECT($C4&amp;"!L5")</f>
        <v>525</v>
      </c>
      <c r="L4" s="7">
        <f ca="1">SUM(J4:K4)</f>
        <v>1792</v>
      </c>
      <c r="M4" s="11">
        <f t="shared" ref="M4:M31" ca="1" si="6">INDIRECT($C4&amp;"!M4")</f>
        <v>0.70703125</v>
      </c>
      <c r="N4" s="11">
        <f t="shared" ref="N4:N31" ca="1" si="7">INDIRECT($C4&amp;"!M5")</f>
        <v>0.29296875</v>
      </c>
      <c r="O4" s="8">
        <f ca="1">SUM(M4:N4)</f>
        <v>1</v>
      </c>
    </row>
    <row r="5" spans="2:15" x14ac:dyDescent="0.3">
      <c r="B5" s="41">
        <f>B4+1</f>
        <v>45475</v>
      </c>
      <c r="C5" s="40" t="str">
        <f>TEXT(B5,"M.D")</f>
        <v>7.2</v>
      </c>
      <c r="D5" s="6">
        <f t="shared" ca="1" si="0"/>
        <v>1025</v>
      </c>
      <c r="E5" s="6">
        <f t="shared" ca="1" si="1"/>
        <v>379</v>
      </c>
      <c r="F5" s="7">
        <f t="shared" ref="F5:F34" ca="1" si="8">SUM(D5:E5)</f>
        <v>1404</v>
      </c>
      <c r="G5" s="11">
        <f t="shared" ca="1" si="2"/>
        <v>0.73005698005698005</v>
      </c>
      <c r="H5" s="11">
        <f t="shared" ca="1" si="3"/>
        <v>0.26994301994301995</v>
      </c>
      <c r="I5" s="8">
        <f t="shared" ref="I5:I34" ca="1" si="9">SUM(G5:H5)</f>
        <v>1</v>
      </c>
      <c r="J5" s="6">
        <f t="shared" ca="1" si="4"/>
        <v>1193</v>
      </c>
      <c r="K5" s="6">
        <f t="shared" ca="1" si="5"/>
        <v>458</v>
      </c>
      <c r="L5" s="7">
        <f t="shared" ref="L5:L34" ca="1" si="10">SUM(J5:K5)</f>
        <v>1651</v>
      </c>
      <c r="M5" s="11">
        <f t="shared" ca="1" si="6"/>
        <v>0.72259236826165962</v>
      </c>
      <c r="N5" s="11">
        <f t="shared" ca="1" si="7"/>
        <v>0.27740763173834038</v>
      </c>
      <c r="O5" s="8">
        <f t="shared" ref="O5:O34" ca="1" si="11">SUM(M5:N5)</f>
        <v>1</v>
      </c>
    </row>
    <row r="6" spans="2:15" x14ac:dyDescent="0.3">
      <c r="B6" s="41">
        <f t="shared" ref="B6:B31" si="12">B5+1</f>
        <v>45476</v>
      </c>
      <c r="C6" s="40" t="str">
        <f t="shared" ref="C6:C31" si="13">TEXT(B6,"M.D")</f>
        <v>7.3</v>
      </c>
      <c r="D6" s="6">
        <f t="shared" ca="1" si="0"/>
        <v>1057</v>
      </c>
      <c r="E6" s="6">
        <f t="shared" ca="1" si="1"/>
        <v>336</v>
      </c>
      <c r="F6" s="7">
        <f t="shared" ca="1" si="8"/>
        <v>1393</v>
      </c>
      <c r="G6" s="11">
        <f t="shared" ca="1" si="2"/>
        <v>0.75879396984924619</v>
      </c>
      <c r="H6" s="11">
        <f t="shared" ca="1" si="3"/>
        <v>0.24120603015075376</v>
      </c>
      <c r="I6" s="8">
        <f t="shared" ca="1" si="9"/>
        <v>1</v>
      </c>
      <c r="J6" s="6">
        <f t="shared" ca="1" si="4"/>
        <v>1230</v>
      </c>
      <c r="K6" s="6">
        <f t="shared" ca="1" si="5"/>
        <v>372</v>
      </c>
      <c r="L6" s="7">
        <f t="shared" ca="1" si="10"/>
        <v>1602</v>
      </c>
      <c r="M6" s="11">
        <f t="shared" ca="1" si="6"/>
        <v>0.76779026217228463</v>
      </c>
      <c r="N6" s="11">
        <f t="shared" ca="1" si="7"/>
        <v>0.23220973782771537</v>
      </c>
      <c r="O6" s="8">
        <f t="shared" ca="1" si="11"/>
        <v>1</v>
      </c>
    </row>
    <row r="7" spans="2:15" x14ac:dyDescent="0.3">
      <c r="B7" s="41">
        <f t="shared" si="12"/>
        <v>45477</v>
      </c>
      <c r="C7" s="40" t="str">
        <f t="shared" si="13"/>
        <v>7.4</v>
      </c>
      <c r="D7" s="6">
        <f t="shared" ca="1" si="0"/>
        <v>1092</v>
      </c>
      <c r="E7" s="6">
        <f t="shared" ca="1" si="1"/>
        <v>488</v>
      </c>
      <c r="F7" s="7">
        <f t="shared" ca="1" si="8"/>
        <v>1580</v>
      </c>
      <c r="G7" s="11">
        <f t="shared" ca="1" si="2"/>
        <v>0.69113924050632913</v>
      </c>
      <c r="H7" s="11">
        <f t="shared" ca="1" si="3"/>
        <v>0.30886075949367087</v>
      </c>
      <c r="I7" s="8">
        <f t="shared" ca="1" si="9"/>
        <v>1</v>
      </c>
      <c r="J7" s="6">
        <f t="shared" ca="1" si="4"/>
        <v>1310</v>
      </c>
      <c r="K7" s="6">
        <f t="shared" ca="1" si="5"/>
        <v>543</v>
      </c>
      <c r="L7" s="7">
        <f t="shared" ca="1" si="10"/>
        <v>1853</v>
      </c>
      <c r="M7" s="11">
        <f t="shared" ca="1" si="6"/>
        <v>0.70696168375607127</v>
      </c>
      <c r="N7" s="11">
        <f t="shared" ca="1" si="7"/>
        <v>0.29303831624392879</v>
      </c>
      <c r="O7" s="8">
        <f t="shared" ca="1" si="11"/>
        <v>1</v>
      </c>
    </row>
    <row r="8" spans="2:15" x14ac:dyDescent="0.3">
      <c r="B8" s="41">
        <f t="shared" si="12"/>
        <v>45478</v>
      </c>
      <c r="C8" s="40" t="str">
        <f t="shared" si="13"/>
        <v>7.5</v>
      </c>
      <c r="D8" s="6">
        <f t="shared" ca="1" si="0"/>
        <v>1038</v>
      </c>
      <c r="E8" s="6">
        <f t="shared" ca="1" si="1"/>
        <v>477</v>
      </c>
      <c r="F8" s="7">
        <f t="shared" ca="1" si="8"/>
        <v>1515</v>
      </c>
      <c r="G8" s="11">
        <f t="shared" ca="1" si="2"/>
        <v>0.6851485148514852</v>
      </c>
      <c r="H8" s="11">
        <f t="shared" ca="1" si="3"/>
        <v>0.31485148514851485</v>
      </c>
      <c r="I8" s="8">
        <f t="shared" ca="1" si="9"/>
        <v>1</v>
      </c>
      <c r="J8" s="6">
        <f t="shared" ca="1" si="4"/>
        <v>1209</v>
      </c>
      <c r="K8" s="6">
        <f t="shared" ca="1" si="5"/>
        <v>556</v>
      </c>
      <c r="L8" s="7">
        <f t="shared" ca="1" si="10"/>
        <v>1765</v>
      </c>
      <c r="M8" s="11">
        <f t="shared" ca="1" si="6"/>
        <v>0.68498583569405103</v>
      </c>
      <c r="N8" s="11">
        <f t="shared" ca="1" si="7"/>
        <v>0.31501416430594903</v>
      </c>
      <c r="O8" s="8">
        <f t="shared" ca="1" si="11"/>
        <v>1</v>
      </c>
    </row>
    <row r="9" spans="2:15" x14ac:dyDescent="0.3">
      <c r="B9" s="41">
        <f t="shared" si="12"/>
        <v>45479</v>
      </c>
      <c r="C9" s="40" t="str">
        <f t="shared" si="13"/>
        <v>7.6</v>
      </c>
      <c r="D9" s="6">
        <f t="shared" ca="1" si="0"/>
        <v>505</v>
      </c>
      <c r="E9" s="6">
        <f t="shared" ca="1" si="1"/>
        <v>2752</v>
      </c>
      <c r="F9" s="7">
        <f t="shared" ca="1" si="8"/>
        <v>3257</v>
      </c>
      <c r="G9" s="11">
        <f t="shared" ca="1" si="2"/>
        <v>0.15505066011667179</v>
      </c>
      <c r="H9" s="11">
        <f t="shared" ca="1" si="3"/>
        <v>0.84494933988332821</v>
      </c>
      <c r="I9" s="8">
        <f t="shared" ca="1" si="9"/>
        <v>1</v>
      </c>
      <c r="J9" s="6">
        <f t="shared" ca="1" si="4"/>
        <v>568</v>
      </c>
      <c r="K9" s="6">
        <f t="shared" ca="1" si="5"/>
        <v>3041</v>
      </c>
      <c r="L9" s="7">
        <f t="shared" ca="1" si="10"/>
        <v>3609</v>
      </c>
      <c r="M9" s="11">
        <f t="shared" ca="1" si="6"/>
        <v>0.15738431698531449</v>
      </c>
      <c r="N9" s="11">
        <f t="shared" ca="1" si="7"/>
        <v>0.84261568301468548</v>
      </c>
      <c r="O9" s="8">
        <f t="shared" ca="1" si="11"/>
        <v>1</v>
      </c>
    </row>
    <row r="10" spans="2:15" x14ac:dyDescent="0.3">
      <c r="B10" s="41">
        <f t="shared" si="12"/>
        <v>45480</v>
      </c>
      <c r="C10" s="40" t="str">
        <f t="shared" si="13"/>
        <v>7.7</v>
      </c>
      <c r="D10" s="6">
        <f t="shared" ca="1" si="0"/>
        <v>838</v>
      </c>
      <c r="E10" s="6">
        <f t="shared" ca="1" si="1"/>
        <v>3774</v>
      </c>
      <c r="F10" s="7">
        <f t="shared" ca="1" si="8"/>
        <v>4612</v>
      </c>
      <c r="G10" s="11">
        <f t="shared" ca="1" si="2"/>
        <v>0.18169991326973114</v>
      </c>
      <c r="H10" s="11">
        <f t="shared" ca="1" si="3"/>
        <v>0.81830008673026888</v>
      </c>
      <c r="I10" s="8">
        <f t="shared" ca="1" si="9"/>
        <v>1</v>
      </c>
      <c r="J10" s="6">
        <f t="shared" ca="1" si="4"/>
        <v>963</v>
      </c>
      <c r="K10" s="6">
        <f t="shared" ca="1" si="5"/>
        <v>4187</v>
      </c>
      <c r="L10" s="7">
        <f t="shared" ca="1" si="10"/>
        <v>5150</v>
      </c>
      <c r="M10" s="11">
        <f t="shared" ca="1" si="6"/>
        <v>0.18699029126213593</v>
      </c>
      <c r="N10" s="11">
        <f t="shared" ca="1" si="7"/>
        <v>0.81300970873786405</v>
      </c>
      <c r="O10" s="8">
        <f t="shared" ca="1" si="11"/>
        <v>1</v>
      </c>
    </row>
    <row r="11" spans="2:15" x14ac:dyDescent="0.3">
      <c r="B11" s="41">
        <f t="shared" si="12"/>
        <v>45481</v>
      </c>
      <c r="C11" s="40" t="str">
        <f t="shared" si="13"/>
        <v>7.8</v>
      </c>
      <c r="D11" s="6">
        <f t="shared" ca="1" si="0"/>
        <v>1391</v>
      </c>
      <c r="E11" s="6">
        <f t="shared" ca="1" si="1"/>
        <v>752</v>
      </c>
      <c r="F11" s="7">
        <f t="shared" ca="1" si="8"/>
        <v>2143</v>
      </c>
      <c r="G11" s="11">
        <f t="shared" ca="1" si="2"/>
        <v>0.64909006066262254</v>
      </c>
      <c r="H11" s="11">
        <f t="shared" ca="1" si="3"/>
        <v>0.35090993933737752</v>
      </c>
      <c r="I11" s="8">
        <f t="shared" ca="1" si="9"/>
        <v>1</v>
      </c>
      <c r="J11" s="6">
        <f t="shared" ca="1" si="4"/>
        <v>1642</v>
      </c>
      <c r="K11" s="6">
        <f t="shared" ca="1" si="5"/>
        <v>918</v>
      </c>
      <c r="L11" s="7">
        <f t="shared" ca="1" si="10"/>
        <v>2560</v>
      </c>
      <c r="M11" s="11">
        <f t="shared" ca="1" si="6"/>
        <v>0.64140624999999996</v>
      </c>
      <c r="N11" s="11">
        <f t="shared" ca="1" si="7"/>
        <v>0.35859374999999999</v>
      </c>
      <c r="O11" s="8">
        <f t="shared" ca="1" si="11"/>
        <v>1</v>
      </c>
    </row>
    <row r="12" spans="2:15" x14ac:dyDescent="0.3">
      <c r="B12" s="41">
        <f t="shared" si="12"/>
        <v>45482</v>
      </c>
      <c r="C12" s="40" t="str">
        <f t="shared" si="13"/>
        <v>7.9</v>
      </c>
      <c r="D12" s="6">
        <f t="shared" ca="1" si="0"/>
        <v>1346</v>
      </c>
      <c r="E12" s="6">
        <f t="shared" ca="1" si="1"/>
        <v>718</v>
      </c>
      <c r="F12" s="7">
        <f t="shared" ca="1" si="8"/>
        <v>2064</v>
      </c>
      <c r="G12" s="11">
        <f t="shared" ca="1" si="2"/>
        <v>0.65213178294573648</v>
      </c>
      <c r="H12" s="11">
        <f t="shared" ca="1" si="3"/>
        <v>0.34786821705426357</v>
      </c>
      <c r="I12" s="8">
        <f t="shared" ca="1" si="9"/>
        <v>1</v>
      </c>
      <c r="J12" s="6">
        <f t="shared" ca="1" si="4"/>
        <v>1566</v>
      </c>
      <c r="K12" s="6">
        <f t="shared" ca="1" si="5"/>
        <v>835</v>
      </c>
      <c r="L12" s="7">
        <f t="shared" ca="1" si="10"/>
        <v>2401</v>
      </c>
      <c r="M12" s="11">
        <f t="shared" ca="1" si="6"/>
        <v>0.65222823823406917</v>
      </c>
      <c r="N12" s="11">
        <f t="shared" ca="1" si="7"/>
        <v>0.34777176176593089</v>
      </c>
      <c r="O12" s="8">
        <f t="shared" ca="1" si="11"/>
        <v>1</v>
      </c>
    </row>
    <row r="13" spans="2:15" x14ac:dyDescent="0.3">
      <c r="B13" s="41">
        <f t="shared" si="12"/>
        <v>45483</v>
      </c>
      <c r="C13" s="40" t="str">
        <f t="shared" si="13"/>
        <v>7.10</v>
      </c>
      <c r="D13" s="6">
        <f t="shared" ca="1" si="0"/>
        <v>1459</v>
      </c>
      <c r="E13" s="6">
        <f t="shared" ca="1" si="1"/>
        <v>814</v>
      </c>
      <c r="F13" s="7">
        <f t="shared" ca="1" si="8"/>
        <v>2273</v>
      </c>
      <c r="G13" s="11">
        <f t="shared" ca="1" si="2"/>
        <v>0.64188297404311478</v>
      </c>
      <c r="H13" s="11">
        <f t="shared" ca="1" si="3"/>
        <v>0.35811702595688516</v>
      </c>
      <c r="I13" s="8">
        <f t="shared" ca="1" si="9"/>
        <v>1</v>
      </c>
      <c r="J13" s="6">
        <f t="shared" ca="1" si="4"/>
        <v>1727</v>
      </c>
      <c r="K13" s="6">
        <f t="shared" ca="1" si="5"/>
        <v>985</v>
      </c>
      <c r="L13" s="7">
        <f t="shared" ca="1" si="10"/>
        <v>2712</v>
      </c>
      <c r="M13" s="11">
        <f t="shared" ca="1" si="6"/>
        <v>0.63679941002949858</v>
      </c>
      <c r="N13" s="11">
        <f t="shared" ca="1" si="7"/>
        <v>0.36320058997050148</v>
      </c>
      <c r="O13" s="8">
        <f t="shared" ca="1" si="11"/>
        <v>1</v>
      </c>
    </row>
    <row r="14" spans="2:15" x14ac:dyDescent="0.3">
      <c r="B14" s="41">
        <f t="shared" si="12"/>
        <v>45484</v>
      </c>
      <c r="C14" s="40" t="str">
        <f t="shared" si="13"/>
        <v>7.11</v>
      </c>
      <c r="D14" s="6">
        <f t="shared" ca="1" si="0"/>
        <v>1095</v>
      </c>
      <c r="E14" s="6">
        <f t="shared" ca="1" si="1"/>
        <v>459</v>
      </c>
      <c r="F14" s="7">
        <f t="shared" ca="1" si="8"/>
        <v>1554</v>
      </c>
      <c r="G14" s="11">
        <f t="shared" ca="1" si="2"/>
        <v>0.70463320463320467</v>
      </c>
      <c r="H14" s="11">
        <f t="shared" ca="1" si="3"/>
        <v>0.29536679536679539</v>
      </c>
      <c r="I14" s="8">
        <f t="shared" ca="1" si="9"/>
        <v>1</v>
      </c>
      <c r="J14" s="6">
        <f t="shared" ca="1" si="4"/>
        <v>1275</v>
      </c>
      <c r="K14" s="6">
        <f t="shared" ca="1" si="5"/>
        <v>571</v>
      </c>
      <c r="L14" s="7">
        <f t="shared" ca="1" si="10"/>
        <v>1846</v>
      </c>
      <c r="M14" s="11">
        <f t="shared" ca="1" si="6"/>
        <v>0.69068255687974001</v>
      </c>
      <c r="N14" s="11">
        <f t="shared" ca="1" si="7"/>
        <v>0.30931744312026005</v>
      </c>
      <c r="O14" s="8">
        <f t="shared" ca="1" si="11"/>
        <v>1</v>
      </c>
    </row>
    <row r="15" spans="2:15" x14ac:dyDescent="0.3">
      <c r="B15" s="41">
        <f t="shared" si="12"/>
        <v>45485</v>
      </c>
      <c r="C15" s="40" t="str">
        <f t="shared" si="13"/>
        <v>7.12</v>
      </c>
      <c r="D15" s="6">
        <f t="shared" ca="1" si="0"/>
        <v>1102</v>
      </c>
      <c r="E15" s="6">
        <f t="shared" ca="1" si="1"/>
        <v>479</v>
      </c>
      <c r="F15" s="7">
        <f t="shared" ca="1" si="8"/>
        <v>1581</v>
      </c>
      <c r="G15" s="11">
        <f t="shared" ca="1" si="2"/>
        <v>0.69702719797596457</v>
      </c>
      <c r="H15" s="11">
        <f t="shared" ca="1" si="3"/>
        <v>0.30297280202403543</v>
      </c>
      <c r="I15" s="8">
        <f t="shared" ca="1" si="9"/>
        <v>1</v>
      </c>
      <c r="J15" s="6">
        <f t="shared" ca="1" si="4"/>
        <v>1293</v>
      </c>
      <c r="K15" s="6">
        <f t="shared" ca="1" si="5"/>
        <v>545</v>
      </c>
      <c r="L15" s="7">
        <f t="shared" ca="1" si="10"/>
        <v>1838</v>
      </c>
      <c r="M15" s="11">
        <f t="shared" ca="1" si="6"/>
        <v>0.7034820457018498</v>
      </c>
      <c r="N15" s="11">
        <f t="shared" ca="1" si="7"/>
        <v>0.29651795429815014</v>
      </c>
      <c r="O15" s="8">
        <f t="shared" ca="1" si="11"/>
        <v>1</v>
      </c>
    </row>
    <row r="16" spans="2:15" x14ac:dyDescent="0.3">
      <c r="B16" s="41">
        <f t="shared" si="12"/>
        <v>45486</v>
      </c>
      <c r="C16" s="40" t="str">
        <f t="shared" si="13"/>
        <v>7.13</v>
      </c>
      <c r="D16" s="6">
        <f t="shared" ca="1" si="0"/>
        <v>379</v>
      </c>
      <c r="E16" s="6">
        <f t="shared" ca="1" si="1"/>
        <v>360</v>
      </c>
      <c r="F16" s="7">
        <f t="shared" ca="1" si="8"/>
        <v>739</v>
      </c>
      <c r="G16" s="11">
        <f t="shared" ca="1" si="2"/>
        <v>0.51285520974289578</v>
      </c>
      <c r="H16" s="11">
        <f t="shared" ca="1" si="3"/>
        <v>0.48714479025710422</v>
      </c>
      <c r="I16" s="8">
        <f t="shared" ca="1" si="9"/>
        <v>1</v>
      </c>
      <c r="J16" s="6">
        <f t="shared" ca="1" si="4"/>
        <v>451</v>
      </c>
      <c r="K16" s="6">
        <f t="shared" ca="1" si="5"/>
        <v>398</v>
      </c>
      <c r="L16" s="7">
        <f t="shared" ca="1" si="10"/>
        <v>849</v>
      </c>
      <c r="M16" s="11">
        <f t="shared" ca="1" si="6"/>
        <v>0.53121319199057715</v>
      </c>
      <c r="N16" s="11">
        <f t="shared" ca="1" si="7"/>
        <v>0.46878680800942285</v>
      </c>
      <c r="O16" s="8">
        <f t="shared" ca="1" si="11"/>
        <v>1</v>
      </c>
    </row>
    <row r="17" spans="2:15" x14ac:dyDescent="0.3">
      <c r="B17" s="41">
        <f t="shared" si="12"/>
        <v>45487</v>
      </c>
      <c r="C17" s="40" t="str">
        <f t="shared" si="13"/>
        <v>7.14</v>
      </c>
      <c r="D17" s="6">
        <f t="shared" ca="1" si="0"/>
        <v>456</v>
      </c>
      <c r="E17" s="6">
        <f t="shared" ca="1" si="1"/>
        <v>272</v>
      </c>
      <c r="F17" s="7">
        <f t="shared" ca="1" si="8"/>
        <v>728</v>
      </c>
      <c r="G17" s="11">
        <f t="shared" ca="1" si="2"/>
        <v>0.62637362637362637</v>
      </c>
      <c r="H17" s="11">
        <f t="shared" ca="1" si="3"/>
        <v>0.37362637362637363</v>
      </c>
      <c r="I17" s="8">
        <f t="shared" ca="1" si="9"/>
        <v>1</v>
      </c>
      <c r="J17" s="6">
        <f t="shared" ca="1" si="4"/>
        <v>542</v>
      </c>
      <c r="K17" s="6">
        <f t="shared" ca="1" si="5"/>
        <v>316</v>
      </c>
      <c r="L17" s="7">
        <f t="shared" ca="1" si="10"/>
        <v>858</v>
      </c>
      <c r="M17" s="11">
        <f t="shared" ca="1" si="6"/>
        <v>0.63170163170163174</v>
      </c>
      <c r="N17" s="11">
        <f t="shared" ca="1" si="7"/>
        <v>0.36829836829836832</v>
      </c>
      <c r="O17" s="8">
        <f t="shared" ca="1" si="11"/>
        <v>1</v>
      </c>
    </row>
    <row r="18" spans="2:15" x14ac:dyDescent="0.3">
      <c r="B18" s="41">
        <f t="shared" si="12"/>
        <v>45488</v>
      </c>
      <c r="C18" s="40" t="str">
        <f t="shared" si="13"/>
        <v>7.15</v>
      </c>
      <c r="D18" s="6">
        <f t="shared" ca="1" si="0"/>
        <v>1404</v>
      </c>
      <c r="E18" s="6">
        <f t="shared" ca="1" si="1"/>
        <v>424</v>
      </c>
      <c r="F18" s="7">
        <f t="shared" ca="1" si="8"/>
        <v>1828</v>
      </c>
      <c r="G18" s="11">
        <f t="shared" ca="1" si="2"/>
        <v>0.76805251641137851</v>
      </c>
      <c r="H18" s="11">
        <f t="shared" ca="1" si="3"/>
        <v>0.23194748358862144</v>
      </c>
      <c r="I18" s="8">
        <f t="shared" ca="1" si="9"/>
        <v>1</v>
      </c>
      <c r="J18" s="6">
        <f t="shared" ca="1" si="4"/>
        <v>1802</v>
      </c>
      <c r="K18" s="6">
        <f t="shared" ca="1" si="5"/>
        <v>495</v>
      </c>
      <c r="L18" s="7">
        <f t="shared" ca="1" si="10"/>
        <v>2297</v>
      </c>
      <c r="M18" s="11">
        <f t="shared" ca="1" si="6"/>
        <v>0.78450152372659987</v>
      </c>
      <c r="N18" s="11">
        <f t="shared" ca="1" si="7"/>
        <v>0.21549847627340007</v>
      </c>
      <c r="O18" s="8">
        <f t="shared" ca="1" si="11"/>
        <v>1</v>
      </c>
    </row>
    <row r="19" spans="2:15" x14ac:dyDescent="0.3">
      <c r="B19" s="41">
        <f t="shared" si="12"/>
        <v>45489</v>
      </c>
      <c r="C19" s="40" t="str">
        <f t="shared" si="13"/>
        <v>7.16</v>
      </c>
      <c r="D19" s="6">
        <f t="shared" ca="1" si="0"/>
        <v>1405</v>
      </c>
      <c r="E19" s="6">
        <f t="shared" ca="1" si="1"/>
        <v>505</v>
      </c>
      <c r="F19" s="7">
        <f t="shared" ca="1" si="8"/>
        <v>1910</v>
      </c>
      <c r="G19" s="11">
        <f t="shared" ca="1" si="2"/>
        <v>0.73560209424083767</v>
      </c>
      <c r="H19" s="11">
        <f t="shared" ca="1" si="3"/>
        <v>0.26439790575916228</v>
      </c>
      <c r="I19" s="8">
        <f t="shared" ca="1" si="9"/>
        <v>1</v>
      </c>
      <c r="J19" s="6">
        <f t="shared" ca="1" si="4"/>
        <v>1737</v>
      </c>
      <c r="K19" s="6">
        <f t="shared" ca="1" si="5"/>
        <v>621</v>
      </c>
      <c r="L19" s="7">
        <f t="shared" ca="1" si="10"/>
        <v>2358</v>
      </c>
      <c r="M19" s="11">
        <f t="shared" ca="1" si="6"/>
        <v>0.73664122137404575</v>
      </c>
      <c r="N19" s="11">
        <f t="shared" ca="1" si="7"/>
        <v>0.26335877862595419</v>
      </c>
      <c r="O19" s="8">
        <f t="shared" ca="1" si="11"/>
        <v>1</v>
      </c>
    </row>
    <row r="20" spans="2:15" x14ac:dyDescent="0.3">
      <c r="B20" s="41">
        <f t="shared" si="12"/>
        <v>45490</v>
      </c>
      <c r="C20" s="40" t="str">
        <f t="shared" si="13"/>
        <v>7.17</v>
      </c>
      <c r="D20" s="6">
        <f t="shared" ca="1" si="0"/>
        <v>1361</v>
      </c>
      <c r="E20" s="6">
        <f t="shared" ca="1" si="1"/>
        <v>586</v>
      </c>
      <c r="F20" s="7">
        <f t="shared" ca="1" si="8"/>
        <v>1947</v>
      </c>
      <c r="G20" s="11">
        <f t="shared" ca="1" si="2"/>
        <v>0.69902413970210575</v>
      </c>
      <c r="H20" s="11">
        <f t="shared" ca="1" si="3"/>
        <v>0.30097586029789419</v>
      </c>
      <c r="I20" s="8">
        <f t="shared" ca="1" si="9"/>
        <v>1</v>
      </c>
      <c r="J20" s="6">
        <f t="shared" ca="1" si="4"/>
        <v>1686</v>
      </c>
      <c r="K20" s="6">
        <f t="shared" ca="1" si="5"/>
        <v>701</v>
      </c>
      <c r="L20" s="7">
        <f t="shared" ca="1" si="10"/>
        <v>2387</v>
      </c>
      <c r="M20" s="11">
        <f t="shared" ca="1" si="6"/>
        <v>0.7063259321323837</v>
      </c>
      <c r="N20" s="11">
        <f t="shared" ca="1" si="7"/>
        <v>0.29367406786761624</v>
      </c>
      <c r="O20" s="8">
        <f t="shared" ca="1" si="11"/>
        <v>1</v>
      </c>
    </row>
    <row r="21" spans="2:15" x14ac:dyDescent="0.3">
      <c r="B21" s="41">
        <f t="shared" si="12"/>
        <v>45491</v>
      </c>
      <c r="C21" s="40" t="str">
        <f t="shared" si="13"/>
        <v>7.18</v>
      </c>
      <c r="D21" s="6">
        <f t="shared" ca="1" si="0"/>
        <v>1544</v>
      </c>
      <c r="E21" s="6">
        <f t="shared" ca="1" si="1"/>
        <v>465</v>
      </c>
      <c r="F21" s="7">
        <f t="shared" ca="1" si="8"/>
        <v>2009</v>
      </c>
      <c r="G21" s="11">
        <f t="shared" ca="1" si="2"/>
        <v>0.7685415629666501</v>
      </c>
      <c r="H21" s="11">
        <f t="shared" ca="1" si="3"/>
        <v>0.23145843703334992</v>
      </c>
      <c r="I21" s="8">
        <f t="shared" ca="1" si="9"/>
        <v>1</v>
      </c>
      <c r="J21" s="6">
        <f t="shared" ca="1" si="4"/>
        <v>1889</v>
      </c>
      <c r="K21" s="6">
        <f t="shared" ca="1" si="5"/>
        <v>611</v>
      </c>
      <c r="L21" s="7">
        <f t="shared" ca="1" si="10"/>
        <v>2500</v>
      </c>
      <c r="M21" s="11">
        <f t="shared" ca="1" si="6"/>
        <v>0.75560000000000005</v>
      </c>
      <c r="N21" s="11">
        <f t="shared" ca="1" si="7"/>
        <v>0.24440000000000001</v>
      </c>
      <c r="O21" s="8">
        <f t="shared" ca="1" si="11"/>
        <v>1</v>
      </c>
    </row>
    <row r="22" spans="2:15" x14ac:dyDescent="0.3">
      <c r="B22" s="41">
        <f t="shared" si="12"/>
        <v>45492</v>
      </c>
      <c r="C22" s="40" t="str">
        <f t="shared" si="13"/>
        <v>7.19</v>
      </c>
      <c r="D22" s="6">
        <f t="shared" ca="1" si="0"/>
        <v>1196</v>
      </c>
      <c r="E22" s="6">
        <f t="shared" ca="1" si="1"/>
        <v>410</v>
      </c>
      <c r="F22" s="7">
        <f t="shared" ca="1" si="8"/>
        <v>1606</v>
      </c>
      <c r="G22" s="11">
        <f t="shared" ca="1" si="2"/>
        <v>0.74470734744707345</v>
      </c>
      <c r="H22" s="11">
        <f t="shared" ca="1" si="3"/>
        <v>0.25529265255292655</v>
      </c>
      <c r="I22" s="8">
        <f t="shared" ca="1" si="9"/>
        <v>1</v>
      </c>
      <c r="J22" s="6">
        <f t="shared" ca="1" si="4"/>
        <v>1365</v>
      </c>
      <c r="K22" s="6">
        <f t="shared" ca="1" si="5"/>
        <v>494</v>
      </c>
      <c r="L22" s="7">
        <f t="shared" ca="1" si="10"/>
        <v>1859</v>
      </c>
      <c r="M22" s="11">
        <f t="shared" ca="1" si="6"/>
        <v>0.73426573426573427</v>
      </c>
      <c r="N22" s="11">
        <f t="shared" ca="1" si="7"/>
        <v>0.26573426573426573</v>
      </c>
      <c r="O22" s="8">
        <f t="shared" ca="1" si="11"/>
        <v>1</v>
      </c>
    </row>
    <row r="23" spans="2:15" x14ac:dyDescent="0.3">
      <c r="B23" s="41">
        <f t="shared" si="12"/>
        <v>45493</v>
      </c>
      <c r="C23" s="40" t="str">
        <f t="shared" si="13"/>
        <v>7.20</v>
      </c>
      <c r="D23" s="6">
        <f t="shared" ca="1" si="0"/>
        <v>361</v>
      </c>
      <c r="E23" s="6">
        <f t="shared" ca="1" si="1"/>
        <v>334</v>
      </c>
      <c r="F23" s="7">
        <f t="shared" ca="1" si="8"/>
        <v>695</v>
      </c>
      <c r="G23" s="11">
        <f t="shared" ca="1" si="2"/>
        <v>0.51942446043165469</v>
      </c>
      <c r="H23" s="11">
        <f t="shared" ca="1" si="3"/>
        <v>0.48057553956834531</v>
      </c>
      <c r="I23" s="8">
        <f t="shared" ca="1" si="9"/>
        <v>1</v>
      </c>
      <c r="J23" s="6">
        <f t="shared" ca="1" si="4"/>
        <v>420</v>
      </c>
      <c r="K23" s="6">
        <f t="shared" ca="1" si="5"/>
        <v>378</v>
      </c>
      <c r="L23" s="7">
        <f t="shared" ca="1" si="10"/>
        <v>798</v>
      </c>
      <c r="M23" s="11">
        <f t="shared" ca="1" si="6"/>
        <v>0.52631578947368418</v>
      </c>
      <c r="N23" s="11">
        <f t="shared" ca="1" si="7"/>
        <v>0.47368421052631576</v>
      </c>
      <c r="O23" s="8">
        <f t="shared" ca="1" si="11"/>
        <v>1</v>
      </c>
    </row>
    <row r="24" spans="2:15" x14ac:dyDescent="0.3">
      <c r="B24" s="41">
        <f t="shared" si="12"/>
        <v>45494</v>
      </c>
      <c r="C24" s="40" t="str">
        <f t="shared" si="13"/>
        <v>7.21</v>
      </c>
      <c r="D24" s="6">
        <f t="shared" ca="1" si="0"/>
        <v>399</v>
      </c>
      <c r="E24" s="6">
        <f t="shared" ca="1" si="1"/>
        <v>315</v>
      </c>
      <c r="F24" s="7">
        <f t="shared" ca="1" si="8"/>
        <v>714</v>
      </c>
      <c r="G24" s="11">
        <f t="shared" ca="1" si="2"/>
        <v>0.55882352941176472</v>
      </c>
      <c r="H24" s="11">
        <f t="shared" ca="1" si="3"/>
        <v>0.44117647058823528</v>
      </c>
      <c r="I24" s="8">
        <f t="shared" ca="1" si="9"/>
        <v>1</v>
      </c>
      <c r="J24" s="6">
        <f t="shared" ca="1" si="4"/>
        <v>475</v>
      </c>
      <c r="K24" s="6">
        <f t="shared" ca="1" si="5"/>
        <v>353</v>
      </c>
      <c r="L24" s="7">
        <f t="shared" ca="1" si="10"/>
        <v>828</v>
      </c>
      <c r="M24" s="11">
        <f t="shared" ca="1" si="6"/>
        <v>0.57367149758454106</v>
      </c>
      <c r="N24" s="11">
        <f t="shared" ca="1" si="7"/>
        <v>0.42632850241545894</v>
      </c>
      <c r="O24" s="8">
        <f t="shared" ca="1" si="11"/>
        <v>1</v>
      </c>
    </row>
    <row r="25" spans="2:15" x14ac:dyDescent="0.3">
      <c r="B25" s="41">
        <f t="shared" si="12"/>
        <v>45495</v>
      </c>
      <c r="C25" s="40" t="str">
        <f t="shared" si="13"/>
        <v>7.22</v>
      </c>
      <c r="D25" s="6">
        <f t="shared" ca="1" si="0"/>
        <v>1184</v>
      </c>
      <c r="E25" s="6">
        <f t="shared" ca="1" si="1"/>
        <v>336</v>
      </c>
      <c r="F25" s="7">
        <f t="shared" ca="1" si="8"/>
        <v>1520</v>
      </c>
      <c r="G25" s="11">
        <f t="shared" ca="1" si="2"/>
        <v>0.77894736842105261</v>
      </c>
      <c r="H25" s="11">
        <f t="shared" ca="1" si="3"/>
        <v>0.22105263157894736</v>
      </c>
      <c r="I25" s="8">
        <f t="shared" ca="1" si="9"/>
        <v>1</v>
      </c>
      <c r="J25" s="6">
        <f t="shared" ca="1" si="4"/>
        <v>1461</v>
      </c>
      <c r="K25" s="6">
        <f t="shared" ca="1" si="5"/>
        <v>406</v>
      </c>
      <c r="L25" s="7">
        <f t="shared" ca="1" si="10"/>
        <v>1867</v>
      </c>
      <c r="M25" s="11">
        <f t="shared" ca="1" si="6"/>
        <v>0.78253883235136579</v>
      </c>
      <c r="N25" s="11">
        <f t="shared" ca="1" si="7"/>
        <v>0.21746116764863418</v>
      </c>
      <c r="O25" s="8">
        <f t="shared" ca="1" si="11"/>
        <v>1</v>
      </c>
    </row>
    <row r="26" spans="2:15" x14ac:dyDescent="0.3">
      <c r="B26" s="41">
        <f t="shared" si="12"/>
        <v>45496</v>
      </c>
      <c r="C26" s="40" t="str">
        <f t="shared" si="13"/>
        <v>7.23</v>
      </c>
      <c r="D26" s="6">
        <f t="shared" ca="1" si="0"/>
        <v>1077</v>
      </c>
      <c r="E26" s="6">
        <f t="shared" ca="1" si="1"/>
        <v>408</v>
      </c>
      <c r="F26" s="7">
        <f t="shared" ca="1" si="8"/>
        <v>1485</v>
      </c>
      <c r="G26" s="11">
        <f t="shared" ca="1" si="2"/>
        <v>0.72525252525252526</v>
      </c>
      <c r="H26" s="11">
        <f t="shared" ca="1" si="3"/>
        <v>0.27474747474747474</v>
      </c>
      <c r="I26" s="8">
        <f t="shared" ca="1" si="9"/>
        <v>1</v>
      </c>
      <c r="J26" s="6">
        <f t="shared" ca="1" si="4"/>
        <v>1258</v>
      </c>
      <c r="K26" s="6">
        <f t="shared" ca="1" si="5"/>
        <v>456</v>
      </c>
      <c r="L26" s="7">
        <f t="shared" ca="1" si="10"/>
        <v>1714</v>
      </c>
      <c r="M26" s="11">
        <f t="shared" ca="1" si="6"/>
        <v>0.73395565927654605</v>
      </c>
      <c r="N26" s="11">
        <f t="shared" ca="1" si="7"/>
        <v>0.2660443407234539</v>
      </c>
      <c r="O26" s="8">
        <f t="shared" ca="1" si="11"/>
        <v>1</v>
      </c>
    </row>
    <row r="27" spans="2:15" x14ac:dyDescent="0.3">
      <c r="B27" s="41">
        <f t="shared" si="12"/>
        <v>45497</v>
      </c>
      <c r="C27" s="40" t="str">
        <f t="shared" si="13"/>
        <v>7.24</v>
      </c>
      <c r="D27" s="6">
        <f t="shared" ca="1" si="0"/>
        <v>1173</v>
      </c>
      <c r="E27" s="6">
        <f t="shared" ca="1" si="1"/>
        <v>431</v>
      </c>
      <c r="F27" s="7">
        <f t="shared" ca="1" si="8"/>
        <v>1604</v>
      </c>
      <c r="G27" s="11">
        <f t="shared" ca="1" si="2"/>
        <v>0.73129675810473815</v>
      </c>
      <c r="H27" s="11">
        <f t="shared" ca="1" si="3"/>
        <v>0.26870324189526185</v>
      </c>
      <c r="I27" s="8">
        <f t="shared" ca="1" si="9"/>
        <v>1</v>
      </c>
      <c r="J27" s="6">
        <f t="shared" ca="1" si="4"/>
        <v>1380</v>
      </c>
      <c r="K27" s="6">
        <f t="shared" ca="1" si="5"/>
        <v>498</v>
      </c>
      <c r="L27" s="7">
        <f t="shared" ca="1" si="10"/>
        <v>1878</v>
      </c>
      <c r="M27" s="11">
        <f t="shared" ca="1" si="6"/>
        <v>0.73482428115015974</v>
      </c>
      <c r="N27" s="11">
        <f t="shared" ca="1" si="7"/>
        <v>0.26517571884984026</v>
      </c>
      <c r="O27" s="8">
        <f t="shared" ca="1" si="11"/>
        <v>1</v>
      </c>
    </row>
    <row r="28" spans="2:15" x14ac:dyDescent="0.3">
      <c r="B28" s="41">
        <f t="shared" si="12"/>
        <v>45498</v>
      </c>
      <c r="C28" s="40" t="str">
        <f t="shared" si="13"/>
        <v>7.25</v>
      </c>
      <c r="D28" s="6">
        <f t="shared" ca="1" si="0"/>
        <v>1127</v>
      </c>
      <c r="E28" s="6">
        <f t="shared" ca="1" si="1"/>
        <v>405</v>
      </c>
      <c r="F28" s="7">
        <f t="shared" ca="1" si="8"/>
        <v>1532</v>
      </c>
      <c r="G28" s="11">
        <f t="shared" ca="1" si="2"/>
        <v>0.73563968668407309</v>
      </c>
      <c r="H28" s="11">
        <f t="shared" ca="1" si="3"/>
        <v>0.26436031331592691</v>
      </c>
      <c r="I28" s="8">
        <f t="shared" ca="1" si="9"/>
        <v>1</v>
      </c>
      <c r="J28" s="6">
        <f t="shared" ca="1" si="4"/>
        <v>1355</v>
      </c>
      <c r="K28" s="6">
        <f t="shared" ca="1" si="5"/>
        <v>481</v>
      </c>
      <c r="L28" s="7">
        <f t="shared" ca="1" si="10"/>
        <v>1836</v>
      </c>
      <c r="M28" s="11">
        <f t="shared" ca="1" si="6"/>
        <v>0.73801742919389979</v>
      </c>
      <c r="N28" s="11">
        <f t="shared" ca="1" si="7"/>
        <v>0.26198257080610021</v>
      </c>
      <c r="O28" s="8">
        <f t="shared" ca="1" si="11"/>
        <v>1</v>
      </c>
    </row>
    <row r="29" spans="2:15" x14ac:dyDescent="0.3">
      <c r="B29" s="41">
        <f t="shared" si="12"/>
        <v>45499</v>
      </c>
      <c r="C29" s="40" t="str">
        <f t="shared" si="13"/>
        <v>7.26</v>
      </c>
      <c r="D29" s="6">
        <f t="shared" ca="1" si="0"/>
        <v>790</v>
      </c>
      <c r="E29" s="6">
        <f t="shared" ca="1" si="1"/>
        <v>388</v>
      </c>
      <c r="F29" s="7">
        <f t="shared" ca="1" si="8"/>
        <v>1178</v>
      </c>
      <c r="G29" s="11">
        <f t="shared" ca="1" si="2"/>
        <v>0.67062818336162988</v>
      </c>
      <c r="H29" s="11">
        <f t="shared" ca="1" si="3"/>
        <v>0.32937181663837012</v>
      </c>
      <c r="I29" s="8">
        <f t="shared" ca="1" si="9"/>
        <v>1</v>
      </c>
      <c r="J29" s="6">
        <f t="shared" ca="1" si="4"/>
        <v>857</v>
      </c>
      <c r="K29" s="6">
        <f t="shared" ca="1" si="5"/>
        <v>433</v>
      </c>
      <c r="L29" s="7">
        <f t="shared" ca="1" si="10"/>
        <v>1290</v>
      </c>
      <c r="M29" s="11">
        <f t="shared" ca="1" si="6"/>
        <v>0.66434108527131785</v>
      </c>
      <c r="N29" s="11">
        <f t="shared" ca="1" si="7"/>
        <v>0.33565891472868215</v>
      </c>
      <c r="O29" s="8">
        <f t="shared" ca="1" si="11"/>
        <v>1</v>
      </c>
    </row>
    <row r="30" spans="2:15" x14ac:dyDescent="0.3">
      <c r="B30" s="41">
        <f t="shared" si="12"/>
        <v>45500</v>
      </c>
      <c r="C30" s="40" t="str">
        <f t="shared" si="13"/>
        <v>7.27</v>
      </c>
      <c r="D30" s="6">
        <f t="shared" ca="1" si="0"/>
        <v>280</v>
      </c>
      <c r="E30" s="6">
        <f t="shared" ca="1" si="1"/>
        <v>362</v>
      </c>
      <c r="F30" s="7">
        <f t="shared" ca="1" si="8"/>
        <v>642</v>
      </c>
      <c r="G30" s="11">
        <f t="shared" ca="1" si="2"/>
        <v>0.43613707165109034</v>
      </c>
      <c r="H30" s="11">
        <f t="shared" ca="1" si="3"/>
        <v>0.56386292834890961</v>
      </c>
      <c r="I30" s="8">
        <f t="shared" ca="1" si="9"/>
        <v>1</v>
      </c>
      <c r="J30" s="6">
        <f t="shared" ca="1" si="4"/>
        <v>301</v>
      </c>
      <c r="K30" s="6">
        <f t="shared" ca="1" si="5"/>
        <v>446</v>
      </c>
      <c r="L30" s="7">
        <f t="shared" ca="1" si="10"/>
        <v>747</v>
      </c>
      <c r="M30" s="11">
        <f t="shared" ca="1" si="6"/>
        <v>0.4029451137884873</v>
      </c>
      <c r="N30" s="11">
        <f t="shared" ca="1" si="7"/>
        <v>0.5970548862115127</v>
      </c>
      <c r="O30" s="8">
        <f t="shared" ca="1" si="11"/>
        <v>1</v>
      </c>
    </row>
    <row r="31" spans="2:15" x14ac:dyDescent="0.3">
      <c r="B31" s="41">
        <f t="shared" si="12"/>
        <v>45501</v>
      </c>
      <c r="C31" s="40" t="str">
        <f t="shared" si="13"/>
        <v>7.28</v>
      </c>
      <c r="D31" s="6">
        <f t="shared" ca="1" si="0"/>
        <v>290</v>
      </c>
      <c r="E31" s="6">
        <f t="shared" ca="1" si="1"/>
        <v>356</v>
      </c>
      <c r="F31" s="7">
        <f t="shared" ca="1" si="8"/>
        <v>646</v>
      </c>
      <c r="G31" s="11">
        <f t="shared" ca="1" si="2"/>
        <v>0.44891640866873067</v>
      </c>
      <c r="H31" s="11">
        <f t="shared" ca="1" si="3"/>
        <v>0.55108359133126938</v>
      </c>
      <c r="I31" s="8">
        <f t="shared" ca="1" si="9"/>
        <v>1</v>
      </c>
      <c r="J31" s="6">
        <f t="shared" ca="1" si="4"/>
        <v>320</v>
      </c>
      <c r="K31" s="6">
        <f t="shared" ca="1" si="5"/>
        <v>418</v>
      </c>
      <c r="L31" s="7">
        <f t="shared" ca="1" si="10"/>
        <v>738</v>
      </c>
      <c r="M31" s="11">
        <f t="shared" ca="1" si="6"/>
        <v>0.43360433604336046</v>
      </c>
      <c r="N31" s="11">
        <f t="shared" ca="1" si="7"/>
        <v>0.56639566395663954</v>
      </c>
      <c r="O31" s="8">
        <f t="shared" ca="1" si="11"/>
        <v>1</v>
      </c>
    </row>
    <row r="32" spans="2:15" x14ac:dyDescent="0.3">
      <c r="B32" s="41">
        <f>IF(MONTH(B31)&lt;&gt;MONTH(B31+1),"",B31+1)</f>
        <v>45502</v>
      </c>
      <c r="C32" s="40" t="str">
        <f>IF(B32="","",TEXT(B32,"M.D"))</f>
        <v>7.29</v>
      </c>
      <c r="D32" s="6">
        <f ca="1">IF(C32="","",INDIRECT($C32&amp;"!H4"))</f>
        <v>987</v>
      </c>
      <c r="E32" s="6">
        <f ca="1">IF(C32="","",INDIRECT($C32&amp;"!H5"))</f>
        <v>331</v>
      </c>
      <c r="F32" s="7">
        <f t="shared" ca="1" si="8"/>
        <v>1318</v>
      </c>
      <c r="G32" s="11">
        <f ca="1">IF(C32="","",INDIRECT($C32&amp;"!I4"))</f>
        <v>0.74886191198786034</v>
      </c>
      <c r="H32" s="11">
        <f ca="1">IF(C32="","",INDIRECT($C32&amp;"!I5"))</f>
        <v>0.2511380880121396</v>
      </c>
      <c r="I32" s="8">
        <f t="shared" ca="1" si="9"/>
        <v>1</v>
      </c>
      <c r="J32" s="6">
        <f ca="1">IF(C32="","",INDIRECT($C32&amp;"!L4"))</f>
        <v>1175</v>
      </c>
      <c r="K32" s="6">
        <f ca="1">IF(C32="","",INDIRECT($C32&amp;"!L5"))</f>
        <v>383</v>
      </c>
      <c r="L32" s="7">
        <f t="shared" ca="1" si="10"/>
        <v>1558</v>
      </c>
      <c r="M32" s="11">
        <f ca="1">IF(C32="","",INDIRECT($C32&amp;"!M4"))</f>
        <v>0.75417201540436452</v>
      </c>
      <c r="N32" s="11">
        <f ca="1">IF(C32="","",INDIRECT($C32&amp;"!M5"))</f>
        <v>0.24582798459563543</v>
      </c>
      <c r="O32" s="8">
        <f t="shared" ca="1" si="11"/>
        <v>1</v>
      </c>
    </row>
    <row r="33" spans="2:15" x14ac:dyDescent="0.3">
      <c r="B33" s="41">
        <f>IF(B32="","",IF(MONTH(B32)&lt;&gt;MONTH(B32+1),"",B32+1))</f>
        <v>45503</v>
      </c>
      <c r="C33" s="40" t="str">
        <f>IF(B33="","",TEXT(B33,"M.D"))</f>
        <v>7.30</v>
      </c>
      <c r="D33" s="6">
        <f ca="1">IF(C33="","",INDIRECT($C33&amp;"!H4"))</f>
        <v>1128</v>
      </c>
      <c r="E33" s="6">
        <f ca="1">IF(C33="","",INDIRECT($C33&amp;"!H5"))</f>
        <v>271</v>
      </c>
      <c r="F33" s="7">
        <f t="shared" ca="1" si="8"/>
        <v>1399</v>
      </c>
      <c r="G33" s="11">
        <f ca="1">IF(C33="","",INDIRECT($C33&amp;"!I4"))</f>
        <v>0.80629020729092205</v>
      </c>
      <c r="H33" s="11">
        <f ca="1">IF(C33="","",INDIRECT($C33&amp;"!I5"))</f>
        <v>0.1937097927090779</v>
      </c>
      <c r="I33" s="8">
        <f t="shared" ca="1" si="9"/>
        <v>1</v>
      </c>
      <c r="J33" s="6">
        <f ca="1">IF(C33="","",INDIRECT($C33&amp;"!L4"))</f>
        <v>1370</v>
      </c>
      <c r="K33" s="6">
        <f ca="1">IF(C33="","",INDIRECT($C33&amp;"!L5"))</f>
        <v>308</v>
      </c>
      <c r="L33" s="7">
        <f t="shared" ca="1" si="10"/>
        <v>1678</v>
      </c>
      <c r="M33" s="11">
        <f ca="1">IF(C33="","",INDIRECT($C33&amp;"!M4"))</f>
        <v>0.81644815256257453</v>
      </c>
      <c r="N33" s="11">
        <f ca="1">IF(C33="","",INDIRECT($C33&amp;"!M5"))</f>
        <v>0.1835518474374255</v>
      </c>
      <c r="O33" s="8">
        <f t="shared" ca="1" si="11"/>
        <v>1</v>
      </c>
    </row>
    <row r="34" spans="2:15" x14ac:dyDescent="0.3">
      <c r="B34" s="41">
        <f>IF(B33="","",IF(MONTH(B33)&lt;&gt;MONTH(B33+1),"",B33+1))</f>
        <v>45504</v>
      </c>
      <c r="C34" s="40" t="str">
        <f>IF(B34="","",TEXT(B34,"M.D"))</f>
        <v>7.31</v>
      </c>
      <c r="D34" s="6">
        <f ca="1">IF(C34="","",INDIRECT($C34&amp;"!H4"))</f>
        <v>1063</v>
      </c>
      <c r="E34" s="6">
        <f ca="1">IF(C34="","",INDIRECT($C34&amp;"!H5"))</f>
        <v>318</v>
      </c>
      <c r="F34" s="7">
        <f t="shared" ca="1" si="8"/>
        <v>1381</v>
      </c>
      <c r="G34" s="11">
        <f ca="1">IF(C34="","",INDIRECT($C34&amp;"!I4"))</f>
        <v>0.76973207820419987</v>
      </c>
      <c r="H34" s="11">
        <f ca="1">IF(C34="","",INDIRECT($C34&amp;"!I5"))</f>
        <v>0.23026792179580013</v>
      </c>
      <c r="I34" s="8">
        <f t="shared" ca="1" si="9"/>
        <v>1</v>
      </c>
      <c r="J34" s="6">
        <f ca="1">IF(C34="","",INDIRECT($C34&amp;"!L4"))</f>
        <v>1308</v>
      </c>
      <c r="K34" s="6">
        <f ca="1">IF(C34="","",INDIRECT($C34&amp;"!L5"))</f>
        <v>358</v>
      </c>
      <c r="L34" s="7">
        <f t="shared" ca="1" si="10"/>
        <v>1666</v>
      </c>
      <c r="M34" s="11">
        <f ca="1">IF(C34="","",INDIRECT($C34&amp;"!M4"))</f>
        <v>0.78511404561824727</v>
      </c>
      <c r="N34" s="11">
        <f ca="1">IF(C34="","",INDIRECT($C34&amp;"!M5"))</f>
        <v>0.2148859543817527</v>
      </c>
      <c r="O34" s="8">
        <f t="shared" ca="1" si="11"/>
        <v>1</v>
      </c>
    </row>
    <row r="35" spans="2:15" x14ac:dyDescent="0.3">
      <c r="B35" s="39" t="s">
        <v>17</v>
      </c>
      <c r="C35" s="39" t="s">
        <v>17</v>
      </c>
      <c r="D35" s="12">
        <f ca="1">SUM(D4:D34)</f>
        <v>30648</v>
      </c>
      <c r="E35" s="12">
        <f ca="1">SUM(E4:E34)</f>
        <v>19167</v>
      </c>
      <c r="F35" s="15">
        <f ca="1">SUM(F4:F34)</f>
        <v>49815</v>
      </c>
      <c r="G35" s="13"/>
      <c r="H35" s="13"/>
      <c r="I35" s="13"/>
      <c r="J35" s="12">
        <f ca="1">SUM(J4:J34)</f>
        <v>36395</v>
      </c>
      <c r="K35" s="12">
        <f ca="1">SUM(K4:K34)</f>
        <v>22090</v>
      </c>
      <c r="L35" s="15">
        <f ca="1">SUM(L4:L34)</f>
        <v>58485</v>
      </c>
      <c r="M35" s="13"/>
      <c r="N35" s="13"/>
      <c r="O35" s="13"/>
    </row>
    <row r="36" spans="2:15" x14ac:dyDescent="0.3">
      <c r="B36" s="39" t="s">
        <v>24</v>
      </c>
      <c r="C36" s="39" t="s">
        <v>24</v>
      </c>
      <c r="D36" s="12">
        <f ca="1">AVERAGE(D4:D34)</f>
        <v>988.64516129032256</v>
      </c>
      <c r="E36" s="12">
        <f ca="1">AVERAGE(E4:E34)</f>
        <v>618.29032258064512</v>
      </c>
      <c r="F36" s="15">
        <f ca="1">AVERAGE(F4:F34)</f>
        <v>1606.9354838709678</v>
      </c>
      <c r="G36" s="13">
        <f ca="1">AVERAGE(G4:G34)</f>
        <v>0.64629765055787525</v>
      </c>
      <c r="H36" s="13">
        <f ca="1">AVERAGE(H4:H34)</f>
        <v>0.35370234944212453</v>
      </c>
      <c r="I36" s="14">
        <f ca="1">SUM(G36:H36)</f>
        <v>0.99999999999999978</v>
      </c>
      <c r="J36" s="12">
        <f ca="1">AVERAGE(J4:J34)</f>
        <v>1174.0322580645161</v>
      </c>
      <c r="K36" s="12">
        <f ca="1">AVERAGE(K4:K34)</f>
        <v>712.58064516129036</v>
      </c>
      <c r="L36" s="15">
        <f ca="1">AVERAGE(L4:L34)</f>
        <v>1886.6129032258063</v>
      </c>
      <c r="M36" s="13">
        <f ca="1">AVERAGE(M4:M34)</f>
        <v>0.64788812844794175</v>
      </c>
      <c r="N36" s="13">
        <f ca="1">AVERAGE(N4:N34)</f>
        <v>0.3521118715520582</v>
      </c>
      <c r="O36" s="14">
        <f ca="1">SUM(M36:N36)</f>
        <v>1</v>
      </c>
    </row>
  </sheetData>
  <mergeCells count="2">
    <mergeCell ref="D2:I2"/>
    <mergeCell ref="J2:O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4E2A-5E0E-4356-A791-4BE5F5352696}">
  <sheetPr codeName="Sheet31"/>
  <dimension ref="A1:M620"/>
  <sheetViews>
    <sheetView workbookViewId="0">
      <selection activeCell="I4" sqref="I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/>
      <c r="B2" s="17"/>
      <c r="C2" s="17"/>
      <c r="D2" s="17"/>
      <c r="E2" s="17"/>
    </row>
    <row r="3" spans="1:13" customFormat="1" x14ac:dyDescent="0.3">
      <c r="A3" s="17"/>
      <c r="B3" s="17"/>
      <c r="C3" s="17"/>
      <c r="D3" s="17"/>
      <c r="E3" s="17"/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/>
      <c r="B4" s="17"/>
      <c r="C4" s="17"/>
      <c r="D4" s="17"/>
      <c r="E4" s="17"/>
      <c r="G4" s="23" t="s">
        <v>8</v>
      </c>
      <c r="H4" s="19">
        <f>H13+H14</f>
        <v>0</v>
      </c>
      <c r="I4" s="20" t="e">
        <f>H4/H$6</f>
        <v>#DIV/0!</v>
      </c>
      <c r="J4" s="19">
        <f>I13+I14</f>
        <v>0</v>
      </c>
      <c r="K4" s="20" t="e">
        <f>J4/J$6</f>
        <v>#DIV/0!</v>
      </c>
      <c r="L4" s="19">
        <f>J13+J14</f>
        <v>0</v>
      </c>
      <c r="M4" s="29" t="e">
        <f>L4/L$6</f>
        <v>#DIV/0!</v>
      </c>
    </row>
    <row r="5" spans="1:13" customFormat="1" x14ac:dyDescent="0.3">
      <c r="A5" s="17"/>
      <c r="B5" s="17"/>
      <c r="C5" s="17"/>
      <c r="D5" s="17"/>
      <c r="E5" s="17"/>
      <c r="G5" s="23" t="s">
        <v>10</v>
      </c>
      <c r="H5" s="19">
        <f>H15+H16</f>
        <v>0</v>
      </c>
      <c r="I5" s="20" t="e">
        <f>H5/H$6</f>
        <v>#DIV/0!</v>
      </c>
      <c r="J5" s="19">
        <f>I15+I16</f>
        <v>0</v>
      </c>
      <c r="K5" s="20" t="e">
        <f>J5/J$6</f>
        <v>#DIV/0!</v>
      </c>
      <c r="L5" s="19">
        <f>J15+J16</f>
        <v>0</v>
      </c>
      <c r="M5" s="29" t="e">
        <f>L5/L$6</f>
        <v>#DIV/0!</v>
      </c>
    </row>
    <row r="6" spans="1:13" customFormat="1" ht="17.25" thickBot="1" x14ac:dyDescent="0.35">
      <c r="A6" s="17"/>
      <c r="B6" s="17"/>
      <c r="C6" s="17"/>
      <c r="D6" s="17"/>
      <c r="E6" s="17"/>
      <c r="G6" s="26"/>
      <c r="H6" s="30">
        <f>SUM(H4:H5)</f>
        <v>0</v>
      </c>
      <c r="I6" s="31" t="e">
        <f>I4+I5</f>
        <v>#DIV/0!</v>
      </c>
      <c r="J6" s="30">
        <f>SUM(J4:J5)</f>
        <v>0</v>
      </c>
      <c r="K6" s="31" t="e">
        <f>K4+K5</f>
        <v>#DIV/0!</v>
      </c>
      <c r="L6" s="30">
        <f>SUM(L4:L5)</f>
        <v>0</v>
      </c>
      <c r="M6" s="32" t="e">
        <f>M4+M5</f>
        <v>#DIV/0!</v>
      </c>
    </row>
    <row r="7" spans="1:13" customFormat="1" x14ac:dyDescent="0.3">
      <c r="A7" s="17"/>
      <c r="B7" s="17"/>
      <c r="C7" s="17"/>
      <c r="D7" s="17"/>
      <c r="E7" s="17"/>
    </row>
    <row r="8" spans="1:13" customFormat="1" x14ac:dyDescent="0.3">
      <c r="A8" s="17"/>
      <c r="B8" s="17"/>
      <c r="C8" s="17"/>
      <c r="D8" s="17"/>
      <c r="E8" s="17"/>
    </row>
    <row r="9" spans="1:13" customFormat="1" x14ac:dyDescent="0.3">
      <c r="A9" s="17"/>
      <c r="B9" s="17"/>
      <c r="C9" s="17"/>
      <c r="D9" s="17"/>
      <c r="E9" s="17"/>
    </row>
    <row r="10" spans="1:13" customFormat="1" ht="17.25" thickBot="1" x14ac:dyDescent="0.35">
      <c r="A10" s="17"/>
      <c r="B10" s="17"/>
      <c r="C10" s="17"/>
      <c r="D10" s="17"/>
      <c r="E10" s="17"/>
    </row>
    <row r="11" spans="1:13" x14ac:dyDescent="0.3">
      <c r="A11" s="17"/>
      <c r="B11" s="17"/>
      <c r="C11" s="17"/>
      <c r="D11" s="17"/>
      <c r="E11" s="17"/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/>
      <c r="B12" s="17"/>
      <c r="C12" s="17"/>
      <c r="D12" s="17"/>
      <c r="E12" s="17"/>
      <c r="G12" s="23"/>
      <c r="H12" s="21">
        <f t="shared" ref="H12:J12" si="0">SUM(H13:H16)</f>
        <v>0</v>
      </c>
      <c r="I12" s="21">
        <f t="shared" si="0"/>
        <v>0</v>
      </c>
      <c r="J12" s="24">
        <f t="shared" si="0"/>
        <v>0</v>
      </c>
    </row>
    <row r="13" spans="1:13" x14ac:dyDescent="0.3">
      <c r="A13" s="17"/>
      <c r="B13" s="17"/>
      <c r="C13" s="17"/>
      <c r="D13" s="17"/>
      <c r="E13" s="17"/>
      <c r="G13" s="23" t="s">
        <v>7</v>
      </c>
      <c r="H13" s="22">
        <f t="shared" ref="H13:J16" si="1">SUMIF($A$2:$A$9999,$G13,C$2:C$9999)</f>
        <v>0</v>
      </c>
      <c r="I13" s="22">
        <f t="shared" si="1"/>
        <v>0</v>
      </c>
      <c r="J13" s="25">
        <f t="shared" si="1"/>
        <v>0</v>
      </c>
    </row>
    <row r="14" spans="1:13" x14ac:dyDescent="0.3">
      <c r="A14" s="17"/>
      <c r="B14" s="17"/>
      <c r="C14" s="17"/>
      <c r="D14" s="17"/>
      <c r="E14" s="17"/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/>
      <c r="B15" s="17"/>
      <c r="C15" s="17"/>
      <c r="D15" s="17"/>
      <c r="E15" s="17"/>
      <c r="G15" s="23" t="s">
        <v>11</v>
      </c>
      <c r="H15" s="22">
        <f t="shared" si="1"/>
        <v>0</v>
      </c>
      <c r="I15" s="22">
        <f t="shared" si="1"/>
        <v>0</v>
      </c>
      <c r="J15" s="25">
        <f t="shared" si="1"/>
        <v>0</v>
      </c>
    </row>
    <row r="16" spans="1:13" ht="17.25" thickBot="1" x14ac:dyDescent="0.35">
      <c r="A16" s="17"/>
      <c r="B16" s="17"/>
      <c r="C16" s="17"/>
      <c r="D16" s="17"/>
      <c r="E16" s="17"/>
      <c r="G16" s="26" t="s">
        <v>12</v>
      </c>
      <c r="H16" s="27">
        <f t="shared" si="1"/>
        <v>0</v>
      </c>
      <c r="I16" s="27">
        <f t="shared" si="1"/>
        <v>0</v>
      </c>
      <c r="J16" s="28">
        <f t="shared" si="1"/>
        <v>0</v>
      </c>
    </row>
    <row r="17" spans="1:5" x14ac:dyDescent="0.3">
      <c r="A17" s="17"/>
      <c r="B17" s="17"/>
      <c r="C17" s="17"/>
      <c r="D17" s="17"/>
      <c r="E17" s="17"/>
    </row>
    <row r="18" spans="1:5" x14ac:dyDescent="0.3">
      <c r="A18" s="17"/>
      <c r="B18" s="17"/>
      <c r="C18" s="17"/>
      <c r="D18" s="17"/>
      <c r="E18" s="17"/>
    </row>
    <row r="19" spans="1:5" x14ac:dyDescent="0.3">
      <c r="A19" s="17"/>
      <c r="B19" s="17"/>
      <c r="C19" s="17"/>
      <c r="D19" s="17"/>
      <c r="E19" s="17"/>
    </row>
    <row r="20" spans="1:5" x14ac:dyDescent="0.3">
      <c r="A20" s="17"/>
      <c r="B20" s="17"/>
      <c r="C20" s="17"/>
      <c r="D20" s="17"/>
      <c r="E20" s="17"/>
    </row>
    <row r="21" spans="1:5" x14ac:dyDescent="0.3">
      <c r="A21" s="17"/>
      <c r="B21" s="17"/>
      <c r="C21" s="17"/>
      <c r="D21" s="17"/>
      <c r="E21" s="17"/>
    </row>
    <row r="22" spans="1:5" x14ac:dyDescent="0.3">
      <c r="A22" s="17"/>
      <c r="B22" s="17"/>
      <c r="C22" s="17"/>
      <c r="D22" s="17"/>
      <c r="E22" s="17"/>
    </row>
    <row r="23" spans="1:5" x14ac:dyDescent="0.3">
      <c r="A23" s="17"/>
      <c r="B23" s="17"/>
      <c r="C23" s="17"/>
      <c r="D23" s="17"/>
      <c r="E23" s="17"/>
    </row>
    <row r="24" spans="1:5" x14ac:dyDescent="0.3">
      <c r="A24" s="17"/>
      <c r="B24" s="17"/>
      <c r="C24" s="17"/>
      <c r="D24" s="17"/>
      <c r="E24" s="17"/>
    </row>
    <row r="25" spans="1:5" x14ac:dyDescent="0.3">
      <c r="A25" s="17"/>
      <c r="B25" s="17"/>
      <c r="C25" s="17"/>
      <c r="D25" s="17"/>
      <c r="E25" s="17"/>
    </row>
    <row r="26" spans="1:5" x14ac:dyDescent="0.3">
      <c r="A26" s="17"/>
      <c r="B26" s="17"/>
      <c r="C26" s="17"/>
      <c r="D26" s="17"/>
      <c r="E26" s="17"/>
    </row>
    <row r="27" spans="1:5" x14ac:dyDescent="0.3">
      <c r="A27" s="17"/>
      <c r="B27" s="17"/>
      <c r="C27" s="17"/>
      <c r="D27" s="17"/>
      <c r="E27" s="17"/>
    </row>
    <row r="28" spans="1:5" x14ac:dyDescent="0.3">
      <c r="A28" s="17"/>
      <c r="B28" s="17"/>
      <c r="C28" s="17"/>
      <c r="D28" s="17"/>
      <c r="E28" s="17"/>
    </row>
    <row r="29" spans="1:5" x14ac:dyDescent="0.3">
      <c r="A29" s="17"/>
      <c r="B29" s="17"/>
      <c r="C29" s="17"/>
      <c r="D29" s="17"/>
      <c r="E29" s="17"/>
    </row>
    <row r="30" spans="1:5" x14ac:dyDescent="0.3">
      <c r="A30" s="17"/>
      <c r="B30" s="17"/>
      <c r="C30" s="17"/>
      <c r="D30" s="17"/>
      <c r="E30" s="17"/>
    </row>
    <row r="31" spans="1:5" x14ac:dyDescent="0.3">
      <c r="A31" s="17"/>
      <c r="B31" s="17"/>
      <c r="C31" s="17"/>
      <c r="D31" s="17"/>
      <c r="E31" s="17"/>
    </row>
    <row r="32" spans="1:5" x14ac:dyDescent="0.3">
      <c r="A32" s="17"/>
      <c r="B32" s="17"/>
      <c r="C32" s="17"/>
      <c r="D32" s="17"/>
      <c r="E32" s="17"/>
    </row>
    <row r="33" spans="1:5" x14ac:dyDescent="0.3">
      <c r="A33" s="17"/>
      <c r="B33" s="17"/>
      <c r="C33" s="17"/>
      <c r="D33" s="17"/>
      <c r="E33" s="17"/>
    </row>
    <row r="34" spans="1:5" x14ac:dyDescent="0.3">
      <c r="A34" s="17"/>
      <c r="B34" s="17"/>
      <c r="C34" s="17"/>
      <c r="D34" s="17"/>
      <c r="E34" s="17"/>
    </row>
    <row r="35" spans="1:5" x14ac:dyDescent="0.3">
      <c r="A35" s="17"/>
      <c r="B35" s="17"/>
      <c r="C35" s="17"/>
      <c r="D35" s="17"/>
      <c r="E35" s="17"/>
    </row>
    <row r="36" spans="1:5" x14ac:dyDescent="0.3">
      <c r="A36" s="17"/>
      <c r="B36" s="17"/>
      <c r="C36" s="17"/>
      <c r="D36" s="17"/>
      <c r="E36" s="17"/>
    </row>
    <row r="37" spans="1:5" x14ac:dyDescent="0.3">
      <c r="A37" s="17"/>
      <c r="B37" s="17"/>
      <c r="C37" s="17"/>
      <c r="D37" s="17"/>
      <c r="E37" s="17"/>
    </row>
    <row r="38" spans="1:5" x14ac:dyDescent="0.3">
      <c r="A38" s="17"/>
      <c r="B38" s="17"/>
      <c r="C38" s="17"/>
      <c r="D38" s="17"/>
      <c r="E38" s="17"/>
    </row>
    <row r="39" spans="1:5" x14ac:dyDescent="0.3">
      <c r="A39" s="17"/>
      <c r="B39" s="17"/>
      <c r="C39" s="17"/>
      <c r="D39" s="17"/>
      <c r="E39" s="17"/>
    </row>
    <row r="40" spans="1:5" x14ac:dyDescent="0.3">
      <c r="A40" s="17"/>
      <c r="B40" s="17"/>
      <c r="C40" s="17"/>
      <c r="D40" s="17"/>
      <c r="E40" s="17"/>
    </row>
    <row r="41" spans="1:5" x14ac:dyDescent="0.3">
      <c r="A41" s="17"/>
      <c r="B41" s="17"/>
      <c r="C41" s="17"/>
      <c r="D41" s="17"/>
      <c r="E41" s="17"/>
    </row>
    <row r="42" spans="1:5" x14ac:dyDescent="0.3">
      <c r="A42" s="17"/>
      <c r="B42" s="17"/>
      <c r="C42" s="17"/>
      <c r="D42" s="17"/>
      <c r="E42" s="17"/>
    </row>
    <row r="43" spans="1:5" x14ac:dyDescent="0.3">
      <c r="A43" s="17"/>
      <c r="B43" s="17"/>
      <c r="C43" s="17"/>
      <c r="D43" s="17"/>
      <c r="E43" s="17"/>
    </row>
    <row r="44" spans="1:5" x14ac:dyDescent="0.3">
      <c r="A44" s="17"/>
      <c r="B44" s="17"/>
      <c r="C44" s="17"/>
      <c r="D44" s="17"/>
      <c r="E44" s="17"/>
    </row>
    <row r="45" spans="1:5" x14ac:dyDescent="0.3">
      <c r="A45" s="17"/>
      <c r="B45" s="17"/>
      <c r="C45" s="17"/>
      <c r="D45" s="17"/>
      <c r="E45" s="17"/>
    </row>
    <row r="46" spans="1:5" x14ac:dyDescent="0.3">
      <c r="A46" s="17"/>
      <c r="B46" s="17"/>
      <c r="C46" s="17"/>
      <c r="D46" s="17"/>
      <c r="E46" s="17"/>
    </row>
    <row r="47" spans="1:5" x14ac:dyDescent="0.3">
      <c r="A47" s="17"/>
      <c r="B47" s="17"/>
      <c r="C47" s="17"/>
      <c r="D47" s="17"/>
      <c r="E47" s="17"/>
    </row>
    <row r="48" spans="1:5" x14ac:dyDescent="0.3">
      <c r="A48" s="17"/>
      <c r="B48" s="17"/>
      <c r="C48" s="17"/>
      <c r="D48" s="17"/>
      <c r="E48" s="17"/>
    </row>
    <row r="49" spans="1:5" x14ac:dyDescent="0.3">
      <c r="A49" s="17"/>
      <c r="B49" s="17"/>
      <c r="C49" s="17"/>
      <c r="D49" s="17"/>
      <c r="E49" s="17"/>
    </row>
    <row r="50" spans="1:5" x14ac:dyDescent="0.3">
      <c r="A50" s="17"/>
      <c r="B50" s="17"/>
      <c r="C50" s="17"/>
      <c r="D50" s="17"/>
      <c r="E50" s="17"/>
    </row>
    <row r="51" spans="1:5" x14ac:dyDescent="0.3">
      <c r="A51" s="17"/>
      <c r="B51" s="17"/>
      <c r="C51" s="17"/>
      <c r="D51" s="17"/>
      <c r="E51" s="17"/>
    </row>
    <row r="52" spans="1:5" x14ac:dyDescent="0.3">
      <c r="A52" s="17"/>
      <c r="B52" s="17"/>
      <c r="C52" s="17"/>
      <c r="D52" s="17"/>
      <c r="E52" s="17"/>
    </row>
    <row r="53" spans="1:5" x14ac:dyDescent="0.3">
      <c r="A53" s="17"/>
      <c r="B53" s="17"/>
      <c r="C53" s="17"/>
      <c r="D53" s="17"/>
      <c r="E53" s="17"/>
    </row>
    <row r="54" spans="1:5" x14ac:dyDescent="0.3">
      <c r="A54" s="17"/>
      <c r="B54" s="17"/>
      <c r="C54" s="17"/>
      <c r="D54" s="17"/>
      <c r="E54" s="17"/>
    </row>
    <row r="55" spans="1:5" x14ac:dyDescent="0.3">
      <c r="A55" s="17"/>
      <c r="B55" s="17"/>
      <c r="C55" s="17"/>
      <c r="D55" s="17"/>
      <c r="E55" s="17"/>
    </row>
    <row r="56" spans="1:5" x14ac:dyDescent="0.3">
      <c r="A56" s="17"/>
      <c r="B56" s="17"/>
      <c r="C56" s="17"/>
      <c r="D56" s="17"/>
      <c r="E56" s="17"/>
    </row>
    <row r="57" spans="1:5" x14ac:dyDescent="0.3">
      <c r="A57" s="17"/>
      <c r="B57" s="17"/>
      <c r="C57" s="17"/>
      <c r="D57" s="17"/>
      <c r="E57" s="17"/>
    </row>
    <row r="58" spans="1:5" x14ac:dyDescent="0.3">
      <c r="A58" s="17"/>
      <c r="B58" s="17"/>
      <c r="C58" s="17"/>
      <c r="D58" s="17"/>
      <c r="E58" s="17"/>
    </row>
    <row r="59" spans="1:5" x14ac:dyDescent="0.3">
      <c r="A59" s="17"/>
      <c r="B59" s="17"/>
      <c r="C59" s="17"/>
      <c r="D59" s="17"/>
      <c r="E59" s="17"/>
    </row>
    <row r="60" spans="1:5" x14ac:dyDescent="0.3">
      <c r="A60" s="17"/>
      <c r="B60" s="17"/>
      <c r="C60" s="17"/>
      <c r="D60" s="17"/>
      <c r="E60" s="17"/>
    </row>
    <row r="61" spans="1:5" x14ac:dyDescent="0.3">
      <c r="A61" s="17"/>
      <c r="B61" s="17"/>
      <c r="C61" s="17"/>
      <c r="D61" s="17"/>
      <c r="E61" s="17"/>
    </row>
    <row r="62" spans="1:5" x14ac:dyDescent="0.3">
      <c r="A62" s="17"/>
      <c r="B62" s="17"/>
      <c r="C62" s="17"/>
      <c r="D62" s="17"/>
      <c r="E62" s="17"/>
    </row>
    <row r="63" spans="1:5" x14ac:dyDescent="0.3">
      <c r="A63" s="17"/>
      <c r="B63" s="17"/>
      <c r="C63" s="17"/>
      <c r="D63" s="17"/>
      <c r="E63" s="17"/>
    </row>
    <row r="64" spans="1:5" x14ac:dyDescent="0.3">
      <c r="A64" s="17"/>
      <c r="B64" s="17"/>
      <c r="C64" s="17"/>
      <c r="D64" s="17"/>
      <c r="E64" s="17"/>
    </row>
    <row r="65" spans="1:5" x14ac:dyDescent="0.3">
      <c r="A65" s="17"/>
      <c r="B65" s="17"/>
      <c r="C65" s="17"/>
      <c r="D65" s="17"/>
      <c r="E65" s="17"/>
    </row>
    <row r="66" spans="1:5" x14ac:dyDescent="0.3">
      <c r="A66" s="17"/>
      <c r="B66" s="17"/>
      <c r="C66" s="17"/>
      <c r="D66" s="17"/>
      <c r="E66" s="17"/>
    </row>
    <row r="67" spans="1:5" x14ac:dyDescent="0.3">
      <c r="A67" s="17"/>
      <c r="B67" s="17"/>
      <c r="C67" s="17"/>
      <c r="D67" s="17"/>
      <c r="E67" s="17"/>
    </row>
    <row r="68" spans="1:5" x14ac:dyDescent="0.3">
      <c r="A68" s="17"/>
      <c r="B68" s="17"/>
      <c r="C68" s="17"/>
      <c r="D68" s="17"/>
      <c r="E68" s="17"/>
    </row>
    <row r="69" spans="1:5" x14ac:dyDescent="0.3">
      <c r="A69" s="17"/>
      <c r="B69" s="17"/>
      <c r="C69" s="17"/>
      <c r="D69" s="17"/>
      <c r="E69" s="17"/>
    </row>
    <row r="70" spans="1:5" x14ac:dyDescent="0.3">
      <c r="A70" s="17"/>
      <c r="B70" s="17"/>
      <c r="C70" s="17"/>
      <c r="D70" s="17"/>
      <c r="E70" s="17"/>
    </row>
    <row r="71" spans="1:5" x14ac:dyDescent="0.3">
      <c r="A71" s="17"/>
      <c r="B71" s="17"/>
      <c r="C71" s="17"/>
      <c r="D71" s="17"/>
      <c r="E71" s="17"/>
    </row>
    <row r="72" spans="1:5" x14ac:dyDescent="0.3">
      <c r="A72" s="17"/>
      <c r="B72" s="17"/>
      <c r="C72" s="17"/>
      <c r="D72" s="17"/>
      <c r="E72" s="17"/>
    </row>
    <row r="73" spans="1:5" x14ac:dyDescent="0.3">
      <c r="A73" s="17"/>
      <c r="B73" s="17"/>
      <c r="C73" s="17"/>
      <c r="D73" s="17"/>
      <c r="E73" s="17"/>
    </row>
    <row r="74" spans="1:5" x14ac:dyDescent="0.3">
      <c r="A74" s="17"/>
      <c r="B74" s="17"/>
      <c r="C74" s="17"/>
      <c r="D74" s="17"/>
      <c r="E74" s="17"/>
    </row>
    <row r="75" spans="1:5" x14ac:dyDescent="0.3">
      <c r="A75" s="17"/>
      <c r="B75" s="17"/>
      <c r="C75" s="17"/>
      <c r="D75" s="17"/>
      <c r="E75" s="17"/>
    </row>
    <row r="76" spans="1:5" x14ac:dyDescent="0.3">
      <c r="A76" s="17"/>
      <c r="B76" s="17"/>
      <c r="C76" s="17"/>
      <c r="D76" s="17"/>
      <c r="E76" s="17"/>
    </row>
    <row r="77" spans="1:5" x14ac:dyDescent="0.3">
      <c r="A77" s="17"/>
      <c r="B77" s="17"/>
      <c r="C77" s="17"/>
      <c r="D77" s="17"/>
      <c r="E77" s="17"/>
    </row>
    <row r="78" spans="1:5" x14ac:dyDescent="0.3">
      <c r="A78" s="17"/>
      <c r="B78" s="17"/>
      <c r="C78" s="17"/>
      <c r="D78" s="17"/>
      <c r="E78" s="17"/>
    </row>
    <row r="79" spans="1:5" x14ac:dyDescent="0.3">
      <c r="A79" s="17"/>
      <c r="B79" s="17"/>
      <c r="C79" s="17"/>
      <c r="D79" s="17"/>
      <c r="E79" s="17"/>
    </row>
    <row r="80" spans="1:5" x14ac:dyDescent="0.3">
      <c r="A80" s="17"/>
      <c r="B80" s="17"/>
      <c r="C80" s="17"/>
      <c r="D80" s="17"/>
      <c r="E80" s="17"/>
    </row>
    <row r="81" spans="1:5" x14ac:dyDescent="0.3">
      <c r="A81" s="17"/>
      <c r="B81" s="17"/>
      <c r="C81" s="17"/>
      <c r="D81" s="17"/>
      <c r="E81" s="17"/>
    </row>
    <row r="82" spans="1:5" x14ac:dyDescent="0.3">
      <c r="A82" s="17"/>
      <c r="B82" s="17"/>
      <c r="C82" s="17"/>
      <c r="D82" s="17"/>
      <c r="E82" s="17"/>
    </row>
    <row r="83" spans="1:5" x14ac:dyDescent="0.3">
      <c r="A83" s="17"/>
      <c r="B83" s="17"/>
      <c r="C83" s="17"/>
      <c r="D83" s="17"/>
      <c r="E83" s="17"/>
    </row>
    <row r="84" spans="1:5" x14ac:dyDescent="0.3">
      <c r="A84" s="17"/>
      <c r="B84" s="17"/>
      <c r="C84" s="17"/>
      <c r="D84" s="17"/>
      <c r="E84" s="17"/>
    </row>
    <row r="85" spans="1:5" x14ac:dyDescent="0.3">
      <c r="A85" s="17"/>
      <c r="B85" s="17"/>
      <c r="C85" s="17"/>
      <c r="D85" s="17"/>
      <c r="E85" s="17"/>
    </row>
    <row r="86" spans="1:5" x14ac:dyDescent="0.3">
      <c r="A86" s="17"/>
      <c r="B86" s="17"/>
      <c r="C86" s="17"/>
      <c r="D86" s="17"/>
      <c r="E86" s="17"/>
    </row>
    <row r="87" spans="1:5" x14ac:dyDescent="0.3">
      <c r="A87" s="17"/>
      <c r="B87" s="17"/>
      <c r="C87" s="17"/>
      <c r="D87" s="17"/>
      <c r="E87" s="17"/>
    </row>
    <row r="88" spans="1:5" x14ac:dyDescent="0.3">
      <c r="A88" s="17"/>
      <c r="B88" s="17"/>
      <c r="C88" s="17"/>
      <c r="D88" s="17"/>
      <c r="E88" s="17"/>
    </row>
    <row r="89" spans="1:5" x14ac:dyDescent="0.3">
      <c r="A89" s="17"/>
      <c r="B89" s="17"/>
      <c r="C89" s="17"/>
      <c r="D89" s="17"/>
      <c r="E89" s="17"/>
    </row>
    <row r="90" spans="1:5" x14ac:dyDescent="0.3">
      <c r="A90" s="17"/>
      <c r="B90" s="17"/>
      <c r="C90" s="17"/>
      <c r="D90" s="17"/>
      <c r="E90" s="17"/>
    </row>
    <row r="91" spans="1:5" x14ac:dyDescent="0.3">
      <c r="A91" s="17"/>
      <c r="B91" s="17"/>
      <c r="C91" s="17"/>
      <c r="D91" s="17"/>
      <c r="E91" s="17"/>
    </row>
    <row r="92" spans="1:5" x14ac:dyDescent="0.3">
      <c r="A92" s="17"/>
      <c r="B92" s="17"/>
      <c r="C92" s="17"/>
      <c r="D92" s="17"/>
      <c r="E92" s="17"/>
    </row>
    <row r="93" spans="1:5" x14ac:dyDescent="0.3">
      <c r="A93" s="17"/>
      <c r="B93" s="17"/>
      <c r="C93" s="17"/>
      <c r="D93" s="17"/>
      <c r="E93" s="17"/>
    </row>
    <row r="94" spans="1:5" x14ac:dyDescent="0.3">
      <c r="A94" s="17"/>
      <c r="B94" s="17"/>
      <c r="C94" s="17"/>
      <c r="D94" s="17"/>
      <c r="E94" s="17"/>
    </row>
    <row r="95" spans="1:5" x14ac:dyDescent="0.3">
      <c r="A95" s="17"/>
      <c r="B95" s="17"/>
      <c r="C95" s="17"/>
      <c r="D95" s="17"/>
      <c r="E95" s="17"/>
    </row>
    <row r="96" spans="1:5" x14ac:dyDescent="0.3">
      <c r="A96" s="17"/>
      <c r="B96" s="17"/>
      <c r="C96" s="17"/>
      <c r="D96" s="17"/>
      <c r="E96" s="17"/>
    </row>
    <row r="97" spans="1:5" x14ac:dyDescent="0.3">
      <c r="A97" s="17"/>
      <c r="B97" s="17"/>
      <c r="C97" s="17"/>
      <c r="D97" s="17"/>
      <c r="E97" s="17"/>
    </row>
    <row r="98" spans="1:5" x14ac:dyDescent="0.3">
      <c r="A98" s="17"/>
      <c r="B98" s="17"/>
      <c r="C98" s="17"/>
      <c r="D98" s="17"/>
      <c r="E98" s="17"/>
    </row>
    <row r="99" spans="1:5" x14ac:dyDescent="0.3">
      <c r="A99" s="17"/>
      <c r="B99" s="17"/>
      <c r="C99" s="17"/>
      <c r="D99" s="17"/>
      <c r="E99" s="17"/>
    </row>
    <row r="100" spans="1:5" x14ac:dyDescent="0.3">
      <c r="A100" s="17"/>
      <c r="B100" s="17"/>
      <c r="C100" s="17"/>
      <c r="D100" s="17"/>
      <c r="E100" s="17"/>
    </row>
    <row r="101" spans="1:5" x14ac:dyDescent="0.3">
      <c r="A101" s="17"/>
      <c r="B101" s="17"/>
      <c r="C101" s="17"/>
      <c r="D101" s="17"/>
      <c r="E101" s="17"/>
    </row>
    <row r="102" spans="1:5" x14ac:dyDescent="0.3">
      <c r="A102" s="17"/>
      <c r="B102" s="17"/>
      <c r="C102" s="17"/>
      <c r="D102" s="17"/>
      <c r="E102" s="17"/>
    </row>
    <row r="103" spans="1:5" x14ac:dyDescent="0.3">
      <c r="A103" s="17"/>
      <c r="B103" s="17"/>
      <c r="C103" s="17"/>
      <c r="D103" s="17"/>
      <c r="E103" s="17"/>
    </row>
    <row r="104" spans="1:5" x14ac:dyDescent="0.3">
      <c r="A104" s="17"/>
      <c r="B104" s="17"/>
      <c r="C104" s="17"/>
      <c r="D104" s="17"/>
      <c r="E104" s="17"/>
    </row>
    <row r="105" spans="1:5" x14ac:dyDescent="0.3">
      <c r="A105" s="17"/>
      <c r="B105" s="17"/>
      <c r="C105" s="17"/>
      <c r="D105" s="17"/>
      <c r="E105" s="17"/>
    </row>
    <row r="106" spans="1:5" x14ac:dyDescent="0.3">
      <c r="A106" s="17"/>
      <c r="B106" s="17"/>
      <c r="C106" s="17"/>
      <c r="D106" s="17"/>
      <c r="E106" s="17"/>
    </row>
    <row r="107" spans="1:5" x14ac:dyDescent="0.3">
      <c r="A107" s="17"/>
      <c r="B107" s="17"/>
      <c r="C107" s="17"/>
      <c r="D107" s="17"/>
      <c r="E107" s="17"/>
    </row>
    <row r="108" spans="1:5" x14ac:dyDescent="0.3">
      <c r="A108" s="17"/>
      <c r="B108" s="17"/>
      <c r="C108" s="17"/>
      <c r="D108" s="17"/>
      <c r="E108" s="17"/>
    </row>
    <row r="109" spans="1:5" x14ac:dyDescent="0.3">
      <c r="A109" s="17"/>
      <c r="B109" s="17"/>
      <c r="C109" s="17"/>
      <c r="D109" s="17"/>
      <c r="E109" s="17"/>
    </row>
    <row r="110" spans="1:5" x14ac:dyDescent="0.3">
      <c r="A110" s="17"/>
      <c r="B110" s="17"/>
      <c r="C110" s="17"/>
      <c r="D110" s="17"/>
      <c r="E110" s="17"/>
    </row>
    <row r="111" spans="1:5" x14ac:dyDescent="0.3">
      <c r="A111" s="17"/>
      <c r="B111" s="17"/>
      <c r="C111" s="17"/>
      <c r="D111" s="17"/>
      <c r="E111" s="17"/>
    </row>
    <row r="112" spans="1:5" x14ac:dyDescent="0.3">
      <c r="A112" s="17"/>
      <c r="B112" s="17"/>
      <c r="C112" s="17"/>
      <c r="D112" s="17"/>
      <c r="E112" s="17"/>
    </row>
    <row r="113" spans="1:5" x14ac:dyDescent="0.3">
      <c r="A113" s="17"/>
      <c r="B113" s="17"/>
      <c r="C113" s="17"/>
      <c r="D113" s="17"/>
      <c r="E113" s="17"/>
    </row>
    <row r="114" spans="1:5" x14ac:dyDescent="0.3">
      <c r="A114" s="17"/>
      <c r="B114" s="17"/>
      <c r="C114" s="17"/>
      <c r="D114" s="17"/>
      <c r="E114" s="17"/>
    </row>
    <row r="115" spans="1:5" x14ac:dyDescent="0.3">
      <c r="A115" s="17"/>
      <c r="B115" s="17"/>
      <c r="C115" s="17"/>
      <c r="D115" s="17"/>
      <c r="E115" s="17"/>
    </row>
    <row r="116" spans="1:5" x14ac:dyDescent="0.3">
      <c r="A116" s="17"/>
      <c r="B116" s="17"/>
      <c r="C116" s="17"/>
      <c r="D116" s="17"/>
      <c r="E116" s="17"/>
    </row>
    <row r="117" spans="1:5" x14ac:dyDescent="0.3">
      <c r="A117" s="17"/>
      <c r="B117" s="17"/>
      <c r="C117" s="17"/>
      <c r="D117" s="17"/>
      <c r="E117" s="17"/>
    </row>
    <row r="118" spans="1:5" x14ac:dyDescent="0.3">
      <c r="A118" s="17"/>
      <c r="B118" s="17"/>
      <c r="C118" s="17"/>
      <c r="D118" s="17"/>
      <c r="E118" s="17"/>
    </row>
    <row r="119" spans="1:5" x14ac:dyDescent="0.3">
      <c r="A119" s="17"/>
      <c r="B119" s="17"/>
      <c r="C119" s="17"/>
      <c r="D119" s="17"/>
      <c r="E119" s="17"/>
    </row>
    <row r="120" spans="1:5" x14ac:dyDescent="0.3">
      <c r="A120" s="17"/>
      <c r="B120" s="17"/>
      <c r="C120" s="17"/>
      <c r="D120" s="17"/>
      <c r="E120" s="17"/>
    </row>
    <row r="121" spans="1:5" x14ac:dyDescent="0.3">
      <c r="A121" s="17"/>
      <c r="B121" s="17"/>
      <c r="C121" s="17"/>
      <c r="D121" s="17"/>
      <c r="E121" s="17"/>
    </row>
    <row r="122" spans="1:5" x14ac:dyDescent="0.3">
      <c r="A122" s="17"/>
      <c r="B122" s="17"/>
      <c r="C122" s="17"/>
      <c r="D122" s="17"/>
      <c r="E122" s="17"/>
    </row>
    <row r="123" spans="1:5" x14ac:dyDescent="0.3">
      <c r="A123" s="17"/>
      <c r="B123" s="17"/>
      <c r="C123" s="17"/>
      <c r="D123" s="17"/>
      <c r="E123" s="17"/>
    </row>
    <row r="124" spans="1:5" x14ac:dyDescent="0.3">
      <c r="A124" s="17"/>
      <c r="B124" s="17"/>
      <c r="C124" s="17"/>
      <c r="D124" s="17"/>
      <c r="E124" s="17"/>
    </row>
    <row r="125" spans="1:5" x14ac:dyDescent="0.3">
      <c r="A125" s="17"/>
      <c r="B125" s="17"/>
      <c r="C125" s="17"/>
      <c r="D125" s="17"/>
      <c r="E125" s="17"/>
    </row>
    <row r="126" spans="1:5" x14ac:dyDescent="0.3">
      <c r="A126" s="17"/>
      <c r="B126" s="17"/>
      <c r="C126" s="17"/>
      <c r="D126" s="17"/>
      <c r="E126" s="17"/>
    </row>
    <row r="127" spans="1:5" x14ac:dyDescent="0.3">
      <c r="A127" s="17"/>
      <c r="B127" s="17"/>
      <c r="C127" s="17"/>
      <c r="D127" s="17"/>
      <c r="E127" s="17"/>
    </row>
    <row r="128" spans="1:5" x14ac:dyDescent="0.3">
      <c r="A128" s="17"/>
      <c r="B128" s="17"/>
      <c r="C128" s="17"/>
      <c r="D128" s="17"/>
      <c r="E128" s="17"/>
    </row>
    <row r="129" spans="1:5" x14ac:dyDescent="0.3">
      <c r="A129" s="17"/>
      <c r="B129" s="17"/>
      <c r="C129" s="17"/>
      <c r="D129" s="17"/>
      <c r="E129" s="17"/>
    </row>
    <row r="130" spans="1:5" x14ac:dyDescent="0.3">
      <c r="A130" s="17"/>
      <c r="B130" s="17"/>
      <c r="C130" s="17"/>
      <c r="D130" s="17"/>
      <c r="E130" s="17"/>
    </row>
    <row r="131" spans="1:5" x14ac:dyDescent="0.3">
      <c r="A131" s="17"/>
      <c r="B131" s="17"/>
      <c r="C131" s="17"/>
      <c r="D131" s="17"/>
      <c r="E131" s="17"/>
    </row>
    <row r="132" spans="1:5" x14ac:dyDescent="0.3">
      <c r="A132" s="17"/>
      <c r="B132" s="17"/>
      <c r="C132" s="17"/>
      <c r="D132" s="17"/>
      <c r="E132" s="17"/>
    </row>
    <row r="133" spans="1:5" x14ac:dyDescent="0.3">
      <c r="A133" s="17"/>
      <c r="B133" s="17"/>
      <c r="C133" s="17"/>
      <c r="D133" s="17"/>
      <c r="E133" s="17"/>
    </row>
    <row r="134" spans="1:5" x14ac:dyDescent="0.3">
      <c r="A134" s="17"/>
      <c r="B134" s="17"/>
      <c r="C134" s="17"/>
      <c r="D134" s="17"/>
      <c r="E134" s="17"/>
    </row>
    <row r="135" spans="1:5" x14ac:dyDescent="0.3">
      <c r="A135" s="17"/>
      <c r="B135" s="17"/>
      <c r="C135" s="17"/>
      <c r="D135" s="17"/>
      <c r="E135" s="17"/>
    </row>
    <row r="136" spans="1:5" x14ac:dyDescent="0.3">
      <c r="A136" s="17"/>
      <c r="B136" s="17"/>
      <c r="C136" s="17"/>
      <c r="D136" s="17"/>
      <c r="E136" s="17"/>
    </row>
    <row r="137" spans="1:5" x14ac:dyDescent="0.3">
      <c r="A137" s="17"/>
      <c r="B137" s="17"/>
      <c r="C137" s="17"/>
      <c r="D137" s="17"/>
      <c r="E137" s="17"/>
    </row>
    <row r="138" spans="1:5" x14ac:dyDescent="0.3">
      <c r="A138" s="17"/>
      <c r="B138" s="17"/>
      <c r="C138" s="17"/>
      <c r="D138" s="17"/>
      <c r="E138" s="17"/>
    </row>
    <row r="139" spans="1:5" x14ac:dyDescent="0.3">
      <c r="A139" s="17"/>
      <c r="B139" s="17"/>
      <c r="C139" s="17"/>
      <c r="D139" s="17"/>
      <c r="E139" s="17"/>
    </row>
    <row r="140" spans="1:5" x14ac:dyDescent="0.3">
      <c r="A140" s="17"/>
      <c r="B140" s="17"/>
      <c r="C140" s="17"/>
      <c r="D140" s="17"/>
      <c r="E140" s="17"/>
    </row>
    <row r="141" spans="1:5" x14ac:dyDescent="0.3">
      <c r="A141" s="17"/>
      <c r="B141" s="17"/>
      <c r="C141" s="17"/>
      <c r="D141" s="17"/>
      <c r="E141" s="17"/>
    </row>
    <row r="142" spans="1:5" x14ac:dyDescent="0.3">
      <c r="A142" s="17"/>
      <c r="B142" s="17"/>
      <c r="C142" s="17"/>
      <c r="D142" s="17"/>
      <c r="E142" s="17"/>
    </row>
    <row r="143" spans="1:5" x14ac:dyDescent="0.3">
      <c r="A143" s="17"/>
      <c r="B143" s="17"/>
      <c r="C143" s="17"/>
      <c r="D143" s="17"/>
      <c r="E143" s="17"/>
    </row>
    <row r="144" spans="1:5" x14ac:dyDescent="0.3">
      <c r="A144" s="17"/>
      <c r="B144" s="17"/>
      <c r="C144" s="17"/>
      <c r="D144" s="17"/>
      <c r="E144" s="17"/>
    </row>
    <row r="145" spans="1:5" x14ac:dyDescent="0.3">
      <c r="A145" s="17"/>
      <c r="B145" s="17"/>
      <c r="C145" s="17"/>
      <c r="D145" s="17"/>
      <c r="E145" s="17"/>
    </row>
    <row r="146" spans="1:5" x14ac:dyDescent="0.3">
      <c r="A146" s="17"/>
      <c r="B146" s="17"/>
      <c r="C146" s="17"/>
      <c r="D146" s="17"/>
      <c r="E146" s="17"/>
    </row>
    <row r="147" spans="1:5" x14ac:dyDescent="0.3">
      <c r="A147" s="17"/>
      <c r="B147" s="17"/>
      <c r="C147" s="17"/>
      <c r="D147" s="17"/>
      <c r="E147" s="17"/>
    </row>
    <row r="148" spans="1:5" x14ac:dyDescent="0.3">
      <c r="A148" s="17"/>
      <c r="B148" s="17"/>
      <c r="C148" s="17"/>
      <c r="D148" s="17"/>
      <c r="E148" s="17"/>
    </row>
    <row r="149" spans="1:5" x14ac:dyDescent="0.3">
      <c r="A149" s="17"/>
      <c r="B149" s="17"/>
      <c r="C149" s="17"/>
      <c r="D149" s="17"/>
      <c r="E149" s="17"/>
    </row>
    <row r="150" spans="1:5" x14ac:dyDescent="0.3">
      <c r="A150" s="17"/>
      <c r="B150" s="17"/>
      <c r="C150" s="17"/>
      <c r="D150" s="17"/>
      <c r="E150" s="17"/>
    </row>
    <row r="151" spans="1:5" x14ac:dyDescent="0.3">
      <c r="A151" s="17"/>
      <c r="B151" s="17"/>
      <c r="C151" s="17"/>
      <c r="D151" s="17"/>
      <c r="E151" s="17"/>
    </row>
    <row r="152" spans="1:5" x14ac:dyDescent="0.3">
      <c r="A152" s="17"/>
      <c r="B152" s="17"/>
      <c r="C152" s="17"/>
      <c r="D152" s="17"/>
      <c r="E152" s="17"/>
    </row>
    <row r="153" spans="1:5" x14ac:dyDescent="0.3">
      <c r="A153" s="17"/>
      <c r="B153" s="17"/>
      <c r="C153" s="17"/>
      <c r="D153" s="17"/>
      <c r="E153" s="17"/>
    </row>
    <row r="154" spans="1:5" x14ac:dyDescent="0.3">
      <c r="A154" s="17"/>
      <c r="B154" s="17"/>
      <c r="C154" s="17"/>
      <c r="D154" s="17"/>
      <c r="E154" s="17"/>
    </row>
    <row r="155" spans="1:5" x14ac:dyDescent="0.3">
      <c r="A155" s="17"/>
      <c r="B155" s="17"/>
      <c r="C155" s="17"/>
      <c r="D155" s="17"/>
      <c r="E155" s="17"/>
    </row>
    <row r="156" spans="1:5" x14ac:dyDescent="0.3">
      <c r="A156" s="17"/>
      <c r="B156" s="17"/>
      <c r="C156" s="17"/>
      <c r="D156" s="17"/>
      <c r="E156" s="17"/>
    </row>
    <row r="157" spans="1:5" x14ac:dyDescent="0.3">
      <c r="A157" s="17"/>
      <c r="B157" s="17"/>
      <c r="C157" s="17"/>
      <c r="D157" s="17"/>
      <c r="E157" s="17"/>
    </row>
    <row r="158" spans="1:5" x14ac:dyDescent="0.3">
      <c r="A158" s="17"/>
      <c r="B158" s="17"/>
      <c r="C158" s="17"/>
      <c r="D158" s="17"/>
      <c r="E158" s="17"/>
    </row>
    <row r="159" spans="1:5" x14ac:dyDescent="0.3">
      <c r="A159" s="17"/>
      <c r="B159" s="17"/>
      <c r="C159" s="17"/>
      <c r="D159" s="17"/>
      <c r="E159" s="17"/>
    </row>
    <row r="160" spans="1:5" x14ac:dyDescent="0.3">
      <c r="A160" s="17"/>
      <c r="B160" s="17"/>
      <c r="C160" s="17"/>
      <c r="D160" s="17"/>
      <c r="E160" s="17"/>
    </row>
    <row r="161" spans="1:5" x14ac:dyDescent="0.3">
      <c r="A161" s="17"/>
      <c r="B161" s="17"/>
      <c r="C161" s="17"/>
      <c r="D161" s="17"/>
      <c r="E161" s="17"/>
    </row>
    <row r="162" spans="1:5" x14ac:dyDescent="0.3">
      <c r="A162" s="17"/>
      <c r="B162" s="17"/>
      <c r="C162" s="17"/>
      <c r="D162" s="17"/>
      <c r="E162" s="17"/>
    </row>
    <row r="163" spans="1:5" x14ac:dyDescent="0.3">
      <c r="A163" s="17"/>
      <c r="B163" s="17"/>
      <c r="C163" s="17"/>
      <c r="D163" s="17"/>
      <c r="E163" s="17"/>
    </row>
    <row r="164" spans="1:5" x14ac:dyDescent="0.3">
      <c r="A164" s="17"/>
      <c r="B164" s="17"/>
      <c r="C164" s="17"/>
      <c r="D164" s="17"/>
      <c r="E164" s="17"/>
    </row>
    <row r="165" spans="1:5" x14ac:dyDescent="0.3">
      <c r="A165" s="17"/>
      <c r="B165" s="17"/>
      <c r="C165" s="17"/>
      <c r="D165" s="17"/>
      <c r="E165" s="17"/>
    </row>
    <row r="166" spans="1:5" x14ac:dyDescent="0.3">
      <c r="A166" s="17"/>
      <c r="B166" s="17"/>
      <c r="C166" s="17"/>
      <c r="D166" s="17"/>
      <c r="E166" s="17"/>
    </row>
    <row r="167" spans="1:5" x14ac:dyDescent="0.3">
      <c r="A167" s="17"/>
      <c r="B167" s="17"/>
      <c r="C167" s="17"/>
      <c r="D167" s="17"/>
      <c r="E167" s="17"/>
    </row>
    <row r="168" spans="1:5" x14ac:dyDescent="0.3">
      <c r="A168" s="17"/>
      <c r="B168" s="17"/>
      <c r="C168" s="17"/>
      <c r="D168" s="17"/>
      <c r="E168" s="17"/>
    </row>
    <row r="169" spans="1:5" x14ac:dyDescent="0.3">
      <c r="A169" s="17"/>
      <c r="B169" s="17"/>
      <c r="C169" s="17"/>
      <c r="D169" s="17"/>
      <c r="E169" s="17"/>
    </row>
    <row r="170" spans="1:5" x14ac:dyDescent="0.3">
      <c r="A170" s="17"/>
      <c r="B170" s="17"/>
      <c r="C170" s="17"/>
      <c r="D170" s="17"/>
      <c r="E170" s="17"/>
    </row>
    <row r="171" spans="1:5" x14ac:dyDescent="0.3">
      <c r="A171" s="17"/>
      <c r="B171" s="17"/>
      <c r="C171" s="17"/>
      <c r="D171" s="17"/>
      <c r="E171" s="17"/>
    </row>
    <row r="172" spans="1:5" x14ac:dyDescent="0.3">
      <c r="A172" s="17"/>
      <c r="B172" s="17"/>
      <c r="C172" s="17"/>
      <c r="D172" s="17"/>
      <c r="E172" s="17"/>
    </row>
    <row r="173" spans="1:5" x14ac:dyDescent="0.3">
      <c r="A173" s="17"/>
      <c r="B173" s="17"/>
      <c r="C173" s="17"/>
      <c r="D173" s="17"/>
      <c r="E173" s="17"/>
    </row>
    <row r="174" spans="1:5" x14ac:dyDescent="0.3">
      <c r="A174" s="17"/>
      <c r="B174" s="17"/>
      <c r="C174" s="17"/>
      <c r="D174" s="17"/>
      <c r="E174" s="17"/>
    </row>
    <row r="175" spans="1:5" x14ac:dyDescent="0.3">
      <c r="A175" s="17"/>
      <c r="B175" s="17"/>
      <c r="C175" s="17"/>
      <c r="D175" s="17"/>
      <c r="E175" s="17"/>
    </row>
    <row r="176" spans="1:5" x14ac:dyDescent="0.3">
      <c r="A176" s="17"/>
      <c r="B176" s="17"/>
      <c r="C176" s="17"/>
      <c r="D176" s="17"/>
      <c r="E176" s="17"/>
    </row>
    <row r="177" spans="1:5" x14ac:dyDescent="0.3">
      <c r="A177" s="17"/>
      <c r="B177" s="17"/>
      <c r="C177" s="17"/>
      <c r="D177" s="17"/>
      <c r="E177" s="17"/>
    </row>
    <row r="178" spans="1:5" x14ac:dyDescent="0.3">
      <c r="A178" s="17"/>
      <c r="B178" s="17"/>
      <c r="C178" s="17"/>
      <c r="D178" s="17"/>
      <c r="E178" s="17"/>
    </row>
    <row r="179" spans="1:5" x14ac:dyDescent="0.3">
      <c r="A179" s="17"/>
      <c r="B179" s="17"/>
      <c r="C179" s="17"/>
      <c r="D179" s="17"/>
      <c r="E179" s="17"/>
    </row>
    <row r="180" spans="1:5" x14ac:dyDescent="0.3">
      <c r="A180" s="17"/>
      <c r="B180" s="17"/>
      <c r="C180" s="17"/>
      <c r="D180" s="17"/>
      <c r="E180" s="17"/>
    </row>
    <row r="181" spans="1:5" x14ac:dyDescent="0.3">
      <c r="A181" s="17"/>
      <c r="B181" s="17"/>
      <c r="C181" s="17"/>
      <c r="D181" s="17"/>
      <c r="E181" s="17"/>
    </row>
    <row r="182" spans="1:5" x14ac:dyDescent="0.3">
      <c r="A182" s="17"/>
      <c r="B182" s="17"/>
      <c r="C182" s="17"/>
      <c r="D182" s="17"/>
      <c r="E182" s="17"/>
    </row>
    <row r="183" spans="1:5" x14ac:dyDescent="0.3">
      <c r="A183" s="17"/>
      <c r="B183" s="17"/>
      <c r="C183" s="17"/>
      <c r="D183" s="17"/>
      <c r="E183" s="17"/>
    </row>
    <row r="184" spans="1:5" x14ac:dyDescent="0.3">
      <c r="A184" s="17"/>
      <c r="B184" s="17"/>
      <c r="C184" s="17"/>
      <c r="D184" s="17"/>
      <c r="E184" s="17"/>
    </row>
    <row r="185" spans="1:5" x14ac:dyDescent="0.3">
      <c r="A185" s="17"/>
      <c r="B185" s="17"/>
      <c r="C185" s="17"/>
      <c r="D185" s="17"/>
      <c r="E185" s="17"/>
    </row>
    <row r="186" spans="1:5" x14ac:dyDescent="0.3">
      <c r="A186" s="17"/>
      <c r="B186" s="17"/>
      <c r="C186" s="17"/>
      <c r="D186" s="17"/>
      <c r="E186" s="17"/>
    </row>
    <row r="187" spans="1:5" x14ac:dyDescent="0.3">
      <c r="A187" s="17"/>
      <c r="B187" s="17"/>
      <c r="C187" s="17"/>
      <c r="D187" s="17"/>
      <c r="E187" s="17"/>
    </row>
    <row r="188" spans="1:5" x14ac:dyDescent="0.3">
      <c r="A188" s="17"/>
      <c r="B188" s="17"/>
      <c r="C188" s="17"/>
      <c r="D188" s="17"/>
      <c r="E188" s="17"/>
    </row>
    <row r="189" spans="1:5" x14ac:dyDescent="0.3">
      <c r="A189" s="17"/>
      <c r="B189" s="17"/>
      <c r="C189" s="17"/>
      <c r="D189" s="17"/>
      <c r="E189" s="17"/>
    </row>
    <row r="190" spans="1:5" x14ac:dyDescent="0.3">
      <c r="A190" s="17"/>
      <c r="B190" s="17"/>
      <c r="C190" s="17"/>
      <c r="D190" s="17"/>
      <c r="E190" s="17"/>
    </row>
    <row r="191" spans="1:5" x14ac:dyDescent="0.3">
      <c r="A191" s="17"/>
      <c r="B191" s="17"/>
      <c r="C191" s="17"/>
      <c r="D191" s="17"/>
      <c r="E191" s="17"/>
    </row>
    <row r="192" spans="1:5" x14ac:dyDescent="0.3">
      <c r="A192" s="17"/>
      <c r="B192" s="17"/>
      <c r="C192" s="17"/>
      <c r="D192" s="17"/>
      <c r="E192" s="17"/>
    </row>
    <row r="193" spans="1:5" x14ac:dyDescent="0.3">
      <c r="A193" s="17"/>
      <c r="B193" s="17"/>
      <c r="C193" s="17"/>
      <c r="D193" s="17"/>
      <c r="E193" s="17"/>
    </row>
    <row r="194" spans="1:5" x14ac:dyDescent="0.3">
      <c r="A194" s="17"/>
      <c r="B194" s="17"/>
      <c r="C194" s="17"/>
      <c r="D194" s="17"/>
      <c r="E194" s="17"/>
    </row>
    <row r="195" spans="1:5" x14ac:dyDescent="0.3">
      <c r="A195" s="17"/>
      <c r="B195" s="17"/>
      <c r="C195" s="17"/>
      <c r="D195" s="17"/>
      <c r="E195" s="17"/>
    </row>
    <row r="196" spans="1:5" x14ac:dyDescent="0.3">
      <c r="A196" s="17"/>
      <c r="B196" s="17"/>
      <c r="C196" s="17"/>
      <c r="D196" s="17"/>
      <c r="E196" s="17"/>
    </row>
    <row r="197" spans="1:5" x14ac:dyDescent="0.3">
      <c r="A197" s="17"/>
      <c r="B197" s="17"/>
      <c r="C197" s="17"/>
      <c r="D197" s="17"/>
      <c r="E197" s="17"/>
    </row>
    <row r="198" spans="1:5" x14ac:dyDescent="0.3">
      <c r="A198" s="17"/>
      <c r="B198" s="17"/>
      <c r="C198" s="17"/>
      <c r="D198" s="17"/>
      <c r="E198" s="17"/>
    </row>
    <row r="199" spans="1:5" x14ac:dyDescent="0.3">
      <c r="A199" s="17"/>
      <c r="B199" s="17"/>
      <c r="C199" s="17"/>
      <c r="D199" s="17"/>
      <c r="E199" s="17"/>
    </row>
    <row r="200" spans="1:5" x14ac:dyDescent="0.3">
      <c r="A200" s="17"/>
      <c r="B200" s="17"/>
      <c r="C200" s="17"/>
      <c r="D200" s="17"/>
      <c r="E200" s="17"/>
    </row>
    <row r="201" spans="1:5" x14ac:dyDescent="0.3">
      <c r="A201" s="17"/>
      <c r="B201" s="17"/>
      <c r="C201" s="17"/>
      <c r="D201" s="17"/>
      <c r="E201" s="17"/>
    </row>
    <row r="202" spans="1:5" x14ac:dyDescent="0.3">
      <c r="A202" s="17"/>
      <c r="B202" s="17"/>
      <c r="C202" s="17"/>
      <c r="D202" s="17"/>
      <c r="E202" s="17"/>
    </row>
    <row r="203" spans="1:5" x14ac:dyDescent="0.3">
      <c r="A203" s="17"/>
      <c r="B203" s="17"/>
      <c r="C203" s="17"/>
      <c r="D203" s="17"/>
      <c r="E203" s="17"/>
    </row>
    <row r="204" spans="1:5" x14ac:dyDescent="0.3">
      <c r="A204" s="17"/>
      <c r="B204" s="17"/>
      <c r="C204" s="17"/>
      <c r="D204" s="17"/>
      <c r="E204" s="17"/>
    </row>
    <row r="205" spans="1:5" x14ac:dyDescent="0.3">
      <c r="A205" s="17"/>
      <c r="B205" s="17"/>
      <c r="C205" s="17"/>
      <c r="D205" s="17"/>
      <c r="E205" s="17"/>
    </row>
    <row r="206" spans="1:5" x14ac:dyDescent="0.3">
      <c r="A206" s="17"/>
      <c r="B206" s="17"/>
      <c r="C206" s="17"/>
      <c r="D206" s="17"/>
      <c r="E206" s="17"/>
    </row>
    <row r="207" spans="1:5" x14ac:dyDescent="0.3">
      <c r="A207" s="17"/>
      <c r="B207" s="17"/>
      <c r="C207" s="17"/>
      <c r="D207" s="17"/>
      <c r="E207" s="17"/>
    </row>
    <row r="208" spans="1:5" x14ac:dyDescent="0.3">
      <c r="A208" s="17"/>
      <c r="B208" s="17"/>
      <c r="C208" s="17"/>
      <c r="D208" s="17"/>
      <c r="E208" s="17"/>
    </row>
    <row r="209" spans="1:5" x14ac:dyDescent="0.3">
      <c r="A209" s="17"/>
      <c r="B209" s="17"/>
      <c r="C209" s="17"/>
      <c r="D209" s="17"/>
      <c r="E209" s="17"/>
    </row>
    <row r="210" spans="1:5" x14ac:dyDescent="0.3">
      <c r="A210" s="17"/>
      <c r="B210" s="17"/>
      <c r="C210" s="17"/>
      <c r="D210" s="17"/>
      <c r="E210" s="17"/>
    </row>
    <row r="211" spans="1:5" x14ac:dyDescent="0.3">
      <c r="A211" s="17"/>
      <c r="B211" s="17"/>
      <c r="C211" s="17"/>
      <c r="D211" s="17"/>
      <c r="E211" s="17"/>
    </row>
    <row r="212" spans="1:5" x14ac:dyDescent="0.3">
      <c r="A212" s="17"/>
      <c r="B212" s="17"/>
      <c r="C212" s="17"/>
      <c r="D212" s="17"/>
      <c r="E212" s="17"/>
    </row>
    <row r="213" spans="1:5" x14ac:dyDescent="0.3">
      <c r="A213" s="17"/>
      <c r="B213" s="17"/>
      <c r="C213" s="17"/>
      <c r="D213" s="17"/>
      <c r="E213" s="17"/>
    </row>
    <row r="214" spans="1:5" x14ac:dyDescent="0.3">
      <c r="A214" s="17"/>
      <c r="B214" s="17"/>
      <c r="C214" s="17"/>
      <c r="D214" s="17"/>
      <c r="E214" s="17"/>
    </row>
    <row r="215" spans="1:5" x14ac:dyDescent="0.3">
      <c r="A215" s="17"/>
      <c r="B215" s="17"/>
      <c r="C215" s="17"/>
      <c r="D215" s="17"/>
      <c r="E215" s="17"/>
    </row>
    <row r="216" spans="1:5" x14ac:dyDescent="0.3">
      <c r="A216" s="17"/>
      <c r="B216" s="17"/>
      <c r="C216" s="17"/>
      <c r="D216" s="17"/>
      <c r="E216" s="17"/>
    </row>
    <row r="217" spans="1:5" x14ac:dyDescent="0.3">
      <c r="A217" s="17"/>
      <c r="B217" s="17"/>
      <c r="C217" s="17"/>
      <c r="D217" s="17"/>
      <c r="E217" s="17"/>
    </row>
    <row r="218" spans="1:5" x14ac:dyDescent="0.3">
      <c r="A218" s="17"/>
      <c r="B218" s="17"/>
      <c r="C218" s="17"/>
      <c r="D218" s="17"/>
      <c r="E218" s="17"/>
    </row>
    <row r="219" spans="1:5" x14ac:dyDescent="0.3">
      <c r="A219" s="17"/>
      <c r="B219" s="17"/>
      <c r="C219" s="17"/>
      <c r="D219" s="17"/>
      <c r="E219" s="17"/>
    </row>
    <row r="220" spans="1:5" x14ac:dyDescent="0.3">
      <c r="A220" s="17"/>
      <c r="B220" s="17"/>
      <c r="C220" s="17"/>
      <c r="D220" s="17"/>
      <c r="E220" s="17"/>
    </row>
    <row r="221" spans="1:5" x14ac:dyDescent="0.3">
      <c r="A221" s="17"/>
      <c r="B221" s="17"/>
      <c r="C221" s="17"/>
      <c r="D221" s="17"/>
      <c r="E221" s="17"/>
    </row>
    <row r="222" spans="1:5" x14ac:dyDescent="0.3">
      <c r="A222" s="17"/>
      <c r="B222" s="17"/>
      <c r="C222" s="17"/>
      <c r="D222" s="17"/>
      <c r="E222" s="17"/>
    </row>
    <row r="223" spans="1:5" x14ac:dyDescent="0.3">
      <c r="A223" s="17"/>
      <c r="B223" s="17"/>
      <c r="C223" s="17"/>
      <c r="D223" s="17"/>
      <c r="E223" s="17"/>
    </row>
    <row r="224" spans="1:5" x14ac:dyDescent="0.3">
      <c r="A224" s="17"/>
      <c r="B224" s="17"/>
      <c r="C224" s="17"/>
      <c r="D224" s="17"/>
      <c r="E224" s="17"/>
    </row>
    <row r="225" spans="1:5" x14ac:dyDescent="0.3">
      <c r="A225" s="17"/>
      <c r="B225" s="17"/>
      <c r="C225" s="17"/>
      <c r="D225" s="17"/>
      <c r="E225" s="17"/>
    </row>
    <row r="226" spans="1:5" x14ac:dyDescent="0.3">
      <c r="A226" s="17"/>
      <c r="B226" s="17"/>
      <c r="C226" s="17"/>
      <c r="D226" s="17"/>
      <c r="E226" s="17"/>
    </row>
    <row r="227" spans="1:5" x14ac:dyDescent="0.3">
      <c r="A227" s="17"/>
      <c r="B227" s="17"/>
      <c r="C227" s="17"/>
      <c r="D227" s="17"/>
      <c r="E227" s="17"/>
    </row>
    <row r="228" spans="1:5" x14ac:dyDescent="0.3">
      <c r="A228" s="17"/>
      <c r="B228" s="17"/>
      <c r="C228" s="17"/>
      <c r="D228" s="17"/>
      <c r="E228" s="17"/>
    </row>
    <row r="229" spans="1:5" x14ac:dyDescent="0.3">
      <c r="A229" s="17"/>
      <c r="B229" s="17"/>
      <c r="C229" s="17"/>
      <c r="D229" s="17"/>
      <c r="E229" s="17"/>
    </row>
    <row r="230" spans="1:5" x14ac:dyDescent="0.3">
      <c r="A230" s="17"/>
      <c r="B230" s="17"/>
      <c r="C230" s="17"/>
      <c r="D230" s="17"/>
      <c r="E230" s="17"/>
    </row>
    <row r="231" spans="1:5" x14ac:dyDescent="0.3">
      <c r="A231" s="17"/>
      <c r="B231" s="17"/>
      <c r="C231" s="17"/>
      <c r="D231" s="17"/>
      <c r="E231" s="17"/>
    </row>
    <row r="232" spans="1:5" x14ac:dyDescent="0.3">
      <c r="A232" s="17"/>
      <c r="B232" s="17"/>
      <c r="C232" s="17"/>
      <c r="D232" s="17"/>
      <c r="E232" s="17"/>
    </row>
    <row r="233" spans="1:5" x14ac:dyDescent="0.3">
      <c r="A233" s="17"/>
      <c r="B233" s="17"/>
      <c r="C233" s="17"/>
      <c r="D233" s="17"/>
      <c r="E233" s="17"/>
    </row>
    <row r="234" spans="1:5" x14ac:dyDescent="0.3">
      <c r="A234" s="17"/>
      <c r="B234" s="17"/>
      <c r="C234" s="17"/>
      <c r="D234" s="17"/>
      <c r="E234" s="17"/>
    </row>
    <row r="235" spans="1:5" x14ac:dyDescent="0.3">
      <c r="A235" s="17"/>
      <c r="B235" s="17"/>
      <c r="C235" s="17"/>
      <c r="D235" s="17"/>
      <c r="E235" s="17"/>
    </row>
    <row r="236" spans="1:5" x14ac:dyDescent="0.3">
      <c r="A236" s="17"/>
      <c r="B236" s="17"/>
      <c r="C236" s="17"/>
      <c r="D236" s="17"/>
      <c r="E236" s="17"/>
    </row>
    <row r="237" spans="1:5" x14ac:dyDescent="0.3">
      <c r="A237" s="17"/>
      <c r="B237" s="17"/>
      <c r="C237" s="17"/>
      <c r="D237" s="17"/>
      <c r="E237" s="17"/>
    </row>
    <row r="238" spans="1:5" x14ac:dyDescent="0.3">
      <c r="A238" s="17"/>
      <c r="B238" s="17"/>
      <c r="C238" s="17"/>
      <c r="D238" s="17"/>
      <c r="E238" s="17"/>
    </row>
    <row r="239" spans="1:5" x14ac:dyDescent="0.3">
      <c r="A239" s="17"/>
      <c r="B239" s="17"/>
      <c r="C239" s="17"/>
      <c r="D239" s="17"/>
      <c r="E239" s="17"/>
    </row>
    <row r="240" spans="1:5" x14ac:dyDescent="0.3">
      <c r="A240" s="17"/>
      <c r="B240" s="17"/>
      <c r="C240" s="17"/>
      <c r="D240" s="17"/>
      <c r="E240" s="17"/>
    </row>
    <row r="241" spans="1:5" x14ac:dyDescent="0.3">
      <c r="A241" s="17"/>
      <c r="B241" s="17"/>
      <c r="C241" s="17"/>
      <c r="D241" s="17"/>
      <c r="E241" s="17"/>
    </row>
    <row r="242" spans="1:5" x14ac:dyDescent="0.3">
      <c r="A242" s="17"/>
      <c r="B242" s="17"/>
      <c r="C242" s="17"/>
      <c r="D242" s="17"/>
      <c r="E242" s="17"/>
    </row>
    <row r="243" spans="1:5" x14ac:dyDescent="0.3">
      <c r="A243" s="17"/>
      <c r="B243" s="17"/>
      <c r="C243" s="17"/>
      <c r="D243" s="17"/>
      <c r="E243" s="17"/>
    </row>
    <row r="244" spans="1:5" x14ac:dyDescent="0.3">
      <c r="A244" s="17"/>
      <c r="B244" s="17"/>
      <c r="C244" s="17"/>
      <c r="D244" s="17"/>
      <c r="E244" s="17"/>
    </row>
    <row r="245" spans="1:5" x14ac:dyDescent="0.3">
      <c r="A245" s="17"/>
      <c r="B245" s="17"/>
      <c r="C245" s="17"/>
      <c r="D245" s="17"/>
      <c r="E245" s="17"/>
    </row>
    <row r="246" spans="1:5" x14ac:dyDescent="0.3">
      <c r="A246" s="17"/>
      <c r="B246" s="17"/>
      <c r="C246" s="17"/>
      <c r="D246" s="17"/>
      <c r="E246" s="17"/>
    </row>
    <row r="247" spans="1:5" x14ac:dyDescent="0.3">
      <c r="A247" s="17"/>
      <c r="B247" s="17"/>
      <c r="C247" s="17"/>
      <c r="D247" s="17"/>
      <c r="E247" s="17"/>
    </row>
    <row r="248" spans="1:5" x14ac:dyDescent="0.3">
      <c r="A248" s="17"/>
      <c r="B248" s="17"/>
      <c r="C248" s="17"/>
      <c r="D248" s="17"/>
      <c r="E248" s="17"/>
    </row>
    <row r="249" spans="1:5" x14ac:dyDescent="0.3">
      <c r="A249" s="17"/>
      <c r="B249" s="17"/>
      <c r="C249" s="17"/>
      <c r="D249" s="17"/>
      <c r="E249" s="17"/>
    </row>
    <row r="250" spans="1:5" x14ac:dyDescent="0.3">
      <c r="A250" s="17"/>
      <c r="B250" s="17"/>
      <c r="C250" s="17"/>
      <c r="D250" s="17"/>
      <c r="E250" s="17"/>
    </row>
    <row r="251" spans="1:5" x14ac:dyDescent="0.3">
      <c r="A251" s="17"/>
      <c r="B251" s="17"/>
      <c r="C251" s="17"/>
      <c r="D251" s="17"/>
      <c r="E251" s="17"/>
    </row>
    <row r="252" spans="1:5" x14ac:dyDescent="0.3">
      <c r="A252" s="17"/>
      <c r="B252" s="17"/>
      <c r="C252" s="17"/>
      <c r="D252" s="17"/>
      <c r="E252" s="17"/>
    </row>
    <row r="253" spans="1:5" x14ac:dyDescent="0.3">
      <c r="A253" s="17"/>
      <c r="B253" s="17"/>
      <c r="C253" s="17"/>
      <c r="D253" s="17"/>
      <c r="E253" s="17"/>
    </row>
    <row r="254" spans="1:5" x14ac:dyDescent="0.3">
      <c r="A254" s="17"/>
      <c r="B254" s="17"/>
      <c r="C254" s="17"/>
      <c r="D254" s="17"/>
      <c r="E254" s="17"/>
    </row>
    <row r="255" spans="1:5" x14ac:dyDescent="0.3">
      <c r="A255" s="17"/>
      <c r="B255" s="17"/>
      <c r="C255" s="17"/>
      <c r="D255" s="17"/>
      <c r="E255" s="17"/>
    </row>
    <row r="256" spans="1:5" x14ac:dyDescent="0.3">
      <c r="A256" s="17"/>
      <c r="B256" s="17"/>
      <c r="C256" s="17"/>
      <c r="D256" s="17"/>
      <c r="E256" s="17"/>
    </row>
    <row r="257" spans="1:5" x14ac:dyDescent="0.3">
      <c r="A257" s="17"/>
      <c r="B257" s="17"/>
      <c r="C257" s="17"/>
      <c r="D257" s="17"/>
      <c r="E257" s="17"/>
    </row>
    <row r="258" spans="1:5" x14ac:dyDescent="0.3">
      <c r="A258" s="17"/>
      <c r="B258" s="17"/>
      <c r="C258" s="17"/>
      <c r="D258" s="17"/>
      <c r="E258" s="17"/>
    </row>
    <row r="259" spans="1:5" x14ac:dyDescent="0.3">
      <c r="A259" s="17"/>
      <c r="B259" s="17"/>
      <c r="C259" s="17"/>
      <c r="D259" s="17"/>
      <c r="E259" s="17"/>
    </row>
    <row r="260" spans="1:5" x14ac:dyDescent="0.3">
      <c r="A260" s="17"/>
      <c r="B260" s="17"/>
      <c r="C260" s="17"/>
      <c r="D260" s="17"/>
      <c r="E260" s="17"/>
    </row>
    <row r="261" spans="1:5" x14ac:dyDescent="0.3">
      <c r="A261" s="17"/>
      <c r="B261" s="17"/>
      <c r="C261" s="17"/>
      <c r="D261" s="17"/>
      <c r="E261" s="17"/>
    </row>
    <row r="262" spans="1:5" x14ac:dyDescent="0.3">
      <c r="A262" s="17"/>
      <c r="B262" s="17"/>
      <c r="C262" s="17"/>
      <c r="D262" s="17"/>
      <c r="E262" s="17"/>
    </row>
    <row r="263" spans="1:5" x14ac:dyDescent="0.3">
      <c r="A263" s="17"/>
      <c r="B263" s="17"/>
      <c r="C263" s="17"/>
      <c r="D263" s="17"/>
      <c r="E263" s="17"/>
    </row>
    <row r="264" spans="1:5" x14ac:dyDescent="0.3">
      <c r="A264" s="17"/>
      <c r="B264" s="17"/>
      <c r="C264" s="17"/>
      <c r="D264" s="17"/>
      <c r="E264" s="17"/>
    </row>
    <row r="265" spans="1:5" x14ac:dyDescent="0.3">
      <c r="A265" s="17"/>
      <c r="B265" s="17"/>
      <c r="C265" s="17"/>
      <c r="D265" s="17"/>
      <c r="E265" s="17"/>
    </row>
    <row r="266" spans="1:5" x14ac:dyDescent="0.3">
      <c r="A266" s="17"/>
      <c r="B266" s="17"/>
      <c r="C266" s="17"/>
      <c r="D266" s="17"/>
      <c r="E266" s="17"/>
    </row>
    <row r="267" spans="1:5" x14ac:dyDescent="0.3">
      <c r="A267" s="17"/>
      <c r="B267" s="17"/>
      <c r="C267" s="17"/>
      <c r="D267" s="17"/>
      <c r="E267" s="17"/>
    </row>
    <row r="268" spans="1:5" x14ac:dyDescent="0.3">
      <c r="A268" s="17"/>
      <c r="B268" s="17"/>
      <c r="C268" s="17"/>
      <c r="D268" s="17"/>
      <c r="E268" s="17"/>
    </row>
    <row r="269" spans="1:5" x14ac:dyDescent="0.3">
      <c r="A269" s="17"/>
      <c r="B269" s="17"/>
      <c r="C269" s="17"/>
      <c r="D269" s="17"/>
      <c r="E269" s="17"/>
    </row>
    <row r="270" spans="1:5" x14ac:dyDescent="0.3">
      <c r="A270" s="17"/>
      <c r="B270" s="17"/>
      <c r="C270" s="17"/>
      <c r="D270" s="17"/>
      <c r="E270" s="17"/>
    </row>
    <row r="271" spans="1:5" x14ac:dyDescent="0.3">
      <c r="A271" s="17"/>
      <c r="B271" s="17"/>
      <c r="C271" s="17"/>
      <c r="D271" s="17"/>
      <c r="E271" s="17"/>
    </row>
    <row r="272" spans="1:5" x14ac:dyDescent="0.3">
      <c r="A272" s="17"/>
      <c r="B272" s="17"/>
      <c r="C272" s="17"/>
      <c r="D272" s="17"/>
      <c r="E272" s="17"/>
    </row>
    <row r="273" spans="1:5" x14ac:dyDescent="0.3">
      <c r="A273" s="17"/>
      <c r="B273" s="17"/>
      <c r="C273" s="17"/>
      <c r="D273" s="17"/>
      <c r="E273" s="17"/>
    </row>
    <row r="274" spans="1:5" x14ac:dyDescent="0.3">
      <c r="A274" s="17"/>
      <c r="B274" s="17"/>
      <c r="C274" s="17"/>
      <c r="D274" s="17"/>
      <c r="E274" s="17"/>
    </row>
    <row r="275" spans="1:5" x14ac:dyDescent="0.3">
      <c r="A275" s="17"/>
      <c r="B275" s="17"/>
      <c r="C275" s="17"/>
      <c r="D275" s="17"/>
      <c r="E275" s="17"/>
    </row>
    <row r="276" spans="1:5" x14ac:dyDescent="0.3">
      <c r="A276" s="17"/>
      <c r="B276" s="17"/>
      <c r="C276" s="17"/>
      <c r="D276" s="17"/>
      <c r="E276" s="17"/>
    </row>
    <row r="277" spans="1:5" x14ac:dyDescent="0.3">
      <c r="A277" s="17"/>
      <c r="B277" s="17"/>
      <c r="C277" s="17"/>
      <c r="D277" s="17"/>
      <c r="E277" s="17"/>
    </row>
    <row r="278" spans="1:5" x14ac:dyDescent="0.3">
      <c r="A278" s="17"/>
      <c r="B278" s="17"/>
      <c r="C278" s="17"/>
      <c r="D278" s="17"/>
      <c r="E278" s="17"/>
    </row>
    <row r="279" spans="1:5" x14ac:dyDescent="0.3">
      <c r="A279" s="17"/>
      <c r="B279" s="17"/>
      <c r="C279" s="17"/>
      <c r="D279" s="17"/>
      <c r="E279" s="17"/>
    </row>
    <row r="280" spans="1:5" x14ac:dyDescent="0.3">
      <c r="A280" s="17"/>
      <c r="B280" s="17"/>
      <c r="C280" s="17"/>
      <c r="D280" s="17"/>
      <c r="E280" s="17"/>
    </row>
    <row r="281" spans="1:5" x14ac:dyDescent="0.3">
      <c r="A281" s="17"/>
      <c r="B281" s="17"/>
      <c r="C281" s="17"/>
      <c r="D281" s="17"/>
      <c r="E281" s="17"/>
    </row>
    <row r="282" spans="1:5" x14ac:dyDescent="0.3">
      <c r="A282" s="17"/>
      <c r="B282" s="17"/>
      <c r="C282" s="17"/>
      <c r="D282" s="17"/>
      <c r="E282" s="17"/>
    </row>
    <row r="283" spans="1:5" x14ac:dyDescent="0.3">
      <c r="A283" s="17"/>
      <c r="B283" s="17"/>
      <c r="C283" s="17"/>
      <c r="D283" s="17"/>
      <c r="E283" s="17"/>
    </row>
    <row r="284" spans="1:5" x14ac:dyDescent="0.3">
      <c r="A284" s="17"/>
      <c r="B284" s="17"/>
      <c r="C284" s="17"/>
      <c r="D284" s="17"/>
      <c r="E284" s="17"/>
    </row>
    <row r="285" spans="1:5" x14ac:dyDescent="0.3">
      <c r="A285" s="17"/>
      <c r="B285" s="17"/>
      <c r="C285" s="17"/>
      <c r="D285" s="17"/>
      <c r="E285" s="17"/>
    </row>
    <row r="286" spans="1:5" x14ac:dyDescent="0.3">
      <c r="A286" s="17"/>
      <c r="B286" s="17"/>
      <c r="C286" s="17"/>
      <c r="D286" s="17"/>
      <c r="E286" s="17"/>
    </row>
    <row r="287" spans="1:5" x14ac:dyDescent="0.3">
      <c r="A287" s="17"/>
      <c r="B287" s="17"/>
      <c r="C287" s="17"/>
      <c r="D287" s="17"/>
      <c r="E287" s="17"/>
    </row>
    <row r="288" spans="1:5" x14ac:dyDescent="0.3">
      <c r="A288" s="17"/>
      <c r="B288" s="17"/>
      <c r="C288" s="17"/>
      <c r="D288" s="17"/>
      <c r="E288" s="17"/>
    </row>
    <row r="289" spans="1:5" x14ac:dyDescent="0.3">
      <c r="A289" s="17"/>
      <c r="B289" s="17"/>
      <c r="C289" s="17"/>
      <c r="D289" s="17"/>
      <c r="E289" s="17"/>
    </row>
    <row r="290" spans="1:5" x14ac:dyDescent="0.3">
      <c r="A290" s="17"/>
      <c r="B290" s="17"/>
      <c r="C290" s="17"/>
      <c r="D290" s="17"/>
      <c r="E290" s="17"/>
    </row>
    <row r="291" spans="1:5" x14ac:dyDescent="0.3">
      <c r="A291" s="17"/>
      <c r="B291" s="17"/>
      <c r="C291" s="17"/>
      <c r="D291" s="17"/>
      <c r="E291" s="17"/>
    </row>
    <row r="292" spans="1:5" x14ac:dyDescent="0.3">
      <c r="A292" s="17"/>
      <c r="B292" s="17"/>
      <c r="C292" s="17"/>
      <c r="D292" s="17"/>
      <c r="E292" s="17"/>
    </row>
    <row r="293" spans="1:5" x14ac:dyDescent="0.3">
      <c r="A293" s="17"/>
      <c r="B293" s="17"/>
      <c r="C293" s="17"/>
      <c r="D293" s="17"/>
      <c r="E293" s="17"/>
    </row>
    <row r="294" spans="1:5" x14ac:dyDescent="0.3">
      <c r="A294" s="17"/>
      <c r="B294" s="17"/>
      <c r="C294" s="17"/>
      <c r="D294" s="17"/>
      <c r="E294" s="17"/>
    </row>
    <row r="295" spans="1:5" x14ac:dyDescent="0.3">
      <c r="A295" s="17"/>
      <c r="B295" s="17"/>
      <c r="C295" s="17"/>
      <c r="D295" s="17"/>
      <c r="E295" s="17"/>
    </row>
    <row r="296" spans="1:5" x14ac:dyDescent="0.3">
      <c r="A296" s="17"/>
      <c r="B296" s="17"/>
      <c r="C296" s="17"/>
      <c r="D296" s="17"/>
      <c r="E296" s="17"/>
    </row>
    <row r="297" spans="1:5" x14ac:dyDescent="0.3">
      <c r="A297" s="17"/>
      <c r="B297" s="17"/>
      <c r="C297" s="17"/>
      <c r="D297" s="17"/>
      <c r="E297" s="17"/>
    </row>
    <row r="298" spans="1:5" x14ac:dyDescent="0.3">
      <c r="A298" s="17"/>
      <c r="B298" s="17"/>
      <c r="C298" s="17"/>
      <c r="D298" s="17"/>
      <c r="E298" s="17"/>
    </row>
    <row r="299" spans="1:5" x14ac:dyDescent="0.3">
      <c r="A299" s="17"/>
      <c r="B299" s="17"/>
      <c r="C299" s="17"/>
      <c r="D299" s="17"/>
      <c r="E299" s="17"/>
    </row>
    <row r="300" spans="1:5" x14ac:dyDescent="0.3">
      <c r="A300" s="17"/>
      <c r="B300" s="17"/>
      <c r="C300" s="17"/>
      <c r="D300" s="17"/>
      <c r="E300" s="17"/>
    </row>
    <row r="301" spans="1:5" x14ac:dyDescent="0.3">
      <c r="A301" s="17"/>
      <c r="B301" s="17"/>
      <c r="C301" s="17"/>
      <c r="D301" s="17"/>
      <c r="E301" s="17"/>
    </row>
    <row r="302" spans="1:5" x14ac:dyDescent="0.3">
      <c r="A302" s="17"/>
      <c r="B302" s="17"/>
      <c r="C302" s="17"/>
      <c r="D302" s="17"/>
      <c r="E302" s="17"/>
    </row>
    <row r="303" spans="1:5" x14ac:dyDescent="0.3">
      <c r="A303" s="17"/>
      <c r="B303" s="17"/>
      <c r="C303" s="17"/>
      <c r="D303" s="17"/>
      <c r="E303" s="17"/>
    </row>
    <row r="304" spans="1:5" x14ac:dyDescent="0.3">
      <c r="A304" s="17"/>
      <c r="B304" s="17"/>
      <c r="C304" s="17"/>
      <c r="D304" s="17"/>
      <c r="E304" s="17"/>
    </row>
    <row r="305" spans="1:5" x14ac:dyDescent="0.3">
      <c r="A305" s="17"/>
      <c r="B305" s="17"/>
      <c r="C305" s="17"/>
      <c r="D305" s="17"/>
      <c r="E305" s="17"/>
    </row>
    <row r="306" spans="1:5" x14ac:dyDescent="0.3">
      <c r="A306" s="17"/>
      <c r="B306" s="17"/>
      <c r="C306" s="17"/>
      <c r="D306" s="17"/>
      <c r="E306" s="17"/>
    </row>
    <row r="307" spans="1:5" x14ac:dyDescent="0.3">
      <c r="A307" s="17"/>
      <c r="B307" s="17"/>
      <c r="C307" s="17"/>
      <c r="D307" s="17"/>
      <c r="E307" s="17"/>
    </row>
    <row r="308" spans="1:5" x14ac:dyDescent="0.3">
      <c r="A308" s="17"/>
      <c r="B308" s="17"/>
      <c r="C308" s="17"/>
      <c r="D308" s="17"/>
      <c r="E308" s="17"/>
    </row>
    <row r="309" spans="1:5" x14ac:dyDescent="0.3">
      <c r="A309" s="17"/>
      <c r="B309" s="17"/>
      <c r="C309" s="17"/>
      <c r="D309" s="17"/>
      <c r="E309" s="17"/>
    </row>
    <row r="310" spans="1:5" x14ac:dyDescent="0.3">
      <c r="A310" s="17"/>
      <c r="B310" s="17"/>
      <c r="C310" s="17"/>
      <c r="D310" s="17"/>
      <c r="E310" s="17"/>
    </row>
    <row r="311" spans="1:5" x14ac:dyDescent="0.3">
      <c r="A311" s="17"/>
      <c r="B311" s="17"/>
      <c r="C311" s="17"/>
      <c r="D311" s="17"/>
      <c r="E311" s="17"/>
    </row>
    <row r="312" spans="1:5" x14ac:dyDescent="0.3">
      <c r="A312" s="17"/>
      <c r="B312" s="17"/>
      <c r="C312" s="17"/>
      <c r="D312" s="17"/>
      <c r="E312" s="17"/>
    </row>
    <row r="313" spans="1:5" x14ac:dyDescent="0.3">
      <c r="A313" s="17"/>
      <c r="B313" s="17"/>
      <c r="C313" s="17"/>
      <c r="D313" s="17"/>
      <c r="E313" s="17"/>
    </row>
    <row r="314" spans="1:5" x14ac:dyDescent="0.3">
      <c r="A314" s="17"/>
      <c r="B314" s="17"/>
      <c r="C314" s="17"/>
      <c r="D314" s="17"/>
      <c r="E314" s="17"/>
    </row>
    <row r="315" spans="1:5" x14ac:dyDescent="0.3">
      <c r="A315" s="17"/>
      <c r="B315" s="17"/>
      <c r="C315" s="17"/>
      <c r="D315" s="17"/>
      <c r="E315" s="17"/>
    </row>
    <row r="316" spans="1:5" x14ac:dyDescent="0.3">
      <c r="A316" s="17"/>
      <c r="B316" s="17"/>
      <c r="C316" s="17"/>
      <c r="D316" s="17"/>
      <c r="E316" s="17"/>
    </row>
    <row r="317" spans="1:5" x14ac:dyDescent="0.3">
      <c r="A317" s="17"/>
      <c r="B317" s="17"/>
      <c r="C317" s="17"/>
      <c r="D317" s="17"/>
      <c r="E317" s="17"/>
    </row>
    <row r="318" spans="1:5" x14ac:dyDescent="0.3">
      <c r="A318" s="17"/>
      <c r="B318" s="17"/>
      <c r="C318" s="17"/>
      <c r="D318" s="17"/>
      <c r="E318" s="17"/>
    </row>
    <row r="319" spans="1:5" x14ac:dyDescent="0.3">
      <c r="A319" s="17"/>
      <c r="B319" s="17"/>
      <c r="C319" s="17"/>
      <c r="D319" s="17"/>
      <c r="E319" s="17"/>
    </row>
    <row r="320" spans="1:5" x14ac:dyDescent="0.3">
      <c r="A320" s="17"/>
      <c r="B320" s="17"/>
      <c r="C320" s="17"/>
      <c r="D320" s="17"/>
      <c r="E320" s="17"/>
    </row>
    <row r="321" spans="1:5" x14ac:dyDescent="0.3">
      <c r="A321" s="17"/>
      <c r="B321" s="17"/>
      <c r="C321" s="17"/>
      <c r="D321" s="17"/>
      <c r="E321" s="17"/>
    </row>
    <row r="322" spans="1:5" x14ac:dyDescent="0.3">
      <c r="A322" s="17"/>
      <c r="B322" s="17"/>
      <c r="C322" s="17"/>
      <c r="D322" s="17"/>
      <c r="E322" s="17"/>
    </row>
    <row r="323" spans="1:5" x14ac:dyDescent="0.3">
      <c r="A323" s="17"/>
      <c r="B323" s="17"/>
      <c r="C323" s="17"/>
      <c r="D323" s="17"/>
      <c r="E323" s="17"/>
    </row>
    <row r="324" spans="1:5" x14ac:dyDescent="0.3">
      <c r="A324" s="17"/>
      <c r="B324" s="17"/>
      <c r="C324" s="17"/>
      <c r="D324" s="17"/>
      <c r="E324" s="17"/>
    </row>
    <row r="325" spans="1:5" x14ac:dyDescent="0.3">
      <c r="A325" s="17"/>
      <c r="B325" s="17"/>
      <c r="C325" s="17"/>
      <c r="D325" s="17"/>
      <c r="E325" s="17"/>
    </row>
    <row r="326" spans="1:5" x14ac:dyDescent="0.3">
      <c r="A326" s="17"/>
      <c r="B326" s="17"/>
      <c r="C326" s="17"/>
      <c r="D326" s="17"/>
      <c r="E326" s="17"/>
    </row>
    <row r="327" spans="1:5" x14ac:dyDescent="0.3">
      <c r="A327" s="17"/>
      <c r="B327" s="17"/>
      <c r="C327" s="17"/>
      <c r="D327" s="17"/>
      <c r="E327" s="17"/>
    </row>
    <row r="328" spans="1:5" x14ac:dyDescent="0.3">
      <c r="A328" s="17"/>
      <c r="B328" s="17"/>
      <c r="C328" s="17"/>
      <c r="D328" s="17"/>
      <c r="E328" s="17"/>
    </row>
    <row r="329" spans="1:5" x14ac:dyDescent="0.3">
      <c r="A329" s="17"/>
      <c r="B329" s="17"/>
      <c r="C329" s="17"/>
      <c r="D329" s="17"/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92F4C-47D3-4B27-8B6F-26D504114D26}">
  <sheetPr codeName="Sheet32"/>
  <dimension ref="A1:M689"/>
  <sheetViews>
    <sheetView workbookViewId="0">
      <selection activeCell="A2" sqref="A2:E68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2395</v>
      </c>
      <c r="C2" s="17">
        <v>100</v>
      </c>
      <c r="D2" s="17">
        <v>88</v>
      </c>
      <c r="E2" s="17">
        <v>105</v>
      </c>
    </row>
    <row r="3" spans="1:13" customFormat="1" x14ac:dyDescent="0.3">
      <c r="A3" s="17" t="s">
        <v>1</v>
      </c>
      <c r="B3" s="17" t="s">
        <v>138</v>
      </c>
      <c r="C3" s="17">
        <v>60</v>
      </c>
      <c r="D3" s="17">
        <v>47</v>
      </c>
      <c r="E3" s="17">
        <v>63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95</v>
      </c>
      <c r="D4" s="17">
        <v>39</v>
      </c>
      <c r="E4" s="17">
        <v>149</v>
      </c>
      <c r="G4" s="23" t="s">
        <v>8</v>
      </c>
      <c r="H4" s="19">
        <f>H13+H14</f>
        <v>1096</v>
      </c>
      <c r="I4" s="20">
        <f>H4/H$6</f>
        <v>0.70346598202824129</v>
      </c>
      <c r="J4" s="19">
        <f>I13+I14</f>
        <v>626</v>
      </c>
      <c r="K4" s="20">
        <f>J4/J$6</f>
        <v>0.62103174603174605</v>
      </c>
      <c r="L4" s="19">
        <f>J13+J14</f>
        <v>1267</v>
      </c>
      <c r="M4" s="29">
        <f>L4/L$6</f>
        <v>0.70703125</v>
      </c>
    </row>
    <row r="5" spans="1:13" customFormat="1" x14ac:dyDescent="0.3">
      <c r="A5" s="17" t="s">
        <v>1</v>
      </c>
      <c r="B5" s="17" t="s">
        <v>365</v>
      </c>
      <c r="C5" s="17">
        <v>29</v>
      </c>
      <c r="D5" s="17">
        <v>23</v>
      </c>
      <c r="E5" s="17">
        <v>29</v>
      </c>
      <c r="G5" s="23" t="s">
        <v>10</v>
      </c>
      <c r="H5" s="19">
        <f>H15+H16</f>
        <v>462</v>
      </c>
      <c r="I5" s="20">
        <f>H5/H$6</f>
        <v>0.29653401797175866</v>
      </c>
      <c r="J5" s="19">
        <f>I15+I16</f>
        <v>382</v>
      </c>
      <c r="K5" s="20">
        <f>J5/J$6</f>
        <v>0.37896825396825395</v>
      </c>
      <c r="L5" s="19">
        <f>J15+J16</f>
        <v>525</v>
      </c>
      <c r="M5" s="29">
        <f>L5/L$6</f>
        <v>0.29296875</v>
      </c>
    </row>
    <row r="6" spans="1:13" customFormat="1" ht="17.25" thickBot="1" x14ac:dyDescent="0.35">
      <c r="A6" s="17" t="s">
        <v>1</v>
      </c>
      <c r="B6" s="17" t="s">
        <v>199</v>
      </c>
      <c r="C6" s="17">
        <v>20</v>
      </c>
      <c r="D6" s="17">
        <v>20</v>
      </c>
      <c r="E6" s="17">
        <v>21</v>
      </c>
      <c r="G6" s="26"/>
      <c r="H6" s="30">
        <f>SUM(H4:H5)</f>
        <v>1558</v>
      </c>
      <c r="I6" s="31">
        <f>I4+I5</f>
        <v>1</v>
      </c>
      <c r="J6" s="30">
        <f>SUM(J4:J5)</f>
        <v>1008</v>
      </c>
      <c r="K6" s="31">
        <f>K4+K5</f>
        <v>1</v>
      </c>
      <c r="L6" s="30">
        <f>SUM(L4:L5)</f>
        <v>1792</v>
      </c>
      <c r="M6" s="32">
        <f>M4+M5</f>
        <v>1</v>
      </c>
    </row>
    <row r="7" spans="1:13" customFormat="1" x14ac:dyDescent="0.3">
      <c r="A7" s="17" t="s">
        <v>0</v>
      </c>
      <c r="B7" s="17" t="s">
        <v>29</v>
      </c>
      <c r="C7" s="17">
        <v>16</v>
      </c>
      <c r="D7" s="17">
        <v>16</v>
      </c>
      <c r="E7" s="17">
        <v>19</v>
      </c>
    </row>
    <row r="8" spans="1:13" customFormat="1" x14ac:dyDescent="0.3">
      <c r="A8" s="17" t="s">
        <v>0</v>
      </c>
      <c r="B8" s="17" t="s">
        <v>163</v>
      </c>
      <c r="C8" s="17">
        <v>14</v>
      </c>
      <c r="D8" s="17">
        <v>13</v>
      </c>
      <c r="E8" s="17">
        <v>13</v>
      </c>
    </row>
    <row r="9" spans="1:13" customFormat="1" x14ac:dyDescent="0.3">
      <c r="A9" s="17" t="s">
        <v>1</v>
      </c>
      <c r="B9" s="17" t="s">
        <v>37</v>
      </c>
      <c r="C9" s="17">
        <v>15</v>
      </c>
      <c r="D9" s="17">
        <v>12</v>
      </c>
      <c r="E9" s="17">
        <v>17</v>
      </c>
    </row>
    <row r="10" spans="1:13" customFormat="1" ht="17.25" thickBot="1" x14ac:dyDescent="0.35">
      <c r="A10" s="17" t="s">
        <v>1</v>
      </c>
      <c r="B10" s="17" t="s">
        <v>2395</v>
      </c>
      <c r="C10" s="17">
        <v>18</v>
      </c>
      <c r="D10" s="17">
        <v>11</v>
      </c>
      <c r="E10" s="17">
        <v>21</v>
      </c>
    </row>
    <row r="11" spans="1:13" x14ac:dyDescent="0.3">
      <c r="A11" s="17" t="s">
        <v>0</v>
      </c>
      <c r="B11" s="17" t="s">
        <v>199</v>
      </c>
      <c r="C11" s="17">
        <v>11</v>
      </c>
      <c r="D11" s="17">
        <v>11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15</v>
      </c>
      <c r="D12" s="17">
        <v>10</v>
      </c>
      <c r="E12" s="17">
        <v>25</v>
      </c>
      <c r="G12" s="23"/>
      <c r="H12" s="21">
        <f t="shared" ref="H12:J12" si="0">SUM(H13:H16)</f>
        <v>1558</v>
      </c>
      <c r="I12" s="21">
        <f t="shared" si="0"/>
        <v>1008</v>
      </c>
      <c r="J12" s="24">
        <f t="shared" si="0"/>
        <v>1792</v>
      </c>
    </row>
    <row r="13" spans="1:13" x14ac:dyDescent="0.3">
      <c r="A13" s="17" t="s">
        <v>0</v>
      </c>
      <c r="B13" s="17" t="s">
        <v>2075</v>
      </c>
      <c r="C13" s="17">
        <v>10</v>
      </c>
      <c r="D13" s="17">
        <v>10</v>
      </c>
      <c r="E13" s="17">
        <v>11</v>
      </c>
      <c r="G13" s="23" t="s">
        <v>7</v>
      </c>
      <c r="H13" s="22">
        <f t="shared" ref="H13:J16" si="1">SUMIF($A$2:$A$9999,$G13,C$2:C$9999)</f>
        <v>1096</v>
      </c>
      <c r="I13" s="22">
        <f t="shared" si="1"/>
        <v>626</v>
      </c>
      <c r="J13" s="25">
        <f t="shared" si="1"/>
        <v>1267</v>
      </c>
    </row>
    <row r="14" spans="1:13" x14ac:dyDescent="0.3">
      <c r="A14" s="17" t="s">
        <v>0</v>
      </c>
      <c r="B14" s="17" t="s">
        <v>40</v>
      </c>
      <c r="C14" s="17">
        <v>10</v>
      </c>
      <c r="D14" s="17">
        <v>9</v>
      </c>
      <c r="E14" s="17">
        <v>11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39</v>
      </c>
      <c r="C15" s="17">
        <v>12</v>
      </c>
      <c r="D15" s="17">
        <v>9</v>
      </c>
      <c r="E15" s="17">
        <v>14</v>
      </c>
      <c r="G15" s="23" t="s">
        <v>11</v>
      </c>
      <c r="H15" s="22">
        <f t="shared" si="1"/>
        <v>433</v>
      </c>
      <c r="I15" s="22">
        <f t="shared" si="1"/>
        <v>358</v>
      </c>
      <c r="J15" s="25">
        <f t="shared" si="1"/>
        <v>492</v>
      </c>
    </row>
    <row r="16" spans="1:13" ht="17.25" thickBot="1" x14ac:dyDescent="0.35">
      <c r="A16" s="17" t="s">
        <v>1</v>
      </c>
      <c r="B16" s="17" t="s">
        <v>2396</v>
      </c>
      <c r="C16" s="17">
        <v>40</v>
      </c>
      <c r="D16" s="17">
        <v>8</v>
      </c>
      <c r="E16" s="17">
        <v>54</v>
      </c>
      <c r="G16" s="26" t="s">
        <v>12</v>
      </c>
      <c r="H16" s="27">
        <f t="shared" si="1"/>
        <v>29</v>
      </c>
      <c r="I16" s="27">
        <f t="shared" si="1"/>
        <v>24</v>
      </c>
      <c r="J16" s="28">
        <f t="shared" si="1"/>
        <v>33</v>
      </c>
    </row>
    <row r="17" spans="1:5" x14ac:dyDescent="0.3">
      <c r="A17" s="17" t="s">
        <v>0</v>
      </c>
      <c r="B17" s="17" t="s">
        <v>31</v>
      </c>
      <c r="C17" s="17">
        <v>8</v>
      </c>
      <c r="D17" s="17">
        <v>8</v>
      </c>
      <c r="E17" s="17">
        <v>10</v>
      </c>
    </row>
    <row r="18" spans="1:5" x14ac:dyDescent="0.3">
      <c r="A18" s="17" t="s">
        <v>1</v>
      </c>
      <c r="B18" s="17" t="s">
        <v>48</v>
      </c>
      <c r="C18" s="17">
        <v>8</v>
      </c>
      <c r="D18" s="17">
        <v>7</v>
      </c>
      <c r="E18" s="17">
        <v>11</v>
      </c>
    </row>
    <row r="19" spans="1:5" x14ac:dyDescent="0.3">
      <c r="A19" s="17" t="s">
        <v>0</v>
      </c>
      <c r="B19" s="17" t="s">
        <v>168</v>
      </c>
      <c r="C19" s="17">
        <v>7</v>
      </c>
      <c r="D19" s="17">
        <v>7</v>
      </c>
      <c r="E19" s="17">
        <v>9</v>
      </c>
    </row>
    <row r="20" spans="1:5" x14ac:dyDescent="0.3">
      <c r="A20" s="17" t="s">
        <v>1</v>
      </c>
      <c r="B20" s="17" t="s">
        <v>36</v>
      </c>
      <c r="C20" s="17">
        <v>6</v>
      </c>
      <c r="D20" s="17">
        <v>6</v>
      </c>
      <c r="E20" s="17">
        <v>8</v>
      </c>
    </row>
    <row r="21" spans="1:5" x14ac:dyDescent="0.3">
      <c r="A21" s="17" t="s">
        <v>1</v>
      </c>
      <c r="B21" s="17" t="s">
        <v>29</v>
      </c>
      <c r="C21" s="17">
        <v>6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39</v>
      </c>
      <c r="C22" s="17">
        <v>19</v>
      </c>
      <c r="D22" s="17">
        <v>6</v>
      </c>
      <c r="E22" s="17">
        <v>31</v>
      </c>
    </row>
    <row r="23" spans="1:5" x14ac:dyDescent="0.3">
      <c r="A23" s="17" t="s">
        <v>2</v>
      </c>
      <c r="B23" s="17" t="s">
        <v>897</v>
      </c>
      <c r="C23" s="17">
        <v>6</v>
      </c>
      <c r="D23" s="17">
        <v>6</v>
      </c>
      <c r="E23" s="17">
        <v>7</v>
      </c>
    </row>
    <row r="24" spans="1:5" x14ac:dyDescent="0.3">
      <c r="A24" s="17" t="s">
        <v>1</v>
      </c>
      <c r="B24" s="17" t="s">
        <v>140</v>
      </c>
      <c r="C24" s="17">
        <v>5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152</v>
      </c>
      <c r="C25" s="17">
        <v>9</v>
      </c>
      <c r="D25" s="17">
        <v>5</v>
      </c>
      <c r="E25" s="17">
        <v>9</v>
      </c>
    </row>
    <row r="26" spans="1:5" x14ac:dyDescent="0.3">
      <c r="A26" s="17" t="s">
        <v>1</v>
      </c>
      <c r="B26" s="17" t="s">
        <v>2075</v>
      </c>
      <c r="C26" s="17">
        <v>6</v>
      </c>
      <c r="D26" s="17">
        <v>5</v>
      </c>
      <c r="E26" s="17">
        <v>6</v>
      </c>
    </row>
    <row r="27" spans="1:5" x14ac:dyDescent="0.3">
      <c r="A27" s="17" t="s">
        <v>1</v>
      </c>
      <c r="B27" s="17" t="s">
        <v>1110</v>
      </c>
      <c r="C27" s="17">
        <v>5</v>
      </c>
      <c r="D27" s="17">
        <v>5</v>
      </c>
      <c r="E27" s="17">
        <v>6</v>
      </c>
    </row>
    <row r="28" spans="1:5" x14ac:dyDescent="0.3">
      <c r="A28" s="17" t="s">
        <v>1</v>
      </c>
      <c r="B28" s="17" t="s">
        <v>120</v>
      </c>
      <c r="C28" s="17">
        <v>7</v>
      </c>
      <c r="D28" s="17">
        <v>5</v>
      </c>
      <c r="E28" s="17">
        <v>7</v>
      </c>
    </row>
    <row r="29" spans="1:5" x14ac:dyDescent="0.3">
      <c r="A29" s="17" t="s">
        <v>0</v>
      </c>
      <c r="B29" s="17" t="s">
        <v>2397</v>
      </c>
      <c r="C29" s="17">
        <v>6</v>
      </c>
      <c r="D29" s="17">
        <v>5</v>
      </c>
      <c r="E29" s="17">
        <v>9</v>
      </c>
    </row>
    <row r="30" spans="1:5" x14ac:dyDescent="0.3">
      <c r="A30" s="17" t="s">
        <v>1</v>
      </c>
      <c r="B30" s="17" t="s">
        <v>61</v>
      </c>
      <c r="C30" s="17">
        <v>4</v>
      </c>
      <c r="D30" s="17">
        <v>4</v>
      </c>
      <c r="E30" s="17">
        <v>5</v>
      </c>
    </row>
    <row r="31" spans="1:5" x14ac:dyDescent="0.3">
      <c r="A31" s="17" t="s">
        <v>1</v>
      </c>
      <c r="B31" s="17" t="s">
        <v>2398</v>
      </c>
      <c r="C31" s="17">
        <v>7</v>
      </c>
      <c r="D31" s="17">
        <v>4</v>
      </c>
      <c r="E31" s="17">
        <v>8</v>
      </c>
    </row>
    <row r="32" spans="1:5" x14ac:dyDescent="0.3">
      <c r="A32" s="17" t="s">
        <v>1</v>
      </c>
      <c r="B32" s="17" t="s">
        <v>106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51</v>
      </c>
      <c r="C33" s="17">
        <v>6</v>
      </c>
      <c r="D33" s="17">
        <v>4</v>
      </c>
      <c r="E33" s="17">
        <v>6</v>
      </c>
    </row>
    <row r="34" spans="1:5" x14ac:dyDescent="0.3">
      <c r="A34" s="17" t="s">
        <v>1</v>
      </c>
      <c r="B34" s="17" t="s">
        <v>200</v>
      </c>
      <c r="C34" s="17">
        <v>6</v>
      </c>
      <c r="D34" s="17">
        <v>4</v>
      </c>
      <c r="E34" s="17">
        <v>7</v>
      </c>
    </row>
    <row r="35" spans="1:5" x14ac:dyDescent="0.3">
      <c r="A35" s="17" t="s">
        <v>1</v>
      </c>
      <c r="B35" s="17" t="s">
        <v>31</v>
      </c>
      <c r="C35" s="17">
        <v>5</v>
      </c>
      <c r="D35" s="17">
        <v>4</v>
      </c>
      <c r="E35" s="17">
        <v>4</v>
      </c>
    </row>
    <row r="36" spans="1:5" x14ac:dyDescent="0.3">
      <c r="A36" s="17" t="s">
        <v>0</v>
      </c>
      <c r="B36" s="17" t="s">
        <v>1927</v>
      </c>
      <c r="C36" s="17">
        <v>4</v>
      </c>
      <c r="D36" s="17">
        <v>4</v>
      </c>
      <c r="E36" s="17">
        <v>4</v>
      </c>
    </row>
    <row r="37" spans="1:5" x14ac:dyDescent="0.3">
      <c r="A37" s="17" t="s">
        <v>0</v>
      </c>
      <c r="B37" s="17" t="s">
        <v>2396</v>
      </c>
      <c r="C37" s="17">
        <v>14</v>
      </c>
      <c r="D37" s="17">
        <v>4</v>
      </c>
      <c r="E37" s="17">
        <v>18</v>
      </c>
    </row>
    <row r="38" spans="1:5" x14ac:dyDescent="0.3">
      <c r="A38" s="17" t="s">
        <v>1</v>
      </c>
      <c r="B38" s="17" t="s">
        <v>242</v>
      </c>
      <c r="C38" s="17">
        <v>3</v>
      </c>
      <c r="D38" s="17">
        <v>3</v>
      </c>
      <c r="E38" s="17">
        <v>3</v>
      </c>
    </row>
    <row r="39" spans="1:5" x14ac:dyDescent="0.3">
      <c r="A39" s="17" t="s">
        <v>1</v>
      </c>
      <c r="B39" s="17" t="s">
        <v>273</v>
      </c>
      <c r="C39" s="17">
        <v>3</v>
      </c>
      <c r="D39" s="17">
        <v>3</v>
      </c>
      <c r="E39" s="17">
        <v>4</v>
      </c>
    </row>
    <row r="40" spans="1:5" x14ac:dyDescent="0.3">
      <c r="A40" s="17" t="s">
        <v>1</v>
      </c>
      <c r="B40" s="17" t="s">
        <v>906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89</v>
      </c>
      <c r="C41" s="17">
        <v>3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281</v>
      </c>
      <c r="C42" s="17">
        <v>5</v>
      </c>
      <c r="D42" s="17">
        <v>3</v>
      </c>
      <c r="E42" s="17">
        <v>6</v>
      </c>
    </row>
    <row r="43" spans="1:5" x14ac:dyDescent="0.3">
      <c r="A43" s="17" t="s">
        <v>1</v>
      </c>
      <c r="B43" s="17" t="s">
        <v>156</v>
      </c>
      <c r="C43" s="17">
        <v>4</v>
      </c>
      <c r="D43" s="17">
        <v>3</v>
      </c>
      <c r="E43" s="17">
        <v>4</v>
      </c>
    </row>
    <row r="44" spans="1:5" x14ac:dyDescent="0.3">
      <c r="A44" s="17" t="s">
        <v>1</v>
      </c>
      <c r="B44" s="17" t="s">
        <v>60</v>
      </c>
      <c r="C44" s="17">
        <v>4</v>
      </c>
      <c r="D44" s="17">
        <v>3</v>
      </c>
      <c r="E44" s="17">
        <v>4</v>
      </c>
    </row>
    <row r="45" spans="1:5" x14ac:dyDescent="0.3">
      <c r="A45" s="17" t="s">
        <v>1</v>
      </c>
      <c r="B45" s="17" t="s">
        <v>96</v>
      </c>
      <c r="C45" s="17">
        <v>4</v>
      </c>
      <c r="D45" s="17">
        <v>3</v>
      </c>
      <c r="E45" s="17">
        <v>5</v>
      </c>
    </row>
    <row r="46" spans="1:5" x14ac:dyDescent="0.3">
      <c r="A46" s="17" t="s">
        <v>1</v>
      </c>
      <c r="B46" s="17" t="s">
        <v>1946</v>
      </c>
      <c r="C46" s="17">
        <v>6</v>
      </c>
      <c r="D46" s="17">
        <v>3</v>
      </c>
      <c r="E46" s="17">
        <v>6</v>
      </c>
    </row>
    <row r="47" spans="1:5" x14ac:dyDescent="0.3">
      <c r="A47" s="17" t="s">
        <v>1</v>
      </c>
      <c r="B47" s="17" t="s">
        <v>2399</v>
      </c>
      <c r="C47" s="17">
        <v>9</v>
      </c>
      <c r="D47" s="17">
        <v>3</v>
      </c>
      <c r="E47" s="17">
        <v>8</v>
      </c>
    </row>
    <row r="48" spans="1:5" x14ac:dyDescent="0.3">
      <c r="A48" s="17" t="s">
        <v>1</v>
      </c>
      <c r="B48" s="17" t="s">
        <v>163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50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113</v>
      </c>
      <c r="C50" s="17">
        <v>4</v>
      </c>
      <c r="D50" s="17">
        <v>3</v>
      </c>
      <c r="E50" s="17">
        <v>5</v>
      </c>
    </row>
    <row r="51" spans="1:5" x14ac:dyDescent="0.3">
      <c r="A51" s="17" t="s">
        <v>1</v>
      </c>
      <c r="B51" s="17" t="s">
        <v>328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115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776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448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38</v>
      </c>
      <c r="C55" s="17">
        <v>5</v>
      </c>
      <c r="D55" s="17">
        <v>3</v>
      </c>
      <c r="E55" s="17">
        <v>5</v>
      </c>
    </row>
    <row r="56" spans="1:5" x14ac:dyDescent="0.3">
      <c r="A56" s="17" t="s">
        <v>1</v>
      </c>
      <c r="B56" s="17" t="s">
        <v>194</v>
      </c>
      <c r="C56" s="17">
        <v>4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1519</v>
      </c>
      <c r="C57" s="17">
        <v>3</v>
      </c>
      <c r="D57" s="17">
        <v>3</v>
      </c>
      <c r="E57" s="17"/>
    </row>
    <row r="58" spans="1:5" x14ac:dyDescent="0.3">
      <c r="A58" s="17" t="s">
        <v>1</v>
      </c>
      <c r="B58" s="17" t="s">
        <v>850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32</v>
      </c>
      <c r="C59" s="17">
        <v>10</v>
      </c>
      <c r="D59" s="17">
        <v>3</v>
      </c>
      <c r="E59" s="17">
        <v>13</v>
      </c>
    </row>
    <row r="60" spans="1:5" x14ac:dyDescent="0.3">
      <c r="A60" s="17" t="s">
        <v>0</v>
      </c>
      <c r="B60" s="17" t="s">
        <v>1479</v>
      </c>
      <c r="C60" s="17">
        <v>3</v>
      </c>
      <c r="D60" s="17">
        <v>3</v>
      </c>
      <c r="E60" s="17">
        <v>5</v>
      </c>
    </row>
    <row r="61" spans="1:5" x14ac:dyDescent="0.3">
      <c r="A61" s="17" t="s">
        <v>0</v>
      </c>
      <c r="B61" s="17" t="s">
        <v>681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350</v>
      </c>
      <c r="C62" s="17">
        <v>3</v>
      </c>
      <c r="D62" s="17">
        <v>3</v>
      </c>
      <c r="E62" s="17">
        <v>3</v>
      </c>
    </row>
    <row r="63" spans="1:5" x14ac:dyDescent="0.3">
      <c r="A63" s="17" t="s">
        <v>2</v>
      </c>
      <c r="B63" s="17" t="s">
        <v>2395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389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269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75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147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79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34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860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213</v>
      </c>
      <c r="C71" s="17">
        <v>2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85</v>
      </c>
      <c r="C72" s="17">
        <v>4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279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487</v>
      </c>
      <c r="C74" s="17">
        <v>5</v>
      </c>
      <c r="D74" s="17">
        <v>2</v>
      </c>
      <c r="E74" s="17">
        <v>5</v>
      </c>
    </row>
    <row r="75" spans="1:5" x14ac:dyDescent="0.3">
      <c r="A75" s="17" t="s">
        <v>1</v>
      </c>
      <c r="B75" s="17" t="s">
        <v>1518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1854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1912</v>
      </c>
      <c r="C77" s="17">
        <v>3</v>
      </c>
      <c r="D77" s="17">
        <v>2</v>
      </c>
      <c r="E77" s="17">
        <v>5</v>
      </c>
    </row>
    <row r="78" spans="1:5" x14ac:dyDescent="0.3">
      <c r="A78" s="17" t="s">
        <v>1</v>
      </c>
      <c r="B78" s="17" t="s">
        <v>1927</v>
      </c>
      <c r="C78" s="17">
        <v>3</v>
      </c>
      <c r="D78" s="17">
        <v>2</v>
      </c>
      <c r="E78" s="17">
        <v>5</v>
      </c>
    </row>
    <row r="79" spans="1:5" x14ac:dyDescent="0.3">
      <c r="A79" s="17" t="s">
        <v>1</v>
      </c>
      <c r="B79" s="17" t="s">
        <v>2329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2400</v>
      </c>
      <c r="C80" s="17">
        <v>4</v>
      </c>
      <c r="D80" s="17">
        <v>2</v>
      </c>
      <c r="E80" s="17">
        <v>5</v>
      </c>
    </row>
    <row r="81" spans="1:5" x14ac:dyDescent="0.3">
      <c r="A81" s="17" t="s">
        <v>1</v>
      </c>
      <c r="B81" s="17" t="s">
        <v>2397</v>
      </c>
      <c r="C81" s="17">
        <v>12</v>
      </c>
      <c r="D81" s="17">
        <v>2</v>
      </c>
      <c r="E81" s="17">
        <v>12</v>
      </c>
    </row>
    <row r="82" spans="1:5" x14ac:dyDescent="0.3">
      <c r="A82" s="17" t="s">
        <v>1</v>
      </c>
      <c r="B82" s="17" t="s">
        <v>770</v>
      </c>
      <c r="C82" s="17">
        <v>2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107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1698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326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331</v>
      </c>
      <c r="C86" s="17">
        <v>2</v>
      </c>
      <c r="D86" s="17">
        <v>2</v>
      </c>
      <c r="E86" s="17">
        <v>6</v>
      </c>
    </row>
    <row r="87" spans="1:5" x14ac:dyDescent="0.3">
      <c r="A87" s="17" t="s">
        <v>1</v>
      </c>
      <c r="B87" s="17" t="s">
        <v>731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117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176</v>
      </c>
      <c r="C89" s="17">
        <v>3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122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124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449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182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429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52</v>
      </c>
      <c r="C95" s="17">
        <v>4</v>
      </c>
      <c r="D95" s="17">
        <v>2</v>
      </c>
      <c r="E95" s="17">
        <v>6</v>
      </c>
    </row>
    <row r="96" spans="1:5" x14ac:dyDescent="0.3">
      <c r="A96" s="17" t="s">
        <v>1</v>
      </c>
      <c r="B96" s="17" t="s">
        <v>259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455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135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53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195</v>
      </c>
      <c r="C100" s="17">
        <v>8</v>
      </c>
      <c r="D100" s="17">
        <v>2</v>
      </c>
      <c r="E100" s="17">
        <v>8</v>
      </c>
    </row>
    <row r="101" spans="1:5" x14ac:dyDescent="0.3">
      <c r="A101" s="17" t="s">
        <v>1</v>
      </c>
      <c r="B101" s="17" t="s">
        <v>266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1047</v>
      </c>
      <c r="C102" s="17">
        <v>3</v>
      </c>
      <c r="D102" s="17">
        <v>2</v>
      </c>
      <c r="E102" s="17">
        <v>7</v>
      </c>
    </row>
    <row r="103" spans="1:5" x14ac:dyDescent="0.3">
      <c r="A103" s="17" t="s">
        <v>1</v>
      </c>
      <c r="B103" s="17" t="s">
        <v>1889</v>
      </c>
      <c r="C103" s="17">
        <v>2</v>
      </c>
      <c r="D103" s="17">
        <v>3</v>
      </c>
      <c r="E103" s="17"/>
    </row>
    <row r="104" spans="1:5" x14ac:dyDescent="0.3">
      <c r="A104" s="17" t="s">
        <v>1</v>
      </c>
      <c r="B104" s="17" t="s">
        <v>1441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624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281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61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1662</v>
      </c>
      <c r="C108" s="17">
        <v>2</v>
      </c>
      <c r="D108" s="17">
        <v>2</v>
      </c>
      <c r="E108" s="17">
        <v>4</v>
      </c>
    </row>
    <row r="109" spans="1:5" x14ac:dyDescent="0.3">
      <c r="A109" s="17" t="s">
        <v>0</v>
      </c>
      <c r="B109" s="17" t="s">
        <v>2401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2400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2399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35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265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160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404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352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110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113</v>
      </c>
      <c r="C118" s="17">
        <v>3</v>
      </c>
      <c r="D118" s="17">
        <v>2</v>
      </c>
      <c r="E118" s="17">
        <v>3</v>
      </c>
    </row>
    <row r="119" spans="1:5" x14ac:dyDescent="0.3">
      <c r="A119" s="17" t="s">
        <v>0</v>
      </c>
      <c r="B119" s="17" t="s">
        <v>115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1172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1110</v>
      </c>
      <c r="C121" s="17">
        <v>2</v>
      </c>
      <c r="D121" s="17">
        <v>2</v>
      </c>
      <c r="E121" s="17">
        <v>3</v>
      </c>
    </row>
    <row r="122" spans="1:5" x14ac:dyDescent="0.3">
      <c r="A122" s="17" t="s">
        <v>0</v>
      </c>
      <c r="B122" s="17" t="s">
        <v>200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37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63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182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897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128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305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195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68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983</v>
      </c>
      <c r="C131" s="17">
        <v>2</v>
      </c>
      <c r="D131" s="17">
        <v>1</v>
      </c>
      <c r="E131" s="17">
        <v>4</v>
      </c>
    </row>
    <row r="132" spans="1:5" x14ac:dyDescent="0.3">
      <c r="A132" s="17" t="s">
        <v>1</v>
      </c>
      <c r="B132" s="17" t="s">
        <v>1412</v>
      </c>
      <c r="C132" s="17">
        <v>2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203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505</v>
      </c>
      <c r="C134" s="17">
        <v>2</v>
      </c>
      <c r="D134" s="17">
        <v>1</v>
      </c>
      <c r="E134" s="17">
        <v>4</v>
      </c>
    </row>
    <row r="135" spans="1:5" x14ac:dyDescent="0.3">
      <c r="A135" s="17" t="s">
        <v>1</v>
      </c>
      <c r="B135" s="17" t="s">
        <v>2402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432</v>
      </c>
      <c r="C136" s="17">
        <v>1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392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507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764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384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792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486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33</v>
      </c>
      <c r="C143" s="17">
        <v>4</v>
      </c>
      <c r="D143" s="17">
        <v>1</v>
      </c>
      <c r="E143" s="17">
        <v>6</v>
      </c>
    </row>
    <row r="144" spans="1:5" x14ac:dyDescent="0.3">
      <c r="A144" s="17" t="s">
        <v>1</v>
      </c>
      <c r="B144" s="17" t="s">
        <v>705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208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626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517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1507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211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1566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1314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1702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861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1334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83</v>
      </c>
      <c r="C155" s="17">
        <v>3</v>
      </c>
      <c r="D155" s="17">
        <v>1</v>
      </c>
      <c r="E155" s="17">
        <v>3</v>
      </c>
    </row>
    <row r="156" spans="1:5" x14ac:dyDescent="0.3">
      <c r="A156" s="17" t="s">
        <v>1</v>
      </c>
      <c r="B156" s="17" t="s">
        <v>315</v>
      </c>
      <c r="C156" s="17">
        <v>1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2051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148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520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1281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149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361</v>
      </c>
      <c r="C162" s="17">
        <v>2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631</v>
      </c>
      <c r="C163" s="17">
        <v>1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151</v>
      </c>
      <c r="C164" s="17">
        <v>3</v>
      </c>
      <c r="D164" s="17">
        <v>1</v>
      </c>
      <c r="E164" s="17">
        <v>3</v>
      </c>
    </row>
    <row r="165" spans="1:5" x14ac:dyDescent="0.3">
      <c r="A165" s="17" t="s">
        <v>1</v>
      </c>
      <c r="B165" s="17" t="s">
        <v>480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317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844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1282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153</v>
      </c>
      <c r="C169" s="17">
        <v>4</v>
      </c>
      <c r="D169" s="17">
        <v>1</v>
      </c>
      <c r="E169" s="17">
        <v>4</v>
      </c>
    </row>
    <row r="170" spans="1:5" x14ac:dyDescent="0.3">
      <c r="A170" s="17" t="s">
        <v>1</v>
      </c>
      <c r="B170" s="17" t="s">
        <v>248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1269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155</v>
      </c>
      <c r="C172" s="17">
        <v>3</v>
      </c>
      <c r="D172" s="17">
        <v>1</v>
      </c>
      <c r="E172" s="17">
        <v>3</v>
      </c>
    </row>
    <row r="173" spans="1:5" x14ac:dyDescent="0.3">
      <c r="A173" s="17" t="s">
        <v>1</v>
      </c>
      <c r="B173" s="17" t="s">
        <v>463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41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438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366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42</v>
      </c>
      <c r="C177" s="17">
        <v>3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251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686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1581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1662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1871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1906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1928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2403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2404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866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1696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1868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400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440</v>
      </c>
      <c r="C191" s="17">
        <v>1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401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1428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1103</v>
      </c>
      <c r="C194" s="17">
        <v>1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2405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492</v>
      </c>
      <c r="C196" s="17">
        <v>2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2406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2407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1479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2257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1600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265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1712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529</v>
      </c>
      <c r="C204" s="17">
        <v>1</v>
      </c>
      <c r="D204" s="17">
        <v>1</v>
      </c>
      <c r="E204" s="17">
        <v>3</v>
      </c>
    </row>
    <row r="205" spans="1:5" x14ac:dyDescent="0.3">
      <c r="A205" s="17" t="s">
        <v>1</v>
      </c>
      <c r="B205" s="17" t="s">
        <v>840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1713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644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996</v>
      </c>
      <c r="C208" s="17">
        <v>1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998</v>
      </c>
      <c r="C209" s="17">
        <v>2</v>
      </c>
      <c r="D209" s="17">
        <v>1</v>
      </c>
      <c r="E209" s="17">
        <v>3</v>
      </c>
    </row>
    <row r="210" spans="1:5" x14ac:dyDescent="0.3">
      <c r="A210" s="17" t="s">
        <v>1</v>
      </c>
      <c r="B210" s="17" t="s">
        <v>28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352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104</v>
      </c>
      <c r="C212" s="17">
        <v>3</v>
      </c>
      <c r="D212" s="17">
        <v>1</v>
      </c>
      <c r="E212" s="17">
        <v>5</v>
      </c>
    </row>
    <row r="213" spans="1:5" x14ac:dyDescent="0.3">
      <c r="A213" s="17" t="s">
        <v>1</v>
      </c>
      <c r="B213" s="17" t="s">
        <v>165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105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353</v>
      </c>
      <c r="C215" s="17">
        <v>1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2245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1763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405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1919</v>
      </c>
      <c r="C219" s="17">
        <v>1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2150</v>
      </c>
      <c r="C220" s="17">
        <v>2</v>
      </c>
      <c r="D220" s="17">
        <v>1</v>
      </c>
      <c r="E220" s="17">
        <v>3</v>
      </c>
    </row>
    <row r="221" spans="1:5" x14ac:dyDescent="0.3">
      <c r="A221" s="17" t="s">
        <v>1</v>
      </c>
      <c r="B221" s="17" t="s">
        <v>1182</v>
      </c>
      <c r="C221" s="17">
        <v>1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167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1715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168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1288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286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1493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718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1001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2060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1545</v>
      </c>
      <c r="C231" s="17">
        <v>2</v>
      </c>
      <c r="D231" s="17">
        <v>1</v>
      </c>
      <c r="E231" s="17">
        <v>3</v>
      </c>
    </row>
    <row r="232" spans="1:5" x14ac:dyDescent="0.3">
      <c r="A232" s="17" t="s">
        <v>1</v>
      </c>
      <c r="B232" s="17" t="s">
        <v>169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2408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1099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407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593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2409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1489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111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1092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2410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172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1225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488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650</v>
      </c>
      <c r="C245" s="17">
        <v>2</v>
      </c>
      <c r="D245" s="17">
        <v>1</v>
      </c>
      <c r="E245" s="17">
        <v>3</v>
      </c>
    </row>
    <row r="246" spans="1:5" x14ac:dyDescent="0.3">
      <c r="A246" s="17" t="s">
        <v>1</v>
      </c>
      <c r="B246" s="17" t="s">
        <v>1570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289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872</v>
      </c>
      <c r="C248" s="17">
        <v>1</v>
      </c>
      <c r="D248" s="17">
        <v>1</v>
      </c>
      <c r="E248" s="17">
        <v>3</v>
      </c>
    </row>
    <row r="249" spans="1:5" x14ac:dyDescent="0.3">
      <c r="A249" s="17" t="s">
        <v>1</v>
      </c>
      <c r="B249" s="17" t="s">
        <v>1525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291</v>
      </c>
      <c r="C250" s="17">
        <v>2</v>
      </c>
      <c r="D250" s="17">
        <v>1</v>
      </c>
      <c r="E250" s="17">
        <v>3</v>
      </c>
    </row>
    <row r="251" spans="1:5" x14ac:dyDescent="0.3">
      <c r="A251" s="17" t="s">
        <v>1</v>
      </c>
      <c r="B251" s="17" t="s">
        <v>44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2226</v>
      </c>
      <c r="C252" s="17">
        <v>1</v>
      </c>
      <c r="D252" s="17">
        <v>1</v>
      </c>
      <c r="E252" s="17">
        <v>3</v>
      </c>
    </row>
    <row r="253" spans="1:5" x14ac:dyDescent="0.3">
      <c r="A253" s="17" t="s">
        <v>1</v>
      </c>
      <c r="B253" s="17" t="s">
        <v>2411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2069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175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807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465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721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1196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539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2168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2412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1075</v>
      </c>
      <c r="C263" s="17">
        <v>2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1678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330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385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2320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917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546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297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729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979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413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1923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885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548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1590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1556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1899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1917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1172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1187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808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1009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2413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2414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658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681</v>
      </c>
      <c r="C289" s="17">
        <v>1</v>
      </c>
      <c r="D289" s="17">
        <v>1</v>
      </c>
      <c r="E289" s="17">
        <v>2</v>
      </c>
    </row>
    <row r="290" spans="1:5" x14ac:dyDescent="0.3">
      <c r="A290" s="17" t="s">
        <v>1</v>
      </c>
      <c r="B290" s="17" t="s">
        <v>954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1080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552</v>
      </c>
      <c r="C292" s="17">
        <v>3</v>
      </c>
      <c r="D292" s="17">
        <v>1</v>
      </c>
      <c r="E292" s="17">
        <v>4</v>
      </c>
    </row>
    <row r="293" spans="1:5" x14ac:dyDescent="0.3">
      <c r="A293" s="17" t="s">
        <v>1</v>
      </c>
      <c r="B293" s="17" t="s">
        <v>298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494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888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417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1951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372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121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1801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662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2415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123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2078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125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890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555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1154</v>
      </c>
      <c r="C308" s="17">
        <v>1</v>
      </c>
      <c r="D308" s="17">
        <v>1</v>
      </c>
      <c r="E308" s="17">
        <v>3</v>
      </c>
    </row>
    <row r="309" spans="1:5" x14ac:dyDescent="0.3">
      <c r="A309" s="17" t="s">
        <v>1</v>
      </c>
      <c r="B309" s="17" t="s">
        <v>300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1992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603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852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1297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126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1993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962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747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64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2416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184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750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820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428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821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262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964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822</v>
      </c>
      <c r="C327" s="17">
        <v>2</v>
      </c>
      <c r="D327" s="17">
        <v>1</v>
      </c>
      <c r="E327" s="17">
        <v>3</v>
      </c>
    </row>
    <row r="328" spans="1:5" x14ac:dyDescent="0.3">
      <c r="A328" s="17" t="s">
        <v>1</v>
      </c>
      <c r="B328" s="17" t="s">
        <v>128</v>
      </c>
      <c r="C328" s="17">
        <v>1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2417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751</v>
      </c>
      <c r="C330" s="17">
        <v>3</v>
      </c>
      <c r="D330" s="17">
        <v>1</v>
      </c>
      <c r="E330" s="17">
        <v>5</v>
      </c>
    </row>
    <row r="331" spans="1:5" x14ac:dyDescent="0.3">
      <c r="A331" s="17" t="s">
        <v>1</v>
      </c>
      <c r="B331" s="17" t="s">
        <v>1134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1023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752</v>
      </c>
      <c r="C333" s="17">
        <v>2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920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498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564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499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1669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1588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849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980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137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1560</v>
      </c>
      <c r="C343" s="17">
        <v>1</v>
      </c>
      <c r="D343" s="17">
        <v>1</v>
      </c>
      <c r="E343" s="17">
        <v>3</v>
      </c>
    </row>
    <row r="344" spans="1:5" x14ac:dyDescent="0.3">
      <c r="A344" s="17" t="s">
        <v>1</v>
      </c>
      <c r="B344" s="17" t="s">
        <v>376</v>
      </c>
      <c r="C344" s="17">
        <v>5</v>
      </c>
      <c r="D344" s="17">
        <v>1</v>
      </c>
      <c r="E344" s="17">
        <v>7</v>
      </c>
    </row>
    <row r="345" spans="1:5" x14ac:dyDescent="0.3">
      <c r="A345" s="17" t="s">
        <v>1</v>
      </c>
      <c r="B345" s="17" t="s">
        <v>68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54</v>
      </c>
      <c r="C346" s="17">
        <v>4</v>
      </c>
      <c r="D346" s="17">
        <v>1</v>
      </c>
      <c r="E346" s="17">
        <v>5</v>
      </c>
    </row>
    <row r="347" spans="1:5" x14ac:dyDescent="0.3">
      <c r="A347" s="17" t="s">
        <v>1</v>
      </c>
      <c r="B347" s="17" t="s">
        <v>56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1201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2418</v>
      </c>
      <c r="C349" s="17">
        <v>1</v>
      </c>
      <c r="D349" s="17">
        <v>1</v>
      </c>
      <c r="E349" s="17"/>
    </row>
    <row r="350" spans="1:5" x14ac:dyDescent="0.3">
      <c r="A350" s="17" t="s">
        <v>1</v>
      </c>
      <c r="B350" s="17" t="s">
        <v>2419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1995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901</v>
      </c>
      <c r="C352" s="17">
        <v>1</v>
      </c>
      <c r="D352" s="17">
        <v>2</v>
      </c>
      <c r="E352" s="17"/>
    </row>
    <row r="353" spans="1:5" x14ac:dyDescent="0.3">
      <c r="A353" s="17" t="s">
        <v>1</v>
      </c>
      <c r="B353" s="17" t="s">
        <v>2420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2122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2421</v>
      </c>
      <c r="C355" s="17">
        <v>1</v>
      </c>
      <c r="D355" s="17">
        <v>1</v>
      </c>
      <c r="E355" s="17"/>
    </row>
    <row r="356" spans="1:5" x14ac:dyDescent="0.3">
      <c r="A356" s="17" t="s">
        <v>1</v>
      </c>
      <c r="B356" s="17" t="s">
        <v>922</v>
      </c>
      <c r="C356" s="17">
        <v>1</v>
      </c>
      <c r="D356" s="17">
        <v>1</v>
      </c>
      <c r="E356" s="17"/>
    </row>
    <row r="357" spans="1:5" x14ac:dyDescent="0.3">
      <c r="A357" s="17" t="s">
        <v>1</v>
      </c>
      <c r="B357" s="17" t="s">
        <v>1027</v>
      </c>
      <c r="C357" s="17">
        <v>1</v>
      </c>
      <c r="D357" s="17">
        <v>1</v>
      </c>
      <c r="E357" s="17">
        <v>2</v>
      </c>
    </row>
    <row r="358" spans="1:5" x14ac:dyDescent="0.3">
      <c r="A358" s="17" t="s">
        <v>1</v>
      </c>
      <c r="B358" s="17" t="s">
        <v>2422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1468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1936</v>
      </c>
      <c r="C360" s="17">
        <v>1</v>
      </c>
      <c r="D360" s="17">
        <v>1</v>
      </c>
      <c r="E360" s="17"/>
    </row>
    <row r="361" spans="1:5" x14ac:dyDescent="0.3">
      <c r="A361" s="17" t="s">
        <v>1</v>
      </c>
      <c r="B361" s="17" t="s">
        <v>2423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1440</v>
      </c>
      <c r="C362" s="17">
        <v>1</v>
      </c>
      <c r="D362" s="17">
        <v>1</v>
      </c>
      <c r="E362" s="17"/>
    </row>
    <row r="363" spans="1:5" x14ac:dyDescent="0.3">
      <c r="A363" s="17" t="s">
        <v>1</v>
      </c>
      <c r="B363" s="17" t="s">
        <v>2424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1548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1241</v>
      </c>
      <c r="C365" s="17">
        <v>1</v>
      </c>
      <c r="D365" s="17">
        <v>1</v>
      </c>
      <c r="E365" s="17"/>
    </row>
    <row r="366" spans="1:5" x14ac:dyDescent="0.3">
      <c r="A366" s="17" t="s">
        <v>1</v>
      </c>
      <c r="B366" s="17" t="s">
        <v>2425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2426</v>
      </c>
      <c r="C367" s="17">
        <v>1</v>
      </c>
      <c r="D367" s="17">
        <v>1</v>
      </c>
      <c r="E367" s="17"/>
    </row>
    <row r="368" spans="1:5" x14ac:dyDescent="0.3">
      <c r="A368" s="17" t="s">
        <v>1</v>
      </c>
      <c r="B368" s="17" t="s">
        <v>1452</v>
      </c>
      <c r="C368" s="17">
        <v>1</v>
      </c>
      <c r="D368" s="17">
        <v>1</v>
      </c>
      <c r="E368" s="17"/>
    </row>
    <row r="369" spans="1:5" x14ac:dyDescent="0.3">
      <c r="A369" s="17" t="s">
        <v>1</v>
      </c>
      <c r="B369" s="17" t="s">
        <v>1213</v>
      </c>
      <c r="C369" s="17">
        <v>2</v>
      </c>
      <c r="D369" s="17">
        <v>1</v>
      </c>
      <c r="E369" s="17">
        <v>3</v>
      </c>
    </row>
    <row r="370" spans="1:5" x14ac:dyDescent="0.3">
      <c r="A370" s="17" t="s">
        <v>0</v>
      </c>
      <c r="B370" s="17" t="s">
        <v>1981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311</v>
      </c>
      <c r="C371" s="17">
        <v>2</v>
      </c>
      <c r="D371" s="17">
        <v>1</v>
      </c>
      <c r="E371" s="17">
        <v>6</v>
      </c>
    </row>
    <row r="372" spans="1:5" x14ac:dyDescent="0.3">
      <c r="A372" s="17" t="s">
        <v>0</v>
      </c>
      <c r="B372" s="17" t="s">
        <v>392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579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270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612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384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1623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614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690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208</v>
      </c>
      <c r="C380" s="17">
        <v>1</v>
      </c>
      <c r="D380" s="17">
        <v>1</v>
      </c>
      <c r="E380" s="17">
        <v>2</v>
      </c>
    </row>
    <row r="381" spans="1:5" x14ac:dyDescent="0.3">
      <c r="A381" s="17" t="s">
        <v>0</v>
      </c>
      <c r="B381" s="17" t="s">
        <v>795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394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77</v>
      </c>
      <c r="C383" s="17">
        <v>1</v>
      </c>
      <c r="D383" s="17">
        <v>1</v>
      </c>
      <c r="E383" s="17">
        <v>2</v>
      </c>
    </row>
    <row r="384" spans="1:5" x14ac:dyDescent="0.3">
      <c r="A384" s="17" t="s">
        <v>0</v>
      </c>
      <c r="B384" s="17" t="s">
        <v>313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490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1175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516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517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79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2427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479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797</v>
      </c>
      <c r="C392" s="17">
        <v>1</v>
      </c>
      <c r="D392" s="17">
        <v>1</v>
      </c>
      <c r="E392" s="17">
        <v>2</v>
      </c>
    </row>
    <row r="393" spans="1:5" x14ac:dyDescent="0.3">
      <c r="A393" s="17" t="s">
        <v>0</v>
      </c>
      <c r="B393" s="17" t="s">
        <v>82</v>
      </c>
      <c r="C393" s="17">
        <v>1</v>
      </c>
      <c r="D393" s="17">
        <v>1</v>
      </c>
      <c r="E393" s="17">
        <v>2</v>
      </c>
    </row>
    <row r="394" spans="1:5" x14ac:dyDescent="0.3">
      <c r="A394" s="17" t="s">
        <v>0</v>
      </c>
      <c r="B394" s="17" t="s">
        <v>148</v>
      </c>
      <c r="C394" s="17">
        <v>1</v>
      </c>
      <c r="D394" s="17">
        <v>1</v>
      </c>
      <c r="E394" s="17">
        <v>2</v>
      </c>
    </row>
    <row r="395" spans="1:5" x14ac:dyDescent="0.3">
      <c r="A395" s="17" t="s">
        <v>0</v>
      </c>
      <c r="B395" s="17" t="s">
        <v>628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149</v>
      </c>
      <c r="C396" s="17">
        <v>1</v>
      </c>
      <c r="D396" s="17">
        <v>1</v>
      </c>
      <c r="E396" s="17">
        <v>2</v>
      </c>
    </row>
    <row r="397" spans="1:5" x14ac:dyDescent="0.3">
      <c r="A397" s="17" t="s">
        <v>0</v>
      </c>
      <c r="B397" s="17" t="s">
        <v>1282</v>
      </c>
      <c r="C397" s="17">
        <v>1</v>
      </c>
      <c r="D397" s="17">
        <v>1</v>
      </c>
      <c r="E397" s="17">
        <v>2</v>
      </c>
    </row>
    <row r="398" spans="1:5" x14ac:dyDescent="0.3">
      <c r="A398" s="17" t="s">
        <v>0</v>
      </c>
      <c r="B398" s="17" t="s">
        <v>93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155</v>
      </c>
      <c r="C399" s="17">
        <v>2</v>
      </c>
      <c r="D399" s="17">
        <v>1</v>
      </c>
      <c r="E399" s="17">
        <v>2</v>
      </c>
    </row>
    <row r="400" spans="1:5" x14ac:dyDescent="0.3">
      <c r="A400" s="17" t="s">
        <v>0</v>
      </c>
      <c r="B400" s="17" t="s">
        <v>365</v>
      </c>
      <c r="C400" s="17">
        <v>2</v>
      </c>
      <c r="D400" s="17">
        <v>1</v>
      </c>
      <c r="E400" s="17">
        <v>2</v>
      </c>
    </row>
    <row r="401" spans="1:5" x14ac:dyDescent="0.3">
      <c r="A401" s="17" t="s">
        <v>0</v>
      </c>
      <c r="B401" s="17" t="s">
        <v>156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60</v>
      </c>
      <c r="C402" s="17">
        <v>2</v>
      </c>
      <c r="D402" s="17">
        <v>1</v>
      </c>
      <c r="E402" s="17">
        <v>2</v>
      </c>
    </row>
    <row r="403" spans="1:5" x14ac:dyDescent="0.3">
      <c r="A403" s="17" t="s">
        <v>0</v>
      </c>
      <c r="B403" s="17" t="s">
        <v>642</v>
      </c>
      <c r="C403" s="17">
        <v>1</v>
      </c>
      <c r="D403" s="17">
        <v>1</v>
      </c>
      <c r="E403" s="17">
        <v>2</v>
      </c>
    </row>
    <row r="404" spans="1:5" x14ac:dyDescent="0.3">
      <c r="A404" s="17" t="s">
        <v>0</v>
      </c>
      <c r="B404" s="17" t="s">
        <v>157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487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1775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1928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2334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2363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2398</v>
      </c>
      <c r="C410" s="17">
        <v>3</v>
      </c>
      <c r="D410" s="17">
        <v>1</v>
      </c>
      <c r="E410" s="17">
        <v>3</v>
      </c>
    </row>
    <row r="411" spans="1:5" x14ac:dyDescent="0.3">
      <c r="A411" s="17" t="s">
        <v>0</v>
      </c>
      <c r="B411" s="17" t="s">
        <v>2428</v>
      </c>
      <c r="C411" s="17">
        <v>1</v>
      </c>
      <c r="D411" s="17">
        <v>1</v>
      </c>
      <c r="E411" s="17">
        <v>2</v>
      </c>
    </row>
    <row r="412" spans="1:5" x14ac:dyDescent="0.3">
      <c r="A412" s="17" t="s">
        <v>0</v>
      </c>
      <c r="B412" s="17" t="s">
        <v>2429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439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1167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225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1103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492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1066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101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913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2430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107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1181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772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1222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1130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442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2065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289</v>
      </c>
      <c r="C429" s="17">
        <v>1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51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291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44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326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328</v>
      </c>
      <c r="C434" s="17">
        <v>1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227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1681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879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1826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727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1350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2431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2432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342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662</v>
      </c>
      <c r="C444" s="17">
        <v>1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663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62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124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46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125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890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696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683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449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1018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483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262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1697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52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189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234</v>
      </c>
      <c r="C460" s="17">
        <v>1</v>
      </c>
      <c r="D460" s="17">
        <v>1</v>
      </c>
      <c r="E460" s="17">
        <v>2</v>
      </c>
    </row>
    <row r="461" spans="1:5" x14ac:dyDescent="0.3">
      <c r="A461" s="17" t="s">
        <v>0</v>
      </c>
      <c r="B461" s="17" t="s">
        <v>1588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376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196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138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1766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1470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2433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760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850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832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927</v>
      </c>
      <c r="C471" s="17">
        <v>1</v>
      </c>
      <c r="D471" s="17">
        <v>1</v>
      </c>
      <c r="E471" s="17"/>
    </row>
    <row r="472" spans="1:5" x14ac:dyDescent="0.3">
      <c r="A472" s="17" t="s">
        <v>2</v>
      </c>
      <c r="B472" s="17" t="s">
        <v>140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2</v>
      </c>
      <c r="B473" s="17" t="s">
        <v>1316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2</v>
      </c>
      <c r="B474" s="17" t="s">
        <v>1897</v>
      </c>
      <c r="C474" s="17">
        <v>1</v>
      </c>
      <c r="D474" s="17">
        <v>1</v>
      </c>
      <c r="E474" s="17">
        <v>2</v>
      </c>
    </row>
    <row r="475" spans="1:5" x14ac:dyDescent="0.3">
      <c r="A475" s="17" t="s">
        <v>2</v>
      </c>
      <c r="B475" s="17" t="s">
        <v>1927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2</v>
      </c>
      <c r="B476" s="17" t="s">
        <v>2075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2</v>
      </c>
      <c r="B477" s="17" t="s">
        <v>265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2</v>
      </c>
      <c r="B478" s="17" t="s">
        <v>163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29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2</v>
      </c>
      <c r="B480" s="17" t="s">
        <v>113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2</v>
      </c>
      <c r="B481" s="17" t="s">
        <v>467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1110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179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2</v>
      </c>
      <c r="B484" s="17" t="s">
        <v>1697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2</v>
      </c>
      <c r="B485" s="17" t="s">
        <v>135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2434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1</v>
      </c>
      <c r="B487" s="17" t="s">
        <v>2435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243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379</v>
      </c>
      <c r="C489" s="17">
        <v>1</v>
      </c>
      <c r="D489" s="17">
        <v>0</v>
      </c>
      <c r="E489" s="17">
        <v>2</v>
      </c>
    </row>
    <row r="490" spans="1:5" x14ac:dyDescent="0.3">
      <c r="A490" s="17" t="s">
        <v>1</v>
      </c>
      <c r="B490" s="17" t="s">
        <v>47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1366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1034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1634</v>
      </c>
      <c r="C493" s="17">
        <v>1</v>
      </c>
      <c r="D493" s="17">
        <v>0</v>
      </c>
      <c r="E493" s="17">
        <v>2</v>
      </c>
    </row>
    <row r="494" spans="1:5" x14ac:dyDescent="0.3">
      <c r="A494" s="17" t="s">
        <v>1</v>
      </c>
      <c r="B494" s="17" t="s">
        <v>270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614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143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393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272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209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210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515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247</v>
      </c>
      <c r="C502" s="17">
        <v>1</v>
      </c>
      <c r="D502" s="17">
        <v>0</v>
      </c>
      <c r="E502" s="17">
        <v>0</v>
      </c>
    </row>
    <row r="503" spans="1:5" x14ac:dyDescent="0.3">
      <c r="A503" s="17" t="s">
        <v>1</v>
      </c>
      <c r="B503" s="17" t="s">
        <v>859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1051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796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81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1743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908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40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214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2436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360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88</v>
      </c>
      <c r="C513" s="17">
        <v>5</v>
      </c>
      <c r="D513" s="17">
        <v>0</v>
      </c>
      <c r="E513" s="17">
        <v>5</v>
      </c>
    </row>
    <row r="514" spans="1:5" x14ac:dyDescent="0.3">
      <c r="A514" s="17" t="s">
        <v>1</v>
      </c>
      <c r="B514" s="17" t="s">
        <v>362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1256</v>
      </c>
      <c r="C515" s="17">
        <v>1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634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972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635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92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2437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93</v>
      </c>
      <c r="C521" s="17">
        <v>4</v>
      </c>
      <c r="D521" s="17">
        <v>0</v>
      </c>
      <c r="E521" s="17">
        <v>4</v>
      </c>
    </row>
    <row r="522" spans="1:5" x14ac:dyDescent="0.3">
      <c r="A522" s="17" t="s">
        <v>1</v>
      </c>
      <c r="B522" s="17" t="s">
        <v>679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222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250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464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367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909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1643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1646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1691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1772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1860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1897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2438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1983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2068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2334</v>
      </c>
      <c r="C537" s="17">
        <v>1</v>
      </c>
      <c r="D537" s="17">
        <v>0</v>
      </c>
      <c r="E537" s="17">
        <v>2</v>
      </c>
    </row>
    <row r="538" spans="1:5" x14ac:dyDescent="0.3">
      <c r="A538" s="17" t="s">
        <v>1</v>
      </c>
      <c r="B538" s="17" t="s">
        <v>2401</v>
      </c>
      <c r="C538" s="17">
        <v>2</v>
      </c>
      <c r="D538" s="17">
        <v>0</v>
      </c>
      <c r="E538" s="17">
        <v>2</v>
      </c>
    </row>
    <row r="539" spans="1:5" x14ac:dyDescent="0.3">
      <c r="A539" s="17" t="s">
        <v>1</v>
      </c>
      <c r="B539" s="17" t="s">
        <v>2439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2440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2441</v>
      </c>
      <c r="C541" s="17">
        <v>1</v>
      </c>
      <c r="D541" s="17">
        <v>0</v>
      </c>
      <c r="E541" s="17">
        <v>2</v>
      </c>
    </row>
    <row r="542" spans="1:5" x14ac:dyDescent="0.3">
      <c r="A542" s="17" t="s">
        <v>1</v>
      </c>
      <c r="B542" s="17" t="s">
        <v>2442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2443</v>
      </c>
      <c r="C543" s="17">
        <v>2</v>
      </c>
      <c r="D543" s="17">
        <v>0</v>
      </c>
      <c r="E543" s="17">
        <v>2</v>
      </c>
    </row>
    <row r="544" spans="1:5" x14ac:dyDescent="0.3">
      <c r="A544" s="17" t="s">
        <v>1</v>
      </c>
      <c r="B544" s="17" t="s">
        <v>2428</v>
      </c>
      <c r="C544" s="17">
        <v>2</v>
      </c>
      <c r="D544" s="17">
        <v>0</v>
      </c>
      <c r="E544" s="17">
        <v>2</v>
      </c>
    </row>
    <row r="545" spans="1:5" x14ac:dyDescent="0.3">
      <c r="A545" s="17" t="s">
        <v>1</v>
      </c>
      <c r="B545" s="17" t="s">
        <v>2444</v>
      </c>
      <c r="C545" s="17">
        <v>1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2429</v>
      </c>
      <c r="C546" s="17">
        <v>4</v>
      </c>
      <c r="D546" s="17">
        <v>0</v>
      </c>
      <c r="E546" s="17">
        <v>4</v>
      </c>
    </row>
    <row r="547" spans="1:5" x14ac:dyDescent="0.3">
      <c r="A547" s="17" t="s">
        <v>1</v>
      </c>
      <c r="B547" s="17" t="s">
        <v>2445</v>
      </c>
      <c r="C547" s="17">
        <v>3</v>
      </c>
      <c r="D547" s="17">
        <v>0</v>
      </c>
      <c r="E547" s="17">
        <v>3</v>
      </c>
    </row>
    <row r="548" spans="1:5" x14ac:dyDescent="0.3">
      <c r="A548" s="17" t="s">
        <v>1</v>
      </c>
      <c r="B548" s="17" t="s">
        <v>524</v>
      </c>
      <c r="C548" s="17">
        <v>2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525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1287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100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715</v>
      </c>
      <c r="C552" s="17">
        <v>1</v>
      </c>
      <c r="D552" s="17">
        <v>0</v>
      </c>
      <c r="E552" s="17">
        <v>0</v>
      </c>
    </row>
    <row r="553" spans="1:5" x14ac:dyDescent="0.3">
      <c r="A553" s="17" t="s">
        <v>1</v>
      </c>
      <c r="B553" s="17" t="s">
        <v>1538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587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368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2446</v>
      </c>
      <c r="C556" s="17">
        <v>1</v>
      </c>
      <c r="D556" s="17">
        <v>0</v>
      </c>
      <c r="E556" s="17">
        <v>2</v>
      </c>
    </row>
    <row r="557" spans="1:5" x14ac:dyDescent="0.3">
      <c r="A557" s="17" t="s">
        <v>1</v>
      </c>
      <c r="B557" s="17" t="s">
        <v>1260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2037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1620</v>
      </c>
      <c r="C559" s="17">
        <v>1</v>
      </c>
      <c r="D559" s="17">
        <v>0</v>
      </c>
      <c r="E559" s="17">
        <v>0</v>
      </c>
    </row>
    <row r="560" spans="1:5" x14ac:dyDescent="0.3">
      <c r="A560" s="17" t="s">
        <v>1</v>
      </c>
      <c r="B560" s="17" t="s">
        <v>1789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805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2447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2448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646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287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1755</v>
      </c>
      <c r="C566" s="17">
        <v>2</v>
      </c>
      <c r="D566" s="17">
        <v>0</v>
      </c>
      <c r="E566" s="17">
        <v>2</v>
      </c>
    </row>
    <row r="567" spans="1:5" x14ac:dyDescent="0.3">
      <c r="A567" s="17" t="s">
        <v>1</v>
      </c>
      <c r="B567" s="17" t="s">
        <v>2232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880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1038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467</v>
      </c>
      <c r="C570" s="17">
        <v>2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596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2449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839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334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2357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654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607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371</v>
      </c>
      <c r="C578" s="17">
        <v>3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549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1321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1635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2450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1180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1607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2186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416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2451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1264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695</v>
      </c>
      <c r="C589" s="17">
        <v>2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554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178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1833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1976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1594</v>
      </c>
      <c r="C594" s="17">
        <v>1</v>
      </c>
      <c r="D594" s="17">
        <v>0</v>
      </c>
      <c r="E594" s="17">
        <v>0</v>
      </c>
    </row>
    <row r="595" spans="1:5" x14ac:dyDescent="0.3">
      <c r="A595" s="17" t="s">
        <v>1</v>
      </c>
      <c r="B595" s="17" t="s">
        <v>1848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2452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421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1040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895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1018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1543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703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2290</v>
      </c>
      <c r="C603" s="17">
        <v>1</v>
      </c>
      <c r="D603" s="17">
        <v>0</v>
      </c>
      <c r="E603" s="17">
        <v>0</v>
      </c>
    </row>
    <row r="604" spans="1:5" x14ac:dyDescent="0.3">
      <c r="A604" s="17" t="s">
        <v>1</v>
      </c>
      <c r="B604" s="17" t="s">
        <v>185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1158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474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2453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233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667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201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2454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134</v>
      </c>
      <c r="C612" s="17">
        <v>2</v>
      </c>
      <c r="D612" s="17">
        <v>0</v>
      </c>
      <c r="E612" s="17">
        <v>3</v>
      </c>
    </row>
    <row r="613" spans="1:5" x14ac:dyDescent="0.3">
      <c r="A613" s="17" t="s">
        <v>1</v>
      </c>
      <c r="B613" s="17" t="s">
        <v>1096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1326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1083</v>
      </c>
      <c r="C615" s="17">
        <v>1</v>
      </c>
      <c r="D615" s="17">
        <v>0</v>
      </c>
      <c r="E615" s="17">
        <v>0</v>
      </c>
    </row>
    <row r="616" spans="1:5" x14ac:dyDescent="0.3">
      <c r="A616" s="17" t="s">
        <v>1</v>
      </c>
      <c r="B616" s="17" t="s">
        <v>234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921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1900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1476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1596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2455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235</v>
      </c>
      <c r="C622" s="18">
        <v>7</v>
      </c>
      <c r="D622" s="18">
        <v>0</v>
      </c>
      <c r="E622" s="18">
        <v>10</v>
      </c>
    </row>
    <row r="623" spans="1:5" x14ac:dyDescent="0.3">
      <c r="A623" s="18" t="s">
        <v>1</v>
      </c>
      <c r="B623" s="18" t="s">
        <v>381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67</v>
      </c>
      <c r="C624" s="18">
        <v>2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236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196</v>
      </c>
      <c r="C626" s="18">
        <v>7</v>
      </c>
      <c r="D626" s="18">
        <v>0</v>
      </c>
      <c r="E626" s="18">
        <v>7</v>
      </c>
    </row>
    <row r="627" spans="1:5" x14ac:dyDescent="0.3">
      <c r="A627" s="18" t="s">
        <v>1</v>
      </c>
      <c r="B627" s="18" t="s">
        <v>237</v>
      </c>
      <c r="C627" s="18">
        <v>1</v>
      </c>
      <c r="D627" s="18">
        <v>0</v>
      </c>
      <c r="E627" s="18">
        <v>3</v>
      </c>
    </row>
    <row r="628" spans="1:5" x14ac:dyDescent="0.3">
      <c r="A628" s="18" t="s">
        <v>1</v>
      </c>
      <c r="B628" s="18" t="s">
        <v>238</v>
      </c>
      <c r="C628" s="18">
        <v>7</v>
      </c>
      <c r="D628" s="18">
        <v>0</v>
      </c>
      <c r="E628" s="18">
        <v>7</v>
      </c>
    </row>
    <row r="629" spans="1:5" x14ac:dyDescent="0.3">
      <c r="A629" s="18" t="s">
        <v>1</v>
      </c>
      <c r="B629" s="18" t="s">
        <v>1084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239</v>
      </c>
      <c r="C630" s="18">
        <v>6</v>
      </c>
      <c r="D630" s="18">
        <v>0</v>
      </c>
      <c r="E630" s="18">
        <v>8</v>
      </c>
    </row>
    <row r="631" spans="1:5" x14ac:dyDescent="0.3">
      <c r="A631" s="18" t="s">
        <v>1</v>
      </c>
      <c r="B631" s="18" t="s">
        <v>672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55</v>
      </c>
      <c r="C632" s="18">
        <v>5</v>
      </c>
      <c r="D632" s="18">
        <v>0</v>
      </c>
      <c r="E632" s="18">
        <v>8</v>
      </c>
    </row>
    <row r="633" spans="1:5" x14ac:dyDescent="0.3">
      <c r="A633" s="18" t="s">
        <v>1</v>
      </c>
      <c r="B633" s="18" t="s">
        <v>240</v>
      </c>
      <c r="C633" s="18">
        <v>4</v>
      </c>
      <c r="D633" s="18">
        <v>0</v>
      </c>
      <c r="E633" s="18">
        <v>4</v>
      </c>
    </row>
    <row r="634" spans="1:5" x14ac:dyDescent="0.3">
      <c r="A634" s="18" t="s">
        <v>1</v>
      </c>
      <c r="B634" s="18" t="s">
        <v>673</v>
      </c>
      <c r="C634" s="18">
        <v>3</v>
      </c>
      <c r="D634" s="18">
        <v>0</v>
      </c>
      <c r="E634" s="18">
        <v>4</v>
      </c>
    </row>
    <row r="635" spans="1:5" x14ac:dyDescent="0.3">
      <c r="A635" s="18" t="s">
        <v>1</v>
      </c>
      <c r="B635" s="18" t="s">
        <v>382</v>
      </c>
      <c r="C635" s="18">
        <v>3</v>
      </c>
      <c r="D635" s="18">
        <v>0</v>
      </c>
      <c r="E635" s="18">
        <v>3</v>
      </c>
    </row>
    <row r="636" spans="1:5" x14ac:dyDescent="0.3">
      <c r="A636" s="18" t="s">
        <v>1</v>
      </c>
      <c r="B636" s="18" t="s">
        <v>377</v>
      </c>
      <c r="C636" s="18">
        <v>4</v>
      </c>
      <c r="D636" s="18">
        <v>0</v>
      </c>
      <c r="E636" s="18">
        <v>4</v>
      </c>
    </row>
    <row r="637" spans="1:5" x14ac:dyDescent="0.3">
      <c r="A637" s="18" t="s">
        <v>1</v>
      </c>
      <c r="B637" s="18" t="s">
        <v>477</v>
      </c>
      <c r="C637" s="18">
        <v>3</v>
      </c>
      <c r="D637" s="18">
        <v>0</v>
      </c>
      <c r="E637" s="18">
        <v>4</v>
      </c>
    </row>
    <row r="638" spans="1:5" x14ac:dyDescent="0.3">
      <c r="A638" s="18" t="s">
        <v>1</v>
      </c>
      <c r="B638" s="18" t="s">
        <v>2456</v>
      </c>
      <c r="C638" s="18">
        <v>2</v>
      </c>
      <c r="D638" s="18">
        <v>0</v>
      </c>
      <c r="E638" s="18">
        <v>5</v>
      </c>
    </row>
    <row r="639" spans="1:5" x14ac:dyDescent="0.3">
      <c r="A639" s="18" t="s">
        <v>1</v>
      </c>
      <c r="B639" s="18" t="s">
        <v>2457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2458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1829</v>
      </c>
      <c r="C641" s="18">
        <v>0</v>
      </c>
      <c r="D641" s="18">
        <v>1</v>
      </c>
    </row>
    <row r="642" spans="1:5" x14ac:dyDescent="0.3">
      <c r="A642" s="18" t="s">
        <v>1</v>
      </c>
      <c r="B642" s="18" t="s">
        <v>2171</v>
      </c>
      <c r="C642" s="18">
        <v>1</v>
      </c>
      <c r="D642" s="18">
        <v>0</v>
      </c>
      <c r="E642" s="18">
        <v>2</v>
      </c>
    </row>
    <row r="643" spans="1:5" x14ac:dyDescent="0.3">
      <c r="A643" s="18" t="s">
        <v>1</v>
      </c>
      <c r="B643" s="18" t="s">
        <v>1896</v>
      </c>
      <c r="C643" s="18">
        <v>0</v>
      </c>
      <c r="D643" s="18">
        <v>1</v>
      </c>
    </row>
    <row r="644" spans="1:5" x14ac:dyDescent="0.3">
      <c r="A644" s="18" t="s">
        <v>1</v>
      </c>
      <c r="B644" s="18" t="s">
        <v>1088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1469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2459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763</v>
      </c>
      <c r="C647" s="18">
        <v>0</v>
      </c>
      <c r="D647" s="18">
        <v>1</v>
      </c>
    </row>
    <row r="648" spans="1:5" x14ac:dyDescent="0.3">
      <c r="A648" s="18" t="s">
        <v>1</v>
      </c>
      <c r="B648" s="18" t="s">
        <v>2460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69</v>
      </c>
      <c r="C649" s="18">
        <v>3</v>
      </c>
      <c r="D649" s="18">
        <v>0</v>
      </c>
      <c r="E649" s="18">
        <v>3</v>
      </c>
    </row>
    <row r="650" spans="1:5" x14ac:dyDescent="0.3">
      <c r="A650" s="18" t="s">
        <v>0</v>
      </c>
      <c r="B650" s="18" t="s">
        <v>1303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0</v>
      </c>
      <c r="B651" s="18" t="s">
        <v>242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0</v>
      </c>
      <c r="B652" s="18" t="s">
        <v>2319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0</v>
      </c>
      <c r="B653" s="18" t="s">
        <v>59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81</v>
      </c>
      <c r="C654" s="18">
        <v>2</v>
      </c>
      <c r="D654" s="18">
        <v>0</v>
      </c>
      <c r="E654" s="18">
        <v>2</v>
      </c>
    </row>
    <row r="655" spans="1:5" x14ac:dyDescent="0.3">
      <c r="A655" s="18" t="s">
        <v>0</v>
      </c>
      <c r="B655" s="18" t="s">
        <v>583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0</v>
      </c>
      <c r="B656" s="18" t="s">
        <v>1314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279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280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151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1257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0</v>
      </c>
      <c r="B661" s="18" t="s">
        <v>2461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154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944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909</v>
      </c>
      <c r="C664" s="18">
        <v>1</v>
      </c>
      <c r="D664" s="18">
        <v>0</v>
      </c>
      <c r="E664" s="18">
        <v>2</v>
      </c>
    </row>
    <row r="665" spans="1:5" x14ac:dyDescent="0.3">
      <c r="A665" s="18" t="s">
        <v>0</v>
      </c>
      <c r="B665" s="18" t="s">
        <v>1691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2329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1105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1517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716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1146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0</v>
      </c>
      <c r="B671" s="18" t="s">
        <v>320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597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469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964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306</v>
      </c>
      <c r="C675" s="18">
        <v>1</v>
      </c>
      <c r="D675" s="18">
        <v>0</v>
      </c>
      <c r="E675" s="18">
        <v>2</v>
      </c>
    </row>
    <row r="676" spans="1:5" x14ac:dyDescent="0.3">
      <c r="A676" s="18" t="s">
        <v>0</v>
      </c>
      <c r="B676" s="18" t="s">
        <v>67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0</v>
      </c>
      <c r="B677" s="18" t="s">
        <v>54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239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55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240</v>
      </c>
      <c r="C680" s="18">
        <v>2</v>
      </c>
      <c r="D680" s="18">
        <v>0</v>
      </c>
      <c r="E680" s="18">
        <v>3</v>
      </c>
    </row>
    <row r="681" spans="1:5" x14ac:dyDescent="0.3">
      <c r="A681" s="18" t="s">
        <v>0</v>
      </c>
      <c r="B681" s="18" t="s">
        <v>2462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2463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2464</v>
      </c>
      <c r="C683" s="18">
        <v>0</v>
      </c>
      <c r="D683" s="18">
        <v>1</v>
      </c>
    </row>
    <row r="684" spans="1:5" x14ac:dyDescent="0.3">
      <c r="A684" s="18" t="s">
        <v>0</v>
      </c>
      <c r="B684" s="18" t="s">
        <v>2465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2</v>
      </c>
      <c r="B685" s="18" t="s">
        <v>30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2</v>
      </c>
      <c r="B686" s="18" t="s">
        <v>983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2</v>
      </c>
      <c r="B687" s="18" t="s">
        <v>61</v>
      </c>
      <c r="C687" s="18">
        <v>1</v>
      </c>
      <c r="D687" s="18">
        <v>0</v>
      </c>
      <c r="E687" s="18">
        <v>2</v>
      </c>
    </row>
    <row r="688" spans="1:5" x14ac:dyDescent="0.3">
      <c r="A688" s="18" t="s">
        <v>2</v>
      </c>
      <c r="B688" s="18" t="s">
        <v>160</v>
      </c>
      <c r="C688" s="18">
        <v>1</v>
      </c>
      <c r="D688" s="18">
        <v>0</v>
      </c>
      <c r="E688" s="18">
        <v>2</v>
      </c>
    </row>
    <row r="689" spans="1:5" x14ac:dyDescent="0.3">
      <c r="A689" s="18" t="s">
        <v>2</v>
      </c>
      <c r="B689" s="18" t="s">
        <v>2331</v>
      </c>
      <c r="C689" s="18">
        <v>1</v>
      </c>
      <c r="D689" s="18">
        <v>0</v>
      </c>
      <c r="E689" s="18">
        <v>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81747-B01A-4ED9-B6A4-B591F7B5DBA8}">
  <sheetPr codeName="Sheet33"/>
  <dimension ref="A1:M689"/>
  <sheetViews>
    <sheetView workbookViewId="0">
      <selection activeCell="A2" sqref="A2:E68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60</v>
      </c>
      <c r="D2" s="17">
        <v>50</v>
      </c>
      <c r="E2" s="17">
        <v>62</v>
      </c>
    </row>
    <row r="3" spans="1:13" customFormat="1" x14ac:dyDescent="0.3">
      <c r="A3" s="17" t="s">
        <v>1</v>
      </c>
      <c r="B3" s="17" t="s">
        <v>30</v>
      </c>
      <c r="C3" s="17">
        <v>80</v>
      </c>
      <c r="D3" s="17">
        <v>37</v>
      </c>
      <c r="E3" s="17">
        <v>140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365</v>
      </c>
      <c r="C4" s="17">
        <v>34</v>
      </c>
      <c r="D4" s="17">
        <v>23</v>
      </c>
      <c r="E4" s="17">
        <v>40</v>
      </c>
      <c r="G4" s="23" t="s">
        <v>8</v>
      </c>
      <c r="H4" s="19">
        <f>H13+H14</f>
        <v>1025</v>
      </c>
      <c r="I4" s="20">
        <f>H4/H$6</f>
        <v>0.73005698005698005</v>
      </c>
      <c r="J4" s="19">
        <f>I13+I14</f>
        <v>636</v>
      </c>
      <c r="K4" s="20">
        <f>J4/J$6</f>
        <v>0.68021390374331547</v>
      </c>
      <c r="L4" s="19">
        <f>J13+J14</f>
        <v>1193</v>
      </c>
      <c r="M4" s="29">
        <f>L4/L$6</f>
        <v>0.72259236826165962</v>
      </c>
    </row>
    <row r="5" spans="1:13" customFormat="1" x14ac:dyDescent="0.3">
      <c r="A5" s="17" t="s">
        <v>0</v>
      </c>
      <c r="B5" s="17" t="s">
        <v>29</v>
      </c>
      <c r="C5" s="17">
        <v>21</v>
      </c>
      <c r="D5" s="17">
        <v>21</v>
      </c>
      <c r="E5" s="17">
        <v>29</v>
      </c>
      <c r="G5" s="23" t="s">
        <v>10</v>
      </c>
      <c r="H5" s="19">
        <f>H15+H16</f>
        <v>379</v>
      </c>
      <c r="I5" s="20">
        <f>H5/H$6</f>
        <v>0.26994301994301995</v>
      </c>
      <c r="J5" s="19">
        <f>I15+I16</f>
        <v>299</v>
      </c>
      <c r="K5" s="20">
        <f>J5/J$6</f>
        <v>0.31978609625668447</v>
      </c>
      <c r="L5" s="19">
        <f>J15+J16</f>
        <v>458</v>
      </c>
      <c r="M5" s="29">
        <f>L5/L$6</f>
        <v>0.27740763173834038</v>
      </c>
    </row>
    <row r="6" spans="1:13" customFormat="1" ht="17.25" thickBot="1" x14ac:dyDescent="0.35">
      <c r="A6" s="17" t="s">
        <v>1</v>
      </c>
      <c r="B6" s="17" t="s">
        <v>37</v>
      </c>
      <c r="C6" s="17">
        <v>22</v>
      </c>
      <c r="D6" s="17">
        <v>19</v>
      </c>
      <c r="E6" s="17">
        <v>29</v>
      </c>
      <c r="G6" s="26"/>
      <c r="H6" s="30">
        <f>SUM(H4:H5)</f>
        <v>1404</v>
      </c>
      <c r="I6" s="31">
        <f>I4+I5</f>
        <v>1</v>
      </c>
      <c r="J6" s="30">
        <f>SUM(J4:J5)</f>
        <v>935</v>
      </c>
      <c r="K6" s="31">
        <f>K4+K5</f>
        <v>1</v>
      </c>
      <c r="L6" s="30">
        <f>SUM(L4:L5)</f>
        <v>1651</v>
      </c>
      <c r="M6" s="32">
        <f>M4+M5</f>
        <v>1</v>
      </c>
    </row>
    <row r="7" spans="1:13" customFormat="1" x14ac:dyDescent="0.3">
      <c r="A7" s="17" t="s">
        <v>0</v>
      </c>
      <c r="B7" s="17" t="s">
        <v>30</v>
      </c>
      <c r="C7" s="17">
        <v>17</v>
      </c>
      <c r="D7" s="17">
        <v>12</v>
      </c>
      <c r="E7" s="17">
        <v>27</v>
      </c>
    </row>
    <row r="8" spans="1:13" customFormat="1" x14ac:dyDescent="0.3">
      <c r="A8" s="17" t="s">
        <v>1</v>
      </c>
      <c r="B8" s="17" t="s">
        <v>897</v>
      </c>
      <c r="C8" s="17">
        <v>11</v>
      </c>
      <c r="D8" s="17">
        <v>11</v>
      </c>
      <c r="E8" s="17">
        <v>12</v>
      </c>
    </row>
    <row r="9" spans="1:13" customFormat="1" x14ac:dyDescent="0.3">
      <c r="A9" s="17" t="s">
        <v>0</v>
      </c>
      <c r="B9" s="17" t="s">
        <v>163</v>
      </c>
      <c r="C9" s="17">
        <v>10</v>
      </c>
      <c r="D9" s="17">
        <v>10</v>
      </c>
      <c r="E9" s="17">
        <v>10</v>
      </c>
    </row>
    <row r="10" spans="1:13" customFormat="1" ht="17.25" thickBot="1" x14ac:dyDescent="0.35">
      <c r="A10" s="17" t="s">
        <v>1</v>
      </c>
      <c r="B10" s="17" t="s">
        <v>1927</v>
      </c>
      <c r="C10" s="17">
        <v>10</v>
      </c>
      <c r="D10" s="17">
        <v>9</v>
      </c>
      <c r="E10" s="17">
        <v>11</v>
      </c>
    </row>
    <row r="11" spans="1:13" x14ac:dyDescent="0.3">
      <c r="A11" s="17" t="s">
        <v>0</v>
      </c>
      <c r="B11" s="17" t="s">
        <v>2396</v>
      </c>
      <c r="C11" s="17">
        <v>14</v>
      </c>
      <c r="D11" s="17">
        <v>9</v>
      </c>
      <c r="E11" s="17">
        <v>21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48</v>
      </c>
      <c r="C12" s="17">
        <v>12</v>
      </c>
      <c r="D12" s="17">
        <v>8</v>
      </c>
      <c r="E12" s="17">
        <v>12</v>
      </c>
      <c r="G12" s="23"/>
      <c r="H12" s="21">
        <f t="shared" ref="H12:J12" si="0">SUM(H13:H16)</f>
        <v>1404</v>
      </c>
      <c r="I12" s="21">
        <f t="shared" si="0"/>
        <v>935</v>
      </c>
      <c r="J12" s="24">
        <f t="shared" si="0"/>
        <v>1651</v>
      </c>
    </row>
    <row r="13" spans="1:13" x14ac:dyDescent="0.3">
      <c r="A13" s="17" t="s">
        <v>1</v>
      </c>
      <c r="B13" s="17" t="s">
        <v>149</v>
      </c>
      <c r="C13" s="17">
        <v>9</v>
      </c>
      <c r="D13" s="17">
        <v>8</v>
      </c>
      <c r="E13" s="17">
        <v>11</v>
      </c>
      <c r="G13" s="23" t="s">
        <v>7</v>
      </c>
      <c r="H13" s="22">
        <f t="shared" ref="H13:J16" si="1">SUMIF($A$2:$A$9999,$G13,C$2:C$9999)</f>
        <v>1025</v>
      </c>
      <c r="I13" s="22">
        <f t="shared" si="1"/>
        <v>636</v>
      </c>
      <c r="J13" s="25">
        <f t="shared" si="1"/>
        <v>1193</v>
      </c>
    </row>
    <row r="14" spans="1:13" x14ac:dyDescent="0.3">
      <c r="A14" s="17" t="s">
        <v>1</v>
      </c>
      <c r="B14" s="17" t="s">
        <v>61</v>
      </c>
      <c r="C14" s="17">
        <v>9</v>
      </c>
      <c r="D14" s="17">
        <v>8</v>
      </c>
      <c r="E14" s="17">
        <v>13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39</v>
      </c>
      <c r="C15" s="17">
        <v>8</v>
      </c>
      <c r="D15" s="17">
        <v>8</v>
      </c>
      <c r="E15" s="17">
        <v>9</v>
      </c>
      <c r="G15" s="23" t="s">
        <v>11</v>
      </c>
      <c r="H15" s="22">
        <f t="shared" si="1"/>
        <v>348</v>
      </c>
      <c r="I15" s="22">
        <f t="shared" si="1"/>
        <v>279</v>
      </c>
      <c r="J15" s="25">
        <f t="shared" si="1"/>
        <v>419</v>
      </c>
    </row>
    <row r="16" spans="1:13" ht="17.25" thickBot="1" x14ac:dyDescent="0.35">
      <c r="A16" s="17" t="s">
        <v>0</v>
      </c>
      <c r="B16" s="17" t="s">
        <v>61</v>
      </c>
      <c r="C16" s="17">
        <v>8</v>
      </c>
      <c r="D16" s="17">
        <v>7</v>
      </c>
      <c r="E16" s="17">
        <v>9</v>
      </c>
      <c r="G16" s="26" t="s">
        <v>12</v>
      </c>
      <c r="H16" s="27">
        <f t="shared" si="1"/>
        <v>31</v>
      </c>
      <c r="I16" s="27">
        <f t="shared" si="1"/>
        <v>20</v>
      </c>
      <c r="J16" s="28">
        <f t="shared" si="1"/>
        <v>39</v>
      </c>
    </row>
    <row r="17" spans="1:5" x14ac:dyDescent="0.3">
      <c r="A17" s="17" t="s">
        <v>1</v>
      </c>
      <c r="B17" s="17" t="s">
        <v>89</v>
      </c>
      <c r="C17" s="17">
        <v>6</v>
      </c>
      <c r="D17" s="17">
        <v>6</v>
      </c>
      <c r="E17" s="17">
        <v>9</v>
      </c>
    </row>
    <row r="18" spans="1:5" x14ac:dyDescent="0.3">
      <c r="A18" s="17" t="s">
        <v>1</v>
      </c>
      <c r="B18" s="17" t="s">
        <v>281</v>
      </c>
      <c r="C18" s="17">
        <v>7</v>
      </c>
      <c r="D18" s="17">
        <v>6</v>
      </c>
      <c r="E18" s="17">
        <v>8</v>
      </c>
    </row>
    <row r="19" spans="1:5" x14ac:dyDescent="0.3">
      <c r="A19" s="17" t="s">
        <v>1</v>
      </c>
      <c r="B19" s="17" t="s">
        <v>60</v>
      </c>
      <c r="C19" s="17">
        <v>6</v>
      </c>
      <c r="D19" s="17">
        <v>6</v>
      </c>
      <c r="E19" s="17">
        <v>8</v>
      </c>
    </row>
    <row r="20" spans="1:5" x14ac:dyDescent="0.3">
      <c r="A20" s="17" t="s">
        <v>1</v>
      </c>
      <c r="B20" s="17" t="s">
        <v>168</v>
      </c>
      <c r="C20" s="17">
        <v>6</v>
      </c>
      <c r="D20" s="17">
        <v>6</v>
      </c>
      <c r="E20" s="17">
        <v>8</v>
      </c>
    </row>
    <row r="21" spans="1:5" x14ac:dyDescent="0.3">
      <c r="A21" s="17" t="s">
        <v>1</v>
      </c>
      <c r="B21" s="17" t="s">
        <v>199</v>
      </c>
      <c r="C21" s="17">
        <v>7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51</v>
      </c>
      <c r="C22" s="17">
        <v>7</v>
      </c>
      <c r="D22" s="17">
        <v>6</v>
      </c>
      <c r="E22" s="17">
        <v>7</v>
      </c>
    </row>
    <row r="23" spans="1:5" x14ac:dyDescent="0.3">
      <c r="A23" s="17" t="s">
        <v>0</v>
      </c>
      <c r="B23" s="17" t="s">
        <v>40</v>
      </c>
      <c r="C23" s="17">
        <v>6</v>
      </c>
      <c r="D23" s="17">
        <v>6</v>
      </c>
      <c r="E23" s="17">
        <v>6</v>
      </c>
    </row>
    <row r="24" spans="1:5" x14ac:dyDescent="0.3">
      <c r="A24" s="17" t="s">
        <v>0</v>
      </c>
      <c r="B24" s="17" t="s">
        <v>2045</v>
      </c>
      <c r="C24" s="17">
        <v>6</v>
      </c>
      <c r="D24" s="17">
        <v>6</v>
      </c>
      <c r="E24" s="17">
        <v>8</v>
      </c>
    </row>
    <row r="25" spans="1:5" x14ac:dyDescent="0.3">
      <c r="A25" s="17" t="s">
        <v>0</v>
      </c>
      <c r="B25" s="17" t="s">
        <v>168</v>
      </c>
      <c r="C25" s="17">
        <v>6</v>
      </c>
      <c r="D25" s="17">
        <v>6</v>
      </c>
      <c r="E25" s="17">
        <v>7</v>
      </c>
    </row>
    <row r="26" spans="1:5" x14ac:dyDescent="0.3">
      <c r="A26" s="17" t="s">
        <v>0</v>
      </c>
      <c r="B26" s="17" t="s">
        <v>37</v>
      </c>
      <c r="C26" s="17">
        <v>6</v>
      </c>
      <c r="D26" s="17">
        <v>6</v>
      </c>
      <c r="E26" s="17">
        <v>6</v>
      </c>
    </row>
    <row r="27" spans="1:5" x14ac:dyDescent="0.3">
      <c r="A27" s="17" t="s">
        <v>0</v>
      </c>
      <c r="B27" s="17" t="s">
        <v>31</v>
      </c>
      <c r="C27" s="17">
        <v>6</v>
      </c>
      <c r="D27" s="17">
        <v>6</v>
      </c>
      <c r="E27" s="17">
        <v>6</v>
      </c>
    </row>
    <row r="28" spans="1:5" x14ac:dyDescent="0.3">
      <c r="A28" s="17" t="s">
        <v>1</v>
      </c>
      <c r="B28" s="17" t="s">
        <v>96</v>
      </c>
      <c r="C28" s="17">
        <v>7</v>
      </c>
      <c r="D28" s="17">
        <v>5</v>
      </c>
      <c r="E28" s="17">
        <v>9</v>
      </c>
    </row>
    <row r="29" spans="1:5" x14ac:dyDescent="0.3">
      <c r="A29" s="17" t="s">
        <v>1</v>
      </c>
      <c r="B29" s="17" t="s">
        <v>1946</v>
      </c>
      <c r="C29" s="17">
        <v>6</v>
      </c>
      <c r="D29" s="17">
        <v>5</v>
      </c>
      <c r="E29" s="17">
        <v>6</v>
      </c>
    </row>
    <row r="30" spans="1:5" x14ac:dyDescent="0.3">
      <c r="A30" s="17" t="s">
        <v>1</v>
      </c>
      <c r="B30" s="17" t="s">
        <v>2396</v>
      </c>
      <c r="C30" s="17">
        <v>21</v>
      </c>
      <c r="D30" s="17">
        <v>5</v>
      </c>
      <c r="E30" s="17">
        <v>24</v>
      </c>
    </row>
    <row r="31" spans="1:5" x14ac:dyDescent="0.3">
      <c r="A31" s="17" t="s">
        <v>1</v>
      </c>
      <c r="B31" s="17" t="s">
        <v>29</v>
      </c>
      <c r="C31" s="17">
        <v>5</v>
      </c>
      <c r="D31" s="17">
        <v>5</v>
      </c>
      <c r="E31" s="17">
        <v>5</v>
      </c>
    </row>
    <row r="32" spans="1:5" x14ac:dyDescent="0.3">
      <c r="A32" s="17" t="s">
        <v>1</v>
      </c>
      <c r="B32" s="17" t="s">
        <v>195</v>
      </c>
      <c r="C32" s="17">
        <v>8</v>
      </c>
      <c r="D32" s="17">
        <v>5</v>
      </c>
      <c r="E32" s="17">
        <v>9</v>
      </c>
    </row>
    <row r="33" spans="1:5" x14ac:dyDescent="0.3">
      <c r="A33" s="17" t="s">
        <v>1</v>
      </c>
      <c r="B33" s="17" t="s">
        <v>39</v>
      </c>
      <c r="C33" s="17">
        <v>12</v>
      </c>
      <c r="D33" s="17">
        <v>5</v>
      </c>
      <c r="E33" s="17">
        <v>25</v>
      </c>
    </row>
    <row r="34" spans="1:5" x14ac:dyDescent="0.3">
      <c r="A34" s="17" t="s">
        <v>0</v>
      </c>
      <c r="B34" s="17" t="s">
        <v>2395</v>
      </c>
      <c r="C34" s="17">
        <v>6</v>
      </c>
      <c r="D34" s="17">
        <v>5</v>
      </c>
      <c r="E34" s="17">
        <v>7</v>
      </c>
    </row>
    <row r="35" spans="1:5" x14ac:dyDescent="0.3">
      <c r="A35" s="17" t="s">
        <v>2</v>
      </c>
      <c r="B35" s="17" t="s">
        <v>897</v>
      </c>
      <c r="C35" s="17">
        <v>5</v>
      </c>
      <c r="D35" s="17">
        <v>5</v>
      </c>
      <c r="E35" s="17">
        <v>6</v>
      </c>
    </row>
    <row r="36" spans="1:5" x14ac:dyDescent="0.3">
      <c r="A36" s="17" t="s">
        <v>1</v>
      </c>
      <c r="B36" s="17" t="s">
        <v>36</v>
      </c>
      <c r="C36" s="17">
        <v>6</v>
      </c>
      <c r="D36" s="17">
        <v>4</v>
      </c>
      <c r="E36" s="17">
        <v>8</v>
      </c>
    </row>
    <row r="37" spans="1:5" x14ac:dyDescent="0.3">
      <c r="A37" s="17" t="s">
        <v>1</v>
      </c>
      <c r="B37" s="17" t="s">
        <v>79</v>
      </c>
      <c r="C37" s="17">
        <v>5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93</v>
      </c>
      <c r="C38" s="17">
        <v>5</v>
      </c>
      <c r="D38" s="17">
        <v>4</v>
      </c>
      <c r="E38" s="17">
        <v>7</v>
      </c>
    </row>
    <row r="39" spans="1:5" x14ac:dyDescent="0.3">
      <c r="A39" s="17" t="s">
        <v>1</v>
      </c>
      <c r="B39" s="17" t="s">
        <v>155</v>
      </c>
      <c r="C39" s="17">
        <v>8</v>
      </c>
      <c r="D39" s="17">
        <v>4</v>
      </c>
      <c r="E39" s="17">
        <v>6</v>
      </c>
    </row>
    <row r="40" spans="1:5" x14ac:dyDescent="0.3">
      <c r="A40" s="17" t="s">
        <v>1</v>
      </c>
      <c r="B40" s="17" t="s">
        <v>2329</v>
      </c>
      <c r="C40" s="17">
        <v>5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2429</v>
      </c>
      <c r="C41" s="17">
        <v>11</v>
      </c>
      <c r="D41" s="17">
        <v>4</v>
      </c>
      <c r="E41" s="17">
        <v>11</v>
      </c>
    </row>
    <row r="42" spans="1:5" x14ac:dyDescent="0.3">
      <c r="A42" s="17" t="s">
        <v>1</v>
      </c>
      <c r="B42" s="17" t="s">
        <v>113</v>
      </c>
      <c r="C42" s="17">
        <v>6</v>
      </c>
      <c r="D42" s="17">
        <v>4</v>
      </c>
      <c r="E42" s="17">
        <v>8</v>
      </c>
    </row>
    <row r="43" spans="1:5" x14ac:dyDescent="0.3">
      <c r="A43" s="17" t="s">
        <v>1</v>
      </c>
      <c r="B43" s="17" t="s">
        <v>45</v>
      </c>
      <c r="C43" s="17">
        <v>5</v>
      </c>
      <c r="D43" s="17">
        <v>4</v>
      </c>
      <c r="E43" s="17">
        <v>5</v>
      </c>
    </row>
    <row r="44" spans="1:5" x14ac:dyDescent="0.3">
      <c r="A44" s="17" t="s">
        <v>0</v>
      </c>
      <c r="B44" s="17" t="s">
        <v>291</v>
      </c>
      <c r="C44" s="17">
        <v>4</v>
      </c>
      <c r="D44" s="17">
        <v>4</v>
      </c>
      <c r="E44" s="17">
        <v>4</v>
      </c>
    </row>
    <row r="45" spans="1:5" x14ac:dyDescent="0.3">
      <c r="A45" s="17" t="s">
        <v>1</v>
      </c>
      <c r="B45" s="17" t="s">
        <v>357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40</v>
      </c>
      <c r="C46" s="17">
        <v>4</v>
      </c>
      <c r="D46" s="17">
        <v>3</v>
      </c>
      <c r="E46" s="17">
        <v>4</v>
      </c>
    </row>
    <row r="47" spans="1:5" x14ac:dyDescent="0.3">
      <c r="A47" s="17" t="s">
        <v>1</v>
      </c>
      <c r="B47" s="17" t="s">
        <v>151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152</v>
      </c>
      <c r="C48" s="17">
        <v>5</v>
      </c>
      <c r="D48" s="17">
        <v>3</v>
      </c>
      <c r="E48" s="17">
        <v>5</v>
      </c>
    </row>
    <row r="49" spans="1:5" x14ac:dyDescent="0.3">
      <c r="A49" s="17" t="s">
        <v>1</v>
      </c>
      <c r="B49" s="17" t="s">
        <v>362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219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2075</v>
      </c>
      <c r="C51" s="17">
        <v>4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163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104</v>
      </c>
      <c r="C53" s="17">
        <v>3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1343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331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726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117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122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63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31</v>
      </c>
      <c r="C60" s="17">
        <v>4</v>
      </c>
      <c r="D60" s="17">
        <v>3</v>
      </c>
      <c r="E60" s="17">
        <v>6</v>
      </c>
    </row>
    <row r="61" spans="1:5" x14ac:dyDescent="0.3">
      <c r="A61" s="17" t="s">
        <v>1</v>
      </c>
      <c r="B61" s="17" t="s">
        <v>376</v>
      </c>
      <c r="C61" s="17">
        <v>3</v>
      </c>
      <c r="D61" s="17">
        <v>3</v>
      </c>
      <c r="E61" s="17">
        <v>4</v>
      </c>
    </row>
    <row r="62" spans="1:5" x14ac:dyDescent="0.3">
      <c r="A62" s="17" t="s">
        <v>1</v>
      </c>
      <c r="B62" s="17" t="s">
        <v>68</v>
      </c>
      <c r="C62" s="17">
        <v>3</v>
      </c>
      <c r="D62" s="17">
        <v>3</v>
      </c>
      <c r="E62" s="17">
        <v>5</v>
      </c>
    </row>
    <row r="63" spans="1:5" x14ac:dyDescent="0.3">
      <c r="A63" s="17" t="s">
        <v>1</v>
      </c>
      <c r="B63" s="17" t="s">
        <v>850</v>
      </c>
      <c r="C63" s="17">
        <v>3</v>
      </c>
      <c r="D63" s="17">
        <v>3</v>
      </c>
      <c r="E63" s="17">
        <v>4</v>
      </c>
    </row>
    <row r="64" spans="1:5" x14ac:dyDescent="0.3">
      <c r="A64" s="17" t="s">
        <v>0</v>
      </c>
      <c r="B64" s="17" t="s">
        <v>83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365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60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1946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2075</v>
      </c>
      <c r="C68" s="17">
        <v>3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2429</v>
      </c>
      <c r="C69" s="17">
        <v>4</v>
      </c>
      <c r="D69" s="17">
        <v>3</v>
      </c>
      <c r="E69" s="17">
        <v>4</v>
      </c>
    </row>
    <row r="70" spans="1:5" x14ac:dyDescent="0.3">
      <c r="A70" s="17" t="s">
        <v>0</v>
      </c>
      <c r="B70" s="17" t="s">
        <v>2397</v>
      </c>
      <c r="C70" s="17">
        <v>4</v>
      </c>
      <c r="D70" s="17">
        <v>3</v>
      </c>
      <c r="E70" s="17">
        <v>5</v>
      </c>
    </row>
    <row r="71" spans="1:5" x14ac:dyDescent="0.3">
      <c r="A71" s="17" t="s">
        <v>0</v>
      </c>
      <c r="B71" s="17" t="s">
        <v>113</v>
      </c>
      <c r="C71" s="17">
        <v>5</v>
      </c>
      <c r="D71" s="17">
        <v>3</v>
      </c>
      <c r="E71" s="17">
        <v>5</v>
      </c>
    </row>
    <row r="72" spans="1:5" x14ac:dyDescent="0.3">
      <c r="A72" s="17" t="s">
        <v>0</v>
      </c>
      <c r="B72" s="17" t="s">
        <v>45</v>
      </c>
      <c r="C72" s="17">
        <v>3</v>
      </c>
      <c r="D72" s="17">
        <v>3</v>
      </c>
      <c r="E72" s="17">
        <v>4</v>
      </c>
    </row>
    <row r="73" spans="1:5" x14ac:dyDescent="0.3">
      <c r="A73" s="17" t="s">
        <v>0</v>
      </c>
      <c r="B73" s="17" t="s">
        <v>897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305</v>
      </c>
      <c r="C74" s="17">
        <v>3</v>
      </c>
      <c r="D74" s="17">
        <v>3</v>
      </c>
      <c r="E74" s="17">
        <v>4</v>
      </c>
    </row>
    <row r="75" spans="1:5" x14ac:dyDescent="0.3">
      <c r="A75" s="17" t="s">
        <v>1</v>
      </c>
      <c r="B75" s="17" t="s">
        <v>984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242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33</v>
      </c>
      <c r="C77" s="17">
        <v>5</v>
      </c>
      <c r="D77" s="17">
        <v>2</v>
      </c>
      <c r="E77" s="17">
        <v>7</v>
      </c>
    </row>
    <row r="78" spans="1:5" x14ac:dyDescent="0.3">
      <c r="A78" s="17" t="s">
        <v>1</v>
      </c>
      <c r="B78" s="17" t="s">
        <v>905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267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315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1090</v>
      </c>
      <c r="C81" s="17">
        <v>3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1203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634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41</v>
      </c>
      <c r="C84" s="17">
        <v>2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42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1854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103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165</v>
      </c>
      <c r="C88" s="17">
        <v>5</v>
      </c>
      <c r="D88" s="17">
        <v>2</v>
      </c>
      <c r="E88" s="17">
        <v>5</v>
      </c>
    </row>
    <row r="89" spans="1:5" x14ac:dyDescent="0.3">
      <c r="A89" s="17" t="s">
        <v>1</v>
      </c>
      <c r="B89" s="17" t="s">
        <v>107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111</v>
      </c>
      <c r="C90" s="17">
        <v>3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289</v>
      </c>
      <c r="C91" s="17">
        <v>2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291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385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446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1292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495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200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123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125</v>
      </c>
      <c r="C99" s="17">
        <v>2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346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603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703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605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427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52</v>
      </c>
      <c r="C105" s="17">
        <v>5</v>
      </c>
      <c r="D105" s="17">
        <v>2</v>
      </c>
      <c r="E105" s="17">
        <v>5</v>
      </c>
    </row>
    <row r="106" spans="1:5" x14ac:dyDescent="0.3">
      <c r="A106" s="17" t="s">
        <v>1</v>
      </c>
      <c r="B106" s="17" t="s">
        <v>201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566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1327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55</v>
      </c>
      <c r="C109" s="17">
        <v>9</v>
      </c>
      <c r="D109" s="17">
        <v>2</v>
      </c>
      <c r="E109" s="17">
        <v>9</v>
      </c>
    </row>
    <row r="110" spans="1:5" x14ac:dyDescent="0.3">
      <c r="A110" s="17" t="s">
        <v>1</v>
      </c>
      <c r="B110" s="17" t="s">
        <v>701</v>
      </c>
      <c r="C110" s="17">
        <v>2</v>
      </c>
      <c r="D110" s="17">
        <v>2</v>
      </c>
      <c r="E110" s="17"/>
    </row>
    <row r="111" spans="1:5" x14ac:dyDescent="0.3">
      <c r="A111" s="17" t="s">
        <v>0</v>
      </c>
      <c r="B111" s="17" t="s">
        <v>242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34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151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152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0</v>
      </c>
      <c r="B115" s="17" t="s">
        <v>41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0</v>
      </c>
      <c r="B116" s="17" t="s">
        <v>96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322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1072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199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115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330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124</v>
      </c>
      <c r="C122" s="17">
        <v>3</v>
      </c>
      <c r="D122" s="17">
        <v>2</v>
      </c>
      <c r="E122" s="17">
        <v>3</v>
      </c>
    </row>
    <row r="123" spans="1:5" x14ac:dyDescent="0.3">
      <c r="A123" s="17" t="s">
        <v>0</v>
      </c>
      <c r="B123" s="17" t="s">
        <v>428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1832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1741</v>
      </c>
      <c r="C125" s="17">
        <v>2</v>
      </c>
      <c r="D125" s="17">
        <v>2</v>
      </c>
      <c r="E125" s="17"/>
    </row>
    <row r="126" spans="1:5" x14ac:dyDescent="0.3">
      <c r="A126" s="17" t="s">
        <v>2</v>
      </c>
      <c r="B126" s="17" t="s">
        <v>2075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489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140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1664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311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1100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2466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1249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929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2091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2467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611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612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384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73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75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793</v>
      </c>
      <c r="C142" s="17">
        <v>2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705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144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931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272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356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276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517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627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906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247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990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34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1054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1314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2294</v>
      </c>
      <c r="C157" s="17">
        <v>1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1334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519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86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398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630</v>
      </c>
      <c r="C162" s="17">
        <v>1</v>
      </c>
      <c r="D162" s="17">
        <v>1</v>
      </c>
      <c r="E162" s="17">
        <v>5</v>
      </c>
    </row>
    <row r="163" spans="1:5" x14ac:dyDescent="0.3">
      <c r="A163" s="17" t="s">
        <v>1</v>
      </c>
      <c r="B163" s="17" t="s">
        <v>264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88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480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1964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1317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1060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1426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218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636</v>
      </c>
      <c r="C171" s="17">
        <v>3</v>
      </c>
      <c r="D171" s="17">
        <v>1</v>
      </c>
      <c r="E171" s="17">
        <v>3</v>
      </c>
    </row>
    <row r="172" spans="1:5" x14ac:dyDescent="0.3">
      <c r="A172" s="17" t="s">
        <v>1</v>
      </c>
      <c r="B172" s="17" t="s">
        <v>638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640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641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250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364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223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157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1662</v>
      </c>
      <c r="C179" s="17">
        <v>2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1775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1911</v>
      </c>
      <c r="C181" s="17">
        <v>1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2401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2468</v>
      </c>
      <c r="C183" s="17">
        <v>5</v>
      </c>
      <c r="D183" s="17">
        <v>1</v>
      </c>
      <c r="E183" s="17">
        <v>5</v>
      </c>
    </row>
    <row r="184" spans="1:5" x14ac:dyDescent="0.3">
      <c r="A184" s="17" t="s">
        <v>1</v>
      </c>
      <c r="B184" s="17" t="s">
        <v>2469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2470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2399</v>
      </c>
      <c r="C186" s="17">
        <v>4</v>
      </c>
      <c r="D186" s="17">
        <v>1</v>
      </c>
      <c r="E186" s="17">
        <v>4</v>
      </c>
    </row>
    <row r="187" spans="1:5" x14ac:dyDescent="0.3">
      <c r="A187" s="17" t="s">
        <v>1</v>
      </c>
      <c r="B187" s="17" t="s">
        <v>2395</v>
      </c>
      <c r="C187" s="17">
        <v>6</v>
      </c>
      <c r="D187" s="17">
        <v>1</v>
      </c>
      <c r="E187" s="17">
        <v>8</v>
      </c>
    </row>
    <row r="188" spans="1:5" x14ac:dyDescent="0.3">
      <c r="A188" s="17" t="s">
        <v>1</v>
      </c>
      <c r="B188" s="17" t="s">
        <v>2445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2397</v>
      </c>
      <c r="C189" s="17">
        <v>8</v>
      </c>
      <c r="D189" s="17">
        <v>1</v>
      </c>
      <c r="E189" s="17">
        <v>9</v>
      </c>
    </row>
    <row r="190" spans="1:5" x14ac:dyDescent="0.3">
      <c r="A190" s="17" t="s">
        <v>1</v>
      </c>
      <c r="B190" s="17" t="s">
        <v>713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524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525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2471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318</v>
      </c>
      <c r="C194" s="17">
        <v>2</v>
      </c>
      <c r="D194" s="17">
        <v>1</v>
      </c>
      <c r="E194" s="17">
        <v>3</v>
      </c>
    </row>
    <row r="195" spans="1:5" x14ac:dyDescent="0.3">
      <c r="A195" s="17" t="s">
        <v>1</v>
      </c>
      <c r="B195" s="17" t="s">
        <v>526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492</v>
      </c>
      <c r="C196" s="17">
        <v>1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1066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2472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946</v>
      </c>
      <c r="C199" s="17">
        <v>1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265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1068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2365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403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1429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1898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1145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1220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589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837</v>
      </c>
      <c r="C209" s="17">
        <v>2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352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716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912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105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1522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1107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166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532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167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2473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1373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1614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286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2474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1443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646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647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1685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2475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169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50</v>
      </c>
      <c r="C230" s="17">
        <v>2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2476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170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110</v>
      </c>
      <c r="C233" s="17">
        <v>2</v>
      </c>
      <c r="D233" s="17">
        <v>1</v>
      </c>
      <c r="E233" s="17">
        <v>2</v>
      </c>
    </row>
    <row r="234" spans="1:5" x14ac:dyDescent="0.3">
      <c r="A234" s="17" t="s">
        <v>1</v>
      </c>
      <c r="B234" s="17" t="s">
        <v>226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2477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1444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2211</v>
      </c>
      <c r="C237" s="17">
        <v>1</v>
      </c>
      <c r="D237" s="17">
        <v>1</v>
      </c>
      <c r="E237" s="17">
        <v>2</v>
      </c>
    </row>
    <row r="238" spans="1:5" x14ac:dyDescent="0.3">
      <c r="A238" s="17" t="s">
        <v>1</v>
      </c>
      <c r="B238" s="17" t="s">
        <v>845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1693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873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1525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2221</v>
      </c>
      <c r="C242" s="17">
        <v>1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2088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875</v>
      </c>
      <c r="C244" s="17">
        <v>2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1263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594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326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1196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327</v>
      </c>
      <c r="C249" s="17">
        <v>2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539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878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228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115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1410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2478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467</v>
      </c>
      <c r="C256" s="17">
        <v>2</v>
      </c>
      <c r="D256" s="17">
        <v>1</v>
      </c>
      <c r="E256" s="17">
        <v>3</v>
      </c>
    </row>
    <row r="257" spans="1:5" x14ac:dyDescent="0.3">
      <c r="A257" s="17" t="s">
        <v>1</v>
      </c>
      <c r="B257" s="17" t="s">
        <v>1852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597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546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979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2479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731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1009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1934</v>
      </c>
      <c r="C264" s="17">
        <v>1</v>
      </c>
      <c r="D264" s="17">
        <v>1</v>
      </c>
      <c r="E264" s="17">
        <v>2</v>
      </c>
    </row>
    <row r="265" spans="1:5" x14ac:dyDescent="0.3">
      <c r="A265" s="17" t="s">
        <v>1</v>
      </c>
      <c r="B265" s="17" t="s">
        <v>550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2480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337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1803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658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116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339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780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1189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1608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176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552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1729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299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2041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120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345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121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662</v>
      </c>
      <c r="C283" s="17">
        <v>2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1323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695</v>
      </c>
      <c r="C285" s="17">
        <v>2</v>
      </c>
      <c r="D285" s="17">
        <v>1</v>
      </c>
      <c r="E285" s="17">
        <v>2</v>
      </c>
    </row>
    <row r="286" spans="1:5" x14ac:dyDescent="0.3">
      <c r="A286" s="17" t="s">
        <v>1</v>
      </c>
      <c r="B286" s="17" t="s">
        <v>890</v>
      </c>
      <c r="C286" s="17">
        <v>2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179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2120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1355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740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1179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1308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791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1757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602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422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557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744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180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126</v>
      </c>
      <c r="C300" s="17">
        <v>2</v>
      </c>
      <c r="D300" s="17">
        <v>1</v>
      </c>
      <c r="E300" s="17">
        <v>2</v>
      </c>
    </row>
    <row r="301" spans="1:5" x14ac:dyDescent="0.3">
      <c r="A301" s="17" t="s">
        <v>1</v>
      </c>
      <c r="B301" s="17" t="s">
        <v>2481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304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698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561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1118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262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1271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186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474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350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1697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430</v>
      </c>
      <c r="C312" s="17">
        <v>1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2454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498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351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65</v>
      </c>
      <c r="C316" s="17">
        <v>2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1247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1083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305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2482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234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135</v>
      </c>
      <c r="C322" s="17">
        <v>2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842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53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849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2483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237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2484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1125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755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1126</v>
      </c>
      <c r="C331" s="17">
        <v>2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1804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2163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1765</v>
      </c>
      <c r="C334" s="17">
        <v>1</v>
      </c>
      <c r="D334" s="17">
        <v>1</v>
      </c>
      <c r="E334" s="17"/>
    </row>
    <row r="335" spans="1:5" x14ac:dyDescent="0.3">
      <c r="A335" s="17" t="s">
        <v>1</v>
      </c>
      <c r="B335" s="17" t="s">
        <v>2122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2485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1636</v>
      </c>
      <c r="C337" s="17">
        <v>1</v>
      </c>
      <c r="D337" s="17">
        <v>1</v>
      </c>
      <c r="E337" s="17"/>
    </row>
    <row r="338" spans="1:5" x14ac:dyDescent="0.3">
      <c r="A338" s="17" t="s">
        <v>1</v>
      </c>
      <c r="B338" s="17" t="s">
        <v>1404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2486</v>
      </c>
      <c r="C339" s="17">
        <v>1</v>
      </c>
      <c r="D339" s="17">
        <v>1</v>
      </c>
      <c r="E339" s="17"/>
    </row>
    <row r="340" spans="1:5" x14ac:dyDescent="0.3">
      <c r="A340" s="17" t="s">
        <v>1</v>
      </c>
      <c r="B340" s="17" t="s">
        <v>2487</v>
      </c>
      <c r="C340" s="17">
        <v>1</v>
      </c>
      <c r="D340" s="17">
        <v>2</v>
      </c>
      <c r="E340" s="17"/>
    </row>
    <row r="341" spans="1:5" x14ac:dyDescent="0.3">
      <c r="A341" s="17" t="s">
        <v>1</v>
      </c>
      <c r="B341" s="17" t="s">
        <v>1047</v>
      </c>
      <c r="C341" s="17">
        <v>1</v>
      </c>
      <c r="D341" s="17">
        <v>1</v>
      </c>
      <c r="E341" s="17">
        <v>2</v>
      </c>
    </row>
    <row r="342" spans="1:5" x14ac:dyDescent="0.3">
      <c r="A342" s="17" t="s">
        <v>1</v>
      </c>
      <c r="B342" s="17" t="s">
        <v>1752</v>
      </c>
      <c r="C342" s="17">
        <v>1</v>
      </c>
      <c r="D342" s="17">
        <v>1</v>
      </c>
      <c r="E342" s="17"/>
    </row>
    <row r="343" spans="1:5" x14ac:dyDescent="0.3">
      <c r="A343" s="17" t="s">
        <v>1</v>
      </c>
      <c r="B343" s="17" t="s">
        <v>2488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2489</v>
      </c>
      <c r="C344" s="17">
        <v>1</v>
      </c>
      <c r="D344" s="17">
        <v>2</v>
      </c>
      <c r="E344" s="17"/>
    </row>
    <row r="345" spans="1:5" x14ac:dyDescent="0.3">
      <c r="A345" s="17" t="s">
        <v>1</v>
      </c>
      <c r="B345" s="17" t="s">
        <v>2370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760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2190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790</v>
      </c>
      <c r="C348" s="17">
        <v>1</v>
      </c>
      <c r="D348" s="17">
        <v>1</v>
      </c>
      <c r="E348" s="17"/>
    </row>
    <row r="349" spans="1:5" x14ac:dyDescent="0.3">
      <c r="A349" s="17" t="s">
        <v>1</v>
      </c>
      <c r="B349" s="17" t="s">
        <v>2490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1302</v>
      </c>
      <c r="C350" s="17">
        <v>1</v>
      </c>
      <c r="D350" s="17">
        <v>1</v>
      </c>
      <c r="E350" s="17">
        <v>2</v>
      </c>
    </row>
    <row r="351" spans="1:5" x14ac:dyDescent="0.3">
      <c r="A351" s="17" t="s">
        <v>1</v>
      </c>
      <c r="B351" s="17" t="s">
        <v>2359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1359</v>
      </c>
      <c r="C352" s="17">
        <v>1</v>
      </c>
      <c r="D352" s="17">
        <v>1</v>
      </c>
      <c r="E352" s="17"/>
    </row>
    <row r="353" spans="1:5" x14ac:dyDescent="0.3">
      <c r="A353" s="17" t="s">
        <v>1</v>
      </c>
      <c r="B353" s="17" t="s">
        <v>308</v>
      </c>
      <c r="C353" s="17">
        <v>1</v>
      </c>
      <c r="D353" s="17">
        <v>1</v>
      </c>
      <c r="E353" s="17"/>
    </row>
    <row r="354" spans="1:5" x14ac:dyDescent="0.3">
      <c r="A354" s="17" t="s">
        <v>1</v>
      </c>
      <c r="B354" s="17" t="s">
        <v>2491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431</v>
      </c>
      <c r="C355" s="17">
        <v>1</v>
      </c>
      <c r="D355" s="17">
        <v>1</v>
      </c>
      <c r="E355" s="17"/>
    </row>
    <row r="356" spans="1:5" x14ac:dyDescent="0.3">
      <c r="A356" s="17" t="s">
        <v>1</v>
      </c>
      <c r="B356" s="17" t="s">
        <v>1213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32</v>
      </c>
      <c r="C357" s="17">
        <v>6</v>
      </c>
      <c r="D357" s="17">
        <v>1</v>
      </c>
      <c r="E357" s="17">
        <v>10</v>
      </c>
    </row>
    <row r="358" spans="1:5" x14ac:dyDescent="0.3">
      <c r="A358" s="17" t="s">
        <v>1</v>
      </c>
      <c r="B358" s="17" t="s">
        <v>2492</v>
      </c>
      <c r="C358" s="17">
        <v>1</v>
      </c>
      <c r="D358" s="17">
        <v>1</v>
      </c>
      <c r="E358" s="17">
        <v>4</v>
      </c>
    </row>
    <row r="359" spans="1:5" x14ac:dyDescent="0.3">
      <c r="A359" s="17" t="s">
        <v>0</v>
      </c>
      <c r="B359" s="17" t="s">
        <v>983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36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47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579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270</v>
      </c>
      <c r="C363" s="17">
        <v>2</v>
      </c>
      <c r="D363" s="17">
        <v>1</v>
      </c>
      <c r="E363" s="17">
        <v>2</v>
      </c>
    </row>
    <row r="364" spans="1:5" x14ac:dyDescent="0.3">
      <c r="A364" s="17" t="s">
        <v>0</v>
      </c>
      <c r="B364" s="17" t="s">
        <v>383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33</v>
      </c>
      <c r="C365" s="17">
        <v>1</v>
      </c>
      <c r="D365" s="17">
        <v>1</v>
      </c>
      <c r="E365" s="17">
        <v>2</v>
      </c>
    </row>
    <row r="366" spans="1:5" x14ac:dyDescent="0.3">
      <c r="A366" s="17" t="s">
        <v>0</v>
      </c>
      <c r="B366" s="17" t="s">
        <v>75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855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272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490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79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1707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583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82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267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214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149</v>
      </c>
      <c r="C376" s="17">
        <v>3</v>
      </c>
      <c r="D376" s="17">
        <v>1</v>
      </c>
      <c r="E376" s="17">
        <v>3</v>
      </c>
    </row>
    <row r="377" spans="1:5" x14ac:dyDescent="0.3">
      <c r="A377" s="17" t="s">
        <v>0</v>
      </c>
      <c r="B377" s="17" t="s">
        <v>153</v>
      </c>
      <c r="C377" s="17">
        <v>2</v>
      </c>
      <c r="D377" s="17">
        <v>1</v>
      </c>
      <c r="E377" s="17">
        <v>2</v>
      </c>
    </row>
    <row r="378" spans="1:5" x14ac:dyDescent="0.3">
      <c r="A378" s="17" t="s">
        <v>0</v>
      </c>
      <c r="B378" s="17" t="s">
        <v>92</v>
      </c>
      <c r="C378" s="17">
        <v>1</v>
      </c>
      <c r="D378" s="17">
        <v>1</v>
      </c>
      <c r="E378" s="17">
        <v>3</v>
      </c>
    </row>
    <row r="379" spans="1:5" x14ac:dyDescent="0.3">
      <c r="A379" s="17" t="s">
        <v>0</v>
      </c>
      <c r="B379" s="17" t="s">
        <v>281</v>
      </c>
      <c r="C379" s="17">
        <v>1</v>
      </c>
      <c r="D379" s="17">
        <v>1</v>
      </c>
      <c r="E379" s="17">
        <v>2</v>
      </c>
    </row>
    <row r="380" spans="1:5" x14ac:dyDescent="0.3">
      <c r="A380" s="17" t="s">
        <v>0</v>
      </c>
      <c r="B380" s="17" t="s">
        <v>251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1518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1660</v>
      </c>
      <c r="C382" s="17">
        <v>2</v>
      </c>
      <c r="D382" s="17">
        <v>1</v>
      </c>
      <c r="E382" s="17">
        <v>3</v>
      </c>
    </row>
    <row r="383" spans="1:5" x14ac:dyDescent="0.3">
      <c r="A383" s="17" t="s">
        <v>0</v>
      </c>
      <c r="B383" s="17" t="s">
        <v>1691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1854</v>
      </c>
      <c r="C384" s="17">
        <v>2</v>
      </c>
      <c r="D384" s="17">
        <v>1</v>
      </c>
      <c r="E384" s="17">
        <v>2</v>
      </c>
    </row>
    <row r="385" spans="1:5" x14ac:dyDescent="0.3">
      <c r="A385" s="17" t="s">
        <v>0</v>
      </c>
      <c r="B385" s="17" t="s">
        <v>2401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2493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2494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2399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2398</v>
      </c>
      <c r="C389" s="17">
        <v>2</v>
      </c>
      <c r="D389" s="17">
        <v>1</v>
      </c>
      <c r="E389" s="17">
        <v>2</v>
      </c>
    </row>
    <row r="390" spans="1:5" x14ac:dyDescent="0.3">
      <c r="A390" s="17" t="s">
        <v>0</v>
      </c>
      <c r="B390" s="17" t="s">
        <v>158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525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97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2028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35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2407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160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1145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368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589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404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2495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998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28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1612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165</v>
      </c>
      <c r="C405" s="17">
        <v>2</v>
      </c>
      <c r="D405" s="17">
        <v>1</v>
      </c>
      <c r="E405" s="17">
        <v>2</v>
      </c>
    </row>
    <row r="406" spans="1:5" x14ac:dyDescent="0.3">
      <c r="A406" s="17" t="s">
        <v>0</v>
      </c>
      <c r="B406" s="17" t="s">
        <v>353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106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321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2129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107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2336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1130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286</v>
      </c>
      <c r="C413" s="17">
        <v>2</v>
      </c>
      <c r="D413" s="17">
        <v>1</v>
      </c>
      <c r="E413" s="17">
        <v>2</v>
      </c>
    </row>
    <row r="414" spans="1:5" x14ac:dyDescent="0.3">
      <c r="A414" s="17" t="s">
        <v>0</v>
      </c>
      <c r="B414" s="17" t="s">
        <v>719</v>
      </c>
      <c r="C414" s="17">
        <v>1</v>
      </c>
      <c r="D414" s="17">
        <v>1</v>
      </c>
      <c r="E414" s="17">
        <v>2</v>
      </c>
    </row>
    <row r="415" spans="1:5" x14ac:dyDescent="0.3">
      <c r="A415" s="17" t="s">
        <v>0</v>
      </c>
      <c r="B415" s="17" t="s">
        <v>592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407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111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488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539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2496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2497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775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1094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1704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597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2191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607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117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495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957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958</v>
      </c>
      <c r="C431" s="17">
        <v>2</v>
      </c>
      <c r="D431" s="17">
        <v>1</v>
      </c>
      <c r="E431" s="17">
        <v>3</v>
      </c>
    </row>
    <row r="432" spans="1:5" x14ac:dyDescent="0.3">
      <c r="A432" s="17" t="s">
        <v>0</v>
      </c>
      <c r="B432" s="17" t="s">
        <v>1689</v>
      </c>
      <c r="C432" s="17">
        <v>1</v>
      </c>
      <c r="D432" s="17">
        <v>1</v>
      </c>
      <c r="E432" s="17">
        <v>2</v>
      </c>
    </row>
    <row r="433" spans="1:5" x14ac:dyDescent="0.3">
      <c r="A433" s="17" t="s">
        <v>0</v>
      </c>
      <c r="B433" s="17" t="s">
        <v>200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2161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62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695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346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1894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743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63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181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1529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896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126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483</v>
      </c>
      <c r="C445" s="17">
        <v>1</v>
      </c>
      <c r="D445" s="17">
        <v>1</v>
      </c>
      <c r="E445" s="17">
        <v>4</v>
      </c>
    </row>
    <row r="446" spans="1:5" x14ac:dyDescent="0.3">
      <c r="A446" s="17" t="s">
        <v>0</v>
      </c>
      <c r="B446" s="17" t="s">
        <v>350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52</v>
      </c>
      <c r="C447" s="17">
        <v>1</v>
      </c>
      <c r="D447" s="17">
        <v>1</v>
      </c>
      <c r="E447" s="17">
        <v>2</v>
      </c>
    </row>
    <row r="448" spans="1:5" x14ac:dyDescent="0.3">
      <c r="A448" s="17" t="s">
        <v>0</v>
      </c>
      <c r="B448" s="17" t="s">
        <v>128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824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453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259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1083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234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135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842</v>
      </c>
      <c r="C455" s="17">
        <v>1</v>
      </c>
      <c r="D455" s="17">
        <v>1</v>
      </c>
      <c r="E455" s="17">
        <v>2</v>
      </c>
    </row>
    <row r="456" spans="1:5" x14ac:dyDescent="0.3">
      <c r="A456" s="17" t="s">
        <v>0</v>
      </c>
      <c r="B456" s="17" t="s">
        <v>67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68</v>
      </c>
      <c r="C457" s="17">
        <v>1</v>
      </c>
      <c r="D457" s="17">
        <v>1</v>
      </c>
      <c r="E457" s="17">
        <v>3</v>
      </c>
    </row>
    <row r="458" spans="1:5" x14ac:dyDescent="0.3">
      <c r="A458" s="17" t="s">
        <v>0</v>
      </c>
      <c r="B458" s="17" t="s">
        <v>2498</v>
      </c>
      <c r="C458" s="17">
        <v>1</v>
      </c>
      <c r="D458" s="17">
        <v>1</v>
      </c>
      <c r="E458" s="17">
        <v>2</v>
      </c>
    </row>
    <row r="459" spans="1:5" x14ac:dyDescent="0.3">
      <c r="A459" s="17" t="s">
        <v>0</v>
      </c>
      <c r="B459" s="17" t="s">
        <v>2350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571</v>
      </c>
      <c r="C460" s="17">
        <v>1</v>
      </c>
      <c r="D460" s="17">
        <v>2</v>
      </c>
      <c r="E460" s="17"/>
    </row>
    <row r="461" spans="1:5" x14ac:dyDescent="0.3">
      <c r="A461" s="17" t="s">
        <v>0</v>
      </c>
      <c r="B461" s="17" t="s">
        <v>2499</v>
      </c>
      <c r="C461" s="17">
        <v>1</v>
      </c>
      <c r="D461" s="17">
        <v>1</v>
      </c>
      <c r="E461" s="17">
        <v>2</v>
      </c>
    </row>
    <row r="462" spans="1:5" x14ac:dyDescent="0.3">
      <c r="A462" s="17" t="s">
        <v>0</v>
      </c>
      <c r="B462" s="17" t="s">
        <v>266</v>
      </c>
      <c r="C462" s="17">
        <v>1</v>
      </c>
      <c r="D462" s="17">
        <v>1</v>
      </c>
      <c r="E462" s="17">
        <v>2</v>
      </c>
    </row>
    <row r="463" spans="1:5" x14ac:dyDescent="0.3">
      <c r="A463" s="17" t="s">
        <v>0</v>
      </c>
      <c r="B463" s="17" t="s">
        <v>2170</v>
      </c>
      <c r="C463" s="17">
        <v>1</v>
      </c>
      <c r="D463" s="17">
        <v>1</v>
      </c>
      <c r="E463" s="17"/>
    </row>
    <row r="464" spans="1:5" x14ac:dyDescent="0.3">
      <c r="A464" s="17" t="s">
        <v>0</v>
      </c>
      <c r="B464" s="17" t="s">
        <v>2500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2501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431</v>
      </c>
      <c r="C466" s="17">
        <v>1</v>
      </c>
      <c r="D466" s="17">
        <v>1</v>
      </c>
      <c r="E466" s="17"/>
    </row>
    <row r="467" spans="1:5" x14ac:dyDescent="0.3">
      <c r="A467" s="17" t="s">
        <v>2</v>
      </c>
      <c r="B467" s="17" t="s">
        <v>984</v>
      </c>
      <c r="C467" s="17">
        <v>1</v>
      </c>
      <c r="D467" s="17">
        <v>1</v>
      </c>
      <c r="E467" s="17">
        <v>3</v>
      </c>
    </row>
    <row r="468" spans="1:5" x14ac:dyDescent="0.3">
      <c r="A468" s="17" t="s">
        <v>2</v>
      </c>
      <c r="B468" s="17" t="s">
        <v>60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2</v>
      </c>
      <c r="B469" s="17" t="s">
        <v>61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2</v>
      </c>
      <c r="B470" s="17" t="s">
        <v>2395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2</v>
      </c>
      <c r="B471" s="17" t="s">
        <v>163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2</v>
      </c>
      <c r="B472" s="17" t="s">
        <v>407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2</v>
      </c>
      <c r="B473" s="17" t="s">
        <v>594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2</v>
      </c>
      <c r="B474" s="17" t="s">
        <v>703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2</v>
      </c>
      <c r="B475" s="17" t="s">
        <v>2502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2</v>
      </c>
      <c r="B476" s="17" t="s">
        <v>430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2</v>
      </c>
      <c r="B477" s="17" t="s">
        <v>195</v>
      </c>
      <c r="C477" s="17">
        <v>1</v>
      </c>
      <c r="D477" s="17">
        <v>1</v>
      </c>
      <c r="E477" s="17">
        <v>2</v>
      </c>
    </row>
    <row r="478" spans="1:5" x14ac:dyDescent="0.3">
      <c r="A478" s="17" t="s">
        <v>2</v>
      </c>
      <c r="B478" s="17" t="s">
        <v>68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2434</v>
      </c>
      <c r="C479" s="17">
        <v>1</v>
      </c>
      <c r="D479" s="17">
        <v>1</v>
      </c>
      <c r="E479" s="17">
        <v>2</v>
      </c>
    </row>
    <row r="480" spans="1:5" x14ac:dyDescent="0.3">
      <c r="A480" s="17" t="s">
        <v>1</v>
      </c>
      <c r="B480" s="17" t="s">
        <v>853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2503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577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203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244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1250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269</v>
      </c>
      <c r="C486" s="17">
        <v>2</v>
      </c>
      <c r="D486" s="17">
        <v>0</v>
      </c>
      <c r="E486" s="17">
        <v>2</v>
      </c>
    </row>
    <row r="487" spans="1:5" x14ac:dyDescent="0.3">
      <c r="A487" s="17" t="s">
        <v>1</v>
      </c>
      <c r="B487" s="17" t="s">
        <v>205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1413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459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143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619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76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273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210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461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59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212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908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213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148</v>
      </c>
      <c r="C500" s="17">
        <v>2</v>
      </c>
      <c r="D500" s="17">
        <v>0</v>
      </c>
      <c r="E500" s="17">
        <v>4</v>
      </c>
    </row>
    <row r="501" spans="1:5" x14ac:dyDescent="0.3">
      <c r="A501" s="17" t="s">
        <v>1</v>
      </c>
      <c r="B501" s="17" t="s">
        <v>360</v>
      </c>
      <c r="C501" s="17">
        <v>2</v>
      </c>
      <c r="D501" s="17">
        <v>0</v>
      </c>
      <c r="E501" s="17">
        <v>2</v>
      </c>
    </row>
    <row r="502" spans="1:5" x14ac:dyDescent="0.3">
      <c r="A502" s="17" t="s">
        <v>1</v>
      </c>
      <c r="B502" s="17" t="s">
        <v>631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1102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1415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217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153</v>
      </c>
      <c r="C506" s="17">
        <v>4</v>
      </c>
      <c r="D506" s="17">
        <v>0</v>
      </c>
      <c r="E506" s="17">
        <v>4</v>
      </c>
    </row>
    <row r="507" spans="1:5" x14ac:dyDescent="0.3">
      <c r="A507" s="17" t="s">
        <v>1</v>
      </c>
      <c r="B507" s="17" t="s">
        <v>92</v>
      </c>
      <c r="C507" s="17">
        <v>2</v>
      </c>
      <c r="D507" s="17">
        <v>0</v>
      </c>
      <c r="E507" s="17">
        <v>2</v>
      </c>
    </row>
    <row r="508" spans="1:5" x14ac:dyDescent="0.3">
      <c r="A508" s="17" t="s">
        <v>1</v>
      </c>
      <c r="B508" s="17" t="s">
        <v>637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2045</v>
      </c>
      <c r="C509" s="17">
        <v>1</v>
      </c>
      <c r="D509" s="17">
        <v>0</v>
      </c>
      <c r="E509" s="17">
        <v>2</v>
      </c>
    </row>
    <row r="510" spans="1:5" x14ac:dyDescent="0.3">
      <c r="A510" s="17" t="s">
        <v>1</v>
      </c>
      <c r="B510" s="17" t="s">
        <v>2504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711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1284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1064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154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437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2505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692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156</v>
      </c>
      <c r="C518" s="17">
        <v>3</v>
      </c>
      <c r="D518" s="17">
        <v>0</v>
      </c>
      <c r="E518" s="17">
        <v>3</v>
      </c>
    </row>
    <row r="519" spans="1:5" x14ac:dyDescent="0.3">
      <c r="A519" s="17" t="s">
        <v>1</v>
      </c>
      <c r="B519" s="17" t="s">
        <v>438</v>
      </c>
      <c r="C519" s="17">
        <v>1</v>
      </c>
      <c r="D519" s="17">
        <v>0</v>
      </c>
      <c r="E519" s="17">
        <v>2</v>
      </c>
    </row>
    <row r="520" spans="1:5" x14ac:dyDescent="0.3">
      <c r="A520" s="17" t="s">
        <v>1</v>
      </c>
      <c r="B520" s="17" t="s">
        <v>642</v>
      </c>
      <c r="C520" s="17">
        <v>2</v>
      </c>
      <c r="D520" s="17">
        <v>0</v>
      </c>
      <c r="E520" s="17">
        <v>2</v>
      </c>
    </row>
    <row r="521" spans="1:5" x14ac:dyDescent="0.3">
      <c r="A521" s="17" t="s">
        <v>1</v>
      </c>
      <c r="B521" s="17" t="s">
        <v>487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686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944</v>
      </c>
      <c r="C523" s="17">
        <v>2</v>
      </c>
      <c r="D523" s="17">
        <v>0</v>
      </c>
      <c r="E523" s="17">
        <v>2</v>
      </c>
    </row>
    <row r="524" spans="1:5" x14ac:dyDescent="0.3">
      <c r="A524" s="17" t="s">
        <v>1</v>
      </c>
      <c r="B524" s="17" t="s">
        <v>909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1518</v>
      </c>
      <c r="C525" s="17">
        <v>2</v>
      </c>
      <c r="D525" s="17">
        <v>0</v>
      </c>
      <c r="E525" s="17">
        <v>2</v>
      </c>
    </row>
    <row r="526" spans="1:5" x14ac:dyDescent="0.3">
      <c r="A526" s="17" t="s">
        <v>1</v>
      </c>
      <c r="B526" s="17" t="s">
        <v>1711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1773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1847</v>
      </c>
      <c r="C528" s="17">
        <v>2</v>
      </c>
      <c r="D528" s="17">
        <v>0</v>
      </c>
      <c r="E528" s="17">
        <v>3</v>
      </c>
    </row>
    <row r="529" spans="1:5" x14ac:dyDescent="0.3">
      <c r="A529" s="17" t="s">
        <v>1</v>
      </c>
      <c r="B529" s="17" t="s">
        <v>1897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1941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1983</v>
      </c>
      <c r="C531" s="17">
        <v>1</v>
      </c>
      <c r="D531" s="17">
        <v>0</v>
      </c>
      <c r="E531" s="17">
        <v>4</v>
      </c>
    </row>
    <row r="532" spans="1:5" x14ac:dyDescent="0.3">
      <c r="A532" s="17" t="s">
        <v>1</v>
      </c>
      <c r="B532" s="17" t="s">
        <v>2068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2074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2115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2334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2363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2439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2400</v>
      </c>
      <c r="C538" s="17">
        <v>1</v>
      </c>
      <c r="D538" s="17">
        <v>0</v>
      </c>
      <c r="E538" s="17">
        <v>0</v>
      </c>
    </row>
    <row r="539" spans="1:5" x14ac:dyDescent="0.3">
      <c r="A539" s="17" t="s">
        <v>1</v>
      </c>
      <c r="B539" s="17" t="s">
        <v>2440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2441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2398</v>
      </c>
      <c r="C541" s="17">
        <v>2</v>
      </c>
      <c r="D541" s="17">
        <v>0</v>
      </c>
      <c r="E541" s="17">
        <v>2</v>
      </c>
    </row>
    <row r="542" spans="1:5" x14ac:dyDescent="0.3">
      <c r="A542" s="17" t="s">
        <v>1</v>
      </c>
      <c r="B542" s="17" t="s">
        <v>2443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2428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2506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2507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2508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2509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2510</v>
      </c>
      <c r="C548" s="17">
        <v>1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402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2511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768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101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973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996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1821</v>
      </c>
      <c r="C555" s="17">
        <v>1</v>
      </c>
      <c r="D555" s="17">
        <v>0</v>
      </c>
      <c r="E555" s="17">
        <v>3</v>
      </c>
    </row>
    <row r="556" spans="1:5" x14ac:dyDescent="0.3">
      <c r="A556" s="17" t="s">
        <v>1</v>
      </c>
      <c r="B556" s="17" t="s">
        <v>998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2512</v>
      </c>
      <c r="C557" s="17">
        <v>1</v>
      </c>
      <c r="D557" s="17">
        <v>0</v>
      </c>
      <c r="E557" s="17">
        <v>3</v>
      </c>
    </row>
    <row r="558" spans="1:5" x14ac:dyDescent="0.3">
      <c r="A558" s="17" t="s">
        <v>1</v>
      </c>
      <c r="B558" s="17" t="s">
        <v>1146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1539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2159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693</v>
      </c>
      <c r="C561" s="17">
        <v>1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1698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2193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1550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2513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1374</v>
      </c>
      <c r="C566" s="17">
        <v>1</v>
      </c>
      <c r="D566" s="17">
        <v>0</v>
      </c>
      <c r="E566" s="17">
        <v>4</v>
      </c>
    </row>
    <row r="567" spans="1:5" x14ac:dyDescent="0.3">
      <c r="A567" s="17" t="s">
        <v>1</v>
      </c>
      <c r="B567" s="17" t="s">
        <v>650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1483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325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2253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2514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1377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369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2515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1230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1899</v>
      </c>
      <c r="C576" s="17">
        <v>1</v>
      </c>
      <c r="D576" s="17">
        <v>0</v>
      </c>
      <c r="E576" s="17">
        <v>0</v>
      </c>
    </row>
    <row r="577" spans="1:5" x14ac:dyDescent="0.3">
      <c r="A577" s="17" t="s">
        <v>1</v>
      </c>
      <c r="B577" s="17" t="s">
        <v>657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415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1395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1110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1080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340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416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2368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2516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1264</v>
      </c>
      <c r="C586" s="17">
        <v>1</v>
      </c>
      <c r="D586" s="17">
        <v>0</v>
      </c>
      <c r="E586" s="17">
        <v>0</v>
      </c>
    </row>
    <row r="587" spans="1:5" x14ac:dyDescent="0.3">
      <c r="A587" s="17" t="s">
        <v>1</v>
      </c>
      <c r="B587" s="17" t="s">
        <v>470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124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178</v>
      </c>
      <c r="C589" s="17">
        <v>2</v>
      </c>
      <c r="D589" s="17">
        <v>0</v>
      </c>
      <c r="E589" s="17">
        <v>4</v>
      </c>
    </row>
    <row r="590" spans="1:5" x14ac:dyDescent="0.3">
      <c r="A590" s="17" t="s">
        <v>1</v>
      </c>
      <c r="B590" s="17" t="s">
        <v>2517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421</v>
      </c>
      <c r="C591" s="17">
        <v>2</v>
      </c>
      <c r="D591" s="17">
        <v>0</v>
      </c>
      <c r="E591" s="17">
        <v>2</v>
      </c>
    </row>
    <row r="592" spans="1:5" x14ac:dyDescent="0.3">
      <c r="A592" s="17" t="s">
        <v>1</v>
      </c>
      <c r="B592" s="17" t="s">
        <v>894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852</v>
      </c>
      <c r="C593" s="17">
        <v>1</v>
      </c>
      <c r="D593" s="17">
        <v>0</v>
      </c>
      <c r="E593" s="17">
        <v>0</v>
      </c>
    </row>
    <row r="594" spans="1:5" x14ac:dyDescent="0.3">
      <c r="A594" s="17" t="s">
        <v>1</v>
      </c>
      <c r="B594" s="17" t="s">
        <v>449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697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1017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1018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747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1117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429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1760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188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2518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751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453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899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567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306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2519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194</v>
      </c>
      <c r="C610" s="17">
        <v>3</v>
      </c>
      <c r="D610" s="17">
        <v>0</v>
      </c>
      <c r="E610" s="17">
        <v>3</v>
      </c>
    </row>
    <row r="611" spans="1:5" x14ac:dyDescent="0.3">
      <c r="A611" s="17" t="s">
        <v>1</v>
      </c>
      <c r="B611" s="17" t="s">
        <v>1328</v>
      </c>
      <c r="C611" s="17">
        <v>1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2520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137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235</v>
      </c>
      <c r="C614" s="17">
        <v>10</v>
      </c>
      <c r="D614" s="17">
        <v>0</v>
      </c>
      <c r="E614" s="17">
        <v>12</v>
      </c>
    </row>
    <row r="615" spans="1:5" x14ac:dyDescent="0.3">
      <c r="A615" s="17" t="s">
        <v>1</v>
      </c>
      <c r="B615" s="17" t="s">
        <v>381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67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236</v>
      </c>
      <c r="C617" s="17">
        <v>2</v>
      </c>
      <c r="D617" s="17">
        <v>0</v>
      </c>
      <c r="E617" s="17">
        <v>4</v>
      </c>
    </row>
    <row r="618" spans="1:5" x14ac:dyDescent="0.3">
      <c r="A618" s="17" t="s">
        <v>1</v>
      </c>
      <c r="B618" s="17" t="s">
        <v>196</v>
      </c>
      <c r="C618" s="17">
        <v>5</v>
      </c>
      <c r="D618" s="17">
        <v>0</v>
      </c>
      <c r="E618" s="17">
        <v>7</v>
      </c>
    </row>
    <row r="619" spans="1:5" x14ac:dyDescent="0.3">
      <c r="A619" s="17" t="s">
        <v>1</v>
      </c>
      <c r="B619" s="17" t="s">
        <v>54</v>
      </c>
      <c r="C619" s="17">
        <v>3</v>
      </c>
      <c r="D619" s="17">
        <v>0</v>
      </c>
      <c r="E619" s="17">
        <v>3</v>
      </c>
    </row>
    <row r="620" spans="1:5" x14ac:dyDescent="0.3">
      <c r="A620" s="17" t="s">
        <v>1</v>
      </c>
      <c r="B620" s="17" t="s">
        <v>238</v>
      </c>
      <c r="C620" s="17">
        <v>4</v>
      </c>
      <c r="D620" s="17">
        <v>0</v>
      </c>
      <c r="E620" s="17">
        <v>4</v>
      </c>
    </row>
    <row r="621" spans="1:5" x14ac:dyDescent="0.3">
      <c r="A621" s="18" t="s">
        <v>1</v>
      </c>
      <c r="B621" s="18" t="s">
        <v>239</v>
      </c>
      <c r="C621" s="18">
        <v>2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240</v>
      </c>
      <c r="C622" s="18">
        <v>3</v>
      </c>
      <c r="D622" s="18">
        <v>0</v>
      </c>
      <c r="E622" s="18">
        <v>5</v>
      </c>
    </row>
    <row r="623" spans="1:5" x14ac:dyDescent="0.3">
      <c r="A623" s="18" t="s">
        <v>1</v>
      </c>
      <c r="B623" s="18" t="s">
        <v>673</v>
      </c>
      <c r="C623" s="18">
        <v>2</v>
      </c>
      <c r="D623" s="18">
        <v>0</v>
      </c>
      <c r="E623" s="18">
        <v>2</v>
      </c>
    </row>
    <row r="624" spans="1:5" x14ac:dyDescent="0.3">
      <c r="A624" s="18" t="s">
        <v>1</v>
      </c>
      <c r="B624" s="18" t="s">
        <v>382</v>
      </c>
      <c r="C624" s="18">
        <v>3</v>
      </c>
      <c r="D624" s="18">
        <v>0</v>
      </c>
      <c r="E624" s="18">
        <v>3</v>
      </c>
    </row>
    <row r="625" spans="1:5" x14ac:dyDescent="0.3">
      <c r="A625" s="18" t="s">
        <v>1</v>
      </c>
      <c r="B625" s="18" t="s">
        <v>377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1384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1840</v>
      </c>
      <c r="C627" s="18">
        <v>0</v>
      </c>
      <c r="D627" s="18">
        <v>1</v>
      </c>
    </row>
    <row r="628" spans="1:5" x14ac:dyDescent="0.3">
      <c r="A628" s="18" t="s">
        <v>1</v>
      </c>
      <c r="B628" s="18" t="s">
        <v>197</v>
      </c>
      <c r="C628" s="18">
        <v>1</v>
      </c>
      <c r="D628" s="18">
        <v>0</v>
      </c>
      <c r="E628" s="18">
        <v>3</v>
      </c>
    </row>
    <row r="629" spans="1:5" x14ac:dyDescent="0.3">
      <c r="A629" s="18" t="s">
        <v>1</v>
      </c>
      <c r="B629" s="18" t="s">
        <v>571</v>
      </c>
      <c r="C629" s="18">
        <v>0</v>
      </c>
      <c r="D629" s="18">
        <v>1</v>
      </c>
    </row>
    <row r="630" spans="1:5" x14ac:dyDescent="0.3">
      <c r="A630" s="18" t="s">
        <v>1</v>
      </c>
      <c r="B630" s="18" t="s">
        <v>2521</v>
      </c>
      <c r="C630" s="18">
        <v>1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2458</v>
      </c>
      <c r="C631" s="18">
        <v>1</v>
      </c>
      <c r="D631" s="18">
        <v>0</v>
      </c>
      <c r="E631" s="18">
        <v>0</v>
      </c>
    </row>
    <row r="632" spans="1:5" x14ac:dyDescent="0.3">
      <c r="A632" s="18" t="s">
        <v>1</v>
      </c>
      <c r="B632" s="18" t="s">
        <v>2522</v>
      </c>
      <c r="C632" s="18">
        <v>1</v>
      </c>
      <c r="D632" s="18">
        <v>0</v>
      </c>
      <c r="E632" s="18">
        <v>2</v>
      </c>
    </row>
    <row r="633" spans="1:5" x14ac:dyDescent="0.3">
      <c r="A633" s="18" t="s">
        <v>1</v>
      </c>
      <c r="B633" s="18" t="s">
        <v>2379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677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0</v>
      </c>
      <c r="B635" s="18" t="s">
        <v>48</v>
      </c>
      <c r="C635" s="18">
        <v>1</v>
      </c>
      <c r="D635" s="18">
        <v>0</v>
      </c>
      <c r="E635" s="18">
        <v>2</v>
      </c>
    </row>
    <row r="636" spans="1:5" x14ac:dyDescent="0.3">
      <c r="A636" s="18" t="s">
        <v>0</v>
      </c>
      <c r="B636" s="18" t="s">
        <v>77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0</v>
      </c>
      <c r="B637" s="18" t="s">
        <v>356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0</v>
      </c>
      <c r="B638" s="18" t="s">
        <v>80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0</v>
      </c>
      <c r="B639" s="18" t="s">
        <v>360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0</v>
      </c>
      <c r="B640" s="18" t="s">
        <v>1057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0</v>
      </c>
      <c r="B641" s="18" t="s">
        <v>362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0</v>
      </c>
      <c r="B642" s="18" t="s">
        <v>42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0</v>
      </c>
      <c r="B643" s="18" t="s">
        <v>944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0</v>
      </c>
      <c r="B644" s="18" t="s">
        <v>1662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0</v>
      </c>
      <c r="B645" s="18" t="s">
        <v>1928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0</v>
      </c>
      <c r="B646" s="18" t="s">
        <v>2329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0</v>
      </c>
      <c r="B647" s="18" t="s">
        <v>2468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0</v>
      </c>
      <c r="B648" s="18" t="s">
        <v>945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0</v>
      </c>
      <c r="B649" s="18" t="s">
        <v>253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0</v>
      </c>
      <c r="B650" s="18" t="s">
        <v>1523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0</v>
      </c>
      <c r="B651" s="18" t="s">
        <v>110</v>
      </c>
      <c r="C651" s="18">
        <v>1</v>
      </c>
      <c r="D651" s="18">
        <v>0</v>
      </c>
      <c r="E651" s="18">
        <v>2</v>
      </c>
    </row>
    <row r="652" spans="1:5" x14ac:dyDescent="0.3">
      <c r="A652" s="18" t="s">
        <v>0</v>
      </c>
      <c r="B652" s="18" t="s">
        <v>51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0</v>
      </c>
      <c r="B653" s="18" t="s">
        <v>694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653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1528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0</v>
      </c>
      <c r="B656" s="18" t="s">
        <v>2523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1110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735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258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1990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0</v>
      </c>
      <c r="B661" s="18" t="s">
        <v>791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1212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1687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2392</v>
      </c>
      <c r="C664" s="18">
        <v>1</v>
      </c>
      <c r="D664" s="18">
        <v>0</v>
      </c>
      <c r="E664" s="18">
        <v>3</v>
      </c>
    </row>
    <row r="665" spans="1:5" x14ac:dyDescent="0.3">
      <c r="A665" s="18" t="s">
        <v>0</v>
      </c>
      <c r="B665" s="18" t="s">
        <v>1533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2090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2524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127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455</v>
      </c>
      <c r="C669" s="18">
        <v>1</v>
      </c>
      <c r="D669" s="18">
        <v>0</v>
      </c>
      <c r="E669" s="18">
        <v>2</v>
      </c>
    </row>
    <row r="670" spans="1:5" x14ac:dyDescent="0.3">
      <c r="A670" s="18" t="s">
        <v>0</v>
      </c>
      <c r="B670" s="18" t="s">
        <v>195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0</v>
      </c>
      <c r="B671" s="18" t="s">
        <v>236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196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1085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382</v>
      </c>
      <c r="C674" s="18">
        <v>1</v>
      </c>
      <c r="D674" s="18">
        <v>0</v>
      </c>
      <c r="E674" s="18">
        <v>4</v>
      </c>
    </row>
    <row r="675" spans="1:5" x14ac:dyDescent="0.3">
      <c r="A675" s="18" t="s">
        <v>0</v>
      </c>
      <c r="B675" s="18" t="s">
        <v>138</v>
      </c>
      <c r="C675" s="18">
        <v>1</v>
      </c>
      <c r="D675" s="18">
        <v>0</v>
      </c>
      <c r="E675" s="18">
        <v>2</v>
      </c>
    </row>
    <row r="676" spans="1:5" x14ac:dyDescent="0.3">
      <c r="A676" s="18" t="s">
        <v>0</v>
      </c>
      <c r="B676" s="18" t="s">
        <v>1272</v>
      </c>
      <c r="C676" s="18">
        <v>0</v>
      </c>
      <c r="D676" s="18">
        <v>1</v>
      </c>
    </row>
    <row r="677" spans="1:5" x14ac:dyDescent="0.3">
      <c r="A677" s="18" t="s">
        <v>0</v>
      </c>
      <c r="B677" s="18" t="s">
        <v>2525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1137</v>
      </c>
      <c r="C678" s="18">
        <v>1</v>
      </c>
      <c r="D678" s="18">
        <v>0</v>
      </c>
      <c r="E678" s="18">
        <v>14</v>
      </c>
    </row>
    <row r="679" spans="1:5" x14ac:dyDescent="0.3">
      <c r="A679" s="18" t="s">
        <v>0</v>
      </c>
      <c r="B679" s="18" t="s">
        <v>69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2</v>
      </c>
      <c r="B680" s="18" t="s">
        <v>30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2</v>
      </c>
      <c r="B681" s="18" t="s">
        <v>983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2</v>
      </c>
      <c r="B682" s="18" t="s">
        <v>2404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2</v>
      </c>
      <c r="B683" s="18" t="s">
        <v>2396</v>
      </c>
      <c r="C683" s="18">
        <v>2</v>
      </c>
      <c r="D683" s="18">
        <v>0</v>
      </c>
      <c r="E683" s="18">
        <v>2</v>
      </c>
    </row>
    <row r="684" spans="1:5" x14ac:dyDescent="0.3">
      <c r="A684" s="18" t="s">
        <v>2</v>
      </c>
      <c r="B684" s="18" t="s">
        <v>2331</v>
      </c>
      <c r="C684" s="18">
        <v>1</v>
      </c>
      <c r="D684" s="18">
        <v>0</v>
      </c>
      <c r="E684" s="18">
        <v>0</v>
      </c>
    </row>
    <row r="685" spans="1:5" x14ac:dyDescent="0.3">
      <c r="A685" s="18" t="s">
        <v>2</v>
      </c>
      <c r="B685" s="18" t="s">
        <v>235</v>
      </c>
      <c r="C685" s="18">
        <v>1</v>
      </c>
      <c r="D685" s="18">
        <v>0</v>
      </c>
      <c r="E685" s="18">
        <v>2</v>
      </c>
    </row>
    <row r="686" spans="1:5" x14ac:dyDescent="0.3">
      <c r="A686" s="18" t="s">
        <v>2</v>
      </c>
      <c r="B686" s="18" t="s">
        <v>54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2</v>
      </c>
      <c r="B687" s="18" t="s">
        <v>55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2</v>
      </c>
      <c r="B688" s="18" t="s">
        <v>382</v>
      </c>
      <c r="C688" s="18">
        <v>1</v>
      </c>
      <c r="D688" s="18">
        <v>0</v>
      </c>
      <c r="E688" s="18">
        <v>2</v>
      </c>
    </row>
    <row r="689" spans="1:5" x14ac:dyDescent="0.3">
      <c r="A689" s="18" t="s">
        <v>2</v>
      </c>
      <c r="B689" s="18" t="s">
        <v>32</v>
      </c>
      <c r="C689" s="18">
        <v>1</v>
      </c>
      <c r="D689" s="18">
        <v>0</v>
      </c>
      <c r="E689" s="18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07E68-8494-44EB-9340-2D91FF4D05BA}">
  <sheetPr codeName="Sheet34"/>
  <dimension ref="A1:M697"/>
  <sheetViews>
    <sheetView workbookViewId="0">
      <selection activeCell="A2" sqref="A2:E69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60</v>
      </c>
      <c r="D2" s="17">
        <v>46</v>
      </c>
      <c r="E2" s="17">
        <v>64</v>
      </c>
    </row>
    <row r="3" spans="1:13" customFormat="1" x14ac:dyDescent="0.3">
      <c r="A3" s="17" t="s">
        <v>1</v>
      </c>
      <c r="B3" s="17" t="s">
        <v>30</v>
      </c>
      <c r="C3" s="17">
        <v>83</v>
      </c>
      <c r="D3" s="17">
        <v>31</v>
      </c>
      <c r="E3" s="17">
        <v>151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24</v>
      </c>
      <c r="D4" s="17">
        <v>23</v>
      </c>
      <c r="E4" s="17">
        <v>28</v>
      </c>
      <c r="G4" s="23" t="s">
        <v>8</v>
      </c>
      <c r="H4" s="19">
        <f>H13+H14</f>
        <v>1057</v>
      </c>
      <c r="I4" s="20">
        <f>H4/H$6</f>
        <v>0.75879396984924619</v>
      </c>
      <c r="J4" s="19">
        <f>I13+I14</f>
        <v>566</v>
      </c>
      <c r="K4" s="20">
        <f>J4/J$6</f>
        <v>0.67461263408820027</v>
      </c>
      <c r="L4" s="19">
        <f>J13+J14</f>
        <v>1230</v>
      </c>
      <c r="M4" s="29">
        <f>L4/L$6</f>
        <v>0.76779026217228463</v>
      </c>
    </row>
    <row r="5" spans="1:13" customFormat="1" x14ac:dyDescent="0.3">
      <c r="A5" s="17" t="s">
        <v>1</v>
      </c>
      <c r="B5" s="17" t="s">
        <v>149</v>
      </c>
      <c r="C5" s="17">
        <v>17</v>
      </c>
      <c r="D5" s="17">
        <v>16</v>
      </c>
      <c r="E5" s="17">
        <v>17</v>
      </c>
      <c r="G5" s="23" t="s">
        <v>10</v>
      </c>
      <c r="H5" s="19">
        <f>H15+H16</f>
        <v>336</v>
      </c>
      <c r="I5" s="20">
        <f>H5/H$6</f>
        <v>0.24120603015075376</v>
      </c>
      <c r="J5" s="19">
        <f>I15+I16</f>
        <v>273</v>
      </c>
      <c r="K5" s="20">
        <f>J5/J$6</f>
        <v>0.32538736591179979</v>
      </c>
      <c r="L5" s="19">
        <f>J15+J16</f>
        <v>372</v>
      </c>
      <c r="M5" s="29">
        <f>L5/L$6</f>
        <v>0.23220973782771537</v>
      </c>
    </row>
    <row r="6" spans="1:13" customFormat="1" ht="17.25" thickBot="1" x14ac:dyDescent="0.35">
      <c r="A6" s="17" t="s">
        <v>1</v>
      </c>
      <c r="B6" s="17" t="s">
        <v>37</v>
      </c>
      <c r="C6" s="17">
        <v>18</v>
      </c>
      <c r="D6" s="17">
        <v>13</v>
      </c>
      <c r="E6" s="17">
        <v>22</v>
      </c>
      <c r="G6" s="26"/>
      <c r="H6" s="30">
        <f>SUM(H4:H5)</f>
        <v>1393</v>
      </c>
      <c r="I6" s="31">
        <f>I4+I5</f>
        <v>1</v>
      </c>
      <c r="J6" s="30">
        <f>SUM(J4:J5)</f>
        <v>839</v>
      </c>
      <c r="K6" s="31">
        <f>K4+K5</f>
        <v>1</v>
      </c>
      <c r="L6" s="30">
        <f>SUM(L4:L5)</f>
        <v>1602</v>
      </c>
      <c r="M6" s="32">
        <f>M4+M5</f>
        <v>1</v>
      </c>
    </row>
    <row r="7" spans="1:13" customFormat="1" x14ac:dyDescent="0.3">
      <c r="A7" s="17" t="s">
        <v>0</v>
      </c>
      <c r="B7" s="17" t="s">
        <v>163</v>
      </c>
      <c r="C7" s="17">
        <v>12</v>
      </c>
      <c r="D7" s="17">
        <v>11</v>
      </c>
      <c r="E7" s="17">
        <v>13</v>
      </c>
    </row>
    <row r="8" spans="1:13" customFormat="1" x14ac:dyDescent="0.3">
      <c r="A8" s="17" t="s">
        <v>0</v>
      </c>
      <c r="B8" s="17" t="s">
        <v>39</v>
      </c>
      <c r="C8" s="17">
        <v>11</v>
      </c>
      <c r="D8" s="17">
        <v>10</v>
      </c>
      <c r="E8" s="17">
        <v>12</v>
      </c>
    </row>
    <row r="9" spans="1:13" customFormat="1" x14ac:dyDescent="0.3">
      <c r="A9" s="17" t="s">
        <v>1</v>
      </c>
      <c r="B9" s="17" t="s">
        <v>365</v>
      </c>
      <c r="C9" s="17">
        <v>13</v>
      </c>
      <c r="D9" s="17">
        <v>9</v>
      </c>
      <c r="E9" s="17">
        <v>11</v>
      </c>
    </row>
    <row r="10" spans="1:13" customFormat="1" ht="17.25" thickBot="1" x14ac:dyDescent="0.35">
      <c r="A10" s="17" t="s">
        <v>1</v>
      </c>
      <c r="B10" s="17" t="s">
        <v>48</v>
      </c>
      <c r="C10" s="17">
        <v>12</v>
      </c>
      <c r="D10" s="17">
        <v>8</v>
      </c>
      <c r="E10" s="17">
        <v>13</v>
      </c>
    </row>
    <row r="11" spans="1:13" x14ac:dyDescent="0.3">
      <c r="A11" s="17" t="s">
        <v>1</v>
      </c>
      <c r="B11" s="17" t="s">
        <v>61</v>
      </c>
      <c r="C11" s="17">
        <v>8</v>
      </c>
      <c r="D11" s="17">
        <v>8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37</v>
      </c>
      <c r="C12" s="17">
        <v>8</v>
      </c>
      <c r="D12" s="17">
        <v>8</v>
      </c>
      <c r="E12" s="17">
        <v>10</v>
      </c>
      <c r="G12" s="23"/>
      <c r="H12" s="21">
        <f t="shared" ref="H12:J12" si="0">SUM(H13:H16)</f>
        <v>1393</v>
      </c>
      <c r="I12" s="21">
        <f t="shared" si="0"/>
        <v>839</v>
      </c>
      <c r="J12" s="24">
        <f t="shared" si="0"/>
        <v>1602</v>
      </c>
    </row>
    <row r="13" spans="1:13" x14ac:dyDescent="0.3">
      <c r="A13" s="17" t="s">
        <v>0</v>
      </c>
      <c r="B13" s="17" t="s">
        <v>30</v>
      </c>
      <c r="C13" s="17">
        <v>11</v>
      </c>
      <c r="D13" s="17">
        <v>7</v>
      </c>
      <c r="E13" s="17">
        <v>20</v>
      </c>
      <c r="G13" s="23" t="s">
        <v>7</v>
      </c>
      <c r="H13" s="22">
        <f t="shared" ref="H13:J16" si="1">SUMIF($A$2:$A$9999,$G13,C$2:C$9999)</f>
        <v>1057</v>
      </c>
      <c r="I13" s="22">
        <f t="shared" si="1"/>
        <v>566</v>
      </c>
      <c r="J13" s="25">
        <f t="shared" si="1"/>
        <v>1230</v>
      </c>
    </row>
    <row r="14" spans="1:13" x14ac:dyDescent="0.3">
      <c r="A14" s="17" t="s">
        <v>0</v>
      </c>
      <c r="B14" s="17" t="s">
        <v>34</v>
      </c>
      <c r="C14" s="17">
        <v>7</v>
      </c>
      <c r="D14" s="17">
        <v>7</v>
      </c>
      <c r="E14" s="17">
        <v>8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2075</v>
      </c>
      <c r="C15" s="17">
        <v>6</v>
      </c>
      <c r="D15" s="17">
        <v>6</v>
      </c>
      <c r="E15" s="17">
        <v>7</v>
      </c>
      <c r="G15" s="23" t="s">
        <v>11</v>
      </c>
      <c r="H15" s="22">
        <f t="shared" si="1"/>
        <v>314</v>
      </c>
      <c r="I15" s="22">
        <f t="shared" si="1"/>
        <v>256</v>
      </c>
      <c r="J15" s="25">
        <f t="shared" si="1"/>
        <v>346</v>
      </c>
    </row>
    <row r="16" spans="1:13" ht="17.25" thickBot="1" x14ac:dyDescent="0.35">
      <c r="A16" s="17" t="s">
        <v>1</v>
      </c>
      <c r="B16" s="17" t="s">
        <v>33</v>
      </c>
      <c r="C16" s="17">
        <v>7</v>
      </c>
      <c r="D16" s="17">
        <v>5</v>
      </c>
      <c r="E16" s="17">
        <v>7</v>
      </c>
      <c r="G16" s="26" t="s">
        <v>12</v>
      </c>
      <c r="H16" s="27">
        <f t="shared" si="1"/>
        <v>22</v>
      </c>
      <c r="I16" s="27">
        <f t="shared" si="1"/>
        <v>17</v>
      </c>
      <c r="J16" s="28">
        <f t="shared" si="1"/>
        <v>26</v>
      </c>
    </row>
    <row r="17" spans="1:5" x14ac:dyDescent="0.3">
      <c r="A17" s="17" t="s">
        <v>1</v>
      </c>
      <c r="B17" s="17" t="s">
        <v>34</v>
      </c>
      <c r="C17" s="17">
        <v>5</v>
      </c>
      <c r="D17" s="17">
        <v>5</v>
      </c>
      <c r="E17" s="17">
        <v>5</v>
      </c>
    </row>
    <row r="18" spans="1:5" x14ac:dyDescent="0.3">
      <c r="A18" s="17" t="s">
        <v>1</v>
      </c>
      <c r="B18" s="17" t="s">
        <v>85</v>
      </c>
      <c r="C18" s="17">
        <v>6</v>
      </c>
      <c r="D18" s="17">
        <v>5</v>
      </c>
      <c r="E18" s="17">
        <v>6</v>
      </c>
    </row>
    <row r="19" spans="1:5" x14ac:dyDescent="0.3">
      <c r="A19" s="17" t="s">
        <v>1</v>
      </c>
      <c r="B19" s="17" t="s">
        <v>2075</v>
      </c>
      <c r="C19" s="17">
        <v>8</v>
      </c>
      <c r="D19" s="17">
        <v>5</v>
      </c>
      <c r="E19" s="17">
        <v>8</v>
      </c>
    </row>
    <row r="20" spans="1:5" x14ac:dyDescent="0.3">
      <c r="A20" s="17" t="s">
        <v>0</v>
      </c>
      <c r="B20" s="17" t="s">
        <v>61</v>
      </c>
      <c r="C20" s="17">
        <v>5</v>
      </c>
      <c r="D20" s="17">
        <v>5</v>
      </c>
      <c r="E20" s="17">
        <v>5</v>
      </c>
    </row>
    <row r="21" spans="1:5" x14ac:dyDescent="0.3">
      <c r="A21" s="17" t="s">
        <v>0</v>
      </c>
      <c r="B21" s="17" t="s">
        <v>2395</v>
      </c>
      <c r="C21" s="17">
        <v>6</v>
      </c>
      <c r="D21" s="17">
        <v>5</v>
      </c>
      <c r="E21" s="17">
        <v>7</v>
      </c>
    </row>
    <row r="22" spans="1:5" x14ac:dyDescent="0.3">
      <c r="A22" s="17" t="s">
        <v>0</v>
      </c>
      <c r="B22" s="17" t="s">
        <v>31</v>
      </c>
      <c r="C22" s="17">
        <v>5</v>
      </c>
      <c r="D22" s="17">
        <v>5</v>
      </c>
      <c r="E22" s="17">
        <v>5</v>
      </c>
    </row>
    <row r="23" spans="1:5" x14ac:dyDescent="0.3">
      <c r="A23" s="17" t="s">
        <v>1</v>
      </c>
      <c r="B23" s="17" t="s">
        <v>1927</v>
      </c>
      <c r="C23" s="17">
        <v>8</v>
      </c>
      <c r="D23" s="17">
        <v>4</v>
      </c>
      <c r="E23" s="17">
        <v>9</v>
      </c>
    </row>
    <row r="24" spans="1:5" x14ac:dyDescent="0.3">
      <c r="A24" s="17" t="s">
        <v>1</v>
      </c>
      <c r="B24" s="17" t="s">
        <v>1946</v>
      </c>
      <c r="C24" s="17">
        <v>8</v>
      </c>
      <c r="D24" s="17">
        <v>4</v>
      </c>
      <c r="E24" s="17">
        <v>7</v>
      </c>
    </row>
    <row r="25" spans="1:5" x14ac:dyDescent="0.3">
      <c r="A25" s="17" t="s">
        <v>1</v>
      </c>
      <c r="B25" s="17" t="s">
        <v>2395</v>
      </c>
      <c r="C25" s="17">
        <v>9</v>
      </c>
      <c r="D25" s="17">
        <v>4</v>
      </c>
      <c r="E25" s="17">
        <v>13</v>
      </c>
    </row>
    <row r="26" spans="1:5" x14ac:dyDescent="0.3">
      <c r="A26" s="17" t="s">
        <v>1</v>
      </c>
      <c r="B26" s="17" t="s">
        <v>29</v>
      </c>
      <c r="C26" s="17">
        <v>4</v>
      </c>
      <c r="D26" s="17">
        <v>4</v>
      </c>
      <c r="E26" s="17">
        <v>4</v>
      </c>
    </row>
    <row r="27" spans="1:5" x14ac:dyDescent="0.3">
      <c r="A27" s="17" t="s">
        <v>1</v>
      </c>
      <c r="B27" s="17" t="s">
        <v>199</v>
      </c>
      <c r="C27" s="17">
        <v>5</v>
      </c>
      <c r="D27" s="17">
        <v>4</v>
      </c>
      <c r="E27" s="17">
        <v>5</v>
      </c>
    </row>
    <row r="28" spans="1:5" x14ac:dyDescent="0.3">
      <c r="A28" s="17" t="s">
        <v>1</v>
      </c>
      <c r="B28" s="17" t="s">
        <v>51</v>
      </c>
      <c r="C28" s="17">
        <v>5</v>
      </c>
      <c r="D28" s="17">
        <v>4</v>
      </c>
      <c r="E28" s="17">
        <v>6</v>
      </c>
    </row>
    <row r="29" spans="1:5" x14ac:dyDescent="0.3">
      <c r="A29" s="17" t="s">
        <v>1</v>
      </c>
      <c r="B29" s="17" t="s">
        <v>120</v>
      </c>
      <c r="C29" s="17">
        <v>4</v>
      </c>
      <c r="D29" s="17">
        <v>4</v>
      </c>
      <c r="E29" s="17">
        <v>4</v>
      </c>
    </row>
    <row r="30" spans="1:5" x14ac:dyDescent="0.3">
      <c r="A30" s="17" t="s">
        <v>1</v>
      </c>
      <c r="B30" s="17" t="s">
        <v>200</v>
      </c>
      <c r="C30" s="17">
        <v>4</v>
      </c>
      <c r="D30" s="17">
        <v>4</v>
      </c>
      <c r="E30" s="17">
        <v>4</v>
      </c>
    </row>
    <row r="31" spans="1:5" x14ac:dyDescent="0.3">
      <c r="A31" s="17" t="s">
        <v>0</v>
      </c>
      <c r="B31" s="17" t="s">
        <v>40</v>
      </c>
      <c r="C31" s="17">
        <v>5</v>
      </c>
      <c r="D31" s="17">
        <v>4</v>
      </c>
      <c r="E31" s="17">
        <v>5</v>
      </c>
    </row>
    <row r="32" spans="1:5" x14ac:dyDescent="0.3">
      <c r="A32" s="17" t="s">
        <v>0</v>
      </c>
      <c r="B32" s="17" t="s">
        <v>2396</v>
      </c>
      <c r="C32" s="17">
        <v>6</v>
      </c>
      <c r="D32" s="17">
        <v>4</v>
      </c>
      <c r="E32" s="17">
        <v>6</v>
      </c>
    </row>
    <row r="33" spans="1:5" x14ac:dyDescent="0.3">
      <c r="A33" s="17" t="s">
        <v>0</v>
      </c>
      <c r="B33" s="17" t="s">
        <v>62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79</v>
      </c>
      <c r="C34" s="17">
        <v>4</v>
      </c>
      <c r="D34" s="17">
        <v>3</v>
      </c>
      <c r="E34" s="17">
        <v>4</v>
      </c>
    </row>
    <row r="35" spans="1:5" x14ac:dyDescent="0.3">
      <c r="A35" s="17" t="s">
        <v>1</v>
      </c>
      <c r="B35" s="17" t="s">
        <v>315</v>
      </c>
      <c r="C35" s="17">
        <v>4</v>
      </c>
      <c r="D35" s="17">
        <v>3</v>
      </c>
      <c r="E35" s="17">
        <v>4</v>
      </c>
    </row>
    <row r="36" spans="1:5" x14ac:dyDescent="0.3">
      <c r="A36" s="17" t="s">
        <v>1</v>
      </c>
      <c r="B36" s="17" t="s">
        <v>2399</v>
      </c>
      <c r="C36" s="17">
        <v>6</v>
      </c>
      <c r="D36" s="17">
        <v>3</v>
      </c>
      <c r="E36" s="17">
        <v>7</v>
      </c>
    </row>
    <row r="37" spans="1:5" x14ac:dyDescent="0.3">
      <c r="A37" s="17" t="s">
        <v>1</v>
      </c>
      <c r="B37" s="17" t="s">
        <v>995</v>
      </c>
      <c r="C37" s="17">
        <v>3</v>
      </c>
      <c r="D37" s="17">
        <v>3</v>
      </c>
      <c r="E37" s="17">
        <v>3</v>
      </c>
    </row>
    <row r="38" spans="1:5" x14ac:dyDescent="0.3">
      <c r="A38" s="17" t="s">
        <v>1</v>
      </c>
      <c r="B38" s="17" t="s">
        <v>998</v>
      </c>
      <c r="C38" s="17">
        <v>3</v>
      </c>
      <c r="D38" s="17">
        <v>3</v>
      </c>
      <c r="E38" s="17">
        <v>4</v>
      </c>
    </row>
    <row r="39" spans="1:5" x14ac:dyDescent="0.3">
      <c r="A39" s="17" t="s">
        <v>1</v>
      </c>
      <c r="B39" s="17" t="s">
        <v>103</v>
      </c>
      <c r="C39" s="17">
        <v>4</v>
      </c>
      <c r="D39" s="17">
        <v>3</v>
      </c>
      <c r="E39" s="17">
        <v>4</v>
      </c>
    </row>
    <row r="40" spans="1:5" x14ac:dyDescent="0.3">
      <c r="A40" s="17" t="s">
        <v>1</v>
      </c>
      <c r="B40" s="17" t="s">
        <v>113</v>
      </c>
      <c r="C40" s="17">
        <v>4</v>
      </c>
      <c r="D40" s="17">
        <v>3</v>
      </c>
      <c r="E40" s="17">
        <v>4</v>
      </c>
    </row>
    <row r="41" spans="1:5" x14ac:dyDescent="0.3">
      <c r="A41" s="17" t="s">
        <v>1</v>
      </c>
      <c r="B41" s="17" t="s">
        <v>289</v>
      </c>
      <c r="C41" s="17">
        <v>4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115</v>
      </c>
      <c r="C42" s="17">
        <v>4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1410</v>
      </c>
      <c r="C43" s="17">
        <v>3</v>
      </c>
      <c r="D43" s="17">
        <v>3</v>
      </c>
      <c r="E43" s="17">
        <v>5</v>
      </c>
    </row>
    <row r="44" spans="1:5" x14ac:dyDescent="0.3">
      <c r="A44" s="17" t="s">
        <v>1</v>
      </c>
      <c r="B44" s="17" t="s">
        <v>1292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1110</v>
      </c>
      <c r="C45" s="17">
        <v>3</v>
      </c>
      <c r="D45" s="17">
        <v>3</v>
      </c>
      <c r="E45" s="17">
        <v>4</v>
      </c>
    </row>
    <row r="46" spans="1:5" x14ac:dyDescent="0.3">
      <c r="A46" s="17" t="s">
        <v>1</v>
      </c>
      <c r="B46" s="17" t="s">
        <v>887</v>
      </c>
      <c r="C46" s="17">
        <v>3</v>
      </c>
      <c r="D46" s="17">
        <v>3</v>
      </c>
      <c r="E46" s="17">
        <v>4</v>
      </c>
    </row>
    <row r="47" spans="1:5" x14ac:dyDescent="0.3">
      <c r="A47" s="17" t="s">
        <v>1</v>
      </c>
      <c r="B47" s="17" t="s">
        <v>31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135</v>
      </c>
      <c r="C48" s="17">
        <v>5</v>
      </c>
      <c r="D48" s="17">
        <v>3</v>
      </c>
      <c r="E48" s="17">
        <v>5</v>
      </c>
    </row>
    <row r="49" spans="1:5" x14ac:dyDescent="0.3">
      <c r="A49" s="17" t="s">
        <v>1</v>
      </c>
      <c r="B49" s="17" t="s">
        <v>195</v>
      </c>
      <c r="C49" s="17">
        <v>9</v>
      </c>
      <c r="D49" s="17">
        <v>3</v>
      </c>
      <c r="E49" s="17">
        <v>14</v>
      </c>
    </row>
    <row r="50" spans="1:5" x14ac:dyDescent="0.3">
      <c r="A50" s="17" t="s">
        <v>0</v>
      </c>
      <c r="B50" s="17" t="s">
        <v>365</v>
      </c>
      <c r="C50" s="17">
        <v>3</v>
      </c>
      <c r="D50" s="17">
        <v>3</v>
      </c>
      <c r="E50" s="17">
        <v>3</v>
      </c>
    </row>
    <row r="51" spans="1:5" x14ac:dyDescent="0.3">
      <c r="A51" s="17" t="s">
        <v>0</v>
      </c>
      <c r="B51" s="17" t="s">
        <v>51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36</v>
      </c>
      <c r="C52" s="17">
        <v>8</v>
      </c>
      <c r="D52" s="17">
        <v>2</v>
      </c>
      <c r="E52" s="17">
        <v>8</v>
      </c>
    </row>
    <row r="53" spans="1:5" x14ac:dyDescent="0.3">
      <c r="A53" s="17" t="s">
        <v>1</v>
      </c>
      <c r="B53" s="17" t="s">
        <v>73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583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281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221</v>
      </c>
      <c r="C56" s="17">
        <v>3</v>
      </c>
      <c r="D56" s="17">
        <v>2</v>
      </c>
      <c r="E56" s="17">
        <v>3</v>
      </c>
    </row>
    <row r="57" spans="1:5" x14ac:dyDescent="0.3">
      <c r="A57" s="17" t="s">
        <v>1</v>
      </c>
      <c r="B57" s="17" t="s">
        <v>155</v>
      </c>
      <c r="C57" s="17">
        <v>5</v>
      </c>
      <c r="D57" s="17">
        <v>2</v>
      </c>
      <c r="E57" s="17">
        <v>5</v>
      </c>
    </row>
    <row r="58" spans="1:5" x14ac:dyDescent="0.3">
      <c r="A58" s="17" t="s">
        <v>1</v>
      </c>
      <c r="B58" s="17" t="s">
        <v>41</v>
      </c>
      <c r="C58" s="17">
        <v>3</v>
      </c>
      <c r="D58" s="17">
        <v>2</v>
      </c>
      <c r="E58" s="17">
        <v>3</v>
      </c>
    </row>
    <row r="59" spans="1:5" x14ac:dyDescent="0.3">
      <c r="A59" s="17" t="s">
        <v>1</v>
      </c>
      <c r="B59" s="17" t="s">
        <v>95</v>
      </c>
      <c r="C59" s="17">
        <v>3</v>
      </c>
      <c r="D59" s="17">
        <v>2</v>
      </c>
      <c r="E59" s="17">
        <v>3</v>
      </c>
    </row>
    <row r="60" spans="1:5" x14ac:dyDescent="0.3">
      <c r="A60" s="17" t="s">
        <v>1</v>
      </c>
      <c r="B60" s="17" t="s">
        <v>96</v>
      </c>
      <c r="C60" s="17">
        <v>7</v>
      </c>
      <c r="D60" s="17">
        <v>2</v>
      </c>
      <c r="E60" s="17">
        <v>7</v>
      </c>
    </row>
    <row r="61" spans="1:5" x14ac:dyDescent="0.3">
      <c r="A61" s="17" t="s">
        <v>1</v>
      </c>
      <c r="B61" s="17" t="s">
        <v>2329</v>
      </c>
      <c r="C61" s="17">
        <v>3</v>
      </c>
      <c r="D61" s="17">
        <v>2</v>
      </c>
      <c r="E61" s="17">
        <v>3</v>
      </c>
    </row>
    <row r="62" spans="1:5" x14ac:dyDescent="0.3">
      <c r="A62" s="17" t="s">
        <v>1</v>
      </c>
      <c r="B62" s="17" t="s">
        <v>2445</v>
      </c>
      <c r="C62" s="17">
        <v>3</v>
      </c>
      <c r="D62" s="17">
        <v>2</v>
      </c>
      <c r="E62" s="17">
        <v>3</v>
      </c>
    </row>
    <row r="63" spans="1:5" x14ac:dyDescent="0.3">
      <c r="A63" s="17" t="s">
        <v>1</v>
      </c>
      <c r="B63" s="17" t="s">
        <v>716</v>
      </c>
      <c r="C63" s="17">
        <v>3</v>
      </c>
      <c r="D63" s="17">
        <v>2</v>
      </c>
      <c r="E63" s="17">
        <v>6</v>
      </c>
    </row>
    <row r="64" spans="1:5" x14ac:dyDescent="0.3">
      <c r="A64" s="17" t="s">
        <v>1</v>
      </c>
      <c r="B64" s="17" t="s">
        <v>165</v>
      </c>
      <c r="C64" s="17">
        <v>6</v>
      </c>
      <c r="D64" s="17">
        <v>2</v>
      </c>
      <c r="E64" s="17">
        <v>8</v>
      </c>
    </row>
    <row r="65" spans="1:5" x14ac:dyDescent="0.3">
      <c r="A65" s="17" t="s">
        <v>1</v>
      </c>
      <c r="B65" s="17" t="s">
        <v>322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592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406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172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291</v>
      </c>
      <c r="C69" s="17">
        <v>2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727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371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416</v>
      </c>
      <c r="C72" s="17">
        <v>5</v>
      </c>
      <c r="D72" s="17">
        <v>2</v>
      </c>
      <c r="E72" s="17">
        <v>5</v>
      </c>
    </row>
    <row r="73" spans="1:5" x14ac:dyDescent="0.3">
      <c r="A73" s="17" t="s">
        <v>1</v>
      </c>
      <c r="B73" s="17" t="s">
        <v>448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121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179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418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126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897</v>
      </c>
      <c r="C78" s="17">
        <v>2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186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52</v>
      </c>
      <c r="C80" s="17">
        <v>4</v>
      </c>
      <c r="D80" s="17">
        <v>2</v>
      </c>
      <c r="E80" s="17">
        <v>4</v>
      </c>
    </row>
    <row r="81" spans="1:5" x14ac:dyDescent="0.3">
      <c r="A81" s="17" t="s">
        <v>1</v>
      </c>
      <c r="B81" s="17" t="s">
        <v>498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38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305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67</v>
      </c>
      <c r="C84" s="17">
        <v>7</v>
      </c>
      <c r="D84" s="17">
        <v>2</v>
      </c>
      <c r="E84" s="17">
        <v>8</v>
      </c>
    </row>
    <row r="85" spans="1:5" x14ac:dyDescent="0.3">
      <c r="A85" s="17" t="s">
        <v>1</v>
      </c>
      <c r="B85" s="17" t="s">
        <v>376</v>
      </c>
      <c r="C85" s="17">
        <v>6</v>
      </c>
      <c r="D85" s="17">
        <v>2</v>
      </c>
      <c r="E85" s="17">
        <v>9</v>
      </c>
    </row>
    <row r="86" spans="1:5" x14ac:dyDescent="0.3">
      <c r="A86" s="17" t="s">
        <v>1</v>
      </c>
      <c r="B86" s="17" t="s">
        <v>68</v>
      </c>
      <c r="C86" s="17">
        <v>3</v>
      </c>
      <c r="D86" s="17">
        <v>2</v>
      </c>
      <c r="E86" s="17">
        <v>5</v>
      </c>
    </row>
    <row r="87" spans="1:5" x14ac:dyDescent="0.3">
      <c r="A87" s="17" t="s">
        <v>1</v>
      </c>
      <c r="B87" s="17" t="s">
        <v>39</v>
      </c>
      <c r="C87" s="17">
        <v>13</v>
      </c>
      <c r="D87" s="17">
        <v>2</v>
      </c>
      <c r="E87" s="17">
        <v>16</v>
      </c>
    </row>
    <row r="88" spans="1:5" x14ac:dyDescent="0.3">
      <c r="A88" s="17" t="s">
        <v>1</v>
      </c>
      <c r="B88" s="17" t="s">
        <v>56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850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32</v>
      </c>
      <c r="C90" s="17">
        <v>8</v>
      </c>
      <c r="D90" s="17">
        <v>2</v>
      </c>
      <c r="E90" s="17">
        <v>8</v>
      </c>
    </row>
    <row r="91" spans="1:5" x14ac:dyDescent="0.3">
      <c r="A91" s="17" t="s">
        <v>0</v>
      </c>
      <c r="B91" s="17" t="s">
        <v>242</v>
      </c>
      <c r="C91" s="17">
        <v>2</v>
      </c>
      <c r="D91" s="17">
        <v>2</v>
      </c>
      <c r="E91" s="17">
        <v>2</v>
      </c>
    </row>
    <row r="92" spans="1:5" x14ac:dyDescent="0.3">
      <c r="A92" s="17" t="s">
        <v>0</v>
      </c>
      <c r="B92" s="17" t="s">
        <v>60</v>
      </c>
      <c r="C92" s="17">
        <v>2</v>
      </c>
      <c r="D92" s="17">
        <v>2</v>
      </c>
      <c r="E92" s="17">
        <v>2</v>
      </c>
    </row>
    <row r="93" spans="1:5" x14ac:dyDescent="0.3">
      <c r="A93" s="17" t="s">
        <v>0</v>
      </c>
      <c r="B93" s="17" t="s">
        <v>96</v>
      </c>
      <c r="C93" s="17">
        <v>2</v>
      </c>
      <c r="D93" s="17">
        <v>2</v>
      </c>
      <c r="E93" s="17">
        <v>2</v>
      </c>
    </row>
    <row r="94" spans="1:5" x14ac:dyDescent="0.3">
      <c r="A94" s="17" t="s">
        <v>0</v>
      </c>
      <c r="B94" s="17" t="s">
        <v>1927</v>
      </c>
      <c r="C94" s="17">
        <v>2</v>
      </c>
      <c r="D94" s="17">
        <v>2</v>
      </c>
      <c r="E94" s="17">
        <v>3</v>
      </c>
    </row>
    <row r="95" spans="1:5" x14ac:dyDescent="0.3">
      <c r="A95" s="17" t="s">
        <v>0</v>
      </c>
      <c r="B95" s="17" t="s">
        <v>2429</v>
      </c>
      <c r="C95" s="17">
        <v>3</v>
      </c>
      <c r="D95" s="17">
        <v>2</v>
      </c>
      <c r="E95" s="17">
        <v>3</v>
      </c>
    </row>
    <row r="96" spans="1:5" x14ac:dyDescent="0.3">
      <c r="A96" s="17" t="s">
        <v>0</v>
      </c>
      <c r="B96" s="17" t="s">
        <v>2445</v>
      </c>
      <c r="C96" s="17">
        <v>3</v>
      </c>
      <c r="D96" s="17">
        <v>2</v>
      </c>
      <c r="E96" s="17">
        <v>3</v>
      </c>
    </row>
    <row r="97" spans="1:5" x14ac:dyDescent="0.3">
      <c r="A97" s="17" t="s">
        <v>0</v>
      </c>
      <c r="B97" s="17" t="s">
        <v>35</v>
      </c>
      <c r="C97" s="17">
        <v>2</v>
      </c>
      <c r="D97" s="17">
        <v>2</v>
      </c>
      <c r="E97" s="17">
        <v>2</v>
      </c>
    </row>
    <row r="98" spans="1:5" x14ac:dyDescent="0.3">
      <c r="A98" s="17" t="s">
        <v>0</v>
      </c>
      <c r="B98" s="17" t="s">
        <v>160</v>
      </c>
      <c r="C98" s="17">
        <v>2</v>
      </c>
      <c r="D98" s="17">
        <v>2</v>
      </c>
      <c r="E98" s="17">
        <v>2</v>
      </c>
    </row>
    <row r="99" spans="1:5" x14ac:dyDescent="0.3">
      <c r="A99" s="17" t="s">
        <v>0</v>
      </c>
      <c r="B99" s="17" t="s">
        <v>28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107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168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199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326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681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200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123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695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449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2</v>
      </c>
      <c r="B109" s="17" t="s">
        <v>897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389</v>
      </c>
      <c r="C110" s="17">
        <v>2</v>
      </c>
      <c r="D110" s="17">
        <v>1</v>
      </c>
      <c r="E110" s="17">
        <v>2</v>
      </c>
    </row>
    <row r="111" spans="1:5" x14ac:dyDescent="0.3">
      <c r="A111" s="17" t="s">
        <v>1</v>
      </c>
      <c r="B111" s="17" t="s">
        <v>140</v>
      </c>
      <c r="C111" s="17">
        <v>2</v>
      </c>
      <c r="D111" s="17">
        <v>1</v>
      </c>
      <c r="E111" s="17">
        <v>2</v>
      </c>
    </row>
    <row r="112" spans="1:5" x14ac:dyDescent="0.3">
      <c r="A112" s="17" t="s">
        <v>1</v>
      </c>
      <c r="B112" s="17" t="s">
        <v>70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1033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243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1490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2526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47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1796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203</v>
      </c>
      <c r="C119" s="17">
        <v>2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610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72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929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312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384</v>
      </c>
      <c r="C124" s="17">
        <v>1</v>
      </c>
      <c r="D124" s="17">
        <v>1</v>
      </c>
      <c r="E124" s="17">
        <v>2</v>
      </c>
    </row>
    <row r="125" spans="1:5" x14ac:dyDescent="0.3">
      <c r="A125" s="17" t="s">
        <v>1</v>
      </c>
      <c r="B125" s="17" t="s">
        <v>613</v>
      </c>
      <c r="C125" s="17">
        <v>3</v>
      </c>
      <c r="D125" s="17">
        <v>1</v>
      </c>
      <c r="E125" s="17">
        <v>3</v>
      </c>
    </row>
    <row r="126" spans="1:5" x14ac:dyDescent="0.3">
      <c r="A126" s="17" t="s">
        <v>1</v>
      </c>
      <c r="B126" s="17" t="s">
        <v>144</v>
      </c>
      <c r="C126" s="17">
        <v>2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794</v>
      </c>
      <c r="C127" s="17">
        <v>1</v>
      </c>
      <c r="D127" s="17">
        <v>1</v>
      </c>
      <c r="E127" s="17">
        <v>2</v>
      </c>
    </row>
    <row r="128" spans="1:5" x14ac:dyDescent="0.3">
      <c r="A128" s="17" t="s">
        <v>1</v>
      </c>
      <c r="B128" s="17" t="s">
        <v>394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835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2527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276</v>
      </c>
      <c r="C131" s="17">
        <v>2</v>
      </c>
      <c r="D131" s="17">
        <v>1</v>
      </c>
      <c r="E131" s="17">
        <v>2</v>
      </c>
    </row>
    <row r="132" spans="1:5" x14ac:dyDescent="0.3">
      <c r="A132" s="17" t="s">
        <v>1</v>
      </c>
      <c r="B132" s="17" t="s">
        <v>627</v>
      </c>
      <c r="C132" s="17">
        <v>2</v>
      </c>
      <c r="D132" s="17">
        <v>1</v>
      </c>
      <c r="E132" s="17">
        <v>3</v>
      </c>
    </row>
    <row r="133" spans="1:5" x14ac:dyDescent="0.3">
      <c r="A133" s="17" t="s">
        <v>1</v>
      </c>
      <c r="B133" s="17" t="s">
        <v>906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59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933</v>
      </c>
      <c r="C135" s="17">
        <v>2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1337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80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479</v>
      </c>
      <c r="C138" s="17">
        <v>2</v>
      </c>
      <c r="D138" s="17">
        <v>1</v>
      </c>
      <c r="E138" s="17">
        <v>2</v>
      </c>
    </row>
    <row r="139" spans="1:5" x14ac:dyDescent="0.3">
      <c r="A139" s="17" t="s">
        <v>1</v>
      </c>
      <c r="B139" s="17" t="s">
        <v>82</v>
      </c>
      <c r="C139" s="17">
        <v>3</v>
      </c>
      <c r="D139" s="17">
        <v>1</v>
      </c>
      <c r="E139" s="17">
        <v>3</v>
      </c>
    </row>
    <row r="140" spans="1:5" x14ac:dyDescent="0.3">
      <c r="A140" s="17" t="s">
        <v>1</v>
      </c>
      <c r="B140" s="17" t="s">
        <v>1314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908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40</v>
      </c>
      <c r="C142" s="17">
        <v>2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1255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1280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83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148</v>
      </c>
      <c r="C146" s="17">
        <v>3</v>
      </c>
      <c r="D146" s="17">
        <v>1</v>
      </c>
      <c r="E146" s="17">
        <v>3</v>
      </c>
    </row>
    <row r="147" spans="1:5" x14ac:dyDescent="0.3">
      <c r="A147" s="17" t="s">
        <v>1</v>
      </c>
      <c r="B147" s="17" t="s">
        <v>584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88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710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1537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152</v>
      </c>
      <c r="C151" s="17">
        <v>2</v>
      </c>
      <c r="D151" s="17">
        <v>1</v>
      </c>
      <c r="E151" s="17">
        <v>2</v>
      </c>
    </row>
    <row r="152" spans="1:5" x14ac:dyDescent="0.3">
      <c r="A152" s="17" t="s">
        <v>1</v>
      </c>
      <c r="B152" s="17" t="s">
        <v>362</v>
      </c>
      <c r="C152" s="17">
        <v>4</v>
      </c>
      <c r="D152" s="17">
        <v>1</v>
      </c>
      <c r="E152" s="17">
        <v>5</v>
      </c>
    </row>
    <row r="153" spans="1:5" x14ac:dyDescent="0.3">
      <c r="A153" s="17" t="s">
        <v>1</v>
      </c>
      <c r="B153" s="17" t="s">
        <v>89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635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218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92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638</v>
      </c>
      <c r="C157" s="17">
        <v>2</v>
      </c>
      <c r="D157" s="17">
        <v>1</v>
      </c>
      <c r="E157" s="17">
        <v>3</v>
      </c>
    </row>
    <row r="158" spans="1:5" x14ac:dyDescent="0.3">
      <c r="A158" s="17" t="s">
        <v>1</v>
      </c>
      <c r="B158" s="17" t="s">
        <v>93</v>
      </c>
      <c r="C158" s="17">
        <v>3</v>
      </c>
      <c r="D158" s="17">
        <v>1</v>
      </c>
      <c r="E158" s="17">
        <v>3</v>
      </c>
    </row>
    <row r="159" spans="1:5" x14ac:dyDescent="0.3">
      <c r="A159" s="17" t="s">
        <v>1</v>
      </c>
      <c r="B159" s="17" t="s">
        <v>154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692</v>
      </c>
      <c r="C160" s="17">
        <v>1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522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156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367</v>
      </c>
      <c r="C163" s="17">
        <v>2</v>
      </c>
      <c r="D163" s="17">
        <v>1</v>
      </c>
      <c r="E163" s="17">
        <v>3</v>
      </c>
    </row>
    <row r="164" spans="1:5" x14ac:dyDescent="0.3">
      <c r="A164" s="17" t="s">
        <v>1</v>
      </c>
      <c r="B164" s="17" t="s">
        <v>251</v>
      </c>
      <c r="C164" s="17">
        <v>4</v>
      </c>
      <c r="D164" s="17">
        <v>1</v>
      </c>
      <c r="E164" s="17">
        <v>4</v>
      </c>
    </row>
    <row r="165" spans="1:5" x14ac:dyDescent="0.3">
      <c r="A165" s="17" t="s">
        <v>1</v>
      </c>
      <c r="B165" s="17" t="s">
        <v>909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1518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1643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1662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1854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1897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2363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2401</v>
      </c>
      <c r="C172" s="17">
        <v>2</v>
      </c>
      <c r="D172" s="17">
        <v>1</v>
      </c>
      <c r="E172" s="17">
        <v>4</v>
      </c>
    </row>
    <row r="173" spans="1:5" x14ac:dyDescent="0.3">
      <c r="A173" s="17" t="s">
        <v>1</v>
      </c>
      <c r="B173" s="17" t="s">
        <v>2439</v>
      </c>
      <c r="C173" s="17">
        <v>3</v>
      </c>
      <c r="D173" s="17">
        <v>1</v>
      </c>
      <c r="E173" s="17">
        <v>4</v>
      </c>
    </row>
    <row r="174" spans="1:5" x14ac:dyDescent="0.3">
      <c r="A174" s="17" t="s">
        <v>1</v>
      </c>
      <c r="B174" s="17" t="s">
        <v>2493</v>
      </c>
      <c r="C174" s="17">
        <v>2</v>
      </c>
      <c r="D174" s="17">
        <v>1</v>
      </c>
      <c r="E174" s="17">
        <v>4</v>
      </c>
    </row>
    <row r="175" spans="1:5" x14ac:dyDescent="0.3">
      <c r="A175" s="17" t="s">
        <v>1</v>
      </c>
      <c r="B175" s="17" t="s">
        <v>2468</v>
      </c>
      <c r="C175" s="17">
        <v>2</v>
      </c>
      <c r="D175" s="17">
        <v>1</v>
      </c>
      <c r="E175" s="17">
        <v>3</v>
      </c>
    </row>
    <row r="176" spans="1:5" x14ac:dyDescent="0.3">
      <c r="A176" s="17" t="s">
        <v>1</v>
      </c>
      <c r="B176" s="17" t="s">
        <v>2404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2398</v>
      </c>
      <c r="C177" s="17">
        <v>5</v>
      </c>
      <c r="D177" s="17">
        <v>1</v>
      </c>
      <c r="E177" s="17">
        <v>5</v>
      </c>
    </row>
    <row r="178" spans="1:5" x14ac:dyDescent="0.3">
      <c r="A178" s="17" t="s">
        <v>1</v>
      </c>
      <c r="B178" s="17" t="s">
        <v>2428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2429</v>
      </c>
      <c r="C179" s="17">
        <v>4</v>
      </c>
      <c r="D179" s="17">
        <v>1</v>
      </c>
      <c r="E179" s="17">
        <v>6</v>
      </c>
    </row>
    <row r="180" spans="1:5" x14ac:dyDescent="0.3">
      <c r="A180" s="17" t="s">
        <v>1</v>
      </c>
      <c r="B180" s="17" t="s">
        <v>2397</v>
      </c>
      <c r="C180" s="17">
        <v>10</v>
      </c>
      <c r="D180" s="17">
        <v>1</v>
      </c>
      <c r="E180" s="17">
        <v>9</v>
      </c>
    </row>
    <row r="181" spans="1:5" x14ac:dyDescent="0.3">
      <c r="A181" s="17" t="s">
        <v>1</v>
      </c>
      <c r="B181" s="17" t="s">
        <v>2507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2396</v>
      </c>
      <c r="C182" s="17">
        <v>12</v>
      </c>
      <c r="D182" s="17">
        <v>1</v>
      </c>
      <c r="E182" s="17">
        <v>15</v>
      </c>
    </row>
    <row r="183" spans="1:5" x14ac:dyDescent="0.3">
      <c r="A183" s="17" t="s">
        <v>1</v>
      </c>
      <c r="B183" s="17" t="s">
        <v>282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1861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866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2244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97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867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49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35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1416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1491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527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1600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265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840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403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1713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1898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1145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1220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352</v>
      </c>
      <c r="C202" s="17">
        <v>2</v>
      </c>
      <c r="D202" s="17">
        <v>1</v>
      </c>
      <c r="E202" s="17">
        <v>4</v>
      </c>
    </row>
    <row r="203" spans="1:5" x14ac:dyDescent="0.3">
      <c r="A203" s="17" t="s">
        <v>1</v>
      </c>
      <c r="B203" s="17" t="s">
        <v>104</v>
      </c>
      <c r="C203" s="17">
        <v>4</v>
      </c>
      <c r="D203" s="17">
        <v>1</v>
      </c>
      <c r="E203" s="17">
        <v>3</v>
      </c>
    </row>
    <row r="204" spans="1:5" x14ac:dyDescent="0.3">
      <c r="A204" s="17" t="s">
        <v>1</v>
      </c>
      <c r="B204" s="17" t="s">
        <v>1304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1211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2118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2018</v>
      </c>
      <c r="C207" s="17">
        <v>1</v>
      </c>
      <c r="D207" s="17">
        <v>1</v>
      </c>
      <c r="E207" s="17">
        <v>3</v>
      </c>
    </row>
    <row r="208" spans="1:5" x14ac:dyDescent="0.3">
      <c r="A208" s="17" t="s">
        <v>1</v>
      </c>
      <c r="B208" s="17" t="s">
        <v>1522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1802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106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321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405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2528</v>
      </c>
      <c r="C213" s="17">
        <v>1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2159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2529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168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1148</v>
      </c>
      <c r="C217" s="17">
        <v>1</v>
      </c>
      <c r="D217" s="17">
        <v>1</v>
      </c>
      <c r="E217" s="17">
        <v>3</v>
      </c>
    </row>
    <row r="218" spans="1:5" x14ac:dyDescent="0.3">
      <c r="A218" s="17" t="s">
        <v>1</v>
      </c>
      <c r="B218" s="17" t="s">
        <v>1000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1443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109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647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2530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170</v>
      </c>
      <c r="C223" s="17">
        <v>2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111</v>
      </c>
      <c r="C224" s="17">
        <v>1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2531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44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410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1960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1004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325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411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1943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444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916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539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540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2532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880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1006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1454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949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1950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330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726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467</v>
      </c>
      <c r="C245" s="17">
        <v>2</v>
      </c>
      <c r="D245" s="17">
        <v>1</v>
      </c>
      <c r="E245" s="17">
        <v>5</v>
      </c>
    </row>
    <row r="246" spans="1:5" x14ac:dyDescent="0.3">
      <c r="A246" s="17" t="s">
        <v>1</v>
      </c>
      <c r="B246" s="17" t="s">
        <v>1378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597</v>
      </c>
      <c r="C247" s="17">
        <v>1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2533</v>
      </c>
      <c r="C248" s="17">
        <v>1</v>
      </c>
      <c r="D248" s="17">
        <v>1</v>
      </c>
      <c r="E248" s="17">
        <v>3</v>
      </c>
    </row>
    <row r="249" spans="1:5" x14ac:dyDescent="0.3">
      <c r="A249" s="17" t="s">
        <v>1</v>
      </c>
      <c r="B249" s="17" t="s">
        <v>1726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546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230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729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1957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1590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1187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337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657</v>
      </c>
      <c r="C257" s="17">
        <v>3</v>
      </c>
      <c r="D257" s="17">
        <v>1</v>
      </c>
      <c r="E257" s="17">
        <v>4</v>
      </c>
    </row>
    <row r="258" spans="1:5" x14ac:dyDescent="0.3">
      <c r="A258" s="17" t="s">
        <v>1</v>
      </c>
      <c r="B258" s="17" t="s">
        <v>117</v>
      </c>
      <c r="C258" s="17">
        <v>2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415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681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1511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339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814</v>
      </c>
      <c r="C263" s="17">
        <v>1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340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495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888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2534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2535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2047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388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735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1924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737</v>
      </c>
      <c r="C273" s="17">
        <v>2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344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345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889</v>
      </c>
      <c r="C276" s="17">
        <v>2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662</v>
      </c>
      <c r="C277" s="17">
        <v>2</v>
      </c>
      <c r="D277" s="17">
        <v>1</v>
      </c>
      <c r="E277" s="17">
        <v>2</v>
      </c>
    </row>
    <row r="278" spans="1:5" x14ac:dyDescent="0.3">
      <c r="A278" s="17" t="s">
        <v>1</v>
      </c>
      <c r="B278" s="17" t="s">
        <v>122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62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123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695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125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890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1779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555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2536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1445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742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300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1457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1294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1659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603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421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301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422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895</v>
      </c>
      <c r="C297" s="17">
        <v>2</v>
      </c>
      <c r="D297" s="17">
        <v>1</v>
      </c>
      <c r="E297" s="17">
        <v>3</v>
      </c>
    </row>
    <row r="298" spans="1:5" x14ac:dyDescent="0.3">
      <c r="A298" s="17" t="s">
        <v>1</v>
      </c>
      <c r="B298" s="17" t="s">
        <v>558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180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181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1543</v>
      </c>
      <c r="C301" s="17">
        <v>1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703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2537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664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183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1863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1546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1042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1952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428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561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2538</v>
      </c>
      <c r="C312" s="17">
        <v>1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429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128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823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132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201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259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1096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499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1326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566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192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1400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842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568</v>
      </c>
      <c r="C326" s="17">
        <v>1</v>
      </c>
      <c r="D326" s="17">
        <v>1</v>
      </c>
      <c r="E326" s="17">
        <v>2</v>
      </c>
    </row>
    <row r="327" spans="1:5" x14ac:dyDescent="0.3">
      <c r="A327" s="17" t="s">
        <v>1</v>
      </c>
      <c r="B327" s="17" t="s">
        <v>53</v>
      </c>
      <c r="C327" s="17">
        <v>2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966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1476</v>
      </c>
      <c r="C329" s="17">
        <v>1</v>
      </c>
      <c r="D329" s="17">
        <v>1</v>
      </c>
      <c r="E329" s="17">
        <v>2</v>
      </c>
    </row>
    <row r="330" spans="1:5" x14ac:dyDescent="0.3">
      <c r="A330" s="17" t="s">
        <v>1</v>
      </c>
      <c r="B330" s="17" t="s">
        <v>194</v>
      </c>
      <c r="C330" s="17">
        <v>4</v>
      </c>
      <c r="D330" s="17">
        <v>1</v>
      </c>
      <c r="E330" s="17">
        <v>4</v>
      </c>
    </row>
    <row r="331" spans="1:5" x14ac:dyDescent="0.3">
      <c r="A331" s="17" t="s">
        <v>1</v>
      </c>
      <c r="B331" s="17" t="s">
        <v>235</v>
      </c>
      <c r="C331" s="17">
        <v>8</v>
      </c>
      <c r="D331" s="17">
        <v>1</v>
      </c>
      <c r="E331" s="17">
        <v>12</v>
      </c>
    </row>
    <row r="332" spans="1:5" x14ac:dyDescent="0.3">
      <c r="A332" s="17" t="s">
        <v>1</v>
      </c>
      <c r="B332" s="17" t="s">
        <v>237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54</v>
      </c>
      <c r="C333" s="17">
        <v>7</v>
      </c>
      <c r="D333" s="17">
        <v>1</v>
      </c>
      <c r="E333" s="17">
        <v>9</v>
      </c>
    </row>
    <row r="334" spans="1:5" x14ac:dyDescent="0.3">
      <c r="A334" s="17" t="s">
        <v>1</v>
      </c>
      <c r="B334" s="17" t="s">
        <v>55</v>
      </c>
      <c r="C334" s="17">
        <v>3</v>
      </c>
      <c r="D334" s="17">
        <v>1</v>
      </c>
      <c r="E334" s="17">
        <v>4</v>
      </c>
    </row>
    <row r="335" spans="1:5" x14ac:dyDescent="0.3">
      <c r="A335" s="17" t="s">
        <v>1</v>
      </c>
      <c r="B335" s="17" t="s">
        <v>2376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1477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2539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2540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2541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197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1765</v>
      </c>
      <c r="C341" s="17">
        <v>1</v>
      </c>
      <c r="D341" s="17">
        <v>1</v>
      </c>
      <c r="E341" s="17"/>
    </row>
    <row r="342" spans="1:5" x14ac:dyDescent="0.3">
      <c r="A342" s="17" t="s">
        <v>1</v>
      </c>
      <c r="B342" s="17" t="s">
        <v>1310</v>
      </c>
      <c r="C342" s="17">
        <v>1</v>
      </c>
      <c r="D342" s="17">
        <v>1</v>
      </c>
      <c r="E342" s="17"/>
    </row>
    <row r="343" spans="1:5" x14ac:dyDescent="0.3">
      <c r="A343" s="17" t="s">
        <v>1</v>
      </c>
      <c r="B343" s="17" t="s">
        <v>1516</v>
      </c>
      <c r="C343" s="17">
        <v>1</v>
      </c>
      <c r="D343" s="17">
        <v>1</v>
      </c>
      <c r="E343" s="17"/>
    </row>
    <row r="344" spans="1:5" x14ac:dyDescent="0.3">
      <c r="A344" s="17" t="s">
        <v>1</v>
      </c>
      <c r="B344" s="17" t="s">
        <v>2542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2543</v>
      </c>
      <c r="C345" s="17">
        <v>1</v>
      </c>
      <c r="D345" s="17">
        <v>1</v>
      </c>
      <c r="E345" s="17"/>
    </row>
    <row r="346" spans="1:5" x14ac:dyDescent="0.3">
      <c r="A346" s="17" t="s">
        <v>1</v>
      </c>
      <c r="B346" s="17" t="s">
        <v>757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674</v>
      </c>
      <c r="C347" s="17">
        <v>1</v>
      </c>
      <c r="D347" s="17">
        <v>1</v>
      </c>
      <c r="E347" s="17"/>
    </row>
    <row r="348" spans="1:5" x14ac:dyDescent="0.3">
      <c r="A348" s="17" t="s">
        <v>1</v>
      </c>
      <c r="B348" s="17" t="s">
        <v>1047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1358</v>
      </c>
      <c r="C349" s="17">
        <v>1</v>
      </c>
      <c r="D349" s="17">
        <v>1</v>
      </c>
      <c r="E349" s="17"/>
    </row>
    <row r="350" spans="1:5" x14ac:dyDescent="0.3">
      <c r="A350" s="17" t="s">
        <v>1</v>
      </c>
      <c r="B350" s="17" t="s">
        <v>2544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2545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759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2546</v>
      </c>
      <c r="C353" s="17">
        <v>1</v>
      </c>
      <c r="D353" s="17">
        <v>1</v>
      </c>
      <c r="E353" s="17"/>
    </row>
    <row r="354" spans="1:5" x14ac:dyDescent="0.3">
      <c r="A354" s="17" t="s">
        <v>1</v>
      </c>
      <c r="B354" s="17" t="s">
        <v>2547</v>
      </c>
      <c r="C354" s="17">
        <v>1</v>
      </c>
      <c r="D354" s="17">
        <v>1</v>
      </c>
      <c r="E354" s="17"/>
    </row>
    <row r="355" spans="1:5" x14ac:dyDescent="0.3">
      <c r="A355" s="17" t="s">
        <v>1</v>
      </c>
      <c r="B355" s="17" t="s">
        <v>2035</v>
      </c>
      <c r="C355" s="17">
        <v>1</v>
      </c>
      <c r="D355" s="17">
        <v>2</v>
      </c>
      <c r="E355" s="17"/>
    </row>
    <row r="356" spans="1:5" x14ac:dyDescent="0.3">
      <c r="A356" s="17" t="s">
        <v>1</v>
      </c>
      <c r="B356" s="17" t="s">
        <v>1931</v>
      </c>
      <c r="C356" s="17">
        <v>1</v>
      </c>
      <c r="D356" s="17">
        <v>1</v>
      </c>
      <c r="E356" s="17"/>
    </row>
    <row r="357" spans="1:5" x14ac:dyDescent="0.3">
      <c r="A357" s="17" t="s">
        <v>1</v>
      </c>
      <c r="B357" s="17" t="s">
        <v>431</v>
      </c>
      <c r="C357" s="17">
        <v>1</v>
      </c>
      <c r="D357" s="17">
        <v>1</v>
      </c>
      <c r="E357" s="17"/>
    </row>
    <row r="358" spans="1:5" x14ac:dyDescent="0.3">
      <c r="A358" s="17" t="s">
        <v>1</v>
      </c>
      <c r="B358" s="17" t="s">
        <v>2548</v>
      </c>
      <c r="C358" s="17">
        <v>1</v>
      </c>
      <c r="D358" s="17">
        <v>2</v>
      </c>
      <c r="E358" s="17"/>
    </row>
    <row r="359" spans="1:5" x14ac:dyDescent="0.3">
      <c r="A359" s="17" t="s">
        <v>0</v>
      </c>
      <c r="B359" s="17" t="s">
        <v>70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503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504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392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2339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486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705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857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794</v>
      </c>
      <c r="C367" s="17">
        <v>2</v>
      </c>
      <c r="D367" s="17">
        <v>1</v>
      </c>
      <c r="E367" s="17">
        <v>2</v>
      </c>
    </row>
    <row r="368" spans="1:5" x14ac:dyDescent="0.3">
      <c r="A368" s="17" t="s">
        <v>0</v>
      </c>
      <c r="B368" s="17" t="s">
        <v>272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858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78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356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81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267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213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83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149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480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89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92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93</v>
      </c>
      <c r="C380" s="17">
        <v>2</v>
      </c>
      <c r="D380" s="17">
        <v>1</v>
      </c>
      <c r="E380" s="17">
        <v>2</v>
      </c>
    </row>
    <row r="381" spans="1:5" x14ac:dyDescent="0.3">
      <c r="A381" s="17" t="s">
        <v>0</v>
      </c>
      <c r="B381" s="17" t="s">
        <v>41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42</v>
      </c>
      <c r="C382" s="17">
        <v>2</v>
      </c>
      <c r="D382" s="17">
        <v>1</v>
      </c>
      <c r="E382" s="17">
        <v>2</v>
      </c>
    </row>
    <row r="383" spans="1:5" x14ac:dyDescent="0.3">
      <c r="A383" s="17" t="s">
        <v>0</v>
      </c>
      <c r="B383" s="17" t="s">
        <v>157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487</v>
      </c>
      <c r="C384" s="17">
        <v>1</v>
      </c>
      <c r="D384" s="17">
        <v>1</v>
      </c>
      <c r="E384" s="17">
        <v>2</v>
      </c>
    </row>
    <row r="385" spans="1:5" x14ac:dyDescent="0.3">
      <c r="A385" s="17" t="s">
        <v>0</v>
      </c>
      <c r="B385" s="17" t="s">
        <v>1643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1662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1854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1871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2329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2401</v>
      </c>
      <c r="C390" s="17">
        <v>1</v>
      </c>
      <c r="D390" s="17">
        <v>1</v>
      </c>
      <c r="E390" s="17">
        <v>2</v>
      </c>
    </row>
    <row r="391" spans="1:5" x14ac:dyDescent="0.3">
      <c r="A391" s="17" t="s">
        <v>0</v>
      </c>
      <c r="B391" s="17" t="s">
        <v>2400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2397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525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585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1103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1776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993</v>
      </c>
      <c r="C397" s="17">
        <v>1</v>
      </c>
      <c r="D397" s="17">
        <v>1</v>
      </c>
      <c r="E397" s="17">
        <v>2</v>
      </c>
    </row>
    <row r="398" spans="1:5" x14ac:dyDescent="0.3">
      <c r="A398" s="17" t="s">
        <v>0</v>
      </c>
      <c r="B398" s="17" t="s">
        <v>98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528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265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587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403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162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589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103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1221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0</v>
      </c>
      <c r="B407" s="17" t="s">
        <v>165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1304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1194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322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1181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167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1614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591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169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226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407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2549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172</v>
      </c>
      <c r="C419" s="17">
        <v>2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465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1791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2240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652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880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2550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2551</v>
      </c>
      <c r="C426" s="17">
        <v>2</v>
      </c>
      <c r="D426" s="17">
        <v>1</v>
      </c>
      <c r="E426" s="17">
        <v>2</v>
      </c>
    </row>
    <row r="427" spans="1:5" x14ac:dyDescent="0.3">
      <c r="A427" s="17" t="s">
        <v>0</v>
      </c>
      <c r="B427" s="17" t="s">
        <v>332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1230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339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1151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954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1110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119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495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343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1689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124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553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1767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1831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1265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560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182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896</v>
      </c>
      <c r="C444" s="17">
        <v>1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962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897</v>
      </c>
      <c r="C446" s="17">
        <v>1</v>
      </c>
      <c r="D446" s="17">
        <v>1</v>
      </c>
      <c r="E446" s="17">
        <v>2</v>
      </c>
    </row>
    <row r="447" spans="1:5" x14ac:dyDescent="0.3">
      <c r="A447" s="17" t="s">
        <v>0</v>
      </c>
      <c r="B447" s="17" t="s">
        <v>698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262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429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52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498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351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499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65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194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476</v>
      </c>
      <c r="C456" s="17">
        <v>1</v>
      </c>
      <c r="D456" s="17">
        <v>1</v>
      </c>
      <c r="E456" s="17">
        <v>6</v>
      </c>
    </row>
    <row r="457" spans="1:5" x14ac:dyDescent="0.3">
      <c r="A457" s="17" t="s">
        <v>0</v>
      </c>
      <c r="B457" s="17" t="s">
        <v>196</v>
      </c>
      <c r="C457" s="17">
        <v>2</v>
      </c>
      <c r="D457" s="17">
        <v>1</v>
      </c>
      <c r="E457" s="17">
        <v>3</v>
      </c>
    </row>
    <row r="458" spans="1:5" x14ac:dyDescent="0.3">
      <c r="A458" s="17" t="s">
        <v>0</v>
      </c>
      <c r="B458" s="17" t="s">
        <v>1827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2552</v>
      </c>
      <c r="C459" s="17">
        <v>1</v>
      </c>
      <c r="D459" s="17">
        <v>1</v>
      </c>
      <c r="E459" s="17">
        <v>2</v>
      </c>
    </row>
    <row r="460" spans="1:5" x14ac:dyDescent="0.3">
      <c r="A460" s="17" t="s">
        <v>0</v>
      </c>
      <c r="B460" s="17" t="s">
        <v>571</v>
      </c>
      <c r="C460" s="17">
        <v>1</v>
      </c>
      <c r="D460" s="17">
        <v>1</v>
      </c>
      <c r="E460" s="17"/>
    </row>
    <row r="461" spans="1:5" x14ac:dyDescent="0.3">
      <c r="A461" s="17" t="s">
        <v>0</v>
      </c>
      <c r="B461" s="17" t="s">
        <v>1765</v>
      </c>
      <c r="C461" s="17">
        <v>1</v>
      </c>
      <c r="D461" s="17">
        <v>1</v>
      </c>
      <c r="E461" s="17"/>
    </row>
    <row r="462" spans="1:5" x14ac:dyDescent="0.3">
      <c r="A462" s="17" t="s">
        <v>0</v>
      </c>
      <c r="B462" s="17" t="s">
        <v>2049</v>
      </c>
      <c r="C462" s="17">
        <v>1</v>
      </c>
      <c r="D462" s="17">
        <v>2</v>
      </c>
      <c r="E462" s="17"/>
    </row>
    <row r="463" spans="1:5" x14ac:dyDescent="0.3">
      <c r="A463" s="17" t="s">
        <v>0</v>
      </c>
      <c r="B463" s="17" t="s">
        <v>922</v>
      </c>
      <c r="C463" s="17">
        <v>1</v>
      </c>
      <c r="D463" s="17">
        <v>1</v>
      </c>
      <c r="E463" s="17"/>
    </row>
    <row r="464" spans="1:5" x14ac:dyDescent="0.3">
      <c r="A464" s="17" t="s">
        <v>0</v>
      </c>
      <c r="B464" s="17" t="s">
        <v>2553</v>
      </c>
      <c r="C464" s="17">
        <v>1</v>
      </c>
      <c r="D464" s="17">
        <v>1</v>
      </c>
      <c r="E464" s="17"/>
    </row>
    <row r="465" spans="1:5" x14ac:dyDescent="0.3">
      <c r="A465" s="17" t="s">
        <v>0</v>
      </c>
      <c r="B465" s="17" t="s">
        <v>1547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2554</v>
      </c>
      <c r="C466" s="17">
        <v>1</v>
      </c>
      <c r="D466" s="17">
        <v>1</v>
      </c>
      <c r="E466" s="17"/>
    </row>
    <row r="467" spans="1:5" x14ac:dyDescent="0.3">
      <c r="A467" s="17" t="s">
        <v>0</v>
      </c>
      <c r="B467" s="17" t="s">
        <v>2555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1962</v>
      </c>
      <c r="C468" s="17">
        <v>1</v>
      </c>
      <c r="D468" s="17">
        <v>1</v>
      </c>
      <c r="E468" s="17">
        <v>2</v>
      </c>
    </row>
    <row r="469" spans="1:5" x14ac:dyDescent="0.3">
      <c r="A469" s="17" t="s">
        <v>0</v>
      </c>
      <c r="B469" s="17" t="s">
        <v>1138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431</v>
      </c>
      <c r="C470" s="17">
        <v>1</v>
      </c>
      <c r="D470" s="17">
        <v>1</v>
      </c>
      <c r="E470" s="17"/>
    </row>
    <row r="471" spans="1:5" x14ac:dyDescent="0.3">
      <c r="A471" s="17" t="s">
        <v>2</v>
      </c>
      <c r="B471" s="17" t="s">
        <v>30</v>
      </c>
      <c r="C471" s="17">
        <v>2</v>
      </c>
      <c r="D471" s="17">
        <v>1</v>
      </c>
      <c r="E471" s="17">
        <v>3</v>
      </c>
    </row>
    <row r="472" spans="1:5" x14ac:dyDescent="0.3">
      <c r="A472" s="17" t="s">
        <v>2</v>
      </c>
      <c r="B472" s="17" t="s">
        <v>71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2</v>
      </c>
      <c r="B473" s="17" t="s">
        <v>276</v>
      </c>
      <c r="C473" s="17">
        <v>1</v>
      </c>
      <c r="D473" s="17">
        <v>1</v>
      </c>
      <c r="E473" s="17">
        <v>2</v>
      </c>
    </row>
    <row r="474" spans="1:5" x14ac:dyDescent="0.3">
      <c r="A474" s="17" t="s">
        <v>2</v>
      </c>
      <c r="B474" s="17" t="s">
        <v>34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2</v>
      </c>
      <c r="B475" s="17" t="s">
        <v>149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2</v>
      </c>
      <c r="B476" s="17" t="s">
        <v>265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2</v>
      </c>
      <c r="B477" s="17" t="s">
        <v>163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2</v>
      </c>
      <c r="B478" s="17" t="s">
        <v>113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1184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2</v>
      </c>
      <c r="B480" s="17" t="s">
        <v>51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2</v>
      </c>
      <c r="B481" s="17" t="s">
        <v>1843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890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746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2</v>
      </c>
      <c r="B484" s="17" t="s">
        <v>2556</v>
      </c>
      <c r="C484" s="17">
        <v>1</v>
      </c>
      <c r="D484" s="17">
        <v>1</v>
      </c>
      <c r="E484" s="17">
        <v>3</v>
      </c>
    </row>
    <row r="485" spans="1:5" x14ac:dyDescent="0.3">
      <c r="A485" s="17" t="s">
        <v>2</v>
      </c>
      <c r="B485" s="17" t="s">
        <v>32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1</v>
      </c>
      <c r="B486" s="17" t="s">
        <v>1488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2557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1664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204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269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205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1368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206</v>
      </c>
      <c r="C493" s="17">
        <v>2</v>
      </c>
      <c r="D493" s="17">
        <v>0</v>
      </c>
      <c r="E493" s="17">
        <v>2</v>
      </c>
    </row>
    <row r="494" spans="1:5" x14ac:dyDescent="0.3">
      <c r="A494" s="17" t="s">
        <v>1</v>
      </c>
      <c r="B494" s="17" t="s">
        <v>612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1506</v>
      </c>
      <c r="C495" s="17">
        <v>1</v>
      </c>
      <c r="D495" s="17">
        <v>0</v>
      </c>
      <c r="E495" s="17">
        <v>2</v>
      </c>
    </row>
    <row r="496" spans="1:5" x14ac:dyDescent="0.3">
      <c r="A496" s="17" t="s">
        <v>1</v>
      </c>
      <c r="B496" s="17" t="s">
        <v>792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486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1425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75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509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460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795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146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2558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275</v>
      </c>
      <c r="C505" s="17">
        <v>1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989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211</v>
      </c>
      <c r="C507" s="17">
        <v>1</v>
      </c>
      <c r="D507" s="17">
        <v>0</v>
      </c>
      <c r="E507" s="17">
        <v>2</v>
      </c>
    </row>
    <row r="508" spans="1:5" x14ac:dyDescent="0.3">
      <c r="A508" s="17" t="s">
        <v>1</v>
      </c>
      <c r="B508" s="17" t="s">
        <v>247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81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462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213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215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519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360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316</v>
      </c>
      <c r="C515" s="17">
        <v>1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766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361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1102</v>
      </c>
      <c r="C518" s="17">
        <v>1</v>
      </c>
      <c r="D518" s="17">
        <v>0</v>
      </c>
      <c r="E518" s="17">
        <v>0</v>
      </c>
    </row>
    <row r="519" spans="1:5" x14ac:dyDescent="0.3">
      <c r="A519" s="17" t="s">
        <v>1</v>
      </c>
      <c r="B519" s="17" t="s">
        <v>634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216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1317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153</v>
      </c>
      <c r="C522" s="17">
        <v>3</v>
      </c>
      <c r="D522" s="17">
        <v>0</v>
      </c>
      <c r="E522" s="17">
        <v>3</v>
      </c>
    </row>
    <row r="523" spans="1:5" x14ac:dyDescent="0.3">
      <c r="A523" s="17" t="s">
        <v>1</v>
      </c>
      <c r="B523" s="17" t="s">
        <v>219</v>
      </c>
      <c r="C523" s="17">
        <v>2</v>
      </c>
      <c r="D523" s="17">
        <v>0</v>
      </c>
      <c r="E523" s="17">
        <v>3</v>
      </c>
    </row>
    <row r="524" spans="1:5" x14ac:dyDescent="0.3">
      <c r="A524" s="17" t="s">
        <v>1</v>
      </c>
      <c r="B524" s="17" t="s">
        <v>636</v>
      </c>
      <c r="C524" s="17">
        <v>2</v>
      </c>
      <c r="D524" s="17">
        <v>0</v>
      </c>
      <c r="E524" s="17">
        <v>3</v>
      </c>
    </row>
    <row r="525" spans="1:5" x14ac:dyDescent="0.3">
      <c r="A525" s="17" t="s">
        <v>1</v>
      </c>
      <c r="B525" s="17" t="s">
        <v>220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637</v>
      </c>
      <c r="C526" s="17">
        <v>2</v>
      </c>
      <c r="D526" s="17">
        <v>0</v>
      </c>
      <c r="E526" s="17">
        <v>2</v>
      </c>
    </row>
    <row r="527" spans="1:5" x14ac:dyDescent="0.3">
      <c r="A527" s="17" t="s">
        <v>1</v>
      </c>
      <c r="B527" s="17" t="s">
        <v>711</v>
      </c>
      <c r="C527" s="17">
        <v>2</v>
      </c>
      <c r="D527" s="17">
        <v>0</v>
      </c>
      <c r="E527" s="17">
        <v>4</v>
      </c>
    </row>
    <row r="528" spans="1:5" x14ac:dyDescent="0.3">
      <c r="A528" s="17" t="s">
        <v>1</v>
      </c>
      <c r="B528" s="17" t="s">
        <v>436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1064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865</v>
      </c>
      <c r="C530" s="17">
        <v>3</v>
      </c>
      <c r="D530" s="17">
        <v>0</v>
      </c>
      <c r="E530" s="17">
        <v>3</v>
      </c>
    </row>
    <row r="531" spans="1:5" x14ac:dyDescent="0.3">
      <c r="A531" s="17" t="s">
        <v>1</v>
      </c>
      <c r="B531" s="17" t="s">
        <v>2559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222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641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261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223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2505</v>
      </c>
      <c r="C536" s="17">
        <v>1</v>
      </c>
      <c r="D536" s="17">
        <v>0</v>
      </c>
      <c r="E536" s="17">
        <v>0</v>
      </c>
    </row>
    <row r="537" spans="1:5" x14ac:dyDescent="0.3">
      <c r="A537" s="17" t="s">
        <v>1</v>
      </c>
      <c r="B537" s="17" t="s">
        <v>42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487</v>
      </c>
      <c r="C538" s="17">
        <v>2</v>
      </c>
      <c r="D538" s="17">
        <v>0</v>
      </c>
      <c r="E538" s="17">
        <v>2</v>
      </c>
    </row>
    <row r="539" spans="1:5" x14ac:dyDescent="0.3">
      <c r="A539" s="17" t="s">
        <v>1</v>
      </c>
      <c r="B539" s="17" t="s">
        <v>1141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1673</v>
      </c>
      <c r="C540" s="17">
        <v>2</v>
      </c>
      <c r="D540" s="17">
        <v>0</v>
      </c>
      <c r="E540" s="17">
        <v>4</v>
      </c>
    </row>
    <row r="541" spans="1:5" x14ac:dyDescent="0.3">
      <c r="A541" s="17" t="s">
        <v>1</v>
      </c>
      <c r="B541" s="17" t="s">
        <v>1711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1708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1775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2115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2293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2341</v>
      </c>
      <c r="C546" s="17">
        <v>2</v>
      </c>
      <c r="D546" s="17">
        <v>0</v>
      </c>
      <c r="E546" s="17">
        <v>2</v>
      </c>
    </row>
    <row r="547" spans="1:5" x14ac:dyDescent="0.3">
      <c r="A547" s="17" t="s">
        <v>1</v>
      </c>
      <c r="B547" s="17" t="s">
        <v>2560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2440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2441</v>
      </c>
      <c r="C549" s="17">
        <v>2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2442</v>
      </c>
      <c r="C550" s="17">
        <v>2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2443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2444</v>
      </c>
      <c r="C552" s="17">
        <v>2</v>
      </c>
      <c r="D552" s="17">
        <v>0</v>
      </c>
      <c r="E552" s="17">
        <v>2</v>
      </c>
    </row>
    <row r="553" spans="1:5" x14ac:dyDescent="0.3">
      <c r="A553" s="17" t="s">
        <v>1</v>
      </c>
      <c r="B553" s="17" t="s">
        <v>524</v>
      </c>
      <c r="C553" s="17">
        <v>1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225</v>
      </c>
      <c r="C554" s="17">
        <v>1</v>
      </c>
      <c r="D554" s="17">
        <v>0</v>
      </c>
      <c r="E554" s="17">
        <v>2</v>
      </c>
    </row>
    <row r="555" spans="1:5" x14ac:dyDescent="0.3">
      <c r="A555" s="17" t="s">
        <v>1</v>
      </c>
      <c r="B555" s="17" t="s">
        <v>993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586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441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1821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1146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1754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2561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2562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870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286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2038</v>
      </c>
      <c r="C565" s="17">
        <v>1</v>
      </c>
      <c r="D565" s="17">
        <v>0</v>
      </c>
      <c r="E565" s="17">
        <v>2</v>
      </c>
    </row>
    <row r="566" spans="1:5" x14ac:dyDescent="0.3">
      <c r="A566" s="17" t="s">
        <v>1</v>
      </c>
      <c r="B566" s="17" t="s">
        <v>1223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646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1786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2193</v>
      </c>
      <c r="C569" s="17">
        <v>1</v>
      </c>
      <c r="D569" s="17">
        <v>0</v>
      </c>
      <c r="E569" s="17">
        <v>0</v>
      </c>
    </row>
    <row r="570" spans="1:5" x14ac:dyDescent="0.3">
      <c r="A570" s="17" t="s">
        <v>1</v>
      </c>
      <c r="B570" s="17" t="s">
        <v>1393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226</v>
      </c>
      <c r="C571" s="17">
        <v>2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2563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845</v>
      </c>
      <c r="C573" s="17">
        <v>1</v>
      </c>
      <c r="D573" s="17">
        <v>0</v>
      </c>
      <c r="E573" s="17">
        <v>0</v>
      </c>
    </row>
    <row r="574" spans="1:5" x14ac:dyDescent="0.3">
      <c r="A574" s="17" t="s">
        <v>1</v>
      </c>
      <c r="B574" s="17" t="s">
        <v>1466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1446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326</v>
      </c>
      <c r="C576" s="17">
        <v>1</v>
      </c>
      <c r="D576" s="17">
        <v>0</v>
      </c>
      <c r="E576" s="17">
        <v>0</v>
      </c>
    </row>
    <row r="577" spans="1:5" x14ac:dyDescent="0.3">
      <c r="A577" s="17" t="s">
        <v>1</v>
      </c>
      <c r="B577" s="17" t="s">
        <v>327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1376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45</v>
      </c>
      <c r="C579" s="17">
        <v>3</v>
      </c>
      <c r="D579" s="17">
        <v>0</v>
      </c>
      <c r="E579" s="17">
        <v>4</v>
      </c>
    </row>
    <row r="580" spans="1:5" x14ac:dyDescent="0.3">
      <c r="A580" s="17" t="s">
        <v>1</v>
      </c>
      <c r="B580" s="17" t="s">
        <v>1377</v>
      </c>
      <c r="C580" s="17">
        <v>1</v>
      </c>
      <c r="D580" s="17">
        <v>0</v>
      </c>
      <c r="E580" s="17">
        <v>0</v>
      </c>
    </row>
    <row r="581" spans="1:5" x14ac:dyDescent="0.3">
      <c r="A581" s="17" t="s">
        <v>1</v>
      </c>
      <c r="B581" s="17" t="s">
        <v>331</v>
      </c>
      <c r="C581" s="17">
        <v>2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294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1379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1109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1751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781</v>
      </c>
      <c r="C586" s="17">
        <v>2</v>
      </c>
      <c r="D586" s="17">
        <v>0</v>
      </c>
      <c r="E586" s="17">
        <v>3</v>
      </c>
    </row>
    <row r="587" spans="1:5" x14ac:dyDescent="0.3">
      <c r="A587" s="17" t="s">
        <v>1</v>
      </c>
      <c r="B587" s="17" t="s">
        <v>1232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1306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1818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469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1322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736</v>
      </c>
      <c r="C592" s="17">
        <v>2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738</v>
      </c>
      <c r="C593" s="17">
        <v>1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553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178</v>
      </c>
      <c r="C595" s="17">
        <v>2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2564</v>
      </c>
      <c r="C596" s="17">
        <v>1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1833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1154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1308</v>
      </c>
      <c r="C599" s="17">
        <v>1</v>
      </c>
      <c r="D599" s="17">
        <v>0</v>
      </c>
      <c r="E599" s="17">
        <v>0</v>
      </c>
    </row>
    <row r="600" spans="1:5" x14ac:dyDescent="0.3">
      <c r="A600" s="17" t="s">
        <v>1</v>
      </c>
      <c r="B600" s="17" t="s">
        <v>1733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375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894</v>
      </c>
      <c r="C602" s="17">
        <v>1</v>
      </c>
      <c r="D602" s="17">
        <v>0</v>
      </c>
      <c r="E602" s="17">
        <v>3</v>
      </c>
    </row>
    <row r="603" spans="1:5" x14ac:dyDescent="0.3">
      <c r="A603" s="17" t="s">
        <v>1</v>
      </c>
      <c r="B603" s="17" t="s">
        <v>1979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1422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348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427</v>
      </c>
      <c r="C606" s="17">
        <v>1</v>
      </c>
      <c r="D606" s="17">
        <v>0</v>
      </c>
      <c r="E606" s="17">
        <v>0</v>
      </c>
    </row>
    <row r="607" spans="1:5" x14ac:dyDescent="0.3">
      <c r="A607" s="17" t="s">
        <v>1</v>
      </c>
      <c r="B607" s="17" t="s">
        <v>233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919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964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1697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188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751</v>
      </c>
      <c r="C612" s="17">
        <v>2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191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1595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234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1327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306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137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381</v>
      </c>
      <c r="C619" s="17">
        <v>1</v>
      </c>
      <c r="D619" s="17">
        <v>0</v>
      </c>
      <c r="E619" s="17">
        <v>4</v>
      </c>
    </row>
    <row r="620" spans="1:5" x14ac:dyDescent="0.3">
      <c r="A620" s="17" t="s">
        <v>1</v>
      </c>
      <c r="B620" s="17" t="s">
        <v>236</v>
      </c>
      <c r="C620" s="17">
        <v>5</v>
      </c>
      <c r="D620" s="17">
        <v>0</v>
      </c>
      <c r="E620" s="17">
        <v>6</v>
      </c>
    </row>
    <row r="621" spans="1:5" x14ac:dyDescent="0.3">
      <c r="A621" s="18" t="s">
        <v>1</v>
      </c>
      <c r="B621" s="18" t="s">
        <v>196</v>
      </c>
      <c r="C621" s="18">
        <v>11</v>
      </c>
      <c r="D621" s="18">
        <v>0</v>
      </c>
      <c r="E621" s="18">
        <v>15</v>
      </c>
    </row>
    <row r="622" spans="1:5" x14ac:dyDescent="0.3">
      <c r="A622" s="18" t="s">
        <v>1</v>
      </c>
      <c r="B622" s="18" t="s">
        <v>238</v>
      </c>
      <c r="C622" s="18">
        <v>6</v>
      </c>
      <c r="D622" s="18">
        <v>0</v>
      </c>
      <c r="E622" s="18">
        <v>6</v>
      </c>
    </row>
    <row r="623" spans="1:5" x14ac:dyDescent="0.3">
      <c r="A623" s="18" t="s">
        <v>1</v>
      </c>
      <c r="B623" s="18" t="s">
        <v>239</v>
      </c>
      <c r="C623" s="18">
        <v>4</v>
      </c>
      <c r="D623" s="18">
        <v>0</v>
      </c>
      <c r="E623" s="18">
        <v>5</v>
      </c>
    </row>
    <row r="624" spans="1:5" x14ac:dyDescent="0.3">
      <c r="A624" s="18" t="s">
        <v>1</v>
      </c>
      <c r="B624" s="18" t="s">
        <v>672</v>
      </c>
      <c r="C624" s="18">
        <v>2</v>
      </c>
      <c r="D624" s="18">
        <v>0</v>
      </c>
      <c r="E624" s="18">
        <v>3</v>
      </c>
    </row>
    <row r="625" spans="1:5" x14ac:dyDescent="0.3">
      <c r="A625" s="18" t="s">
        <v>1</v>
      </c>
      <c r="B625" s="18" t="s">
        <v>240</v>
      </c>
      <c r="C625" s="18">
        <v>4</v>
      </c>
      <c r="D625" s="18">
        <v>0</v>
      </c>
      <c r="E625" s="18">
        <v>4</v>
      </c>
    </row>
    <row r="626" spans="1:5" x14ac:dyDescent="0.3">
      <c r="A626" s="18" t="s">
        <v>1</v>
      </c>
      <c r="B626" s="18" t="s">
        <v>673</v>
      </c>
      <c r="C626" s="18">
        <v>4</v>
      </c>
      <c r="D626" s="18">
        <v>0</v>
      </c>
      <c r="E626" s="18">
        <v>6</v>
      </c>
    </row>
    <row r="627" spans="1:5" x14ac:dyDescent="0.3">
      <c r="A627" s="18" t="s">
        <v>1</v>
      </c>
      <c r="B627" s="18" t="s">
        <v>382</v>
      </c>
      <c r="C627" s="18">
        <v>5</v>
      </c>
      <c r="D627" s="18">
        <v>0</v>
      </c>
      <c r="E627" s="18">
        <v>5</v>
      </c>
    </row>
    <row r="628" spans="1:5" x14ac:dyDescent="0.3">
      <c r="A628" s="18" t="s">
        <v>1</v>
      </c>
      <c r="B628" s="18" t="s">
        <v>377</v>
      </c>
      <c r="C628" s="18">
        <v>1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477</v>
      </c>
      <c r="C629" s="18">
        <v>4</v>
      </c>
      <c r="D629" s="18">
        <v>0</v>
      </c>
      <c r="E629" s="18">
        <v>5</v>
      </c>
    </row>
    <row r="630" spans="1:5" x14ac:dyDescent="0.3">
      <c r="A630" s="18" t="s">
        <v>1</v>
      </c>
      <c r="B630" s="18" t="s">
        <v>1156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1125</v>
      </c>
      <c r="C631" s="18">
        <v>1</v>
      </c>
      <c r="D631" s="18">
        <v>0</v>
      </c>
      <c r="E631" s="18">
        <v>0</v>
      </c>
    </row>
    <row r="632" spans="1:5" x14ac:dyDescent="0.3">
      <c r="A632" s="18" t="s">
        <v>1</v>
      </c>
      <c r="B632" s="18" t="s">
        <v>1126</v>
      </c>
      <c r="C632" s="18">
        <v>1</v>
      </c>
      <c r="D632" s="18">
        <v>0</v>
      </c>
      <c r="E632" s="18">
        <v>3</v>
      </c>
    </row>
    <row r="633" spans="1:5" x14ac:dyDescent="0.3">
      <c r="A633" s="18" t="s">
        <v>1</v>
      </c>
      <c r="B633" s="18" t="s">
        <v>1384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1840</v>
      </c>
      <c r="C634" s="18">
        <v>0</v>
      </c>
      <c r="D634" s="18">
        <v>1</v>
      </c>
    </row>
    <row r="635" spans="1:5" x14ac:dyDescent="0.3">
      <c r="A635" s="18" t="s">
        <v>1</v>
      </c>
      <c r="B635" s="18" t="s">
        <v>1804</v>
      </c>
      <c r="C635" s="18">
        <v>2</v>
      </c>
      <c r="D635" s="18">
        <v>0</v>
      </c>
      <c r="E635" s="18">
        <v>2</v>
      </c>
    </row>
    <row r="636" spans="1:5" x14ac:dyDescent="0.3">
      <c r="A636" s="18" t="s">
        <v>1</v>
      </c>
      <c r="B636" s="18" t="s">
        <v>1097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266</v>
      </c>
      <c r="C637" s="18">
        <v>2</v>
      </c>
      <c r="D637" s="18">
        <v>0</v>
      </c>
      <c r="E637" s="18">
        <v>4</v>
      </c>
    </row>
    <row r="638" spans="1:5" x14ac:dyDescent="0.3">
      <c r="A638" s="18" t="s">
        <v>1</v>
      </c>
      <c r="B638" s="18" t="s">
        <v>2458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2485</v>
      </c>
      <c r="C639" s="18">
        <v>1</v>
      </c>
      <c r="D639" s="18">
        <v>0</v>
      </c>
      <c r="E639" s="18">
        <v>0</v>
      </c>
    </row>
    <row r="640" spans="1:5" x14ac:dyDescent="0.3">
      <c r="A640" s="18" t="s">
        <v>1</v>
      </c>
      <c r="B640" s="18" t="s">
        <v>1499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2565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1739</v>
      </c>
      <c r="C642" s="18">
        <v>0</v>
      </c>
      <c r="D642" s="18">
        <v>1</v>
      </c>
    </row>
    <row r="643" spans="1:5" x14ac:dyDescent="0.3">
      <c r="A643" s="18" t="s">
        <v>1</v>
      </c>
      <c r="B643" s="18" t="s">
        <v>2151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2566</v>
      </c>
      <c r="C644" s="18">
        <v>1</v>
      </c>
      <c r="D644" s="18">
        <v>0</v>
      </c>
      <c r="E644" s="18">
        <v>4</v>
      </c>
    </row>
    <row r="645" spans="1:5" x14ac:dyDescent="0.3">
      <c r="A645" s="18" t="s">
        <v>1</v>
      </c>
      <c r="B645" s="18" t="s">
        <v>758</v>
      </c>
      <c r="C645" s="18">
        <v>0</v>
      </c>
      <c r="D645" s="18">
        <v>2</v>
      </c>
    </row>
    <row r="646" spans="1:5" x14ac:dyDescent="0.3">
      <c r="A646" s="18" t="s">
        <v>1</v>
      </c>
      <c r="B646" s="18" t="s">
        <v>1888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378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1503</v>
      </c>
      <c r="C648" s="18">
        <v>1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969</v>
      </c>
      <c r="C649" s="18">
        <v>0</v>
      </c>
      <c r="D649" s="18">
        <v>1</v>
      </c>
    </row>
    <row r="650" spans="1:5" x14ac:dyDescent="0.3">
      <c r="A650" s="18" t="s">
        <v>1</v>
      </c>
      <c r="B650" s="18" t="s">
        <v>1241</v>
      </c>
      <c r="C650" s="18">
        <v>0</v>
      </c>
      <c r="D650" s="18">
        <v>0</v>
      </c>
    </row>
    <row r="651" spans="1:5" x14ac:dyDescent="0.3">
      <c r="A651" s="18" t="s">
        <v>1</v>
      </c>
      <c r="B651" s="18" t="s">
        <v>1441</v>
      </c>
      <c r="C651" s="18">
        <v>1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927</v>
      </c>
      <c r="C652" s="18">
        <v>0</v>
      </c>
      <c r="D652" s="18">
        <v>1</v>
      </c>
    </row>
    <row r="653" spans="1:5" x14ac:dyDescent="0.3">
      <c r="A653" s="18" t="s">
        <v>1</v>
      </c>
      <c r="B653" s="18" t="s">
        <v>2082</v>
      </c>
      <c r="C653" s="18">
        <v>1</v>
      </c>
      <c r="D653" s="18">
        <v>0</v>
      </c>
      <c r="E653" s="18">
        <v>2</v>
      </c>
    </row>
    <row r="654" spans="1:5" x14ac:dyDescent="0.3">
      <c r="A654" s="18" t="s">
        <v>1</v>
      </c>
      <c r="B654" s="18" t="s">
        <v>69</v>
      </c>
      <c r="C654" s="18">
        <v>1</v>
      </c>
      <c r="D654" s="18">
        <v>0</v>
      </c>
      <c r="E654" s="18">
        <v>2</v>
      </c>
    </row>
    <row r="655" spans="1:5" x14ac:dyDescent="0.3">
      <c r="A655" s="18" t="s">
        <v>1</v>
      </c>
      <c r="B655" s="18" t="s">
        <v>677</v>
      </c>
      <c r="C655" s="18">
        <v>2</v>
      </c>
      <c r="D655" s="18">
        <v>0</v>
      </c>
      <c r="E655" s="18">
        <v>2</v>
      </c>
    </row>
    <row r="656" spans="1:5" x14ac:dyDescent="0.3">
      <c r="A656" s="18" t="s">
        <v>0</v>
      </c>
      <c r="B656" s="18" t="s">
        <v>579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479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630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1057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1688</v>
      </c>
      <c r="C660" s="18">
        <v>2</v>
      </c>
      <c r="D660" s="18">
        <v>0</v>
      </c>
      <c r="E660" s="18">
        <v>2</v>
      </c>
    </row>
    <row r="661" spans="1:5" x14ac:dyDescent="0.3">
      <c r="A661" s="18" t="s">
        <v>0</v>
      </c>
      <c r="B661" s="18" t="s">
        <v>155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522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1646</v>
      </c>
      <c r="C663" s="18">
        <v>1</v>
      </c>
      <c r="D663" s="18">
        <v>0</v>
      </c>
      <c r="E663" s="18">
        <v>2</v>
      </c>
    </row>
    <row r="664" spans="1:5" x14ac:dyDescent="0.3">
      <c r="A664" s="18" t="s">
        <v>0</v>
      </c>
      <c r="B664" s="18" t="s">
        <v>1946</v>
      </c>
      <c r="C664" s="18">
        <v>1</v>
      </c>
      <c r="D664" s="18">
        <v>0</v>
      </c>
      <c r="E664" s="18">
        <v>0</v>
      </c>
    </row>
    <row r="665" spans="1:5" x14ac:dyDescent="0.3">
      <c r="A665" s="18" t="s">
        <v>0</v>
      </c>
      <c r="B665" s="18" t="s">
        <v>2468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2441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2398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492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1429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1036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0</v>
      </c>
      <c r="B671" s="18" t="s">
        <v>2567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353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1182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327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2568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0</v>
      </c>
      <c r="B676" s="18" t="s">
        <v>542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0</v>
      </c>
      <c r="B677" s="18" t="s">
        <v>295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303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187</v>
      </c>
      <c r="C679" s="18">
        <v>1</v>
      </c>
      <c r="D679" s="18">
        <v>0</v>
      </c>
      <c r="E679" s="18">
        <v>2</v>
      </c>
    </row>
    <row r="680" spans="1:5" x14ac:dyDescent="0.3">
      <c r="A680" s="18" t="s">
        <v>0</v>
      </c>
      <c r="B680" s="18" t="s">
        <v>128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0</v>
      </c>
      <c r="B681" s="18" t="s">
        <v>235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54</v>
      </c>
      <c r="C682" s="18">
        <v>3</v>
      </c>
      <c r="D682" s="18">
        <v>0</v>
      </c>
      <c r="E682" s="18">
        <v>3</v>
      </c>
    </row>
    <row r="683" spans="1:5" x14ac:dyDescent="0.3">
      <c r="A683" s="18" t="s">
        <v>0</v>
      </c>
      <c r="B683" s="18" t="s">
        <v>240</v>
      </c>
      <c r="C683" s="18">
        <v>1</v>
      </c>
      <c r="D683" s="18">
        <v>0</v>
      </c>
      <c r="E683" s="18">
        <v>2</v>
      </c>
    </row>
    <row r="684" spans="1:5" x14ac:dyDescent="0.3">
      <c r="A684" s="18" t="s">
        <v>0</v>
      </c>
      <c r="B684" s="18" t="s">
        <v>673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382</v>
      </c>
      <c r="C685" s="18">
        <v>3</v>
      </c>
      <c r="D685" s="18">
        <v>0</v>
      </c>
      <c r="E685" s="18">
        <v>3</v>
      </c>
    </row>
    <row r="686" spans="1:5" x14ac:dyDescent="0.3">
      <c r="A686" s="18" t="s">
        <v>0</v>
      </c>
      <c r="B686" s="18" t="s">
        <v>477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2569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1097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266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2299</v>
      </c>
      <c r="C690" s="18">
        <v>0</v>
      </c>
      <c r="D690" s="18">
        <v>1</v>
      </c>
    </row>
    <row r="691" spans="1:5" x14ac:dyDescent="0.3">
      <c r="A691" s="18" t="s">
        <v>0</v>
      </c>
      <c r="B691" s="18" t="s">
        <v>2570</v>
      </c>
      <c r="C691" s="18">
        <v>1</v>
      </c>
      <c r="D691" s="18">
        <v>0</v>
      </c>
      <c r="E691" s="18">
        <v>3</v>
      </c>
    </row>
    <row r="692" spans="1:5" x14ac:dyDescent="0.3">
      <c r="A692" s="18" t="s">
        <v>0</v>
      </c>
      <c r="B692" s="18" t="s">
        <v>2571</v>
      </c>
      <c r="C692" s="18">
        <v>0</v>
      </c>
      <c r="D692" s="18">
        <v>1</v>
      </c>
    </row>
    <row r="693" spans="1:5" x14ac:dyDescent="0.3">
      <c r="A693" s="18" t="s">
        <v>0</v>
      </c>
      <c r="B693" s="18" t="s">
        <v>32</v>
      </c>
      <c r="C693" s="18">
        <v>2</v>
      </c>
      <c r="D693" s="18">
        <v>0</v>
      </c>
      <c r="E693" s="18">
        <v>2</v>
      </c>
    </row>
    <row r="694" spans="1:5" x14ac:dyDescent="0.3">
      <c r="A694" s="18" t="s">
        <v>2</v>
      </c>
      <c r="B694" s="18" t="s">
        <v>1316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2</v>
      </c>
      <c r="B695" s="18" t="s">
        <v>638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2</v>
      </c>
      <c r="B696" s="18" t="s">
        <v>2395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2</v>
      </c>
      <c r="B697" s="18" t="s">
        <v>2502</v>
      </c>
      <c r="C697" s="18">
        <v>1</v>
      </c>
      <c r="D697" s="18">
        <v>0</v>
      </c>
      <c r="E697" s="18">
        <v>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942DA-B651-486F-A1FB-F6A38399D20A}">
  <sheetPr codeName="Sheet35"/>
  <dimension ref="A1:M706"/>
  <sheetViews>
    <sheetView workbookViewId="0">
      <selection activeCell="A2" sqref="A2:E70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2572</v>
      </c>
      <c r="C2" s="17">
        <v>139</v>
      </c>
      <c r="D2" s="17">
        <v>117</v>
      </c>
      <c r="E2" s="17">
        <v>149</v>
      </c>
    </row>
    <row r="3" spans="1:13" customFormat="1" x14ac:dyDescent="0.3">
      <c r="A3" s="17" t="s">
        <v>1</v>
      </c>
      <c r="B3" s="17" t="s">
        <v>138</v>
      </c>
      <c r="C3" s="17">
        <v>59</v>
      </c>
      <c r="D3" s="17">
        <v>47</v>
      </c>
      <c r="E3" s="17">
        <v>63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95</v>
      </c>
      <c r="D4" s="17">
        <v>34</v>
      </c>
      <c r="E4" s="17">
        <v>180</v>
      </c>
      <c r="G4" s="23" t="s">
        <v>8</v>
      </c>
      <c r="H4" s="19">
        <f>H13+H14</f>
        <v>1092</v>
      </c>
      <c r="I4" s="20">
        <f>H4/H$6</f>
        <v>0.69113924050632913</v>
      </c>
      <c r="J4" s="19">
        <f>I13+I14</f>
        <v>617</v>
      </c>
      <c r="K4" s="20">
        <f>J4/J$6</f>
        <v>0.59844810863239573</v>
      </c>
      <c r="L4" s="19">
        <f>J13+J14</f>
        <v>1310</v>
      </c>
      <c r="M4" s="29">
        <f>L4/L$6</f>
        <v>0.70696168375607127</v>
      </c>
    </row>
    <row r="5" spans="1:13" customFormat="1" x14ac:dyDescent="0.3">
      <c r="A5" s="17" t="s">
        <v>1</v>
      </c>
      <c r="B5" s="17" t="s">
        <v>2572</v>
      </c>
      <c r="C5" s="17">
        <v>41</v>
      </c>
      <c r="D5" s="17">
        <v>30</v>
      </c>
      <c r="E5" s="17">
        <v>67</v>
      </c>
      <c r="G5" s="23" t="s">
        <v>10</v>
      </c>
      <c r="H5" s="19">
        <f>H15+H16</f>
        <v>488</v>
      </c>
      <c r="I5" s="20">
        <f>H5/H$6</f>
        <v>0.30886075949367087</v>
      </c>
      <c r="J5" s="19">
        <f>I15+I16</f>
        <v>414</v>
      </c>
      <c r="K5" s="20">
        <f>J5/J$6</f>
        <v>0.40155189136760427</v>
      </c>
      <c r="L5" s="19">
        <f>J15+J16</f>
        <v>543</v>
      </c>
      <c r="M5" s="29">
        <f>L5/L$6</f>
        <v>0.29303831624392879</v>
      </c>
    </row>
    <row r="6" spans="1:13" customFormat="1" ht="17.25" thickBot="1" x14ac:dyDescent="0.35">
      <c r="A6" s="17" t="s">
        <v>1</v>
      </c>
      <c r="B6" s="17" t="s">
        <v>365</v>
      </c>
      <c r="C6" s="17">
        <v>27</v>
      </c>
      <c r="D6" s="17">
        <v>20</v>
      </c>
      <c r="E6" s="17">
        <v>31</v>
      </c>
      <c r="G6" s="26"/>
      <c r="H6" s="30">
        <f>SUM(H4:H5)</f>
        <v>1580</v>
      </c>
      <c r="I6" s="31">
        <f>I4+I5</f>
        <v>1</v>
      </c>
      <c r="J6" s="30">
        <f>SUM(J4:J5)</f>
        <v>1031</v>
      </c>
      <c r="K6" s="31">
        <f>K4+K5</f>
        <v>1</v>
      </c>
      <c r="L6" s="30">
        <f>SUM(L4:L5)</f>
        <v>1853</v>
      </c>
      <c r="M6" s="32">
        <f>M4+M5</f>
        <v>1</v>
      </c>
    </row>
    <row r="7" spans="1:13" customFormat="1" x14ac:dyDescent="0.3">
      <c r="A7" s="17" t="s">
        <v>0</v>
      </c>
      <c r="B7" s="17" t="s">
        <v>29</v>
      </c>
      <c r="C7" s="17">
        <v>16</v>
      </c>
      <c r="D7" s="17">
        <v>15</v>
      </c>
      <c r="E7" s="17">
        <v>18</v>
      </c>
    </row>
    <row r="8" spans="1:13" customFormat="1" x14ac:dyDescent="0.3">
      <c r="A8" s="17" t="s">
        <v>1</v>
      </c>
      <c r="B8" s="17" t="s">
        <v>37</v>
      </c>
      <c r="C8" s="17">
        <v>17</v>
      </c>
      <c r="D8" s="17">
        <v>14</v>
      </c>
      <c r="E8" s="17">
        <v>19</v>
      </c>
    </row>
    <row r="9" spans="1:13" customFormat="1" x14ac:dyDescent="0.3">
      <c r="A9" s="17" t="s">
        <v>0</v>
      </c>
      <c r="B9" s="17" t="s">
        <v>144</v>
      </c>
      <c r="C9" s="17">
        <v>12</v>
      </c>
      <c r="D9" s="17">
        <v>12</v>
      </c>
      <c r="E9" s="17">
        <v>13</v>
      </c>
    </row>
    <row r="10" spans="1:13" customFormat="1" ht="17.25" thickBot="1" x14ac:dyDescent="0.35">
      <c r="A10" s="17" t="s">
        <v>0</v>
      </c>
      <c r="B10" s="17" t="s">
        <v>39</v>
      </c>
      <c r="C10" s="17">
        <v>11</v>
      </c>
      <c r="D10" s="17">
        <v>10</v>
      </c>
      <c r="E10" s="17">
        <v>14</v>
      </c>
    </row>
    <row r="11" spans="1:13" x14ac:dyDescent="0.3">
      <c r="A11" s="17" t="s">
        <v>1</v>
      </c>
      <c r="B11" s="17" t="s">
        <v>48</v>
      </c>
      <c r="C11" s="17">
        <v>12</v>
      </c>
      <c r="D11" s="17">
        <v>9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31</v>
      </c>
      <c r="C12" s="17">
        <v>9</v>
      </c>
      <c r="D12" s="17">
        <v>9</v>
      </c>
      <c r="E12" s="17">
        <v>10</v>
      </c>
      <c r="G12" s="23"/>
      <c r="H12" s="21">
        <f t="shared" ref="H12:J12" si="0">SUM(H13:H16)</f>
        <v>1580</v>
      </c>
      <c r="I12" s="21">
        <f t="shared" si="0"/>
        <v>1031</v>
      </c>
      <c r="J12" s="24">
        <f t="shared" si="0"/>
        <v>1853</v>
      </c>
    </row>
    <row r="13" spans="1:13" x14ac:dyDescent="0.3">
      <c r="A13" s="17" t="s">
        <v>0</v>
      </c>
      <c r="B13" s="17" t="s">
        <v>2075</v>
      </c>
      <c r="C13" s="17">
        <v>8</v>
      </c>
      <c r="D13" s="17">
        <v>8</v>
      </c>
      <c r="E13" s="17">
        <v>8</v>
      </c>
      <c r="G13" s="23" t="s">
        <v>7</v>
      </c>
      <c r="H13" s="22">
        <f t="shared" ref="H13:J16" si="1">SUMIF($A$2:$A$9999,$G13,C$2:C$9999)</f>
        <v>1092</v>
      </c>
      <c r="I13" s="22">
        <f t="shared" si="1"/>
        <v>617</v>
      </c>
      <c r="J13" s="25">
        <f t="shared" si="1"/>
        <v>1310</v>
      </c>
    </row>
    <row r="14" spans="1:13" x14ac:dyDescent="0.3">
      <c r="A14" s="17" t="s">
        <v>1</v>
      </c>
      <c r="B14" s="17" t="s">
        <v>2396</v>
      </c>
      <c r="C14" s="17">
        <v>16</v>
      </c>
      <c r="D14" s="17">
        <v>7</v>
      </c>
      <c r="E14" s="17">
        <v>16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113</v>
      </c>
      <c r="C15" s="17">
        <v>10</v>
      </c>
      <c r="D15" s="17">
        <v>7</v>
      </c>
      <c r="E15" s="17">
        <v>12</v>
      </c>
      <c r="G15" s="23" t="s">
        <v>11</v>
      </c>
      <c r="H15" s="22">
        <f t="shared" si="1"/>
        <v>454</v>
      </c>
      <c r="I15" s="22">
        <f t="shared" si="1"/>
        <v>382</v>
      </c>
      <c r="J15" s="25">
        <f t="shared" si="1"/>
        <v>503</v>
      </c>
    </row>
    <row r="16" spans="1:13" ht="17.25" thickBot="1" x14ac:dyDescent="0.35">
      <c r="A16" s="17" t="s">
        <v>1</v>
      </c>
      <c r="B16" s="17" t="s">
        <v>36</v>
      </c>
      <c r="C16" s="17">
        <v>8</v>
      </c>
      <c r="D16" s="17">
        <v>6</v>
      </c>
      <c r="E16" s="17">
        <v>9</v>
      </c>
      <c r="G16" s="26" t="s">
        <v>12</v>
      </c>
      <c r="H16" s="27">
        <f t="shared" si="1"/>
        <v>34</v>
      </c>
      <c r="I16" s="27">
        <f t="shared" si="1"/>
        <v>32</v>
      </c>
      <c r="J16" s="28">
        <f t="shared" si="1"/>
        <v>40</v>
      </c>
    </row>
    <row r="17" spans="1:5" x14ac:dyDescent="0.3">
      <c r="A17" s="17" t="s">
        <v>1</v>
      </c>
      <c r="B17" s="17" t="s">
        <v>149</v>
      </c>
      <c r="C17" s="17">
        <v>7</v>
      </c>
      <c r="D17" s="17">
        <v>6</v>
      </c>
      <c r="E17" s="17">
        <v>7</v>
      </c>
    </row>
    <row r="18" spans="1:5" x14ac:dyDescent="0.3">
      <c r="A18" s="17" t="s">
        <v>1</v>
      </c>
      <c r="B18" s="17" t="s">
        <v>96</v>
      </c>
      <c r="C18" s="17">
        <v>11</v>
      </c>
      <c r="D18" s="17">
        <v>6</v>
      </c>
      <c r="E18" s="17">
        <v>14</v>
      </c>
    </row>
    <row r="19" spans="1:5" x14ac:dyDescent="0.3">
      <c r="A19" s="17" t="s">
        <v>1</v>
      </c>
      <c r="B19" s="17" t="s">
        <v>2075</v>
      </c>
      <c r="C19" s="17">
        <v>9</v>
      </c>
      <c r="D19" s="17">
        <v>6</v>
      </c>
      <c r="E19" s="17">
        <v>9</v>
      </c>
    </row>
    <row r="20" spans="1:5" x14ac:dyDescent="0.3">
      <c r="A20" s="17" t="s">
        <v>1</v>
      </c>
      <c r="B20" s="17" t="s">
        <v>122</v>
      </c>
      <c r="C20" s="17">
        <v>7</v>
      </c>
      <c r="D20" s="17">
        <v>6</v>
      </c>
      <c r="E20" s="17">
        <v>9</v>
      </c>
    </row>
    <row r="21" spans="1:5" x14ac:dyDescent="0.3">
      <c r="A21" s="17" t="s">
        <v>0</v>
      </c>
      <c r="B21" s="17" t="s">
        <v>2395</v>
      </c>
      <c r="C21" s="17">
        <v>8</v>
      </c>
      <c r="D21" s="17">
        <v>6</v>
      </c>
      <c r="E21" s="17">
        <v>9</v>
      </c>
    </row>
    <row r="22" spans="1:5" x14ac:dyDescent="0.3">
      <c r="A22" s="17" t="s">
        <v>1</v>
      </c>
      <c r="B22" s="17" t="s">
        <v>281</v>
      </c>
      <c r="C22" s="17">
        <v>6</v>
      </c>
      <c r="D22" s="17">
        <v>5</v>
      </c>
      <c r="E22" s="17">
        <v>5</v>
      </c>
    </row>
    <row r="23" spans="1:5" x14ac:dyDescent="0.3">
      <c r="A23" s="17" t="s">
        <v>1</v>
      </c>
      <c r="B23" s="17" t="s">
        <v>1927</v>
      </c>
      <c r="C23" s="17">
        <v>7</v>
      </c>
      <c r="D23" s="17">
        <v>5</v>
      </c>
      <c r="E23" s="17">
        <v>6</v>
      </c>
    </row>
    <row r="24" spans="1:5" x14ac:dyDescent="0.3">
      <c r="A24" s="17" t="s">
        <v>1</v>
      </c>
      <c r="B24" s="17" t="s">
        <v>39</v>
      </c>
      <c r="C24" s="17">
        <v>13</v>
      </c>
      <c r="D24" s="17">
        <v>5</v>
      </c>
      <c r="E24" s="17">
        <v>25</v>
      </c>
    </row>
    <row r="25" spans="1:5" x14ac:dyDescent="0.3">
      <c r="A25" s="17" t="s">
        <v>0</v>
      </c>
      <c r="B25" s="17" t="s">
        <v>163</v>
      </c>
      <c r="C25" s="17">
        <v>5</v>
      </c>
      <c r="D25" s="17">
        <v>5</v>
      </c>
      <c r="E25" s="17">
        <v>5</v>
      </c>
    </row>
    <row r="26" spans="1:5" x14ac:dyDescent="0.3">
      <c r="A26" s="17" t="s">
        <v>2</v>
      </c>
      <c r="B26" s="17" t="s">
        <v>2075</v>
      </c>
      <c r="C26" s="17">
        <v>5</v>
      </c>
      <c r="D26" s="17">
        <v>5</v>
      </c>
      <c r="E26" s="17">
        <v>8</v>
      </c>
    </row>
    <row r="27" spans="1:5" x14ac:dyDescent="0.3">
      <c r="A27" s="17" t="s">
        <v>1</v>
      </c>
      <c r="B27" s="17" t="s">
        <v>79</v>
      </c>
      <c r="C27" s="17">
        <v>6</v>
      </c>
      <c r="D27" s="17">
        <v>4</v>
      </c>
      <c r="E27" s="17">
        <v>6</v>
      </c>
    </row>
    <row r="28" spans="1:5" x14ac:dyDescent="0.3">
      <c r="A28" s="17" t="s">
        <v>1</v>
      </c>
      <c r="B28" s="17" t="s">
        <v>34</v>
      </c>
      <c r="C28" s="17">
        <v>4</v>
      </c>
      <c r="D28" s="17">
        <v>4</v>
      </c>
      <c r="E28" s="17">
        <v>4</v>
      </c>
    </row>
    <row r="29" spans="1:5" x14ac:dyDescent="0.3">
      <c r="A29" s="17" t="s">
        <v>1</v>
      </c>
      <c r="B29" s="17" t="s">
        <v>152</v>
      </c>
      <c r="C29" s="17">
        <v>6</v>
      </c>
      <c r="D29" s="17">
        <v>4</v>
      </c>
      <c r="E29" s="17">
        <v>10</v>
      </c>
    </row>
    <row r="30" spans="1:5" x14ac:dyDescent="0.3">
      <c r="A30" s="17" t="s">
        <v>1</v>
      </c>
      <c r="B30" s="17" t="s">
        <v>155</v>
      </c>
      <c r="C30" s="17">
        <v>5</v>
      </c>
      <c r="D30" s="17">
        <v>4</v>
      </c>
      <c r="E30" s="17">
        <v>5</v>
      </c>
    </row>
    <row r="31" spans="1:5" x14ac:dyDescent="0.3">
      <c r="A31" s="17" t="s">
        <v>1</v>
      </c>
      <c r="B31" s="17" t="s">
        <v>2395</v>
      </c>
      <c r="C31" s="17">
        <v>7</v>
      </c>
      <c r="D31" s="17">
        <v>4</v>
      </c>
      <c r="E31" s="17">
        <v>7</v>
      </c>
    </row>
    <row r="32" spans="1:5" x14ac:dyDescent="0.3">
      <c r="A32" s="17" t="s">
        <v>1</v>
      </c>
      <c r="B32" s="17" t="s">
        <v>135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500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56</v>
      </c>
      <c r="C34" s="17">
        <v>5</v>
      </c>
      <c r="D34" s="17">
        <v>4</v>
      </c>
      <c r="E34" s="17">
        <v>4</v>
      </c>
    </row>
    <row r="35" spans="1:5" x14ac:dyDescent="0.3">
      <c r="A35" s="17" t="s">
        <v>0</v>
      </c>
      <c r="B35" s="17" t="s">
        <v>61</v>
      </c>
      <c r="C35" s="17">
        <v>4</v>
      </c>
      <c r="D35" s="17">
        <v>4</v>
      </c>
      <c r="E35" s="17">
        <v>5</v>
      </c>
    </row>
    <row r="36" spans="1:5" x14ac:dyDescent="0.3">
      <c r="A36" s="17" t="s">
        <v>0</v>
      </c>
      <c r="B36" s="17" t="s">
        <v>2396</v>
      </c>
      <c r="C36" s="17">
        <v>9</v>
      </c>
      <c r="D36" s="17">
        <v>4</v>
      </c>
      <c r="E36" s="17">
        <v>9</v>
      </c>
    </row>
    <row r="37" spans="1:5" x14ac:dyDescent="0.3">
      <c r="A37" s="17" t="s">
        <v>1</v>
      </c>
      <c r="B37" s="17" t="s">
        <v>507</v>
      </c>
      <c r="C37" s="17">
        <v>3</v>
      </c>
      <c r="D37" s="17">
        <v>3</v>
      </c>
      <c r="E37" s="17">
        <v>3</v>
      </c>
    </row>
    <row r="38" spans="1:5" x14ac:dyDescent="0.3">
      <c r="A38" s="17" t="s">
        <v>1</v>
      </c>
      <c r="B38" s="17" t="s">
        <v>33</v>
      </c>
      <c r="C38" s="17">
        <v>6</v>
      </c>
      <c r="D38" s="17">
        <v>3</v>
      </c>
      <c r="E38" s="17">
        <v>7</v>
      </c>
    </row>
    <row r="39" spans="1:5" x14ac:dyDescent="0.3">
      <c r="A39" s="17" t="s">
        <v>1</v>
      </c>
      <c r="B39" s="17" t="s">
        <v>61</v>
      </c>
      <c r="C39" s="17">
        <v>3</v>
      </c>
      <c r="D39" s="17">
        <v>3</v>
      </c>
      <c r="E39" s="17">
        <v>4</v>
      </c>
    </row>
    <row r="40" spans="1:5" x14ac:dyDescent="0.3">
      <c r="A40" s="17" t="s">
        <v>1</v>
      </c>
      <c r="B40" s="17" t="s">
        <v>158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168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29</v>
      </c>
      <c r="C42" s="17">
        <v>3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199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289</v>
      </c>
      <c r="C44" s="17">
        <v>3</v>
      </c>
      <c r="D44" s="17">
        <v>3</v>
      </c>
      <c r="E44" s="17">
        <v>5</v>
      </c>
    </row>
    <row r="45" spans="1:5" x14ac:dyDescent="0.3">
      <c r="A45" s="17" t="s">
        <v>1</v>
      </c>
      <c r="B45" s="17" t="s">
        <v>51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345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200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418</v>
      </c>
      <c r="C48" s="17">
        <v>4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746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822</v>
      </c>
      <c r="C50" s="17">
        <v>3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920</v>
      </c>
      <c r="C51" s="17">
        <v>5</v>
      </c>
      <c r="D51" s="17">
        <v>3</v>
      </c>
      <c r="E51" s="17">
        <v>6</v>
      </c>
    </row>
    <row r="52" spans="1:5" x14ac:dyDescent="0.3">
      <c r="A52" s="17" t="s">
        <v>1</v>
      </c>
      <c r="B52" s="17" t="s">
        <v>31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195</v>
      </c>
      <c r="C53" s="17">
        <v>6</v>
      </c>
      <c r="D53" s="17">
        <v>3</v>
      </c>
      <c r="E53" s="17">
        <v>9</v>
      </c>
    </row>
    <row r="54" spans="1:5" x14ac:dyDescent="0.3">
      <c r="A54" s="17" t="s">
        <v>1</v>
      </c>
      <c r="B54" s="17" t="s">
        <v>68</v>
      </c>
      <c r="C54" s="17">
        <v>4</v>
      </c>
      <c r="D54" s="17">
        <v>3</v>
      </c>
      <c r="E54" s="17">
        <v>6</v>
      </c>
    </row>
    <row r="55" spans="1:5" x14ac:dyDescent="0.3">
      <c r="A55" s="17" t="s">
        <v>1</v>
      </c>
      <c r="B55" s="17" t="s">
        <v>1519</v>
      </c>
      <c r="C55" s="17">
        <v>3</v>
      </c>
      <c r="D55" s="17">
        <v>5</v>
      </c>
      <c r="E55" s="17"/>
    </row>
    <row r="56" spans="1:5" x14ac:dyDescent="0.3">
      <c r="A56" s="17" t="s">
        <v>1</v>
      </c>
      <c r="B56" s="17" t="s">
        <v>850</v>
      </c>
      <c r="C56" s="17">
        <v>3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32</v>
      </c>
      <c r="C57" s="17">
        <v>10</v>
      </c>
      <c r="D57" s="17">
        <v>3</v>
      </c>
      <c r="E57" s="17">
        <v>14</v>
      </c>
    </row>
    <row r="58" spans="1:5" x14ac:dyDescent="0.3">
      <c r="A58" s="17" t="s">
        <v>0</v>
      </c>
      <c r="B58" s="17" t="s">
        <v>30</v>
      </c>
      <c r="C58" s="17">
        <v>7</v>
      </c>
      <c r="D58" s="17">
        <v>3</v>
      </c>
      <c r="E58" s="17">
        <v>13</v>
      </c>
    </row>
    <row r="59" spans="1:5" x14ac:dyDescent="0.3">
      <c r="A59" s="17" t="s">
        <v>0</v>
      </c>
      <c r="B59" s="17" t="s">
        <v>34</v>
      </c>
      <c r="C59" s="17">
        <v>4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2439</v>
      </c>
      <c r="C60" s="17">
        <v>3</v>
      </c>
      <c r="D60" s="17">
        <v>3</v>
      </c>
      <c r="E60" s="17">
        <v>4</v>
      </c>
    </row>
    <row r="61" spans="1:5" x14ac:dyDescent="0.3">
      <c r="A61" s="17" t="s">
        <v>0</v>
      </c>
      <c r="B61" s="17" t="s">
        <v>97</v>
      </c>
      <c r="C61" s="17">
        <v>3</v>
      </c>
      <c r="D61" s="17">
        <v>3</v>
      </c>
      <c r="E61" s="17">
        <v>4</v>
      </c>
    </row>
    <row r="62" spans="1:5" x14ac:dyDescent="0.3">
      <c r="A62" s="17" t="s">
        <v>0</v>
      </c>
      <c r="B62" s="17" t="s">
        <v>168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51</v>
      </c>
      <c r="C63" s="17">
        <v>3</v>
      </c>
      <c r="D63" s="17">
        <v>3</v>
      </c>
      <c r="E63" s="17">
        <v>3</v>
      </c>
    </row>
    <row r="64" spans="1:5" x14ac:dyDescent="0.3">
      <c r="A64" s="17" t="s">
        <v>0</v>
      </c>
      <c r="B64" s="17" t="s">
        <v>37</v>
      </c>
      <c r="C64" s="17">
        <v>3</v>
      </c>
      <c r="D64" s="17">
        <v>3</v>
      </c>
      <c r="E64" s="17">
        <v>4</v>
      </c>
    </row>
    <row r="65" spans="1:5" x14ac:dyDescent="0.3">
      <c r="A65" s="17" t="s">
        <v>2</v>
      </c>
      <c r="B65" s="17" t="s">
        <v>163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242</v>
      </c>
      <c r="C66" s="17">
        <v>3</v>
      </c>
      <c r="D66" s="17">
        <v>2</v>
      </c>
      <c r="E66" s="17">
        <v>4</v>
      </c>
    </row>
    <row r="67" spans="1:5" x14ac:dyDescent="0.3">
      <c r="A67" s="17" t="s">
        <v>1</v>
      </c>
      <c r="B67" s="17" t="s">
        <v>75</v>
      </c>
      <c r="C67" s="17">
        <v>4</v>
      </c>
      <c r="D67" s="17">
        <v>2</v>
      </c>
      <c r="E67" s="17">
        <v>4</v>
      </c>
    </row>
    <row r="68" spans="1:5" x14ac:dyDescent="0.3">
      <c r="A68" s="17" t="s">
        <v>1</v>
      </c>
      <c r="B68" s="17" t="s">
        <v>273</v>
      </c>
      <c r="C68" s="17">
        <v>2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59</v>
      </c>
      <c r="C69" s="17">
        <v>3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40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708</v>
      </c>
      <c r="C71" s="17">
        <v>3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315</v>
      </c>
      <c r="C72" s="17">
        <v>4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362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92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2325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95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487</v>
      </c>
      <c r="C77" s="17">
        <v>10</v>
      </c>
      <c r="D77" s="17">
        <v>2</v>
      </c>
      <c r="E77" s="17">
        <v>10</v>
      </c>
    </row>
    <row r="78" spans="1:5" x14ac:dyDescent="0.3">
      <c r="A78" s="17" t="s">
        <v>1</v>
      </c>
      <c r="B78" s="17" t="s">
        <v>2329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2363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49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492</v>
      </c>
      <c r="C81" s="17">
        <v>2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163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103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165</v>
      </c>
      <c r="C84" s="17">
        <v>4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106</v>
      </c>
      <c r="C85" s="17">
        <v>2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107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442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172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650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1409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115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548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887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121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62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123</v>
      </c>
      <c r="C96" s="17">
        <v>2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555</v>
      </c>
      <c r="C97" s="17">
        <v>2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63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897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428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52</v>
      </c>
      <c r="C101" s="17">
        <v>3</v>
      </c>
      <c r="D101" s="17">
        <v>2</v>
      </c>
      <c r="E101" s="17">
        <v>3</v>
      </c>
    </row>
    <row r="102" spans="1:5" x14ac:dyDescent="0.3">
      <c r="A102" s="17" t="s">
        <v>1</v>
      </c>
      <c r="B102" s="17" t="s">
        <v>236</v>
      </c>
      <c r="C102" s="17">
        <v>5</v>
      </c>
      <c r="D102" s="17">
        <v>2</v>
      </c>
      <c r="E102" s="17">
        <v>11</v>
      </c>
    </row>
    <row r="103" spans="1:5" x14ac:dyDescent="0.3">
      <c r="A103" s="17" t="s">
        <v>1</v>
      </c>
      <c r="B103" s="17" t="s">
        <v>456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1047</v>
      </c>
      <c r="C104" s="17">
        <v>3</v>
      </c>
      <c r="D104" s="17">
        <v>2</v>
      </c>
      <c r="E104" s="17">
        <v>4</v>
      </c>
    </row>
    <row r="105" spans="1:5" x14ac:dyDescent="0.3">
      <c r="A105" s="17" t="s">
        <v>0</v>
      </c>
      <c r="B105" s="17" t="s">
        <v>1336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40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214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0</v>
      </c>
      <c r="B108" s="17" t="s">
        <v>1708</v>
      </c>
      <c r="C108" s="17">
        <v>4</v>
      </c>
      <c r="D108" s="17">
        <v>2</v>
      </c>
      <c r="E108" s="17">
        <v>4</v>
      </c>
    </row>
    <row r="109" spans="1:5" x14ac:dyDescent="0.3">
      <c r="A109" s="17" t="s">
        <v>0</v>
      </c>
      <c r="B109" s="17" t="s">
        <v>2397</v>
      </c>
      <c r="C109" s="17">
        <v>5</v>
      </c>
      <c r="D109" s="17">
        <v>2</v>
      </c>
      <c r="E109" s="17">
        <v>7</v>
      </c>
    </row>
    <row r="110" spans="1:5" x14ac:dyDescent="0.3">
      <c r="A110" s="17" t="s">
        <v>0</v>
      </c>
      <c r="B110" s="17" t="s">
        <v>35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160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534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0</v>
      </c>
      <c r="B113" s="17" t="s">
        <v>291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44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117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416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200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182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305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1669</v>
      </c>
      <c r="C120" s="17">
        <v>2</v>
      </c>
      <c r="D120" s="17">
        <v>2</v>
      </c>
      <c r="E120" s="17">
        <v>4</v>
      </c>
    </row>
    <row r="121" spans="1:5" x14ac:dyDescent="0.3">
      <c r="A121" s="17" t="s">
        <v>0</v>
      </c>
      <c r="B121" s="17" t="s">
        <v>68</v>
      </c>
      <c r="C121" s="17">
        <v>3</v>
      </c>
      <c r="D121" s="17">
        <v>2</v>
      </c>
      <c r="E121" s="17">
        <v>4</v>
      </c>
    </row>
    <row r="122" spans="1:5" x14ac:dyDescent="0.3">
      <c r="A122" s="17" t="s">
        <v>0</v>
      </c>
      <c r="B122" s="17" t="s">
        <v>2573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2</v>
      </c>
      <c r="B123" s="17" t="s">
        <v>1897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2</v>
      </c>
      <c r="B124" s="17" t="s">
        <v>2572</v>
      </c>
      <c r="C124" s="17">
        <v>4</v>
      </c>
      <c r="D124" s="17">
        <v>2</v>
      </c>
      <c r="E124" s="17">
        <v>4</v>
      </c>
    </row>
    <row r="125" spans="1:5" x14ac:dyDescent="0.3">
      <c r="A125" s="17" t="s">
        <v>2</v>
      </c>
      <c r="B125" s="17" t="s">
        <v>594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1</v>
      </c>
      <c r="B126" s="17" t="s">
        <v>853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140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503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379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311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355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269</v>
      </c>
      <c r="C132" s="17">
        <v>3</v>
      </c>
      <c r="D132" s="17">
        <v>1</v>
      </c>
      <c r="E132" s="17">
        <v>3</v>
      </c>
    </row>
    <row r="133" spans="1:5" x14ac:dyDescent="0.3">
      <c r="A133" s="17" t="s">
        <v>1</v>
      </c>
      <c r="B133" s="17" t="s">
        <v>478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206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1915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793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855</v>
      </c>
      <c r="C137" s="17">
        <v>2</v>
      </c>
      <c r="D137" s="17">
        <v>1</v>
      </c>
      <c r="E137" s="17">
        <v>2</v>
      </c>
    </row>
    <row r="138" spans="1:5" x14ac:dyDescent="0.3">
      <c r="A138" s="17" t="s">
        <v>1</v>
      </c>
      <c r="B138" s="17" t="s">
        <v>705</v>
      </c>
      <c r="C138" s="17">
        <v>1</v>
      </c>
      <c r="D138" s="17">
        <v>1</v>
      </c>
      <c r="E138" s="17">
        <v>2</v>
      </c>
    </row>
    <row r="139" spans="1:5" x14ac:dyDescent="0.3">
      <c r="A139" s="17" t="s">
        <v>1</v>
      </c>
      <c r="B139" s="17" t="s">
        <v>144</v>
      </c>
      <c r="C139" s="17">
        <v>2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490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515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707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356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275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357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517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358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247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80</v>
      </c>
      <c r="C149" s="17">
        <v>2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583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1314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278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908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841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267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83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215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148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84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85</v>
      </c>
      <c r="C160" s="17">
        <v>2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520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628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398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1090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88</v>
      </c>
      <c r="C165" s="17">
        <v>3</v>
      </c>
      <c r="D165" s="17">
        <v>1</v>
      </c>
      <c r="E165" s="17">
        <v>4</v>
      </c>
    </row>
    <row r="166" spans="1:5" x14ac:dyDescent="0.3">
      <c r="A166" s="17" t="s">
        <v>1</v>
      </c>
      <c r="B166" s="17" t="s">
        <v>151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480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89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1060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636</v>
      </c>
      <c r="C170" s="17">
        <v>2</v>
      </c>
      <c r="D170" s="17">
        <v>1</v>
      </c>
      <c r="E170" s="17">
        <v>4</v>
      </c>
    </row>
    <row r="171" spans="1:5" x14ac:dyDescent="0.3">
      <c r="A171" s="17" t="s">
        <v>1</v>
      </c>
      <c r="B171" s="17" t="s">
        <v>93</v>
      </c>
      <c r="C171" s="17">
        <v>3</v>
      </c>
      <c r="D171" s="17">
        <v>1</v>
      </c>
      <c r="E171" s="17">
        <v>3</v>
      </c>
    </row>
    <row r="172" spans="1:5" x14ac:dyDescent="0.3">
      <c r="A172" s="17" t="s">
        <v>1</v>
      </c>
      <c r="B172" s="17" t="s">
        <v>1645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41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522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156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60</v>
      </c>
      <c r="C176" s="17">
        <v>3</v>
      </c>
      <c r="D176" s="17">
        <v>1</v>
      </c>
      <c r="E176" s="17">
        <v>3</v>
      </c>
    </row>
    <row r="177" spans="1:5" x14ac:dyDescent="0.3">
      <c r="A177" s="17" t="s">
        <v>1</v>
      </c>
      <c r="B177" s="17" t="s">
        <v>42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367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642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686</v>
      </c>
      <c r="C180" s="17">
        <v>3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1643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1854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1860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1897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1911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1928</v>
      </c>
      <c r="C186" s="17">
        <v>4</v>
      </c>
      <c r="D186" s="17">
        <v>1</v>
      </c>
      <c r="E186" s="17">
        <v>4</v>
      </c>
    </row>
    <row r="187" spans="1:5" x14ac:dyDescent="0.3">
      <c r="A187" s="17" t="s">
        <v>1</v>
      </c>
      <c r="B187" s="17" t="s">
        <v>1946</v>
      </c>
      <c r="C187" s="17">
        <v>5</v>
      </c>
      <c r="D187" s="17">
        <v>1</v>
      </c>
      <c r="E187" s="17">
        <v>5</v>
      </c>
    </row>
    <row r="188" spans="1:5" x14ac:dyDescent="0.3">
      <c r="A188" s="17" t="s">
        <v>1</v>
      </c>
      <c r="B188" s="17" t="s">
        <v>2293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2439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2574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2443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2445</v>
      </c>
      <c r="C192" s="17">
        <v>3</v>
      </c>
      <c r="D192" s="17">
        <v>1</v>
      </c>
      <c r="E192" s="17">
        <v>3</v>
      </c>
    </row>
    <row r="193" spans="1:5" x14ac:dyDescent="0.3">
      <c r="A193" s="17" t="s">
        <v>1</v>
      </c>
      <c r="B193" s="17" t="s">
        <v>2397</v>
      </c>
      <c r="C193" s="17">
        <v>3</v>
      </c>
      <c r="D193" s="17">
        <v>1</v>
      </c>
      <c r="E193" s="17">
        <v>4</v>
      </c>
    </row>
    <row r="194" spans="1:5" x14ac:dyDescent="0.3">
      <c r="A194" s="17" t="s">
        <v>1</v>
      </c>
      <c r="B194" s="17" t="s">
        <v>282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1285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1167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1035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1427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866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399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97</v>
      </c>
      <c r="C201" s="17">
        <v>3</v>
      </c>
      <c r="D201" s="17">
        <v>1</v>
      </c>
      <c r="E201" s="17">
        <v>3</v>
      </c>
    </row>
    <row r="202" spans="1:5" x14ac:dyDescent="0.3">
      <c r="A202" s="17" t="s">
        <v>1</v>
      </c>
      <c r="B202" s="17" t="s">
        <v>1103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491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868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993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98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945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528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1600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265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160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1318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589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2567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1612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590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104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1304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1763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1372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1168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166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43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1182</v>
      </c>
      <c r="C224" s="17">
        <v>2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1972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2038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1973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1785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1443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2575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50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1933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1099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111</v>
      </c>
      <c r="C234" s="17">
        <v>2</v>
      </c>
      <c r="D234" s="17">
        <v>1</v>
      </c>
      <c r="E234" s="17">
        <v>3</v>
      </c>
    </row>
    <row r="235" spans="1:5" x14ac:dyDescent="0.3">
      <c r="A235" s="17" t="s">
        <v>1</v>
      </c>
      <c r="B235" s="17" t="s">
        <v>2576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2197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872</v>
      </c>
      <c r="C237" s="17">
        <v>2</v>
      </c>
      <c r="D237" s="17">
        <v>1</v>
      </c>
      <c r="E237" s="17">
        <v>3</v>
      </c>
    </row>
    <row r="238" spans="1:5" x14ac:dyDescent="0.3">
      <c r="A238" s="17" t="s">
        <v>1</v>
      </c>
      <c r="B238" s="17" t="s">
        <v>291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44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175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651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328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1583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1</v>
      </c>
      <c r="B244" s="17" t="s">
        <v>228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1075</v>
      </c>
      <c r="C245" s="17">
        <v>3</v>
      </c>
      <c r="D245" s="17">
        <v>1</v>
      </c>
      <c r="E245" s="17">
        <v>3</v>
      </c>
    </row>
    <row r="246" spans="1:5" x14ac:dyDescent="0.3">
      <c r="A246" s="17" t="s">
        <v>1</v>
      </c>
      <c r="B246" s="17" t="s">
        <v>1170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330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292</v>
      </c>
      <c r="C248" s="17">
        <v>2</v>
      </c>
      <c r="D248" s="17">
        <v>1</v>
      </c>
      <c r="E248" s="17">
        <v>2</v>
      </c>
    </row>
    <row r="249" spans="1:5" x14ac:dyDescent="0.3">
      <c r="A249" s="17" t="s">
        <v>1</v>
      </c>
      <c r="B249" s="17" t="s">
        <v>331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597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776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2577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728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297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1</v>
      </c>
      <c r="B255" s="17" t="s">
        <v>230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446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598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1292</v>
      </c>
      <c r="C258" s="17">
        <v>2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2578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731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2579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2580</v>
      </c>
      <c r="C262" s="17">
        <v>1</v>
      </c>
      <c r="D262" s="17">
        <v>1</v>
      </c>
      <c r="E262" s="17">
        <v>3</v>
      </c>
    </row>
    <row r="263" spans="1:5" x14ac:dyDescent="0.3">
      <c r="A263" s="17" t="s">
        <v>1</v>
      </c>
      <c r="B263" s="17" t="s">
        <v>656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846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117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231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813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1189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1418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814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176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2581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552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299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495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1198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662</v>
      </c>
      <c r="C277" s="17">
        <v>3</v>
      </c>
      <c r="D277" s="17">
        <v>1</v>
      </c>
      <c r="E277" s="17">
        <v>3</v>
      </c>
    </row>
    <row r="278" spans="1:5" x14ac:dyDescent="0.3">
      <c r="A278" s="17" t="s">
        <v>1</v>
      </c>
      <c r="B278" s="17" t="s">
        <v>178</v>
      </c>
      <c r="C278" s="17">
        <v>3</v>
      </c>
      <c r="D278" s="17">
        <v>1</v>
      </c>
      <c r="E278" s="17">
        <v>3</v>
      </c>
    </row>
    <row r="279" spans="1:5" x14ac:dyDescent="0.3">
      <c r="A279" s="17" t="s">
        <v>1</v>
      </c>
      <c r="B279" s="17" t="s">
        <v>179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471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2452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683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1484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2271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558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180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181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126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303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1639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2582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750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262</v>
      </c>
      <c r="C293" s="17">
        <v>3</v>
      </c>
      <c r="D293" s="17">
        <v>1</v>
      </c>
      <c r="E293" s="17">
        <v>3</v>
      </c>
    </row>
    <row r="294" spans="1:5" x14ac:dyDescent="0.3">
      <c r="A294" s="17" t="s">
        <v>1</v>
      </c>
      <c r="B294" s="17" t="s">
        <v>350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1485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1760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1697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188</v>
      </c>
      <c r="C298" s="17">
        <v>3</v>
      </c>
      <c r="D298" s="17">
        <v>1</v>
      </c>
      <c r="E298" s="17">
        <v>3</v>
      </c>
    </row>
    <row r="299" spans="1:5" x14ac:dyDescent="0.3">
      <c r="A299" s="17" t="s">
        <v>1</v>
      </c>
      <c r="B299" s="17" t="s">
        <v>1191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1651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201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752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1237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259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1096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1326</v>
      </c>
      <c r="C306" s="17">
        <v>2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2080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568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194</v>
      </c>
      <c r="C309" s="17">
        <v>3</v>
      </c>
      <c r="D309" s="17">
        <v>1</v>
      </c>
      <c r="E309" s="17">
        <v>3</v>
      </c>
    </row>
    <row r="310" spans="1:5" x14ac:dyDescent="0.3">
      <c r="A310" s="17" t="s">
        <v>1</v>
      </c>
      <c r="B310" s="17" t="s">
        <v>2483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67</v>
      </c>
      <c r="C311" s="17">
        <v>4</v>
      </c>
      <c r="D311" s="17">
        <v>1</v>
      </c>
      <c r="E311" s="17">
        <v>7</v>
      </c>
    </row>
    <row r="312" spans="1:5" x14ac:dyDescent="0.3">
      <c r="A312" s="17" t="s">
        <v>1</v>
      </c>
      <c r="B312" s="17" t="s">
        <v>55</v>
      </c>
      <c r="C312" s="17">
        <v>6</v>
      </c>
      <c r="D312" s="17">
        <v>1</v>
      </c>
      <c r="E312" s="17">
        <v>11</v>
      </c>
    </row>
    <row r="313" spans="1:5" x14ac:dyDescent="0.3">
      <c r="A313" s="17" t="s">
        <v>1</v>
      </c>
      <c r="B313" s="17" t="s">
        <v>2418</v>
      </c>
      <c r="C313" s="17">
        <v>1</v>
      </c>
      <c r="D313" s="17">
        <v>1</v>
      </c>
      <c r="E313" s="17"/>
    </row>
    <row r="314" spans="1:5" x14ac:dyDescent="0.3">
      <c r="A314" s="17" t="s">
        <v>1</v>
      </c>
      <c r="B314" s="17" t="s">
        <v>307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1840</v>
      </c>
      <c r="C315" s="17">
        <v>1</v>
      </c>
      <c r="D315" s="17">
        <v>1</v>
      </c>
      <c r="E315" s="17"/>
    </row>
    <row r="316" spans="1:5" x14ac:dyDescent="0.3">
      <c r="A316" s="17" t="s">
        <v>1</v>
      </c>
      <c r="B316" s="17" t="s">
        <v>266</v>
      </c>
      <c r="C316" s="17">
        <v>3</v>
      </c>
      <c r="D316" s="17">
        <v>1</v>
      </c>
      <c r="E316" s="17">
        <v>3</v>
      </c>
    </row>
    <row r="317" spans="1:5" x14ac:dyDescent="0.3">
      <c r="A317" s="17" t="s">
        <v>1</v>
      </c>
      <c r="B317" s="17" t="s">
        <v>922</v>
      </c>
      <c r="C317" s="17">
        <v>1</v>
      </c>
      <c r="D317" s="17">
        <v>2</v>
      </c>
      <c r="E317" s="17"/>
    </row>
    <row r="318" spans="1:5" x14ac:dyDescent="0.3">
      <c r="A318" s="17" t="s">
        <v>1</v>
      </c>
      <c r="B318" s="17" t="s">
        <v>2377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1404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2583</v>
      </c>
      <c r="C320" s="17">
        <v>1</v>
      </c>
      <c r="D320" s="17">
        <v>1</v>
      </c>
      <c r="E320" s="17"/>
    </row>
    <row r="321" spans="1:5" x14ac:dyDescent="0.3">
      <c r="A321" s="17" t="s">
        <v>1</v>
      </c>
      <c r="B321" s="17" t="s">
        <v>2027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2584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139</v>
      </c>
      <c r="C323" s="17">
        <v>1</v>
      </c>
      <c r="D323" s="17">
        <v>1</v>
      </c>
      <c r="E323" s="17"/>
    </row>
    <row r="324" spans="1:5" x14ac:dyDescent="0.3">
      <c r="A324" s="17" t="s">
        <v>1</v>
      </c>
      <c r="B324" s="17" t="s">
        <v>2145</v>
      </c>
      <c r="C324" s="17">
        <v>1</v>
      </c>
      <c r="D324" s="17">
        <v>1</v>
      </c>
      <c r="E324" s="17"/>
    </row>
    <row r="325" spans="1:5" x14ac:dyDescent="0.3">
      <c r="A325" s="17" t="s">
        <v>1</v>
      </c>
      <c r="B325" s="17" t="s">
        <v>2585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674</v>
      </c>
      <c r="C326" s="17">
        <v>1</v>
      </c>
      <c r="D326" s="17">
        <v>1</v>
      </c>
      <c r="E326" s="17"/>
    </row>
    <row r="327" spans="1:5" x14ac:dyDescent="0.3">
      <c r="A327" s="17" t="s">
        <v>1</v>
      </c>
      <c r="B327" s="17" t="s">
        <v>1936</v>
      </c>
      <c r="C327" s="17">
        <v>1</v>
      </c>
      <c r="D327" s="17">
        <v>1</v>
      </c>
      <c r="E327" s="17"/>
    </row>
    <row r="328" spans="1:5" x14ac:dyDescent="0.3">
      <c r="A328" s="17" t="s">
        <v>1</v>
      </c>
      <c r="B328" s="17" t="s">
        <v>2489</v>
      </c>
      <c r="C328" s="17">
        <v>1</v>
      </c>
      <c r="D328" s="17">
        <v>1</v>
      </c>
      <c r="E328" s="17"/>
    </row>
    <row r="329" spans="1:5" x14ac:dyDescent="0.3">
      <c r="A329" s="17" t="s">
        <v>1</v>
      </c>
      <c r="B329" s="17" t="s">
        <v>923</v>
      </c>
      <c r="C329" s="17">
        <v>1</v>
      </c>
      <c r="D329" s="17">
        <v>1</v>
      </c>
      <c r="E329" s="17"/>
    </row>
    <row r="330" spans="1:5" x14ac:dyDescent="0.3">
      <c r="A330" s="17" t="s">
        <v>1</v>
      </c>
      <c r="B330" s="17" t="s">
        <v>1088</v>
      </c>
      <c r="C330" s="17">
        <v>1</v>
      </c>
      <c r="D330" s="17">
        <v>1</v>
      </c>
      <c r="E330" s="17">
        <v>2</v>
      </c>
    </row>
    <row r="331" spans="1:5" x14ac:dyDescent="0.3">
      <c r="A331" s="17" t="s">
        <v>1</v>
      </c>
      <c r="B331" s="17" t="s">
        <v>2586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969</v>
      </c>
      <c r="C332" s="17">
        <v>1</v>
      </c>
      <c r="D332" s="17">
        <v>1</v>
      </c>
      <c r="E332" s="17"/>
    </row>
    <row r="333" spans="1:5" x14ac:dyDescent="0.3">
      <c r="A333" s="17" t="s">
        <v>1</v>
      </c>
      <c r="B333" s="17" t="s">
        <v>2587</v>
      </c>
      <c r="C333" s="17">
        <v>1</v>
      </c>
      <c r="D333" s="17">
        <v>1</v>
      </c>
      <c r="E333" s="17">
        <v>3</v>
      </c>
    </row>
    <row r="334" spans="1:5" x14ac:dyDescent="0.3">
      <c r="A334" s="17" t="s">
        <v>1</v>
      </c>
      <c r="B334" s="17" t="s">
        <v>2153</v>
      </c>
      <c r="C334" s="17">
        <v>1</v>
      </c>
      <c r="D334" s="17">
        <v>1</v>
      </c>
      <c r="E334" s="17"/>
    </row>
    <row r="335" spans="1:5" x14ac:dyDescent="0.3">
      <c r="A335" s="17" t="s">
        <v>1</v>
      </c>
      <c r="B335" s="17" t="s">
        <v>927</v>
      </c>
      <c r="C335" s="17">
        <v>1</v>
      </c>
      <c r="D335" s="17">
        <v>1</v>
      </c>
      <c r="E335" s="17"/>
    </row>
    <row r="336" spans="1:5" x14ac:dyDescent="0.3">
      <c r="A336" s="17" t="s">
        <v>1</v>
      </c>
      <c r="B336" s="17" t="s">
        <v>1676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1963</v>
      </c>
      <c r="C337" s="17">
        <v>1</v>
      </c>
      <c r="D337" s="17">
        <v>1</v>
      </c>
      <c r="E337" s="17"/>
    </row>
    <row r="338" spans="1:5" x14ac:dyDescent="0.3">
      <c r="A338" s="17" t="s">
        <v>1</v>
      </c>
      <c r="B338" s="17" t="s">
        <v>2588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2589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1903</v>
      </c>
      <c r="C340" s="17">
        <v>1</v>
      </c>
      <c r="D340" s="17">
        <v>1</v>
      </c>
      <c r="E340" s="17"/>
    </row>
    <row r="341" spans="1:5" x14ac:dyDescent="0.3">
      <c r="A341" s="17" t="s">
        <v>1</v>
      </c>
      <c r="B341" s="17" t="s">
        <v>431</v>
      </c>
      <c r="C341" s="17">
        <v>1</v>
      </c>
      <c r="D341" s="17">
        <v>1</v>
      </c>
      <c r="E341" s="17"/>
    </row>
    <row r="342" spans="1:5" x14ac:dyDescent="0.3">
      <c r="A342" s="17" t="s">
        <v>1</v>
      </c>
      <c r="B342" s="17" t="s">
        <v>1031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1214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242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47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206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33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75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143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858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210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490</v>
      </c>
      <c r="C352" s="17">
        <v>1</v>
      </c>
      <c r="D352" s="17">
        <v>1</v>
      </c>
      <c r="E352" s="17">
        <v>2</v>
      </c>
    </row>
    <row r="353" spans="1:5" x14ac:dyDescent="0.3">
      <c r="A353" s="17" t="s">
        <v>0</v>
      </c>
      <c r="B353" s="17" t="s">
        <v>247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80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990</v>
      </c>
      <c r="C355" s="17">
        <v>1</v>
      </c>
      <c r="D355" s="17">
        <v>1</v>
      </c>
      <c r="E355" s="17">
        <v>2</v>
      </c>
    </row>
    <row r="356" spans="1:5" x14ac:dyDescent="0.3">
      <c r="A356" s="17" t="s">
        <v>0</v>
      </c>
      <c r="B356" s="17" t="s">
        <v>479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1314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462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267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1982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148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149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89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634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1426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281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155</v>
      </c>
      <c r="C367" s="17">
        <v>2</v>
      </c>
      <c r="D367" s="17">
        <v>1</v>
      </c>
      <c r="E367" s="17">
        <v>3</v>
      </c>
    </row>
    <row r="368" spans="1:5" x14ac:dyDescent="0.3">
      <c r="A368" s="17" t="s">
        <v>0</v>
      </c>
      <c r="B368" s="17" t="s">
        <v>641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250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41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0</v>
      </c>
      <c r="B371" s="17" t="s">
        <v>365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156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60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251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1581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1927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1940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1946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2363</v>
      </c>
      <c r="C379" s="17">
        <v>1</v>
      </c>
      <c r="D379" s="17">
        <v>1</v>
      </c>
      <c r="E379" s="17">
        <v>2</v>
      </c>
    </row>
    <row r="380" spans="1:5" x14ac:dyDescent="0.3">
      <c r="A380" s="17" t="s">
        <v>0</v>
      </c>
      <c r="B380" s="17" t="s">
        <v>2400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2440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2398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2429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2445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1167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252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585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491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2590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643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492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283</v>
      </c>
      <c r="C392" s="17">
        <v>1</v>
      </c>
      <c r="D392" s="17">
        <v>1</v>
      </c>
      <c r="E392" s="17">
        <v>2</v>
      </c>
    </row>
    <row r="393" spans="1:5" x14ac:dyDescent="0.3">
      <c r="A393" s="17" t="s">
        <v>0</v>
      </c>
      <c r="B393" s="17" t="s">
        <v>715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265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840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1105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161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644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1145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28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103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1146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105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321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322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107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1107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1181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1443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407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111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1463</v>
      </c>
      <c r="C412" s="17">
        <v>1</v>
      </c>
      <c r="D412" s="17">
        <v>1</v>
      </c>
      <c r="E412" s="17">
        <v>2</v>
      </c>
    </row>
    <row r="413" spans="1:5" x14ac:dyDescent="0.3">
      <c r="A413" s="17" t="s">
        <v>0</v>
      </c>
      <c r="B413" s="17" t="s">
        <v>113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872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1716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174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1947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1262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325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594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328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540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2551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45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1170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330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331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545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776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1290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371</v>
      </c>
      <c r="C431" s="17">
        <v>1</v>
      </c>
      <c r="D431" s="17">
        <v>1</v>
      </c>
      <c r="E431" s="17">
        <v>2</v>
      </c>
    </row>
    <row r="432" spans="1:5" x14ac:dyDescent="0.3">
      <c r="A432" s="17" t="s">
        <v>0</v>
      </c>
      <c r="B432" s="17" t="s">
        <v>116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1744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120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121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662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123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124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695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46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179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892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63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2591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483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185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128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823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2417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2148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2592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1023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499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234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500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66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67</v>
      </c>
      <c r="C457" s="17">
        <v>2</v>
      </c>
      <c r="D457" s="17">
        <v>1</v>
      </c>
      <c r="E457" s="17">
        <v>2</v>
      </c>
    </row>
    <row r="458" spans="1:5" x14ac:dyDescent="0.3">
      <c r="A458" s="17" t="s">
        <v>0</v>
      </c>
      <c r="B458" s="17" t="s">
        <v>1768</v>
      </c>
      <c r="C458" s="17">
        <v>1</v>
      </c>
      <c r="D458" s="17">
        <v>1</v>
      </c>
      <c r="E458" s="17">
        <v>2</v>
      </c>
    </row>
    <row r="459" spans="1:5" x14ac:dyDescent="0.3">
      <c r="A459" s="17" t="s">
        <v>0</v>
      </c>
      <c r="B459" s="17" t="s">
        <v>1765</v>
      </c>
      <c r="C459" s="17">
        <v>1</v>
      </c>
      <c r="D459" s="17">
        <v>2</v>
      </c>
      <c r="E459" s="17"/>
    </row>
    <row r="460" spans="1:5" x14ac:dyDescent="0.3">
      <c r="A460" s="17" t="s">
        <v>0</v>
      </c>
      <c r="B460" s="17" t="s">
        <v>2593</v>
      </c>
      <c r="C460" s="17">
        <v>1</v>
      </c>
      <c r="D460" s="17">
        <v>1</v>
      </c>
      <c r="E460" s="17"/>
    </row>
    <row r="461" spans="1:5" x14ac:dyDescent="0.3">
      <c r="A461" s="17" t="s">
        <v>0</v>
      </c>
      <c r="B461" s="17" t="s">
        <v>266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2594</v>
      </c>
      <c r="C462" s="17">
        <v>1</v>
      </c>
      <c r="D462" s="17">
        <v>1</v>
      </c>
      <c r="E462" s="17">
        <v>4</v>
      </c>
    </row>
    <row r="463" spans="1:5" x14ac:dyDescent="0.3">
      <c r="A463" s="17" t="s">
        <v>0</v>
      </c>
      <c r="B463" s="17" t="s">
        <v>1834</v>
      </c>
      <c r="C463" s="17">
        <v>1</v>
      </c>
      <c r="D463" s="17">
        <v>1</v>
      </c>
      <c r="E463" s="17"/>
    </row>
    <row r="464" spans="1:5" x14ac:dyDescent="0.3">
      <c r="A464" s="17" t="s">
        <v>0</v>
      </c>
      <c r="B464" s="17" t="s">
        <v>2595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1701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759</v>
      </c>
      <c r="C466" s="17">
        <v>1</v>
      </c>
      <c r="D466" s="17">
        <v>1</v>
      </c>
      <c r="E466" s="17">
        <v>2</v>
      </c>
    </row>
    <row r="467" spans="1:5" x14ac:dyDescent="0.3">
      <c r="A467" s="17" t="s">
        <v>0</v>
      </c>
      <c r="B467" s="17" t="s">
        <v>676</v>
      </c>
      <c r="C467" s="17">
        <v>1</v>
      </c>
      <c r="D467" s="17">
        <v>1</v>
      </c>
      <c r="E467" s="17"/>
    </row>
    <row r="468" spans="1:5" x14ac:dyDescent="0.3">
      <c r="A468" s="17" t="s">
        <v>0</v>
      </c>
      <c r="B468" s="17" t="s">
        <v>970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927</v>
      </c>
      <c r="C469" s="17">
        <v>1</v>
      </c>
      <c r="D469" s="17">
        <v>3</v>
      </c>
      <c r="E469" s="17"/>
    </row>
    <row r="470" spans="1:5" x14ac:dyDescent="0.3">
      <c r="A470" s="17" t="s">
        <v>0</v>
      </c>
      <c r="B470" s="17" t="s">
        <v>431</v>
      </c>
      <c r="C470" s="17">
        <v>1</v>
      </c>
      <c r="D470" s="17">
        <v>3</v>
      </c>
      <c r="E470" s="17"/>
    </row>
    <row r="471" spans="1:5" x14ac:dyDescent="0.3">
      <c r="A471" s="17" t="s">
        <v>0</v>
      </c>
      <c r="B471" s="17" t="s">
        <v>69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2</v>
      </c>
      <c r="B472" s="17" t="s">
        <v>479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2</v>
      </c>
      <c r="B473" s="17" t="s">
        <v>85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2</v>
      </c>
      <c r="B474" s="17" t="s">
        <v>640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2</v>
      </c>
      <c r="B475" s="17" t="s">
        <v>41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2</v>
      </c>
      <c r="B476" s="17" t="s">
        <v>365</v>
      </c>
      <c r="C476" s="17">
        <v>1</v>
      </c>
      <c r="D476" s="17">
        <v>1</v>
      </c>
      <c r="E476" s="17">
        <v>2</v>
      </c>
    </row>
    <row r="477" spans="1:5" x14ac:dyDescent="0.3">
      <c r="A477" s="17" t="s">
        <v>2</v>
      </c>
      <c r="B477" s="17" t="s">
        <v>61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2</v>
      </c>
      <c r="B478" s="17" t="s">
        <v>492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586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2</v>
      </c>
      <c r="B480" s="17" t="s">
        <v>403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2</v>
      </c>
      <c r="B481" s="17" t="s">
        <v>199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113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534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2</v>
      </c>
      <c r="B484" s="17" t="s">
        <v>325</v>
      </c>
      <c r="C484" s="17">
        <v>1</v>
      </c>
      <c r="D484" s="17">
        <v>1</v>
      </c>
      <c r="E484" s="17">
        <v>2</v>
      </c>
    </row>
    <row r="485" spans="1:5" x14ac:dyDescent="0.3">
      <c r="A485" s="17" t="s">
        <v>2</v>
      </c>
      <c r="B485" s="17" t="s">
        <v>331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123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890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568</v>
      </c>
      <c r="C488" s="17">
        <v>1</v>
      </c>
      <c r="D488" s="17">
        <v>1</v>
      </c>
      <c r="E488" s="17">
        <v>2</v>
      </c>
    </row>
    <row r="489" spans="1:5" x14ac:dyDescent="0.3">
      <c r="A489" s="17" t="s">
        <v>2</v>
      </c>
      <c r="B489" s="17" t="s">
        <v>2489</v>
      </c>
      <c r="C489" s="17">
        <v>1</v>
      </c>
      <c r="D489" s="17">
        <v>1</v>
      </c>
      <c r="E489" s="17"/>
    </row>
    <row r="490" spans="1:5" x14ac:dyDescent="0.3">
      <c r="A490" s="17" t="s">
        <v>1</v>
      </c>
      <c r="B490" s="17" t="s">
        <v>984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47</v>
      </c>
      <c r="C491" s="17">
        <v>1</v>
      </c>
      <c r="D491" s="17">
        <v>0</v>
      </c>
      <c r="E491" s="17">
        <v>2</v>
      </c>
    </row>
    <row r="492" spans="1:5" x14ac:dyDescent="0.3">
      <c r="A492" s="17" t="s">
        <v>1</v>
      </c>
      <c r="B492" s="17" t="s">
        <v>985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506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141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610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929</v>
      </c>
      <c r="C496" s="17">
        <v>1</v>
      </c>
      <c r="D496" s="17">
        <v>0</v>
      </c>
      <c r="E496" s="17">
        <v>2</v>
      </c>
    </row>
    <row r="497" spans="1:5" x14ac:dyDescent="0.3">
      <c r="A497" s="17" t="s">
        <v>1</v>
      </c>
      <c r="B497" s="17" t="s">
        <v>704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1506</v>
      </c>
      <c r="C498" s="17">
        <v>1</v>
      </c>
      <c r="D498" s="17">
        <v>0</v>
      </c>
      <c r="E498" s="17">
        <v>0</v>
      </c>
    </row>
    <row r="499" spans="1:5" x14ac:dyDescent="0.3">
      <c r="A499" s="17" t="s">
        <v>1</v>
      </c>
      <c r="B499" s="17" t="s">
        <v>792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486</v>
      </c>
      <c r="C500" s="17">
        <v>1</v>
      </c>
      <c r="D500" s="17">
        <v>0</v>
      </c>
      <c r="E500" s="17">
        <v>2</v>
      </c>
    </row>
    <row r="501" spans="1:5" x14ac:dyDescent="0.3">
      <c r="A501" s="17" t="s">
        <v>1</v>
      </c>
      <c r="B501" s="17" t="s">
        <v>987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460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795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1387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2273</v>
      </c>
      <c r="C505" s="17">
        <v>2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859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990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359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2596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396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213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214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519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1535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1536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316</v>
      </c>
      <c r="C516" s="17">
        <v>1</v>
      </c>
      <c r="D516" s="17">
        <v>0</v>
      </c>
      <c r="E516" s="17">
        <v>2</v>
      </c>
    </row>
    <row r="517" spans="1:5" x14ac:dyDescent="0.3">
      <c r="A517" s="17" t="s">
        <v>1</v>
      </c>
      <c r="B517" s="17" t="s">
        <v>361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631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1102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2597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1886</v>
      </c>
      <c r="C521" s="17">
        <v>1</v>
      </c>
      <c r="D521" s="17">
        <v>0</v>
      </c>
      <c r="E521" s="17">
        <v>2</v>
      </c>
    </row>
    <row r="522" spans="1:5" x14ac:dyDescent="0.3">
      <c r="A522" s="17" t="s">
        <v>1</v>
      </c>
      <c r="B522" s="17" t="s">
        <v>1256</v>
      </c>
      <c r="C522" s="17">
        <v>1</v>
      </c>
      <c r="D522" s="17">
        <v>0</v>
      </c>
      <c r="E522" s="17">
        <v>3</v>
      </c>
    </row>
    <row r="523" spans="1:5" x14ac:dyDescent="0.3">
      <c r="A523" s="17" t="s">
        <v>1</v>
      </c>
      <c r="B523" s="17" t="s">
        <v>90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635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217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153</v>
      </c>
      <c r="C526" s="17">
        <v>3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637</v>
      </c>
      <c r="C527" s="17">
        <v>2</v>
      </c>
      <c r="D527" s="17">
        <v>0</v>
      </c>
      <c r="E527" s="17">
        <v>3</v>
      </c>
    </row>
    <row r="528" spans="1:5" x14ac:dyDescent="0.3">
      <c r="A528" s="17" t="s">
        <v>1</v>
      </c>
      <c r="B528" s="17" t="s">
        <v>711</v>
      </c>
      <c r="C528" s="17">
        <v>2</v>
      </c>
      <c r="D528" s="17">
        <v>0</v>
      </c>
      <c r="E528" s="17">
        <v>3</v>
      </c>
    </row>
    <row r="529" spans="1:5" x14ac:dyDescent="0.3">
      <c r="A529" s="17" t="s">
        <v>1</v>
      </c>
      <c r="B529" s="17" t="s">
        <v>1284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1062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865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154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94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942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261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692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251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944</v>
      </c>
      <c r="C538" s="17">
        <v>1</v>
      </c>
      <c r="D538" s="17">
        <v>0</v>
      </c>
      <c r="E538" s="17">
        <v>2</v>
      </c>
    </row>
    <row r="539" spans="1:5" x14ac:dyDescent="0.3">
      <c r="A539" s="17" t="s">
        <v>1</v>
      </c>
      <c r="B539" s="17" t="s">
        <v>1143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1691</v>
      </c>
      <c r="C540" s="17">
        <v>1</v>
      </c>
      <c r="D540" s="17">
        <v>0</v>
      </c>
      <c r="E540" s="17">
        <v>2</v>
      </c>
    </row>
    <row r="541" spans="1:5" x14ac:dyDescent="0.3">
      <c r="A541" s="17" t="s">
        <v>1</v>
      </c>
      <c r="B541" s="17" t="s">
        <v>1711</v>
      </c>
      <c r="C541" s="17">
        <v>2</v>
      </c>
      <c r="D541" s="17">
        <v>0</v>
      </c>
      <c r="E541" s="17">
        <v>2</v>
      </c>
    </row>
    <row r="542" spans="1:5" x14ac:dyDescent="0.3">
      <c r="A542" s="17" t="s">
        <v>1</v>
      </c>
      <c r="B542" s="17" t="s">
        <v>1708</v>
      </c>
      <c r="C542" s="17">
        <v>1</v>
      </c>
      <c r="D542" s="17">
        <v>0</v>
      </c>
      <c r="E542" s="17">
        <v>2</v>
      </c>
    </row>
    <row r="543" spans="1:5" x14ac:dyDescent="0.3">
      <c r="A543" s="17" t="s">
        <v>1</v>
      </c>
      <c r="B543" s="17" t="s">
        <v>1912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2598</v>
      </c>
      <c r="C544" s="17">
        <v>1</v>
      </c>
      <c r="D544" s="17">
        <v>0</v>
      </c>
      <c r="E544" s="17">
        <v>2</v>
      </c>
    </row>
    <row r="545" spans="1:5" x14ac:dyDescent="0.3">
      <c r="A545" s="17" t="s">
        <v>1</v>
      </c>
      <c r="B545" s="17" t="s">
        <v>2068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2115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2334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2401</v>
      </c>
      <c r="C548" s="17">
        <v>1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2400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2440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2468</v>
      </c>
      <c r="C551" s="17">
        <v>2</v>
      </c>
      <c r="D551" s="17">
        <v>0</v>
      </c>
      <c r="E551" s="17">
        <v>3</v>
      </c>
    </row>
    <row r="552" spans="1:5" x14ac:dyDescent="0.3">
      <c r="A552" s="17" t="s">
        <v>1</v>
      </c>
      <c r="B552" s="17" t="s">
        <v>2442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2399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2398</v>
      </c>
      <c r="C554" s="17">
        <v>2</v>
      </c>
      <c r="D554" s="17">
        <v>0</v>
      </c>
      <c r="E554" s="17">
        <v>2</v>
      </c>
    </row>
    <row r="555" spans="1:5" x14ac:dyDescent="0.3">
      <c r="A555" s="17" t="s">
        <v>1</v>
      </c>
      <c r="B555" s="17" t="s">
        <v>2428</v>
      </c>
      <c r="C555" s="17">
        <v>2</v>
      </c>
      <c r="D555" s="17">
        <v>0</v>
      </c>
      <c r="E555" s="17">
        <v>3</v>
      </c>
    </row>
    <row r="556" spans="1:5" x14ac:dyDescent="0.3">
      <c r="A556" s="17" t="s">
        <v>1</v>
      </c>
      <c r="B556" s="17" t="s">
        <v>2444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2429</v>
      </c>
      <c r="C557" s="17">
        <v>7</v>
      </c>
      <c r="D557" s="17">
        <v>0</v>
      </c>
      <c r="E557" s="17">
        <v>5</v>
      </c>
    </row>
    <row r="558" spans="1:5" x14ac:dyDescent="0.3">
      <c r="A558" s="17" t="s">
        <v>1</v>
      </c>
      <c r="B558" s="17" t="s">
        <v>2508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2599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524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526</v>
      </c>
      <c r="C561" s="17">
        <v>1</v>
      </c>
      <c r="D561" s="17">
        <v>0</v>
      </c>
      <c r="E561" s="17">
        <v>0</v>
      </c>
    </row>
    <row r="562" spans="1:5" x14ac:dyDescent="0.3">
      <c r="A562" s="17" t="s">
        <v>1</v>
      </c>
      <c r="B562" s="17" t="s">
        <v>715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529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1821</v>
      </c>
      <c r="C564" s="17">
        <v>1</v>
      </c>
      <c r="D564" s="17">
        <v>0</v>
      </c>
      <c r="E564" s="17">
        <v>2</v>
      </c>
    </row>
    <row r="565" spans="1:5" x14ac:dyDescent="0.3">
      <c r="A565" s="17" t="s">
        <v>1</v>
      </c>
      <c r="B565" s="17" t="s">
        <v>531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716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1619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1129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2033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1523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1147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1000</v>
      </c>
      <c r="C572" s="17">
        <v>1</v>
      </c>
      <c r="D572" s="17">
        <v>0</v>
      </c>
      <c r="E572" s="17">
        <v>0</v>
      </c>
    </row>
    <row r="573" spans="1:5" x14ac:dyDescent="0.3">
      <c r="A573" s="17" t="s">
        <v>1</v>
      </c>
      <c r="B573" s="17" t="s">
        <v>1072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1169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1724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646</v>
      </c>
      <c r="C576" s="17">
        <v>2</v>
      </c>
      <c r="D576" s="17">
        <v>0</v>
      </c>
      <c r="E576" s="17">
        <v>3</v>
      </c>
    </row>
    <row r="577" spans="1:5" x14ac:dyDescent="0.3">
      <c r="A577" s="17" t="s">
        <v>1</v>
      </c>
      <c r="B577" s="17" t="s">
        <v>1550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407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1225</v>
      </c>
      <c r="C579" s="17">
        <v>1</v>
      </c>
      <c r="D579" s="17">
        <v>0</v>
      </c>
      <c r="E579" s="17">
        <v>3</v>
      </c>
    </row>
    <row r="580" spans="1:5" x14ac:dyDescent="0.3">
      <c r="A580" s="17" t="s">
        <v>1</v>
      </c>
      <c r="B580" s="17" t="s">
        <v>1483</v>
      </c>
      <c r="C580" s="17">
        <v>1</v>
      </c>
      <c r="D580" s="17">
        <v>0</v>
      </c>
      <c r="E580" s="17">
        <v>3</v>
      </c>
    </row>
    <row r="581" spans="1:5" x14ac:dyDescent="0.3">
      <c r="A581" s="17" t="s">
        <v>1</v>
      </c>
      <c r="B581" s="17" t="s">
        <v>409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1466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1925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720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465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326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2237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2600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1798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1628</v>
      </c>
      <c r="C590" s="17">
        <v>1</v>
      </c>
      <c r="D590" s="17">
        <v>0</v>
      </c>
      <c r="E590" s="17">
        <v>4</v>
      </c>
    </row>
    <row r="591" spans="1:5" x14ac:dyDescent="0.3">
      <c r="A591" s="17" t="s">
        <v>1</v>
      </c>
      <c r="B591" s="17" t="s">
        <v>2039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1160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1076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2601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2602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467</v>
      </c>
      <c r="C596" s="17">
        <v>2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294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1378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607</v>
      </c>
      <c r="C599" s="17">
        <v>1</v>
      </c>
      <c r="D599" s="17">
        <v>0</v>
      </c>
      <c r="E599" s="17">
        <v>3</v>
      </c>
    </row>
    <row r="600" spans="1:5" x14ac:dyDescent="0.3">
      <c r="A600" s="17" t="s">
        <v>1</v>
      </c>
      <c r="B600" s="17" t="s">
        <v>371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1172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1009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1293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337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2603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657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658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812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1110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781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1111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1306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1869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346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2184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1823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664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1199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2604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186</v>
      </c>
      <c r="C620" s="17">
        <v>3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473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474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1356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1133</v>
      </c>
      <c r="C624" s="18">
        <v>3</v>
      </c>
      <c r="D624" s="18">
        <v>0</v>
      </c>
      <c r="E624" s="18">
        <v>3</v>
      </c>
    </row>
    <row r="625" spans="1:5" x14ac:dyDescent="0.3">
      <c r="A625" s="18" t="s">
        <v>1</v>
      </c>
      <c r="B625" s="18" t="s">
        <v>128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1190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751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498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134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2605</v>
      </c>
      <c r="C630" s="18">
        <v>1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2297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899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848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234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1238</v>
      </c>
      <c r="C635" s="18">
        <v>1</v>
      </c>
      <c r="D635" s="18">
        <v>0</v>
      </c>
      <c r="E635" s="18">
        <v>2</v>
      </c>
    </row>
    <row r="636" spans="1:5" x14ac:dyDescent="0.3">
      <c r="A636" s="18" t="s">
        <v>1</v>
      </c>
      <c r="B636" s="18" t="s">
        <v>1122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53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1881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235</v>
      </c>
      <c r="C639" s="18">
        <v>3</v>
      </c>
      <c r="D639" s="18">
        <v>0</v>
      </c>
      <c r="E639" s="18">
        <v>5</v>
      </c>
    </row>
    <row r="640" spans="1:5" x14ac:dyDescent="0.3">
      <c r="A640" s="18" t="s">
        <v>1</v>
      </c>
      <c r="B640" s="18" t="s">
        <v>381</v>
      </c>
      <c r="C640" s="18">
        <v>1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376</v>
      </c>
      <c r="C641" s="18">
        <v>4</v>
      </c>
      <c r="D641" s="18">
        <v>0</v>
      </c>
      <c r="E641" s="18">
        <v>3</v>
      </c>
    </row>
    <row r="642" spans="1:5" x14ac:dyDescent="0.3">
      <c r="A642" s="18" t="s">
        <v>1</v>
      </c>
      <c r="B642" s="18" t="s">
        <v>476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196</v>
      </c>
      <c r="C643" s="18">
        <v>8</v>
      </c>
      <c r="D643" s="18">
        <v>0</v>
      </c>
      <c r="E643" s="18">
        <v>11</v>
      </c>
    </row>
    <row r="644" spans="1:5" x14ac:dyDescent="0.3">
      <c r="A644" s="18" t="s">
        <v>1</v>
      </c>
      <c r="B644" s="18" t="s">
        <v>237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54</v>
      </c>
      <c r="C645" s="18">
        <v>4</v>
      </c>
      <c r="D645" s="18">
        <v>0</v>
      </c>
      <c r="E645" s="18">
        <v>4</v>
      </c>
    </row>
    <row r="646" spans="1:5" x14ac:dyDescent="0.3">
      <c r="A646" s="18" t="s">
        <v>1</v>
      </c>
      <c r="B646" s="18" t="s">
        <v>238</v>
      </c>
      <c r="C646" s="18">
        <v>3</v>
      </c>
      <c r="D646" s="18">
        <v>0</v>
      </c>
      <c r="E646" s="18">
        <v>3</v>
      </c>
    </row>
    <row r="647" spans="1:5" x14ac:dyDescent="0.3">
      <c r="A647" s="18" t="s">
        <v>1</v>
      </c>
      <c r="B647" s="18" t="s">
        <v>239</v>
      </c>
      <c r="C647" s="18">
        <v>6</v>
      </c>
      <c r="D647" s="18">
        <v>0</v>
      </c>
      <c r="E647" s="18">
        <v>11</v>
      </c>
    </row>
    <row r="648" spans="1:5" x14ac:dyDescent="0.3">
      <c r="A648" s="18" t="s">
        <v>1</v>
      </c>
      <c r="B648" s="18" t="s">
        <v>672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240</v>
      </c>
      <c r="C649" s="18">
        <v>7</v>
      </c>
      <c r="D649" s="18">
        <v>0</v>
      </c>
      <c r="E649" s="18">
        <v>8</v>
      </c>
    </row>
    <row r="650" spans="1:5" x14ac:dyDescent="0.3">
      <c r="A650" s="18" t="s">
        <v>1</v>
      </c>
      <c r="B650" s="18" t="s">
        <v>673</v>
      </c>
      <c r="C650" s="18">
        <v>7</v>
      </c>
      <c r="D650" s="18">
        <v>0</v>
      </c>
      <c r="E650" s="18">
        <v>11</v>
      </c>
    </row>
    <row r="651" spans="1:5" x14ac:dyDescent="0.3">
      <c r="A651" s="18" t="s">
        <v>1</v>
      </c>
      <c r="B651" s="18" t="s">
        <v>382</v>
      </c>
      <c r="C651" s="18">
        <v>4</v>
      </c>
      <c r="D651" s="18">
        <v>0</v>
      </c>
      <c r="E651" s="18">
        <v>5</v>
      </c>
    </row>
    <row r="652" spans="1:5" x14ac:dyDescent="0.3">
      <c r="A652" s="18" t="s">
        <v>1</v>
      </c>
      <c r="B652" s="18" t="s">
        <v>377</v>
      </c>
      <c r="C652" s="18">
        <v>3</v>
      </c>
      <c r="D652" s="18">
        <v>0</v>
      </c>
      <c r="E652" s="18">
        <v>3</v>
      </c>
    </row>
    <row r="653" spans="1:5" x14ac:dyDescent="0.3">
      <c r="A653" s="18" t="s">
        <v>1</v>
      </c>
      <c r="B653" s="18" t="s">
        <v>477</v>
      </c>
      <c r="C653" s="18">
        <v>2</v>
      </c>
      <c r="D653" s="18">
        <v>0</v>
      </c>
      <c r="E653" s="18">
        <v>4</v>
      </c>
    </row>
    <row r="654" spans="1:5" x14ac:dyDescent="0.3">
      <c r="A654" s="18" t="s">
        <v>1</v>
      </c>
      <c r="B654" s="18" t="s">
        <v>2456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197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2606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2042</v>
      </c>
      <c r="C657" s="18">
        <v>0</v>
      </c>
      <c r="D657" s="18">
        <v>1</v>
      </c>
    </row>
    <row r="658" spans="1:5" x14ac:dyDescent="0.3">
      <c r="A658" s="18" t="s">
        <v>1</v>
      </c>
      <c r="B658" s="18" t="s">
        <v>2607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2043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2608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1267</v>
      </c>
      <c r="C661" s="18">
        <v>0</v>
      </c>
      <c r="D661" s="18">
        <v>1</v>
      </c>
    </row>
    <row r="662" spans="1:5" x14ac:dyDescent="0.3">
      <c r="A662" s="18" t="s">
        <v>1</v>
      </c>
      <c r="B662" s="18" t="s">
        <v>2609</v>
      </c>
      <c r="C662" s="18">
        <v>0</v>
      </c>
      <c r="D662" s="18">
        <v>1</v>
      </c>
    </row>
    <row r="663" spans="1:5" x14ac:dyDescent="0.3">
      <c r="A663" s="18" t="s">
        <v>1</v>
      </c>
      <c r="B663" s="18" t="s">
        <v>573</v>
      </c>
      <c r="C663" s="18">
        <v>0</v>
      </c>
      <c r="D663" s="18">
        <v>3</v>
      </c>
    </row>
    <row r="664" spans="1:5" x14ac:dyDescent="0.3">
      <c r="A664" s="18" t="s">
        <v>1</v>
      </c>
      <c r="B664" s="18" t="s">
        <v>378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1805</v>
      </c>
      <c r="C665" s="18">
        <v>0</v>
      </c>
      <c r="D665" s="18">
        <v>3</v>
      </c>
    </row>
    <row r="666" spans="1:5" x14ac:dyDescent="0.3">
      <c r="A666" s="18" t="s">
        <v>1</v>
      </c>
      <c r="B666" s="18" t="s">
        <v>1138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2338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1599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2610</v>
      </c>
      <c r="C669" s="18">
        <v>0</v>
      </c>
      <c r="D669" s="18">
        <v>2</v>
      </c>
    </row>
    <row r="670" spans="1:5" x14ac:dyDescent="0.3">
      <c r="A670" s="18" t="s">
        <v>1</v>
      </c>
      <c r="B670" s="18" t="s">
        <v>2611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677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986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1050</v>
      </c>
      <c r="C673" s="18">
        <v>1</v>
      </c>
      <c r="D673" s="18">
        <v>0</v>
      </c>
      <c r="E673" s="18">
        <v>2</v>
      </c>
    </row>
    <row r="674" spans="1:5" x14ac:dyDescent="0.3">
      <c r="A674" s="18" t="s">
        <v>0</v>
      </c>
      <c r="B674" s="18" t="s">
        <v>461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79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0</v>
      </c>
      <c r="B676" s="18" t="s">
        <v>315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0</v>
      </c>
      <c r="B677" s="18" t="s">
        <v>360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316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93</v>
      </c>
      <c r="C679" s="18">
        <v>1</v>
      </c>
      <c r="D679" s="18">
        <v>0</v>
      </c>
      <c r="E679" s="18">
        <v>2</v>
      </c>
    </row>
    <row r="680" spans="1:5" x14ac:dyDescent="0.3">
      <c r="A680" s="18" t="s">
        <v>0</v>
      </c>
      <c r="B680" s="18" t="s">
        <v>802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0</v>
      </c>
      <c r="B681" s="18" t="s">
        <v>523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2068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2362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2612</v>
      </c>
      <c r="C684" s="18">
        <v>0</v>
      </c>
      <c r="D684" s="18">
        <v>1</v>
      </c>
    </row>
    <row r="685" spans="1:5" x14ac:dyDescent="0.3">
      <c r="A685" s="18" t="s">
        <v>0</v>
      </c>
      <c r="B685" s="18" t="s">
        <v>1601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0</v>
      </c>
      <c r="B686" s="18" t="s">
        <v>1066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1275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1762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1764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1583</v>
      </c>
      <c r="C690" s="18">
        <v>1</v>
      </c>
      <c r="D690" s="18">
        <v>0</v>
      </c>
      <c r="E690" s="18">
        <v>0</v>
      </c>
    </row>
    <row r="691" spans="1:5" x14ac:dyDescent="0.3">
      <c r="A691" s="18" t="s">
        <v>0</v>
      </c>
      <c r="B691" s="18" t="s">
        <v>115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2613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894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449</v>
      </c>
      <c r="C694" s="18">
        <v>1</v>
      </c>
      <c r="D694" s="18">
        <v>0</v>
      </c>
      <c r="E694" s="18">
        <v>2</v>
      </c>
    </row>
    <row r="695" spans="1:5" x14ac:dyDescent="0.3">
      <c r="A695" s="18" t="s">
        <v>0</v>
      </c>
      <c r="B695" s="18" t="s">
        <v>698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2103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1096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196</v>
      </c>
      <c r="C698" s="18">
        <v>1</v>
      </c>
      <c r="D698" s="18">
        <v>0</v>
      </c>
      <c r="E698" s="18">
        <v>2</v>
      </c>
    </row>
    <row r="699" spans="1:5" x14ac:dyDescent="0.3">
      <c r="A699" s="18" t="s">
        <v>0</v>
      </c>
      <c r="B699" s="18" t="s">
        <v>54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55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382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138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456</v>
      </c>
      <c r="C703" s="18">
        <v>1</v>
      </c>
      <c r="D703" s="18">
        <v>0</v>
      </c>
      <c r="E703" s="18">
        <v>2</v>
      </c>
    </row>
    <row r="704" spans="1:5" x14ac:dyDescent="0.3">
      <c r="A704" s="18" t="s">
        <v>0</v>
      </c>
      <c r="B704" s="18" t="s">
        <v>2614</v>
      </c>
      <c r="C704" s="18">
        <v>1</v>
      </c>
      <c r="D704" s="18">
        <v>0</v>
      </c>
      <c r="E704" s="18">
        <v>2</v>
      </c>
    </row>
    <row r="705" spans="1:5" x14ac:dyDescent="0.3">
      <c r="A705" s="18" t="s">
        <v>0</v>
      </c>
      <c r="B705" s="18" t="s">
        <v>1968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0</v>
      </c>
      <c r="B706" s="18" t="s">
        <v>32</v>
      </c>
      <c r="C706" s="18">
        <v>1</v>
      </c>
      <c r="D706" s="18">
        <v>0</v>
      </c>
      <c r="E706" s="18">
        <v>2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70811-5B1D-4876-BFEF-9A4717DAEDAC}">
  <sheetPr codeName="Sheet36"/>
  <dimension ref="A1:M688"/>
  <sheetViews>
    <sheetView workbookViewId="0">
      <selection activeCell="A2" sqref="A2:E68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2572</v>
      </c>
      <c r="C2" s="17">
        <v>120</v>
      </c>
      <c r="D2" s="17">
        <v>92</v>
      </c>
      <c r="E2" s="17">
        <v>135</v>
      </c>
    </row>
    <row r="3" spans="1:13" customFormat="1" x14ac:dyDescent="0.3">
      <c r="A3" s="17" t="s">
        <v>1</v>
      </c>
      <c r="B3" s="17" t="s">
        <v>138</v>
      </c>
      <c r="C3" s="17">
        <v>57</v>
      </c>
      <c r="D3" s="17">
        <v>46</v>
      </c>
      <c r="E3" s="17">
        <v>64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89</v>
      </c>
      <c r="D4" s="17">
        <v>42</v>
      </c>
      <c r="E4" s="17">
        <v>156</v>
      </c>
      <c r="G4" s="23" t="s">
        <v>8</v>
      </c>
      <c r="H4" s="19">
        <f>H13+H14</f>
        <v>1038</v>
      </c>
      <c r="I4" s="20">
        <f>H4/H$6</f>
        <v>0.6851485148514852</v>
      </c>
      <c r="J4" s="19">
        <f>I13+I14</f>
        <v>560</v>
      </c>
      <c r="K4" s="20">
        <f>J4/J$6</f>
        <v>0.59765208110992529</v>
      </c>
      <c r="L4" s="19">
        <f>J13+J14</f>
        <v>1209</v>
      </c>
      <c r="M4" s="29">
        <f>L4/L$6</f>
        <v>0.68498583569405103</v>
      </c>
    </row>
    <row r="5" spans="1:13" customFormat="1" x14ac:dyDescent="0.3">
      <c r="A5" s="17" t="s">
        <v>1</v>
      </c>
      <c r="B5" s="17" t="s">
        <v>2572</v>
      </c>
      <c r="C5" s="17">
        <v>34</v>
      </c>
      <c r="D5" s="17">
        <v>17</v>
      </c>
      <c r="E5" s="17">
        <v>38</v>
      </c>
      <c r="G5" s="23" t="s">
        <v>10</v>
      </c>
      <c r="H5" s="19">
        <f>H15+H16</f>
        <v>477</v>
      </c>
      <c r="I5" s="20">
        <f>H5/H$6</f>
        <v>0.31485148514851485</v>
      </c>
      <c r="J5" s="19">
        <f>I15+I16</f>
        <v>377</v>
      </c>
      <c r="K5" s="20">
        <f>J5/J$6</f>
        <v>0.40234791889007471</v>
      </c>
      <c r="L5" s="19">
        <f>J15+J16</f>
        <v>556</v>
      </c>
      <c r="M5" s="29">
        <f>L5/L$6</f>
        <v>0.31501416430594903</v>
      </c>
    </row>
    <row r="6" spans="1:13" customFormat="1" ht="17.25" thickBot="1" x14ac:dyDescent="0.35">
      <c r="A6" s="17" t="s">
        <v>1</v>
      </c>
      <c r="B6" s="17" t="s">
        <v>365</v>
      </c>
      <c r="C6" s="17">
        <v>18</v>
      </c>
      <c r="D6" s="17">
        <v>14</v>
      </c>
      <c r="E6" s="17">
        <v>17</v>
      </c>
      <c r="G6" s="26"/>
      <c r="H6" s="30">
        <f>SUM(H4:H5)</f>
        <v>1515</v>
      </c>
      <c r="I6" s="31">
        <f>I4+I5</f>
        <v>1</v>
      </c>
      <c r="J6" s="30">
        <f>SUM(J4:J5)</f>
        <v>937</v>
      </c>
      <c r="K6" s="31">
        <f>K4+K5</f>
        <v>1</v>
      </c>
      <c r="L6" s="30">
        <f>SUM(L4:L5)</f>
        <v>1765</v>
      </c>
      <c r="M6" s="32">
        <f>M4+M5</f>
        <v>1</v>
      </c>
    </row>
    <row r="7" spans="1:13" customFormat="1" x14ac:dyDescent="0.3">
      <c r="A7" s="17" t="s">
        <v>1</v>
      </c>
      <c r="B7" s="17" t="s">
        <v>2395</v>
      </c>
      <c r="C7" s="17">
        <v>16</v>
      </c>
      <c r="D7" s="17">
        <v>14</v>
      </c>
      <c r="E7" s="17">
        <v>16</v>
      </c>
    </row>
    <row r="8" spans="1:13" customFormat="1" x14ac:dyDescent="0.3">
      <c r="A8" s="17" t="s">
        <v>0</v>
      </c>
      <c r="B8" s="17" t="s">
        <v>29</v>
      </c>
      <c r="C8" s="17">
        <v>14</v>
      </c>
      <c r="D8" s="17">
        <v>13</v>
      </c>
      <c r="E8" s="17">
        <v>15</v>
      </c>
    </row>
    <row r="9" spans="1:13" customFormat="1" x14ac:dyDescent="0.3">
      <c r="A9" s="17" t="s">
        <v>1</v>
      </c>
      <c r="B9" s="17" t="s">
        <v>37</v>
      </c>
      <c r="C9" s="17">
        <v>14</v>
      </c>
      <c r="D9" s="17">
        <v>12</v>
      </c>
      <c r="E9" s="17">
        <v>15</v>
      </c>
    </row>
    <row r="10" spans="1:13" customFormat="1" ht="17.25" thickBot="1" x14ac:dyDescent="0.35">
      <c r="A10" s="17" t="s">
        <v>1</v>
      </c>
      <c r="B10" s="17" t="s">
        <v>135</v>
      </c>
      <c r="C10" s="17">
        <v>12</v>
      </c>
      <c r="D10" s="17">
        <v>11</v>
      </c>
      <c r="E10" s="17">
        <v>13</v>
      </c>
    </row>
    <row r="11" spans="1:13" x14ac:dyDescent="0.3">
      <c r="A11" s="17" t="s">
        <v>0</v>
      </c>
      <c r="B11" s="17" t="s">
        <v>30</v>
      </c>
      <c r="C11" s="17">
        <v>21</v>
      </c>
      <c r="D11" s="17">
        <v>11</v>
      </c>
      <c r="E11" s="17">
        <v>39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2</v>
      </c>
      <c r="B12" s="17" t="s">
        <v>265</v>
      </c>
      <c r="C12" s="17">
        <v>10</v>
      </c>
      <c r="D12" s="17">
        <v>8</v>
      </c>
      <c r="E12" s="17">
        <v>11</v>
      </c>
      <c r="G12" s="23"/>
      <c r="H12" s="21">
        <f t="shared" ref="H12:J12" si="0">SUM(H13:H16)</f>
        <v>1515</v>
      </c>
      <c r="I12" s="21">
        <f t="shared" si="0"/>
        <v>937</v>
      </c>
      <c r="J12" s="24">
        <f t="shared" si="0"/>
        <v>1765</v>
      </c>
    </row>
    <row r="13" spans="1:13" x14ac:dyDescent="0.3">
      <c r="A13" s="17" t="s">
        <v>1</v>
      </c>
      <c r="B13" s="17" t="s">
        <v>48</v>
      </c>
      <c r="C13" s="17">
        <v>15</v>
      </c>
      <c r="D13" s="17">
        <v>7</v>
      </c>
      <c r="E13" s="17">
        <v>17</v>
      </c>
      <c r="G13" s="23" t="s">
        <v>7</v>
      </c>
      <c r="H13" s="22">
        <f t="shared" ref="H13:J16" si="1">SUMIF($A$2:$A$9999,$G13,C$2:C$9999)</f>
        <v>1038</v>
      </c>
      <c r="I13" s="22">
        <f t="shared" si="1"/>
        <v>560</v>
      </c>
      <c r="J13" s="25">
        <f t="shared" si="1"/>
        <v>1209</v>
      </c>
    </row>
    <row r="14" spans="1:13" x14ac:dyDescent="0.3">
      <c r="A14" s="17" t="s">
        <v>0</v>
      </c>
      <c r="B14" s="17" t="s">
        <v>2075</v>
      </c>
      <c r="C14" s="17">
        <v>7</v>
      </c>
      <c r="D14" s="17">
        <v>7</v>
      </c>
      <c r="E14" s="17">
        <v>7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155</v>
      </c>
      <c r="C15" s="17">
        <v>8</v>
      </c>
      <c r="D15" s="17">
        <v>6</v>
      </c>
      <c r="E15" s="17">
        <v>8</v>
      </c>
      <c r="G15" s="23" t="s">
        <v>11</v>
      </c>
      <c r="H15" s="22">
        <f t="shared" si="1"/>
        <v>435</v>
      </c>
      <c r="I15" s="22">
        <f t="shared" si="1"/>
        <v>341</v>
      </c>
      <c r="J15" s="25">
        <f t="shared" si="1"/>
        <v>504</v>
      </c>
    </row>
    <row r="16" spans="1:13" ht="17.25" thickBot="1" x14ac:dyDescent="0.35">
      <c r="A16" s="17" t="s">
        <v>1</v>
      </c>
      <c r="B16" s="17" t="s">
        <v>61</v>
      </c>
      <c r="C16" s="17">
        <v>7</v>
      </c>
      <c r="D16" s="17">
        <v>6</v>
      </c>
      <c r="E16" s="17">
        <v>8</v>
      </c>
      <c r="G16" s="26" t="s">
        <v>12</v>
      </c>
      <c r="H16" s="27">
        <f t="shared" si="1"/>
        <v>42</v>
      </c>
      <c r="I16" s="27">
        <f t="shared" si="1"/>
        <v>36</v>
      </c>
      <c r="J16" s="28">
        <f t="shared" si="1"/>
        <v>52</v>
      </c>
    </row>
    <row r="17" spans="1:5" x14ac:dyDescent="0.3">
      <c r="A17" s="17" t="s">
        <v>0</v>
      </c>
      <c r="B17" s="17" t="s">
        <v>51</v>
      </c>
      <c r="C17" s="17">
        <v>6</v>
      </c>
      <c r="D17" s="17">
        <v>6</v>
      </c>
      <c r="E17" s="17">
        <v>7</v>
      </c>
    </row>
    <row r="18" spans="1:5" x14ac:dyDescent="0.3">
      <c r="A18" s="17" t="s">
        <v>1</v>
      </c>
      <c r="B18" s="17" t="s">
        <v>149</v>
      </c>
      <c r="C18" s="17">
        <v>5</v>
      </c>
      <c r="D18" s="17">
        <v>5</v>
      </c>
      <c r="E18" s="17">
        <v>5</v>
      </c>
    </row>
    <row r="19" spans="1:5" x14ac:dyDescent="0.3">
      <c r="A19" s="17" t="s">
        <v>1</v>
      </c>
      <c r="B19" s="17" t="s">
        <v>89</v>
      </c>
      <c r="C19" s="17">
        <v>5</v>
      </c>
      <c r="D19" s="17">
        <v>5</v>
      </c>
      <c r="E19" s="17">
        <v>5</v>
      </c>
    </row>
    <row r="20" spans="1:5" x14ac:dyDescent="0.3">
      <c r="A20" s="17" t="s">
        <v>1</v>
      </c>
      <c r="B20" s="17" t="s">
        <v>1946</v>
      </c>
      <c r="C20" s="17">
        <v>11</v>
      </c>
      <c r="D20" s="17">
        <v>5</v>
      </c>
      <c r="E20" s="17">
        <v>12</v>
      </c>
    </row>
    <row r="21" spans="1:5" x14ac:dyDescent="0.3">
      <c r="A21" s="17" t="s">
        <v>1</v>
      </c>
      <c r="B21" s="17" t="s">
        <v>2075</v>
      </c>
      <c r="C21" s="17">
        <v>6</v>
      </c>
      <c r="D21" s="17">
        <v>5</v>
      </c>
      <c r="E21" s="17">
        <v>6</v>
      </c>
    </row>
    <row r="22" spans="1:5" x14ac:dyDescent="0.3">
      <c r="A22" s="17" t="s">
        <v>1</v>
      </c>
      <c r="B22" s="17" t="s">
        <v>2599</v>
      </c>
      <c r="C22" s="17">
        <v>24</v>
      </c>
      <c r="D22" s="17">
        <v>5</v>
      </c>
      <c r="E22" s="17">
        <v>27</v>
      </c>
    </row>
    <row r="23" spans="1:5" x14ac:dyDescent="0.3">
      <c r="A23" s="17" t="s">
        <v>1</v>
      </c>
      <c r="B23" s="17" t="s">
        <v>29</v>
      </c>
      <c r="C23" s="17">
        <v>5</v>
      </c>
      <c r="D23" s="17">
        <v>5</v>
      </c>
      <c r="E23" s="17">
        <v>5</v>
      </c>
    </row>
    <row r="24" spans="1:5" x14ac:dyDescent="0.3">
      <c r="A24" s="17" t="s">
        <v>1</v>
      </c>
      <c r="B24" s="17" t="s">
        <v>31</v>
      </c>
      <c r="C24" s="17">
        <v>6</v>
      </c>
      <c r="D24" s="17">
        <v>5</v>
      </c>
      <c r="E24" s="17">
        <v>6</v>
      </c>
    </row>
    <row r="25" spans="1:5" x14ac:dyDescent="0.3">
      <c r="A25" s="17" t="s">
        <v>0</v>
      </c>
      <c r="B25" s="17" t="s">
        <v>490</v>
      </c>
      <c r="C25" s="17">
        <v>5</v>
      </c>
      <c r="D25" s="17">
        <v>5</v>
      </c>
      <c r="E25" s="17">
        <v>6</v>
      </c>
    </row>
    <row r="26" spans="1:5" x14ac:dyDescent="0.3">
      <c r="A26" s="17" t="s">
        <v>0</v>
      </c>
      <c r="B26" s="17" t="s">
        <v>2395</v>
      </c>
      <c r="C26" s="17">
        <v>6</v>
      </c>
      <c r="D26" s="17">
        <v>5</v>
      </c>
      <c r="E26" s="17">
        <v>7</v>
      </c>
    </row>
    <row r="27" spans="1:5" x14ac:dyDescent="0.3">
      <c r="A27" s="17" t="s">
        <v>0</v>
      </c>
      <c r="B27" s="17" t="s">
        <v>39</v>
      </c>
      <c r="C27" s="17">
        <v>7</v>
      </c>
      <c r="D27" s="17">
        <v>5</v>
      </c>
      <c r="E27" s="17">
        <v>7</v>
      </c>
    </row>
    <row r="28" spans="1:5" x14ac:dyDescent="0.3">
      <c r="A28" s="17" t="s">
        <v>1</v>
      </c>
      <c r="B28" s="17" t="s">
        <v>79</v>
      </c>
      <c r="C28" s="17">
        <v>7</v>
      </c>
      <c r="D28" s="17">
        <v>4</v>
      </c>
      <c r="E28" s="17">
        <v>6</v>
      </c>
    </row>
    <row r="29" spans="1:5" x14ac:dyDescent="0.3">
      <c r="A29" s="17" t="s">
        <v>1</v>
      </c>
      <c r="B29" s="17" t="s">
        <v>265</v>
      </c>
      <c r="C29" s="17">
        <v>4</v>
      </c>
      <c r="D29" s="17">
        <v>4</v>
      </c>
      <c r="E29" s="17">
        <v>8</v>
      </c>
    </row>
    <row r="30" spans="1:5" x14ac:dyDescent="0.3">
      <c r="A30" s="17" t="s">
        <v>1</v>
      </c>
      <c r="B30" s="17" t="s">
        <v>289</v>
      </c>
      <c r="C30" s="17">
        <v>4</v>
      </c>
      <c r="D30" s="17">
        <v>4</v>
      </c>
      <c r="E30" s="17">
        <v>11</v>
      </c>
    </row>
    <row r="31" spans="1:5" x14ac:dyDescent="0.3">
      <c r="A31" s="17" t="s">
        <v>1</v>
      </c>
      <c r="B31" s="17" t="s">
        <v>331</v>
      </c>
      <c r="C31" s="17">
        <v>5</v>
      </c>
      <c r="D31" s="17">
        <v>4</v>
      </c>
      <c r="E31" s="17">
        <v>7</v>
      </c>
    </row>
    <row r="32" spans="1:5" x14ac:dyDescent="0.3">
      <c r="A32" s="17" t="s">
        <v>1</v>
      </c>
      <c r="B32" s="17" t="s">
        <v>39</v>
      </c>
      <c r="C32" s="17">
        <v>11</v>
      </c>
      <c r="D32" s="17">
        <v>4</v>
      </c>
      <c r="E32" s="17">
        <v>18</v>
      </c>
    </row>
    <row r="33" spans="1:5" x14ac:dyDescent="0.3">
      <c r="A33" s="17" t="s">
        <v>0</v>
      </c>
      <c r="B33" s="17" t="s">
        <v>61</v>
      </c>
      <c r="C33" s="17">
        <v>4</v>
      </c>
      <c r="D33" s="17">
        <v>4</v>
      </c>
      <c r="E33" s="17">
        <v>4</v>
      </c>
    </row>
    <row r="34" spans="1:5" x14ac:dyDescent="0.3">
      <c r="A34" s="17" t="s">
        <v>0</v>
      </c>
      <c r="B34" s="17" t="s">
        <v>2396</v>
      </c>
      <c r="C34" s="17">
        <v>6</v>
      </c>
      <c r="D34" s="17">
        <v>4</v>
      </c>
      <c r="E34" s="17">
        <v>7</v>
      </c>
    </row>
    <row r="35" spans="1:5" x14ac:dyDescent="0.3">
      <c r="A35" s="17" t="s">
        <v>0</v>
      </c>
      <c r="B35" s="17" t="s">
        <v>662</v>
      </c>
      <c r="C35" s="17">
        <v>4</v>
      </c>
      <c r="D35" s="17">
        <v>4</v>
      </c>
      <c r="E35" s="17">
        <v>4</v>
      </c>
    </row>
    <row r="36" spans="1:5" x14ac:dyDescent="0.3">
      <c r="A36" s="17" t="s">
        <v>0</v>
      </c>
      <c r="B36" s="17" t="s">
        <v>37</v>
      </c>
      <c r="C36" s="17">
        <v>4</v>
      </c>
      <c r="D36" s="17">
        <v>4</v>
      </c>
      <c r="E36" s="17">
        <v>4</v>
      </c>
    </row>
    <row r="37" spans="1:5" x14ac:dyDescent="0.3">
      <c r="A37" s="17" t="s">
        <v>0</v>
      </c>
      <c r="B37" s="17" t="s">
        <v>31</v>
      </c>
      <c r="C37" s="17">
        <v>4</v>
      </c>
      <c r="D37" s="17">
        <v>4</v>
      </c>
      <c r="E37" s="17">
        <v>4</v>
      </c>
    </row>
    <row r="38" spans="1:5" x14ac:dyDescent="0.3">
      <c r="A38" s="17" t="s">
        <v>2</v>
      </c>
      <c r="B38" s="17" t="s">
        <v>2572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517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221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2398</v>
      </c>
      <c r="C41" s="17">
        <v>5</v>
      </c>
      <c r="D41" s="17">
        <v>3</v>
      </c>
      <c r="E41" s="17">
        <v>5</v>
      </c>
    </row>
    <row r="42" spans="1:5" x14ac:dyDescent="0.3">
      <c r="A42" s="17" t="s">
        <v>1</v>
      </c>
      <c r="B42" s="17" t="s">
        <v>49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526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168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111</v>
      </c>
      <c r="C45" s="17">
        <v>3</v>
      </c>
      <c r="D45" s="17">
        <v>3</v>
      </c>
      <c r="E45" s="17">
        <v>4</v>
      </c>
    </row>
    <row r="46" spans="1:5" x14ac:dyDescent="0.3">
      <c r="A46" s="17" t="s">
        <v>1</v>
      </c>
      <c r="B46" s="17" t="s">
        <v>51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341</v>
      </c>
      <c r="C47" s="17">
        <v>3</v>
      </c>
      <c r="D47" s="17">
        <v>3</v>
      </c>
      <c r="E47" s="17">
        <v>4</v>
      </c>
    </row>
    <row r="48" spans="1:5" x14ac:dyDescent="0.3">
      <c r="A48" s="17" t="s">
        <v>1</v>
      </c>
      <c r="B48" s="17" t="s">
        <v>662</v>
      </c>
      <c r="C48" s="17">
        <v>5</v>
      </c>
      <c r="D48" s="17">
        <v>3</v>
      </c>
      <c r="E48" s="17">
        <v>5</v>
      </c>
    </row>
    <row r="49" spans="1:5" x14ac:dyDescent="0.3">
      <c r="A49" s="17" t="s">
        <v>1</v>
      </c>
      <c r="B49" s="17" t="s">
        <v>52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38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235</v>
      </c>
      <c r="C51" s="17">
        <v>13</v>
      </c>
      <c r="D51" s="17">
        <v>3</v>
      </c>
      <c r="E51" s="17">
        <v>21</v>
      </c>
    </row>
    <row r="52" spans="1:5" x14ac:dyDescent="0.3">
      <c r="A52" s="17" t="s">
        <v>1</v>
      </c>
      <c r="B52" s="17" t="s">
        <v>68</v>
      </c>
      <c r="C52" s="17">
        <v>8</v>
      </c>
      <c r="D52" s="17">
        <v>3</v>
      </c>
      <c r="E52" s="17">
        <v>11</v>
      </c>
    </row>
    <row r="53" spans="1:5" x14ac:dyDescent="0.3">
      <c r="A53" s="17" t="s">
        <v>1</v>
      </c>
      <c r="B53" s="17" t="s">
        <v>1213</v>
      </c>
      <c r="C53" s="17">
        <v>3</v>
      </c>
      <c r="D53" s="17">
        <v>3</v>
      </c>
      <c r="E53" s="17">
        <v>3</v>
      </c>
    </row>
    <row r="54" spans="1:5" x14ac:dyDescent="0.3">
      <c r="A54" s="17" t="s">
        <v>0</v>
      </c>
      <c r="B54" s="17" t="s">
        <v>48</v>
      </c>
      <c r="C54" s="17">
        <v>3</v>
      </c>
      <c r="D54" s="17">
        <v>3</v>
      </c>
      <c r="E54" s="17">
        <v>3</v>
      </c>
    </row>
    <row r="55" spans="1:5" x14ac:dyDescent="0.3">
      <c r="A55" s="17" t="s">
        <v>0</v>
      </c>
      <c r="B55" s="17" t="s">
        <v>79</v>
      </c>
      <c r="C55" s="17">
        <v>3</v>
      </c>
      <c r="D55" s="17">
        <v>3</v>
      </c>
      <c r="E55" s="17">
        <v>3</v>
      </c>
    </row>
    <row r="56" spans="1:5" x14ac:dyDescent="0.3">
      <c r="A56" s="17" t="s">
        <v>0</v>
      </c>
      <c r="B56" s="17" t="s">
        <v>60</v>
      </c>
      <c r="C56" s="17">
        <v>3</v>
      </c>
      <c r="D56" s="17">
        <v>3</v>
      </c>
      <c r="E56" s="17">
        <v>3</v>
      </c>
    </row>
    <row r="57" spans="1:5" x14ac:dyDescent="0.3">
      <c r="A57" s="17" t="s">
        <v>0</v>
      </c>
      <c r="B57" s="17" t="s">
        <v>528</v>
      </c>
      <c r="C57" s="17">
        <v>3</v>
      </c>
      <c r="D57" s="17">
        <v>3</v>
      </c>
      <c r="E57" s="17">
        <v>3</v>
      </c>
    </row>
    <row r="58" spans="1:5" x14ac:dyDescent="0.3">
      <c r="A58" s="17" t="s">
        <v>0</v>
      </c>
      <c r="B58" s="17" t="s">
        <v>163</v>
      </c>
      <c r="C58" s="17">
        <v>3</v>
      </c>
      <c r="D58" s="17">
        <v>3</v>
      </c>
      <c r="E58" s="17">
        <v>3</v>
      </c>
    </row>
    <row r="59" spans="1:5" x14ac:dyDescent="0.3">
      <c r="A59" s="17" t="s">
        <v>0</v>
      </c>
      <c r="B59" s="17" t="s">
        <v>63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350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929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207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59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247</v>
      </c>
      <c r="C64" s="17">
        <v>2</v>
      </c>
      <c r="D64" s="17">
        <v>2</v>
      </c>
      <c r="E64" s="17">
        <v>3</v>
      </c>
    </row>
    <row r="65" spans="1:5" x14ac:dyDescent="0.3">
      <c r="A65" s="17" t="s">
        <v>1</v>
      </c>
      <c r="B65" s="17" t="s">
        <v>479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152</v>
      </c>
      <c r="C66" s="17">
        <v>4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362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1060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60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1927</v>
      </c>
      <c r="C70" s="17">
        <v>4</v>
      </c>
      <c r="D70" s="17">
        <v>2</v>
      </c>
      <c r="E70" s="17">
        <v>4</v>
      </c>
    </row>
    <row r="71" spans="1:5" x14ac:dyDescent="0.3">
      <c r="A71" s="17" t="s">
        <v>1</v>
      </c>
      <c r="B71" s="17" t="s">
        <v>2429</v>
      </c>
      <c r="C71" s="17">
        <v>5</v>
      </c>
      <c r="D71" s="17">
        <v>2</v>
      </c>
      <c r="E71" s="17">
        <v>5</v>
      </c>
    </row>
    <row r="72" spans="1:5" x14ac:dyDescent="0.3">
      <c r="A72" s="17" t="s">
        <v>1</v>
      </c>
      <c r="B72" s="17" t="s">
        <v>97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492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946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163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28</v>
      </c>
      <c r="C76" s="17">
        <v>3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1670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165</v>
      </c>
      <c r="C78" s="17">
        <v>4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199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872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291</v>
      </c>
      <c r="C81" s="17">
        <v>3</v>
      </c>
      <c r="D81" s="17">
        <v>2</v>
      </c>
      <c r="E81" s="17">
        <v>5</v>
      </c>
    </row>
    <row r="82" spans="1:5" x14ac:dyDescent="0.3">
      <c r="A82" s="17" t="s">
        <v>1</v>
      </c>
      <c r="B82" s="17" t="s">
        <v>1375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44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1344</v>
      </c>
      <c r="C84" s="17">
        <v>3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45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385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415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176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494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120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63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259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848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195</v>
      </c>
      <c r="C94" s="17">
        <v>5</v>
      </c>
      <c r="D94" s="17">
        <v>2</v>
      </c>
      <c r="E94" s="17">
        <v>8</v>
      </c>
    </row>
    <row r="95" spans="1:5" x14ac:dyDescent="0.3">
      <c r="A95" s="17" t="s">
        <v>1</v>
      </c>
      <c r="B95" s="17" t="s">
        <v>1741</v>
      </c>
      <c r="C95" s="17">
        <v>2</v>
      </c>
      <c r="D95" s="17">
        <v>2</v>
      </c>
      <c r="E95" s="17"/>
    </row>
    <row r="96" spans="1:5" x14ac:dyDescent="0.3">
      <c r="A96" s="17" t="s">
        <v>1</v>
      </c>
      <c r="B96" s="17" t="s">
        <v>850</v>
      </c>
      <c r="C96" s="17">
        <v>2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1889</v>
      </c>
      <c r="C97" s="17">
        <v>2</v>
      </c>
      <c r="D97" s="17">
        <v>3</v>
      </c>
      <c r="E97" s="17"/>
    </row>
    <row r="98" spans="1:5" x14ac:dyDescent="0.3">
      <c r="A98" s="17" t="s">
        <v>0</v>
      </c>
      <c r="B98" s="17" t="s">
        <v>47</v>
      </c>
      <c r="C98" s="17">
        <v>2</v>
      </c>
      <c r="D98" s="17">
        <v>2</v>
      </c>
      <c r="E98" s="17">
        <v>2</v>
      </c>
    </row>
    <row r="99" spans="1:5" x14ac:dyDescent="0.3">
      <c r="A99" s="17" t="s">
        <v>0</v>
      </c>
      <c r="B99" s="17" t="s">
        <v>40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215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151</v>
      </c>
      <c r="C101" s="17">
        <v>2</v>
      </c>
      <c r="D101" s="17">
        <v>2</v>
      </c>
      <c r="E101" s="17">
        <v>3</v>
      </c>
    </row>
    <row r="102" spans="1:5" x14ac:dyDescent="0.3">
      <c r="A102" s="17" t="s">
        <v>0</v>
      </c>
      <c r="B102" s="17" t="s">
        <v>93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1927</v>
      </c>
      <c r="C103" s="17">
        <v>2</v>
      </c>
      <c r="D103" s="17">
        <v>2</v>
      </c>
      <c r="E103" s="17">
        <v>3</v>
      </c>
    </row>
    <row r="104" spans="1:5" x14ac:dyDescent="0.3">
      <c r="A104" s="17" t="s">
        <v>0</v>
      </c>
      <c r="B104" s="17" t="s">
        <v>35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28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352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869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291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45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595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62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1603</v>
      </c>
      <c r="C112" s="17">
        <v>2</v>
      </c>
      <c r="D112" s="17">
        <v>2</v>
      </c>
      <c r="E112" s="17">
        <v>5</v>
      </c>
    </row>
    <row r="113" spans="1:5" x14ac:dyDescent="0.3">
      <c r="A113" s="17" t="s">
        <v>0</v>
      </c>
      <c r="B113" s="17" t="s">
        <v>1120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0</v>
      </c>
      <c r="B114" s="17" t="s">
        <v>68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0</v>
      </c>
      <c r="B115" s="17" t="s">
        <v>196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2</v>
      </c>
      <c r="B116" s="17" t="s">
        <v>169</v>
      </c>
      <c r="C116" s="17">
        <v>3</v>
      </c>
      <c r="D116" s="17">
        <v>2</v>
      </c>
      <c r="E116" s="17">
        <v>4</v>
      </c>
    </row>
    <row r="117" spans="1:5" x14ac:dyDescent="0.3">
      <c r="A117" s="17" t="s">
        <v>2</v>
      </c>
      <c r="B117" s="17" t="s">
        <v>343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1</v>
      </c>
      <c r="B118" s="17" t="s">
        <v>489</v>
      </c>
      <c r="C118" s="17">
        <v>2</v>
      </c>
      <c r="D118" s="17">
        <v>1</v>
      </c>
      <c r="E118" s="17">
        <v>2</v>
      </c>
    </row>
    <row r="119" spans="1:5" x14ac:dyDescent="0.3">
      <c r="A119" s="17" t="s">
        <v>1</v>
      </c>
      <c r="B119" s="17" t="s">
        <v>202</v>
      </c>
      <c r="C119" s="17">
        <v>2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389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504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1490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1664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1250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579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792</v>
      </c>
      <c r="C126" s="17">
        <v>2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613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383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615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581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73</v>
      </c>
      <c r="C131" s="17">
        <v>1</v>
      </c>
      <c r="D131" s="17">
        <v>1</v>
      </c>
      <c r="E131" s="17">
        <v>2</v>
      </c>
    </row>
    <row r="132" spans="1:5" x14ac:dyDescent="0.3">
      <c r="A132" s="17" t="s">
        <v>1</v>
      </c>
      <c r="B132" s="17" t="s">
        <v>33</v>
      </c>
      <c r="C132" s="17">
        <v>2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705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144</v>
      </c>
      <c r="C134" s="17">
        <v>2</v>
      </c>
      <c r="D134" s="17">
        <v>1</v>
      </c>
      <c r="E134" s="17">
        <v>2</v>
      </c>
    </row>
    <row r="135" spans="1:5" x14ac:dyDescent="0.3">
      <c r="A135" s="17" t="s">
        <v>1</v>
      </c>
      <c r="B135" s="17" t="s">
        <v>272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706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2615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858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273</v>
      </c>
      <c r="C139" s="17">
        <v>2</v>
      </c>
      <c r="D139" s="17">
        <v>1</v>
      </c>
      <c r="E139" s="17">
        <v>4</v>
      </c>
    </row>
    <row r="140" spans="1:5" x14ac:dyDescent="0.3">
      <c r="A140" s="17" t="s">
        <v>1</v>
      </c>
      <c r="B140" s="17" t="s">
        <v>210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146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490</v>
      </c>
      <c r="C142" s="17">
        <v>2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147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626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859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860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278</v>
      </c>
      <c r="C147" s="17">
        <v>1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214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708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148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584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1090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1360</v>
      </c>
      <c r="C153" s="17">
        <v>1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1282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218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92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219</v>
      </c>
      <c r="C157" s="17">
        <v>3</v>
      </c>
      <c r="D157" s="17">
        <v>1</v>
      </c>
      <c r="E157" s="17">
        <v>4</v>
      </c>
    </row>
    <row r="158" spans="1:5" x14ac:dyDescent="0.3">
      <c r="A158" s="17" t="s">
        <v>1</v>
      </c>
      <c r="B158" s="17" t="s">
        <v>281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1564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93</v>
      </c>
      <c r="C160" s="17">
        <v>2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154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364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42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642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487</v>
      </c>
      <c r="C165" s="17">
        <v>4</v>
      </c>
      <c r="D165" s="17">
        <v>1</v>
      </c>
      <c r="E165" s="17">
        <v>4</v>
      </c>
    </row>
    <row r="166" spans="1:5" x14ac:dyDescent="0.3">
      <c r="A166" s="17" t="s">
        <v>1</v>
      </c>
      <c r="B166" s="17" t="s">
        <v>686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909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1518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1660</v>
      </c>
      <c r="C169" s="17">
        <v>2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1691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1897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1911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1912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2293</v>
      </c>
      <c r="C174" s="17">
        <v>2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2399</v>
      </c>
      <c r="C175" s="17">
        <v>2</v>
      </c>
      <c r="D175" s="17">
        <v>1</v>
      </c>
      <c r="E175" s="17">
        <v>3</v>
      </c>
    </row>
    <row r="176" spans="1:5" x14ac:dyDescent="0.3">
      <c r="A176" s="17" t="s">
        <v>1</v>
      </c>
      <c r="B176" s="17" t="s">
        <v>2443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2428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2397</v>
      </c>
      <c r="C178" s="17">
        <v>4</v>
      </c>
      <c r="D178" s="17">
        <v>1</v>
      </c>
      <c r="E178" s="17">
        <v>4</v>
      </c>
    </row>
    <row r="179" spans="1:5" x14ac:dyDescent="0.3">
      <c r="A179" s="17" t="s">
        <v>1</v>
      </c>
      <c r="B179" s="17" t="s">
        <v>2396</v>
      </c>
      <c r="C179" s="17">
        <v>14</v>
      </c>
      <c r="D179" s="17">
        <v>1</v>
      </c>
      <c r="E179" s="17">
        <v>16</v>
      </c>
    </row>
    <row r="180" spans="1:5" x14ac:dyDescent="0.3">
      <c r="A180" s="17" t="s">
        <v>1</v>
      </c>
      <c r="B180" s="17" t="s">
        <v>2616</v>
      </c>
      <c r="C180" s="17">
        <v>10</v>
      </c>
      <c r="D180" s="17">
        <v>1</v>
      </c>
      <c r="E180" s="17">
        <v>11</v>
      </c>
    </row>
    <row r="181" spans="1:5" x14ac:dyDescent="0.3">
      <c r="A181" s="17" t="s">
        <v>1</v>
      </c>
      <c r="B181" s="17" t="s">
        <v>158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713</v>
      </c>
      <c r="C182" s="17">
        <v>2</v>
      </c>
      <c r="D182" s="17">
        <v>1</v>
      </c>
      <c r="E182" s="17">
        <v>3</v>
      </c>
    </row>
    <row r="183" spans="1:5" x14ac:dyDescent="0.3">
      <c r="A183" s="17" t="s">
        <v>1</v>
      </c>
      <c r="B183" s="17" t="s">
        <v>524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1601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318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1103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2156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945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2617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1275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160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1482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1069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2618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1129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1442</v>
      </c>
      <c r="C196" s="17">
        <v>1</v>
      </c>
      <c r="D196" s="17">
        <v>1</v>
      </c>
      <c r="E196" s="17">
        <v>6</v>
      </c>
    </row>
    <row r="197" spans="1:5" x14ac:dyDescent="0.3">
      <c r="A197" s="17" t="s">
        <v>1</v>
      </c>
      <c r="B197" s="17" t="s">
        <v>2430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106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107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43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1130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1614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2619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1650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442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591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948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1443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2060</v>
      </c>
      <c r="C209" s="17">
        <v>1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1273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169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50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406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1099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407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649</v>
      </c>
      <c r="C216" s="17">
        <v>2</v>
      </c>
      <c r="D216" s="17">
        <v>1</v>
      </c>
      <c r="E216" s="17">
        <v>3</v>
      </c>
    </row>
    <row r="217" spans="1:5" x14ac:dyDescent="0.3">
      <c r="A217" s="17" t="s">
        <v>1</v>
      </c>
      <c r="B217" s="17" t="s">
        <v>871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1003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113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1725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1828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290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534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2221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174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1004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1227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2026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326</v>
      </c>
      <c r="C229" s="17">
        <v>3</v>
      </c>
      <c r="D229" s="17">
        <v>1</v>
      </c>
      <c r="E229" s="17">
        <v>3</v>
      </c>
    </row>
    <row r="230" spans="1:5" x14ac:dyDescent="0.3">
      <c r="A230" s="17" t="s">
        <v>1</v>
      </c>
      <c r="B230" s="17" t="s">
        <v>1345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1186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330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467</v>
      </c>
      <c r="C233" s="17">
        <v>2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295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2620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413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1292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2621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1556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1635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2622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337</v>
      </c>
      <c r="C242" s="17">
        <v>2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681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1</v>
      </c>
      <c r="B244" s="17" t="s">
        <v>780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2623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2624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1110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887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1362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417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448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735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342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343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1</v>
      </c>
      <c r="B255" s="17" t="s">
        <v>122</v>
      </c>
      <c r="C255" s="17">
        <v>2</v>
      </c>
      <c r="D255" s="17">
        <v>1</v>
      </c>
      <c r="E255" s="17">
        <v>2</v>
      </c>
    </row>
    <row r="256" spans="1:5" x14ac:dyDescent="0.3">
      <c r="A256" s="17" t="s">
        <v>1</v>
      </c>
      <c r="B256" s="17" t="s">
        <v>2625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2048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124</v>
      </c>
      <c r="C258" s="17">
        <v>2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695</v>
      </c>
      <c r="C259" s="17">
        <v>2</v>
      </c>
      <c r="D259" s="17">
        <v>1</v>
      </c>
      <c r="E259" s="17">
        <v>2</v>
      </c>
    </row>
    <row r="260" spans="1:5" x14ac:dyDescent="0.3">
      <c r="A260" s="17" t="s">
        <v>1</v>
      </c>
      <c r="B260" s="17" t="s">
        <v>1014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418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346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791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300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375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557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1265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1296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745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746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180</v>
      </c>
      <c r="C271" s="17">
        <v>1</v>
      </c>
      <c r="D271" s="17">
        <v>1</v>
      </c>
      <c r="E271" s="17">
        <v>2</v>
      </c>
    </row>
    <row r="272" spans="1:5" x14ac:dyDescent="0.3">
      <c r="A272" s="17" t="s">
        <v>1</v>
      </c>
      <c r="B272" s="17" t="s">
        <v>1585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703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664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2626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425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2627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897</v>
      </c>
      <c r="C278" s="17">
        <v>1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2014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561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472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262</v>
      </c>
      <c r="C282" s="17">
        <v>2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128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131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751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134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825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65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826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454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1730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1669</v>
      </c>
      <c r="C292" s="17">
        <v>2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234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500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53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849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193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194</v>
      </c>
      <c r="C298" s="17">
        <v>2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1837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67</v>
      </c>
      <c r="C300" s="17">
        <v>3</v>
      </c>
      <c r="D300" s="17">
        <v>1</v>
      </c>
      <c r="E300" s="17">
        <v>4</v>
      </c>
    </row>
    <row r="301" spans="1:5" x14ac:dyDescent="0.3">
      <c r="A301" s="17" t="s">
        <v>1</v>
      </c>
      <c r="B301" s="17" t="s">
        <v>54</v>
      </c>
      <c r="C301" s="17">
        <v>6</v>
      </c>
      <c r="D301" s="17">
        <v>1</v>
      </c>
      <c r="E301" s="17">
        <v>8</v>
      </c>
    </row>
    <row r="302" spans="1:5" x14ac:dyDescent="0.3">
      <c r="A302" s="17" t="s">
        <v>1</v>
      </c>
      <c r="B302" s="17" t="s">
        <v>55</v>
      </c>
      <c r="C302" s="17">
        <v>6</v>
      </c>
      <c r="D302" s="17">
        <v>1</v>
      </c>
      <c r="E302" s="17">
        <v>6</v>
      </c>
    </row>
    <row r="303" spans="1:5" x14ac:dyDescent="0.3">
      <c r="A303" s="17" t="s">
        <v>1</v>
      </c>
      <c r="B303" s="17" t="s">
        <v>1125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2628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755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2194</v>
      </c>
      <c r="C306" s="17">
        <v>1</v>
      </c>
      <c r="D306" s="17">
        <v>1</v>
      </c>
      <c r="E306" s="17">
        <v>2</v>
      </c>
    </row>
    <row r="307" spans="1:5" x14ac:dyDescent="0.3">
      <c r="A307" s="17" t="s">
        <v>1</v>
      </c>
      <c r="B307" s="17" t="s">
        <v>2629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571</v>
      </c>
      <c r="C308" s="17">
        <v>1</v>
      </c>
      <c r="D308" s="17">
        <v>1</v>
      </c>
      <c r="E308" s="17"/>
    </row>
    <row r="309" spans="1:5" x14ac:dyDescent="0.3">
      <c r="A309" s="17" t="s">
        <v>1</v>
      </c>
      <c r="B309" s="17" t="s">
        <v>572</v>
      </c>
      <c r="C309" s="17">
        <v>1</v>
      </c>
      <c r="D309" s="17">
        <v>1</v>
      </c>
      <c r="E309" s="17"/>
    </row>
    <row r="310" spans="1:5" x14ac:dyDescent="0.3">
      <c r="A310" s="17" t="s">
        <v>1</v>
      </c>
      <c r="B310" s="17" t="s">
        <v>1766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2630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266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2631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2632</v>
      </c>
      <c r="C314" s="17">
        <v>1</v>
      </c>
      <c r="D314" s="17">
        <v>1</v>
      </c>
      <c r="E314" s="17"/>
    </row>
    <row r="315" spans="1:5" x14ac:dyDescent="0.3">
      <c r="A315" s="17" t="s">
        <v>1</v>
      </c>
      <c r="B315" s="17" t="s">
        <v>1098</v>
      </c>
      <c r="C315" s="17">
        <v>1</v>
      </c>
      <c r="D315" s="17">
        <v>1</v>
      </c>
      <c r="E315" s="17"/>
    </row>
    <row r="316" spans="1:5" x14ac:dyDescent="0.3">
      <c r="A316" s="17" t="s">
        <v>1</v>
      </c>
      <c r="B316" s="17" t="s">
        <v>1592</v>
      </c>
      <c r="C316" s="17">
        <v>1</v>
      </c>
      <c r="D316" s="17">
        <v>1</v>
      </c>
      <c r="E316" s="17"/>
    </row>
    <row r="317" spans="1:5" x14ac:dyDescent="0.3">
      <c r="A317" s="17" t="s">
        <v>1</v>
      </c>
      <c r="B317" s="17" t="s">
        <v>2633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2634</v>
      </c>
      <c r="C318" s="17">
        <v>1</v>
      </c>
      <c r="D318" s="17">
        <v>1</v>
      </c>
      <c r="E318" s="17">
        <v>4</v>
      </c>
    </row>
    <row r="319" spans="1:5" x14ac:dyDescent="0.3">
      <c r="A319" s="17" t="s">
        <v>1</v>
      </c>
      <c r="B319" s="17" t="s">
        <v>2489</v>
      </c>
      <c r="C319" s="17">
        <v>1</v>
      </c>
      <c r="D319" s="17">
        <v>1</v>
      </c>
      <c r="E319" s="17"/>
    </row>
    <row r="320" spans="1:5" x14ac:dyDescent="0.3">
      <c r="A320" s="17" t="s">
        <v>1</v>
      </c>
      <c r="B320" s="17" t="s">
        <v>2178</v>
      </c>
      <c r="C320" s="17">
        <v>1</v>
      </c>
      <c r="D320" s="17">
        <v>1</v>
      </c>
      <c r="E320" s="17"/>
    </row>
    <row r="321" spans="1:5" x14ac:dyDescent="0.3">
      <c r="A321" s="17" t="s">
        <v>1</v>
      </c>
      <c r="B321" s="17" t="s">
        <v>760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2190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790</v>
      </c>
      <c r="C323" s="17">
        <v>1</v>
      </c>
      <c r="D323" s="17">
        <v>1</v>
      </c>
      <c r="E323" s="17"/>
    </row>
    <row r="324" spans="1:5" x14ac:dyDescent="0.3">
      <c r="A324" s="17" t="s">
        <v>1</v>
      </c>
      <c r="B324" s="17" t="s">
        <v>1695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32</v>
      </c>
      <c r="C325" s="17">
        <v>5</v>
      </c>
      <c r="D325" s="17">
        <v>1</v>
      </c>
      <c r="E325" s="17">
        <v>6</v>
      </c>
    </row>
    <row r="326" spans="1:5" x14ac:dyDescent="0.3">
      <c r="A326" s="17" t="s">
        <v>1</v>
      </c>
      <c r="B326" s="17" t="s">
        <v>1031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983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242</v>
      </c>
      <c r="C328" s="17">
        <v>2</v>
      </c>
      <c r="D328" s="17">
        <v>1</v>
      </c>
      <c r="E328" s="17">
        <v>2</v>
      </c>
    </row>
    <row r="329" spans="1:5" x14ac:dyDescent="0.3">
      <c r="A329" s="17" t="s">
        <v>0</v>
      </c>
      <c r="B329" s="17" t="s">
        <v>1633</v>
      </c>
      <c r="C329" s="17">
        <v>1</v>
      </c>
      <c r="D329" s="17">
        <v>1</v>
      </c>
      <c r="E329" s="17">
        <v>2</v>
      </c>
    </row>
    <row r="330" spans="1:5" x14ac:dyDescent="0.3">
      <c r="A330" s="17" t="s">
        <v>0</v>
      </c>
      <c r="B330" s="17" t="s">
        <v>270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75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2000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906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247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34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82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1314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278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908</v>
      </c>
      <c r="C339" s="17">
        <v>2</v>
      </c>
      <c r="D339" s="17">
        <v>1</v>
      </c>
      <c r="E339" s="17">
        <v>2</v>
      </c>
    </row>
    <row r="340" spans="1:5" x14ac:dyDescent="0.3">
      <c r="A340" s="17" t="s">
        <v>0</v>
      </c>
      <c r="B340" s="17" t="s">
        <v>315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520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280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149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152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636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281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155</v>
      </c>
      <c r="C347" s="17">
        <v>2</v>
      </c>
      <c r="D347" s="17">
        <v>1</v>
      </c>
      <c r="E347" s="17">
        <v>3</v>
      </c>
    </row>
    <row r="348" spans="1:5" x14ac:dyDescent="0.3">
      <c r="A348" s="17" t="s">
        <v>0</v>
      </c>
      <c r="B348" s="17" t="s">
        <v>365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156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487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909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1643</v>
      </c>
      <c r="C352" s="17">
        <v>1</v>
      </c>
      <c r="D352" s="17">
        <v>1</v>
      </c>
      <c r="E352" s="17">
        <v>3</v>
      </c>
    </row>
    <row r="353" spans="1:5" x14ac:dyDescent="0.3">
      <c r="A353" s="17" t="s">
        <v>0</v>
      </c>
      <c r="B353" s="17" t="s">
        <v>1941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1946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2398</v>
      </c>
      <c r="C355" s="17">
        <v>3</v>
      </c>
      <c r="D355" s="17">
        <v>1</v>
      </c>
      <c r="E355" s="17">
        <v>3</v>
      </c>
    </row>
    <row r="356" spans="1:5" x14ac:dyDescent="0.3">
      <c r="A356" s="17" t="s">
        <v>0</v>
      </c>
      <c r="B356" s="17" t="s">
        <v>2397</v>
      </c>
      <c r="C356" s="17">
        <v>2</v>
      </c>
      <c r="D356" s="17">
        <v>1</v>
      </c>
      <c r="E356" s="17">
        <v>2</v>
      </c>
    </row>
    <row r="357" spans="1:5" x14ac:dyDescent="0.3">
      <c r="A357" s="17" t="s">
        <v>0</v>
      </c>
      <c r="B357" s="17" t="s">
        <v>2616</v>
      </c>
      <c r="C357" s="17">
        <v>2</v>
      </c>
      <c r="D357" s="17">
        <v>1</v>
      </c>
      <c r="E357" s="17">
        <v>2</v>
      </c>
    </row>
    <row r="358" spans="1:5" x14ac:dyDescent="0.3">
      <c r="A358" s="17" t="s">
        <v>0</v>
      </c>
      <c r="B358" s="17" t="s">
        <v>585</v>
      </c>
      <c r="C358" s="17">
        <v>1</v>
      </c>
      <c r="D358" s="17">
        <v>1</v>
      </c>
      <c r="E358" s="17">
        <v>2</v>
      </c>
    </row>
    <row r="359" spans="1:5" x14ac:dyDescent="0.3">
      <c r="A359" s="17" t="s">
        <v>0</v>
      </c>
      <c r="B359" s="17" t="s">
        <v>1103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492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1066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1479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99</v>
      </c>
      <c r="C363" s="17">
        <v>1</v>
      </c>
      <c r="D363" s="17">
        <v>1</v>
      </c>
      <c r="E363" s="17">
        <v>2</v>
      </c>
    </row>
    <row r="364" spans="1:5" x14ac:dyDescent="0.3">
      <c r="A364" s="17" t="s">
        <v>0</v>
      </c>
      <c r="B364" s="17" t="s">
        <v>100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803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840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1105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588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1145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1220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0</v>
      </c>
      <c r="B371" s="17" t="s">
        <v>2635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103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1146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0</v>
      </c>
      <c r="B374" s="17" t="s">
        <v>253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717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107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1181</v>
      </c>
      <c r="C377" s="17">
        <v>1</v>
      </c>
      <c r="D377" s="17">
        <v>1</v>
      </c>
      <c r="E377" s="17">
        <v>2</v>
      </c>
    </row>
    <row r="378" spans="1:5" x14ac:dyDescent="0.3">
      <c r="A378" s="17" t="s">
        <v>0</v>
      </c>
      <c r="B378" s="17" t="s">
        <v>1343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167</v>
      </c>
      <c r="C379" s="17">
        <v>1</v>
      </c>
      <c r="D379" s="17">
        <v>1</v>
      </c>
      <c r="E379" s="17">
        <v>2</v>
      </c>
    </row>
    <row r="380" spans="1:5" x14ac:dyDescent="0.3">
      <c r="A380" s="17" t="s">
        <v>0</v>
      </c>
      <c r="B380" s="17" t="s">
        <v>442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199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110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593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1002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1215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694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325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326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539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1527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2636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2637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330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950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297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370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1957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413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336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2394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117</v>
      </c>
      <c r="C401" s="17">
        <v>1</v>
      </c>
      <c r="D401" s="17">
        <v>1</v>
      </c>
      <c r="E401" s="17">
        <v>2</v>
      </c>
    </row>
    <row r="402" spans="1:5" x14ac:dyDescent="0.3">
      <c r="A402" s="17" t="s">
        <v>0</v>
      </c>
      <c r="B402" s="17" t="s">
        <v>681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887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1232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416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388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342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200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2638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123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124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178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179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555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743</v>
      </c>
      <c r="C415" s="17">
        <v>1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302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181</v>
      </c>
      <c r="C417" s="17">
        <v>1</v>
      </c>
      <c r="D417" s="17">
        <v>1</v>
      </c>
      <c r="E417" s="17">
        <v>2</v>
      </c>
    </row>
    <row r="418" spans="1:5" x14ac:dyDescent="0.3">
      <c r="A418" s="17" t="s">
        <v>0</v>
      </c>
      <c r="B418" s="17" t="s">
        <v>182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896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666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897</v>
      </c>
      <c r="C421" s="17">
        <v>1</v>
      </c>
      <c r="D421" s="17">
        <v>1</v>
      </c>
      <c r="E421" s="17">
        <v>3</v>
      </c>
    </row>
    <row r="422" spans="1:5" x14ac:dyDescent="0.3">
      <c r="A422" s="17" t="s">
        <v>0</v>
      </c>
      <c r="B422" s="17" t="s">
        <v>698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184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428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128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2592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132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453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38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305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135</v>
      </c>
      <c r="C431" s="17">
        <v>2</v>
      </c>
      <c r="D431" s="17">
        <v>1</v>
      </c>
      <c r="E431" s="17">
        <v>2</v>
      </c>
    </row>
    <row r="432" spans="1:5" x14ac:dyDescent="0.3">
      <c r="A432" s="17" t="s">
        <v>0</v>
      </c>
      <c r="B432" s="17" t="s">
        <v>921</v>
      </c>
      <c r="C432" s="17">
        <v>1</v>
      </c>
      <c r="D432" s="17">
        <v>1</v>
      </c>
      <c r="E432" s="17">
        <v>2</v>
      </c>
    </row>
    <row r="433" spans="1:5" x14ac:dyDescent="0.3">
      <c r="A433" s="17" t="s">
        <v>0</v>
      </c>
      <c r="B433" s="17" t="s">
        <v>306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195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673</v>
      </c>
      <c r="C435" s="17">
        <v>2</v>
      </c>
      <c r="D435" s="17">
        <v>1</v>
      </c>
      <c r="E435" s="17">
        <v>2</v>
      </c>
    </row>
    <row r="436" spans="1:5" x14ac:dyDescent="0.3">
      <c r="A436" s="17" t="s">
        <v>0</v>
      </c>
      <c r="B436" s="17" t="s">
        <v>1832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1026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922</v>
      </c>
      <c r="C438" s="17">
        <v>1</v>
      </c>
      <c r="D438" s="17">
        <v>1</v>
      </c>
      <c r="E438" s="17"/>
    </row>
    <row r="439" spans="1:5" x14ac:dyDescent="0.3">
      <c r="A439" s="17" t="s">
        <v>0</v>
      </c>
      <c r="B439" s="17" t="s">
        <v>573</v>
      </c>
      <c r="C439" s="17">
        <v>1</v>
      </c>
      <c r="D439" s="17">
        <v>1</v>
      </c>
      <c r="E439" s="17"/>
    </row>
    <row r="440" spans="1:5" x14ac:dyDescent="0.3">
      <c r="A440" s="17" t="s">
        <v>0</v>
      </c>
      <c r="B440" s="17" t="s">
        <v>2256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970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1138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2032</v>
      </c>
      <c r="C443" s="17">
        <v>1</v>
      </c>
      <c r="D443" s="17">
        <v>1</v>
      </c>
      <c r="E443" s="17"/>
    </row>
    <row r="444" spans="1:5" x14ac:dyDescent="0.3">
      <c r="A444" s="17" t="s">
        <v>0</v>
      </c>
      <c r="B444" s="17" t="s">
        <v>2291</v>
      </c>
      <c r="C444" s="17">
        <v>1</v>
      </c>
      <c r="D444" s="17">
        <v>1</v>
      </c>
      <c r="E444" s="17"/>
    </row>
    <row r="445" spans="1:5" x14ac:dyDescent="0.3">
      <c r="A445" s="17" t="s">
        <v>0</v>
      </c>
      <c r="B445" s="17" t="s">
        <v>1031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2</v>
      </c>
      <c r="B446" s="17" t="s">
        <v>584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2</v>
      </c>
      <c r="B447" s="17" t="s">
        <v>281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2</v>
      </c>
      <c r="B448" s="17" t="s">
        <v>436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2</v>
      </c>
      <c r="B449" s="17" t="s">
        <v>365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2</v>
      </c>
      <c r="B450" s="17" t="s">
        <v>1927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2</v>
      </c>
      <c r="B451" s="17" t="s">
        <v>2075</v>
      </c>
      <c r="C451" s="17">
        <v>2</v>
      </c>
      <c r="D451" s="17">
        <v>1</v>
      </c>
      <c r="E451" s="17">
        <v>2</v>
      </c>
    </row>
    <row r="452" spans="1:5" x14ac:dyDescent="0.3">
      <c r="A452" s="17" t="s">
        <v>2</v>
      </c>
      <c r="B452" s="17" t="s">
        <v>2395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2</v>
      </c>
      <c r="B453" s="17" t="s">
        <v>168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2</v>
      </c>
      <c r="B454" s="17" t="s">
        <v>29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2</v>
      </c>
      <c r="B455" s="17" t="s">
        <v>442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2</v>
      </c>
      <c r="B456" s="17" t="s">
        <v>199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2</v>
      </c>
      <c r="B457" s="17" t="s">
        <v>51</v>
      </c>
      <c r="C457" s="17">
        <v>1</v>
      </c>
      <c r="D457" s="17">
        <v>1</v>
      </c>
      <c r="E457" s="17">
        <v>2</v>
      </c>
    </row>
    <row r="458" spans="1:5" x14ac:dyDescent="0.3">
      <c r="A458" s="17" t="s">
        <v>2</v>
      </c>
      <c r="B458" s="17" t="s">
        <v>2639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2</v>
      </c>
      <c r="B459" s="17" t="s">
        <v>897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2</v>
      </c>
      <c r="B460" s="17" t="s">
        <v>1120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2</v>
      </c>
      <c r="B461" s="17" t="s">
        <v>201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2</v>
      </c>
      <c r="B462" s="17" t="s">
        <v>31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2</v>
      </c>
      <c r="B463" s="17" t="s">
        <v>135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2</v>
      </c>
      <c r="B464" s="17" t="s">
        <v>1548</v>
      </c>
      <c r="C464" s="17">
        <v>1</v>
      </c>
      <c r="D464" s="17">
        <v>1</v>
      </c>
      <c r="E464" s="17">
        <v>3</v>
      </c>
    </row>
    <row r="465" spans="1:5" x14ac:dyDescent="0.3">
      <c r="A465" s="17" t="s">
        <v>1</v>
      </c>
      <c r="B465" s="17" t="s">
        <v>608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983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984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1032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1365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36</v>
      </c>
      <c r="C470" s="17">
        <v>3</v>
      </c>
      <c r="D470" s="17">
        <v>0</v>
      </c>
      <c r="E470" s="17">
        <v>2</v>
      </c>
    </row>
    <row r="471" spans="1:5" x14ac:dyDescent="0.3">
      <c r="A471" s="17" t="s">
        <v>1</v>
      </c>
      <c r="B471" s="17" t="s">
        <v>1366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203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244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269</v>
      </c>
      <c r="C474" s="17">
        <v>2</v>
      </c>
      <c r="D474" s="17">
        <v>0</v>
      </c>
      <c r="E474" s="17">
        <v>2</v>
      </c>
    </row>
    <row r="475" spans="1:5" x14ac:dyDescent="0.3">
      <c r="A475" s="17" t="s">
        <v>1</v>
      </c>
      <c r="B475" s="17" t="s">
        <v>142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72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392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904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614</v>
      </c>
      <c r="C479" s="17">
        <v>1</v>
      </c>
      <c r="D479" s="17">
        <v>0</v>
      </c>
      <c r="E479" s="17">
        <v>2</v>
      </c>
    </row>
    <row r="480" spans="1:5" x14ac:dyDescent="0.3">
      <c r="A480" s="17" t="s">
        <v>1</v>
      </c>
      <c r="B480" s="17" t="s">
        <v>459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75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691</v>
      </c>
      <c r="C482" s="17">
        <v>2</v>
      </c>
      <c r="D482" s="17">
        <v>0</v>
      </c>
      <c r="E482" s="17">
        <v>2</v>
      </c>
    </row>
    <row r="483" spans="1:5" x14ac:dyDescent="0.3">
      <c r="A483" s="17" t="s">
        <v>1</v>
      </c>
      <c r="B483" s="17" t="s">
        <v>208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510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988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1386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1370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433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1471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582</v>
      </c>
      <c r="C490" s="17">
        <v>2</v>
      </c>
      <c r="D490" s="17">
        <v>0</v>
      </c>
      <c r="E490" s="17">
        <v>2</v>
      </c>
    </row>
    <row r="491" spans="1:5" x14ac:dyDescent="0.3">
      <c r="A491" s="17" t="s">
        <v>1</v>
      </c>
      <c r="B491" s="17" t="s">
        <v>1254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356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357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906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211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990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359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935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212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82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1314</v>
      </c>
      <c r="C501" s="17">
        <v>1</v>
      </c>
      <c r="D501" s="17">
        <v>0</v>
      </c>
      <c r="E501" s="17">
        <v>0</v>
      </c>
    </row>
    <row r="502" spans="1:5" x14ac:dyDescent="0.3">
      <c r="A502" s="17" t="s">
        <v>1</v>
      </c>
      <c r="B502" s="17" t="s">
        <v>908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40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841</v>
      </c>
      <c r="C504" s="17">
        <v>2</v>
      </c>
      <c r="D504" s="17">
        <v>0</v>
      </c>
      <c r="E504" s="17">
        <v>3</v>
      </c>
    </row>
    <row r="505" spans="1:5" x14ac:dyDescent="0.3">
      <c r="A505" s="17" t="s">
        <v>1</v>
      </c>
      <c r="B505" s="17" t="s">
        <v>267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1255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83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1055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398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2098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88</v>
      </c>
      <c r="C511" s="17">
        <v>2</v>
      </c>
      <c r="D511" s="17">
        <v>0</v>
      </c>
      <c r="E511" s="17">
        <v>2</v>
      </c>
    </row>
    <row r="512" spans="1:5" x14ac:dyDescent="0.3">
      <c r="A512" s="17" t="s">
        <v>1</v>
      </c>
      <c r="B512" s="17" t="s">
        <v>1058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940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634</v>
      </c>
      <c r="C514" s="17">
        <v>2</v>
      </c>
      <c r="D514" s="17">
        <v>0</v>
      </c>
      <c r="E514" s="17">
        <v>2</v>
      </c>
    </row>
    <row r="515" spans="1:5" x14ac:dyDescent="0.3">
      <c r="A515" s="17" t="s">
        <v>1</v>
      </c>
      <c r="B515" s="17" t="s">
        <v>801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972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481</v>
      </c>
      <c r="C517" s="17">
        <v>2</v>
      </c>
      <c r="D517" s="17">
        <v>0</v>
      </c>
      <c r="E517" s="17">
        <v>2</v>
      </c>
    </row>
    <row r="518" spans="1:5" x14ac:dyDescent="0.3">
      <c r="A518" s="17" t="s">
        <v>1</v>
      </c>
      <c r="B518" s="17" t="s">
        <v>635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153</v>
      </c>
      <c r="C519" s="17">
        <v>2</v>
      </c>
      <c r="D519" s="17">
        <v>0</v>
      </c>
      <c r="E519" s="17">
        <v>2</v>
      </c>
    </row>
    <row r="520" spans="1:5" x14ac:dyDescent="0.3">
      <c r="A520" s="17" t="s">
        <v>1</v>
      </c>
      <c r="B520" s="17" t="s">
        <v>248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637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2325</v>
      </c>
      <c r="C522" s="17">
        <v>1</v>
      </c>
      <c r="D522" s="17">
        <v>0</v>
      </c>
      <c r="E522" s="17">
        <v>2</v>
      </c>
    </row>
    <row r="523" spans="1:5" x14ac:dyDescent="0.3">
      <c r="A523" s="17" t="s">
        <v>1</v>
      </c>
      <c r="B523" s="17" t="s">
        <v>679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222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250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692</v>
      </c>
      <c r="C526" s="17">
        <v>1</v>
      </c>
      <c r="D526" s="17">
        <v>0</v>
      </c>
      <c r="E526" s="17">
        <v>0</v>
      </c>
    </row>
    <row r="527" spans="1:5" x14ac:dyDescent="0.3">
      <c r="A527" s="17" t="s">
        <v>1</v>
      </c>
      <c r="B527" s="17" t="s">
        <v>156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157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224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96</v>
      </c>
      <c r="C530" s="17">
        <v>3</v>
      </c>
      <c r="D530" s="17">
        <v>0</v>
      </c>
      <c r="E530" s="17">
        <v>3</v>
      </c>
    </row>
    <row r="531" spans="1:5" x14ac:dyDescent="0.3">
      <c r="A531" s="17" t="s">
        <v>1</v>
      </c>
      <c r="B531" s="17" t="s">
        <v>1143</v>
      </c>
      <c r="C531" s="17">
        <v>2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1662</v>
      </c>
      <c r="C532" s="17">
        <v>2</v>
      </c>
      <c r="D532" s="17">
        <v>0</v>
      </c>
      <c r="E532" s="17">
        <v>2</v>
      </c>
    </row>
    <row r="533" spans="1:5" x14ac:dyDescent="0.3">
      <c r="A533" s="17" t="s">
        <v>1</v>
      </c>
      <c r="B533" s="17" t="s">
        <v>1683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1711</v>
      </c>
      <c r="C534" s="17">
        <v>2</v>
      </c>
      <c r="D534" s="17">
        <v>0</v>
      </c>
      <c r="E534" s="17">
        <v>2</v>
      </c>
    </row>
    <row r="535" spans="1:5" x14ac:dyDescent="0.3">
      <c r="A535" s="17" t="s">
        <v>1</v>
      </c>
      <c r="B535" s="17" t="s">
        <v>1708</v>
      </c>
      <c r="C535" s="17">
        <v>3</v>
      </c>
      <c r="D535" s="17">
        <v>0</v>
      </c>
      <c r="E535" s="17">
        <v>3</v>
      </c>
    </row>
    <row r="536" spans="1:5" x14ac:dyDescent="0.3">
      <c r="A536" s="17" t="s">
        <v>1</v>
      </c>
      <c r="B536" s="17" t="s">
        <v>1772</v>
      </c>
      <c r="C536" s="17">
        <v>1</v>
      </c>
      <c r="D536" s="17">
        <v>0</v>
      </c>
      <c r="E536" s="17">
        <v>4</v>
      </c>
    </row>
    <row r="537" spans="1:5" x14ac:dyDescent="0.3">
      <c r="A537" s="17" t="s">
        <v>1</v>
      </c>
      <c r="B537" s="17" t="s">
        <v>1906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2115</v>
      </c>
      <c r="C538" s="17">
        <v>1</v>
      </c>
      <c r="D538" s="17">
        <v>0</v>
      </c>
      <c r="E538" s="17">
        <v>5</v>
      </c>
    </row>
    <row r="539" spans="1:5" x14ac:dyDescent="0.3">
      <c r="A539" s="17" t="s">
        <v>1</v>
      </c>
      <c r="B539" s="17" t="s">
        <v>2334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2329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2401</v>
      </c>
      <c r="C541" s="17">
        <v>1</v>
      </c>
      <c r="D541" s="17">
        <v>0</v>
      </c>
      <c r="E541" s="17">
        <v>3</v>
      </c>
    </row>
    <row r="542" spans="1:5" x14ac:dyDescent="0.3">
      <c r="A542" s="17" t="s">
        <v>1</v>
      </c>
      <c r="B542" s="17" t="s">
        <v>2468</v>
      </c>
      <c r="C542" s="17">
        <v>1</v>
      </c>
      <c r="D542" s="17">
        <v>0</v>
      </c>
      <c r="E542" s="17">
        <v>2</v>
      </c>
    </row>
    <row r="543" spans="1:5" x14ac:dyDescent="0.3">
      <c r="A543" s="17" t="s">
        <v>1</v>
      </c>
      <c r="B543" s="17" t="s">
        <v>2404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2506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2640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2641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282</v>
      </c>
      <c r="C547" s="17">
        <v>1</v>
      </c>
      <c r="D547" s="17">
        <v>0</v>
      </c>
      <c r="E547" s="17">
        <v>3</v>
      </c>
    </row>
    <row r="548" spans="1:5" x14ac:dyDescent="0.3">
      <c r="A548" s="17" t="s">
        <v>1</v>
      </c>
      <c r="B548" s="17" t="s">
        <v>491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2511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1105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1821</v>
      </c>
      <c r="C551" s="17">
        <v>1</v>
      </c>
      <c r="D551" s="17">
        <v>0</v>
      </c>
      <c r="E551" s="17">
        <v>2</v>
      </c>
    </row>
    <row r="552" spans="1:5" x14ac:dyDescent="0.3">
      <c r="A552" s="17" t="s">
        <v>1</v>
      </c>
      <c r="B552" s="17" t="s">
        <v>1071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103</v>
      </c>
      <c r="C553" s="17">
        <v>2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104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693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2642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1973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646</v>
      </c>
      <c r="C558" s="17">
        <v>2</v>
      </c>
      <c r="D558" s="17">
        <v>0</v>
      </c>
      <c r="E558" s="17">
        <v>0</v>
      </c>
    </row>
    <row r="559" spans="1:5" x14ac:dyDescent="0.3">
      <c r="A559" s="17" t="s">
        <v>1</v>
      </c>
      <c r="B559" s="17" t="s">
        <v>2214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1472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2643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877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2602</v>
      </c>
      <c r="C563" s="17">
        <v>1</v>
      </c>
      <c r="D563" s="17">
        <v>0</v>
      </c>
      <c r="E563" s="17">
        <v>0</v>
      </c>
    </row>
    <row r="564" spans="1:5" x14ac:dyDescent="0.3">
      <c r="A564" s="17" t="s">
        <v>1</v>
      </c>
      <c r="B564" s="17" t="s">
        <v>917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975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598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548</v>
      </c>
      <c r="C567" s="17">
        <v>1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685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658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1080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1729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299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2644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372</v>
      </c>
      <c r="C574" s="17">
        <v>1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957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470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2198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178</v>
      </c>
      <c r="C578" s="17">
        <v>1</v>
      </c>
      <c r="D578" s="17">
        <v>0</v>
      </c>
      <c r="E578" s="17">
        <v>0</v>
      </c>
    </row>
    <row r="579" spans="1:5" x14ac:dyDescent="0.3">
      <c r="A579" s="17" t="s">
        <v>1</v>
      </c>
      <c r="B579" s="17" t="s">
        <v>179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555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1594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603</v>
      </c>
      <c r="C582" s="17">
        <v>1</v>
      </c>
      <c r="D582" s="17">
        <v>0</v>
      </c>
      <c r="E582" s="17">
        <v>0</v>
      </c>
    </row>
    <row r="583" spans="1:5" x14ac:dyDescent="0.3">
      <c r="A583" s="17" t="s">
        <v>1</v>
      </c>
      <c r="B583" s="17" t="s">
        <v>893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421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2162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449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2034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697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1297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1018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1199</v>
      </c>
      <c r="C591" s="17">
        <v>1</v>
      </c>
      <c r="D591" s="17">
        <v>0</v>
      </c>
      <c r="E591" s="17">
        <v>3</v>
      </c>
    </row>
    <row r="592" spans="1:5" x14ac:dyDescent="0.3">
      <c r="A592" s="17" t="s">
        <v>1</v>
      </c>
      <c r="B592" s="17" t="s">
        <v>1422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2645</v>
      </c>
      <c r="C593" s="17">
        <v>1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2646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962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748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184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1857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1892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821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1118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474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919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386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1133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497</v>
      </c>
      <c r="C606" s="17">
        <v>1</v>
      </c>
      <c r="D606" s="17">
        <v>0</v>
      </c>
      <c r="E606" s="17">
        <v>2</v>
      </c>
    </row>
    <row r="607" spans="1:5" x14ac:dyDescent="0.3">
      <c r="A607" s="17" t="s">
        <v>1</v>
      </c>
      <c r="B607" s="17" t="s">
        <v>132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564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1096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2134</v>
      </c>
      <c r="C610" s="17">
        <v>1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2647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1238</v>
      </c>
      <c r="C612" s="17">
        <v>1</v>
      </c>
      <c r="D612" s="17">
        <v>0</v>
      </c>
      <c r="E612" s="17">
        <v>0</v>
      </c>
    </row>
    <row r="613" spans="1:5" x14ac:dyDescent="0.3">
      <c r="A613" s="17" t="s">
        <v>1</v>
      </c>
      <c r="B613" s="17" t="s">
        <v>921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1588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1383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966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263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671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1881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1136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381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376</v>
      </c>
      <c r="C622" s="18">
        <v>3</v>
      </c>
      <c r="D622" s="18">
        <v>0</v>
      </c>
      <c r="E622" s="18">
        <v>4</v>
      </c>
    </row>
    <row r="623" spans="1:5" x14ac:dyDescent="0.3">
      <c r="A623" s="18" t="s">
        <v>1</v>
      </c>
      <c r="B623" s="18" t="s">
        <v>236</v>
      </c>
      <c r="C623" s="18">
        <v>4</v>
      </c>
      <c r="D623" s="18">
        <v>0</v>
      </c>
      <c r="E623" s="18">
        <v>10</v>
      </c>
    </row>
    <row r="624" spans="1:5" x14ac:dyDescent="0.3">
      <c r="A624" s="18" t="s">
        <v>1</v>
      </c>
      <c r="B624" s="18" t="s">
        <v>476</v>
      </c>
      <c r="C624" s="18">
        <v>1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196</v>
      </c>
      <c r="C625" s="18">
        <v>7</v>
      </c>
      <c r="D625" s="18">
        <v>0</v>
      </c>
      <c r="E625" s="18">
        <v>8</v>
      </c>
    </row>
    <row r="626" spans="1:5" x14ac:dyDescent="0.3">
      <c r="A626" s="18" t="s">
        <v>1</v>
      </c>
      <c r="B626" s="18" t="s">
        <v>237</v>
      </c>
      <c r="C626" s="18">
        <v>2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238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239</v>
      </c>
      <c r="C628" s="18">
        <v>3</v>
      </c>
      <c r="D628" s="18">
        <v>0</v>
      </c>
      <c r="E628" s="18">
        <v>4</v>
      </c>
    </row>
    <row r="629" spans="1:5" x14ac:dyDescent="0.3">
      <c r="A629" s="18" t="s">
        <v>1</v>
      </c>
      <c r="B629" s="18" t="s">
        <v>672</v>
      </c>
      <c r="C629" s="18">
        <v>2</v>
      </c>
      <c r="D629" s="18">
        <v>0</v>
      </c>
      <c r="E629" s="18">
        <v>3</v>
      </c>
    </row>
    <row r="630" spans="1:5" x14ac:dyDescent="0.3">
      <c r="A630" s="18" t="s">
        <v>1</v>
      </c>
      <c r="B630" s="18" t="s">
        <v>240</v>
      </c>
      <c r="C630" s="18">
        <v>4</v>
      </c>
      <c r="D630" s="18">
        <v>0</v>
      </c>
      <c r="E630" s="18">
        <v>4</v>
      </c>
    </row>
    <row r="631" spans="1:5" x14ac:dyDescent="0.3">
      <c r="A631" s="18" t="s">
        <v>1</v>
      </c>
      <c r="B631" s="18" t="s">
        <v>673</v>
      </c>
      <c r="C631" s="18">
        <v>3</v>
      </c>
      <c r="D631" s="18">
        <v>0</v>
      </c>
      <c r="E631" s="18">
        <v>4</v>
      </c>
    </row>
    <row r="632" spans="1:5" x14ac:dyDescent="0.3">
      <c r="A632" s="18" t="s">
        <v>1</v>
      </c>
      <c r="B632" s="18" t="s">
        <v>382</v>
      </c>
      <c r="C632" s="18">
        <v>9</v>
      </c>
      <c r="D632" s="18">
        <v>0</v>
      </c>
      <c r="E632" s="18">
        <v>9</v>
      </c>
    </row>
    <row r="633" spans="1:5" x14ac:dyDescent="0.3">
      <c r="A633" s="18" t="s">
        <v>1</v>
      </c>
      <c r="B633" s="18" t="s">
        <v>377</v>
      </c>
      <c r="C633" s="18">
        <v>1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477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2312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1832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1765</v>
      </c>
      <c r="C637" s="18">
        <v>0</v>
      </c>
      <c r="D637" s="18">
        <v>1</v>
      </c>
    </row>
    <row r="638" spans="1:5" x14ac:dyDescent="0.3">
      <c r="A638" s="18" t="s">
        <v>1</v>
      </c>
      <c r="B638" s="18" t="s">
        <v>1027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1404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1653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2587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2589</v>
      </c>
      <c r="C642" s="18">
        <v>1</v>
      </c>
      <c r="D642" s="18">
        <v>0</v>
      </c>
      <c r="E642" s="18">
        <v>0</v>
      </c>
    </row>
    <row r="643" spans="1:5" x14ac:dyDescent="0.3">
      <c r="A643" s="18" t="s">
        <v>1</v>
      </c>
      <c r="B643" s="18" t="s">
        <v>834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1642</v>
      </c>
      <c r="C644" s="18">
        <v>1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69</v>
      </c>
      <c r="C645" s="18">
        <v>1</v>
      </c>
      <c r="D645" s="18">
        <v>0</v>
      </c>
      <c r="E645" s="18">
        <v>2</v>
      </c>
    </row>
    <row r="646" spans="1:5" x14ac:dyDescent="0.3">
      <c r="A646" s="18" t="s">
        <v>1</v>
      </c>
      <c r="B646" s="18" t="s">
        <v>677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0</v>
      </c>
      <c r="B647" s="18" t="s">
        <v>203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0</v>
      </c>
      <c r="B648" s="18" t="s">
        <v>2648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0</v>
      </c>
      <c r="B649" s="18" t="s">
        <v>2649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0</v>
      </c>
      <c r="B650" s="18" t="s">
        <v>143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0</v>
      </c>
      <c r="B651" s="18" t="s">
        <v>272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0</v>
      </c>
      <c r="B652" s="18" t="s">
        <v>479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0</v>
      </c>
      <c r="B653" s="18" t="s">
        <v>2650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942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41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0</v>
      </c>
      <c r="B656" s="18" t="s">
        <v>944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1708</v>
      </c>
      <c r="C657" s="18">
        <v>2</v>
      </c>
      <c r="D657" s="18">
        <v>0</v>
      </c>
      <c r="E657" s="18">
        <v>2</v>
      </c>
    </row>
    <row r="658" spans="1:5" x14ac:dyDescent="0.3">
      <c r="A658" s="18" t="s">
        <v>0</v>
      </c>
      <c r="B658" s="18" t="s">
        <v>2468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2599</v>
      </c>
      <c r="C659" s="18">
        <v>2</v>
      </c>
      <c r="D659" s="18">
        <v>0</v>
      </c>
      <c r="E659" s="18">
        <v>4</v>
      </c>
    </row>
    <row r="660" spans="1:5" x14ac:dyDescent="0.3">
      <c r="A660" s="18" t="s">
        <v>0</v>
      </c>
      <c r="B660" s="18" t="s">
        <v>97</v>
      </c>
      <c r="C660" s="18">
        <v>1</v>
      </c>
      <c r="D660" s="18">
        <v>0</v>
      </c>
      <c r="E660" s="18">
        <v>4</v>
      </c>
    </row>
    <row r="661" spans="1:5" x14ac:dyDescent="0.3">
      <c r="A661" s="18" t="s">
        <v>0</v>
      </c>
      <c r="B661" s="18" t="s">
        <v>283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1762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771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1147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0</v>
      </c>
      <c r="B665" s="18" t="s">
        <v>2202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1654</v>
      </c>
      <c r="C666" s="18">
        <v>1</v>
      </c>
      <c r="D666" s="18">
        <v>0</v>
      </c>
      <c r="E666" s="18">
        <v>2</v>
      </c>
    </row>
    <row r="667" spans="1:5" x14ac:dyDescent="0.3">
      <c r="A667" s="18" t="s">
        <v>0</v>
      </c>
      <c r="B667" s="18" t="s">
        <v>1005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917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1720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120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0</v>
      </c>
      <c r="B671" s="18" t="s">
        <v>374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1043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1587</v>
      </c>
      <c r="C673" s="18">
        <v>1</v>
      </c>
      <c r="D673" s="18">
        <v>0</v>
      </c>
      <c r="E673" s="18">
        <v>2</v>
      </c>
    </row>
    <row r="674" spans="1:5" x14ac:dyDescent="0.3">
      <c r="A674" s="18" t="s">
        <v>0</v>
      </c>
      <c r="B674" s="18" t="s">
        <v>826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1730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0</v>
      </c>
      <c r="B676" s="18" t="s">
        <v>236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0</v>
      </c>
      <c r="B677" s="18" t="s">
        <v>239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240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382</v>
      </c>
      <c r="C679" s="18">
        <v>2</v>
      </c>
      <c r="D679" s="18">
        <v>0</v>
      </c>
      <c r="E679" s="18">
        <v>3</v>
      </c>
    </row>
    <row r="680" spans="1:5" x14ac:dyDescent="0.3">
      <c r="A680" s="18" t="s">
        <v>0</v>
      </c>
      <c r="B680" s="18" t="s">
        <v>2376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0</v>
      </c>
      <c r="B681" s="18" t="s">
        <v>2651</v>
      </c>
      <c r="C681" s="18">
        <v>0</v>
      </c>
      <c r="D681" s="18">
        <v>1</v>
      </c>
    </row>
    <row r="682" spans="1:5" x14ac:dyDescent="0.3">
      <c r="A682" s="18" t="s">
        <v>0</v>
      </c>
      <c r="B682" s="18" t="s">
        <v>2158</v>
      </c>
      <c r="C682" s="18">
        <v>1</v>
      </c>
      <c r="D682" s="18">
        <v>0</v>
      </c>
      <c r="E682" s="18">
        <v>2</v>
      </c>
    </row>
    <row r="683" spans="1:5" x14ac:dyDescent="0.3">
      <c r="A683" s="18" t="s">
        <v>0</v>
      </c>
      <c r="B683" s="18" t="s">
        <v>69</v>
      </c>
      <c r="C683" s="18">
        <v>2</v>
      </c>
      <c r="D683" s="18">
        <v>0</v>
      </c>
      <c r="E683" s="18">
        <v>2</v>
      </c>
    </row>
    <row r="684" spans="1:5" x14ac:dyDescent="0.3">
      <c r="A684" s="18" t="s">
        <v>0</v>
      </c>
      <c r="B684" s="18" t="s">
        <v>32</v>
      </c>
      <c r="C684" s="18">
        <v>1</v>
      </c>
      <c r="D684" s="18">
        <v>0</v>
      </c>
      <c r="E684" s="18">
        <v>4</v>
      </c>
    </row>
    <row r="685" spans="1:5" x14ac:dyDescent="0.3">
      <c r="A685" s="18" t="s">
        <v>2</v>
      </c>
      <c r="B685" s="18" t="s">
        <v>30</v>
      </c>
      <c r="C685" s="18">
        <v>1</v>
      </c>
      <c r="D685" s="18">
        <v>0</v>
      </c>
      <c r="E685" s="18">
        <v>5</v>
      </c>
    </row>
    <row r="686" spans="1:5" x14ac:dyDescent="0.3">
      <c r="A686" s="18" t="s">
        <v>2</v>
      </c>
      <c r="B686" s="18" t="s">
        <v>296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2</v>
      </c>
      <c r="B687" s="18" t="s">
        <v>421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2</v>
      </c>
      <c r="B688" s="18" t="s">
        <v>1272</v>
      </c>
      <c r="C688" s="18">
        <v>0</v>
      </c>
      <c r="D688" s="18">
        <v>1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535A-2E38-40A2-8C9B-686C11C4FA02}">
  <sheetPr codeName="Sheet37"/>
  <dimension ref="A1:M620"/>
  <sheetViews>
    <sheetView workbookViewId="0">
      <selection activeCell="A2" sqref="A2:E36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2572</v>
      </c>
      <c r="C2" s="17">
        <v>2395</v>
      </c>
      <c r="D2" s="17">
        <v>2367</v>
      </c>
      <c r="E2" s="17">
        <v>2639</v>
      </c>
    </row>
    <row r="3" spans="1:13" customFormat="1" x14ac:dyDescent="0.3">
      <c r="A3" s="17" t="s">
        <v>1</v>
      </c>
      <c r="B3" s="17" t="s">
        <v>2572</v>
      </c>
      <c r="C3" s="17">
        <v>157</v>
      </c>
      <c r="D3" s="17">
        <v>150</v>
      </c>
      <c r="E3" s="17">
        <v>177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138</v>
      </c>
      <c r="C4" s="17">
        <v>52</v>
      </c>
      <c r="D4" s="17">
        <v>48</v>
      </c>
      <c r="E4" s="17">
        <v>52</v>
      </c>
      <c r="G4" s="23" t="s">
        <v>8</v>
      </c>
      <c r="H4" s="19">
        <f>H13+H14</f>
        <v>505</v>
      </c>
      <c r="I4" s="20">
        <f>H4/H$6</f>
        <v>0.15505066011667179</v>
      </c>
      <c r="J4" s="19">
        <f>I13+I14</f>
        <v>364</v>
      </c>
      <c r="K4" s="20">
        <f>J4/J$6</f>
        <v>0.12137379126375458</v>
      </c>
      <c r="L4" s="19">
        <f>J13+J14</f>
        <v>568</v>
      </c>
      <c r="M4" s="29">
        <f>L4/L$6</f>
        <v>0.15738431698531449</v>
      </c>
    </row>
    <row r="5" spans="1:13" customFormat="1" x14ac:dyDescent="0.3">
      <c r="A5" s="17" t="s">
        <v>2</v>
      </c>
      <c r="B5" s="17" t="s">
        <v>2572</v>
      </c>
      <c r="C5" s="17">
        <v>46</v>
      </c>
      <c r="D5" s="17">
        <v>45</v>
      </c>
      <c r="E5" s="17">
        <v>52</v>
      </c>
      <c r="G5" s="23" t="s">
        <v>10</v>
      </c>
      <c r="H5" s="19">
        <f>H15+H16</f>
        <v>2752</v>
      </c>
      <c r="I5" s="20">
        <f>H5/H$6</f>
        <v>0.84494933988332821</v>
      </c>
      <c r="J5" s="19">
        <f>I15+I16</f>
        <v>2635</v>
      </c>
      <c r="K5" s="20">
        <f>J5/J$6</f>
        <v>0.87862620873624542</v>
      </c>
      <c r="L5" s="19">
        <f>J15+J16</f>
        <v>3041</v>
      </c>
      <c r="M5" s="29">
        <f>L5/L$6</f>
        <v>0.84261568301468548</v>
      </c>
    </row>
    <row r="6" spans="1:13" customFormat="1" ht="17.25" thickBot="1" x14ac:dyDescent="0.35">
      <c r="A6" s="17" t="s">
        <v>0</v>
      </c>
      <c r="B6" s="17" t="s">
        <v>29</v>
      </c>
      <c r="C6" s="17">
        <v>25</v>
      </c>
      <c r="D6" s="17">
        <v>24</v>
      </c>
      <c r="E6" s="17">
        <v>28</v>
      </c>
      <c r="G6" s="26"/>
      <c r="H6" s="30">
        <f>SUM(H4:H5)</f>
        <v>3257</v>
      </c>
      <c r="I6" s="31">
        <f>I4+I5</f>
        <v>1</v>
      </c>
      <c r="J6" s="30">
        <f>SUM(J4:J5)</f>
        <v>2999</v>
      </c>
      <c r="K6" s="31">
        <f>K4+K5</f>
        <v>1</v>
      </c>
      <c r="L6" s="30">
        <f>SUM(L4:L5)</f>
        <v>3609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29</v>
      </c>
      <c r="D7" s="17">
        <v>16</v>
      </c>
      <c r="E7" s="17">
        <v>48</v>
      </c>
    </row>
    <row r="8" spans="1:13" customFormat="1" x14ac:dyDescent="0.3">
      <c r="A8" s="17" t="s">
        <v>0</v>
      </c>
      <c r="B8" s="17" t="s">
        <v>31</v>
      </c>
      <c r="C8" s="17">
        <v>11</v>
      </c>
      <c r="D8" s="17">
        <v>11</v>
      </c>
      <c r="E8" s="17">
        <v>13</v>
      </c>
    </row>
    <row r="9" spans="1:13" customFormat="1" x14ac:dyDescent="0.3">
      <c r="A9" s="17" t="s">
        <v>1</v>
      </c>
      <c r="B9" s="17" t="s">
        <v>37</v>
      </c>
      <c r="C9" s="17">
        <v>7</v>
      </c>
      <c r="D9" s="17">
        <v>6</v>
      </c>
      <c r="E9" s="17">
        <v>9</v>
      </c>
    </row>
    <row r="10" spans="1:13" customFormat="1" ht="17.25" thickBot="1" x14ac:dyDescent="0.35">
      <c r="A10" s="17" t="s">
        <v>0</v>
      </c>
      <c r="B10" s="17" t="s">
        <v>2075</v>
      </c>
      <c r="C10" s="17">
        <v>6</v>
      </c>
      <c r="D10" s="17">
        <v>6</v>
      </c>
      <c r="E10" s="17">
        <v>7</v>
      </c>
    </row>
    <row r="11" spans="1:13" x14ac:dyDescent="0.3">
      <c r="A11" s="17" t="s">
        <v>0</v>
      </c>
      <c r="B11" s="17" t="s">
        <v>168</v>
      </c>
      <c r="C11" s="17">
        <v>6</v>
      </c>
      <c r="D11" s="17">
        <v>6</v>
      </c>
      <c r="E11" s="17">
        <v>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2075</v>
      </c>
      <c r="C12" s="17">
        <v>6</v>
      </c>
      <c r="D12" s="17">
        <v>5</v>
      </c>
      <c r="E12" s="17">
        <v>6</v>
      </c>
      <c r="G12" s="23"/>
      <c r="H12" s="21">
        <f t="shared" ref="H12:J12" si="0">SUM(H13:H16)</f>
        <v>3257</v>
      </c>
      <c r="I12" s="21">
        <f t="shared" si="0"/>
        <v>2999</v>
      </c>
      <c r="J12" s="24">
        <f t="shared" si="0"/>
        <v>3609</v>
      </c>
    </row>
    <row r="13" spans="1:13" x14ac:dyDescent="0.3">
      <c r="A13" s="17" t="s">
        <v>0</v>
      </c>
      <c r="B13" s="17" t="s">
        <v>34</v>
      </c>
      <c r="C13" s="17">
        <v>6</v>
      </c>
      <c r="D13" s="17">
        <v>5</v>
      </c>
      <c r="E13" s="17">
        <v>7</v>
      </c>
      <c r="G13" s="23" t="s">
        <v>7</v>
      </c>
      <c r="H13" s="22">
        <f t="shared" ref="H13:J16" si="1">SUMIF($A$2:$A$9999,$G13,C$2:C$9999)</f>
        <v>505</v>
      </c>
      <c r="I13" s="22">
        <f t="shared" si="1"/>
        <v>364</v>
      </c>
      <c r="J13" s="25">
        <f t="shared" si="1"/>
        <v>568</v>
      </c>
    </row>
    <row r="14" spans="1:13" x14ac:dyDescent="0.3">
      <c r="A14" s="17" t="s">
        <v>0</v>
      </c>
      <c r="B14" s="17" t="s">
        <v>30</v>
      </c>
      <c r="C14" s="17">
        <v>16</v>
      </c>
      <c r="D14" s="17">
        <v>4</v>
      </c>
      <c r="E14" s="17">
        <v>27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35</v>
      </c>
      <c r="C15" s="17">
        <v>4</v>
      </c>
      <c r="D15" s="17">
        <v>4</v>
      </c>
      <c r="E15" s="17">
        <v>4</v>
      </c>
      <c r="G15" s="23" t="s">
        <v>11</v>
      </c>
      <c r="H15" s="22">
        <f t="shared" si="1"/>
        <v>2689</v>
      </c>
      <c r="I15" s="22">
        <f t="shared" si="1"/>
        <v>2583</v>
      </c>
      <c r="J15" s="25">
        <f t="shared" si="1"/>
        <v>2971</v>
      </c>
    </row>
    <row r="16" spans="1:13" ht="17.25" thickBot="1" x14ac:dyDescent="0.35">
      <c r="A16" s="17" t="s">
        <v>1</v>
      </c>
      <c r="B16" s="17" t="s">
        <v>1927</v>
      </c>
      <c r="C16" s="17">
        <v>4</v>
      </c>
      <c r="D16" s="17">
        <v>3</v>
      </c>
      <c r="E16" s="17">
        <v>4</v>
      </c>
      <c r="G16" s="26" t="s">
        <v>12</v>
      </c>
      <c r="H16" s="27">
        <f t="shared" si="1"/>
        <v>63</v>
      </c>
      <c r="I16" s="27">
        <f t="shared" si="1"/>
        <v>52</v>
      </c>
      <c r="J16" s="28">
        <f t="shared" si="1"/>
        <v>70</v>
      </c>
    </row>
    <row r="17" spans="1:5" x14ac:dyDescent="0.3">
      <c r="A17" s="17" t="s">
        <v>1</v>
      </c>
      <c r="B17" s="17" t="s">
        <v>2334</v>
      </c>
      <c r="C17" s="17">
        <v>3</v>
      </c>
      <c r="D17" s="17">
        <v>3</v>
      </c>
      <c r="E17" s="17">
        <v>4</v>
      </c>
    </row>
    <row r="18" spans="1:5" x14ac:dyDescent="0.3">
      <c r="A18" s="17" t="s">
        <v>0</v>
      </c>
      <c r="B18" s="17" t="s">
        <v>40</v>
      </c>
      <c r="C18" s="17">
        <v>3</v>
      </c>
      <c r="D18" s="17">
        <v>3</v>
      </c>
      <c r="E18" s="17">
        <v>3</v>
      </c>
    </row>
    <row r="19" spans="1:5" x14ac:dyDescent="0.3">
      <c r="A19" s="17" t="s">
        <v>0</v>
      </c>
      <c r="B19" s="17" t="s">
        <v>61</v>
      </c>
      <c r="C19" s="17">
        <v>4</v>
      </c>
      <c r="D19" s="17">
        <v>3</v>
      </c>
      <c r="E19" s="17">
        <v>5</v>
      </c>
    </row>
    <row r="20" spans="1:5" x14ac:dyDescent="0.3">
      <c r="A20" s="17" t="s">
        <v>0</v>
      </c>
      <c r="B20" s="17" t="s">
        <v>2395</v>
      </c>
      <c r="C20" s="17">
        <v>4</v>
      </c>
      <c r="D20" s="17">
        <v>3</v>
      </c>
      <c r="E20" s="17">
        <v>4</v>
      </c>
    </row>
    <row r="21" spans="1:5" x14ac:dyDescent="0.3">
      <c r="A21" s="17" t="s">
        <v>0</v>
      </c>
      <c r="B21" s="17" t="s">
        <v>163</v>
      </c>
      <c r="C21" s="17">
        <v>3</v>
      </c>
      <c r="D21" s="17">
        <v>3</v>
      </c>
      <c r="E21" s="17">
        <v>3</v>
      </c>
    </row>
    <row r="22" spans="1:5" x14ac:dyDescent="0.3">
      <c r="A22" s="17" t="s">
        <v>0</v>
      </c>
      <c r="B22" s="17" t="s">
        <v>123</v>
      </c>
      <c r="C22" s="17">
        <v>3</v>
      </c>
      <c r="D22" s="17">
        <v>3</v>
      </c>
      <c r="E22" s="17">
        <v>3</v>
      </c>
    </row>
    <row r="23" spans="1:5" x14ac:dyDescent="0.3">
      <c r="A23" s="17" t="s">
        <v>1</v>
      </c>
      <c r="B23" s="17" t="s">
        <v>383</v>
      </c>
      <c r="C23" s="17">
        <v>2</v>
      </c>
      <c r="D23" s="17">
        <v>2</v>
      </c>
      <c r="E23" s="17">
        <v>2</v>
      </c>
    </row>
    <row r="24" spans="1:5" x14ac:dyDescent="0.3">
      <c r="A24" s="17" t="s">
        <v>1</v>
      </c>
      <c r="B24" s="17" t="s">
        <v>33</v>
      </c>
      <c r="C24" s="17">
        <v>2</v>
      </c>
      <c r="D24" s="17">
        <v>2</v>
      </c>
      <c r="E24" s="17">
        <v>2</v>
      </c>
    </row>
    <row r="25" spans="1:5" x14ac:dyDescent="0.3">
      <c r="A25" s="17" t="s">
        <v>1</v>
      </c>
      <c r="B25" s="17" t="s">
        <v>267</v>
      </c>
      <c r="C25" s="17">
        <v>2</v>
      </c>
      <c r="D25" s="17">
        <v>2</v>
      </c>
      <c r="E25" s="17">
        <v>3</v>
      </c>
    </row>
    <row r="26" spans="1:5" x14ac:dyDescent="0.3">
      <c r="A26" s="17" t="s">
        <v>1</v>
      </c>
      <c r="B26" s="17" t="s">
        <v>938</v>
      </c>
      <c r="C26" s="17">
        <v>2</v>
      </c>
      <c r="D26" s="17">
        <v>2</v>
      </c>
      <c r="E26" s="17">
        <v>2</v>
      </c>
    </row>
    <row r="27" spans="1:5" x14ac:dyDescent="0.3">
      <c r="A27" s="17" t="s">
        <v>1</v>
      </c>
      <c r="B27" s="17" t="s">
        <v>281</v>
      </c>
      <c r="C27" s="17">
        <v>2</v>
      </c>
      <c r="D27" s="17">
        <v>2</v>
      </c>
      <c r="E27" s="17">
        <v>2</v>
      </c>
    </row>
    <row r="28" spans="1:5" x14ac:dyDescent="0.3">
      <c r="A28" s="17" t="s">
        <v>1</v>
      </c>
      <c r="B28" s="17" t="s">
        <v>2036</v>
      </c>
      <c r="C28" s="17">
        <v>2</v>
      </c>
      <c r="D28" s="17">
        <v>2</v>
      </c>
      <c r="E28" s="17">
        <v>2</v>
      </c>
    </row>
    <row r="29" spans="1:5" x14ac:dyDescent="0.3">
      <c r="A29" s="17" t="s">
        <v>1</v>
      </c>
      <c r="B29" s="17" t="s">
        <v>365</v>
      </c>
      <c r="C29" s="17">
        <v>2</v>
      </c>
      <c r="D29" s="17">
        <v>2</v>
      </c>
      <c r="E29" s="17">
        <v>2</v>
      </c>
    </row>
    <row r="30" spans="1:5" x14ac:dyDescent="0.3">
      <c r="A30" s="17" t="s">
        <v>1</v>
      </c>
      <c r="B30" s="17" t="s">
        <v>1708</v>
      </c>
      <c r="C30" s="17">
        <v>5</v>
      </c>
      <c r="D30" s="17">
        <v>2</v>
      </c>
      <c r="E30" s="17">
        <v>5</v>
      </c>
    </row>
    <row r="31" spans="1:5" x14ac:dyDescent="0.3">
      <c r="A31" s="17" t="s">
        <v>1</v>
      </c>
      <c r="B31" s="17" t="s">
        <v>2599</v>
      </c>
      <c r="C31" s="17">
        <v>6</v>
      </c>
      <c r="D31" s="17">
        <v>2</v>
      </c>
      <c r="E31" s="17">
        <v>6</v>
      </c>
    </row>
    <row r="32" spans="1:5" x14ac:dyDescent="0.3">
      <c r="A32" s="17" t="s">
        <v>1</v>
      </c>
      <c r="B32" s="17" t="s">
        <v>161</v>
      </c>
      <c r="C32" s="17">
        <v>2</v>
      </c>
      <c r="D32" s="17">
        <v>2</v>
      </c>
      <c r="E32" s="17">
        <v>2</v>
      </c>
    </row>
    <row r="33" spans="1:5" x14ac:dyDescent="0.3">
      <c r="A33" s="17" t="s">
        <v>1</v>
      </c>
      <c r="B33" s="17" t="s">
        <v>1460</v>
      </c>
      <c r="C33" s="17">
        <v>2</v>
      </c>
      <c r="D33" s="17">
        <v>2</v>
      </c>
      <c r="E33" s="17">
        <v>2</v>
      </c>
    </row>
    <row r="34" spans="1:5" x14ac:dyDescent="0.3">
      <c r="A34" s="17" t="s">
        <v>1</v>
      </c>
      <c r="B34" s="17" t="s">
        <v>168</v>
      </c>
      <c r="C34" s="17">
        <v>2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113</v>
      </c>
      <c r="C35" s="17">
        <v>4</v>
      </c>
      <c r="D35" s="17">
        <v>2</v>
      </c>
      <c r="E35" s="17">
        <v>3</v>
      </c>
    </row>
    <row r="36" spans="1:5" x14ac:dyDescent="0.3">
      <c r="A36" s="17" t="s">
        <v>1</v>
      </c>
      <c r="B36" s="17" t="s">
        <v>544</v>
      </c>
      <c r="C36" s="17">
        <v>2</v>
      </c>
      <c r="D36" s="17">
        <v>2</v>
      </c>
      <c r="E36" s="17">
        <v>2</v>
      </c>
    </row>
    <row r="37" spans="1:5" x14ac:dyDescent="0.3">
      <c r="A37" s="17" t="s">
        <v>1</v>
      </c>
      <c r="B37" s="17" t="s">
        <v>62</v>
      </c>
      <c r="C37" s="17">
        <v>3</v>
      </c>
      <c r="D37" s="17">
        <v>2</v>
      </c>
      <c r="E37" s="17">
        <v>3</v>
      </c>
    </row>
    <row r="38" spans="1:5" x14ac:dyDescent="0.3">
      <c r="A38" s="17" t="s">
        <v>1</v>
      </c>
      <c r="B38" s="17" t="s">
        <v>126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429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259</v>
      </c>
      <c r="C40" s="17">
        <v>2</v>
      </c>
      <c r="D40" s="17">
        <v>2</v>
      </c>
      <c r="E40" s="17">
        <v>2</v>
      </c>
    </row>
    <row r="41" spans="1:5" x14ac:dyDescent="0.3">
      <c r="A41" s="17" t="s">
        <v>0</v>
      </c>
      <c r="B41" s="17" t="s">
        <v>48</v>
      </c>
      <c r="C41" s="17">
        <v>2</v>
      </c>
      <c r="D41" s="17">
        <v>2</v>
      </c>
      <c r="E41" s="17">
        <v>2</v>
      </c>
    </row>
    <row r="42" spans="1:5" x14ac:dyDescent="0.3">
      <c r="A42" s="17" t="s">
        <v>0</v>
      </c>
      <c r="B42" s="17" t="s">
        <v>79</v>
      </c>
      <c r="C42" s="17">
        <v>10</v>
      </c>
      <c r="D42" s="17">
        <v>2</v>
      </c>
      <c r="E42" s="17">
        <v>11</v>
      </c>
    </row>
    <row r="43" spans="1:5" x14ac:dyDescent="0.3">
      <c r="A43" s="17" t="s">
        <v>0</v>
      </c>
      <c r="B43" s="17" t="s">
        <v>860</v>
      </c>
      <c r="C43" s="17">
        <v>2</v>
      </c>
      <c r="D43" s="17">
        <v>2</v>
      </c>
      <c r="E43" s="17">
        <v>2</v>
      </c>
    </row>
    <row r="44" spans="1:5" x14ac:dyDescent="0.3">
      <c r="A44" s="17" t="s">
        <v>0</v>
      </c>
      <c r="B44" s="17" t="s">
        <v>149</v>
      </c>
      <c r="C44" s="17">
        <v>2</v>
      </c>
      <c r="D44" s="17">
        <v>2</v>
      </c>
      <c r="E44" s="17">
        <v>2</v>
      </c>
    </row>
    <row r="45" spans="1:5" x14ac:dyDescent="0.3">
      <c r="A45" s="17" t="s">
        <v>0</v>
      </c>
      <c r="B45" s="17" t="s">
        <v>1646</v>
      </c>
      <c r="C45" s="17">
        <v>2</v>
      </c>
      <c r="D45" s="17">
        <v>2</v>
      </c>
      <c r="E45" s="17">
        <v>3</v>
      </c>
    </row>
    <row r="46" spans="1:5" x14ac:dyDescent="0.3">
      <c r="A46" s="17" t="s">
        <v>0</v>
      </c>
      <c r="B46" s="17" t="s">
        <v>1708</v>
      </c>
      <c r="C46" s="17">
        <v>13</v>
      </c>
      <c r="D46" s="17">
        <v>2</v>
      </c>
      <c r="E46" s="17">
        <v>13</v>
      </c>
    </row>
    <row r="47" spans="1:5" x14ac:dyDescent="0.3">
      <c r="A47" s="17" t="s">
        <v>0</v>
      </c>
      <c r="B47" s="17" t="s">
        <v>2429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2396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28</v>
      </c>
      <c r="C49" s="17">
        <v>3</v>
      </c>
      <c r="D49" s="17">
        <v>2</v>
      </c>
      <c r="E49" s="17">
        <v>3</v>
      </c>
    </row>
    <row r="50" spans="1:5" x14ac:dyDescent="0.3">
      <c r="A50" s="17" t="s">
        <v>0</v>
      </c>
      <c r="B50" s="17" t="s">
        <v>107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407</v>
      </c>
      <c r="C51" s="17">
        <v>2</v>
      </c>
      <c r="D51" s="17">
        <v>2</v>
      </c>
      <c r="E51" s="17">
        <v>2</v>
      </c>
    </row>
    <row r="52" spans="1:5" x14ac:dyDescent="0.3">
      <c r="A52" s="17" t="s">
        <v>0</v>
      </c>
      <c r="B52" s="17" t="s">
        <v>326</v>
      </c>
      <c r="C52" s="17">
        <v>3</v>
      </c>
      <c r="D52" s="17">
        <v>2</v>
      </c>
      <c r="E52" s="17">
        <v>3</v>
      </c>
    </row>
    <row r="53" spans="1:5" x14ac:dyDescent="0.3">
      <c r="A53" s="17" t="s">
        <v>0</v>
      </c>
      <c r="B53" s="17" t="s">
        <v>115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776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200</v>
      </c>
      <c r="C55" s="17">
        <v>2</v>
      </c>
      <c r="D55" s="17">
        <v>2</v>
      </c>
      <c r="E55" s="17">
        <v>2</v>
      </c>
    </row>
    <row r="56" spans="1:5" x14ac:dyDescent="0.3">
      <c r="A56" s="17" t="s">
        <v>0</v>
      </c>
      <c r="B56" s="17" t="s">
        <v>662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37</v>
      </c>
      <c r="C57" s="17">
        <v>3</v>
      </c>
      <c r="D57" s="17">
        <v>2</v>
      </c>
      <c r="E57" s="17">
        <v>3</v>
      </c>
    </row>
    <row r="58" spans="1:5" x14ac:dyDescent="0.3">
      <c r="A58" s="17" t="s">
        <v>0</v>
      </c>
      <c r="B58" s="17" t="s">
        <v>421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69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269</v>
      </c>
      <c r="C60" s="17">
        <v>1</v>
      </c>
      <c r="D60" s="17">
        <v>1</v>
      </c>
      <c r="E60" s="17">
        <v>1</v>
      </c>
    </row>
    <row r="61" spans="1:5" x14ac:dyDescent="0.3">
      <c r="A61" s="17" t="s">
        <v>1</v>
      </c>
      <c r="B61" s="17" t="s">
        <v>507</v>
      </c>
      <c r="C61" s="17">
        <v>1</v>
      </c>
      <c r="D61" s="17">
        <v>1</v>
      </c>
      <c r="E61" s="17">
        <v>3</v>
      </c>
    </row>
    <row r="62" spans="1:5" x14ac:dyDescent="0.3">
      <c r="A62" s="17" t="s">
        <v>1</v>
      </c>
      <c r="B62" s="17" t="s">
        <v>792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73</v>
      </c>
      <c r="C63" s="17">
        <v>3</v>
      </c>
      <c r="D63" s="17">
        <v>1</v>
      </c>
      <c r="E63" s="17">
        <v>4</v>
      </c>
    </row>
    <row r="64" spans="1:5" x14ac:dyDescent="0.3">
      <c r="A64" s="17" t="s">
        <v>1</v>
      </c>
      <c r="B64" s="17" t="s">
        <v>74</v>
      </c>
      <c r="C64" s="17">
        <v>1</v>
      </c>
      <c r="D64" s="17">
        <v>1</v>
      </c>
      <c r="E64" s="17">
        <v>1</v>
      </c>
    </row>
    <row r="65" spans="1:5" x14ac:dyDescent="0.3">
      <c r="A65" s="17" t="s">
        <v>1</v>
      </c>
      <c r="B65" s="17" t="s">
        <v>690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48</v>
      </c>
      <c r="C66" s="17">
        <v>3</v>
      </c>
      <c r="D66" s="17">
        <v>1</v>
      </c>
      <c r="E66" s="17">
        <v>4</v>
      </c>
    </row>
    <row r="67" spans="1:5" x14ac:dyDescent="0.3">
      <c r="A67" s="17" t="s">
        <v>1</v>
      </c>
      <c r="B67" s="17" t="s">
        <v>515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356</v>
      </c>
      <c r="C68" s="17">
        <v>1</v>
      </c>
      <c r="D68" s="17">
        <v>1</v>
      </c>
      <c r="E68" s="17">
        <v>2</v>
      </c>
    </row>
    <row r="69" spans="1:5" x14ac:dyDescent="0.3">
      <c r="A69" s="17" t="s">
        <v>1</v>
      </c>
      <c r="B69" s="17" t="s">
        <v>80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34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860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87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88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1102</v>
      </c>
      <c r="C74" s="17">
        <v>1</v>
      </c>
      <c r="D74" s="17">
        <v>1</v>
      </c>
      <c r="E74" s="17">
        <v>2</v>
      </c>
    </row>
    <row r="75" spans="1:5" x14ac:dyDescent="0.3">
      <c r="A75" s="17" t="s">
        <v>1</v>
      </c>
      <c r="B75" s="17" t="s">
        <v>151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844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92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711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2437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154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155</v>
      </c>
      <c r="C81" s="17">
        <v>3</v>
      </c>
      <c r="D81" s="17">
        <v>1</v>
      </c>
      <c r="E81" s="17">
        <v>4</v>
      </c>
    </row>
    <row r="82" spans="1:5" x14ac:dyDescent="0.3">
      <c r="A82" s="17" t="s">
        <v>1</v>
      </c>
      <c r="B82" s="17" t="s">
        <v>96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1518</v>
      </c>
      <c r="C83" s="17">
        <v>2</v>
      </c>
      <c r="D83" s="17">
        <v>1</v>
      </c>
      <c r="E83" s="17">
        <v>2</v>
      </c>
    </row>
    <row r="84" spans="1:5" x14ac:dyDescent="0.3">
      <c r="A84" s="17" t="s">
        <v>1</v>
      </c>
      <c r="B84" s="17" t="s">
        <v>2292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2440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2399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2444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2616</v>
      </c>
      <c r="C88" s="17">
        <v>3</v>
      </c>
      <c r="D88" s="17">
        <v>1</v>
      </c>
      <c r="E88" s="17">
        <v>4</v>
      </c>
    </row>
    <row r="89" spans="1:5" x14ac:dyDescent="0.3">
      <c r="A89" s="17" t="s">
        <v>1</v>
      </c>
      <c r="B89" s="17" t="s">
        <v>1167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524</v>
      </c>
      <c r="C90" s="17">
        <v>2</v>
      </c>
      <c r="D90" s="17">
        <v>1</v>
      </c>
      <c r="E90" s="17">
        <v>2</v>
      </c>
    </row>
    <row r="91" spans="1:5" x14ac:dyDescent="0.3">
      <c r="A91" s="17" t="s">
        <v>1</v>
      </c>
      <c r="B91" s="17" t="s">
        <v>101</v>
      </c>
      <c r="C91" s="17">
        <v>1</v>
      </c>
      <c r="D91" s="17">
        <v>1</v>
      </c>
      <c r="E91" s="17">
        <v>2</v>
      </c>
    </row>
    <row r="92" spans="1:5" x14ac:dyDescent="0.3">
      <c r="A92" s="17" t="s">
        <v>1</v>
      </c>
      <c r="B92" s="17" t="s">
        <v>441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103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716</v>
      </c>
      <c r="C94" s="17">
        <v>2</v>
      </c>
      <c r="D94" s="17">
        <v>1</v>
      </c>
      <c r="E94" s="17">
        <v>2</v>
      </c>
    </row>
    <row r="95" spans="1:5" x14ac:dyDescent="0.3">
      <c r="A95" s="17" t="s">
        <v>1</v>
      </c>
      <c r="B95" s="17" t="s">
        <v>165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2174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29</v>
      </c>
      <c r="C97" s="17">
        <v>3</v>
      </c>
      <c r="D97" s="17">
        <v>1</v>
      </c>
      <c r="E97" s="17">
        <v>2</v>
      </c>
    </row>
    <row r="98" spans="1:5" x14ac:dyDescent="0.3">
      <c r="A98" s="17" t="s">
        <v>1</v>
      </c>
      <c r="B98" s="17" t="s">
        <v>442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406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110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1099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111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173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872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1954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978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2643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115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775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596</v>
      </c>
      <c r="C110" s="17">
        <v>1</v>
      </c>
      <c r="D110" s="17">
        <v>1</v>
      </c>
      <c r="E110" s="17">
        <v>2</v>
      </c>
    </row>
    <row r="111" spans="1:5" x14ac:dyDescent="0.3">
      <c r="A111" s="17" t="s">
        <v>1</v>
      </c>
      <c r="B111" s="17" t="s">
        <v>597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776</v>
      </c>
      <c r="C112" s="17">
        <v>1</v>
      </c>
      <c r="D112" s="17">
        <v>1</v>
      </c>
      <c r="E112" s="17">
        <v>2</v>
      </c>
    </row>
    <row r="113" spans="1:5" x14ac:dyDescent="0.3">
      <c r="A113" s="17" t="s">
        <v>1</v>
      </c>
      <c r="B113" s="17" t="s">
        <v>295</v>
      </c>
      <c r="C113" s="17">
        <v>2</v>
      </c>
      <c r="D113" s="17">
        <v>1</v>
      </c>
      <c r="E113" s="17">
        <v>2</v>
      </c>
    </row>
    <row r="114" spans="1:5" x14ac:dyDescent="0.3">
      <c r="A114" s="17" t="s">
        <v>1</v>
      </c>
      <c r="B114" s="17" t="s">
        <v>446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548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1013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200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662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123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125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179</v>
      </c>
      <c r="C121" s="17">
        <v>2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1745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1894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1308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2452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347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63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703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2582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918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1952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2538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186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1120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1577</v>
      </c>
      <c r="C135" s="17">
        <v>1</v>
      </c>
      <c r="D135" s="17">
        <v>1</v>
      </c>
      <c r="E135" s="17">
        <v>4</v>
      </c>
    </row>
    <row r="136" spans="1:5" x14ac:dyDescent="0.3">
      <c r="A136" s="17" t="s">
        <v>1</v>
      </c>
      <c r="B136" s="17" t="s">
        <v>668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201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31</v>
      </c>
      <c r="C138" s="17">
        <v>2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566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898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305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1327</v>
      </c>
      <c r="C142" s="17">
        <v>1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700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196</v>
      </c>
      <c r="C144" s="17">
        <v>3</v>
      </c>
      <c r="D144" s="17">
        <v>1</v>
      </c>
      <c r="E144" s="17">
        <v>4</v>
      </c>
    </row>
    <row r="145" spans="1:5" x14ac:dyDescent="0.3">
      <c r="A145" s="17" t="s">
        <v>1</v>
      </c>
      <c r="B145" s="17" t="s">
        <v>39</v>
      </c>
      <c r="C145" s="17">
        <v>7</v>
      </c>
      <c r="D145" s="17">
        <v>1</v>
      </c>
      <c r="E145" s="17">
        <v>8</v>
      </c>
    </row>
    <row r="146" spans="1:5" x14ac:dyDescent="0.3">
      <c r="A146" s="17" t="s">
        <v>1</v>
      </c>
      <c r="B146" s="17" t="s">
        <v>55</v>
      </c>
      <c r="C146" s="17">
        <v>2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56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197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572</v>
      </c>
      <c r="C149" s="17">
        <v>1</v>
      </c>
      <c r="D149" s="17">
        <v>1</v>
      </c>
      <c r="E149" s="17"/>
    </row>
    <row r="150" spans="1:5" x14ac:dyDescent="0.3">
      <c r="A150" s="17" t="s">
        <v>1</v>
      </c>
      <c r="B150" s="17" t="s">
        <v>266</v>
      </c>
      <c r="C150" s="17">
        <v>1</v>
      </c>
      <c r="D150" s="17">
        <v>1</v>
      </c>
      <c r="E150" s="17">
        <v>3</v>
      </c>
    </row>
    <row r="151" spans="1:5" x14ac:dyDescent="0.3">
      <c r="A151" s="17" t="s">
        <v>1</v>
      </c>
      <c r="B151" s="17" t="s">
        <v>2652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2653</v>
      </c>
      <c r="C152" s="17">
        <v>1</v>
      </c>
      <c r="D152" s="17">
        <v>1</v>
      </c>
      <c r="E152" s="17"/>
    </row>
    <row r="153" spans="1:5" x14ac:dyDescent="0.3">
      <c r="A153" s="17" t="s">
        <v>1</v>
      </c>
      <c r="B153" s="17" t="s">
        <v>2360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2654</v>
      </c>
      <c r="C154" s="17">
        <v>1</v>
      </c>
      <c r="D154" s="17">
        <v>1</v>
      </c>
      <c r="E154" s="17">
        <v>3</v>
      </c>
    </row>
    <row r="155" spans="1:5" x14ac:dyDescent="0.3">
      <c r="A155" s="17" t="s">
        <v>0</v>
      </c>
      <c r="B155" s="17" t="s">
        <v>1139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0</v>
      </c>
      <c r="B156" s="17" t="s">
        <v>384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0</v>
      </c>
      <c r="B157" s="17" t="s">
        <v>383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0</v>
      </c>
      <c r="B158" s="17" t="s">
        <v>273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0</v>
      </c>
      <c r="B159" s="17" t="s">
        <v>490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0</v>
      </c>
      <c r="B160" s="17" t="s">
        <v>82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0</v>
      </c>
      <c r="B161" s="17" t="s">
        <v>908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0</v>
      </c>
      <c r="B162" s="17" t="s">
        <v>267</v>
      </c>
      <c r="C162" s="17">
        <v>2</v>
      </c>
      <c r="D162" s="17">
        <v>1</v>
      </c>
      <c r="E162" s="17">
        <v>2</v>
      </c>
    </row>
    <row r="163" spans="1:5" x14ac:dyDescent="0.3">
      <c r="A163" s="17" t="s">
        <v>0</v>
      </c>
      <c r="B163" s="17" t="s">
        <v>315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0</v>
      </c>
      <c r="B164" s="17" t="s">
        <v>85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0</v>
      </c>
      <c r="B165" s="17" t="s">
        <v>1281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1218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89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0</v>
      </c>
      <c r="B168" s="17" t="s">
        <v>91</v>
      </c>
      <c r="C168" s="17">
        <v>1</v>
      </c>
      <c r="D168" s="17">
        <v>1</v>
      </c>
      <c r="E168" s="17">
        <v>2</v>
      </c>
    </row>
    <row r="169" spans="1:5" x14ac:dyDescent="0.3">
      <c r="A169" s="17" t="s">
        <v>0</v>
      </c>
      <c r="B169" s="17" t="s">
        <v>1282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1064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41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365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156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60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42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1143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1750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1946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0</v>
      </c>
      <c r="B179" s="17" t="s">
        <v>2401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2440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2399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2398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0</v>
      </c>
      <c r="B183" s="17" t="s">
        <v>2445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2397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158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282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713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2655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492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1479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0</v>
      </c>
      <c r="B191" s="17" t="s">
        <v>1600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1275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160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403</v>
      </c>
      <c r="C194" s="17">
        <v>1</v>
      </c>
      <c r="D194" s="17">
        <v>1</v>
      </c>
      <c r="E194" s="17">
        <v>2</v>
      </c>
    </row>
    <row r="195" spans="1:5" x14ac:dyDescent="0.3">
      <c r="A195" s="17" t="s">
        <v>0</v>
      </c>
      <c r="B195" s="17" t="s">
        <v>1429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2656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103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912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165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1129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1763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106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322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1971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167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2619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287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406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110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111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51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0</v>
      </c>
      <c r="B212" s="17" t="s">
        <v>291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2657</v>
      </c>
      <c r="C213" s="17">
        <v>1</v>
      </c>
      <c r="D213" s="17">
        <v>1</v>
      </c>
      <c r="E213" s="17">
        <v>2</v>
      </c>
    </row>
    <row r="214" spans="1:5" x14ac:dyDescent="0.3">
      <c r="A214" s="17" t="s">
        <v>0</v>
      </c>
      <c r="B214" s="17" t="s">
        <v>174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694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1681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0</v>
      </c>
      <c r="B217" s="17" t="s">
        <v>2253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256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2092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917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295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1230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607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2394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338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117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1744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1362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343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122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62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695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179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1894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683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697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63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180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182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1450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262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2658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201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65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305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234</v>
      </c>
      <c r="C246" s="17">
        <v>1</v>
      </c>
      <c r="D246" s="17">
        <v>1</v>
      </c>
      <c r="E246" s="17">
        <v>2</v>
      </c>
    </row>
    <row r="247" spans="1:5" x14ac:dyDescent="0.3">
      <c r="A247" s="17" t="s">
        <v>0</v>
      </c>
      <c r="B247" s="17" t="s">
        <v>1423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137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67</v>
      </c>
      <c r="C249" s="17">
        <v>1</v>
      </c>
      <c r="D249" s="17">
        <v>1</v>
      </c>
      <c r="E249" s="17">
        <v>2</v>
      </c>
    </row>
    <row r="250" spans="1:5" x14ac:dyDescent="0.3">
      <c r="A250" s="17" t="s">
        <v>0</v>
      </c>
      <c r="B250" s="17" t="s">
        <v>1125</v>
      </c>
      <c r="C250" s="17">
        <v>1</v>
      </c>
      <c r="D250" s="17">
        <v>1</v>
      </c>
      <c r="E250" s="17">
        <v>2</v>
      </c>
    </row>
    <row r="251" spans="1:5" x14ac:dyDescent="0.3">
      <c r="A251" s="17" t="s">
        <v>0</v>
      </c>
      <c r="B251" s="17" t="s">
        <v>2021</v>
      </c>
      <c r="C251" s="17">
        <v>1</v>
      </c>
      <c r="D251" s="17">
        <v>1</v>
      </c>
      <c r="E251" s="17">
        <v>2</v>
      </c>
    </row>
    <row r="252" spans="1:5" x14ac:dyDescent="0.3">
      <c r="A252" s="17" t="s">
        <v>0</v>
      </c>
      <c r="B252" s="17" t="s">
        <v>2178</v>
      </c>
      <c r="C252" s="17">
        <v>1</v>
      </c>
      <c r="D252" s="17">
        <v>1</v>
      </c>
      <c r="E252" s="17"/>
    </row>
    <row r="253" spans="1:5" x14ac:dyDescent="0.3">
      <c r="A253" s="17" t="s">
        <v>0</v>
      </c>
      <c r="B253" s="17" t="s">
        <v>2180</v>
      </c>
      <c r="C253" s="17">
        <v>1</v>
      </c>
      <c r="D253" s="17">
        <v>1</v>
      </c>
      <c r="E253" s="17">
        <v>4</v>
      </c>
    </row>
    <row r="254" spans="1:5" x14ac:dyDescent="0.3">
      <c r="A254" s="17" t="s">
        <v>0</v>
      </c>
      <c r="B254" s="17" t="s">
        <v>790</v>
      </c>
      <c r="C254" s="17">
        <v>1</v>
      </c>
      <c r="D254" s="17">
        <v>1</v>
      </c>
      <c r="E254" s="17"/>
    </row>
    <row r="255" spans="1:5" x14ac:dyDescent="0.3">
      <c r="A255" s="17" t="s">
        <v>0</v>
      </c>
      <c r="B255" s="17" t="s">
        <v>970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834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2</v>
      </c>
      <c r="B257" s="17" t="s">
        <v>30</v>
      </c>
      <c r="C257" s="17">
        <v>2</v>
      </c>
      <c r="D257" s="17">
        <v>1</v>
      </c>
      <c r="E257" s="17">
        <v>3</v>
      </c>
    </row>
    <row r="258" spans="1:5" x14ac:dyDescent="0.3">
      <c r="A258" s="17" t="s">
        <v>2</v>
      </c>
      <c r="B258" s="17" t="s">
        <v>1337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2</v>
      </c>
      <c r="B259" s="17" t="s">
        <v>34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2</v>
      </c>
      <c r="B260" s="17" t="s">
        <v>2364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2</v>
      </c>
      <c r="B261" s="17" t="s">
        <v>326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2</v>
      </c>
      <c r="B262" s="17" t="s">
        <v>31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2</v>
      </c>
      <c r="B263" s="17" t="s">
        <v>842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502</v>
      </c>
      <c r="C264" s="17">
        <v>1</v>
      </c>
      <c r="D264" s="17">
        <v>0</v>
      </c>
      <c r="E264" s="17">
        <v>1</v>
      </c>
    </row>
    <row r="265" spans="1:5" x14ac:dyDescent="0.3">
      <c r="A265" s="17" t="s">
        <v>1</v>
      </c>
      <c r="B265" s="17" t="s">
        <v>70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1562</v>
      </c>
      <c r="C266" s="17">
        <v>1</v>
      </c>
      <c r="D266" s="17">
        <v>0</v>
      </c>
      <c r="E266" s="17">
        <v>1</v>
      </c>
    </row>
    <row r="267" spans="1:5" x14ac:dyDescent="0.3">
      <c r="A267" s="17" t="s">
        <v>1</v>
      </c>
      <c r="B267" s="17" t="s">
        <v>2659</v>
      </c>
      <c r="C267" s="17">
        <v>1</v>
      </c>
      <c r="D267" s="17">
        <v>0</v>
      </c>
      <c r="E267" s="17">
        <v>1</v>
      </c>
    </row>
    <row r="268" spans="1:5" x14ac:dyDescent="0.3">
      <c r="A268" s="17" t="s">
        <v>1</v>
      </c>
      <c r="B268" s="17" t="s">
        <v>579</v>
      </c>
      <c r="C268" s="17">
        <v>1</v>
      </c>
      <c r="D268" s="17">
        <v>0</v>
      </c>
      <c r="E268" s="17">
        <v>1</v>
      </c>
    </row>
    <row r="269" spans="1:5" x14ac:dyDescent="0.3">
      <c r="A269" s="17" t="s">
        <v>1</v>
      </c>
      <c r="B269" s="17" t="s">
        <v>245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459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1</v>
      </c>
      <c r="B271" s="17" t="s">
        <v>75</v>
      </c>
      <c r="C271" s="17">
        <v>1</v>
      </c>
      <c r="D271" s="17">
        <v>0</v>
      </c>
      <c r="E271" s="17">
        <v>0</v>
      </c>
    </row>
    <row r="272" spans="1:5" x14ac:dyDescent="0.3">
      <c r="A272" s="17" t="s">
        <v>1</v>
      </c>
      <c r="B272" s="17" t="s">
        <v>855</v>
      </c>
      <c r="C272" s="17">
        <v>1</v>
      </c>
      <c r="D272" s="17">
        <v>0</v>
      </c>
      <c r="E272" s="17">
        <v>1</v>
      </c>
    </row>
    <row r="273" spans="1:5" x14ac:dyDescent="0.3">
      <c r="A273" s="17" t="s">
        <v>1</v>
      </c>
      <c r="B273" s="17" t="s">
        <v>619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461</v>
      </c>
      <c r="C274" s="17">
        <v>1</v>
      </c>
      <c r="D274" s="17">
        <v>0</v>
      </c>
      <c r="E274" s="17">
        <v>1</v>
      </c>
    </row>
    <row r="275" spans="1:5" x14ac:dyDescent="0.3">
      <c r="A275" s="17" t="s">
        <v>1</v>
      </c>
      <c r="B275" s="17" t="s">
        <v>79</v>
      </c>
      <c r="C275" s="17">
        <v>2</v>
      </c>
      <c r="D275" s="17">
        <v>0</v>
      </c>
      <c r="E275" s="17">
        <v>2</v>
      </c>
    </row>
    <row r="276" spans="1:5" x14ac:dyDescent="0.3">
      <c r="A276" s="17" t="s">
        <v>1</v>
      </c>
      <c r="B276" s="17" t="s">
        <v>84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1</v>
      </c>
      <c r="B277" s="17" t="s">
        <v>279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360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152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1</v>
      </c>
      <c r="B280" s="17" t="s">
        <v>633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89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1060</v>
      </c>
      <c r="C282" s="17">
        <v>1</v>
      </c>
      <c r="D282" s="17">
        <v>0</v>
      </c>
      <c r="E282" s="17">
        <v>0</v>
      </c>
    </row>
    <row r="283" spans="1:5" x14ac:dyDescent="0.3">
      <c r="A283" s="17" t="s">
        <v>1</v>
      </c>
      <c r="B283" s="17" t="s">
        <v>153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2461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1</v>
      </c>
      <c r="B285" s="17" t="s">
        <v>639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251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1662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1691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2293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1</v>
      </c>
      <c r="B290" s="17" t="s">
        <v>2468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2404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2395</v>
      </c>
      <c r="C292" s="17">
        <v>2</v>
      </c>
      <c r="D292" s="17">
        <v>0</v>
      </c>
      <c r="E292" s="17">
        <v>2</v>
      </c>
    </row>
    <row r="293" spans="1:5" x14ac:dyDescent="0.3">
      <c r="A293" s="17" t="s">
        <v>1</v>
      </c>
      <c r="B293" s="17" t="s">
        <v>2398</v>
      </c>
      <c r="C293" s="17">
        <v>2</v>
      </c>
      <c r="D293" s="17">
        <v>0</v>
      </c>
      <c r="E293" s="17">
        <v>2</v>
      </c>
    </row>
    <row r="294" spans="1:5" x14ac:dyDescent="0.3">
      <c r="A294" s="17" t="s">
        <v>1</v>
      </c>
      <c r="B294" s="17" t="s">
        <v>2396</v>
      </c>
      <c r="C294" s="17">
        <v>3</v>
      </c>
      <c r="D294" s="17">
        <v>0</v>
      </c>
      <c r="E294" s="17">
        <v>3</v>
      </c>
    </row>
    <row r="295" spans="1:5" x14ac:dyDescent="0.3">
      <c r="A295" s="17" t="s">
        <v>1</v>
      </c>
      <c r="B295" s="17" t="s">
        <v>866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97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1103</v>
      </c>
      <c r="C297" s="17">
        <v>3</v>
      </c>
      <c r="D297" s="17">
        <v>0</v>
      </c>
      <c r="E297" s="17">
        <v>5</v>
      </c>
    </row>
    <row r="298" spans="1:5" x14ac:dyDescent="0.3">
      <c r="A298" s="17" t="s">
        <v>1</v>
      </c>
      <c r="B298" s="17" t="s">
        <v>1129</v>
      </c>
      <c r="C298" s="17">
        <v>1</v>
      </c>
      <c r="D298" s="17">
        <v>0</v>
      </c>
      <c r="E298" s="17">
        <v>0</v>
      </c>
    </row>
    <row r="299" spans="1:5" x14ac:dyDescent="0.3">
      <c r="A299" s="17" t="s">
        <v>1</v>
      </c>
      <c r="B299" s="17" t="s">
        <v>1442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1649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693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1225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44</v>
      </c>
      <c r="C303" s="17">
        <v>1</v>
      </c>
      <c r="D303" s="17">
        <v>0</v>
      </c>
      <c r="E303" s="17">
        <v>0</v>
      </c>
    </row>
    <row r="304" spans="1:5" x14ac:dyDescent="0.3">
      <c r="A304" s="17" t="s">
        <v>1</v>
      </c>
      <c r="B304" s="17" t="s">
        <v>1467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1917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421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564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135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53</v>
      </c>
      <c r="C309" s="17">
        <v>1</v>
      </c>
      <c r="D309" s="17">
        <v>0</v>
      </c>
      <c r="E309" s="17">
        <v>2</v>
      </c>
    </row>
    <row r="310" spans="1:5" x14ac:dyDescent="0.3">
      <c r="A310" s="17" t="s">
        <v>1</v>
      </c>
      <c r="B310" s="17" t="s">
        <v>235</v>
      </c>
      <c r="C310" s="17">
        <v>2</v>
      </c>
      <c r="D310" s="17">
        <v>0</v>
      </c>
      <c r="E310" s="17">
        <v>2</v>
      </c>
    </row>
    <row r="311" spans="1:5" x14ac:dyDescent="0.3">
      <c r="A311" s="17" t="s">
        <v>1</v>
      </c>
      <c r="B311" s="17" t="s">
        <v>195</v>
      </c>
      <c r="C311" s="17">
        <v>2</v>
      </c>
      <c r="D311" s="17">
        <v>0</v>
      </c>
      <c r="E311" s="17">
        <v>5</v>
      </c>
    </row>
    <row r="312" spans="1:5" x14ac:dyDescent="0.3">
      <c r="A312" s="17" t="s">
        <v>1</v>
      </c>
      <c r="B312" s="17" t="s">
        <v>376</v>
      </c>
      <c r="C312" s="17">
        <v>2</v>
      </c>
      <c r="D312" s="17">
        <v>0</v>
      </c>
      <c r="E312" s="17">
        <v>2</v>
      </c>
    </row>
    <row r="313" spans="1:5" x14ac:dyDescent="0.3">
      <c r="A313" s="17" t="s">
        <v>1</v>
      </c>
      <c r="B313" s="17" t="s">
        <v>236</v>
      </c>
      <c r="C313" s="17">
        <v>2</v>
      </c>
      <c r="D313" s="17">
        <v>0</v>
      </c>
      <c r="E313" s="17">
        <v>4</v>
      </c>
    </row>
    <row r="314" spans="1:5" x14ac:dyDescent="0.3">
      <c r="A314" s="17" t="s">
        <v>1</v>
      </c>
      <c r="B314" s="17" t="s">
        <v>68</v>
      </c>
      <c r="C314" s="17">
        <v>3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238</v>
      </c>
      <c r="C315" s="17">
        <v>4</v>
      </c>
      <c r="D315" s="17">
        <v>0</v>
      </c>
      <c r="E315" s="17">
        <v>4</v>
      </c>
    </row>
    <row r="316" spans="1:5" x14ac:dyDescent="0.3">
      <c r="A316" s="17" t="s">
        <v>1</v>
      </c>
      <c r="B316" s="17" t="s">
        <v>239</v>
      </c>
      <c r="C316" s="17">
        <v>1</v>
      </c>
      <c r="D316" s="17">
        <v>0</v>
      </c>
      <c r="E316" s="17">
        <v>2</v>
      </c>
    </row>
    <row r="317" spans="1:5" x14ac:dyDescent="0.3">
      <c r="A317" s="17" t="s">
        <v>1</v>
      </c>
      <c r="B317" s="17" t="s">
        <v>240</v>
      </c>
      <c r="C317" s="17">
        <v>3</v>
      </c>
      <c r="D317" s="17">
        <v>0</v>
      </c>
      <c r="E317" s="17">
        <v>3</v>
      </c>
    </row>
    <row r="318" spans="1:5" x14ac:dyDescent="0.3">
      <c r="A318" s="17" t="s">
        <v>1</v>
      </c>
      <c r="B318" s="17" t="s">
        <v>673</v>
      </c>
      <c r="C318" s="17">
        <v>4</v>
      </c>
      <c r="D318" s="17">
        <v>0</v>
      </c>
      <c r="E318" s="17">
        <v>4</v>
      </c>
    </row>
    <row r="319" spans="1:5" x14ac:dyDescent="0.3">
      <c r="A319" s="17" t="s">
        <v>1</v>
      </c>
      <c r="B319" s="17" t="s">
        <v>377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1996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1765</v>
      </c>
      <c r="C321" s="17">
        <v>0</v>
      </c>
      <c r="D321" s="17">
        <v>1</v>
      </c>
      <c r="E321" s="17"/>
    </row>
    <row r="322" spans="1:5" x14ac:dyDescent="0.3">
      <c r="A322" s="17" t="s">
        <v>1</v>
      </c>
      <c r="B322" s="17" t="s">
        <v>1098</v>
      </c>
      <c r="C322" s="17">
        <v>0</v>
      </c>
      <c r="D322" s="17">
        <v>0</v>
      </c>
      <c r="E322" s="17"/>
    </row>
    <row r="323" spans="1:5" x14ac:dyDescent="0.3">
      <c r="A323" s="17" t="s">
        <v>1</v>
      </c>
      <c r="B323" s="17" t="s">
        <v>2660</v>
      </c>
      <c r="C323" s="17">
        <v>1</v>
      </c>
      <c r="D323" s="17">
        <v>0</v>
      </c>
      <c r="E323" s="17">
        <v>2</v>
      </c>
    </row>
    <row r="324" spans="1:5" x14ac:dyDescent="0.3">
      <c r="A324" s="17" t="s">
        <v>1</v>
      </c>
      <c r="B324" s="17" t="s">
        <v>573</v>
      </c>
      <c r="C324" s="17">
        <v>0</v>
      </c>
      <c r="D324" s="17">
        <v>1</v>
      </c>
      <c r="E324" s="17"/>
    </row>
    <row r="325" spans="1:5" x14ac:dyDescent="0.3">
      <c r="A325" s="17" t="s">
        <v>1</v>
      </c>
      <c r="B325" s="17" t="s">
        <v>2589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32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0</v>
      </c>
      <c r="B327" s="17" t="s">
        <v>794</v>
      </c>
      <c r="C327" s="17">
        <v>1</v>
      </c>
      <c r="D327" s="17">
        <v>0</v>
      </c>
      <c r="E327" s="17">
        <v>2</v>
      </c>
    </row>
    <row r="328" spans="1:5" x14ac:dyDescent="0.3">
      <c r="A328" s="17" t="s">
        <v>0</v>
      </c>
      <c r="B328" s="17" t="s">
        <v>272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0</v>
      </c>
      <c r="B329" s="17" t="s">
        <v>635</v>
      </c>
      <c r="C329" s="17">
        <v>1</v>
      </c>
      <c r="D329" s="17">
        <v>0</v>
      </c>
      <c r="E329" s="17">
        <v>2</v>
      </c>
    </row>
    <row r="330" spans="1:5" x14ac:dyDescent="0.3">
      <c r="A330" s="17" t="s">
        <v>0</v>
      </c>
      <c r="B330" s="17" t="s">
        <v>1062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0</v>
      </c>
      <c r="B331" s="17" t="s">
        <v>155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0</v>
      </c>
      <c r="B332" s="17" t="s">
        <v>464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0</v>
      </c>
      <c r="B333" s="17" t="s">
        <v>96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0</v>
      </c>
      <c r="B334" s="17" t="s">
        <v>2468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0</v>
      </c>
      <c r="B335" s="17" t="s">
        <v>2442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0</v>
      </c>
      <c r="B336" s="17" t="s">
        <v>2599</v>
      </c>
      <c r="C336" s="17">
        <v>1</v>
      </c>
      <c r="D336" s="17">
        <v>0</v>
      </c>
      <c r="E336" s="17">
        <v>3</v>
      </c>
    </row>
    <row r="337" spans="1:5" x14ac:dyDescent="0.3">
      <c r="A337" s="17" t="s">
        <v>0</v>
      </c>
      <c r="B337" s="17" t="s">
        <v>2616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0</v>
      </c>
      <c r="B338" s="17" t="s">
        <v>1754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0</v>
      </c>
      <c r="B339" s="17" t="s">
        <v>2661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0</v>
      </c>
      <c r="B340" s="17" t="s">
        <v>1539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0</v>
      </c>
      <c r="B341" s="17" t="s">
        <v>2181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113</v>
      </c>
      <c r="C342" s="17">
        <v>1</v>
      </c>
      <c r="D342" s="17">
        <v>0</v>
      </c>
      <c r="E342" s="17">
        <v>2</v>
      </c>
    </row>
    <row r="343" spans="1:5" x14ac:dyDescent="0.3">
      <c r="A343" s="17" t="s">
        <v>0</v>
      </c>
      <c r="B343" s="17" t="s">
        <v>1037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0</v>
      </c>
      <c r="B344" s="17" t="s">
        <v>2497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0</v>
      </c>
      <c r="B345" s="17" t="s">
        <v>483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0</v>
      </c>
      <c r="B346" s="17" t="s">
        <v>1966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0</v>
      </c>
      <c r="B347" s="17" t="s">
        <v>1120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0</v>
      </c>
      <c r="B348" s="17" t="s">
        <v>1123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235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0</v>
      </c>
      <c r="B350" s="17" t="s">
        <v>376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0</v>
      </c>
      <c r="B351" s="17" t="s">
        <v>196</v>
      </c>
      <c r="C351" s="17">
        <v>4</v>
      </c>
      <c r="D351" s="17">
        <v>0</v>
      </c>
      <c r="E351" s="17">
        <v>5</v>
      </c>
    </row>
    <row r="352" spans="1:5" x14ac:dyDescent="0.3">
      <c r="A352" s="17" t="s">
        <v>0</v>
      </c>
      <c r="B352" s="17" t="s">
        <v>39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55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0</v>
      </c>
      <c r="B354" s="17" t="s">
        <v>673</v>
      </c>
      <c r="C354" s="17">
        <v>2</v>
      </c>
      <c r="D354" s="17">
        <v>0</v>
      </c>
      <c r="E354" s="17">
        <v>2</v>
      </c>
    </row>
    <row r="355" spans="1:5" x14ac:dyDescent="0.3">
      <c r="A355" s="17" t="s">
        <v>0</v>
      </c>
      <c r="B355" s="17" t="s">
        <v>1451</v>
      </c>
      <c r="C355" s="17">
        <v>1</v>
      </c>
      <c r="D355" s="17">
        <v>0</v>
      </c>
      <c r="E355" s="17">
        <v>2</v>
      </c>
    </row>
    <row r="356" spans="1:5" x14ac:dyDescent="0.3">
      <c r="A356" s="17" t="s">
        <v>0</v>
      </c>
      <c r="B356" s="17" t="s">
        <v>377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477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0</v>
      </c>
      <c r="B358" s="17" t="s">
        <v>138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0</v>
      </c>
      <c r="B359" s="17" t="s">
        <v>1272</v>
      </c>
      <c r="C359" s="17">
        <v>0</v>
      </c>
      <c r="D359" s="17">
        <v>1</v>
      </c>
      <c r="E359" s="17"/>
    </row>
    <row r="360" spans="1:5" x14ac:dyDescent="0.3">
      <c r="A360" s="17" t="s">
        <v>0</v>
      </c>
      <c r="B360" s="17" t="s">
        <v>32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2</v>
      </c>
      <c r="B361" s="17" t="s">
        <v>1708</v>
      </c>
      <c r="C361" s="17">
        <v>3</v>
      </c>
      <c r="D361" s="17">
        <v>0</v>
      </c>
      <c r="E361" s="17">
        <v>3</v>
      </c>
    </row>
    <row r="362" spans="1:5" x14ac:dyDescent="0.3">
      <c r="A362" s="17" t="s">
        <v>2</v>
      </c>
      <c r="B362" s="17" t="s">
        <v>1928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2</v>
      </c>
      <c r="B363" s="17" t="s">
        <v>2397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2</v>
      </c>
      <c r="B364" s="17" t="s">
        <v>2599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2</v>
      </c>
      <c r="B365" s="17" t="s">
        <v>160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2</v>
      </c>
      <c r="B366" s="17" t="s">
        <v>39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2</v>
      </c>
      <c r="B367" s="17" t="s">
        <v>673</v>
      </c>
      <c r="C367" s="17">
        <v>1</v>
      </c>
      <c r="D367" s="17">
        <v>0</v>
      </c>
      <c r="E367" s="17">
        <v>1</v>
      </c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44B72-9F34-47B8-8E25-91E1637AA109}">
  <sheetPr codeName="Sheet38"/>
  <dimension ref="A1:M620"/>
  <sheetViews>
    <sheetView workbookViewId="0">
      <selection activeCell="A2" sqref="A2:E48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2572</v>
      </c>
      <c r="C2" s="17">
        <v>3309</v>
      </c>
      <c r="D2" s="17">
        <v>3002</v>
      </c>
      <c r="E2" s="17">
        <v>3660</v>
      </c>
    </row>
    <row r="3" spans="1:13" customFormat="1" x14ac:dyDescent="0.3">
      <c r="A3" s="17" t="s">
        <v>1</v>
      </c>
      <c r="B3" s="17" t="s">
        <v>2572</v>
      </c>
      <c r="C3" s="17">
        <v>312</v>
      </c>
      <c r="D3" s="17">
        <v>276</v>
      </c>
      <c r="E3" s="17">
        <v>351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2</v>
      </c>
      <c r="B4" s="17" t="s">
        <v>2572</v>
      </c>
      <c r="C4" s="17">
        <v>68</v>
      </c>
      <c r="D4" s="17">
        <v>64</v>
      </c>
      <c r="E4" s="17">
        <v>78</v>
      </c>
      <c r="G4" s="23" t="s">
        <v>8</v>
      </c>
      <c r="H4" s="19">
        <f>H13+H14</f>
        <v>838</v>
      </c>
      <c r="I4" s="20">
        <f>H4/H$6</f>
        <v>0.18169991326973114</v>
      </c>
      <c r="J4" s="19">
        <f>I13+I14</f>
        <v>584</v>
      </c>
      <c r="K4" s="20">
        <f>J4/J$6</f>
        <v>0.15008995116936522</v>
      </c>
      <c r="L4" s="19">
        <f>J13+J14</f>
        <v>963</v>
      </c>
      <c r="M4" s="29">
        <f>L4/L$6</f>
        <v>0.18699029126213593</v>
      </c>
    </row>
    <row r="5" spans="1:13" customFormat="1" x14ac:dyDescent="0.3">
      <c r="A5" s="17" t="s">
        <v>1</v>
      </c>
      <c r="B5" s="17" t="s">
        <v>138</v>
      </c>
      <c r="C5" s="17">
        <v>52</v>
      </c>
      <c r="D5" s="17">
        <v>48</v>
      </c>
      <c r="E5" s="17">
        <v>54</v>
      </c>
      <c r="G5" s="23" t="s">
        <v>10</v>
      </c>
      <c r="H5" s="19">
        <f>H15+H16</f>
        <v>3774</v>
      </c>
      <c r="I5" s="20">
        <f>H5/H$6</f>
        <v>0.81830008673026888</v>
      </c>
      <c r="J5" s="19">
        <f>I15+I16</f>
        <v>3307</v>
      </c>
      <c r="K5" s="20">
        <f>J5/J$6</f>
        <v>0.84991004883063481</v>
      </c>
      <c r="L5" s="19">
        <f>J15+J16</f>
        <v>4187</v>
      </c>
      <c r="M5" s="29">
        <f>L5/L$6</f>
        <v>0.81300970873786405</v>
      </c>
    </row>
    <row r="6" spans="1:13" customFormat="1" ht="17.25" thickBot="1" x14ac:dyDescent="0.35">
      <c r="A6" s="17" t="s">
        <v>0</v>
      </c>
      <c r="B6" s="17" t="s">
        <v>29</v>
      </c>
      <c r="C6" s="17">
        <v>20</v>
      </c>
      <c r="D6" s="17">
        <v>17</v>
      </c>
      <c r="E6" s="17">
        <v>20</v>
      </c>
      <c r="G6" s="26"/>
      <c r="H6" s="30">
        <f>SUM(H4:H5)</f>
        <v>4612</v>
      </c>
      <c r="I6" s="31">
        <f>I4+I5</f>
        <v>1</v>
      </c>
      <c r="J6" s="30">
        <f>SUM(J4:J5)</f>
        <v>3891</v>
      </c>
      <c r="K6" s="31">
        <f>K4+K5</f>
        <v>1</v>
      </c>
      <c r="L6" s="30">
        <f>SUM(L4:L5)</f>
        <v>5150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33</v>
      </c>
      <c r="D7" s="17">
        <v>16</v>
      </c>
      <c r="E7" s="17">
        <v>42</v>
      </c>
    </row>
    <row r="8" spans="1:13" customFormat="1" x14ac:dyDescent="0.3">
      <c r="A8" s="17" t="s">
        <v>0</v>
      </c>
      <c r="B8" s="17" t="s">
        <v>31</v>
      </c>
      <c r="C8" s="17">
        <v>9</v>
      </c>
      <c r="D8" s="17">
        <v>9</v>
      </c>
      <c r="E8" s="17">
        <v>9</v>
      </c>
    </row>
    <row r="9" spans="1:13" customFormat="1" x14ac:dyDescent="0.3">
      <c r="A9" s="17" t="s">
        <v>0</v>
      </c>
      <c r="B9" s="17" t="s">
        <v>30</v>
      </c>
      <c r="C9" s="17">
        <v>24</v>
      </c>
      <c r="D9" s="17">
        <v>8</v>
      </c>
      <c r="E9" s="17">
        <v>35</v>
      </c>
    </row>
    <row r="10" spans="1:13" customFormat="1" ht="17.25" thickBot="1" x14ac:dyDescent="0.35">
      <c r="A10" s="17" t="s">
        <v>0</v>
      </c>
      <c r="B10" s="17" t="s">
        <v>39</v>
      </c>
      <c r="C10" s="17">
        <v>8</v>
      </c>
      <c r="D10" s="17">
        <v>7</v>
      </c>
      <c r="E10" s="17">
        <v>9</v>
      </c>
    </row>
    <row r="11" spans="1:13" x14ac:dyDescent="0.3">
      <c r="A11" s="17" t="s">
        <v>1</v>
      </c>
      <c r="B11" s="17" t="s">
        <v>2075</v>
      </c>
      <c r="C11" s="17">
        <v>7</v>
      </c>
      <c r="D11" s="17">
        <v>6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2075</v>
      </c>
      <c r="C12" s="17">
        <v>7</v>
      </c>
      <c r="D12" s="17">
        <v>6</v>
      </c>
      <c r="E12" s="17">
        <v>8</v>
      </c>
      <c r="G12" s="23"/>
      <c r="H12" s="21">
        <f t="shared" ref="H12:J12" si="0">SUM(H13:H16)</f>
        <v>4612</v>
      </c>
      <c r="I12" s="21">
        <f t="shared" si="0"/>
        <v>3891</v>
      </c>
      <c r="J12" s="24">
        <f t="shared" si="0"/>
        <v>5150</v>
      </c>
    </row>
    <row r="13" spans="1:13" x14ac:dyDescent="0.3">
      <c r="A13" s="17" t="s">
        <v>0</v>
      </c>
      <c r="B13" s="17" t="s">
        <v>35</v>
      </c>
      <c r="C13" s="17">
        <v>6</v>
      </c>
      <c r="D13" s="17">
        <v>6</v>
      </c>
      <c r="E13" s="17">
        <v>7</v>
      </c>
      <c r="G13" s="23" t="s">
        <v>7</v>
      </c>
      <c r="H13" s="22">
        <f t="shared" ref="H13:J16" si="1">SUMIF($A$2:$A$9999,$G13,C$2:C$9999)</f>
        <v>838</v>
      </c>
      <c r="I13" s="22">
        <f t="shared" si="1"/>
        <v>584</v>
      </c>
      <c r="J13" s="25">
        <f t="shared" si="1"/>
        <v>963</v>
      </c>
    </row>
    <row r="14" spans="1:13" x14ac:dyDescent="0.3">
      <c r="A14" s="17" t="s">
        <v>1</v>
      </c>
      <c r="B14" s="17" t="s">
        <v>281</v>
      </c>
      <c r="C14" s="17">
        <v>6</v>
      </c>
      <c r="D14" s="17">
        <v>5</v>
      </c>
      <c r="E14" s="17">
        <v>6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61</v>
      </c>
      <c r="C15" s="17">
        <v>5</v>
      </c>
      <c r="D15" s="17">
        <v>5</v>
      </c>
      <c r="E15" s="17">
        <v>5</v>
      </c>
      <c r="G15" s="23" t="s">
        <v>11</v>
      </c>
      <c r="H15" s="22">
        <f t="shared" si="1"/>
        <v>3696</v>
      </c>
      <c r="I15" s="22">
        <f t="shared" si="1"/>
        <v>3237</v>
      </c>
      <c r="J15" s="25">
        <f t="shared" si="1"/>
        <v>4098</v>
      </c>
    </row>
    <row r="16" spans="1:13" ht="17.25" thickBot="1" x14ac:dyDescent="0.35">
      <c r="A16" s="17" t="s">
        <v>1</v>
      </c>
      <c r="B16" s="17" t="s">
        <v>1927</v>
      </c>
      <c r="C16" s="17">
        <v>5</v>
      </c>
      <c r="D16" s="17">
        <v>5</v>
      </c>
      <c r="E16" s="17">
        <v>10</v>
      </c>
      <c r="G16" s="26" t="s">
        <v>12</v>
      </c>
      <c r="H16" s="27">
        <f t="shared" si="1"/>
        <v>78</v>
      </c>
      <c r="I16" s="27">
        <f t="shared" si="1"/>
        <v>70</v>
      </c>
      <c r="J16" s="28">
        <f t="shared" si="1"/>
        <v>89</v>
      </c>
    </row>
    <row r="17" spans="1:5" x14ac:dyDescent="0.3">
      <c r="A17" s="17" t="s">
        <v>1</v>
      </c>
      <c r="B17" s="17" t="s">
        <v>37</v>
      </c>
      <c r="C17" s="17">
        <v>8</v>
      </c>
      <c r="D17" s="17">
        <v>5</v>
      </c>
      <c r="E17" s="17">
        <v>9</v>
      </c>
    </row>
    <row r="18" spans="1:5" x14ac:dyDescent="0.3">
      <c r="A18" s="17" t="s">
        <v>0</v>
      </c>
      <c r="B18" s="17" t="s">
        <v>79</v>
      </c>
      <c r="C18" s="17">
        <v>25</v>
      </c>
      <c r="D18" s="17">
        <v>5</v>
      </c>
      <c r="E18" s="17">
        <v>27</v>
      </c>
    </row>
    <row r="19" spans="1:5" x14ac:dyDescent="0.3">
      <c r="A19" s="17" t="s">
        <v>0</v>
      </c>
      <c r="B19" s="17" t="s">
        <v>34</v>
      </c>
      <c r="C19" s="17">
        <v>5</v>
      </c>
      <c r="D19" s="17">
        <v>5</v>
      </c>
      <c r="E19" s="17">
        <v>5</v>
      </c>
    </row>
    <row r="20" spans="1:5" x14ac:dyDescent="0.3">
      <c r="A20" s="17" t="s">
        <v>1</v>
      </c>
      <c r="B20" s="17" t="s">
        <v>365</v>
      </c>
      <c r="C20" s="17">
        <v>7</v>
      </c>
      <c r="D20" s="17">
        <v>4</v>
      </c>
      <c r="E20" s="17">
        <v>6</v>
      </c>
    </row>
    <row r="21" spans="1:5" x14ac:dyDescent="0.3">
      <c r="A21" s="17" t="s">
        <v>1</v>
      </c>
      <c r="B21" s="17" t="s">
        <v>2395</v>
      </c>
      <c r="C21" s="17">
        <v>5</v>
      </c>
      <c r="D21" s="17">
        <v>4</v>
      </c>
      <c r="E21" s="17">
        <v>5</v>
      </c>
    </row>
    <row r="22" spans="1:5" x14ac:dyDescent="0.3">
      <c r="A22" s="17" t="s">
        <v>1</v>
      </c>
      <c r="B22" s="17" t="s">
        <v>265</v>
      </c>
      <c r="C22" s="17">
        <v>4</v>
      </c>
      <c r="D22" s="17">
        <v>4</v>
      </c>
      <c r="E22" s="17">
        <v>7</v>
      </c>
    </row>
    <row r="23" spans="1:5" x14ac:dyDescent="0.3">
      <c r="A23" s="17" t="s">
        <v>1</v>
      </c>
      <c r="B23" s="17" t="s">
        <v>29</v>
      </c>
      <c r="C23" s="17">
        <v>4</v>
      </c>
      <c r="D23" s="17">
        <v>4</v>
      </c>
      <c r="E23" s="17">
        <v>6</v>
      </c>
    </row>
    <row r="24" spans="1:5" x14ac:dyDescent="0.3">
      <c r="A24" s="17" t="s">
        <v>0</v>
      </c>
      <c r="B24" s="17" t="s">
        <v>490</v>
      </c>
      <c r="C24" s="17">
        <v>4</v>
      </c>
      <c r="D24" s="17">
        <v>4</v>
      </c>
      <c r="E24" s="17">
        <v>4</v>
      </c>
    </row>
    <row r="25" spans="1:5" x14ac:dyDescent="0.3">
      <c r="A25" s="17" t="s">
        <v>0</v>
      </c>
      <c r="B25" s="17" t="s">
        <v>305</v>
      </c>
      <c r="C25" s="17">
        <v>4</v>
      </c>
      <c r="D25" s="17">
        <v>4</v>
      </c>
      <c r="E25" s="17">
        <v>4</v>
      </c>
    </row>
    <row r="26" spans="1:5" x14ac:dyDescent="0.3">
      <c r="A26" s="17" t="s">
        <v>1</v>
      </c>
      <c r="B26" s="17" t="s">
        <v>33</v>
      </c>
      <c r="C26" s="17">
        <v>5</v>
      </c>
      <c r="D26" s="17">
        <v>3</v>
      </c>
      <c r="E26" s="17">
        <v>6</v>
      </c>
    </row>
    <row r="27" spans="1:5" x14ac:dyDescent="0.3">
      <c r="A27" s="17" t="s">
        <v>1</v>
      </c>
      <c r="B27" s="17" t="s">
        <v>48</v>
      </c>
      <c r="C27" s="17">
        <v>4</v>
      </c>
      <c r="D27" s="17">
        <v>3</v>
      </c>
      <c r="E27" s="17">
        <v>4</v>
      </c>
    </row>
    <row r="28" spans="1:5" x14ac:dyDescent="0.3">
      <c r="A28" s="17" t="s">
        <v>1</v>
      </c>
      <c r="B28" s="17" t="s">
        <v>517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289</v>
      </c>
      <c r="C29" s="17">
        <v>3</v>
      </c>
      <c r="D29" s="17">
        <v>3</v>
      </c>
      <c r="E29" s="17">
        <v>3</v>
      </c>
    </row>
    <row r="30" spans="1:5" x14ac:dyDescent="0.3">
      <c r="A30" s="17" t="s">
        <v>1</v>
      </c>
      <c r="B30" s="17" t="s">
        <v>51</v>
      </c>
      <c r="C30" s="17">
        <v>3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115</v>
      </c>
      <c r="C31" s="17">
        <v>3</v>
      </c>
      <c r="D31" s="17">
        <v>3</v>
      </c>
      <c r="E31" s="17">
        <v>5</v>
      </c>
    </row>
    <row r="32" spans="1:5" x14ac:dyDescent="0.3">
      <c r="A32" s="17" t="s">
        <v>0</v>
      </c>
      <c r="B32" s="17" t="s">
        <v>61</v>
      </c>
      <c r="C32" s="17">
        <v>3</v>
      </c>
      <c r="D32" s="17">
        <v>3</v>
      </c>
      <c r="E32" s="17">
        <v>3</v>
      </c>
    </row>
    <row r="33" spans="1:5" x14ac:dyDescent="0.3">
      <c r="A33" s="17" t="s">
        <v>0</v>
      </c>
      <c r="B33" s="17" t="s">
        <v>2397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163</v>
      </c>
      <c r="C34" s="17">
        <v>3</v>
      </c>
      <c r="D34" s="17">
        <v>3</v>
      </c>
      <c r="E34" s="17">
        <v>3</v>
      </c>
    </row>
    <row r="35" spans="1:5" x14ac:dyDescent="0.3">
      <c r="A35" s="17" t="s">
        <v>0</v>
      </c>
      <c r="B35" s="17" t="s">
        <v>200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79</v>
      </c>
      <c r="C36" s="17">
        <v>19</v>
      </c>
      <c r="D36" s="17">
        <v>2</v>
      </c>
      <c r="E36" s="17">
        <v>19</v>
      </c>
    </row>
    <row r="37" spans="1:5" x14ac:dyDescent="0.3">
      <c r="A37" s="17" t="s">
        <v>1</v>
      </c>
      <c r="B37" s="17" t="s">
        <v>152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155</v>
      </c>
      <c r="C38" s="17">
        <v>3</v>
      </c>
      <c r="D38" s="17">
        <v>2</v>
      </c>
      <c r="E38" s="17">
        <v>3</v>
      </c>
    </row>
    <row r="39" spans="1:5" x14ac:dyDescent="0.3">
      <c r="A39" s="17" t="s">
        <v>1</v>
      </c>
      <c r="B39" s="17" t="s">
        <v>42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1708</v>
      </c>
      <c r="C40" s="17">
        <v>8</v>
      </c>
      <c r="D40" s="17">
        <v>2</v>
      </c>
      <c r="E40" s="17">
        <v>9</v>
      </c>
    </row>
    <row r="41" spans="1:5" x14ac:dyDescent="0.3">
      <c r="A41" s="17" t="s">
        <v>1</v>
      </c>
      <c r="B41" s="17" t="s">
        <v>1946</v>
      </c>
      <c r="C41" s="17">
        <v>4</v>
      </c>
      <c r="D41" s="17">
        <v>2</v>
      </c>
      <c r="E41" s="17">
        <v>6</v>
      </c>
    </row>
    <row r="42" spans="1:5" x14ac:dyDescent="0.3">
      <c r="A42" s="17" t="s">
        <v>1</v>
      </c>
      <c r="B42" s="17" t="s">
        <v>2662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49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1898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165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107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2663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168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199</v>
      </c>
      <c r="C49" s="17">
        <v>3</v>
      </c>
      <c r="D49" s="17">
        <v>2</v>
      </c>
      <c r="E49" s="17">
        <v>3</v>
      </c>
    </row>
    <row r="50" spans="1:5" x14ac:dyDescent="0.3">
      <c r="A50" s="17" t="s">
        <v>1</v>
      </c>
      <c r="B50" s="17" t="s">
        <v>2664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110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331</v>
      </c>
      <c r="C52" s="17">
        <v>3</v>
      </c>
      <c r="D52" s="17">
        <v>2</v>
      </c>
      <c r="E52" s="17">
        <v>4</v>
      </c>
    </row>
    <row r="53" spans="1:5" x14ac:dyDescent="0.3">
      <c r="A53" s="17" t="s">
        <v>1</v>
      </c>
      <c r="B53" s="17" t="s">
        <v>2665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2666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1474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448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1455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1153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120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2667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46</v>
      </c>
      <c r="C61" s="17">
        <v>2</v>
      </c>
      <c r="D61" s="17">
        <v>2</v>
      </c>
      <c r="E61" s="17">
        <v>3</v>
      </c>
    </row>
    <row r="62" spans="1:5" x14ac:dyDescent="0.3">
      <c r="A62" s="17" t="s">
        <v>1</v>
      </c>
      <c r="B62" s="17" t="s">
        <v>741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63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750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135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2668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195</v>
      </c>
      <c r="C67" s="17">
        <v>3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55</v>
      </c>
      <c r="C68" s="17">
        <v>6</v>
      </c>
      <c r="D68" s="17">
        <v>2</v>
      </c>
      <c r="E68" s="17">
        <v>7</v>
      </c>
    </row>
    <row r="69" spans="1:5" x14ac:dyDescent="0.3">
      <c r="A69" s="17" t="s">
        <v>1</v>
      </c>
      <c r="B69" s="17" t="s">
        <v>2669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1741</v>
      </c>
      <c r="C70" s="17">
        <v>2</v>
      </c>
      <c r="D70" s="17">
        <v>3</v>
      </c>
      <c r="E70" s="17"/>
    </row>
    <row r="71" spans="1:5" x14ac:dyDescent="0.3">
      <c r="A71" s="17" t="s">
        <v>1</v>
      </c>
      <c r="B71" s="17" t="s">
        <v>2670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2249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850</v>
      </c>
      <c r="C73" s="17">
        <v>3</v>
      </c>
      <c r="D73" s="17">
        <v>2</v>
      </c>
      <c r="E73" s="17">
        <v>4</v>
      </c>
    </row>
    <row r="74" spans="1:5" x14ac:dyDescent="0.3">
      <c r="A74" s="17" t="s">
        <v>1</v>
      </c>
      <c r="B74" s="17" t="s">
        <v>2671</v>
      </c>
      <c r="C74" s="17">
        <v>2</v>
      </c>
      <c r="D74" s="17">
        <v>2</v>
      </c>
      <c r="E74" s="17"/>
    </row>
    <row r="75" spans="1:5" x14ac:dyDescent="0.3">
      <c r="A75" s="17" t="s">
        <v>1</v>
      </c>
      <c r="B75" s="17" t="s">
        <v>2672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506</v>
      </c>
      <c r="C76" s="17">
        <v>2</v>
      </c>
      <c r="D76" s="17">
        <v>2</v>
      </c>
      <c r="E76" s="17">
        <v>3</v>
      </c>
    </row>
    <row r="77" spans="1:5" x14ac:dyDescent="0.3">
      <c r="A77" s="17" t="s">
        <v>0</v>
      </c>
      <c r="B77" s="17" t="s">
        <v>459</v>
      </c>
      <c r="C77" s="17">
        <v>2</v>
      </c>
      <c r="D77" s="17">
        <v>2</v>
      </c>
      <c r="E77" s="17">
        <v>2</v>
      </c>
    </row>
    <row r="78" spans="1:5" x14ac:dyDescent="0.3">
      <c r="A78" s="17" t="s">
        <v>0</v>
      </c>
      <c r="B78" s="17" t="s">
        <v>48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516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60</v>
      </c>
      <c r="C80" s="17">
        <v>2</v>
      </c>
      <c r="D80" s="17">
        <v>2</v>
      </c>
      <c r="E80" s="17">
        <v>2</v>
      </c>
    </row>
    <row r="81" spans="1:5" x14ac:dyDescent="0.3">
      <c r="A81" s="17" t="s">
        <v>0</v>
      </c>
      <c r="B81" s="17" t="s">
        <v>1518</v>
      </c>
      <c r="C81" s="17">
        <v>2</v>
      </c>
      <c r="D81" s="17">
        <v>2</v>
      </c>
      <c r="E81" s="17">
        <v>2</v>
      </c>
    </row>
    <row r="82" spans="1:5" x14ac:dyDescent="0.3">
      <c r="A82" s="17" t="s">
        <v>0</v>
      </c>
      <c r="B82" s="17" t="s">
        <v>1708</v>
      </c>
      <c r="C82" s="17">
        <v>33</v>
      </c>
      <c r="D82" s="17">
        <v>2</v>
      </c>
      <c r="E82" s="17">
        <v>38</v>
      </c>
    </row>
    <row r="83" spans="1:5" x14ac:dyDescent="0.3">
      <c r="A83" s="17" t="s">
        <v>0</v>
      </c>
      <c r="B83" s="17" t="s">
        <v>2395</v>
      </c>
      <c r="C83" s="17">
        <v>3</v>
      </c>
      <c r="D83" s="17">
        <v>2</v>
      </c>
      <c r="E83" s="17">
        <v>3</v>
      </c>
    </row>
    <row r="84" spans="1:5" x14ac:dyDescent="0.3">
      <c r="A84" s="17" t="s">
        <v>0</v>
      </c>
      <c r="B84" s="17" t="s">
        <v>2396</v>
      </c>
      <c r="C84" s="17">
        <v>3</v>
      </c>
      <c r="D84" s="17">
        <v>2</v>
      </c>
      <c r="E84" s="17">
        <v>3</v>
      </c>
    </row>
    <row r="85" spans="1:5" x14ac:dyDescent="0.3">
      <c r="A85" s="17" t="s">
        <v>0</v>
      </c>
      <c r="B85" s="17" t="s">
        <v>28</v>
      </c>
      <c r="C85" s="17">
        <v>2</v>
      </c>
      <c r="D85" s="17">
        <v>2</v>
      </c>
      <c r="E85" s="17">
        <v>2</v>
      </c>
    </row>
    <row r="86" spans="1:5" x14ac:dyDescent="0.3">
      <c r="A86" s="17" t="s">
        <v>0</v>
      </c>
      <c r="B86" s="17" t="s">
        <v>168</v>
      </c>
      <c r="C86" s="17">
        <v>2</v>
      </c>
      <c r="D86" s="17">
        <v>2</v>
      </c>
      <c r="E86" s="17">
        <v>2</v>
      </c>
    </row>
    <row r="87" spans="1:5" x14ac:dyDescent="0.3">
      <c r="A87" s="17" t="s">
        <v>0</v>
      </c>
      <c r="B87" s="17" t="s">
        <v>51</v>
      </c>
      <c r="C87" s="17">
        <v>2</v>
      </c>
      <c r="D87" s="17">
        <v>2</v>
      </c>
      <c r="E87" s="17">
        <v>2</v>
      </c>
    </row>
    <row r="88" spans="1:5" x14ac:dyDescent="0.3">
      <c r="A88" s="17" t="s">
        <v>0</v>
      </c>
      <c r="B88" s="17" t="s">
        <v>330</v>
      </c>
      <c r="C88" s="17">
        <v>3</v>
      </c>
      <c r="D88" s="17">
        <v>2</v>
      </c>
      <c r="E88" s="17">
        <v>3</v>
      </c>
    </row>
    <row r="89" spans="1:5" x14ac:dyDescent="0.3">
      <c r="A89" s="17" t="s">
        <v>0</v>
      </c>
      <c r="B89" s="17" t="s">
        <v>546</v>
      </c>
      <c r="C89" s="17">
        <v>2</v>
      </c>
      <c r="D89" s="17">
        <v>2</v>
      </c>
      <c r="E89" s="17">
        <v>2</v>
      </c>
    </row>
    <row r="90" spans="1:5" x14ac:dyDescent="0.3">
      <c r="A90" s="17" t="s">
        <v>0</v>
      </c>
      <c r="B90" s="17" t="s">
        <v>337</v>
      </c>
      <c r="C90" s="17">
        <v>2</v>
      </c>
      <c r="D90" s="17">
        <v>2</v>
      </c>
      <c r="E90" s="17">
        <v>2</v>
      </c>
    </row>
    <row r="91" spans="1:5" x14ac:dyDescent="0.3">
      <c r="A91" s="17" t="s">
        <v>0</v>
      </c>
      <c r="B91" s="17" t="s">
        <v>662</v>
      </c>
      <c r="C91" s="17">
        <v>4</v>
      </c>
      <c r="D91" s="17">
        <v>2</v>
      </c>
      <c r="E91" s="17">
        <v>5</v>
      </c>
    </row>
    <row r="92" spans="1:5" x14ac:dyDescent="0.3">
      <c r="A92" s="17" t="s">
        <v>0</v>
      </c>
      <c r="B92" s="17" t="s">
        <v>890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389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36</v>
      </c>
      <c r="C94" s="17">
        <v>1</v>
      </c>
      <c r="D94" s="17">
        <v>1</v>
      </c>
      <c r="E94" s="17">
        <v>3</v>
      </c>
    </row>
    <row r="95" spans="1:5" x14ac:dyDescent="0.3">
      <c r="A95" s="17" t="s">
        <v>1</v>
      </c>
      <c r="B95" s="17" t="s">
        <v>985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269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1915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764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273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356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34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479</v>
      </c>
      <c r="C102" s="17">
        <v>2</v>
      </c>
      <c r="D102" s="17">
        <v>1</v>
      </c>
      <c r="E102" s="17">
        <v>2</v>
      </c>
    </row>
    <row r="103" spans="1:5" x14ac:dyDescent="0.3">
      <c r="A103" s="17" t="s">
        <v>1</v>
      </c>
      <c r="B103" s="17" t="s">
        <v>267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315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148</v>
      </c>
      <c r="C105" s="17">
        <v>2</v>
      </c>
      <c r="D105" s="17">
        <v>1</v>
      </c>
      <c r="E105" s="17">
        <v>2</v>
      </c>
    </row>
    <row r="106" spans="1:5" x14ac:dyDescent="0.3">
      <c r="A106" s="17" t="s">
        <v>1</v>
      </c>
      <c r="B106" s="17" t="s">
        <v>863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766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149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89</v>
      </c>
      <c r="C109" s="17">
        <v>2</v>
      </c>
      <c r="D109" s="17">
        <v>1</v>
      </c>
      <c r="E109" s="17">
        <v>2</v>
      </c>
    </row>
    <row r="110" spans="1:5" x14ac:dyDescent="0.3">
      <c r="A110" s="17" t="s">
        <v>1</v>
      </c>
      <c r="B110" s="17" t="s">
        <v>219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93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41</v>
      </c>
      <c r="C112" s="17">
        <v>1</v>
      </c>
      <c r="D112" s="17">
        <v>1</v>
      </c>
      <c r="E112" s="17">
        <v>2</v>
      </c>
    </row>
    <row r="113" spans="1:5" x14ac:dyDescent="0.3">
      <c r="A113" s="17" t="s">
        <v>1</v>
      </c>
      <c r="B113" s="17" t="s">
        <v>60</v>
      </c>
      <c r="C113" s="17">
        <v>3</v>
      </c>
      <c r="D113" s="17">
        <v>1</v>
      </c>
      <c r="E113" s="17">
        <v>3</v>
      </c>
    </row>
    <row r="114" spans="1:5" x14ac:dyDescent="0.3">
      <c r="A114" s="17" t="s">
        <v>1</v>
      </c>
      <c r="B114" s="17" t="s">
        <v>95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96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1897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2329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2429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158</v>
      </c>
      <c r="C119" s="17">
        <v>1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1285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399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585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401</v>
      </c>
      <c r="C123" s="17">
        <v>1</v>
      </c>
      <c r="D123" s="17">
        <v>1</v>
      </c>
      <c r="E123" s="17">
        <v>2</v>
      </c>
    </row>
    <row r="124" spans="1:5" x14ac:dyDescent="0.3">
      <c r="A124" s="17" t="s">
        <v>1</v>
      </c>
      <c r="B124" s="17" t="s">
        <v>526</v>
      </c>
      <c r="C124" s="17">
        <v>2</v>
      </c>
      <c r="D124" s="17">
        <v>1</v>
      </c>
      <c r="E124" s="17">
        <v>4</v>
      </c>
    </row>
    <row r="125" spans="1:5" x14ac:dyDescent="0.3">
      <c r="A125" s="17" t="s">
        <v>1</v>
      </c>
      <c r="B125" s="17" t="s">
        <v>2302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1278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993</v>
      </c>
      <c r="C127" s="17">
        <v>2</v>
      </c>
      <c r="D127" s="17">
        <v>1</v>
      </c>
      <c r="E127" s="17">
        <v>3</v>
      </c>
    </row>
    <row r="128" spans="1:5" x14ac:dyDescent="0.3">
      <c r="A128" s="17" t="s">
        <v>1</v>
      </c>
      <c r="B128" s="17" t="s">
        <v>1478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1479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994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840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163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1625</v>
      </c>
      <c r="C133" s="17">
        <v>1</v>
      </c>
      <c r="D133" s="17">
        <v>1</v>
      </c>
      <c r="E133" s="17">
        <v>3</v>
      </c>
    </row>
    <row r="134" spans="1:5" x14ac:dyDescent="0.3">
      <c r="A134" s="17" t="s">
        <v>1</v>
      </c>
      <c r="B134" s="17" t="s">
        <v>28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103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1304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106</v>
      </c>
      <c r="C137" s="17">
        <v>1</v>
      </c>
      <c r="D137" s="17">
        <v>1</v>
      </c>
      <c r="E137" s="17">
        <v>2</v>
      </c>
    </row>
    <row r="138" spans="1:5" x14ac:dyDescent="0.3">
      <c r="A138" s="17" t="s">
        <v>1</v>
      </c>
      <c r="B138" s="17" t="s">
        <v>324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50</v>
      </c>
      <c r="C139" s="17">
        <v>1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593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111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113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291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44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594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2026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1075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45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2673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229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729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336</v>
      </c>
      <c r="C152" s="17">
        <v>1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1172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117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1717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814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1307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373</v>
      </c>
      <c r="C158" s="17">
        <v>1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1198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817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124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1014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1308</v>
      </c>
      <c r="C163" s="17">
        <v>1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743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126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1759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604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897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472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186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127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1120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189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752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38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192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1327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1363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68</v>
      </c>
      <c r="C180" s="17">
        <v>5</v>
      </c>
      <c r="D180" s="17">
        <v>1</v>
      </c>
      <c r="E180" s="17">
        <v>12</v>
      </c>
    </row>
    <row r="181" spans="1:5" x14ac:dyDescent="0.3">
      <c r="A181" s="17" t="s">
        <v>1</v>
      </c>
      <c r="B181" s="17" t="s">
        <v>39</v>
      </c>
      <c r="C181" s="17">
        <v>4</v>
      </c>
      <c r="D181" s="17">
        <v>1</v>
      </c>
      <c r="E181" s="17">
        <v>18</v>
      </c>
    </row>
    <row r="182" spans="1:5" x14ac:dyDescent="0.3">
      <c r="A182" s="17" t="s">
        <v>1</v>
      </c>
      <c r="B182" s="17" t="s">
        <v>54</v>
      </c>
      <c r="C182" s="17">
        <v>3</v>
      </c>
      <c r="D182" s="17">
        <v>1</v>
      </c>
      <c r="E182" s="17">
        <v>4</v>
      </c>
    </row>
    <row r="183" spans="1:5" x14ac:dyDescent="0.3">
      <c r="A183" s="17" t="s">
        <v>1</v>
      </c>
      <c r="B183" s="17" t="s">
        <v>673</v>
      </c>
      <c r="C183" s="17">
        <v>7</v>
      </c>
      <c r="D183" s="17">
        <v>1</v>
      </c>
      <c r="E183" s="17">
        <v>7</v>
      </c>
    </row>
    <row r="184" spans="1:5" x14ac:dyDescent="0.3">
      <c r="A184" s="17" t="s">
        <v>1</v>
      </c>
      <c r="B184" s="17" t="s">
        <v>56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2674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1470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1516</v>
      </c>
      <c r="C187" s="17">
        <v>1</v>
      </c>
      <c r="D187" s="17">
        <v>2</v>
      </c>
      <c r="E187" s="17"/>
    </row>
    <row r="188" spans="1:5" x14ac:dyDescent="0.3">
      <c r="A188" s="17" t="s">
        <v>1</v>
      </c>
      <c r="B188" s="17" t="s">
        <v>758</v>
      </c>
      <c r="C188" s="17">
        <v>1</v>
      </c>
      <c r="D188" s="17">
        <v>1</v>
      </c>
      <c r="E188" s="17"/>
    </row>
    <row r="189" spans="1:5" x14ac:dyDescent="0.3">
      <c r="A189" s="17" t="s">
        <v>1</v>
      </c>
      <c r="B189" s="17" t="s">
        <v>2379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2675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903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69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32</v>
      </c>
      <c r="C193" s="17">
        <v>2</v>
      </c>
      <c r="D193" s="17">
        <v>1</v>
      </c>
      <c r="E193" s="17">
        <v>8</v>
      </c>
    </row>
    <row r="194" spans="1:5" x14ac:dyDescent="0.3">
      <c r="A194" s="17" t="s">
        <v>0</v>
      </c>
      <c r="B194" s="17" t="s">
        <v>36</v>
      </c>
      <c r="C194" s="17">
        <v>1</v>
      </c>
      <c r="D194" s="17">
        <v>1</v>
      </c>
      <c r="E194" s="17">
        <v>2</v>
      </c>
    </row>
    <row r="195" spans="1:5" x14ac:dyDescent="0.3">
      <c r="A195" s="17" t="s">
        <v>0</v>
      </c>
      <c r="B195" s="17" t="s">
        <v>379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311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142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432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579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75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618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58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272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147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517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59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80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81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860</v>
      </c>
      <c r="C209" s="17">
        <v>1</v>
      </c>
      <c r="D209" s="17">
        <v>1</v>
      </c>
      <c r="E209" s="17">
        <v>2</v>
      </c>
    </row>
    <row r="210" spans="1:5" x14ac:dyDescent="0.3">
      <c r="A210" s="17" t="s">
        <v>0</v>
      </c>
      <c r="B210" s="17" t="s">
        <v>82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267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83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316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149</v>
      </c>
      <c r="C214" s="17">
        <v>1</v>
      </c>
      <c r="D214" s="17">
        <v>1</v>
      </c>
      <c r="E214" s="17">
        <v>4</v>
      </c>
    </row>
    <row r="215" spans="1:5" x14ac:dyDescent="0.3">
      <c r="A215" s="17" t="s">
        <v>0</v>
      </c>
      <c r="B215" s="17" t="s">
        <v>710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152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635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2036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365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42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95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909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1928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1927</v>
      </c>
      <c r="C224" s="17">
        <v>2</v>
      </c>
      <c r="D224" s="17">
        <v>1</v>
      </c>
      <c r="E224" s="17">
        <v>2</v>
      </c>
    </row>
    <row r="225" spans="1:5" x14ac:dyDescent="0.3">
      <c r="A225" s="17" t="s">
        <v>0</v>
      </c>
      <c r="B225" s="17" t="s">
        <v>2439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2440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0</v>
      </c>
      <c r="B227" s="17" t="s">
        <v>159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401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49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101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265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160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644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1145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1071</v>
      </c>
      <c r="C235" s="17">
        <v>1</v>
      </c>
      <c r="D235" s="17">
        <v>1</v>
      </c>
      <c r="E235" s="17">
        <v>2</v>
      </c>
    </row>
    <row r="236" spans="1:5" x14ac:dyDescent="0.3">
      <c r="A236" s="17" t="s">
        <v>0</v>
      </c>
      <c r="B236" s="17" t="s">
        <v>352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165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321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322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2473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1130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442</v>
      </c>
      <c r="C242" s="17">
        <v>2</v>
      </c>
      <c r="D242" s="17">
        <v>1</v>
      </c>
      <c r="E242" s="17">
        <v>3</v>
      </c>
    </row>
    <row r="243" spans="1:5" x14ac:dyDescent="0.3">
      <c r="A243" s="17" t="s">
        <v>0</v>
      </c>
      <c r="B243" s="17" t="s">
        <v>914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591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406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648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111</v>
      </c>
      <c r="C247" s="17">
        <v>1</v>
      </c>
      <c r="D247" s="17">
        <v>1</v>
      </c>
      <c r="E247" s="17">
        <v>2</v>
      </c>
    </row>
    <row r="248" spans="1:5" x14ac:dyDescent="0.3">
      <c r="A248" s="17" t="s">
        <v>0</v>
      </c>
      <c r="B248" s="17" t="s">
        <v>2676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172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113</v>
      </c>
      <c r="C250" s="17">
        <v>2</v>
      </c>
      <c r="D250" s="17">
        <v>1</v>
      </c>
      <c r="E250" s="17">
        <v>2</v>
      </c>
    </row>
    <row r="251" spans="1:5" x14ac:dyDescent="0.3">
      <c r="A251" s="17" t="s">
        <v>0</v>
      </c>
      <c r="B251" s="17" t="s">
        <v>915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534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44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255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174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535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1553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594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326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227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1628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115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256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45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2010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2296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882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385</v>
      </c>
      <c r="C268" s="17">
        <v>2</v>
      </c>
      <c r="D268" s="17">
        <v>1</v>
      </c>
      <c r="E268" s="17">
        <v>2</v>
      </c>
    </row>
    <row r="269" spans="1:5" x14ac:dyDescent="0.3">
      <c r="A269" s="17" t="s">
        <v>0</v>
      </c>
      <c r="B269" s="17" t="s">
        <v>294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596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468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1292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685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176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388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1198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122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62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37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1435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1014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179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740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1114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1176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2677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897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0</v>
      </c>
      <c r="B288" s="17" t="s">
        <v>698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2344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185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350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452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65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234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306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68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196</v>
      </c>
      <c r="C297" s="17">
        <v>7</v>
      </c>
      <c r="D297" s="17">
        <v>1</v>
      </c>
      <c r="E297" s="17">
        <v>11</v>
      </c>
    </row>
    <row r="298" spans="1:5" x14ac:dyDescent="0.3">
      <c r="A298" s="17" t="s">
        <v>0</v>
      </c>
      <c r="B298" s="17" t="s">
        <v>1451</v>
      </c>
      <c r="C298" s="17">
        <v>2</v>
      </c>
      <c r="D298" s="17">
        <v>1</v>
      </c>
      <c r="E298" s="17">
        <v>3</v>
      </c>
    </row>
    <row r="299" spans="1:5" x14ac:dyDescent="0.3">
      <c r="A299" s="17" t="s">
        <v>0</v>
      </c>
      <c r="B299" s="17" t="s">
        <v>266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1470</v>
      </c>
      <c r="C300" s="17">
        <v>1</v>
      </c>
      <c r="D300" s="17">
        <v>1</v>
      </c>
      <c r="E300" s="17">
        <v>4</v>
      </c>
    </row>
    <row r="301" spans="1:5" x14ac:dyDescent="0.3">
      <c r="A301" s="17" t="s">
        <v>0</v>
      </c>
      <c r="B301" s="17" t="s">
        <v>2594</v>
      </c>
      <c r="C301" s="17">
        <v>1</v>
      </c>
      <c r="D301" s="17">
        <v>1</v>
      </c>
      <c r="E301" s="17">
        <v>2</v>
      </c>
    </row>
    <row r="302" spans="1:5" x14ac:dyDescent="0.3">
      <c r="A302" s="17" t="s">
        <v>0</v>
      </c>
      <c r="B302" s="17" t="s">
        <v>1592</v>
      </c>
      <c r="C302" s="17">
        <v>1</v>
      </c>
      <c r="D302" s="17">
        <v>1</v>
      </c>
      <c r="E302" s="17"/>
    </row>
    <row r="303" spans="1:5" x14ac:dyDescent="0.3">
      <c r="A303" s="17" t="s">
        <v>0</v>
      </c>
      <c r="B303" s="17" t="s">
        <v>2678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2679</v>
      </c>
      <c r="C304" s="17">
        <v>1</v>
      </c>
      <c r="D304" s="17">
        <v>1</v>
      </c>
      <c r="E304" s="17"/>
    </row>
    <row r="305" spans="1:5" x14ac:dyDescent="0.3">
      <c r="A305" s="17" t="s">
        <v>0</v>
      </c>
      <c r="B305" s="17" t="s">
        <v>2680</v>
      </c>
      <c r="C305" s="17">
        <v>1</v>
      </c>
      <c r="D305" s="17">
        <v>1</v>
      </c>
      <c r="E305" s="17"/>
    </row>
    <row r="306" spans="1:5" x14ac:dyDescent="0.3">
      <c r="A306" s="17" t="s">
        <v>0</v>
      </c>
      <c r="B306" s="17" t="s">
        <v>1896</v>
      </c>
      <c r="C306" s="17">
        <v>1</v>
      </c>
      <c r="D306" s="17">
        <v>2</v>
      </c>
      <c r="E306" s="17"/>
    </row>
    <row r="307" spans="1:5" x14ac:dyDescent="0.3">
      <c r="A307" s="17" t="s">
        <v>0</v>
      </c>
      <c r="B307" s="17" t="s">
        <v>970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925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431</v>
      </c>
      <c r="C309" s="17">
        <v>1</v>
      </c>
      <c r="D309" s="17">
        <v>1</v>
      </c>
      <c r="E309" s="17"/>
    </row>
    <row r="310" spans="1:5" x14ac:dyDescent="0.3">
      <c r="A310" s="17" t="s">
        <v>0</v>
      </c>
      <c r="B310" s="17" t="s">
        <v>69</v>
      </c>
      <c r="C310" s="17">
        <v>2</v>
      </c>
      <c r="D310" s="17">
        <v>1</v>
      </c>
      <c r="E310" s="17">
        <v>3</v>
      </c>
    </row>
    <row r="311" spans="1:5" x14ac:dyDescent="0.3">
      <c r="A311" s="17" t="s">
        <v>2</v>
      </c>
      <c r="B311" s="17" t="s">
        <v>213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2</v>
      </c>
      <c r="B312" s="17" t="s">
        <v>111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2</v>
      </c>
      <c r="B313" s="17" t="s">
        <v>113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2</v>
      </c>
      <c r="B314" s="17" t="s">
        <v>45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2</v>
      </c>
      <c r="B315" s="17" t="s">
        <v>132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2</v>
      </c>
      <c r="B316" s="17" t="s">
        <v>194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2681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1562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206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383</v>
      </c>
      <c r="C320" s="17">
        <v>2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793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144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247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359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82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841</v>
      </c>
      <c r="C326" s="17">
        <v>1</v>
      </c>
      <c r="D326" s="17">
        <v>0</v>
      </c>
      <c r="E326" s="17">
        <v>0</v>
      </c>
    </row>
    <row r="327" spans="1:5" x14ac:dyDescent="0.3">
      <c r="A327" s="17" t="s">
        <v>1</v>
      </c>
      <c r="B327" s="17" t="s">
        <v>708</v>
      </c>
      <c r="C327" s="17">
        <v>1</v>
      </c>
      <c r="D327" s="17">
        <v>0</v>
      </c>
      <c r="E327" s="17">
        <v>2</v>
      </c>
    </row>
    <row r="328" spans="1:5" x14ac:dyDescent="0.3">
      <c r="A328" s="17" t="s">
        <v>1</v>
      </c>
      <c r="B328" s="17" t="s">
        <v>84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88</v>
      </c>
      <c r="C329" s="17">
        <v>2</v>
      </c>
      <c r="D329" s="17">
        <v>0</v>
      </c>
      <c r="E329" s="17">
        <v>2</v>
      </c>
    </row>
    <row r="330" spans="1:5" x14ac:dyDescent="0.3">
      <c r="A330" s="17" t="s">
        <v>1</v>
      </c>
      <c r="B330" s="17" t="s">
        <v>218</v>
      </c>
      <c r="C330" s="17">
        <v>2</v>
      </c>
      <c r="D330" s="17">
        <v>0</v>
      </c>
      <c r="E330" s="17">
        <v>2</v>
      </c>
    </row>
    <row r="331" spans="1:5" x14ac:dyDescent="0.3">
      <c r="A331" s="17" t="s">
        <v>1</v>
      </c>
      <c r="B331" s="17" t="s">
        <v>248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637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638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1062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250</v>
      </c>
      <c r="C335" s="17">
        <v>1</v>
      </c>
      <c r="D335" s="17">
        <v>0</v>
      </c>
      <c r="E335" s="17">
        <v>2</v>
      </c>
    </row>
    <row r="336" spans="1:5" x14ac:dyDescent="0.3">
      <c r="A336" s="17" t="s">
        <v>1</v>
      </c>
      <c r="B336" s="17" t="s">
        <v>942</v>
      </c>
      <c r="C336" s="17">
        <v>2</v>
      </c>
      <c r="D336" s="17">
        <v>0</v>
      </c>
      <c r="E336" s="17">
        <v>3</v>
      </c>
    </row>
    <row r="337" spans="1:5" x14ac:dyDescent="0.3">
      <c r="A337" s="17" t="s">
        <v>1</v>
      </c>
      <c r="B337" s="17" t="s">
        <v>692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367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487</v>
      </c>
      <c r="C339" s="17">
        <v>3</v>
      </c>
      <c r="D339" s="17">
        <v>0</v>
      </c>
      <c r="E339" s="17">
        <v>4</v>
      </c>
    </row>
    <row r="340" spans="1:5" x14ac:dyDescent="0.3">
      <c r="A340" s="17" t="s">
        <v>1</v>
      </c>
      <c r="B340" s="17" t="s">
        <v>1662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1</v>
      </c>
      <c r="B341" s="17" t="s">
        <v>1691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1</v>
      </c>
      <c r="B342" s="17" t="s">
        <v>1860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1</v>
      </c>
      <c r="B343" s="17" t="s">
        <v>1911</v>
      </c>
      <c r="C343" s="17">
        <v>2</v>
      </c>
      <c r="D343" s="17">
        <v>0</v>
      </c>
      <c r="E343" s="17">
        <v>2</v>
      </c>
    </row>
    <row r="344" spans="1:5" x14ac:dyDescent="0.3">
      <c r="A344" s="17" t="s">
        <v>1</v>
      </c>
      <c r="B344" s="17" t="s">
        <v>1928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1983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2334</v>
      </c>
      <c r="C346" s="17">
        <v>2</v>
      </c>
      <c r="D346" s="17">
        <v>0</v>
      </c>
      <c r="E346" s="17">
        <v>2</v>
      </c>
    </row>
    <row r="347" spans="1:5" x14ac:dyDescent="0.3">
      <c r="A347" s="17" t="s">
        <v>1</v>
      </c>
      <c r="B347" s="17" t="s">
        <v>2362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2439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2404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2399</v>
      </c>
      <c r="C350" s="17">
        <v>2</v>
      </c>
      <c r="D350" s="17">
        <v>0</v>
      </c>
      <c r="E350" s="17">
        <v>3</v>
      </c>
    </row>
    <row r="351" spans="1:5" x14ac:dyDescent="0.3">
      <c r="A351" s="17" t="s">
        <v>1</v>
      </c>
      <c r="B351" s="17" t="s">
        <v>2398</v>
      </c>
      <c r="C351" s="17">
        <v>2</v>
      </c>
      <c r="D351" s="17">
        <v>0</v>
      </c>
      <c r="E351" s="17">
        <v>2</v>
      </c>
    </row>
    <row r="352" spans="1:5" x14ac:dyDescent="0.3">
      <c r="A352" s="17" t="s">
        <v>1</v>
      </c>
      <c r="B352" s="17" t="s">
        <v>2682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2683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2684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2685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2686</v>
      </c>
      <c r="C356" s="17">
        <v>1</v>
      </c>
      <c r="D356" s="17">
        <v>0</v>
      </c>
      <c r="E356" s="17">
        <v>2</v>
      </c>
    </row>
    <row r="357" spans="1:5" x14ac:dyDescent="0.3">
      <c r="A357" s="17" t="s">
        <v>1</v>
      </c>
      <c r="B357" s="17" t="s">
        <v>2687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2688</v>
      </c>
      <c r="C358" s="17">
        <v>1</v>
      </c>
      <c r="D358" s="17">
        <v>0</v>
      </c>
      <c r="E358" s="17">
        <v>2</v>
      </c>
    </row>
    <row r="359" spans="1:5" x14ac:dyDescent="0.3">
      <c r="A359" s="17" t="s">
        <v>1</v>
      </c>
      <c r="B359" s="17" t="s">
        <v>2689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2690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2691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2692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2693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1</v>
      </c>
      <c r="B364" s="17" t="s">
        <v>2694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2695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2696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2697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2698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2699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2700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2701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2702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2703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2704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2396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2599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2616</v>
      </c>
      <c r="C377" s="17">
        <v>3</v>
      </c>
      <c r="D377" s="17">
        <v>0</v>
      </c>
      <c r="E377" s="17">
        <v>2</v>
      </c>
    </row>
    <row r="378" spans="1:5" x14ac:dyDescent="0.3">
      <c r="A378" s="17" t="s">
        <v>1</v>
      </c>
      <c r="B378" s="17" t="s">
        <v>2705</v>
      </c>
      <c r="C378" s="17">
        <v>2</v>
      </c>
      <c r="D378" s="17">
        <v>0</v>
      </c>
      <c r="E378" s="17">
        <v>2</v>
      </c>
    </row>
    <row r="379" spans="1:5" x14ac:dyDescent="0.3">
      <c r="A379" s="17" t="s">
        <v>1</v>
      </c>
      <c r="B379" s="17" t="s">
        <v>252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1877</v>
      </c>
      <c r="C380" s="17">
        <v>1</v>
      </c>
      <c r="D380" s="17">
        <v>0</v>
      </c>
      <c r="E380" s="17">
        <v>2</v>
      </c>
    </row>
    <row r="381" spans="1:5" x14ac:dyDescent="0.3">
      <c r="A381" s="17" t="s">
        <v>1</v>
      </c>
      <c r="B381" s="17" t="s">
        <v>1944</v>
      </c>
      <c r="C381" s="17">
        <v>1</v>
      </c>
      <c r="D381" s="17">
        <v>0</v>
      </c>
      <c r="E381" s="17">
        <v>3</v>
      </c>
    </row>
    <row r="382" spans="1:5" x14ac:dyDescent="0.3">
      <c r="A382" s="17" t="s">
        <v>1</v>
      </c>
      <c r="B382" s="17" t="s">
        <v>2706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368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1099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872</v>
      </c>
      <c r="C385" s="17">
        <v>1</v>
      </c>
      <c r="D385" s="17">
        <v>0</v>
      </c>
      <c r="E385" s="17">
        <v>3</v>
      </c>
    </row>
    <row r="386" spans="1:5" x14ac:dyDescent="0.3">
      <c r="A386" s="17" t="s">
        <v>1</v>
      </c>
      <c r="B386" s="17" t="s">
        <v>1409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1</v>
      </c>
      <c r="B387" s="17" t="s">
        <v>1446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876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1</v>
      </c>
      <c r="B389" s="17" t="s">
        <v>2070</v>
      </c>
      <c r="C389" s="17">
        <v>1</v>
      </c>
      <c r="D389" s="17">
        <v>0</v>
      </c>
      <c r="E389" s="17">
        <v>2</v>
      </c>
    </row>
    <row r="390" spans="1:5" x14ac:dyDescent="0.3">
      <c r="A390" s="17" t="s">
        <v>1</v>
      </c>
      <c r="B390" s="17" t="s">
        <v>2707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337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954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342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1</v>
      </c>
      <c r="B394" s="17" t="s">
        <v>662</v>
      </c>
      <c r="C394" s="17">
        <v>1</v>
      </c>
      <c r="D394" s="17">
        <v>0</v>
      </c>
      <c r="E394" s="17">
        <v>2</v>
      </c>
    </row>
    <row r="395" spans="1:5" x14ac:dyDescent="0.3">
      <c r="A395" s="17" t="s">
        <v>1</v>
      </c>
      <c r="B395" s="17" t="s">
        <v>179</v>
      </c>
      <c r="C395" s="17">
        <v>1</v>
      </c>
      <c r="D395" s="17">
        <v>0</v>
      </c>
      <c r="E395" s="17">
        <v>0</v>
      </c>
    </row>
    <row r="396" spans="1:5" x14ac:dyDescent="0.3">
      <c r="A396" s="17" t="s">
        <v>1</v>
      </c>
      <c r="B396" s="17" t="s">
        <v>557</v>
      </c>
      <c r="C396" s="17">
        <v>1</v>
      </c>
      <c r="D396" s="17">
        <v>0</v>
      </c>
      <c r="E396" s="17">
        <v>1</v>
      </c>
    </row>
    <row r="397" spans="1:5" x14ac:dyDescent="0.3">
      <c r="A397" s="17" t="s">
        <v>1</v>
      </c>
      <c r="B397" s="17" t="s">
        <v>1918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1</v>
      </c>
      <c r="B398" s="17" t="s">
        <v>698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1</v>
      </c>
      <c r="B399" s="17" t="s">
        <v>262</v>
      </c>
      <c r="C399" s="17">
        <v>1</v>
      </c>
      <c r="D399" s="17">
        <v>0</v>
      </c>
      <c r="E399" s="17">
        <v>0</v>
      </c>
    </row>
    <row r="400" spans="1:5" x14ac:dyDescent="0.3">
      <c r="A400" s="17" t="s">
        <v>1</v>
      </c>
      <c r="B400" s="17" t="s">
        <v>474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1</v>
      </c>
      <c r="B401" s="17" t="s">
        <v>429</v>
      </c>
      <c r="C401" s="17">
        <v>2</v>
      </c>
      <c r="D401" s="17">
        <v>0</v>
      </c>
      <c r="E401" s="17">
        <v>1</v>
      </c>
    </row>
    <row r="402" spans="1:5" x14ac:dyDescent="0.3">
      <c r="A402" s="17" t="s">
        <v>1</v>
      </c>
      <c r="B402" s="17" t="s">
        <v>52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1</v>
      </c>
      <c r="B403" s="17" t="s">
        <v>1577</v>
      </c>
      <c r="C403" s="17">
        <v>1</v>
      </c>
      <c r="D403" s="17">
        <v>0</v>
      </c>
      <c r="E403" s="17">
        <v>0</v>
      </c>
    </row>
    <row r="404" spans="1:5" x14ac:dyDescent="0.3">
      <c r="A404" s="17" t="s">
        <v>1</v>
      </c>
      <c r="B404" s="17" t="s">
        <v>1096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1</v>
      </c>
      <c r="B405" s="17" t="s">
        <v>1123</v>
      </c>
      <c r="C405" s="17">
        <v>1</v>
      </c>
      <c r="D405" s="17">
        <v>0</v>
      </c>
      <c r="E405" s="17">
        <v>2</v>
      </c>
    </row>
    <row r="406" spans="1:5" x14ac:dyDescent="0.3">
      <c r="A406" s="17" t="s">
        <v>1</v>
      </c>
      <c r="B406" s="17" t="s">
        <v>966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1</v>
      </c>
      <c r="B407" s="17" t="s">
        <v>263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1</v>
      </c>
      <c r="B408" s="17" t="s">
        <v>1136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235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1</v>
      </c>
      <c r="B410" s="17" t="s">
        <v>196</v>
      </c>
      <c r="C410" s="17">
        <v>4</v>
      </c>
      <c r="D410" s="17">
        <v>0</v>
      </c>
      <c r="E410" s="17">
        <v>5</v>
      </c>
    </row>
    <row r="411" spans="1:5" x14ac:dyDescent="0.3">
      <c r="A411" s="17" t="s">
        <v>1</v>
      </c>
      <c r="B411" s="17" t="s">
        <v>237</v>
      </c>
      <c r="C411" s="17">
        <v>1</v>
      </c>
      <c r="D411" s="17">
        <v>0</v>
      </c>
      <c r="E411" s="17">
        <v>2</v>
      </c>
    </row>
    <row r="412" spans="1:5" x14ac:dyDescent="0.3">
      <c r="A412" s="17" t="s">
        <v>1</v>
      </c>
      <c r="B412" s="17" t="s">
        <v>238</v>
      </c>
      <c r="C412" s="17">
        <v>2</v>
      </c>
      <c r="D412" s="17">
        <v>0</v>
      </c>
      <c r="E412" s="17">
        <v>2</v>
      </c>
    </row>
    <row r="413" spans="1:5" x14ac:dyDescent="0.3">
      <c r="A413" s="17" t="s">
        <v>1</v>
      </c>
      <c r="B413" s="17" t="s">
        <v>239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1</v>
      </c>
      <c r="B414" s="17" t="s">
        <v>240</v>
      </c>
      <c r="C414" s="17">
        <v>5</v>
      </c>
      <c r="D414" s="17">
        <v>0</v>
      </c>
      <c r="E414" s="17">
        <v>11</v>
      </c>
    </row>
    <row r="415" spans="1:5" x14ac:dyDescent="0.3">
      <c r="A415" s="17" t="s">
        <v>1</v>
      </c>
      <c r="B415" s="17" t="s">
        <v>382</v>
      </c>
      <c r="C415" s="17">
        <v>3</v>
      </c>
      <c r="D415" s="17">
        <v>0</v>
      </c>
      <c r="E415" s="17">
        <v>3</v>
      </c>
    </row>
    <row r="416" spans="1:5" x14ac:dyDescent="0.3">
      <c r="A416" s="17" t="s">
        <v>1</v>
      </c>
      <c r="B416" s="17" t="s">
        <v>477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1239</v>
      </c>
      <c r="C417" s="17">
        <v>0</v>
      </c>
      <c r="D417" s="17">
        <v>1</v>
      </c>
      <c r="E417" s="17"/>
    </row>
    <row r="418" spans="1:5" x14ac:dyDescent="0.3">
      <c r="A418" s="17" t="s">
        <v>1</v>
      </c>
      <c r="B418" s="17" t="s">
        <v>2708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1</v>
      </c>
      <c r="B419" s="17" t="s">
        <v>2709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1</v>
      </c>
      <c r="B420" s="17" t="s">
        <v>1653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1</v>
      </c>
      <c r="B421" s="17" t="s">
        <v>1883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1</v>
      </c>
      <c r="B422" s="17" t="s">
        <v>1890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1599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0</v>
      </c>
      <c r="B424" s="17" t="s">
        <v>1089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0</v>
      </c>
      <c r="B425" s="17" t="s">
        <v>1705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0</v>
      </c>
      <c r="B426" s="17" t="s">
        <v>855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0</v>
      </c>
      <c r="B427" s="17" t="s">
        <v>2319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0</v>
      </c>
      <c r="B428" s="17" t="s">
        <v>583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0</v>
      </c>
      <c r="B429" s="17" t="s">
        <v>40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0</v>
      </c>
      <c r="B430" s="17" t="s">
        <v>1316</v>
      </c>
      <c r="C430" s="17">
        <v>1</v>
      </c>
      <c r="D430" s="17">
        <v>0</v>
      </c>
      <c r="E430" s="17">
        <v>2</v>
      </c>
    </row>
    <row r="431" spans="1:5" x14ac:dyDescent="0.3">
      <c r="A431" s="17" t="s">
        <v>0</v>
      </c>
      <c r="B431" s="17" t="s">
        <v>991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0</v>
      </c>
      <c r="B432" s="17" t="s">
        <v>1057</v>
      </c>
      <c r="C432" s="17">
        <v>1</v>
      </c>
      <c r="D432" s="17">
        <v>0</v>
      </c>
      <c r="E432" s="17">
        <v>2</v>
      </c>
    </row>
    <row r="433" spans="1:5" x14ac:dyDescent="0.3">
      <c r="A433" s="17" t="s">
        <v>0</v>
      </c>
      <c r="B433" s="17" t="s">
        <v>264</v>
      </c>
      <c r="C433" s="17">
        <v>1</v>
      </c>
      <c r="D433" s="17">
        <v>0</v>
      </c>
      <c r="E433" s="17">
        <v>2</v>
      </c>
    </row>
    <row r="434" spans="1:5" x14ac:dyDescent="0.3">
      <c r="A434" s="17" t="s">
        <v>0</v>
      </c>
      <c r="B434" s="17" t="s">
        <v>91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0</v>
      </c>
      <c r="B435" s="17" t="s">
        <v>1064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0</v>
      </c>
      <c r="B436" s="17" t="s">
        <v>93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0</v>
      </c>
      <c r="B437" s="17" t="s">
        <v>679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0</v>
      </c>
      <c r="B438" s="17" t="s">
        <v>155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0</v>
      </c>
      <c r="B439" s="17" t="s">
        <v>367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0</v>
      </c>
      <c r="B440" s="17" t="s">
        <v>487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0</v>
      </c>
      <c r="B441" s="17" t="s">
        <v>1673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0</v>
      </c>
      <c r="B442" s="17" t="s">
        <v>1691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0</v>
      </c>
      <c r="B443" s="17" t="s">
        <v>1750</v>
      </c>
      <c r="C443" s="17">
        <v>1</v>
      </c>
      <c r="D443" s="17">
        <v>0</v>
      </c>
      <c r="E443" s="17">
        <v>2</v>
      </c>
    </row>
    <row r="444" spans="1:5" x14ac:dyDescent="0.3">
      <c r="A444" s="17" t="s">
        <v>0</v>
      </c>
      <c r="B444" s="17" t="s">
        <v>1772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0</v>
      </c>
      <c r="B445" s="17" t="s">
        <v>1773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0</v>
      </c>
      <c r="B446" s="17" t="s">
        <v>1775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0</v>
      </c>
      <c r="B447" s="17" t="s">
        <v>2468</v>
      </c>
      <c r="C447" s="17">
        <v>1</v>
      </c>
      <c r="D447" s="17">
        <v>0</v>
      </c>
      <c r="E447" s="17">
        <v>1</v>
      </c>
    </row>
    <row r="448" spans="1:5" x14ac:dyDescent="0.3">
      <c r="A448" s="17" t="s">
        <v>0</v>
      </c>
      <c r="B448" s="17" t="s">
        <v>2710</v>
      </c>
      <c r="C448" s="17">
        <v>1</v>
      </c>
      <c r="D448" s="17">
        <v>0</v>
      </c>
      <c r="E448" s="17">
        <v>2</v>
      </c>
    </row>
    <row r="449" spans="1:5" x14ac:dyDescent="0.3">
      <c r="A449" s="17" t="s">
        <v>0</v>
      </c>
      <c r="B449" s="17" t="s">
        <v>2711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0</v>
      </c>
      <c r="B450" s="17" t="s">
        <v>2442</v>
      </c>
      <c r="C450" s="17">
        <v>1</v>
      </c>
      <c r="D450" s="17">
        <v>0</v>
      </c>
      <c r="E450" s="17">
        <v>1</v>
      </c>
    </row>
    <row r="451" spans="1:5" x14ac:dyDescent="0.3">
      <c r="A451" s="17" t="s">
        <v>0</v>
      </c>
      <c r="B451" s="17" t="s">
        <v>2428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0</v>
      </c>
      <c r="B452" s="17" t="s">
        <v>2506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0</v>
      </c>
      <c r="B453" s="17" t="s">
        <v>2599</v>
      </c>
      <c r="C453" s="17">
        <v>2</v>
      </c>
      <c r="D453" s="17">
        <v>0</v>
      </c>
      <c r="E453" s="17">
        <v>2</v>
      </c>
    </row>
    <row r="454" spans="1:5" x14ac:dyDescent="0.3">
      <c r="A454" s="17" t="s">
        <v>0</v>
      </c>
      <c r="B454" s="17" t="s">
        <v>2705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0</v>
      </c>
      <c r="B455" s="17" t="s">
        <v>99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0</v>
      </c>
      <c r="B456" s="17" t="s">
        <v>1069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0</v>
      </c>
      <c r="B457" s="17" t="s">
        <v>1070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0</v>
      </c>
      <c r="B458" s="17" t="s">
        <v>2389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0</v>
      </c>
      <c r="B459" s="17" t="s">
        <v>199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0</v>
      </c>
      <c r="B460" s="17" t="s">
        <v>1681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0</v>
      </c>
      <c r="B461" s="17" t="s">
        <v>723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0</v>
      </c>
      <c r="B462" s="17" t="s">
        <v>595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0</v>
      </c>
      <c r="B463" s="17" t="s">
        <v>552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0</v>
      </c>
      <c r="B464" s="17" t="s">
        <v>374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0</v>
      </c>
      <c r="B465" s="17" t="s">
        <v>1827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0</v>
      </c>
      <c r="B466" s="17" t="s">
        <v>239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0</v>
      </c>
      <c r="B467" s="17" t="s">
        <v>55</v>
      </c>
      <c r="C467" s="17">
        <v>1</v>
      </c>
      <c r="D467" s="17">
        <v>0</v>
      </c>
      <c r="E467" s="17">
        <v>2</v>
      </c>
    </row>
    <row r="468" spans="1:5" x14ac:dyDescent="0.3">
      <c r="A468" s="17" t="s">
        <v>0</v>
      </c>
      <c r="B468" s="17" t="s">
        <v>240</v>
      </c>
      <c r="C468" s="17">
        <v>1</v>
      </c>
      <c r="D468" s="17">
        <v>0</v>
      </c>
      <c r="E468" s="17">
        <v>2</v>
      </c>
    </row>
    <row r="469" spans="1:5" x14ac:dyDescent="0.3">
      <c r="A469" s="17" t="s">
        <v>0</v>
      </c>
      <c r="B469" s="17" t="s">
        <v>673</v>
      </c>
      <c r="C469" s="17">
        <v>8</v>
      </c>
      <c r="D469" s="17">
        <v>0</v>
      </c>
      <c r="E469" s="17">
        <v>12</v>
      </c>
    </row>
    <row r="470" spans="1:5" x14ac:dyDescent="0.3">
      <c r="A470" s="17" t="s">
        <v>0</v>
      </c>
      <c r="B470" s="17" t="s">
        <v>382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0</v>
      </c>
      <c r="B471" s="17" t="s">
        <v>1086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0</v>
      </c>
      <c r="B472" s="17" t="s">
        <v>138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0</v>
      </c>
      <c r="B473" s="17" t="s">
        <v>1299</v>
      </c>
      <c r="C473" s="17">
        <v>1</v>
      </c>
      <c r="D473" s="17">
        <v>0</v>
      </c>
      <c r="E473" s="17">
        <v>2</v>
      </c>
    </row>
    <row r="474" spans="1:5" x14ac:dyDescent="0.3">
      <c r="A474" s="17" t="s">
        <v>0</v>
      </c>
      <c r="B474" s="17" t="s">
        <v>2376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0</v>
      </c>
      <c r="B475" s="17" t="s">
        <v>2712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0</v>
      </c>
      <c r="B476" s="17" t="s">
        <v>2713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0</v>
      </c>
      <c r="B477" s="17" t="s">
        <v>32</v>
      </c>
      <c r="C477" s="17">
        <v>3</v>
      </c>
      <c r="D477" s="17">
        <v>0</v>
      </c>
      <c r="E477" s="17">
        <v>3</v>
      </c>
    </row>
    <row r="478" spans="1:5" x14ac:dyDescent="0.3">
      <c r="A478" s="17" t="s">
        <v>2</v>
      </c>
      <c r="B478" s="17" t="s">
        <v>30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2</v>
      </c>
      <c r="B479" s="17" t="s">
        <v>281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2</v>
      </c>
      <c r="B480" s="17" t="s">
        <v>2075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2</v>
      </c>
      <c r="B481" s="17" t="s">
        <v>29</v>
      </c>
      <c r="C481" s="17">
        <v>1</v>
      </c>
      <c r="D481" s="17">
        <v>0</v>
      </c>
      <c r="E481" s="17">
        <v>2</v>
      </c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5C687-2D32-439B-8E5C-966AA0ECEA52}">
  <sheetPr codeName="Sheet39"/>
  <dimension ref="A1:M788"/>
  <sheetViews>
    <sheetView workbookViewId="0">
      <selection activeCell="A2" sqref="A2:E78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2572</v>
      </c>
      <c r="C2" s="17">
        <v>337</v>
      </c>
      <c r="D2" s="17">
        <v>280</v>
      </c>
      <c r="E2" s="17">
        <v>386</v>
      </c>
    </row>
    <row r="3" spans="1:13" customFormat="1" x14ac:dyDescent="0.3">
      <c r="A3" s="17" t="s">
        <v>1</v>
      </c>
      <c r="B3" s="17" t="s">
        <v>2572</v>
      </c>
      <c r="C3" s="17">
        <v>123</v>
      </c>
      <c r="D3" s="17">
        <v>100</v>
      </c>
      <c r="E3" s="17">
        <v>126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138</v>
      </c>
      <c r="C4" s="17">
        <v>63</v>
      </c>
      <c r="D4" s="17">
        <v>48</v>
      </c>
      <c r="E4" s="17">
        <v>71</v>
      </c>
      <c r="G4" s="23" t="s">
        <v>8</v>
      </c>
      <c r="H4" s="19">
        <f>H13+H14</f>
        <v>1391</v>
      </c>
      <c r="I4" s="20">
        <f>H4/H$6</f>
        <v>0.64909006066262254</v>
      </c>
      <c r="J4" s="19">
        <f>I13+I14</f>
        <v>848</v>
      </c>
      <c r="K4" s="20">
        <f>J4/J$6</f>
        <v>0.58725761772853191</v>
      </c>
      <c r="L4" s="19">
        <f>J13+J14</f>
        <v>1642</v>
      </c>
      <c r="M4" s="29">
        <f>L4/L$6</f>
        <v>0.64140624999999996</v>
      </c>
    </row>
    <row r="5" spans="1:13" customFormat="1" x14ac:dyDescent="0.3">
      <c r="A5" s="17" t="s">
        <v>1</v>
      </c>
      <c r="B5" s="17" t="s">
        <v>30</v>
      </c>
      <c r="C5" s="17">
        <v>106</v>
      </c>
      <c r="D5" s="17">
        <v>43</v>
      </c>
      <c r="E5" s="17">
        <v>207</v>
      </c>
      <c r="G5" s="23" t="s">
        <v>10</v>
      </c>
      <c r="H5" s="19">
        <f>H15+H16</f>
        <v>752</v>
      </c>
      <c r="I5" s="20">
        <f>H5/H$6</f>
        <v>0.35090993933737752</v>
      </c>
      <c r="J5" s="19">
        <f>I15+I16</f>
        <v>596</v>
      </c>
      <c r="K5" s="20">
        <f>J5/J$6</f>
        <v>0.41274238227146814</v>
      </c>
      <c r="L5" s="19">
        <f>J15+J16</f>
        <v>918</v>
      </c>
      <c r="M5" s="29">
        <f>L5/L$6</f>
        <v>0.35859374999999999</v>
      </c>
    </row>
    <row r="6" spans="1:13" customFormat="1" ht="17.25" thickBot="1" x14ac:dyDescent="0.35">
      <c r="A6" s="17" t="s">
        <v>1</v>
      </c>
      <c r="B6" s="17" t="s">
        <v>37</v>
      </c>
      <c r="C6" s="17">
        <v>26</v>
      </c>
      <c r="D6" s="17">
        <v>23</v>
      </c>
      <c r="E6" s="17">
        <v>29</v>
      </c>
      <c r="G6" s="26"/>
      <c r="H6" s="30">
        <f>SUM(H4:H5)</f>
        <v>2143</v>
      </c>
      <c r="I6" s="31">
        <f>I4+I5</f>
        <v>1</v>
      </c>
      <c r="J6" s="30">
        <f>SUM(J4:J5)</f>
        <v>1444</v>
      </c>
      <c r="K6" s="31">
        <f>K4+K5</f>
        <v>1</v>
      </c>
      <c r="L6" s="30">
        <f>SUM(L4:L5)</f>
        <v>2560</v>
      </c>
      <c r="M6" s="32">
        <f>M4+M5</f>
        <v>1</v>
      </c>
    </row>
    <row r="7" spans="1:13" customFormat="1" x14ac:dyDescent="0.3">
      <c r="A7" s="17" t="s">
        <v>1</v>
      </c>
      <c r="B7" s="17" t="s">
        <v>365</v>
      </c>
      <c r="C7" s="17">
        <v>25</v>
      </c>
      <c r="D7" s="17">
        <v>17</v>
      </c>
      <c r="E7" s="17">
        <v>26</v>
      </c>
    </row>
    <row r="8" spans="1:13" customFormat="1" x14ac:dyDescent="0.3">
      <c r="A8" s="17" t="s">
        <v>0</v>
      </c>
      <c r="B8" s="17" t="s">
        <v>29</v>
      </c>
      <c r="C8" s="17">
        <v>18</v>
      </c>
      <c r="D8" s="17">
        <v>17</v>
      </c>
      <c r="E8" s="17">
        <v>20</v>
      </c>
    </row>
    <row r="9" spans="1:13" customFormat="1" x14ac:dyDescent="0.3">
      <c r="A9" s="17" t="s">
        <v>1</v>
      </c>
      <c r="B9" s="17" t="s">
        <v>1927</v>
      </c>
      <c r="C9" s="17">
        <v>20</v>
      </c>
      <c r="D9" s="17">
        <v>15</v>
      </c>
      <c r="E9" s="17">
        <v>24</v>
      </c>
    </row>
    <row r="10" spans="1:13" customFormat="1" ht="17.25" thickBot="1" x14ac:dyDescent="0.35">
      <c r="A10" s="17" t="s">
        <v>0</v>
      </c>
      <c r="B10" s="17" t="s">
        <v>30</v>
      </c>
      <c r="C10" s="17">
        <v>22</v>
      </c>
      <c r="D10" s="17">
        <v>15</v>
      </c>
      <c r="E10" s="17">
        <v>74</v>
      </c>
    </row>
    <row r="11" spans="1:13" x14ac:dyDescent="0.3">
      <c r="A11" s="17" t="s">
        <v>1</v>
      </c>
      <c r="B11" s="17" t="s">
        <v>2396</v>
      </c>
      <c r="C11" s="17">
        <v>26</v>
      </c>
      <c r="D11" s="17">
        <v>14</v>
      </c>
      <c r="E11" s="17">
        <v>36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2075</v>
      </c>
      <c r="C12" s="17">
        <v>14</v>
      </c>
      <c r="D12" s="17">
        <v>12</v>
      </c>
      <c r="E12" s="17">
        <v>14</v>
      </c>
      <c r="G12" s="23"/>
      <c r="H12" s="21">
        <f t="shared" ref="H12:J12" si="0">SUM(H13:H16)</f>
        <v>2143</v>
      </c>
      <c r="I12" s="21">
        <f t="shared" si="0"/>
        <v>1444</v>
      </c>
      <c r="J12" s="24">
        <f t="shared" si="0"/>
        <v>2560</v>
      </c>
    </row>
    <row r="13" spans="1:13" x14ac:dyDescent="0.3">
      <c r="A13" s="17" t="s">
        <v>1</v>
      </c>
      <c r="B13" s="17" t="s">
        <v>51</v>
      </c>
      <c r="C13" s="17">
        <v>13</v>
      </c>
      <c r="D13" s="17">
        <v>11</v>
      </c>
      <c r="E13" s="17">
        <v>15</v>
      </c>
      <c r="G13" s="23" t="s">
        <v>7</v>
      </c>
      <c r="H13" s="22">
        <f t="shared" ref="H13:J16" si="1">SUMIF($A$2:$A$9999,$G13,C$2:C$9999)</f>
        <v>1391</v>
      </c>
      <c r="I13" s="22">
        <f t="shared" si="1"/>
        <v>848</v>
      </c>
      <c r="J13" s="25">
        <f t="shared" si="1"/>
        <v>1642</v>
      </c>
    </row>
    <row r="14" spans="1:13" x14ac:dyDescent="0.3">
      <c r="A14" s="17" t="s">
        <v>1</v>
      </c>
      <c r="B14" s="17" t="s">
        <v>61</v>
      </c>
      <c r="C14" s="17">
        <v>12</v>
      </c>
      <c r="D14" s="17">
        <v>10</v>
      </c>
      <c r="E14" s="17">
        <v>12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113</v>
      </c>
      <c r="C15" s="17">
        <v>11</v>
      </c>
      <c r="D15" s="17">
        <v>8</v>
      </c>
      <c r="E15" s="17">
        <v>13</v>
      </c>
      <c r="G15" s="23" t="s">
        <v>11</v>
      </c>
      <c r="H15" s="22">
        <f t="shared" si="1"/>
        <v>708</v>
      </c>
      <c r="I15" s="22">
        <f t="shared" si="1"/>
        <v>558</v>
      </c>
      <c r="J15" s="25">
        <f t="shared" si="1"/>
        <v>861</v>
      </c>
    </row>
    <row r="16" spans="1:13" ht="17.25" thickBot="1" x14ac:dyDescent="0.35">
      <c r="A16" s="17" t="s">
        <v>1</v>
      </c>
      <c r="B16" s="17" t="s">
        <v>36</v>
      </c>
      <c r="C16" s="17">
        <v>7</v>
      </c>
      <c r="D16" s="17">
        <v>7</v>
      </c>
      <c r="E16" s="17">
        <v>7</v>
      </c>
      <c r="G16" s="26" t="s">
        <v>12</v>
      </c>
      <c r="H16" s="27">
        <f t="shared" si="1"/>
        <v>44</v>
      </c>
      <c r="I16" s="27">
        <f t="shared" si="1"/>
        <v>38</v>
      </c>
      <c r="J16" s="28">
        <f t="shared" si="1"/>
        <v>57</v>
      </c>
    </row>
    <row r="17" spans="1:5" x14ac:dyDescent="0.3">
      <c r="A17" s="17" t="s">
        <v>1</v>
      </c>
      <c r="B17" s="17" t="s">
        <v>48</v>
      </c>
      <c r="C17" s="17">
        <v>9</v>
      </c>
      <c r="D17" s="17">
        <v>7</v>
      </c>
      <c r="E17" s="17">
        <v>11</v>
      </c>
    </row>
    <row r="18" spans="1:5" x14ac:dyDescent="0.3">
      <c r="A18" s="17" t="s">
        <v>1</v>
      </c>
      <c r="B18" s="17" t="s">
        <v>281</v>
      </c>
      <c r="C18" s="17">
        <v>7</v>
      </c>
      <c r="D18" s="17">
        <v>7</v>
      </c>
      <c r="E18" s="17">
        <v>7</v>
      </c>
    </row>
    <row r="19" spans="1:5" x14ac:dyDescent="0.3">
      <c r="A19" s="17" t="s">
        <v>1</v>
      </c>
      <c r="B19" s="17" t="s">
        <v>39</v>
      </c>
      <c r="C19" s="17">
        <v>20</v>
      </c>
      <c r="D19" s="17">
        <v>7</v>
      </c>
      <c r="E19" s="17">
        <v>26</v>
      </c>
    </row>
    <row r="20" spans="1:5" x14ac:dyDescent="0.3">
      <c r="A20" s="17" t="s">
        <v>0</v>
      </c>
      <c r="B20" s="17" t="s">
        <v>2075</v>
      </c>
      <c r="C20" s="17">
        <v>7</v>
      </c>
      <c r="D20" s="17">
        <v>7</v>
      </c>
      <c r="E20" s="17">
        <v>7</v>
      </c>
    </row>
    <row r="21" spans="1:5" x14ac:dyDescent="0.3">
      <c r="A21" s="17" t="s">
        <v>2</v>
      </c>
      <c r="B21" s="17" t="s">
        <v>2572</v>
      </c>
      <c r="C21" s="17">
        <v>8</v>
      </c>
      <c r="D21" s="17">
        <v>7</v>
      </c>
      <c r="E21" s="17">
        <v>8</v>
      </c>
    </row>
    <row r="22" spans="1:5" x14ac:dyDescent="0.3">
      <c r="A22" s="17" t="s">
        <v>1</v>
      </c>
      <c r="B22" s="17" t="s">
        <v>273</v>
      </c>
      <c r="C22" s="17">
        <v>6</v>
      </c>
      <c r="D22" s="17">
        <v>6</v>
      </c>
      <c r="E22" s="17">
        <v>7</v>
      </c>
    </row>
    <row r="23" spans="1:5" x14ac:dyDescent="0.3">
      <c r="A23" s="17" t="s">
        <v>1</v>
      </c>
      <c r="B23" s="17" t="s">
        <v>163</v>
      </c>
      <c r="C23" s="17">
        <v>6</v>
      </c>
      <c r="D23" s="17">
        <v>6</v>
      </c>
      <c r="E23" s="17">
        <v>7</v>
      </c>
    </row>
    <row r="24" spans="1:5" x14ac:dyDescent="0.3">
      <c r="A24" s="17" t="s">
        <v>1</v>
      </c>
      <c r="B24" s="17" t="s">
        <v>199</v>
      </c>
      <c r="C24" s="17">
        <v>7</v>
      </c>
      <c r="D24" s="17">
        <v>6</v>
      </c>
      <c r="E24" s="17">
        <v>7</v>
      </c>
    </row>
    <row r="25" spans="1:5" x14ac:dyDescent="0.3">
      <c r="A25" s="17" t="s">
        <v>1</v>
      </c>
      <c r="B25" s="17" t="s">
        <v>729</v>
      </c>
      <c r="C25" s="17">
        <v>6</v>
      </c>
      <c r="D25" s="17">
        <v>6</v>
      </c>
      <c r="E25" s="17">
        <v>8</v>
      </c>
    </row>
    <row r="26" spans="1:5" x14ac:dyDescent="0.3">
      <c r="A26" s="17" t="s">
        <v>1</v>
      </c>
      <c r="B26" s="17" t="s">
        <v>662</v>
      </c>
      <c r="C26" s="17">
        <v>6</v>
      </c>
      <c r="D26" s="17">
        <v>6</v>
      </c>
      <c r="E26" s="17">
        <v>6</v>
      </c>
    </row>
    <row r="27" spans="1:5" x14ac:dyDescent="0.3">
      <c r="A27" s="17" t="s">
        <v>1</v>
      </c>
      <c r="B27" s="17" t="s">
        <v>31</v>
      </c>
      <c r="C27" s="17">
        <v>6</v>
      </c>
      <c r="D27" s="17">
        <v>6</v>
      </c>
      <c r="E27" s="17">
        <v>6</v>
      </c>
    </row>
    <row r="28" spans="1:5" x14ac:dyDescent="0.3">
      <c r="A28" s="17" t="s">
        <v>0</v>
      </c>
      <c r="B28" s="17" t="s">
        <v>51</v>
      </c>
      <c r="C28" s="17">
        <v>7</v>
      </c>
      <c r="D28" s="17">
        <v>6</v>
      </c>
      <c r="E28" s="17">
        <v>6</v>
      </c>
    </row>
    <row r="29" spans="1:5" x14ac:dyDescent="0.3">
      <c r="A29" s="17" t="s">
        <v>0</v>
      </c>
      <c r="B29" s="17" t="s">
        <v>39</v>
      </c>
      <c r="C29" s="17">
        <v>8</v>
      </c>
      <c r="D29" s="17">
        <v>6</v>
      </c>
      <c r="E29" s="17">
        <v>12</v>
      </c>
    </row>
    <row r="30" spans="1:5" x14ac:dyDescent="0.3">
      <c r="A30" s="17" t="s">
        <v>2</v>
      </c>
      <c r="B30" s="17" t="s">
        <v>897</v>
      </c>
      <c r="C30" s="17">
        <v>6</v>
      </c>
      <c r="D30" s="17">
        <v>6</v>
      </c>
      <c r="E30" s="17">
        <v>6</v>
      </c>
    </row>
    <row r="31" spans="1:5" x14ac:dyDescent="0.3">
      <c r="A31" s="17" t="s">
        <v>1</v>
      </c>
      <c r="B31" s="17" t="s">
        <v>33</v>
      </c>
      <c r="C31" s="17">
        <v>8</v>
      </c>
      <c r="D31" s="17">
        <v>5</v>
      </c>
      <c r="E31" s="17">
        <v>8</v>
      </c>
    </row>
    <row r="32" spans="1:5" x14ac:dyDescent="0.3">
      <c r="A32" s="17" t="s">
        <v>1</v>
      </c>
      <c r="B32" s="17" t="s">
        <v>155</v>
      </c>
      <c r="C32" s="17">
        <v>8</v>
      </c>
      <c r="D32" s="17">
        <v>5</v>
      </c>
      <c r="E32" s="17">
        <v>7</v>
      </c>
    </row>
    <row r="33" spans="1:5" x14ac:dyDescent="0.3">
      <c r="A33" s="17" t="s">
        <v>1</v>
      </c>
      <c r="B33" s="17" t="s">
        <v>291</v>
      </c>
      <c r="C33" s="17">
        <v>6</v>
      </c>
      <c r="D33" s="17">
        <v>5</v>
      </c>
      <c r="E33" s="17">
        <v>9</v>
      </c>
    </row>
    <row r="34" spans="1:5" x14ac:dyDescent="0.3">
      <c r="A34" s="17" t="s">
        <v>0</v>
      </c>
      <c r="B34" s="17" t="s">
        <v>2396</v>
      </c>
      <c r="C34" s="17">
        <v>7</v>
      </c>
      <c r="D34" s="17">
        <v>5</v>
      </c>
      <c r="E34" s="17">
        <v>14</v>
      </c>
    </row>
    <row r="35" spans="1:5" x14ac:dyDescent="0.3">
      <c r="A35" s="17" t="s">
        <v>0</v>
      </c>
      <c r="B35" s="17" t="s">
        <v>65</v>
      </c>
      <c r="C35" s="17">
        <v>5</v>
      </c>
      <c r="D35" s="17">
        <v>5</v>
      </c>
      <c r="E35" s="17">
        <v>5</v>
      </c>
    </row>
    <row r="36" spans="1:5" x14ac:dyDescent="0.3">
      <c r="A36" s="17" t="s">
        <v>1</v>
      </c>
      <c r="B36" s="17" t="s">
        <v>1314</v>
      </c>
      <c r="C36" s="17">
        <v>4</v>
      </c>
      <c r="D36" s="17">
        <v>4</v>
      </c>
      <c r="E36" s="17">
        <v>5</v>
      </c>
    </row>
    <row r="37" spans="1:5" x14ac:dyDescent="0.3">
      <c r="A37" s="17" t="s">
        <v>1</v>
      </c>
      <c r="B37" s="17" t="s">
        <v>85</v>
      </c>
      <c r="C37" s="17">
        <v>6</v>
      </c>
      <c r="D37" s="17">
        <v>4</v>
      </c>
      <c r="E37" s="17">
        <v>9</v>
      </c>
    </row>
    <row r="38" spans="1:5" x14ac:dyDescent="0.3">
      <c r="A38" s="17" t="s">
        <v>1</v>
      </c>
      <c r="B38" s="17" t="s">
        <v>152</v>
      </c>
      <c r="C38" s="17">
        <v>5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89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1775</v>
      </c>
      <c r="C40" s="17">
        <v>4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492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165</v>
      </c>
      <c r="C42" s="17">
        <v>7</v>
      </c>
      <c r="D42" s="17">
        <v>4</v>
      </c>
      <c r="E42" s="17">
        <v>8</v>
      </c>
    </row>
    <row r="43" spans="1:5" x14ac:dyDescent="0.3">
      <c r="A43" s="17" t="s">
        <v>1</v>
      </c>
      <c r="B43" s="17" t="s">
        <v>168</v>
      </c>
      <c r="C43" s="17">
        <v>4</v>
      </c>
      <c r="D43" s="17">
        <v>4</v>
      </c>
      <c r="E43" s="17">
        <v>4</v>
      </c>
    </row>
    <row r="44" spans="1:5" x14ac:dyDescent="0.3">
      <c r="A44" s="17" t="s">
        <v>1</v>
      </c>
      <c r="B44" s="17" t="s">
        <v>29</v>
      </c>
      <c r="C44" s="17">
        <v>4</v>
      </c>
      <c r="D44" s="17">
        <v>4</v>
      </c>
      <c r="E44" s="17">
        <v>4</v>
      </c>
    </row>
    <row r="45" spans="1:5" x14ac:dyDescent="0.3">
      <c r="A45" s="17" t="s">
        <v>1</v>
      </c>
      <c r="B45" s="17" t="s">
        <v>126</v>
      </c>
      <c r="C45" s="17">
        <v>4</v>
      </c>
      <c r="D45" s="17">
        <v>4</v>
      </c>
      <c r="E45" s="17">
        <v>5</v>
      </c>
    </row>
    <row r="46" spans="1:5" x14ac:dyDescent="0.3">
      <c r="A46" s="17" t="s">
        <v>1</v>
      </c>
      <c r="B46" s="17" t="s">
        <v>195</v>
      </c>
      <c r="C46" s="17">
        <v>10</v>
      </c>
      <c r="D46" s="17">
        <v>4</v>
      </c>
      <c r="E46" s="17">
        <v>19</v>
      </c>
    </row>
    <row r="47" spans="1:5" x14ac:dyDescent="0.3">
      <c r="A47" s="17" t="s">
        <v>1</v>
      </c>
      <c r="B47" s="17" t="s">
        <v>32</v>
      </c>
      <c r="C47" s="17">
        <v>12</v>
      </c>
      <c r="D47" s="17">
        <v>4</v>
      </c>
      <c r="E47" s="17">
        <v>20</v>
      </c>
    </row>
    <row r="48" spans="1:5" x14ac:dyDescent="0.3">
      <c r="A48" s="17" t="s">
        <v>0</v>
      </c>
      <c r="B48" s="17" t="s">
        <v>40</v>
      </c>
      <c r="C48" s="17">
        <v>4</v>
      </c>
      <c r="D48" s="17">
        <v>4</v>
      </c>
      <c r="E48" s="17">
        <v>6</v>
      </c>
    </row>
    <row r="49" spans="1:5" x14ac:dyDescent="0.3">
      <c r="A49" s="17" t="s">
        <v>0</v>
      </c>
      <c r="B49" s="17" t="s">
        <v>35</v>
      </c>
      <c r="C49" s="17">
        <v>4</v>
      </c>
      <c r="D49" s="17">
        <v>4</v>
      </c>
      <c r="E49" s="17">
        <v>4</v>
      </c>
    </row>
    <row r="50" spans="1:5" x14ac:dyDescent="0.3">
      <c r="A50" s="17" t="s">
        <v>0</v>
      </c>
      <c r="B50" s="17" t="s">
        <v>168</v>
      </c>
      <c r="C50" s="17">
        <v>4</v>
      </c>
      <c r="D50" s="17">
        <v>4</v>
      </c>
      <c r="E50" s="17">
        <v>4</v>
      </c>
    </row>
    <row r="51" spans="1:5" x14ac:dyDescent="0.3">
      <c r="A51" s="17" t="s">
        <v>0</v>
      </c>
      <c r="B51" s="17" t="s">
        <v>897</v>
      </c>
      <c r="C51" s="17">
        <v>4</v>
      </c>
      <c r="D51" s="17">
        <v>4</v>
      </c>
      <c r="E51" s="17">
        <v>5</v>
      </c>
    </row>
    <row r="52" spans="1:5" x14ac:dyDescent="0.3">
      <c r="A52" s="17" t="s">
        <v>0</v>
      </c>
      <c r="B52" s="17" t="s">
        <v>31</v>
      </c>
      <c r="C52" s="17">
        <v>5</v>
      </c>
      <c r="D52" s="17">
        <v>4</v>
      </c>
      <c r="E52" s="17">
        <v>6</v>
      </c>
    </row>
    <row r="53" spans="1:5" x14ac:dyDescent="0.3">
      <c r="A53" s="17" t="s">
        <v>1</v>
      </c>
      <c r="B53" s="17" t="s">
        <v>79</v>
      </c>
      <c r="C53" s="17">
        <v>7</v>
      </c>
      <c r="D53" s="17">
        <v>3</v>
      </c>
      <c r="E53" s="17">
        <v>6</v>
      </c>
    </row>
    <row r="54" spans="1:5" x14ac:dyDescent="0.3">
      <c r="A54" s="17" t="s">
        <v>1</v>
      </c>
      <c r="B54" s="17" t="s">
        <v>34</v>
      </c>
      <c r="C54" s="17">
        <v>3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149</v>
      </c>
      <c r="C55" s="17">
        <v>4</v>
      </c>
      <c r="D55" s="17">
        <v>3</v>
      </c>
      <c r="E55" s="17">
        <v>5</v>
      </c>
    </row>
    <row r="56" spans="1:5" x14ac:dyDescent="0.3">
      <c r="A56" s="17" t="s">
        <v>1</v>
      </c>
      <c r="B56" s="17" t="s">
        <v>151</v>
      </c>
      <c r="C56" s="17">
        <v>4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219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41</v>
      </c>
      <c r="C58" s="17">
        <v>4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2395</v>
      </c>
      <c r="C59" s="17">
        <v>8</v>
      </c>
      <c r="D59" s="17">
        <v>3</v>
      </c>
      <c r="E59" s="17">
        <v>7</v>
      </c>
    </row>
    <row r="60" spans="1:5" x14ac:dyDescent="0.3">
      <c r="A60" s="17" t="s">
        <v>1</v>
      </c>
      <c r="B60" s="17" t="s">
        <v>158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167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289</v>
      </c>
      <c r="C62" s="17">
        <v>3</v>
      </c>
      <c r="D62" s="17">
        <v>3</v>
      </c>
      <c r="E62" s="17">
        <v>5</v>
      </c>
    </row>
    <row r="63" spans="1:5" x14ac:dyDescent="0.3">
      <c r="A63" s="17" t="s">
        <v>1</v>
      </c>
      <c r="B63" s="17" t="s">
        <v>1231</v>
      </c>
      <c r="C63" s="17">
        <v>4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123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695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38</v>
      </c>
      <c r="C66" s="17">
        <v>4</v>
      </c>
      <c r="D66" s="17">
        <v>3</v>
      </c>
      <c r="E66" s="17">
        <v>4</v>
      </c>
    </row>
    <row r="67" spans="1:5" x14ac:dyDescent="0.3">
      <c r="A67" s="17" t="s">
        <v>1</v>
      </c>
      <c r="B67" s="17" t="s">
        <v>194</v>
      </c>
      <c r="C67" s="17">
        <v>4</v>
      </c>
      <c r="D67" s="17">
        <v>3</v>
      </c>
      <c r="E67" s="17">
        <v>4</v>
      </c>
    </row>
    <row r="68" spans="1:5" x14ac:dyDescent="0.3">
      <c r="A68" s="17" t="s">
        <v>0</v>
      </c>
      <c r="B68" s="17" t="s">
        <v>103</v>
      </c>
      <c r="C68" s="17">
        <v>3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662</v>
      </c>
      <c r="C69" s="17">
        <v>4</v>
      </c>
      <c r="D69" s="17">
        <v>3</v>
      </c>
      <c r="E69" s="17">
        <v>4</v>
      </c>
    </row>
    <row r="70" spans="1:5" x14ac:dyDescent="0.3">
      <c r="A70" s="17" t="s">
        <v>0</v>
      </c>
      <c r="B70" s="17" t="s">
        <v>346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350</v>
      </c>
      <c r="C71" s="17">
        <v>3</v>
      </c>
      <c r="D71" s="17">
        <v>3</v>
      </c>
      <c r="E71" s="17">
        <v>3</v>
      </c>
    </row>
    <row r="72" spans="1:5" x14ac:dyDescent="0.3">
      <c r="A72" s="17" t="s">
        <v>1</v>
      </c>
      <c r="B72" s="17" t="s">
        <v>47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506</v>
      </c>
      <c r="C73" s="17">
        <v>3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2195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394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210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213</v>
      </c>
      <c r="C77" s="17">
        <v>4</v>
      </c>
      <c r="D77" s="17">
        <v>2</v>
      </c>
      <c r="E77" s="17">
        <v>4</v>
      </c>
    </row>
    <row r="78" spans="1:5" x14ac:dyDescent="0.3">
      <c r="A78" s="17" t="s">
        <v>1</v>
      </c>
      <c r="B78" s="17" t="s">
        <v>315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316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1060</v>
      </c>
      <c r="C80" s="17">
        <v>4</v>
      </c>
      <c r="D80" s="17">
        <v>2</v>
      </c>
      <c r="E80" s="17">
        <v>4</v>
      </c>
    </row>
    <row r="81" spans="1:5" x14ac:dyDescent="0.3">
      <c r="A81" s="17" t="s">
        <v>1</v>
      </c>
      <c r="B81" s="17" t="s">
        <v>221</v>
      </c>
      <c r="C81" s="17">
        <v>3</v>
      </c>
      <c r="D81" s="17">
        <v>2</v>
      </c>
      <c r="E81" s="17">
        <v>4</v>
      </c>
    </row>
    <row r="82" spans="1:5" x14ac:dyDescent="0.3">
      <c r="A82" s="17" t="s">
        <v>1</v>
      </c>
      <c r="B82" s="17" t="s">
        <v>60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96</v>
      </c>
      <c r="C83" s="17">
        <v>5</v>
      </c>
      <c r="D83" s="17">
        <v>2</v>
      </c>
      <c r="E83" s="17">
        <v>6</v>
      </c>
    </row>
    <row r="84" spans="1:5" x14ac:dyDescent="0.3">
      <c r="A84" s="17" t="s">
        <v>1</v>
      </c>
      <c r="B84" s="17" t="s">
        <v>1854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1911</v>
      </c>
      <c r="C85" s="17">
        <v>3</v>
      </c>
      <c r="D85" s="17">
        <v>2</v>
      </c>
      <c r="E85" s="17">
        <v>5</v>
      </c>
    </row>
    <row r="86" spans="1:5" x14ac:dyDescent="0.3">
      <c r="A86" s="17" t="s">
        <v>1</v>
      </c>
      <c r="B86" s="17" t="s">
        <v>2399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2599</v>
      </c>
      <c r="C87" s="17">
        <v>8</v>
      </c>
      <c r="D87" s="17">
        <v>2</v>
      </c>
      <c r="E87" s="17">
        <v>9</v>
      </c>
    </row>
    <row r="88" spans="1:5" x14ac:dyDescent="0.3">
      <c r="A88" s="17" t="s">
        <v>1</v>
      </c>
      <c r="B88" s="17" t="s">
        <v>97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643</v>
      </c>
      <c r="C89" s="17">
        <v>2</v>
      </c>
      <c r="D89" s="17">
        <v>2</v>
      </c>
      <c r="E89" s="17">
        <v>7</v>
      </c>
    </row>
    <row r="90" spans="1:5" x14ac:dyDescent="0.3">
      <c r="A90" s="17" t="s">
        <v>1</v>
      </c>
      <c r="B90" s="17" t="s">
        <v>265</v>
      </c>
      <c r="C90" s="17">
        <v>3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586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1259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103</v>
      </c>
      <c r="C93" s="17">
        <v>3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406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407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111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872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534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174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594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540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115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330</v>
      </c>
      <c r="C103" s="17">
        <v>3</v>
      </c>
      <c r="D103" s="17">
        <v>2</v>
      </c>
      <c r="E103" s="17">
        <v>4</v>
      </c>
    </row>
    <row r="104" spans="1:5" x14ac:dyDescent="0.3">
      <c r="A104" s="17" t="s">
        <v>1</v>
      </c>
      <c r="B104" s="17" t="s">
        <v>727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776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1292</v>
      </c>
      <c r="C106" s="17">
        <v>2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1293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656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415</v>
      </c>
      <c r="C109" s="17">
        <v>3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120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121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125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179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555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63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897</v>
      </c>
      <c r="C116" s="17">
        <v>3</v>
      </c>
      <c r="D116" s="17">
        <v>2</v>
      </c>
      <c r="E116" s="17">
        <v>4</v>
      </c>
    </row>
    <row r="117" spans="1:5" x14ac:dyDescent="0.3">
      <c r="A117" s="17" t="s">
        <v>1</v>
      </c>
      <c r="B117" s="17" t="s">
        <v>750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259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135</v>
      </c>
      <c r="C119" s="17">
        <v>4</v>
      </c>
      <c r="D119" s="17">
        <v>2</v>
      </c>
      <c r="E119" s="17">
        <v>4</v>
      </c>
    </row>
    <row r="120" spans="1:5" x14ac:dyDescent="0.3">
      <c r="A120" s="17" t="s">
        <v>1</v>
      </c>
      <c r="B120" s="17" t="s">
        <v>567</v>
      </c>
      <c r="C120" s="17">
        <v>3</v>
      </c>
      <c r="D120" s="17">
        <v>2</v>
      </c>
      <c r="E120" s="17">
        <v>3</v>
      </c>
    </row>
    <row r="121" spans="1:5" x14ac:dyDescent="0.3">
      <c r="A121" s="17" t="s">
        <v>1</v>
      </c>
      <c r="B121" s="17" t="s">
        <v>700</v>
      </c>
      <c r="C121" s="17">
        <v>3</v>
      </c>
      <c r="D121" s="17">
        <v>2</v>
      </c>
      <c r="E121" s="17">
        <v>3</v>
      </c>
    </row>
    <row r="122" spans="1:5" x14ac:dyDescent="0.3">
      <c r="A122" s="17" t="s">
        <v>1</v>
      </c>
      <c r="B122" s="17" t="s">
        <v>54</v>
      </c>
      <c r="C122" s="17">
        <v>10</v>
      </c>
      <c r="D122" s="17">
        <v>2</v>
      </c>
      <c r="E122" s="17">
        <v>17</v>
      </c>
    </row>
    <row r="123" spans="1:5" x14ac:dyDescent="0.3">
      <c r="A123" s="17" t="s">
        <v>1</v>
      </c>
      <c r="B123" s="17" t="s">
        <v>56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1276</v>
      </c>
      <c r="C124" s="17">
        <v>2</v>
      </c>
      <c r="D124" s="17">
        <v>2</v>
      </c>
      <c r="E124" s="17"/>
    </row>
    <row r="125" spans="1:5" x14ac:dyDescent="0.3">
      <c r="A125" s="17" t="s">
        <v>1</v>
      </c>
      <c r="B125" s="17" t="s">
        <v>1213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267</v>
      </c>
      <c r="C126" s="17">
        <v>2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83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85</v>
      </c>
      <c r="C128" s="17">
        <v>3</v>
      </c>
      <c r="D128" s="17">
        <v>2</v>
      </c>
      <c r="E128" s="17">
        <v>4</v>
      </c>
    </row>
    <row r="129" spans="1:5" x14ac:dyDescent="0.3">
      <c r="A129" s="17" t="s">
        <v>0</v>
      </c>
      <c r="B129" s="17" t="s">
        <v>151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365</v>
      </c>
      <c r="C130" s="17">
        <v>3</v>
      </c>
      <c r="D130" s="17">
        <v>2</v>
      </c>
      <c r="E130" s="17">
        <v>4</v>
      </c>
    </row>
    <row r="131" spans="1:5" x14ac:dyDescent="0.3">
      <c r="A131" s="17" t="s">
        <v>0</v>
      </c>
      <c r="B131" s="17" t="s">
        <v>61</v>
      </c>
      <c r="C131" s="17">
        <v>3</v>
      </c>
      <c r="D131" s="17">
        <v>2</v>
      </c>
      <c r="E131" s="17">
        <v>4</v>
      </c>
    </row>
    <row r="132" spans="1:5" x14ac:dyDescent="0.3">
      <c r="A132" s="17" t="s">
        <v>0</v>
      </c>
      <c r="B132" s="17" t="s">
        <v>1854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1897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1927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2429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158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2407</v>
      </c>
      <c r="C137" s="17">
        <v>2</v>
      </c>
      <c r="D137" s="17">
        <v>2</v>
      </c>
      <c r="E137" s="17">
        <v>3</v>
      </c>
    </row>
    <row r="138" spans="1:5" x14ac:dyDescent="0.3">
      <c r="A138" s="17" t="s">
        <v>0</v>
      </c>
      <c r="B138" s="17" t="s">
        <v>1479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163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169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1003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291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44</v>
      </c>
      <c r="C143" s="17">
        <v>2</v>
      </c>
      <c r="D143" s="17">
        <v>2</v>
      </c>
      <c r="E143" s="17">
        <v>6</v>
      </c>
    </row>
    <row r="144" spans="1:5" x14ac:dyDescent="0.3">
      <c r="A144" s="17" t="s">
        <v>0</v>
      </c>
      <c r="B144" s="17" t="s">
        <v>330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117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663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62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124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125</v>
      </c>
      <c r="C149" s="17">
        <v>2</v>
      </c>
      <c r="D149" s="17">
        <v>2</v>
      </c>
      <c r="E149" s="17">
        <v>3</v>
      </c>
    </row>
    <row r="150" spans="1:5" x14ac:dyDescent="0.3">
      <c r="A150" s="17" t="s">
        <v>0</v>
      </c>
      <c r="B150" s="17" t="s">
        <v>181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262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186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134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68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1138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2</v>
      </c>
      <c r="B156" s="17" t="s">
        <v>1897</v>
      </c>
      <c r="C156" s="17">
        <v>2</v>
      </c>
      <c r="D156" s="17">
        <v>2</v>
      </c>
      <c r="E156" s="17">
        <v>3</v>
      </c>
    </row>
    <row r="157" spans="1:5" x14ac:dyDescent="0.3">
      <c r="A157" s="17" t="s">
        <v>2</v>
      </c>
      <c r="B157" s="17" t="s">
        <v>63</v>
      </c>
      <c r="C157" s="17">
        <v>2</v>
      </c>
      <c r="D157" s="17">
        <v>2</v>
      </c>
      <c r="E157" s="17">
        <v>6</v>
      </c>
    </row>
    <row r="158" spans="1:5" x14ac:dyDescent="0.3">
      <c r="A158" s="17" t="s">
        <v>1</v>
      </c>
      <c r="B158" s="17" t="s">
        <v>489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389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1214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70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242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503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204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244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1734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355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269</v>
      </c>
      <c r="C168" s="17">
        <v>3</v>
      </c>
      <c r="D168" s="17">
        <v>1</v>
      </c>
      <c r="E168" s="17">
        <v>4</v>
      </c>
    </row>
    <row r="169" spans="1:5" x14ac:dyDescent="0.3">
      <c r="A169" s="17" t="s">
        <v>1</v>
      </c>
      <c r="B169" s="17" t="s">
        <v>142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458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764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384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793</v>
      </c>
      <c r="C173" s="17">
        <v>2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705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144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208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2714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1252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76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1253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1216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78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977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515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276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2715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211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358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1953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247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80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935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2716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583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396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40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267</v>
      </c>
      <c r="C197" s="17">
        <v>1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708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1338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519</v>
      </c>
      <c r="C200" s="17">
        <v>1</v>
      </c>
      <c r="D200" s="17">
        <v>1</v>
      </c>
      <c r="E200" s="17">
        <v>4</v>
      </c>
    </row>
    <row r="201" spans="1:5" x14ac:dyDescent="0.3">
      <c r="A201" s="17" t="s">
        <v>1</v>
      </c>
      <c r="B201" s="17" t="s">
        <v>264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480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632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216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864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481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1593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92</v>
      </c>
      <c r="C208" s="17">
        <v>3</v>
      </c>
      <c r="D208" s="17">
        <v>1</v>
      </c>
      <c r="E208" s="17">
        <v>3</v>
      </c>
    </row>
    <row r="209" spans="1:5" x14ac:dyDescent="0.3">
      <c r="A209" s="17" t="s">
        <v>1</v>
      </c>
      <c r="B209" s="17" t="s">
        <v>154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1242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640</v>
      </c>
      <c r="C211" s="17">
        <v>2</v>
      </c>
      <c r="D211" s="17">
        <v>1</v>
      </c>
      <c r="E211" s="17">
        <v>3</v>
      </c>
    </row>
    <row r="212" spans="1:5" x14ac:dyDescent="0.3">
      <c r="A212" s="17" t="s">
        <v>1</v>
      </c>
      <c r="B212" s="17" t="s">
        <v>94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2313</v>
      </c>
      <c r="C213" s="17">
        <v>1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2717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2295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692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438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95</v>
      </c>
      <c r="C218" s="17">
        <v>2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251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1662</v>
      </c>
      <c r="C220" s="17">
        <v>2</v>
      </c>
      <c r="D220" s="17">
        <v>1</v>
      </c>
      <c r="E220" s="17">
        <v>3</v>
      </c>
    </row>
    <row r="221" spans="1:5" x14ac:dyDescent="0.3">
      <c r="A221" s="17" t="s">
        <v>1</v>
      </c>
      <c r="B221" s="17" t="s">
        <v>1860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1946</v>
      </c>
      <c r="C222" s="17">
        <v>5</v>
      </c>
      <c r="D222" s="17">
        <v>1</v>
      </c>
      <c r="E222" s="17">
        <v>7</v>
      </c>
    </row>
    <row r="223" spans="1:5" x14ac:dyDescent="0.3">
      <c r="A223" s="17" t="s">
        <v>1</v>
      </c>
      <c r="B223" s="17" t="s">
        <v>2334</v>
      </c>
      <c r="C223" s="17">
        <v>2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2293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2329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2363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2401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2439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2443</v>
      </c>
      <c r="C229" s="17">
        <v>2</v>
      </c>
      <c r="D229" s="17">
        <v>1</v>
      </c>
      <c r="E229" s="17">
        <v>2</v>
      </c>
    </row>
    <row r="230" spans="1:5" x14ac:dyDescent="0.3">
      <c r="A230" s="17" t="s">
        <v>1</v>
      </c>
      <c r="B230" s="17" t="s">
        <v>2445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2397</v>
      </c>
      <c r="C231" s="17">
        <v>5</v>
      </c>
      <c r="D231" s="17">
        <v>1</v>
      </c>
      <c r="E231" s="17">
        <v>7</v>
      </c>
    </row>
    <row r="232" spans="1:5" x14ac:dyDescent="0.3">
      <c r="A232" s="17" t="s">
        <v>1</v>
      </c>
      <c r="B232" s="17" t="s">
        <v>2616</v>
      </c>
      <c r="C232" s="17">
        <v>4</v>
      </c>
      <c r="D232" s="17">
        <v>1</v>
      </c>
      <c r="E232" s="17">
        <v>4</v>
      </c>
    </row>
    <row r="233" spans="1:5" x14ac:dyDescent="0.3">
      <c r="A233" s="17" t="s">
        <v>1</v>
      </c>
      <c r="B233" s="17" t="s">
        <v>1285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1035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1427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2244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49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1103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2718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526</v>
      </c>
      <c r="C240" s="17">
        <v>2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491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35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283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2719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529</v>
      </c>
      <c r="C245" s="17">
        <v>1</v>
      </c>
      <c r="D245" s="17">
        <v>1</v>
      </c>
      <c r="E245" s="17">
        <v>9</v>
      </c>
    </row>
    <row r="246" spans="1:5" x14ac:dyDescent="0.3">
      <c r="A246" s="17" t="s">
        <v>1</v>
      </c>
      <c r="B246" s="17" t="s">
        <v>160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161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1342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998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2157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2635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2720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869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104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2721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717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405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107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1107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2722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1222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1989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1650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1223</v>
      </c>
      <c r="C264" s="17">
        <v>3</v>
      </c>
      <c r="D264" s="17">
        <v>1</v>
      </c>
      <c r="E264" s="17">
        <v>2</v>
      </c>
    </row>
    <row r="265" spans="1:5" x14ac:dyDescent="0.3">
      <c r="A265" s="17" t="s">
        <v>1</v>
      </c>
      <c r="B265" s="17" t="s">
        <v>1443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2723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2276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2724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1099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1663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648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112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1225</v>
      </c>
      <c r="C273" s="17">
        <v>2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173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1184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409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290</v>
      </c>
      <c r="C277" s="17">
        <v>1</v>
      </c>
      <c r="D277" s="17">
        <v>1</v>
      </c>
      <c r="E277" s="17">
        <v>2</v>
      </c>
    </row>
    <row r="278" spans="1:5" x14ac:dyDescent="0.3">
      <c r="A278" s="17" t="s">
        <v>1</v>
      </c>
      <c r="B278" s="17" t="s">
        <v>1885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410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536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1004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2725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493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465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538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2726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1526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916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327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1583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879</v>
      </c>
      <c r="C291" s="17">
        <v>1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725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1075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45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331</v>
      </c>
      <c r="C295" s="17">
        <v>3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1378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597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2727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884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839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1630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468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446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598</v>
      </c>
      <c r="C304" s="17">
        <v>2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336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2728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1187</v>
      </c>
      <c r="C307" s="17">
        <v>3</v>
      </c>
      <c r="D307" s="17">
        <v>1</v>
      </c>
      <c r="E307" s="17">
        <v>3</v>
      </c>
    </row>
    <row r="308" spans="1:5" x14ac:dyDescent="0.3">
      <c r="A308" s="17" t="s">
        <v>1</v>
      </c>
      <c r="B308" s="17" t="s">
        <v>1009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550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809</v>
      </c>
      <c r="C310" s="17">
        <v>1</v>
      </c>
      <c r="D310" s="17">
        <v>1</v>
      </c>
      <c r="E310" s="17">
        <v>2</v>
      </c>
    </row>
    <row r="311" spans="1:5" x14ac:dyDescent="0.3">
      <c r="A311" s="17" t="s">
        <v>1</v>
      </c>
      <c r="B311" s="17" t="s">
        <v>337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414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116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117</v>
      </c>
      <c r="C314" s="17">
        <v>3</v>
      </c>
      <c r="D314" s="17">
        <v>1</v>
      </c>
      <c r="E314" s="17">
        <v>3</v>
      </c>
    </row>
    <row r="315" spans="1:5" x14ac:dyDescent="0.3">
      <c r="A315" s="17" t="s">
        <v>1</v>
      </c>
      <c r="B315" s="17" t="s">
        <v>659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1151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1189</v>
      </c>
      <c r="C317" s="17">
        <v>1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1080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340</v>
      </c>
      <c r="C319" s="17">
        <v>2</v>
      </c>
      <c r="D319" s="17">
        <v>1</v>
      </c>
      <c r="E319" s="17">
        <v>2</v>
      </c>
    </row>
    <row r="320" spans="1:5" x14ac:dyDescent="0.3">
      <c r="A320" s="17" t="s">
        <v>1</v>
      </c>
      <c r="B320" s="17" t="s">
        <v>1011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2729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119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495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1233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1012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417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448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735</v>
      </c>
      <c r="C328" s="17">
        <v>2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1455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345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200</v>
      </c>
      <c r="C331" s="17">
        <v>3</v>
      </c>
      <c r="D331" s="17">
        <v>1</v>
      </c>
      <c r="E331" s="17">
        <v>3</v>
      </c>
    </row>
    <row r="332" spans="1:5" x14ac:dyDescent="0.3">
      <c r="A332" s="17" t="s">
        <v>1</v>
      </c>
      <c r="B332" s="17" t="s">
        <v>682</v>
      </c>
      <c r="C332" s="17">
        <v>1</v>
      </c>
      <c r="D332" s="17">
        <v>1</v>
      </c>
      <c r="E332" s="17">
        <v>3</v>
      </c>
    </row>
    <row r="333" spans="1:5" x14ac:dyDescent="0.3">
      <c r="A333" s="17" t="s">
        <v>1</v>
      </c>
      <c r="B333" s="17" t="s">
        <v>122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62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124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890</v>
      </c>
      <c r="C336" s="17">
        <v>3</v>
      </c>
      <c r="D336" s="17">
        <v>1</v>
      </c>
      <c r="E336" s="17">
        <v>3</v>
      </c>
    </row>
    <row r="337" spans="1:5" x14ac:dyDescent="0.3">
      <c r="A337" s="17" t="s">
        <v>1</v>
      </c>
      <c r="B337" s="17" t="s">
        <v>1991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1154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1179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2343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1308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892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1659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603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893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1163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557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1979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2248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1235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746</v>
      </c>
      <c r="C351" s="17">
        <v>2</v>
      </c>
      <c r="D351" s="17">
        <v>1</v>
      </c>
      <c r="E351" s="17">
        <v>2</v>
      </c>
    </row>
    <row r="352" spans="1:5" x14ac:dyDescent="0.3">
      <c r="A352" s="17" t="s">
        <v>1</v>
      </c>
      <c r="B352" s="17" t="s">
        <v>182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1700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604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2730</v>
      </c>
      <c r="C355" s="17">
        <v>1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962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183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304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1952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428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429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350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822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128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188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1120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751</v>
      </c>
      <c r="C367" s="17">
        <v>1</v>
      </c>
      <c r="D367" s="17">
        <v>1</v>
      </c>
      <c r="E367" s="17">
        <v>2</v>
      </c>
    </row>
    <row r="368" spans="1:5" x14ac:dyDescent="0.3">
      <c r="A368" s="17" t="s">
        <v>1</v>
      </c>
      <c r="B368" s="17" t="s">
        <v>132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669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920</v>
      </c>
      <c r="C370" s="17">
        <v>2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134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351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1096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65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826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566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455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848</v>
      </c>
      <c r="C378" s="17">
        <v>2</v>
      </c>
      <c r="D378" s="17">
        <v>1</v>
      </c>
      <c r="E378" s="17">
        <v>2</v>
      </c>
    </row>
    <row r="379" spans="1:5" x14ac:dyDescent="0.3">
      <c r="A379" s="17" t="s">
        <v>1</v>
      </c>
      <c r="B379" s="17" t="s">
        <v>1238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2731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1327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842</v>
      </c>
      <c r="C382" s="17">
        <v>2</v>
      </c>
      <c r="D382" s="17">
        <v>1</v>
      </c>
      <c r="E382" s="17">
        <v>2</v>
      </c>
    </row>
    <row r="383" spans="1:5" x14ac:dyDescent="0.3">
      <c r="A383" s="17" t="s">
        <v>1</v>
      </c>
      <c r="B383" s="17" t="s">
        <v>921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306</v>
      </c>
      <c r="C384" s="17">
        <v>2</v>
      </c>
      <c r="D384" s="17">
        <v>1</v>
      </c>
      <c r="E384" s="17">
        <v>2</v>
      </c>
    </row>
    <row r="385" spans="1:5" x14ac:dyDescent="0.3">
      <c r="A385" s="17" t="s">
        <v>1</v>
      </c>
      <c r="B385" s="17" t="s">
        <v>53</v>
      </c>
      <c r="C385" s="17">
        <v>3</v>
      </c>
      <c r="D385" s="17">
        <v>1</v>
      </c>
      <c r="E385" s="17">
        <v>3</v>
      </c>
    </row>
    <row r="386" spans="1:5" x14ac:dyDescent="0.3">
      <c r="A386" s="17" t="s">
        <v>1</v>
      </c>
      <c r="B386" s="17" t="s">
        <v>827</v>
      </c>
      <c r="C386" s="17">
        <v>1</v>
      </c>
      <c r="D386" s="17">
        <v>1</v>
      </c>
      <c r="E386" s="17">
        <v>2</v>
      </c>
    </row>
    <row r="387" spans="1:5" x14ac:dyDescent="0.3">
      <c r="A387" s="17" t="s">
        <v>1</v>
      </c>
      <c r="B387" s="17" t="s">
        <v>1192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381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67</v>
      </c>
      <c r="C389" s="17">
        <v>5</v>
      </c>
      <c r="D389" s="17">
        <v>1</v>
      </c>
      <c r="E389" s="17">
        <v>8</v>
      </c>
    </row>
    <row r="390" spans="1:5" x14ac:dyDescent="0.3">
      <c r="A390" s="17" t="s">
        <v>1</v>
      </c>
      <c r="B390" s="17" t="s">
        <v>376</v>
      </c>
      <c r="C390" s="17">
        <v>3</v>
      </c>
      <c r="D390" s="17">
        <v>1</v>
      </c>
      <c r="E390" s="17">
        <v>4</v>
      </c>
    </row>
    <row r="391" spans="1:5" x14ac:dyDescent="0.3">
      <c r="A391" s="17" t="s">
        <v>1</v>
      </c>
      <c r="B391" s="17" t="s">
        <v>68</v>
      </c>
      <c r="C391" s="17">
        <v>5</v>
      </c>
      <c r="D391" s="17">
        <v>1</v>
      </c>
      <c r="E391" s="17">
        <v>7</v>
      </c>
    </row>
    <row r="392" spans="1:5" x14ac:dyDescent="0.3">
      <c r="A392" s="17" t="s">
        <v>1</v>
      </c>
      <c r="B392" s="17" t="s">
        <v>238</v>
      </c>
      <c r="C392" s="17">
        <v>4</v>
      </c>
      <c r="D392" s="17">
        <v>1</v>
      </c>
      <c r="E392" s="17">
        <v>4</v>
      </c>
    </row>
    <row r="393" spans="1:5" x14ac:dyDescent="0.3">
      <c r="A393" s="17" t="s">
        <v>1</v>
      </c>
      <c r="B393" s="17" t="s">
        <v>1579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1864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2279</v>
      </c>
      <c r="C395" s="17">
        <v>1</v>
      </c>
      <c r="D395" s="17">
        <v>1</v>
      </c>
      <c r="E395" s="17">
        <v>2</v>
      </c>
    </row>
    <row r="396" spans="1:5" x14ac:dyDescent="0.3">
      <c r="A396" s="17" t="s">
        <v>1</v>
      </c>
      <c r="B396" s="17" t="s">
        <v>2732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1652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1046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2071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1766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922</v>
      </c>
      <c r="C401" s="17">
        <v>1</v>
      </c>
      <c r="D401" s="17">
        <v>1</v>
      </c>
      <c r="E401" s="17"/>
    </row>
    <row r="402" spans="1:5" x14ac:dyDescent="0.3">
      <c r="A402" s="17" t="s">
        <v>1</v>
      </c>
      <c r="B402" s="17" t="s">
        <v>1248</v>
      </c>
      <c r="C402" s="17">
        <v>1</v>
      </c>
      <c r="D402" s="17">
        <v>1</v>
      </c>
      <c r="E402" s="17"/>
    </row>
    <row r="403" spans="1:5" x14ac:dyDescent="0.3">
      <c r="A403" s="17" t="s">
        <v>1</v>
      </c>
      <c r="B403" s="17" t="s">
        <v>2733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1500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1</v>
      </c>
      <c r="B405" s="17" t="s">
        <v>2367</v>
      </c>
      <c r="C405" s="17">
        <v>1</v>
      </c>
      <c r="D405" s="17">
        <v>1</v>
      </c>
      <c r="E405" s="17"/>
    </row>
    <row r="406" spans="1:5" x14ac:dyDescent="0.3">
      <c r="A406" s="17" t="s">
        <v>1</v>
      </c>
      <c r="B406" s="17" t="s">
        <v>674</v>
      </c>
      <c r="C406" s="17">
        <v>1</v>
      </c>
      <c r="D406" s="17">
        <v>1</v>
      </c>
      <c r="E406" s="17"/>
    </row>
    <row r="407" spans="1:5" x14ac:dyDescent="0.3">
      <c r="A407" s="17" t="s">
        <v>1</v>
      </c>
      <c r="B407" s="17" t="s">
        <v>2488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1</v>
      </c>
      <c r="B408" s="17" t="s">
        <v>1930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1302</v>
      </c>
      <c r="C409" s="17">
        <v>1</v>
      </c>
      <c r="D409" s="17">
        <v>1</v>
      </c>
      <c r="E409" s="17">
        <v>3</v>
      </c>
    </row>
    <row r="410" spans="1:5" x14ac:dyDescent="0.3">
      <c r="A410" s="17" t="s">
        <v>1</v>
      </c>
      <c r="B410" s="17" t="s">
        <v>2734</v>
      </c>
      <c r="C410" s="17">
        <v>1</v>
      </c>
      <c r="D410" s="17">
        <v>2</v>
      </c>
      <c r="E410" s="17"/>
    </row>
    <row r="411" spans="1:5" x14ac:dyDescent="0.3">
      <c r="A411" s="17" t="s">
        <v>1</v>
      </c>
      <c r="B411" s="17" t="s">
        <v>2735</v>
      </c>
      <c r="C411" s="17">
        <v>1</v>
      </c>
      <c r="D411" s="17">
        <v>1</v>
      </c>
      <c r="E411" s="17">
        <v>2</v>
      </c>
    </row>
    <row r="412" spans="1:5" x14ac:dyDescent="0.3">
      <c r="A412" s="17" t="s">
        <v>1</v>
      </c>
      <c r="B412" s="17" t="s">
        <v>1642</v>
      </c>
      <c r="C412" s="17">
        <v>1</v>
      </c>
      <c r="D412" s="17">
        <v>1</v>
      </c>
      <c r="E412" s="17">
        <v>2</v>
      </c>
    </row>
    <row r="413" spans="1:5" x14ac:dyDescent="0.3">
      <c r="A413" s="17" t="s">
        <v>1</v>
      </c>
      <c r="B413" s="17" t="s">
        <v>1599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202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1520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244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2339</v>
      </c>
      <c r="C417" s="17">
        <v>1</v>
      </c>
      <c r="D417" s="17">
        <v>1</v>
      </c>
      <c r="E417" s="17">
        <v>3</v>
      </c>
    </row>
    <row r="418" spans="1:5" x14ac:dyDescent="0.3">
      <c r="A418" s="17" t="s">
        <v>0</v>
      </c>
      <c r="B418" s="17" t="s">
        <v>579</v>
      </c>
      <c r="C418" s="17">
        <v>2</v>
      </c>
      <c r="D418" s="17">
        <v>1</v>
      </c>
      <c r="E418" s="17">
        <v>2</v>
      </c>
    </row>
    <row r="419" spans="1:5" x14ac:dyDescent="0.3">
      <c r="A419" s="17" t="s">
        <v>0</v>
      </c>
      <c r="B419" s="17" t="s">
        <v>384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616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705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1252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906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81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34</v>
      </c>
      <c r="C425" s="17">
        <v>2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860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215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149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1426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153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281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93</v>
      </c>
      <c r="C432" s="17">
        <v>1</v>
      </c>
      <c r="D432" s="17">
        <v>1</v>
      </c>
      <c r="E432" s="17">
        <v>2</v>
      </c>
    </row>
    <row r="433" spans="1:5" x14ac:dyDescent="0.3">
      <c r="A433" s="17" t="s">
        <v>0</v>
      </c>
      <c r="B433" s="17" t="s">
        <v>155</v>
      </c>
      <c r="C433" s="17">
        <v>2</v>
      </c>
      <c r="D433" s="17">
        <v>1</v>
      </c>
      <c r="E433" s="17">
        <v>3</v>
      </c>
    </row>
    <row r="434" spans="1:5" x14ac:dyDescent="0.3">
      <c r="A434" s="17" t="s">
        <v>0</v>
      </c>
      <c r="B434" s="17" t="s">
        <v>364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42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251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96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487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1643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1708</v>
      </c>
      <c r="C440" s="17">
        <v>2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2334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2329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2442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2399</v>
      </c>
      <c r="C444" s="17">
        <v>2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2395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2398</v>
      </c>
      <c r="C446" s="17">
        <v>1</v>
      </c>
      <c r="D446" s="17">
        <v>1</v>
      </c>
      <c r="E446" s="17">
        <v>2</v>
      </c>
    </row>
    <row r="447" spans="1:5" x14ac:dyDescent="0.3">
      <c r="A447" s="17" t="s">
        <v>0</v>
      </c>
      <c r="B447" s="17" t="s">
        <v>2616</v>
      </c>
      <c r="C447" s="17">
        <v>2</v>
      </c>
      <c r="D447" s="17">
        <v>1</v>
      </c>
      <c r="E447" s="17">
        <v>2</v>
      </c>
    </row>
    <row r="448" spans="1:5" x14ac:dyDescent="0.3">
      <c r="A448" s="17" t="s">
        <v>0</v>
      </c>
      <c r="B448" s="17" t="s">
        <v>524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866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159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97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401</v>
      </c>
      <c r="C452" s="17">
        <v>1</v>
      </c>
      <c r="D452" s="17">
        <v>1</v>
      </c>
      <c r="E452" s="17">
        <v>2</v>
      </c>
    </row>
    <row r="453" spans="1:5" x14ac:dyDescent="0.3">
      <c r="A453" s="17" t="s">
        <v>0</v>
      </c>
      <c r="B453" s="17" t="s">
        <v>49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1065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528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99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160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403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1220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162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404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285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947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1620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2736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948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1224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2737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111</v>
      </c>
      <c r="C469" s="17">
        <v>1</v>
      </c>
      <c r="D469" s="17">
        <v>1</v>
      </c>
      <c r="E469" s="17">
        <v>2</v>
      </c>
    </row>
    <row r="470" spans="1:5" x14ac:dyDescent="0.3">
      <c r="A470" s="17" t="s">
        <v>0</v>
      </c>
      <c r="B470" s="17" t="s">
        <v>171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172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113</v>
      </c>
      <c r="C472" s="17">
        <v>2</v>
      </c>
      <c r="D472" s="17">
        <v>1</v>
      </c>
      <c r="E472" s="17">
        <v>3</v>
      </c>
    </row>
    <row r="473" spans="1:5" x14ac:dyDescent="0.3">
      <c r="A473" s="17" t="s">
        <v>0</v>
      </c>
      <c r="B473" s="17" t="s">
        <v>289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872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2107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1793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174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1884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411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651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326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328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539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45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595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546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297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839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1290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2102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730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811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779</v>
      </c>
      <c r="C493" s="17">
        <v>1</v>
      </c>
      <c r="D493" s="17">
        <v>1</v>
      </c>
      <c r="E493" s="17">
        <v>3</v>
      </c>
    </row>
    <row r="494" spans="1:5" x14ac:dyDescent="0.3">
      <c r="A494" s="17" t="s">
        <v>0</v>
      </c>
      <c r="B494" s="17" t="s">
        <v>681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339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814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781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495</v>
      </c>
      <c r="C498" s="17">
        <v>2</v>
      </c>
      <c r="D498" s="17">
        <v>1</v>
      </c>
      <c r="E498" s="17">
        <v>3</v>
      </c>
    </row>
    <row r="499" spans="1:5" x14ac:dyDescent="0.3">
      <c r="A499" s="17" t="s">
        <v>0</v>
      </c>
      <c r="B499" s="17" t="s">
        <v>342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2738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120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200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122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1381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179</v>
      </c>
      <c r="C505" s="17">
        <v>1</v>
      </c>
      <c r="D505" s="17">
        <v>1</v>
      </c>
      <c r="E505" s="17">
        <v>2</v>
      </c>
    </row>
    <row r="506" spans="1:5" x14ac:dyDescent="0.3">
      <c r="A506" s="17" t="s">
        <v>0</v>
      </c>
      <c r="B506" s="17" t="s">
        <v>471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1894</v>
      </c>
      <c r="C507" s="17">
        <v>1</v>
      </c>
      <c r="D507" s="17">
        <v>1</v>
      </c>
      <c r="E507" s="17">
        <v>2</v>
      </c>
    </row>
    <row r="508" spans="1:5" x14ac:dyDescent="0.3">
      <c r="A508" s="17" t="s">
        <v>0</v>
      </c>
      <c r="B508" s="17" t="s">
        <v>603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375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894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303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483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1603</v>
      </c>
      <c r="C513" s="17">
        <v>2</v>
      </c>
      <c r="D513" s="17">
        <v>1</v>
      </c>
      <c r="E513" s="17">
        <v>2</v>
      </c>
    </row>
    <row r="514" spans="1:5" x14ac:dyDescent="0.3">
      <c r="A514" s="17" t="s">
        <v>0</v>
      </c>
      <c r="B514" s="17" t="s">
        <v>428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128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259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1247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192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305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1327</v>
      </c>
      <c r="C520" s="17">
        <v>1</v>
      </c>
      <c r="D520" s="17">
        <v>1</v>
      </c>
      <c r="E520" s="17">
        <v>2</v>
      </c>
    </row>
    <row r="521" spans="1:5" x14ac:dyDescent="0.3">
      <c r="A521" s="17" t="s">
        <v>0</v>
      </c>
      <c r="B521" s="17" t="s">
        <v>1025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2739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195</v>
      </c>
      <c r="C523" s="17">
        <v>3</v>
      </c>
      <c r="D523" s="17">
        <v>1</v>
      </c>
      <c r="E523" s="17">
        <v>8</v>
      </c>
    </row>
    <row r="524" spans="1:5" x14ac:dyDescent="0.3">
      <c r="A524" s="17" t="s">
        <v>0</v>
      </c>
      <c r="B524" s="17" t="s">
        <v>1994</v>
      </c>
      <c r="C524" s="17">
        <v>1</v>
      </c>
      <c r="D524" s="17">
        <v>1</v>
      </c>
      <c r="E524" s="17">
        <v>3</v>
      </c>
    </row>
    <row r="525" spans="1:5" x14ac:dyDescent="0.3">
      <c r="A525" s="17" t="s">
        <v>0</v>
      </c>
      <c r="B525" s="17" t="s">
        <v>2350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572</v>
      </c>
      <c r="C526" s="17">
        <v>1</v>
      </c>
      <c r="D526" s="17">
        <v>3</v>
      </c>
      <c r="E526" s="17"/>
    </row>
    <row r="527" spans="1:5" x14ac:dyDescent="0.3">
      <c r="A527" s="17" t="s">
        <v>0</v>
      </c>
      <c r="B527" s="17" t="s">
        <v>922</v>
      </c>
      <c r="C527" s="17">
        <v>1</v>
      </c>
      <c r="D527" s="17">
        <v>3</v>
      </c>
      <c r="E527" s="17"/>
    </row>
    <row r="528" spans="1:5" x14ac:dyDescent="0.3">
      <c r="A528" s="17" t="s">
        <v>0</v>
      </c>
      <c r="B528" s="17" t="s">
        <v>2020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1500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1637</v>
      </c>
      <c r="C530" s="17">
        <v>1</v>
      </c>
      <c r="D530" s="17">
        <v>1</v>
      </c>
      <c r="E530" s="17"/>
    </row>
    <row r="531" spans="1:5" x14ac:dyDescent="0.3">
      <c r="A531" s="17" t="s">
        <v>0</v>
      </c>
      <c r="B531" s="17" t="s">
        <v>2573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1913</v>
      </c>
      <c r="C532" s="17">
        <v>1</v>
      </c>
      <c r="D532" s="17">
        <v>1</v>
      </c>
      <c r="E532" s="17"/>
    </row>
    <row r="533" spans="1:5" x14ac:dyDescent="0.3">
      <c r="A533" s="17" t="s">
        <v>0</v>
      </c>
      <c r="B533" s="17" t="s">
        <v>2740</v>
      </c>
      <c r="C533" s="17">
        <v>1</v>
      </c>
      <c r="D533" s="17">
        <v>1</v>
      </c>
      <c r="E533" s="17"/>
    </row>
    <row r="534" spans="1:5" x14ac:dyDescent="0.3">
      <c r="A534" s="17" t="s">
        <v>0</v>
      </c>
      <c r="B534" s="17" t="s">
        <v>832</v>
      </c>
      <c r="C534" s="17">
        <v>1</v>
      </c>
      <c r="D534" s="17">
        <v>1</v>
      </c>
      <c r="E534" s="17">
        <v>2</v>
      </c>
    </row>
    <row r="535" spans="1:5" x14ac:dyDescent="0.3">
      <c r="A535" s="17" t="s">
        <v>2</v>
      </c>
      <c r="B535" s="17" t="s">
        <v>30</v>
      </c>
      <c r="C535" s="17">
        <v>2</v>
      </c>
      <c r="D535" s="17">
        <v>1</v>
      </c>
      <c r="E535" s="17">
        <v>2</v>
      </c>
    </row>
    <row r="536" spans="1:5" x14ac:dyDescent="0.3">
      <c r="A536" s="17" t="s">
        <v>2</v>
      </c>
      <c r="B536" s="17" t="s">
        <v>384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383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273</v>
      </c>
      <c r="C538" s="17">
        <v>1</v>
      </c>
      <c r="D538" s="17">
        <v>1</v>
      </c>
      <c r="E538" s="17">
        <v>4</v>
      </c>
    </row>
    <row r="539" spans="1:5" x14ac:dyDescent="0.3">
      <c r="A539" s="17" t="s">
        <v>2</v>
      </c>
      <c r="B539" s="17" t="s">
        <v>79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1314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152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89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93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1927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163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29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289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535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343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46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125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555</v>
      </c>
      <c r="C552" s="17">
        <v>1</v>
      </c>
      <c r="D552" s="17">
        <v>1</v>
      </c>
      <c r="E552" s="17">
        <v>4</v>
      </c>
    </row>
    <row r="553" spans="1:5" x14ac:dyDescent="0.3">
      <c r="A553" s="17" t="s">
        <v>2</v>
      </c>
      <c r="B553" s="17" t="s">
        <v>751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39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2741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1</v>
      </c>
      <c r="B556" s="17" t="s">
        <v>984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502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504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1367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904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612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613</v>
      </c>
      <c r="C562" s="17">
        <v>1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486</v>
      </c>
      <c r="C563" s="17">
        <v>2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383</v>
      </c>
      <c r="C564" s="17">
        <v>1</v>
      </c>
      <c r="D564" s="17">
        <v>0</v>
      </c>
      <c r="E564" s="17">
        <v>0</v>
      </c>
    </row>
    <row r="565" spans="1:5" x14ac:dyDescent="0.3">
      <c r="A565" s="17" t="s">
        <v>1</v>
      </c>
      <c r="B565" s="17" t="s">
        <v>987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459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691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272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460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147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626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517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2125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990</v>
      </c>
      <c r="C574" s="17">
        <v>2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81</v>
      </c>
      <c r="C575" s="17">
        <v>3</v>
      </c>
      <c r="D575" s="17">
        <v>0</v>
      </c>
      <c r="E575" s="17">
        <v>4</v>
      </c>
    </row>
    <row r="576" spans="1:5" x14ac:dyDescent="0.3">
      <c r="A576" s="17" t="s">
        <v>1</v>
      </c>
      <c r="B576" s="17" t="s">
        <v>2742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82</v>
      </c>
      <c r="C577" s="17">
        <v>1</v>
      </c>
      <c r="D577" s="17">
        <v>0</v>
      </c>
      <c r="E577" s="17">
        <v>0</v>
      </c>
    </row>
    <row r="578" spans="1:5" x14ac:dyDescent="0.3">
      <c r="A578" s="17" t="s">
        <v>1</v>
      </c>
      <c r="B578" s="17" t="s">
        <v>841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83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148</v>
      </c>
      <c r="C580" s="17">
        <v>4</v>
      </c>
      <c r="D580" s="17">
        <v>0</v>
      </c>
      <c r="E580" s="17">
        <v>5</v>
      </c>
    </row>
    <row r="581" spans="1:5" x14ac:dyDescent="0.3">
      <c r="A581" s="17" t="s">
        <v>1</v>
      </c>
      <c r="B581" s="17" t="s">
        <v>84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520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279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628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360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2743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1057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937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938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766</v>
      </c>
      <c r="C590" s="17">
        <v>2</v>
      </c>
      <c r="D590" s="17">
        <v>0</v>
      </c>
      <c r="E590" s="17">
        <v>2</v>
      </c>
    </row>
    <row r="591" spans="1:5" x14ac:dyDescent="0.3">
      <c r="A591" s="17" t="s">
        <v>1</v>
      </c>
      <c r="B591" s="17" t="s">
        <v>88</v>
      </c>
      <c r="C591" s="17">
        <v>2</v>
      </c>
      <c r="D591" s="17">
        <v>0</v>
      </c>
      <c r="E591" s="17">
        <v>2</v>
      </c>
    </row>
    <row r="592" spans="1:5" x14ac:dyDescent="0.3">
      <c r="A592" s="17" t="s">
        <v>1</v>
      </c>
      <c r="B592" s="17" t="s">
        <v>362</v>
      </c>
      <c r="C592" s="17">
        <v>3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1317</v>
      </c>
      <c r="C593" s="17">
        <v>2</v>
      </c>
      <c r="D593" s="17">
        <v>0</v>
      </c>
      <c r="E593" s="17">
        <v>4</v>
      </c>
    </row>
    <row r="594" spans="1:5" x14ac:dyDescent="0.3">
      <c r="A594" s="17" t="s">
        <v>1</v>
      </c>
      <c r="B594" s="17" t="s">
        <v>153</v>
      </c>
      <c r="C594" s="17">
        <v>4</v>
      </c>
      <c r="D594" s="17">
        <v>0</v>
      </c>
      <c r="E594" s="17">
        <v>4</v>
      </c>
    </row>
    <row r="595" spans="1:5" x14ac:dyDescent="0.3">
      <c r="A595" s="17" t="s">
        <v>1</v>
      </c>
      <c r="B595" s="17" t="s">
        <v>637</v>
      </c>
      <c r="C595" s="17">
        <v>2</v>
      </c>
      <c r="D595" s="17">
        <v>0</v>
      </c>
      <c r="E595" s="17">
        <v>3</v>
      </c>
    </row>
    <row r="596" spans="1:5" x14ac:dyDescent="0.3">
      <c r="A596" s="17" t="s">
        <v>1</v>
      </c>
      <c r="B596" s="17" t="s">
        <v>93</v>
      </c>
      <c r="C596" s="17">
        <v>2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942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156</v>
      </c>
      <c r="C598" s="17">
        <v>4</v>
      </c>
      <c r="D598" s="17">
        <v>0</v>
      </c>
      <c r="E598" s="17">
        <v>5</v>
      </c>
    </row>
    <row r="599" spans="1:5" x14ac:dyDescent="0.3">
      <c r="A599" s="17" t="s">
        <v>1</v>
      </c>
      <c r="B599" s="17" t="s">
        <v>42</v>
      </c>
      <c r="C599" s="17">
        <v>2</v>
      </c>
      <c r="D599" s="17">
        <v>0</v>
      </c>
      <c r="E599" s="17">
        <v>2</v>
      </c>
    </row>
    <row r="600" spans="1:5" x14ac:dyDescent="0.3">
      <c r="A600" s="17" t="s">
        <v>1</v>
      </c>
      <c r="B600" s="17" t="s">
        <v>487</v>
      </c>
      <c r="C600" s="17">
        <v>5</v>
      </c>
      <c r="D600" s="17">
        <v>0</v>
      </c>
      <c r="E600" s="17">
        <v>8</v>
      </c>
    </row>
    <row r="601" spans="1:5" x14ac:dyDescent="0.3">
      <c r="A601" s="17" t="s">
        <v>1</v>
      </c>
      <c r="B601" s="17" t="s">
        <v>686</v>
      </c>
      <c r="C601" s="17">
        <v>1</v>
      </c>
      <c r="D601" s="17">
        <v>0</v>
      </c>
      <c r="E601" s="17">
        <v>3</v>
      </c>
    </row>
    <row r="602" spans="1:5" x14ac:dyDescent="0.3">
      <c r="A602" s="17" t="s">
        <v>1</v>
      </c>
      <c r="B602" s="17" t="s">
        <v>944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1143</v>
      </c>
      <c r="C603" s="17">
        <v>2</v>
      </c>
      <c r="D603" s="17">
        <v>0</v>
      </c>
      <c r="E603" s="17">
        <v>3</v>
      </c>
    </row>
    <row r="604" spans="1:5" x14ac:dyDescent="0.3">
      <c r="A604" s="17" t="s">
        <v>1</v>
      </c>
      <c r="B604" s="17" t="s">
        <v>1518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1660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1708</v>
      </c>
      <c r="C606" s="17">
        <v>3</v>
      </c>
      <c r="D606" s="17">
        <v>0</v>
      </c>
      <c r="E606" s="17">
        <v>3</v>
      </c>
    </row>
    <row r="607" spans="1:5" x14ac:dyDescent="0.3">
      <c r="A607" s="17" t="s">
        <v>1</v>
      </c>
      <c r="B607" s="17" t="s">
        <v>1897</v>
      </c>
      <c r="C607" s="17">
        <v>4</v>
      </c>
      <c r="D607" s="17">
        <v>0</v>
      </c>
      <c r="E607" s="17">
        <v>4</v>
      </c>
    </row>
    <row r="608" spans="1:5" x14ac:dyDescent="0.3">
      <c r="A608" s="17" t="s">
        <v>1</v>
      </c>
      <c r="B608" s="17" t="s">
        <v>1928</v>
      </c>
      <c r="C608" s="17">
        <v>2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1942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1983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2292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2468</v>
      </c>
      <c r="C612" s="17">
        <v>2</v>
      </c>
      <c r="D612" s="17">
        <v>0</v>
      </c>
      <c r="E612" s="17">
        <v>2</v>
      </c>
    </row>
    <row r="613" spans="1:5" x14ac:dyDescent="0.3">
      <c r="A613" s="17" t="s">
        <v>1</v>
      </c>
      <c r="B613" s="17" t="s">
        <v>2744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2441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2404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2398</v>
      </c>
      <c r="C616" s="17">
        <v>2</v>
      </c>
      <c r="D616" s="17">
        <v>0</v>
      </c>
      <c r="E616" s="17">
        <v>4</v>
      </c>
    </row>
    <row r="617" spans="1:5" x14ac:dyDescent="0.3">
      <c r="A617" s="17" t="s">
        <v>1</v>
      </c>
      <c r="B617" s="17" t="s">
        <v>2428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2429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2508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2641</v>
      </c>
      <c r="C620" s="17">
        <v>1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2705</v>
      </c>
      <c r="C621" s="18">
        <v>15</v>
      </c>
      <c r="D621" s="18">
        <v>0</v>
      </c>
      <c r="E621" s="18">
        <v>15</v>
      </c>
    </row>
    <row r="622" spans="1:5" x14ac:dyDescent="0.3">
      <c r="A622" s="18" t="s">
        <v>1</v>
      </c>
      <c r="B622" s="18" t="s">
        <v>525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2302</v>
      </c>
      <c r="C623" s="18">
        <v>1</v>
      </c>
      <c r="D623" s="18">
        <v>0</v>
      </c>
      <c r="E623" s="18">
        <v>0</v>
      </c>
    </row>
    <row r="624" spans="1:5" x14ac:dyDescent="0.3">
      <c r="A624" s="18" t="s">
        <v>1</v>
      </c>
      <c r="B624" s="18" t="s">
        <v>993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527</v>
      </c>
      <c r="C625" s="18">
        <v>1</v>
      </c>
      <c r="D625" s="18">
        <v>0</v>
      </c>
      <c r="E625" s="18">
        <v>0</v>
      </c>
    </row>
    <row r="626" spans="1:5" x14ac:dyDescent="0.3">
      <c r="A626" s="18" t="s">
        <v>1</v>
      </c>
      <c r="B626" s="18" t="s">
        <v>2407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2745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1287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994</v>
      </c>
      <c r="C629" s="18">
        <v>1</v>
      </c>
      <c r="D629" s="18">
        <v>0</v>
      </c>
      <c r="E629" s="18">
        <v>0</v>
      </c>
    </row>
    <row r="630" spans="1:5" x14ac:dyDescent="0.3">
      <c r="A630" s="18" t="s">
        <v>1</v>
      </c>
      <c r="B630" s="18" t="s">
        <v>1821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352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716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1146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2129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1147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2140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2746</v>
      </c>
      <c r="C637" s="18">
        <v>1</v>
      </c>
      <c r="D637" s="18">
        <v>0</v>
      </c>
      <c r="E637" s="18">
        <v>2</v>
      </c>
    </row>
    <row r="638" spans="1:5" x14ac:dyDescent="0.3">
      <c r="A638" s="18" t="s">
        <v>1</v>
      </c>
      <c r="B638" s="18" t="s">
        <v>2474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169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50</v>
      </c>
      <c r="C640" s="18">
        <v>1</v>
      </c>
      <c r="D640" s="18">
        <v>0</v>
      </c>
      <c r="E640" s="18">
        <v>0</v>
      </c>
    </row>
    <row r="641" spans="1:5" x14ac:dyDescent="0.3">
      <c r="A641" s="18" t="s">
        <v>1</v>
      </c>
      <c r="B641" s="18" t="s">
        <v>2530</v>
      </c>
      <c r="C641" s="18">
        <v>1</v>
      </c>
      <c r="D641" s="18">
        <v>0</v>
      </c>
      <c r="E641" s="18">
        <v>0</v>
      </c>
    </row>
    <row r="642" spans="1:5" x14ac:dyDescent="0.3">
      <c r="A642" s="18" t="s">
        <v>1</v>
      </c>
      <c r="B642" s="18" t="s">
        <v>845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2223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1409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326</v>
      </c>
      <c r="C645" s="18">
        <v>2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2070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2707</v>
      </c>
      <c r="C647" s="18">
        <v>1</v>
      </c>
      <c r="D647" s="18">
        <v>0</v>
      </c>
      <c r="E647" s="18">
        <v>0</v>
      </c>
    </row>
    <row r="648" spans="1:5" x14ac:dyDescent="0.3">
      <c r="A648" s="18" t="s">
        <v>1</v>
      </c>
      <c r="B648" s="18" t="s">
        <v>292</v>
      </c>
      <c r="C648" s="18">
        <v>1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332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229</v>
      </c>
      <c r="C650" s="18">
        <v>1</v>
      </c>
      <c r="D650" s="18">
        <v>0</v>
      </c>
      <c r="E650" s="18">
        <v>0</v>
      </c>
    </row>
    <row r="651" spans="1:5" x14ac:dyDescent="0.3">
      <c r="A651" s="18" t="s">
        <v>1</v>
      </c>
      <c r="B651" s="18" t="s">
        <v>1497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2747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2579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1856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2748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658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1180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2749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1418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814</v>
      </c>
      <c r="C660" s="18">
        <v>1</v>
      </c>
      <c r="D660" s="18">
        <v>0</v>
      </c>
      <c r="E660" s="18">
        <v>0</v>
      </c>
    </row>
    <row r="661" spans="1:5" x14ac:dyDescent="0.3">
      <c r="A661" s="18" t="s">
        <v>1</v>
      </c>
      <c r="B661" s="18" t="s">
        <v>1542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416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1264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956</v>
      </c>
      <c r="C664" s="18">
        <v>1</v>
      </c>
      <c r="D664" s="18">
        <v>0</v>
      </c>
      <c r="E664" s="18">
        <v>2</v>
      </c>
    </row>
    <row r="665" spans="1:5" x14ac:dyDescent="0.3">
      <c r="A665" s="18" t="s">
        <v>1</v>
      </c>
      <c r="B665" s="18" t="s">
        <v>258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1323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2750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791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742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2751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375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421</v>
      </c>
      <c r="C672" s="18">
        <v>2</v>
      </c>
      <c r="D672" s="18">
        <v>0</v>
      </c>
      <c r="E672" s="18">
        <v>2</v>
      </c>
    </row>
    <row r="673" spans="1:5" x14ac:dyDescent="0.3">
      <c r="A673" s="18" t="s">
        <v>1</v>
      </c>
      <c r="B673" s="18" t="s">
        <v>895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559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1533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664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748</v>
      </c>
      <c r="C677" s="18">
        <v>1</v>
      </c>
      <c r="D677" s="18">
        <v>0</v>
      </c>
      <c r="E677" s="18">
        <v>4</v>
      </c>
    </row>
    <row r="678" spans="1:5" x14ac:dyDescent="0.3">
      <c r="A678" s="18" t="s">
        <v>1</v>
      </c>
      <c r="B678" s="18" t="s">
        <v>1042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2096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262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1133</v>
      </c>
      <c r="C681" s="18">
        <v>1</v>
      </c>
      <c r="D681" s="18">
        <v>0</v>
      </c>
      <c r="E681" s="18">
        <v>2</v>
      </c>
    </row>
    <row r="682" spans="1:5" x14ac:dyDescent="0.3">
      <c r="A682" s="18" t="s">
        <v>1</v>
      </c>
      <c r="B682" s="18" t="s">
        <v>127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52</v>
      </c>
      <c r="C683" s="18">
        <v>2</v>
      </c>
      <c r="D683" s="18">
        <v>0</v>
      </c>
      <c r="E683" s="18">
        <v>2</v>
      </c>
    </row>
    <row r="684" spans="1:5" x14ac:dyDescent="0.3">
      <c r="A684" s="18" t="s">
        <v>1</v>
      </c>
      <c r="B684" s="18" t="s">
        <v>1134</v>
      </c>
      <c r="C684" s="18">
        <v>2</v>
      </c>
      <c r="D684" s="18">
        <v>0</v>
      </c>
      <c r="E684" s="18">
        <v>2</v>
      </c>
    </row>
    <row r="685" spans="1:5" x14ac:dyDescent="0.3">
      <c r="A685" s="18" t="s">
        <v>1</v>
      </c>
      <c r="B685" s="18" t="s">
        <v>787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564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565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500</v>
      </c>
      <c r="C688" s="18">
        <v>1</v>
      </c>
      <c r="D688" s="18">
        <v>0</v>
      </c>
      <c r="E688" s="18">
        <v>2</v>
      </c>
    </row>
    <row r="689" spans="1:5" x14ac:dyDescent="0.3">
      <c r="A689" s="18" t="s">
        <v>1</v>
      </c>
      <c r="B689" s="18" t="s">
        <v>828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235</v>
      </c>
      <c r="C690" s="18">
        <v>10</v>
      </c>
      <c r="D690" s="18">
        <v>0</v>
      </c>
      <c r="E690" s="18">
        <v>13</v>
      </c>
    </row>
    <row r="691" spans="1:5" x14ac:dyDescent="0.3">
      <c r="A691" s="18" t="s">
        <v>1</v>
      </c>
      <c r="B691" s="18" t="s">
        <v>236</v>
      </c>
      <c r="C691" s="18">
        <v>4</v>
      </c>
      <c r="D691" s="18">
        <v>0</v>
      </c>
      <c r="E691" s="18">
        <v>7</v>
      </c>
    </row>
    <row r="692" spans="1:5" x14ac:dyDescent="0.3">
      <c r="A692" s="18" t="s">
        <v>1</v>
      </c>
      <c r="B692" s="18" t="s">
        <v>476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196</v>
      </c>
      <c r="C693" s="18">
        <v>10</v>
      </c>
      <c r="D693" s="18">
        <v>0</v>
      </c>
      <c r="E693" s="18">
        <v>13</v>
      </c>
    </row>
    <row r="694" spans="1:5" x14ac:dyDescent="0.3">
      <c r="A694" s="18" t="s">
        <v>1</v>
      </c>
      <c r="B694" s="18" t="s">
        <v>237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239</v>
      </c>
      <c r="C695" s="18">
        <v>3</v>
      </c>
      <c r="D695" s="18">
        <v>0</v>
      </c>
      <c r="E695" s="18">
        <v>3</v>
      </c>
    </row>
    <row r="696" spans="1:5" x14ac:dyDescent="0.3">
      <c r="A696" s="18" t="s">
        <v>1</v>
      </c>
      <c r="B696" s="18" t="s">
        <v>672</v>
      </c>
      <c r="C696" s="18">
        <v>2</v>
      </c>
      <c r="D696" s="18">
        <v>0</v>
      </c>
      <c r="E696" s="18">
        <v>2</v>
      </c>
    </row>
    <row r="697" spans="1:5" x14ac:dyDescent="0.3">
      <c r="A697" s="18" t="s">
        <v>1</v>
      </c>
      <c r="B697" s="18" t="s">
        <v>55</v>
      </c>
      <c r="C697" s="18">
        <v>7</v>
      </c>
      <c r="D697" s="18">
        <v>0</v>
      </c>
      <c r="E697" s="18">
        <v>10</v>
      </c>
    </row>
    <row r="698" spans="1:5" x14ac:dyDescent="0.3">
      <c r="A698" s="18" t="s">
        <v>1</v>
      </c>
      <c r="B698" s="18" t="s">
        <v>240</v>
      </c>
      <c r="C698" s="18">
        <v>3</v>
      </c>
      <c r="D698" s="18">
        <v>0</v>
      </c>
      <c r="E698" s="18">
        <v>4</v>
      </c>
    </row>
    <row r="699" spans="1:5" x14ac:dyDescent="0.3">
      <c r="A699" s="18" t="s">
        <v>1</v>
      </c>
      <c r="B699" s="18" t="s">
        <v>382</v>
      </c>
      <c r="C699" s="18">
        <v>8</v>
      </c>
      <c r="D699" s="18">
        <v>0</v>
      </c>
      <c r="E699" s="18">
        <v>9</v>
      </c>
    </row>
    <row r="700" spans="1:5" x14ac:dyDescent="0.3">
      <c r="A700" s="18" t="s">
        <v>1</v>
      </c>
      <c r="B700" s="18" t="s">
        <v>377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1086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477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1299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1045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2385</v>
      </c>
      <c r="C705" s="18">
        <v>0</v>
      </c>
      <c r="D705" s="18">
        <v>1</v>
      </c>
    </row>
    <row r="706" spans="1:5" x14ac:dyDescent="0.3">
      <c r="A706" s="18" t="s">
        <v>1</v>
      </c>
      <c r="B706" s="18" t="s">
        <v>2111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307</v>
      </c>
      <c r="C707" s="18">
        <v>1</v>
      </c>
      <c r="D707" s="18">
        <v>0</v>
      </c>
      <c r="E707" s="18">
        <v>0</v>
      </c>
    </row>
    <row r="708" spans="1:5" x14ac:dyDescent="0.3">
      <c r="A708" s="18" t="s">
        <v>1</v>
      </c>
      <c r="B708" s="18" t="s">
        <v>830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1804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968</v>
      </c>
      <c r="C710" s="18">
        <v>1</v>
      </c>
      <c r="D710" s="18">
        <v>0</v>
      </c>
      <c r="E710" s="18">
        <v>2</v>
      </c>
    </row>
    <row r="711" spans="1:5" x14ac:dyDescent="0.3">
      <c r="A711" s="18" t="s">
        <v>1</v>
      </c>
      <c r="B711" s="18" t="s">
        <v>2752</v>
      </c>
      <c r="C711" s="18">
        <v>0</v>
      </c>
      <c r="D711" s="18">
        <v>1</v>
      </c>
    </row>
    <row r="712" spans="1:5" x14ac:dyDescent="0.3">
      <c r="A712" s="18" t="s">
        <v>1</v>
      </c>
      <c r="B712" s="18" t="s">
        <v>2753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2754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1653</v>
      </c>
      <c r="C714" s="18">
        <v>1</v>
      </c>
      <c r="D714" s="18">
        <v>0</v>
      </c>
      <c r="E714" s="18">
        <v>0</v>
      </c>
    </row>
    <row r="715" spans="1:5" x14ac:dyDescent="0.3">
      <c r="A715" s="18" t="s">
        <v>1</v>
      </c>
      <c r="B715" s="18" t="s">
        <v>2755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573</v>
      </c>
      <c r="C716" s="18">
        <v>0</v>
      </c>
      <c r="D716" s="18">
        <v>1</v>
      </c>
    </row>
    <row r="717" spans="1:5" x14ac:dyDescent="0.3">
      <c r="A717" s="18" t="s">
        <v>1</v>
      </c>
      <c r="B717" s="18" t="s">
        <v>2756</v>
      </c>
      <c r="C717" s="18">
        <v>0</v>
      </c>
      <c r="D717" s="18">
        <v>5</v>
      </c>
    </row>
    <row r="718" spans="1:5" x14ac:dyDescent="0.3">
      <c r="A718" s="18" t="s">
        <v>1</v>
      </c>
      <c r="B718" s="18" t="s">
        <v>378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2378</v>
      </c>
      <c r="C719" s="18">
        <v>0</v>
      </c>
      <c r="D719" s="18">
        <v>1</v>
      </c>
    </row>
    <row r="720" spans="1:5" x14ac:dyDescent="0.3">
      <c r="A720" s="18" t="s">
        <v>1</v>
      </c>
      <c r="B720" s="18" t="s">
        <v>1805</v>
      </c>
      <c r="C720" s="18">
        <v>0</v>
      </c>
      <c r="D720" s="18">
        <v>1</v>
      </c>
    </row>
    <row r="721" spans="1:5" x14ac:dyDescent="0.3">
      <c r="A721" s="18" t="s">
        <v>1</v>
      </c>
      <c r="B721" s="18" t="s">
        <v>1441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834</v>
      </c>
      <c r="C722" s="18">
        <v>2</v>
      </c>
      <c r="D722" s="18">
        <v>0</v>
      </c>
      <c r="E722" s="18">
        <v>2</v>
      </c>
    </row>
    <row r="723" spans="1:5" x14ac:dyDescent="0.3">
      <c r="A723" s="18" t="s">
        <v>1</v>
      </c>
      <c r="B723" s="18" t="s">
        <v>69</v>
      </c>
      <c r="C723" s="18">
        <v>2</v>
      </c>
      <c r="D723" s="18">
        <v>0</v>
      </c>
      <c r="E723" s="18">
        <v>2</v>
      </c>
    </row>
    <row r="724" spans="1:5" x14ac:dyDescent="0.3">
      <c r="A724" s="18" t="s">
        <v>1</v>
      </c>
      <c r="B724" s="18" t="s">
        <v>677</v>
      </c>
      <c r="C724" s="18">
        <v>5</v>
      </c>
      <c r="D724" s="18">
        <v>0</v>
      </c>
      <c r="E724" s="18">
        <v>9</v>
      </c>
    </row>
    <row r="725" spans="1:5" x14ac:dyDescent="0.3">
      <c r="A725" s="18" t="s">
        <v>0</v>
      </c>
      <c r="B725" s="18" t="s">
        <v>36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432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0</v>
      </c>
      <c r="B727" s="18" t="s">
        <v>1914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1050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0</v>
      </c>
      <c r="B729" s="18" t="s">
        <v>143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855</v>
      </c>
      <c r="C730" s="18">
        <v>1</v>
      </c>
      <c r="D730" s="18">
        <v>0</v>
      </c>
      <c r="E730" s="18">
        <v>0</v>
      </c>
    </row>
    <row r="731" spans="1:5" x14ac:dyDescent="0.3">
      <c r="A731" s="18" t="s">
        <v>0</v>
      </c>
      <c r="B731" s="18" t="s">
        <v>2000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360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2743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1165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280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1057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264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152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221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1911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1928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1946</v>
      </c>
      <c r="C742" s="18">
        <v>2</v>
      </c>
      <c r="D742" s="18">
        <v>0</v>
      </c>
      <c r="E742" s="18">
        <v>4</v>
      </c>
    </row>
    <row r="743" spans="1:5" x14ac:dyDescent="0.3">
      <c r="A743" s="18" t="s">
        <v>0</v>
      </c>
      <c r="B743" s="18" t="s">
        <v>2401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2468</v>
      </c>
      <c r="C744" s="18">
        <v>2</v>
      </c>
      <c r="D744" s="18">
        <v>0</v>
      </c>
      <c r="E744" s="18">
        <v>2</v>
      </c>
    </row>
    <row r="745" spans="1:5" x14ac:dyDescent="0.3">
      <c r="A745" s="18" t="s">
        <v>0</v>
      </c>
      <c r="B745" s="18" t="s">
        <v>2444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2397</v>
      </c>
      <c r="C746" s="18">
        <v>2</v>
      </c>
      <c r="D746" s="18">
        <v>0</v>
      </c>
      <c r="E746" s="18">
        <v>2</v>
      </c>
    </row>
    <row r="747" spans="1:5" x14ac:dyDescent="0.3">
      <c r="A747" s="18" t="s">
        <v>0</v>
      </c>
      <c r="B747" s="18" t="s">
        <v>2705</v>
      </c>
      <c r="C747" s="18">
        <v>3</v>
      </c>
      <c r="D747" s="18">
        <v>0</v>
      </c>
      <c r="E747" s="18">
        <v>4</v>
      </c>
    </row>
    <row r="748" spans="1:5" x14ac:dyDescent="0.3">
      <c r="A748" s="18" t="s">
        <v>0</v>
      </c>
      <c r="B748" s="18" t="s">
        <v>265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1105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0</v>
      </c>
      <c r="B750" s="18" t="s">
        <v>1068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352</v>
      </c>
      <c r="C751" s="18">
        <v>1</v>
      </c>
      <c r="D751" s="18">
        <v>0</v>
      </c>
      <c r="E751" s="18">
        <v>0</v>
      </c>
    </row>
    <row r="752" spans="1:5" x14ac:dyDescent="0.3">
      <c r="A752" s="18" t="s">
        <v>0</v>
      </c>
      <c r="B752" s="18" t="s">
        <v>1648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1205</v>
      </c>
      <c r="C753" s="18">
        <v>1</v>
      </c>
      <c r="D753" s="18">
        <v>0</v>
      </c>
      <c r="E753" s="18">
        <v>2</v>
      </c>
    </row>
    <row r="754" spans="1:5" x14ac:dyDescent="0.3">
      <c r="A754" s="18" t="s">
        <v>0</v>
      </c>
      <c r="B754" s="18" t="s">
        <v>442</v>
      </c>
      <c r="C754" s="18">
        <v>1</v>
      </c>
      <c r="D754" s="18">
        <v>0</v>
      </c>
      <c r="E754" s="18">
        <v>2</v>
      </c>
    </row>
    <row r="755" spans="1:5" x14ac:dyDescent="0.3">
      <c r="A755" s="18" t="s">
        <v>0</v>
      </c>
      <c r="B755" s="18" t="s">
        <v>287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199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1671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648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290</v>
      </c>
      <c r="C759" s="18">
        <v>1</v>
      </c>
      <c r="D759" s="18">
        <v>0</v>
      </c>
      <c r="E759" s="18">
        <v>2</v>
      </c>
    </row>
    <row r="760" spans="1:5" x14ac:dyDescent="0.3">
      <c r="A760" s="18" t="s">
        <v>0</v>
      </c>
      <c r="B760" s="18" t="s">
        <v>606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1226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0</v>
      </c>
      <c r="B762" s="18" t="s">
        <v>2130</v>
      </c>
      <c r="C762" s="18">
        <v>3</v>
      </c>
      <c r="D762" s="18">
        <v>0</v>
      </c>
      <c r="E762" s="18">
        <v>3</v>
      </c>
    </row>
    <row r="763" spans="1:5" x14ac:dyDescent="0.3">
      <c r="A763" s="18" t="s">
        <v>0</v>
      </c>
      <c r="B763" s="18" t="s">
        <v>542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257</v>
      </c>
      <c r="C764" s="18">
        <v>1</v>
      </c>
      <c r="D764" s="18">
        <v>0</v>
      </c>
      <c r="E764" s="18">
        <v>2</v>
      </c>
    </row>
    <row r="765" spans="1:5" x14ac:dyDescent="0.3">
      <c r="A765" s="18" t="s">
        <v>0</v>
      </c>
      <c r="B765" s="18" t="s">
        <v>2394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447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0</v>
      </c>
      <c r="B767" s="18" t="s">
        <v>1306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1865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2535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1245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1016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1044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565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235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376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0</v>
      </c>
      <c r="B776" s="18" t="s">
        <v>196</v>
      </c>
      <c r="C776" s="18">
        <v>1</v>
      </c>
      <c r="D776" s="18">
        <v>0</v>
      </c>
      <c r="E776" s="18">
        <v>3</v>
      </c>
    </row>
    <row r="777" spans="1:5" x14ac:dyDescent="0.3">
      <c r="A777" s="18" t="s">
        <v>0</v>
      </c>
      <c r="B777" s="18" t="s">
        <v>54</v>
      </c>
      <c r="C777" s="18">
        <v>2</v>
      </c>
      <c r="D777" s="18">
        <v>0</v>
      </c>
      <c r="E777" s="18">
        <v>2</v>
      </c>
    </row>
    <row r="778" spans="1:5" x14ac:dyDescent="0.3">
      <c r="A778" s="18" t="s">
        <v>0</v>
      </c>
      <c r="B778" s="18" t="s">
        <v>238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239</v>
      </c>
      <c r="C779" s="18">
        <v>1</v>
      </c>
      <c r="D779" s="18">
        <v>0</v>
      </c>
      <c r="E779" s="18">
        <v>3</v>
      </c>
    </row>
    <row r="780" spans="1:5" x14ac:dyDescent="0.3">
      <c r="A780" s="18" t="s">
        <v>0</v>
      </c>
      <c r="B780" s="18" t="s">
        <v>382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456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2167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0</v>
      </c>
      <c r="B783" s="18" t="s">
        <v>1677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0</v>
      </c>
      <c r="B784" s="18" t="s">
        <v>32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2</v>
      </c>
      <c r="B785" s="18" t="s">
        <v>478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2</v>
      </c>
      <c r="B786" s="18" t="s">
        <v>281</v>
      </c>
      <c r="C786" s="18">
        <v>1</v>
      </c>
      <c r="D786" s="18">
        <v>0</v>
      </c>
      <c r="E786" s="18">
        <v>3</v>
      </c>
    </row>
    <row r="787" spans="1:5" x14ac:dyDescent="0.3">
      <c r="A787" s="18" t="s">
        <v>2</v>
      </c>
      <c r="B787" s="18" t="s">
        <v>365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2</v>
      </c>
      <c r="B788" s="18" t="s">
        <v>2757</v>
      </c>
      <c r="C788" s="18">
        <v>1</v>
      </c>
      <c r="D788" s="18">
        <v>0</v>
      </c>
      <c r="E788" s="18">
        <v>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D696-1060-489F-BD78-BDC42BFADB62}">
  <sheetPr codeName="Sheet40"/>
  <dimension ref="A1:M793"/>
  <sheetViews>
    <sheetView workbookViewId="0">
      <selection activeCell="A2" sqref="A2:E79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2572</v>
      </c>
      <c r="C2" s="17">
        <v>135</v>
      </c>
      <c r="D2" s="17">
        <v>101</v>
      </c>
      <c r="E2" s="17">
        <v>146</v>
      </c>
    </row>
    <row r="3" spans="1:13" customFormat="1" x14ac:dyDescent="0.3">
      <c r="A3" s="17" t="s">
        <v>0</v>
      </c>
      <c r="B3" s="17" t="s">
        <v>2692</v>
      </c>
      <c r="C3" s="17">
        <v>101</v>
      </c>
      <c r="D3" s="17">
        <v>66</v>
      </c>
      <c r="E3" s="17">
        <v>114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138</v>
      </c>
      <c r="C4" s="17">
        <v>62</v>
      </c>
      <c r="D4" s="17">
        <v>47</v>
      </c>
      <c r="E4" s="17">
        <v>69</v>
      </c>
      <c r="G4" s="23" t="s">
        <v>8</v>
      </c>
      <c r="H4" s="19">
        <f>H13+H14</f>
        <v>1346</v>
      </c>
      <c r="I4" s="20">
        <f>H4/H$6</f>
        <v>0.65213178294573648</v>
      </c>
      <c r="J4" s="19">
        <f>I13+I14</f>
        <v>809</v>
      </c>
      <c r="K4" s="20">
        <f>J4/J$6</f>
        <v>0.60553892215568861</v>
      </c>
      <c r="L4" s="19">
        <f>J13+J14</f>
        <v>1566</v>
      </c>
      <c r="M4" s="29">
        <f>L4/L$6</f>
        <v>0.65222823823406917</v>
      </c>
    </row>
    <row r="5" spans="1:13" customFormat="1" x14ac:dyDescent="0.3">
      <c r="A5" s="17" t="s">
        <v>1</v>
      </c>
      <c r="B5" s="17" t="s">
        <v>30</v>
      </c>
      <c r="C5" s="17">
        <v>102</v>
      </c>
      <c r="D5" s="17">
        <v>46</v>
      </c>
      <c r="E5" s="17">
        <v>178</v>
      </c>
      <c r="G5" s="23" t="s">
        <v>10</v>
      </c>
      <c r="H5" s="19">
        <f>H15+H16</f>
        <v>718</v>
      </c>
      <c r="I5" s="20">
        <f>H5/H$6</f>
        <v>0.34786821705426357</v>
      </c>
      <c r="J5" s="19">
        <f>I15+I16</f>
        <v>527</v>
      </c>
      <c r="K5" s="20">
        <f>J5/J$6</f>
        <v>0.39446107784431139</v>
      </c>
      <c r="L5" s="19">
        <f>J15+J16</f>
        <v>835</v>
      </c>
      <c r="M5" s="29">
        <f>L5/L$6</f>
        <v>0.34777176176593089</v>
      </c>
    </row>
    <row r="6" spans="1:13" customFormat="1" ht="17.25" thickBot="1" x14ac:dyDescent="0.35">
      <c r="A6" s="17" t="s">
        <v>1</v>
      </c>
      <c r="B6" s="17" t="s">
        <v>365</v>
      </c>
      <c r="C6" s="17">
        <v>45</v>
      </c>
      <c r="D6" s="17">
        <v>38</v>
      </c>
      <c r="E6" s="17">
        <v>45</v>
      </c>
      <c r="G6" s="26"/>
      <c r="H6" s="30">
        <f>SUM(H4:H5)</f>
        <v>2064</v>
      </c>
      <c r="I6" s="31">
        <f>I4+I5</f>
        <v>1</v>
      </c>
      <c r="J6" s="30">
        <f>SUM(J4:J5)</f>
        <v>1336</v>
      </c>
      <c r="K6" s="31">
        <f>K4+K5</f>
        <v>1</v>
      </c>
      <c r="L6" s="30">
        <f>SUM(L4:L5)</f>
        <v>2401</v>
      </c>
      <c r="M6" s="32">
        <f>M4+M5</f>
        <v>1</v>
      </c>
    </row>
    <row r="7" spans="1:13" customFormat="1" x14ac:dyDescent="0.3">
      <c r="A7" s="17" t="s">
        <v>1</v>
      </c>
      <c r="B7" s="17" t="s">
        <v>2572</v>
      </c>
      <c r="C7" s="17">
        <v>62</v>
      </c>
      <c r="D7" s="17">
        <v>37</v>
      </c>
      <c r="E7" s="17">
        <v>62</v>
      </c>
    </row>
    <row r="8" spans="1:13" customFormat="1" x14ac:dyDescent="0.3">
      <c r="A8" s="17" t="s">
        <v>0</v>
      </c>
      <c r="B8" s="17" t="s">
        <v>29</v>
      </c>
      <c r="C8" s="17">
        <v>25</v>
      </c>
      <c r="D8" s="17">
        <v>23</v>
      </c>
      <c r="E8" s="17">
        <v>26</v>
      </c>
    </row>
    <row r="9" spans="1:13" customFormat="1" x14ac:dyDescent="0.3">
      <c r="A9" s="17" t="s">
        <v>1</v>
      </c>
      <c r="B9" s="17" t="s">
        <v>2692</v>
      </c>
      <c r="C9" s="17">
        <v>37</v>
      </c>
      <c r="D9" s="17">
        <v>18</v>
      </c>
      <c r="E9" s="17">
        <v>42</v>
      </c>
    </row>
    <row r="10" spans="1:13" customFormat="1" ht="17.25" thickBot="1" x14ac:dyDescent="0.35">
      <c r="A10" s="17" t="s">
        <v>0</v>
      </c>
      <c r="B10" s="17" t="s">
        <v>30</v>
      </c>
      <c r="C10" s="17">
        <v>31</v>
      </c>
      <c r="D10" s="17">
        <v>18</v>
      </c>
      <c r="E10" s="17">
        <v>48</v>
      </c>
    </row>
    <row r="11" spans="1:13" x14ac:dyDescent="0.3">
      <c r="A11" s="17" t="s">
        <v>1</v>
      </c>
      <c r="B11" s="17" t="s">
        <v>1927</v>
      </c>
      <c r="C11" s="17">
        <v>24</v>
      </c>
      <c r="D11" s="17">
        <v>16</v>
      </c>
      <c r="E11" s="17">
        <v>30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2075</v>
      </c>
      <c r="C12" s="17">
        <v>21</v>
      </c>
      <c r="D12" s="17">
        <v>15</v>
      </c>
      <c r="E12" s="17">
        <v>22</v>
      </c>
      <c r="G12" s="23"/>
      <c r="H12" s="21">
        <f t="shared" ref="H12:J12" si="0">SUM(H13:H16)</f>
        <v>2064</v>
      </c>
      <c r="I12" s="21">
        <f t="shared" si="0"/>
        <v>1336</v>
      </c>
      <c r="J12" s="24">
        <f t="shared" si="0"/>
        <v>2401</v>
      </c>
    </row>
    <row r="13" spans="1:13" x14ac:dyDescent="0.3">
      <c r="A13" s="17" t="s">
        <v>1</v>
      </c>
      <c r="B13" s="17" t="s">
        <v>37</v>
      </c>
      <c r="C13" s="17">
        <v>18</v>
      </c>
      <c r="D13" s="17">
        <v>14</v>
      </c>
      <c r="E13" s="17">
        <v>17</v>
      </c>
      <c r="G13" s="23" t="s">
        <v>7</v>
      </c>
      <c r="H13" s="22">
        <f t="shared" ref="H13:J16" si="1">SUMIF($A$2:$A$9999,$G13,C$2:C$9999)</f>
        <v>1346</v>
      </c>
      <c r="I13" s="22">
        <f t="shared" si="1"/>
        <v>809</v>
      </c>
      <c r="J13" s="25">
        <f t="shared" si="1"/>
        <v>1566</v>
      </c>
    </row>
    <row r="14" spans="1:13" x14ac:dyDescent="0.3">
      <c r="A14" s="17" t="s">
        <v>0</v>
      </c>
      <c r="B14" s="17" t="s">
        <v>365</v>
      </c>
      <c r="C14" s="17">
        <v>13</v>
      </c>
      <c r="D14" s="17">
        <v>13</v>
      </c>
      <c r="E14" s="17">
        <v>14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61</v>
      </c>
      <c r="C15" s="17">
        <v>11</v>
      </c>
      <c r="D15" s="17">
        <v>10</v>
      </c>
      <c r="E15" s="17">
        <v>12</v>
      </c>
      <c r="G15" s="23" t="s">
        <v>11</v>
      </c>
      <c r="H15" s="22">
        <f t="shared" si="1"/>
        <v>661</v>
      </c>
      <c r="I15" s="22">
        <f t="shared" si="1"/>
        <v>487</v>
      </c>
      <c r="J15" s="25">
        <f t="shared" si="1"/>
        <v>757</v>
      </c>
    </row>
    <row r="16" spans="1:13" ht="17.25" thickBot="1" x14ac:dyDescent="0.35">
      <c r="A16" s="17" t="s">
        <v>1</v>
      </c>
      <c r="B16" s="17" t="s">
        <v>33</v>
      </c>
      <c r="C16" s="17">
        <v>11</v>
      </c>
      <c r="D16" s="17">
        <v>9</v>
      </c>
      <c r="E16" s="17">
        <v>13</v>
      </c>
      <c r="G16" s="26" t="s">
        <v>12</v>
      </c>
      <c r="H16" s="27">
        <f t="shared" si="1"/>
        <v>57</v>
      </c>
      <c r="I16" s="27">
        <f t="shared" si="1"/>
        <v>40</v>
      </c>
      <c r="J16" s="28">
        <f t="shared" si="1"/>
        <v>78</v>
      </c>
    </row>
    <row r="17" spans="1:5" x14ac:dyDescent="0.3">
      <c r="A17" s="17" t="s">
        <v>1</v>
      </c>
      <c r="B17" s="17" t="s">
        <v>2396</v>
      </c>
      <c r="C17" s="17">
        <v>24</v>
      </c>
      <c r="D17" s="17">
        <v>9</v>
      </c>
      <c r="E17" s="17">
        <v>26</v>
      </c>
    </row>
    <row r="18" spans="1:5" x14ac:dyDescent="0.3">
      <c r="A18" s="17" t="s">
        <v>0</v>
      </c>
      <c r="B18" s="17" t="s">
        <v>31</v>
      </c>
      <c r="C18" s="17">
        <v>9</v>
      </c>
      <c r="D18" s="17">
        <v>9</v>
      </c>
      <c r="E18" s="17">
        <v>9</v>
      </c>
    </row>
    <row r="19" spans="1:5" x14ac:dyDescent="0.3">
      <c r="A19" s="17" t="s">
        <v>1</v>
      </c>
      <c r="B19" s="17" t="s">
        <v>48</v>
      </c>
      <c r="C19" s="17">
        <v>13</v>
      </c>
      <c r="D19" s="17">
        <v>8</v>
      </c>
      <c r="E19" s="17">
        <v>13</v>
      </c>
    </row>
    <row r="20" spans="1:5" x14ac:dyDescent="0.3">
      <c r="A20" s="17" t="s">
        <v>1</v>
      </c>
      <c r="B20" s="17" t="s">
        <v>31</v>
      </c>
      <c r="C20" s="17">
        <v>10</v>
      </c>
      <c r="D20" s="17">
        <v>8</v>
      </c>
      <c r="E20" s="17">
        <v>11</v>
      </c>
    </row>
    <row r="21" spans="1:5" x14ac:dyDescent="0.3">
      <c r="A21" s="17" t="s">
        <v>1</v>
      </c>
      <c r="B21" s="17" t="s">
        <v>51</v>
      </c>
      <c r="C21" s="17">
        <v>11</v>
      </c>
      <c r="D21" s="17">
        <v>7</v>
      </c>
      <c r="E21" s="17">
        <v>12</v>
      </c>
    </row>
    <row r="22" spans="1:5" x14ac:dyDescent="0.3">
      <c r="A22" s="17" t="s">
        <v>1</v>
      </c>
      <c r="B22" s="17" t="s">
        <v>135</v>
      </c>
      <c r="C22" s="17">
        <v>8</v>
      </c>
      <c r="D22" s="17">
        <v>7</v>
      </c>
      <c r="E22" s="17">
        <v>11</v>
      </c>
    </row>
    <row r="23" spans="1:5" x14ac:dyDescent="0.3">
      <c r="A23" s="17" t="s">
        <v>0</v>
      </c>
      <c r="B23" s="17" t="s">
        <v>1927</v>
      </c>
      <c r="C23" s="17">
        <v>11</v>
      </c>
      <c r="D23" s="17">
        <v>7</v>
      </c>
      <c r="E23" s="17">
        <v>12</v>
      </c>
    </row>
    <row r="24" spans="1:5" x14ac:dyDescent="0.3">
      <c r="A24" s="17" t="s">
        <v>0</v>
      </c>
      <c r="B24" s="17" t="s">
        <v>39</v>
      </c>
      <c r="C24" s="17">
        <v>11</v>
      </c>
      <c r="D24" s="17">
        <v>7</v>
      </c>
      <c r="E24" s="17">
        <v>12</v>
      </c>
    </row>
    <row r="25" spans="1:5" x14ac:dyDescent="0.3">
      <c r="A25" s="17" t="s">
        <v>1</v>
      </c>
      <c r="B25" s="17" t="s">
        <v>89</v>
      </c>
      <c r="C25" s="17">
        <v>6</v>
      </c>
      <c r="D25" s="17">
        <v>6</v>
      </c>
      <c r="E25" s="17">
        <v>6</v>
      </c>
    </row>
    <row r="26" spans="1:5" x14ac:dyDescent="0.3">
      <c r="A26" s="17" t="s">
        <v>1</v>
      </c>
      <c r="B26" s="17" t="s">
        <v>487</v>
      </c>
      <c r="C26" s="17">
        <v>6</v>
      </c>
      <c r="D26" s="17">
        <v>6</v>
      </c>
      <c r="E26" s="17">
        <v>7</v>
      </c>
    </row>
    <row r="27" spans="1:5" x14ac:dyDescent="0.3">
      <c r="A27" s="17" t="s">
        <v>1</v>
      </c>
      <c r="B27" s="17" t="s">
        <v>39</v>
      </c>
      <c r="C27" s="17">
        <v>19</v>
      </c>
      <c r="D27" s="17">
        <v>6</v>
      </c>
      <c r="E27" s="17">
        <v>33</v>
      </c>
    </row>
    <row r="28" spans="1:5" x14ac:dyDescent="0.3">
      <c r="A28" s="17" t="s">
        <v>0</v>
      </c>
      <c r="B28" s="17" t="s">
        <v>2075</v>
      </c>
      <c r="C28" s="17">
        <v>6</v>
      </c>
      <c r="D28" s="17">
        <v>6</v>
      </c>
      <c r="E28" s="17">
        <v>6</v>
      </c>
    </row>
    <row r="29" spans="1:5" x14ac:dyDescent="0.3">
      <c r="A29" s="17" t="s">
        <v>1</v>
      </c>
      <c r="B29" s="17" t="s">
        <v>1946</v>
      </c>
      <c r="C29" s="17">
        <v>6</v>
      </c>
      <c r="D29" s="17">
        <v>5</v>
      </c>
      <c r="E29" s="17">
        <v>9</v>
      </c>
    </row>
    <row r="30" spans="1:5" x14ac:dyDescent="0.3">
      <c r="A30" s="17" t="s">
        <v>1</v>
      </c>
      <c r="B30" s="17" t="s">
        <v>2329</v>
      </c>
      <c r="C30" s="17">
        <v>6</v>
      </c>
      <c r="D30" s="17">
        <v>5</v>
      </c>
      <c r="E30" s="17">
        <v>7</v>
      </c>
    </row>
    <row r="31" spans="1:5" x14ac:dyDescent="0.3">
      <c r="A31" s="17" t="s">
        <v>1</v>
      </c>
      <c r="B31" s="17" t="s">
        <v>2705</v>
      </c>
      <c r="C31" s="17">
        <v>13</v>
      </c>
      <c r="D31" s="17">
        <v>5</v>
      </c>
      <c r="E31" s="17">
        <v>14</v>
      </c>
    </row>
    <row r="32" spans="1:5" x14ac:dyDescent="0.3">
      <c r="A32" s="17" t="s">
        <v>1</v>
      </c>
      <c r="B32" s="17" t="s">
        <v>45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32</v>
      </c>
      <c r="C33" s="17">
        <v>12</v>
      </c>
      <c r="D33" s="17">
        <v>5</v>
      </c>
      <c r="E33" s="17">
        <v>16</v>
      </c>
    </row>
    <row r="34" spans="1:5" x14ac:dyDescent="0.3">
      <c r="A34" s="17" t="s">
        <v>0</v>
      </c>
      <c r="B34" s="17" t="s">
        <v>34</v>
      </c>
      <c r="C34" s="17">
        <v>6</v>
      </c>
      <c r="D34" s="17">
        <v>5</v>
      </c>
      <c r="E34" s="17">
        <v>10</v>
      </c>
    </row>
    <row r="35" spans="1:5" x14ac:dyDescent="0.3">
      <c r="A35" s="17" t="s">
        <v>0</v>
      </c>
      <c r="B35" s="17" t="s">
        <v>155</v>
      </c>
      <c r="C35" s="17">
        <v>6</v>
      </c>
      <c r="D35" s="17">
        <v>5</v>
      </c>
      <c r="E35" s="17">
        <v>6</v>
      </c>
    </row>
    <row r="36" spans="1:5" x14ac:dyDescent="0.3">
      <c r="A36" s="17" t="s">
        <v>0</v>
      </c>
      <c r="B36" s="17" t="s">
        <v>61</v>
      </c>
      <c r="C36" s="17">
        <v>5</v>
      </c>
      <c r="D36" s="17">
        <v>5</v>
      </c>
      <c r="E36" s="17">
        <v>5</v>
      </c>
    </row>
    <row r="37" spans="1:5" x14ac:dyDescent="0.3">
      <c r="A37" s="17" t="s">
        <v>1</v>
      </c>
      <c r="B37" s="17" t="s">
        <v>152</v>
      </c>
      <c r="C37" s="17">
        <v>9</v>
      </c>
      <c r="D37" s="17">
        <v>4</v>
      </c>
      <c r="E37" s="17">
        <v>10</v>
      </c>
    </row>
    <row r="38" spans="1:5" x14ac:dyDescent="0.3">
      <c r="A38" s="17" t="s">
        <v>1</v>
      </c>
      <c r="B38" s="17" t="s">
        <v>2397</v>
      </c>
      <c r="C38" s="17">
        <v>8</v>
      </c>
      <c r="D38" s="17">
        <v>4</v>
      </c>
      <c r="E38" s="17">
        <v>8</v>
      </c>
    </row>
    <row r="39" spans="1:5" x14ac:dyDescent="0.3">
      <c r="A39" s="17" t="s">
        <v>1</v>
      </c>
      <c r="B39" s="17" t="s">
        <v>525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169</v>
      </c>
      <c r="C40" s="17">
        <v>4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289</v>
      </c>
      <c r="C41" s="17">
        <v>4</v>
      </c>
      <c r="D41" s="17">
        <v>4</v>
      </c>
      <c r="E41" s="17">
        <v>5</v>
      </c>
    </row>
    <row r="42" spans="1:5" x14ac:dyDescent="0.3">
      <c r="A42" s="17" t="s">
        <v>1</v>
      </c>
      <c r="B42" s="17" t="s">
        <v>872</v>
      </c>
      <c r="C42" s="17">
        <v>6</v>
      </c>
      <c r="D42" s="17">
        <v>4</v>
      </c>
      <c r="E42" s="17">
        <v>8</v>
      </c>
    </row>
    <row r="43" spans="1:5" x14ac:dyDescent="0.3">
      <c r="A43" s="17" t="s">
        <v>1</v>
      </c>
      <c r="B43" s="17" t="s">
        <v>328</v>
      </c>
      <c r="C43" s="17">
        <v>4</v>
      </c>
      <c r="D43" s="17">
        <v>4</v>
      </c>
      <c r="E43" s="17">
        <v>6</v>
      </c>
    </row>
    <row r="44" spans="1:5" x14ac:dyDescent="0.3">
      <c r="A44" s="17" t="s">
        <v>1</v>
      </c>
      <c r="B44" s="17" t="s">
        <v>776</v>
      </c>
      <c r="C44" s="17">
        <v>4</v>
      </c>
      <c r="D44" s="17">
        <v>4</v>
      </c>
      <c r="E44" s="17">
        <v>4</v>
      </c>
    </row>
    <row r="45" spans="1:5" x14ac:dyDescent="0.3">
      <c r="A45" s="17" t="s">
        <v>1</v>
      </c>
      <c r="B45" s="17" t="s">
        <v>681</v>
      </c>
      <c r="C45" s="17">
        <v>4</v>
      </c>
      <c r="D45" s="17">
        <v>4</v>
      </c>
      <c r="E45" s="17">
        <v>4</v>
      </c>
    </row>
    <row r="46" spans="1:5" x14ac:dyDescent="0.3">
      <c r="A46" s="17" t="s">
        <v>1</v>
      </c>
      <c r="B46" s="17" t="s">
        <v>122</v>
      </c>
      <c r="C46" s="17">
        <v>4</v>
      </c>
      <c r="D46" s="17">
        <v>4</v>
      </c>
      <c r="E46" s="17">
        <v>5</v>
      </c>
    </row>
    <row r="47" spans="1:5" x14ac:dyDescent="0.3">
      <c r="A47" s="17" t="s">
        <v>1</v>
      </c>
      <c r="B47" s="17" t="s">
        <v>178</v>
      </c>
      <c r="C47" s="17">
        <v>4</v>
      </c>
      <c r="D47" s="17">
        <v>4</v>
      </c>
      <c r="E47" s="17">
        <v>4</v>
      </c>
    </row>
    <row r="48" spans="1:5" x14ac:dyDescent="0.3">
      <c r="A48" s="17" t="s">
        <v>1</v>
      </c>
      <c r="B48" s="17" t="s">
        <v>746</v>
      </c>
      <c r="C48" s="17">
        <v>4</v>
      </c>
      <c r="D48" s="17">
        <v>4</v>
      </c>
      <c r="E48" s="17">
        <v>5</v>
      </c>
    </row>
    <row r="49" spans="1:5" x14ac:dyDescent="0.3">
      <c r="A49" s="17" t="s">
        <v>1</v>
      </c>
      <c r="B49" s="17" t="s">
        <v>1023</v>
      </c>
      <c r="C49" s="17">
        <v>5</v>
      </c>
      <c r="D49" s="17">
        <v>4</v>
      </c>
      <c r="E49" s="17">
        <v>5</v>
      </c>
    </row>
    <row r="50" spans="1:5" x14ac:dyDescent="0.3">
      <c r="A50" s="17" t="s">
        <v>0</v>
      </c>
      <c r="B50" s="17" t="s">
        <v>113</v>
      </c>
      <c r="C50" s="17">
        <v>6</v>
      </c>
      <c r="D50" s="17">
        <v>4</v>
      </c>
      <c r="E50" s="17">
        <v>6</v>
      </c>
    </row>
    <row r="51" spans="1:5" x14ac:dyDescent="0.3">
      <c r="A51" s="17" t="s">
        <v>0</v>
      </c>
      <c r="B51" s="17" t="s">
        <v>51</v>
      </c>
      <c r="C51" s="17">
        <v>5</v>
      </c>
      <c r="D51" s="17">
        <v>4</v>
      </c>
      <c r="E51" s="17">
        <v>7</v>
      </c>
    </row>
    <row r="52" spans="1:5" x14ac:dyDescent="0.3">
      <c r="A52" s="17" t="s">
        <v>1</v>
      </c>
      <c r="B52" s="17" t="s">
        <v>242</v>
      </c>
      <c r="C52" s="17">
        <v>3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79</v>
      </c>
      <c r="C53" s="17">
        <v>5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315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281</v>
      </c>
      <c r="C55" s="17">
        <v>7</v>
      </c>
      <c r="D55" s="17">
        <v>3</v>
      </c>
      <c r="E55" s="17">
        <v>9</v>
      </c>
    </row>
    <row r="56" spans="1:5" x14ac:dyDescent="0.3">
      <c r="A56" s="17" t="s">
        <v>1</v>
      </c>
      <c r="B56" s="17" t="s">
        <v>526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492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107</v>
      </c>
      <c r="C58" s="17">
        <v>3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168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29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199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291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729</v>
      </c>
      <c r="C63" s="17">
        <v>3</v>
      </c>
      <c r="D63" s="17">
        <v>3</v>
      </c>
      <c r="E63" s="17">
        <v>4</v>
      </c>
    </row>
    <row r="64" spans="1:5" x14ac:dyDescent="0.3">
      <c r="A64" s="17" t="s">
        <v>1</v>
      </c>
      <c r="B64" s="17" t="s">
        <v>413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414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887</v>
      </c>
      <c r="C66" s="17">
        <v>3</v>
      </c>
      <c r="D66" s="17">
        <v>3</v>
      </c>
      <c r="E66" s="17">
        <v>3</v>
      </c>
    </row>
    <row r="67" spans="1:5" x14ac:dyDescent="0.3">
      <c r="A67" s="17" t="s">
        <v>1</v>
      </c>
      <c r="B67" s="17" t="s">
        <v>662</v>
      </c>
      <c r="C67" s="17">
        <v>3</v>
      </c>
      <c r="D67" s="17">
        <v>3</v>
      </c>
      <c r="E67" s="17">
        <v>3</v>
      </c>
    </row>
    <row r="68" spans="1:5" x14ac:dyDescent="0.3">
      <c r="A68" s="17" t="s">
        <v>1</v>
      </c>
      <c r="B68" s="17" t="s">
        <v>890</v>
      </c>
      <c r="C68" s="17">
        <v>4</v>
      </c>
      <c r="D68" s="17">
        <v>3</v>
      </c>
      <c r="E68" s="17">
        <v>4</v>
      </c>
    </row>
    <row r="69" spans="1:5" x14ac:dyDescent="0.3">
      <c r="A69" s="17" t="s">
        <v>1</v>
      </c>
      <c r="B69" s="17" t="s">
        <v>897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128</v>
      </c>
      <c r="C70" s="17">
        <v>3</v>
      </c>
      <c r="D70" s="17">
        <v>3</v>
      </c>
      <c r="E70" s="17">
        <v>3</v>
      </c>
    </row>
    <row r="71" spans="1:5" x14ac:dyDescent="0.3">
      <c r="A71" s="17" t="s">
        <v>1</v>
      </c>
      <c r="B71" s="17" t="s">
        <v>194</v>
      </c>
      <c r="C71" s="17">
        <v>3</v>
      </c>
      <c r="D71" s="17">
        <v>3</v>
      </c>
      <c r="E71" s="17">
        <v>4</v>
      </c>
    </row>
    <row r="72" spans="1:5" x14ac:dyDescent="0.3">
      <c r="A72" s="17" t="s">
        <v>1</v>
      </c>
      <c r="B72" s="17" t="s">
        <v>69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33</v>
      </c>
      <c r="C73" s="17">
        <v>3</v>
      </c>
      <c r="D73" s="17">
        <v>3</v>
      </c>
      <c r="E73" s="17">
        <v>5</v>
      </c>
    </row>
    <row r="74" spans="1:5" x14ac:dyDescent="0.3">
      <c r="A74" s="17" t="s">
        <v>0</v>
      </c>
      <c r="B74" s="17" t="s">
        <v>583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267</v>
      </c>
      <c r="C75" s="17">
        <v>3</v>
      </c>
      <c r="D75" s="17">
        <v>3</v>
      </c>
      <c r="E75" s="17">
        <v>4</v>
      </c>
    </row>
    <row r="76" spans="1:5" x14ac:dyDescent="0.3">
      <c r="A76" s="17" t="s">
        <v>0</v>
      </c>
      <c r="B76" s="17" t="s">
        <v>60</v>
      </c>
      <c r="C76" s="17">
        <v>3</v>
      </c>
      <c r="D76" s="17">
        <v>3</v>
      </c>
      <c r="E76" s="17">
        <v>3</v>
      </c>
    </row>
    <row r="77" spans="1:5" x14ac:dyDescent="0.3">
      <c r="A77" s="17" t="s">
        <v>0</v>
      </c>
      <c r="B77" s="17" t="s">
        <v>35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265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107</v>
      </c>
      <c r="C79" s="17">
        <v>3</v>
      </c>
      <c r="D79" s="17">
        <v>3</v>
      </c>
      <c r="E79" s="17">
        <v>3</v>
      </c>
    </row>
    <row r="80" spans="1:5" x14ac:dyDescent="0.3">
      <c r="A80" s="17" t="s">
        <v>0</v>
      </c>
      <c r="B80" s="17" t="s">
        <v>168</v>
      </c>
      <c r="C80" s="17">
        <v>3</v>
      </c>
      <c r="D80" s="17">
        <v>3</v>
      </c>
      <c r="E80" s="17">
        <v>3</v>
      </c>
    </row>
    <row r="81" spans="1:5" x14ac:dyDescent="0.3">
      <c r="A81" s="17" t="s">
        <v>0</v>
      </c>
      <c r="B81" s="17" t="s">
        <v>122</v>
      </c>
      <c r="C81" s="17">
        <v>3</v>
      </c>
      <c r="D81" s="17">
        <v>3</v>
      </c>
      <c r="E81" s="17">
        <v>3</v>
      </c>
    </row>
    <row r="82" spans="1:5" x14ac:dyDescent="0.3">
      <c r="A82" s="17" t="s">
        <v>0</v>
      </c>
      <c r="B82" s="17" t="s">
        <v>123</v>
      </c>
      <c r="C82" s="17">
        <v>3</v>
      </c>
      <c r="D82" s="17">
        <v>3</v>
      </c>
      <c r="E82" s="17">
        <v>5</v>
      </c>
    </row>
    <row r="83" spans="1:5" x14ac:dyDescent="0.3">
      <c r="A83" s="17" t="s">
        <v>0</v>
      </c>
      <c r="B83" s="17" t="s">
        <v>182</v>
      </c>
      <c r="C83" s="17">
        <v>3</v>
      </c>
      <c r="D83" s="17">
        <v>3</v>
      </c>
      <c r="E83" s="17">
        <v>3</v>
      </c>
    </row>
    <row r="84" spans="1:5" x14ac:dyDescent="0.3">
      <c r="A84" s="17" t="s">
        <v>0</v>
      </c>
      <c r="B84" s="17" t="s">
        <v>196</v>
      </c>
      <c r="C84" s="17">
        <v>5</v>
      </c>
      <c r="D84" s="17">
        <v>3</v>
      </c>
      <c r="E84" s="17">
        <v>8</v>
      </c>
    </row>
    <row r="85" spans="1:5" x14ac:dyDescent="0.3">
      <c r="A85" s="17" t="s">
        <v>2</v>
      </c>
      <c r="B85" s="17" t="s">
        <v>1927</v>
      </c>
      <c r="C85" s="17">
        <v>3</v>
      </c>
      <c r="D85" s="17">
        <v>3</v>
      </c>
      <c r="E85" s="17">
        <v>4</v>
      </c>
    </row>
    <row r="86" spans="1:5" x14ac:dyDescent="0.3">
      <c r="A86" s="17" t="s">
        <v>2</v>
      </c>
      <c r="B86" s="17" t="s">
        <v>2692</v>
      </c>
      <c r="C86" s="17">
        <v>4</v>
      </c>
      <c r="D86" s="17">
        <v>3</v>
      </c>
      <c r="E86" s="17">
        <v>5</v>
      </c>
    </row>
    <row r="87" spans="1:5" x14ac:dyDescent="0.3">
      <c r="A87" s="17" t="s">
        <v>2</v>
      </c>
      <c r="B87" s="17" t="s">
        <v>729</v>
      </c>
      <c r="C87" s="17">
        <v>3</v>
      </c>
      <c r="D87" s="17">
        <v>3</v>
      </c>
      <c r="E87" s="17">
        <v>3</v>
      </c>
    </row>
    <row r="88" spans="1:5" x14ac:dyDescent="0.3">
      <c r="A88" s="17" t="s">
        <v>2</v>
      </c>
      <c r="B88" s="17" t="s">
        <v>897</v>
      </c>
      <c r="C88" s="17">
        <v>3</v>
      </c>
      <c r="D88" s="17">
        <v>3</v>
      </c>
      <c r="E88" s="17">
        <v>3</v>
      </c>
    </row>
    <row r="89" spans="1:5" x14ac:dyDescent="0.3">
      <c r="A89" s="17" t="s">
        <v>1</v>
      </c>
      <c r="B89" s="17" t="s">
        <v>984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502</v>
      </c>
      <c r="C90" s="17">
        <v>4</v>
      </c>
      <c r="D90" s="17">
        <v>2</v>
      </c>
      <c r="E90" s="17">
        <v>5</v>
      </c>
    </row>
    <row r="91" spans="1:5" x14ac:dyDescent="0.3">
      <c r="A91" s="17" t="s">
        <v>1</v>
      </c>
      <c r="B91" s="17" t="s">
        <v>70</v>
      </c>
      <c r="C91" s="17">
        <v>3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36</v>
      </c>
      <c r="C92" s="17">
        <v>3</v>
      </c>
      <c r="D92" s="17">
        <v>2</v>
      </c>
      <c r="E92" s="17">
        <v>4</v>
      </c>
    </row>
    <row r="93" spans="1:5" x14ac:dyDescent="0.3">
      <c r="A93" s="17" t="s">
        <v>1</v>
      </c>
      <c r="B93" s="17" t="s">
        <v>73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394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977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906</v>
      </c>
      <c r="C96" s="17">
        <v>2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59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859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860</v>
      </c>
      <c r="C99" s="17">
        <v>2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841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85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149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151</v>
      </c>
      <c r="C103" s="17">
        <v>3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218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248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154</v>
      </c>
      <c r="C106" s="17">
        <v>4</v>
      </c>
      <c r="D106" s="17">
        <v>2</v>
      </c>
      <c r="E106" s="17">
        <v>6</v>
      </c>
    </row>
    <row r="107" spans="1:5" x14ac:dyDescent="0.3">
      <c r="A107" s="17" t="s">
        <v>1</v>
      </c>
      <c r="B107" s="17" t="s">
        <v>438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60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42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95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96</v>
      </c>
      <c r="C111" s="17">
        <v>9</v>
      </c>
      <c r="D111" s="17">
        <v>2</v>
      </c>
      <c r="E111" s="17">
        <v>7</v>
      </c>
    </row>
    <row r="112" spans="1:5" x14ac:dyDescent="0.3">
      <c r="A112" s="17" t="s">
        <v>1</v>
      </c>
      <c r="B112" s="17" t="s">
        <v>97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265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1067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163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104</v>
      </c>
      <c r="C116" s="17">
        <v>3</v>
      </c>
      <c r="D116" s="17">
        <v>2</v>
      </c>
      <c r="E116" s="17">
        <v>5</v>
      </c>
    </row>
    <row r="117" spans="1:5" x14ac:dyDescent="0.3">
      <c r="A117" s="17" t="s">
        <v>1</v>
      </c>
      <c r="B117" s="17" t="s">
        <v>1001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1</v>
      </c>
      <c r="B118" s="17" t="s">
        <v>111</v>
      </c>
      <c r="C118" s="17">
        <v>5</v>
      </c>
      <c r="D118" s="17">
        <v>2</v>
      </c>
      <c r="E118" s="17">
        <v>6</v>
      </c>
    </row>
    <row r="119" spans="1:5" x14ac:dyDescent="0.3">
      <c r="A119" s="17" t="s">
        <v>1</v>
      </c>
      <c r="B119" s="17" t="s">
        <v>112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113</v>
      </c>
      <c r="C120" s="17">
        <v>5</v>
      </c>
      <c r="D120" s="17">
        <v>2</v>
      </c>
      <c r="E120" s="17">
        <v>5</v>
      </c>
    </row>
    <row r="121" spans="1:5" x14ac:dyDescent="0.3">
      <c r="A121" s="17" t="s">
        <v>1</v>
      </c>
      <c r="B121" s="17" t="s">
        <v>1464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534</v>
      </c>
      <c r="C122" s="17">
        <v>3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594</v>
      </c>
      <c r="C123" s="17">
        <v>3</v>
      </c>
      <c r="D123" s="17">
        <v>2</v>
      </c>
      <c r="E123" s="17">
        <v>3</v>
      </c>
    </row>
    <row r="124" spans="1:5" x14ac:dyDescent="0.3">
      <c r="A124" s="17" t="s">
        <v>1</v>
      </c>
      <c r="B124" s="17" t="s">
        <v>326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1346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330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331</v>
      </c>
      <c r="C127" s="17">
        <v>3</v>
      </c>
      <c r="D127" s="17">
        <v>2</v>
      </c>
      <c r="E127" s="17">
        <v>8</v>
      </c>
    </row>
    <row r="128" spans="1:5" x14ac:dyDescent="0.3">
      <c r="A128" s="17" t="s">
        <v>1</v>
      </c>
      <c r="B128" s="17" t="s">
        <v>337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117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1110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176</v>
      </c>
      <c r="C131" s="17">
        <v>2</v>
      </c>
      <c r="D131" s="17">
        <v>2</v>
      </c>
      <c r="E131" s="17">
        <v>3</v>
      </c>
    </row>
    <row r="132" spans="1:5" x14ac:dyDescent="0.3">
      <c r="A132" s="17" t="s">
        <v>1</v>
      </c>
      <c r="B132" s="17" t="s">
        <v>495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1</v>
      </c>
      <c r="B133" s="17" t="s">
        <v>120</v>
      </c>
      <c r="C133" s="17">
        <v>3</v>
      </c>
      <c r="D133" s="17">
        <v>2</v>
      </c>
      <c r="E133" s="17">
        <v>3</v>
      </c>
    </row>
    <row r="134" spans="1:5" x14ac:dyDescent="0.3">
      <c r="A134" s="17" t="s">
        <v>1</v>
      </c>
      <c r="B134" s="17" t="s">
        <v>121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1</v>
      </c>
      <c r="B135" s="17" t="s">
        <v>200</v>
      </c>
      <c r="C135" s="17">
        <v>3</v>
      </c>
      <c r="D135" s="17">
        <v>2</v>
      </c>
      <c r="E135" s="17">
        <v>3</v>
      </c>
    </row>
    <row r="136" spans="1:5" x14ac:dyDescent="0.3">
      <c r="A136" s="17" t="s">
        <v>1</v>
      </c>
      <c r="B136" s="17" t="s">
        <v>682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1</v>
      </c>
      <c r="B137" s="17" t="s">
        <v>791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1</v>
      </c>
      <c r="B138" s="17" t="s">
        <v>63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1</v>
      </c>
      <c r="B139" s="17" t="s">
        <v>1115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1</v>
      </c>
      <c r="B140" s="17" t="s">
        <v>126</v>
      </c>
      <c r="C140" s="17">
        <v>5</v>
      </c>
      <c r="D140" s="17">
        <v>2</v>
      </c>
      <c r="E140" s="17">
        <v>6</v>
      </c>
    </row>
    <row r="141" spans="1:5" x14ac:dyDescent="0.3">
      <c r="A141" s="17" t="s">
        <v>1</v>
      </c>
      <c r="B141" s="17" t="s">
        <v>429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1</v>
      </c>
      <c r="B142" s="17" t="s">
        <v>201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1</v>
      </c>
      <c r="B143" s="17" t="s">
        <v>38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1</v>
      </c>
      <c r="B144" s="17" t="s">
        <v>65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1</v>
      </c>
      <c r="B145" s="17" t="s">
        <v>753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1</v>
      </c>
      <c r="B146" s="17" t="s">
        <v>1124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1</v>
      </c>
      <c r="B147" s="17" t="s">
        <v>195</v>
      </c>
      <c r="C147" s="17">
        <v>7</v>
      </c>
      <c r="D147" s="17">
        <v>2</v>
      </c>
      <c r="E147" s="17">
        <v>10</v>
      </c>
    </row>
    <row r="148" spans="1:5" x14ac:dyDescent="0.3">
      <c r="A148" s="17" t="s">
        <v>1</v>
      </c>
      <c r="B148" s="17" t="s">
        <v>67</v>
      </c>
      <c r="C148" s="17">
        <v>3</v>
      </c>
      <c r="D148" s="17">
        <v>2</v>
      </c>
      <c r="E148" s="17">
        <v>3</v>
      </c>
    </row>
    <row r="149" spans="1:5" x14ac:dyDescent="0.3">
      <c r="A149" s="17" t="s">
        <v>1</v>
      </c>
      <c r="B149" s="17" t="s">
        <v>55</v>
      </c>
      <c r="C149" s="17">
        <v>7</v>
      </c>
      <c r="D149" s="17">
        <v>2</v>
      </c>
      <c r="E149" s="17">
        <v>7</v>
      </c>
    </row>
    <row r="150" spans="1:5" x14ac:dyDescent="0.3">
      <c r="A150" s="17" t="s">
        <v>1</v>
      </c>
      <c r="B150" s="17" t="s">
        <v>1438</v>
      </c>
      <c r="C150" s="17">
        <v>2</v>
      </c>
      <c r="D150" s="17">
        <v>2</v>
      </c>
      <c r="E150" s="17">
        <v>3</v>
      </c>
    </row>
    <row r="151" spans="1:5" x14ac:dyDescent="0.3">
      <c r="A151" s="17" t="s">
        <v>0</v>
      </c>
      <c r="B151" s="17" t="s">
        <v>48</v>
      </c>
      <c r="C151" s="17">
        <v>3</v>
      </c>
      <c r="D151" s="17">
        <v>2</v>
      </c>
      <c r="E151" s="17">
        <v>3</v>
      </c>
    </row>
    <row r="152" spans="1:5" x14ac:dyDescent="0.3">
      <c r="A152" s="17" t="s">
        <v>0</v>
      </c>
      <c r="B152" s="17" t="s">
        <v>490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149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151</v>
      </c>
      <c r="C154" s="17">
        <v>2</v>
      </c>
      <c r="D154" s="17">
        <v>2</v>
      </c>
      <c r="E154" s="17">
        <v>3</v>
      </c>
    </row>
    <row r="155" spans="1:5" x14ac:dyDescent="0.3">
      <c r="A155" s="17" t="s">
        <v>0</v>
      </c>
      <c r="B155" s="17" t="s">
        <v>362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89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154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2329</v>
      </c>
      <c r="C158" s="17">
        <v>2</v>
      </c>
      <c r="D158" s="17">
        <v>2</v>
      </c>
      <c r="E158" s="17">
        <v>3</v>
      </c>
    </row>
    <row r="159" spans="1:5" x14ac:dyDescent="0.3">
      <c r="A159" s="17" t="s">
        <v>0</v>
      </c>
      <c r="B159" s="17" t="s">
        <v>1460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289</v>
      </c>
      <c r="C160" s="17">
        <v>2</v>
      </c>
      <c r="D160" s="17">
        <v>2</v>
      </c>
      <c r="E160" s="17">
        <v>3</v>
      </c>
    </row>
    <row r="161" spans="1:5" x14ac:dyDescent="0.3">
      <c r="A161" s="17" t="s">
        <v>0</v>
      </c>
      <c r="B161" s="17" t="s">
        <v>872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0</v>
      </c>
      <c r="B162" s="17" t="s">
        <v>594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0</v>
      </c>
      <c r="B163" s="17" t="s">
        <v>45</v>
      </c>
      <c r="C163" s="17">
        <v>2</v>
      </c>
      <c r="D163" s="17">
        <v>2</v>
      </c>
      <c r="E163" s="17">
        <v>2</v>
      </c>
    </row>
    <row r="164" spans="1:5" x14ac:dyDescent="0.3">
      <c r="A164" s="17" t="s">
        <v>0</v>
      </c>
      <c r="B164" s="17" t="s">
        <v>495</v>
      </c>
      <c r="C164" s="17">
        <v>2</v>
      </c>
      <c r="D164" s="17">
        <v>2</v>
      </c>
      <c r="E164" s="17">
        <v>2</v>
      </c>
    </row>
    <row r="165" spans="1:5" x14ac:dyDescent="0.3">
      <c r="A165" s="17" t="s">
        <v>0</v>
      </c>
      <c r="B165" s="17" t="s">
        <v>200</v>
      </c>
      <c r="C165" s="17">
        <v>2</v>
      </c>
      <c r="D165" s="17">
        <v>2</v>
      </c>
      <c r="E165" s="17">
        <v>2</v>
      </c>
    </row>
    <row r="166" spans="1:5" x14ac:dyDescent="0.3">
      <c r="A166" s="17" t="s">
        <v>0</v>
      </c>
      <c r="B166" s="17" t="s">
        <v>62</v>
      </c>
      <c r="C166" s="17">
        <v>3</v>
      </c>
      <c r="D166" s="17">
        <v>2</v>
      </c>
      <c r="E166" s="17">
        <v>3</v>
      </c>
    </row>
    <row r="167" spans="1:5" x14ac:dyDescent="0.3">
      <c r="A167" s="17" t="s">
        <v>0</v>
      </c>
      <c r="B167" s="17" t="s">
        <v>421</v>
      </c>
      <c r="C167" s="17">
        <v>2</v>
      </c>
      <c r="D167" s="17">
        <v>2</v>
      </c>
      <c r="E167" s="17">
        <v>2</v>
      </c>
    </row>
    <row r="168" spans="1:5" x14ac:dyDescent="0.3">
      <c r="A168" s="17" t="s">
        <v>0</v>
      </c>
      <c r="B168" s="17" t="s">
        <v>63</v>
      </c>
      <c r="C168" s="17">
        <v>2</v>
      </c>
      <c r="D168" s="17">
        <v>2</v>
      </c>
      <c r="E168" s="17">
        <v>2</v>
      </c>
    </row>
    <row r="169" spans="1:5" x14ac:dyDescent="0.3">
      <c r="A169" s="17" t="s">
        <v>0</v>
      </c>
      <c r="B169" s="17" t="s">
        <v>262</v>
      </c>
      <c r="C169" s="17">
        <v>2</v>
      </c>
      <c r="D169" s="17">
        <v>2</v>
      </c>
      <c r="E169" s="17">
        <v>2</v>
      </c>
    </row>
    <row r="170" spans="1:5" x14ac:dyDescent="0.3">
      <c r="A170" s="17" t="s">
        <v>0</v>
      </c>
      <c r="B170" s="17" t="s">
        <v>350</v>
      </c>
      <c r="C170" s="17">
        <v>2</v>
      </c>
      <c r="D170" s="17">
        <v>2</v>
      </c>
      <c r="E170" s="17">
        <v>2</v>
      </c>
    </row>
    <row r="171" spans="1:5" x14ac:dyDescent="0.3">
      <c r="A171" s="17" t="s">
        <v>0</v>
      </c>
      <c r="B171" s="17" t="s">
        <v>194</v>
      </c>
      <c r="C171" s="17">
        <v>2</v>
      </c>
      <c r="D171" s="17">
        <v>2</v>
      </c>
      <c r="E171" s="17">
        <v>3</v>
      </c>
    </row>
    <row r="172" spans="1:5" x14ac:dyDescent="0.3">
      <c r="A172" s="17" t="s">
        <v>2</v>
      </c>
      <c r="B172" s="17" t="s">
        <v>30</v>
      </c>
      <c r="C172" s="17">
        <v>4</v>
      </c>
      <c r="D172" s="17">
        <v>2</v>
      </c>
      <c r="E172" s="17">
        <v>9</v>
      </c>
    </row>
    <row r="173" spans="1:5" x14ac:dyDescent="0.3">
      <c r="A173" s="17" t="s">
        <v>2</v>
      </c>
      <c r="B173" s="17" t="s">
        <v>2572</v>
      </c>
      <c r="C173" s="17">
        <v>6</v>
      </c>
      <c r="D173" s="17">
        <v>2</v>
      </c>
      <c r="E173" s="17">
        <v>7</v>
      </c>
    </row>
    <row r="174" spans="1:5" x14ac:dyDescent="0.3">
      <c r="A174" s="17" t="s">
        <v>2</v>
      </c>
      <c r="B174" s="17" t="s">
        <v>872</v>
      </c>
      <c r="C174" s="17">
        <v>2</v>
      </c>
      <c r="D174" s="17">
        <v>2</v>
      </c>
      <c r="E174" s="17">
        <v>2</v>
      </c>
    </row>
    <row r="175" spans="1:5" x14ac:dyDescent="0.3">
      <c r="A175" s="17" t="s">
        <v>2</v>
      </c>
      <c r="B175" s="17" t="s">
        <v>1716</v>
      </c>
      <c r="C175" s="17">
        <v>2</v>
      </c>
      <c r="D175" s="17">
        <v>2</v>
      </c>
      <c r="E175" s="17">
        <v>2</v>
      </c>
    </row>
    <row r="176" spans="1:5" x14ac:dyDescent="0.3">
      <c r="A176" s="17" t="s">
        <v>2</v>
      </c>
      <c r="B176" s="17" t="s">
        <v>742</v>
      </c>
      <c r="C176" s="17">
        <v>2</v>
      </c>
      <c r="D176" s="17">
        <v>2</v>
      </c>
      <c r="E176" s="17">
        <v>2</v>
      </c>
    </row>
    <row r="177" spans="1:5" x14ac:dyDescent="0.3">
      <c r="A177" s="17" t="s">
        <v>1</v>
      </c>
      <c r="B177" s="17" t="s">
        <v>982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389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1032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503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243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47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269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610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2758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206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764</v>
      </c>
      <c r="C187" s="17">
        <v>1</v>
      </c>
      <c r="D187" s="17">
        <v>1</v>
      </c>
      <c r="E187" s="17">
        <v>3</v>
      </c>
    </row>
    <row r="188" spans="1:5" x14ac:dyDescent="0.3">
      <c r="A188" s="17" t="s">
        <v>1</v>
      </c>
      <c r="B188" s="17" t="s">
        <v>384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2386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383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2759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75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691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143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705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619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209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621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274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78</v>
      </c>
      <c r="C200" s="17">
        <v>1</v>
      </c>
      <c r="D200" s="17">
        <v>1</v>
      </c>
      <c r="E200" s="17">
        <v>4</v>
      </c>
    </row>
    <row r="201" spans="1:5" x14ac:dyDescent="0.3">
      <c r="A201" s="17" t="s">
        <v>1</v>
      </c>
      <c r="B201" s="17" t="s">
        <v>1710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357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517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627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211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990</v>
      </c>
      <c r="C206" s="17">
        <v>3</v>
      </c>
      <c r="D206" s="17">
        <v>1</v>
      </c>
      <c r="E206" s="17">
        <v>5</v>
      </c>
    </row>
    <row r="207" spans="1:5" x14ac:dyDescent="0.3">
      <c r="A207" s="17" t="s">
        <v>1</v>
      </c>
      <c r="B207" s="17" t="s">
        <v>34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1610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82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396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1314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40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462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267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1703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83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84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86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629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2760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2761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1964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521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481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153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219</v>
      </c>
      <c r="C226" s="17">
        <v>2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1274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93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679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640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364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2036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41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156</v>
      </c>
      <c r="C234" s="17">
        <v>2</v>
      </c>
      <c r="D234" s="17">
        <v>1</v>
      </c>
      <c r="E234" s="17">
        <v>2</v>
      </c>
    </row>
    <row r="235" spans="1:5" x14ac:dyDescent="0.3">
      <c r="A235" s="17" t="s">
        <v>1</v>
      </c>
      <c r="B235" s="17" t="s">
        <v>642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1143</v>
      </c>
      <c r="C236" s="17">
        <v>3</v>
      </c>
      <c r="D236" s="17">
        <v>1</v>
      </c>
      <c r="E236" s="17">
        <v>3</v>
      </c>
    </row>
    <row r="237" spans="1:5" x14ac:dyDescent="0.3">
      <c r="A237" s="17" t="s">
        <v>1</v>
      </c>
      <c r="B237" s="17" t="s">
        <v>1691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1711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1773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1775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1854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1928</v>
      </c>
      <c r="C242" s="17">
        <v>2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2493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2395</v>
      </c>
      <c r="C244" s="17">
        <v>2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2428</v>
      </c>
      <c r="C245" s="17">
        <v>3</v>
      </c>
      <c r="D245" s="17">
        <v>1</v>
      </c>
      <c r="E245" s="17">
        <v>3</v>
      </c>
    </row>
    <row r="246" spans="1:5" x14ac:dyDescent="0.3">
      <c r="A246" s="17" t="s">
        <v>1</v>
      </c>
      <c r="B246" s="17" t="s">
        <v>158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1285</v>
      </c>
      <c r="C247" s="17">
        <v>2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524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866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400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252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2138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98</v>
      </c>
      <c r="C253" s="17">
        <v>2</v>
      </c>
      <c r="D253" s="17">
        <v>1</v>
      </c>
      <c r="E253" s="17">
        <v>4</v>
      </c>
    </row>
    <row r="254" spans="1:5" x14ac:dyDescent="0.3">
      <c r="A254" s="17" t="s">
        <v>1</v>
      </c>
      <c r="B254" s="17" t="s">
        <v>2762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1582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1479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2763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99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2764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403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1145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1371</v>
      </c>
      <c r="C262" s="17">
        <v>1</v>
      </c>
      <c r="D262" s="17">
        <v>1</v>
      </c>
      <c r="E262" s="17">
        <v>2</v>
      </c>
    </row>
    <row r="263" spans="1:5" x14ac:dyDescent="0.3">
      <c r="A263" s="17" t="s">
        <v>1</v>
      </c>
      <c r="B263" s="17" t="s">
        <v>996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2765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589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1626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998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1071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103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165</v>
      </c>
      <c r="C270" s="17">
        <v>2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105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1648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106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1106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405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322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645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2766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2767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442</v>
      </c>
      <c r="C280" s="17">
        <v>2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1261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1922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109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406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110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407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288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488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650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1570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533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44</v>
      </c>
      <c r="C292" s="17">
        <v>1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174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410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1407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537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175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1956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327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539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228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115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880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1737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1075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543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545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726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1007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1008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446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731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548</v>
      </c>
      <c r="C313" s="17">
        <v>2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1590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1187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550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886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846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415</v>
      </c>
      <c r="C319" s="17">
        <v>2</v>
      </c>
      <c r="D319" s="17">
        <v>1</v>
      </c>
      <c r="E319" s="17">
        <v>2</v>
      </c>
    </row>
    <row r="320" spans="1:5" x14ac:dyDescent="0.3">
      <c r="A320" s="17" t="s">
        <v>1</v>
      </c>
      <c r="B320" s="17" t="s">
        <v>813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1418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119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2768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956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2769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123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601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695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2770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125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959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179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555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1324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346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1894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1976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556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741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300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1206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421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449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703</v>
      </c>
      <c r="C344" s="17">
        <v>2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1700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425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666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2771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962</v>
      </c>
      <c r="C349" s="17">
        <v>2</v>
      </c>
      <c r="D349" s="17">
        <v>1</v>
      </c>
      <c r="E349" s="17">
        <v>2</v>
      </c>
    </row>
    <row r="350" spans="1:5" x14ac:dyDescent="0.3">
      <c r="A350" s="17" t="s">
        <v>1</v>
      </c>
      <c r="B350" s="17" t="s">
        <v>1021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1042</v>
      </c>
      <c r="C351" s="17">
        <v>2</v>
      </c>
      <c r="D351" s="17">
        <v>1</v>
      </c>
      <c r="E351" s="17">
        <v>2</v>
      </c>
    </row>
    <row r="352" spans="1:5" x14ac:dyDescent="0.3">
      <c r="A352" s="17" t="s">
        <v>1</v>
      </c>
      <c r="B352" s="17" t="s">
        <v>304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349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561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472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474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2453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563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52</v>
      </c>
      <c r="C359" s="17">
        <v>2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129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1120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496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189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1134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430</v>
      </c>
      <c r="C365" s="17">
        <v>1</v>
      </c>
      <c r="D365" s="17">
        <v>1</v>
      </c>
      <c r="E365" s="17">
        <v>3</v>
      </c>
    </row>
    <row r="366" spans="1:5" x14ac:dyDescent="0.3">
      <c r="A366" s="17" t="s">
        <v>1</v>
      </c>
      <c r="B366" s="17" t="s">
        <v>1326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899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305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1238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1327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842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500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306</v>
      </c>
      <c r="C373" s="17">
        <v>2</v>
      </c>
      <c r="D373" s="17">
        <v>1</v>
      </c>
      <c r="E373" s="17">
        <v>2</v>
      </c>
    </row>
    <row r="374" spans="1:5" x14ac:dyDescent="0.3">
      <c r="A374" s="17" t="s">
        <v>1</v>
      </c>
      <c r="B374" s="17" t="s">
        <v>569</v>
      </c>
      <c r="C374" s="17">
        <v>1</v>
      </c>
      <c r="D374" s="17">
        <v>1</v>
      </c>
      <c r="E374" s="17">
        <v>2</v>
      </c>
    </row>
    <row r="375" spans="1:5" x14ac:dyDescent="0.3">
      <c r="A375" s="17" t="s">
        <v>1</v>
      </c>
      <c r="B375" s="17" t="s">
        <v>700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376</v>
      </c>
      <c r="C376" s="17">
        <v>2</v>
      </c>
      <c r="D376" s="17">
        <v>1</v>
      </c>
      <c r="E376" s="17">
        <v>2</v>
      </c>
    </row>
    <row r="377" spans="1:5" x14ac:dyDescent="0.3">
      <c r="A377" s="17" t="s">
        <v>1</v>
      </c>
      <c r="B377" s="17" t="s">
        <v>68</v>
      </c>
      <c r="C377" s="17">
        <v>3</v>
      </c>
      <c r="D377" s="17">
        <v>1</v>
      </c>
      <c r="E377" s="17">
        <v>3</v>
      </c>
    </row>
    <row r="378" spans="1:5" x14ac:dyDescent="0.3">
      <c r="A378" s="17" t="s">
        <v>1</v>
      </c>
      <c r="B378" s="17" t="s">
        <v>196</v>
      </c>
      <c r="C378" s="17">
        <v>11</v>
      </c>
      <c r="D378" s="17">
        <v>1</v>
      </c>
      <c r="E378" s="17">
        <v>15</v>
      </c>
    </row>
    <row r="379" spans="1:5" x14ac:dyDescent="0.3">
      <c r="A379" s="17" t="s">
        <v>1</v>
      </c>
      <c r="B379" s="17" t="s">
        <v>673</v>
      </c>
      <c r="C379" s="17">
        <v>8</v>
      </c>
      <c r="D379" s="17">
        <v>1</v>
      </c>
      <c r="E379" s="17">
        <v>11</v>
      </c>
    </row>
    <row r="380" spans="1:5" x14ac:dyDescent="0.3">
      <c r="A380" s="17" t="s">
        <v>1</v>
      </c>
      <c r="B380" s="17" t="s">
        <v>1201</v>
      </c>
      <c r="C380" s="17">
        <v>3</v>
      </c>
      <c r="D380" s="17">
        <v>1</v>
      </c>
      <c r="E380" s="17">
        <v>3</v>
      </c>
    </row>
    <row r="381" spans="1:5" x14ac:dyDescent="0.3">
      <c r="A381" s="17" t="s">
        <v>1</v>
      </c>
      <c r="B381" s="17" t="s">
        <v>1301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1804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1766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902</v>
      </c>
      <c r="C384" s="17">
        <v>1</v>
      </c>
      <c r="D384" s="17">
        <v>1</v>
      </c>
      <c r="E384" s="17"/>
    </row>
    <row r="385" spans="1:5" x14ac:dyDescent="0.3">
      <c r="A385" s="17" t="s">
        <v>1</v>
      </c>
      <c r="B385" s="17" t="s">
        <v>2124</v>
      </c>
      <c r="C385" s="17">
        <v>1</v>
      </c>
      <c r="D385" s="17">
        <v>1</v>
      </c>
      <c r="E385" s="17"/>
    </row>
    <row r="386" spans="1:5" x14ac:dyDescent="0.3">
      <c r="A386" s="17" t="s">
        <v>1</v>
      </c>
      <c r="B386" s="17" t="s">
        <v>1385</v>
      </c>
      <c r="C386" s="17">
        <v>1</v>
      </c>
      <c r="D386" s="17">
        <v>1</v>
      </c>
      <c r="E386" s="17"/>
    </row>
    <row r="387" spans="1:5" x14ac:dyDescent="0.3">
      <c r="A387" s="17" t="s">
        <v>1</v>
      </c>
      <c r="B387" s="17" t="s">
        <v>2772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1902</v>
      </c>
      <c r="C388" s="17">
        <v>1</v>
      </c>
      <c r="D388" s="17">
        <v>2</v>
      </c>
      <c r="E388" s="17"/>
    </row>
    <row r="389" spans="1:5" x14ac:dyDescent="0.3">
      <c r="A389" s="17" t="s">
        <v>1</v>
      </c>
      <c r="B389" s="17" t="s">
        <v>1500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2741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1926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674</v>
      </c>
      <c r="C392" s="17">
        <v>1</v>
      </c>
      <c r="D392" s="17">
        <v>1</v>
      </c>
      <c r="E392" s="17"/>
    </row>
    <row r="393" spans="1:5" x14ac:dyDescent="0.3">
      <c r="A393" s="17" t="s">
        <v>1</v>
      </c>
      <c r="B393" s="17" t="s">
        <v>2489</v>
      </c>
      <c r="C393" s="17">
        <v>1</v>
      </c>
      <c r="D393" s="17">
        <v>2</v>
      </c>
      <c r="E393" s="17"/>
    </row>
    <row r="394" spans="1:5" x14ac:dyDescent="0.3">
      <c r="A394" s="17" t="s">
        <v>1</v>
      </c>
      <c r="B394" s="17" t="s">
        <v>484</v>
      </c>
      <c r="C394" s="17">
        <v>1</v>
      </c>
      <c r="D394" s="17">
        <v>1</v>
      </c>
      <c r="E394" s="17"/>
    </row>
    <row r="395" spans="1:5" x14ac:dyDescent="0.3">
      <c r="A395" s="17" t="s">
        <v>1</v>
      </c>
      <c r="B395" s="17" t="s">
        <v>2773</v>
      </c>
      <c r="C395" s="17">
        <v>1</v>
      </c>
      <c r="D395" s="17">
        <v>1</v>
      </c>
      <c r="E395" s="17">
        <v>2</v>
      </c>
    </row>
    <row r="396" spans="1:5" x14ac:dyDescent="0.3">
      <c r="A396" s="17" t="s">
        <v>1</v>
      </c>
      <c r="B396" s="17" t="s">
        <v>760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850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573</v>
      </c>
      <c r="C398" s="17">
        <v>1</v>
      </c>
      <c r="D398" s="17">
        <v>2</v>
      </c>
      <c r="E398" s="17"/>
    </row>
    <row r="399" spans="1:5" x14ac:dyDescent="0.3">
      <c r="A399" s="17" t="s">
        <v>1</v>
      </c>
      <c r="B399" s="17" t="s">
        <v>2774</v>
      </c>
      <c r="C399" s="17">
        <v>1</v>
      </c>
      <c r="D399" s="17">
        <v>1</v>
      </c>
      <c r="E399" s="17"/>
    </row>
    <row r="400" spans="1:5" x14ac:dyDescent="0.3">
      <c r="A400" s="17" t="s">
        <v>1</v>
      </c>
      <c r="B400" s="17" t="s">
        <v>1598</v>
      </c>
      <c r="C400" s="17">
        <v>1</v>
      </c>
      <c r="D400" s="17">
        <v>1</v>
      </c>
      <c r="E400" s="17"/>
    </row>
    <row r="401" spans="1:5" x14ac:dyDescent="0.3">
      <c r="A401" s="17" t="s">
        <v>1</v>
      </c>
      <c r="B401" s="17" t="s">
        <v>1548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1676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1599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2137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1</v>
      </c>
      <c r="B405" s="17" t="s">
        <v>1329</v>
      </c>
      <c r="C405" s="17">
        <v>1</v>
      </c>
      <c r="D405" s="17">
        <v>1</v>
      </c>
      <c r="E405" s="17"/>
    </row>
    <row r="406" spans="1:5" x14ac:dyDescent="0.3">
      <c r="A406" s="17" t="s">
        <v>1</v>
      </c>
      <c r="B406" s="17" t="s">
        <v>2775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0</v>
      </c>
      <c r="B407" s="17" t="s">
        <v>502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70</v>
      </c>
      <c r="C408" s="17">
        <v>1</v>
      </c>
      <c r="D408" s="17">
        <v>1</v>
      </c>
      <c r="E408" s="17">
        <v>2</v>
      </c>
    </row>
    <row r="409" spans="1:5" x14ac:dyDescent="0.3">
      <c r="A409" s="17" t="s">
        <v>0</v>
      </c>
      <c r="B409" s="17" t="s">
        <v>36</v>
      </c>
      <c r="C409" s="17">
        <v>1</v>
      </c>
      <c r="D409" s="17">
        <v>1</v>
      </c>
      <c r="E409" s="17">
        <v>2</v>
      </c>
    </row>
    <row r="410" spans="1:5" x14ac:dyDescent="0.3">
      <c r="A410" s="17" t="s">
        <v>0</v>
      </c>
      <c r="B410" s="17" t="s">
        <v>243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506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579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507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206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383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2776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794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272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795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356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357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2125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79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212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1314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908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40</v>
      </c>
      <c r="C427" s="17">
        <v>2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1334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83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315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85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280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221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156</v>
      </c>
      <c r="C434" s="17">
        <v>3</v>
      </c>
      <c r="D434" s="17">
        <v>1</v>
      </c>
      <c r="E434" s="17">
        <v>3</v>
      </c>
    </row>
    <row r="435" spans="1:5" x14ac:dyDescent="0.3">
      <c r="A435" s="17" t="s">
        <v>0</v>
      </c>
      <c r="B435" s="17" t="s">
        <v>42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96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487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1708</v>
      </c>
      <c r="C438" s="17">
        <v>2</v>
      </c>
      <c r="D438" s="17">
        <v>1</v>
      </c>
      <c r="E438" s="17">
        <v>3</v>
      </c>
    </row>
    <row r="439" spans="1:5" x14ac:dyDescent="0.3">
      <c r="A439" s="17" t="s">
        <v>0</v>
      </c>
      <c r="B439" s="17" t="s">
        <v>1775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1941</v>
      </c>
      <c r="C440" s="17">
        <v>2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2395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2396</v>
      </c>
      <c r="C442" s="17">
        <v>2</v>
      </c>
      <c r="D442" s="17">
        <v>1</v>
      </c>
      <c r="E442" s="17">
        <v>2</v>
      </c>
    </row>
    <row r="443" spans="1:5" x14ac:dyDescent="0.3">
      <c r="A443" s="17" t="s">
        <v>0</v>
      </c>
      <c r="B443" s="17" t="s">
        <v>2616</v>
      </c>
      <c r="C443" s="17">
        <v>2</v>
      </c>
      <c r="D443" s="17">
        <v>1</v>
      </c>
      <c r="E443" s="17">
        <v>2</v>
      </c>
    </row>
    <row r="444" spans="1:5" x14ac:dyDescent="0.3">
      <c r="A444" s="17" t="s">
        <v>0</v>
      </c>
      <c r="B444" s="17" t="s">
        <v>158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1035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159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867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49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526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491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945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1479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100</v>
      </c>
      <c r="C453" s="17">
        <v>1</v>
      </c>
      <c r="D453" s="17">
        <v>1</v>
      </c>
      <c r="E453" s="17">
        <v>2</v>
      </c>
    </row>
    <row r="454" spans="1:5" x14ac:dyDescent="0.3">
      <c r="A454" s="17" t="s">
        <v>0</v>
      </c>
      <c r="B454" s="17" t="s">
        <v>1538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840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1105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160</v>
      </c>
      <c r="C457" s="17">
        <v>2</v>
      </c>
      <c r="D457" s="17">
        <v>1</v>
      </c>
      <c r="E457" s="17">
        <v>2</v>
      </c>
    </row>
    <row r="458" spans="1:5" x14ac:dyDescent="0.3">
      <c r="A458" s="17" t="s">
        <v>0</v>
      </c>
      <c r="B458" s="17" t="s">
        <v>2777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163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531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404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102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352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104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165</v>
      </c>
      <c r="C465" s="17">
        <v>1</v>
      </c>
      <c r="D465" s="17">
        <v>1</v>
      </c>
      <c r="E465" s="17">
        <v>3</v>
      </c>
    </row>
    <row r="466" spans="1:5" x14ac:dyDescent="0.3">
      <c r="A466" s="17" t="s">
        <v>0</v>
      </c>
      <c r="B466" s="17" t="s">
        <v>771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717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2247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2778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43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167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50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406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407</v>
      </c>
      <c r="C474" s="17">
        <v>2</v>
      </c>
      <c r="D474" s="17">
        <v>1</v>
      </c>
      <c r="E474" s="17">
        <v>2</v>
      </c>
    </row>
    <row r="475" spans="1:5" x14ac:dyDescent="0.3">
      <c r="A475" s="17" t="s">
        <v>0</v>
      </c>
      <c r="B475" s="17" t="s">
        <v>838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593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1466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291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606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410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2779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1657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2061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1602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328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540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1075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1094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330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385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445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729</v>
      </c>
      <c r="C492" s="17">
        <v>1</v>
      </c>
      <c r="D492" s="17">
        <v>1</v>
      </c>
      <c r="E492" s="17">
        <v>2</v>
      </c>
    </row>
    <row r="493" spans="1:5" x14ac:dyDescent="0.3">
      <c r="A493" s="17" t="s">
        <v>0</v>
      </c>
      <c r="B493" s="17" t="s">
        <v>446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1473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607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1830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117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231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1110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551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887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1744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494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956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662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37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124</v>
      </c>
      <c r="C507" s="17">
        <v>1</v>
      </c>
      <c r="D507" s="17">
        <v>1</v>
      </c>
      <c r="E507" s="17">
        <v>3</v>
      </c>
    </row>
    <row r="508" spans="1:5" x14ac:dyDescent="0.3">
      <c r="A508" s="17" t="s">
        <v>0</v>
      </c>
      <c r="B508" s="17" t="s">
        <v>695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46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125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891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556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1114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422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1668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559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897</v>
      </c>
      <c r="C517" s="17">
        <v>2</v>
      </c>
      <c r="D517" s="17">
        <v>1</v>
      </c>
      <c r="E517" s="17">
        <v>3</v>
      </c>
    </row>
    <row r="518" spans="1:5" x14ac:dyDescent="0.3">
      <c r="A518" s="17" t="s">
        <v>0</v>
      </c>
      <c r="B518" s="17" t="s">
        <v>963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186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2780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1697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128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129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823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2454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787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65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305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263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195</v>
      </c>
      <c r="C530" s="17">
        <v>1</v>
      </c>
      <c r="D530" s="17">
        <v>1</v>
      </c>
      <c r="E530" s="17">
        <v>2</v>
      </c>
    </row>
    <row r="531" spans="1:5" x14ac:dyDescent="0.3">
      <c r="A531" s="17" t="s">
        <v>0</v>
      </c>
      <c r="B531" s="17" t="s">
        <v>67</v>
      </c>
      <c r="C531" s="17">
        <v>1</v>
      </c>
      <c r="D531" s="17">
        <v>1</v>
      </c>
      <c r="E531" s="17">
        <v>2</v>
      </c>
    </row>
    <row r="532" spans="1:5" x14ac:dyDescent="0.3">
      <c r="A532" s="17" t="s">
        <v>0</v>
      </c>
      <c r="B532" s="17" t="s">
        <v>68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1126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2781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674</v>
      </c>
      <c r="C535" s="17">
        <v>1</v>
      </c>
      <c r="D535" s="17">
        <v>1</v>
      </c>
      <c r="E535" s="17"/>
    </row>
    <row r="536" spans="1:5" x14ac:dyDescent="0.3">
      <c r="A536" s="17" t="s">
        <v>0</v>
      </c>
      <c r="B536" s="17" t="s">
        <v>2782</v>
      </c>
      <c r="C536" s="17">
        <v>1</v>
      </c>
      <c r="D536" s="17">
        <v>1</v>
      </c>
      <c r="E536" s="17"/>
    </row>
    <row r="537" spans="1:5" x14ac:dyDescent="0.3">
      <c r="A537" s="17" t="s">
        <v>0</v>
      </c>
      <c r="B537" s="17" t="s">
        <v>241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2307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0</v>
      </c>
      <c r="B539" s="17" t="s">
        <v>2783</v>
      </c>
      <c r="C539" s="17">
        <v>1</v>
      </c>
      <c r="D539" s="17">
        <v>1</v>
      </c>
      <c r="E539" s="17"/>
    </row>
    <row r="540" spans="1:5" x14ac:dyDescent="0.3">
      <c r="A540" s="17" t="s">
        <v>0</v>
      </c>
      <c r="B540" s="17" t="s">
        <v>1173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610</v>
      </c>
      <c r="C541" s="17">
        <v>1</v>
      </c>
      <c r="D541" s="17">
        <v>1</v>
      </c>
      <c r="E541" s="17">
        <v>2</v>
      </c>
    </row>
    <row r="542" spans="1:5" x14ac:dyDescent="0.3">
      <c r="A542" s="17" t="s">
        <v>2</v>
      </c>
      <c r="B542" s="17" t="s">
        <v>33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267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85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155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1897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2075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945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265</v>
      </c>
      <c r="C549" s="17">
        <v>1</v>
      </c>
      <c r="D549" s="17">
        <v>1</v>
      </c>
      <c r="E549" s="17">
        <v>2</v>
      </c>
    </row>
    <row r="550" spans="1:5" x14ac:dyDescent="0.3">
      <c r="A550" s="17" t="s">
        <v>2</v>
      </c>
      <c r="B550" s="17" t="s">
        <v>29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649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115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952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695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38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135</v>
      </c>
      <c r="C556" s="17">
        <v>1</v>
      </c>
      <c r="D556" s="17">
        <v>1</v>
      </c>
      <c r="E556" s="17">
        <v>2</v>
      </c>
    </row>
    <row r="557" spans="1:5" x14ac:dyDescent="0.3">
      <c r="A557" s="17" t="s">
        <v>2</v>
      </c>
      <c r="B557" s="17" t="s">
        <v>2784</v>
      </c>
      <c r="C557" s="17">
        <v>1</v>
      </c>
      <c r="D557" s="17">
        <v>1</v>
      </c>
      <c r="E557" s="17">
        <v>1</v>
      </c>
    </row>
    <row r="558" spans="1:5" x14ac:dyDescent="0.3">
      <c r="A558" s="17" t="s">
        <v>2</v>
      </c>
      <c r="B558" s="17" t="s">
        <v>69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1</v>
      </c>
      <c r="B559" s="17" t="s">
        <v>853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1367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986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205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392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478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1506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486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245</v>
      </c>
      <c r="C567" s="17">
        <v>1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931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460</v>
      </c>
      <c r="C569" s="17">
        <v>1</v>
      </c>
      <c r="D569" s="17">
        <v>0</v>
      </c>
      <c r="E569" s="17">
        <v>0</v>
      </c>
    </row>
    <row r="570" spans="1:5" x14ac:dyDescent="0.3">
      <c r="A570" s="17" t="s">
        <v>1</v>
      </c>
      <c r="B570" s="17" t="s">
        <v>1370</v>
      </c>
      <c r="C570" s="17">
        <v>1</v>
      </c>
      <c r="D570" s="17">
        <v>0</v>
      </c>
      <c r="E570" s="17">
        <v>3</v>
      </c>
    </row>
    <row r="571" spans="1:5" x14ac:dyDescent="0.3">
      <c r="A571" s="17" t="s">
        <v>1</v>
      </c>
      <c r="B571" s="17" t="s">
        <v>1157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624</v>
      </c>
      <c r="C572" s="17">
        <v>2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2785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1336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1953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1624</v>
      </c>
      <c r="C576" s="17">
        <v>2</v>
      </c>
      <c r="D576" s="17">
        <v>0</v>
      </c>
      <c r="E576" s="17">
        <v>3</v>
      </c>
    </row>
    <row r="577" spans="1:5" x14ac:dyDescent="0.3">
      <c r="A577" s="17" t="s">
        <v>1</v>
      </c>
      <c r="B577" s="17" t="s">
        <v>359</v>
      </c>
      <c r="C577" s="17">
        <v>3</v>
      </c>
      <c r="D577" s="17">
        <v>0</v>
      </c>
      <c r="E577" s="17">
        <v>3</v>
      </c>
    </row>
    <row r="578" spans="1:5" x14ac:dyDescent="0.3">
      <c r="A578" s="17" t="s">
        <v>1</v>
      </c>
      <c r="B578" s="17" t="s">
        <v>2786</v>
      </c>
      <c r="C578" s="17">
        <v>2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2742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1846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2787</v>
      </c>
      <c r="C581" s="17">
        <v>1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908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1967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213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708</v>
      </c>
      <c r="C585" s="17">
        <v>1</v>
      </c>
      <c r="D585" s="17">
        <v>0</v>
      </c>
      <c r="E585" s="17">
        <v>2</v>
      </c>
    </row>
    <row r="586" spans="1:5" x14ac:dyDescent="0.3">
      <c r="A586" s="17" t="s">
        <v>1</v>
      </c>
      <c r="B586" s="17" t="s">
        <v>215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862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279</v>
      </c>
      <c r="C588" s="17">
        <v>1</v>
      </c>
      <c r="D588" s="17">
        <v>0</v>
      </c>
      <c r="E588" s="17">
        <v>0</v>
      </c>
    </row>
    <row r="589" spans="1:5" x14ac:dyDescent="0.3">
      <c r="A589" s="17" t="s">
        <v>1</v>
      </c>
      <c r="B589" s="17" t="s">
        <v>1732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360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280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710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1102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1722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362</v>
      </c>
      <c r="C595" s="17">
        <v>1</v>
      </c>
      <c r="D595" s="17">
        <v>0</v>
      </c>
      <c r="E595" s="17">
        <v>3</v>
      </c>
    </row>
    <row r="596" spans="1:5" x14ac:dyDescent="0.3">
      <c r="A596" s="17" t="s">
        <v>1</v>
      </c>
      <c r="B596" s="17" t="s">
        <v>634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972</v>
      </c>
      <c r="C597" s="17">
        <v>2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635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1593</v>
      </c>
      <c r="C599" s="17">
        <v>1</v>
      </c>
      <c r="D599" s="17">
        <v>0</v>
      </c>
      <c r="E599" s="17">
        <v>2</v>
      </c>
    </row>
    <row r="600" spans="1:5" x14ac:dyDescent="0.3">
      <c r="A600" s="17" t="s">
        <v>1</v>
      </c>
      <c r="B600" s="17" t="s">
        <v>217</v>
      </c>
      <c r="C600" s="17">
        <v>2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636</v>
      </c>
      <c r="C601" s="17">
        <v>1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637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1064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222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94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942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463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363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2717</v>
      </c>
      <c r="C609" s="17">
        <v>1</v>
      </c>
      <c r="D609" s="17">
        <v>0</v>
      </c>
      <c r="E609" s="17">
        <v>0</v>
      </c>
    </row>
    <row r="610" spans="1:5" x14ac:dyDescent="0.3">
      <c r="A610" s="17" t="s">
        <v>1</v>
      </c>
      <c r="B610" s="17" t="s">
        <v>692</v>
      </c>
      <c r="C610" s="17">
        <v>2</v>
      </c>
      <c r="D610" s="17">
        <v>0</v>
      </c>
      <c r="E610" s="17">
        <v>3</v>
      </c>
    </row>
    <row r="611" spans="1:5" x14ac:dyDescent="0.3">
      <c r="A611" s="17" t="s">
        <v>1</v>
      </c>
      <c r="B611" s="17" t="s">
        <v>367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686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944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1518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1643</v>
      </c>
      <c r="C615" s="17">
        <v>2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1662</v>
      </c>
      <c r="C616" s="17">
        <v>2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1708</v>
      </c>
      <c r="C617" s="17">
        <v>3</v>
      </c>
      <c r="D617" s="17">
        <v>0</v>
      </c>
      <c r="E617" s="17">
        <v>3</v>
      </c>
    </row>
    <row r="618" spans="1:5" x14ac:dyDescent="0.3">
      <c r="A618" s="17" t="s">
        <v>1</v>
      </c>
      <c r="B618" s="17" t="s">
        <v>1897</v>
      </c>
      <c r="C618" s="17">
        <v>1</v>
      </c>
      <c r="D618" s="17">
        <v>0</v>
      </c>
      <c r="E618" s="17">
        <v>0</v>
      </c>
    </row>
    <row r="619" spans="1:5" x14ac:dyDescent="0.3">
      <c r="A619" s="17" t="s">
        <v>1</v>
      </c>
      <c r="B619" s="17" t="s">
        <v>1911</v>
      </c>
      <c r="C619" s="17">
        <v>2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2788</v>
      </c>
      <c r="C620" s="17">
        <v>2</v>
      </c>
      <c r="D620" s="17">
        <v>0</v>
      </c>
      <c r="E620" s="17">
        <v>7</v>
      </c>
    </row>
    <row r="621" spans="1:5" x14ac:dyDescent="0.3">
      <c r="A621" s="18" t="s">
        <v>1</v>
      </c>
      <c r="B621" s="18" t="s">
        <v>2334</v>
      </c>
      <c r="C621" s="18">
        <v>2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2362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2400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2468</v>
      </c>
      <c r="C624" s="18">
        <v>1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2441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2404</v>
      </c>
      <c r="C626" s="18">
        <v>2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2399</v>
      </c>
      <c r="C627" s="18">
        <v>3</v>
      </c>
      <c r="D627" s="18">
        <v>0</v>
      </c>
      <c r="E627" s="18">
        <v>3</v>
      </c>
    </row>
    <row r="628" spans="1:5" x14ac:dyDescent="0.3">
      <c r="A628" s="18" t="s">
        <v>1</v>
      </c>
      <c r="B628" s="18" t="s">
        <v>2398</v>
      </c>
      <c r="C628" s="18">
        <v>5</v>
      </c>
      <c r="D628" s="18">
        <v>0</v>
      </c>
      <c r="E628" s="18">
        <v>4</v>
      </c>
    </row>
    <row r="629" spans="1:5" x14ac:dyDescent="0.3">
      <c r="A629" s="18" t="s">
        <v>1</v>
      </c>
      <c r="B629" s="18" t="s">
        <v>2444</v>
      </c>
      <c r="C629" s="18">
        <v>3</v>
      </c>
      <c r="D629" s="18">
        <v>0</v>
      </c>
      <c r="E629" s="18">
        <v>3</v>
      </c>
    </row>
    <row r="630" spans="1:5" x14ac:dyDescent="0.3">
      <c r="A630" s="18" t="s">
        <v>1</v>
      </c>
      <c r="B630" s="18" t="s">
        <v>2445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2510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2599</v>
      </c>
      <c r="C632" s="18">
        <v>5</v>
      </c>
      <c r="D632" s="18">
        <v>0</v>
      </c>
      <c r="E632" s="18">
        <v>4</v>
      </c>
    </row>
    <row r="633" spans="1:5" x14ac:dyDescent="0.3">
      <c r="A633" s="18" t="s">
        <v>1</v>
      </c>
      <c r="B633" s="18" t="s">
        <v>2616</v>
      </c>
      <c r="C633" s="18">
        <v>4</v>
      </c>
      <c r="D633" s="18">
        <v>0</v>
      </c>
      <c r="E633" s="18">
        <v>4</v>
      </c>
    </row>
    <row r="634" spans="1:5" x14ac:dyDescent="0.3">
      <c r="A634" s="18" t="s">
        <v>1</v>
      </c>
      <c r="B634" s="18" t="s">
        <v>2640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2641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2789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402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1103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2156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945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946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1784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101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2375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771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167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1373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2790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1223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1330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1195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2408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1099</v>
      </c>
      <c r="C653" s="18">
        <v>2</v>
      </c>
      <c r="D653" s="18">
        <v>0</v>
      </c>
      <c r="E653" s="18">
        <v>2</v>
      </c>
    </row>
    <row r="654" spans="1:5" x14ac:dyDescent="0.3">
      <c r="A654" s="18" t="s">
        <v>1</v>
      </c>
      <c r="B654" s="18" t="s">
        <v>2791</v>
      </c>
      <c r="C654" s="18">
        <v>1</v>
      </c>
      <c r="D654" s="18">
        <v>0</v>
      </c>
      <c r="E654" s="18">
        <v>2</v>
      </c>
    </row>
    <row r="655" spans="1:5" x14ac:dyDescent="0.3">
      <c r="A655" s="18" t="s">
        <v>1</v>
      </c>
      <c r="B655" s="18" t="s">
        <v>1755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290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2792</v>
      </c>
      <c r="C657" s="18">
        <v>0</v>
      </c>
      <c r="D657" s="18">
        <v>2</v>
      </c>
    </row>
    <row r="658" spans="1:5" x14ac:dyDescent="0.3">
      <c r="A658" s="18" t="s">
        <v>1</v>
      </c>
      <c r="B658" s="18" t="s">
        <v>606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694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720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1409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1675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1228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2793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916</v>
      </c>
      <c r="C665" s="18">
        <v>1</v>
      </c>
      <c r="D665" s="18">
        <v>0</v>
      </c>
      <c r="E665" s="18">
        <v>3</v>
      </c>
    </row>
    <row r="666" spans="1:5" x14ac:dyDescent="0.3">
      <c r="A666" s="18" t="s">
        <v>1</v>
      </c>
      <c r="B666" s="18" t="s">
        <v>541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2794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1006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1554</v>
      </c>
      <c r="C669" s="18">
        <v>1</v>
      </c>
      <c r="D669" s="18">
        <v>0</v>
      </c>
      <c r="E669" s="18">
        <v>2</v>
      </c>
    </row>
    <row r="670" spans="1:5" x14ac:dyDescent="0.3">
      <c r="A670" s="18" t="s">
        <v>1</v>
      </c>
      <c r="B670" s="18" t="s">
        <v>2579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656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1510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1349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810</v>
      </c>
      <c r="C674" s="18">
        <v>1</v>
      </c>
      <c r="D674" s="18">
        <v>0</v>
      </c>
      <c r="E674" s="18">
        <v>2</v>
      </c>
    </row>
    <row r="675" spans="1:5" x14ac:dyDescent="0.3">
      <c r="A675" s="18" t="s">
        <v>1</v>
      </c>
      <c r="B675" s="18" t="s">
        <v>231</v>
      </c>
      <c r="C675" s="18">
        <v>1</v>
      </c>
      <c r="D675" s="18">
        <v>0</v>
      </c>
      <c r="E675" s="18">
        <v>2</v>
      </c>
    </row>
    <row r="676" spans="1:5" x14ac:dyDescent="0.3">
      <c r="A676" s="18" t="s">
        <v>1</v>
      </c>
      <c r="B676" s="18" t="s">
        <v>417</v>
      </c>
      <c r="C676" s="18">
        <v>2</v>
      </c>
      <c r="D676" s="18">
        <v>0</v>
      </c>
      <c r="E676" s="18">
        <v>2</v>
      </c>
    </row>
    <row r="677" spans="1:5" x14ac:dyDescent="0.3">
      <c r="A677" s="18" t="s">
        <v>1</v>
      </c>
      <c r="B677" s="18" t="s">
        <v>372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1234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343</v>
      </c>
      <c r="C679" s="18">
        <v>1</v>
      </c>
      <c r="D679" s="18">
        <v>0</v>
      </c>
      <c r="E679" s="18">
        <v>2</v>
      </c>
    </row>
    <row r="680" spans="1:5" x14ac:dyDescent="0.3">
      <c r="A680" s="18" t="s">
        <v>1</v>
      </c>
      <c r="B680" s="18" t="s">
        <v>345</v>
      </c>
      <c r="C680" s="18">
        <v>1</v>
      </c>
      <c r="D680" s="18">
        <v>0</v>
      </c>
      <c r="E680" s="18">
        <v>0</v>
      </c>
    </row>
    <row r="681" spans="1:5" x14ac:dyDescent="0.3">
      <c r="A681" s="18" t="s">
        <v>1</v>
      </c>
      <c r="B681" s="18" t="s">
        <v>62</v>
      </c>
      <c r="C681" s="18">
        <v>2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2002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1294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1114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1295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895</v>
      </c>
      <c r="C686" s="18">
        <v>1</v>
      </c>
      <c r="D686" s="18">
        <v>0</v>
      </c>
      <c r="E686" s="18">
        <v>2</v>
      </c>
    </row>
    <row r="687" spans="1:5" x14ac:dyDescent="0.3">
      <c r="A687" s="18" t="s">
        <v>1</v>
      </c>
      <c r="B687" s="18" t="s">
        <v>1155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2795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180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1199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749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262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186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822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823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2796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191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499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566</v>
      </c>
      <c r="C699" s="18">
        <v>1</v>
      </c>
      <c r="D699" s="18">
        <v>0</v>
      </c>
      <c r="E699" s="18">
        <v>0</v>
      </c>
    </row>
    <row r="700" spans="1:5" x14ac:dyDescent="0.3">
      <c r="A700" s="18" t="s">
        <v>1</v>
      </c>
      <c r="B700" s="18" t="s">
        <v>2797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568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53</v>
      </c>
      <c r="C702" s="18">
        <v>1</v>
      </c>
      <c r="D702" s="18">
        <v>0</v>
      </c>
      <c r="E702" s="18">
        <v>0</v>
      </c>
    </row>
    <row r="703" spans="1:5" x14ac:dyDescent="0.3">
      <c r="A703" s="18" t="s">
        <v>1</v>
      </c>
      <c r="B703" s="18" t="s">
        <v>235</v>
      </c>
      <c r="C703" s="18">
        <v>8</v>
      </c>
      <c r="D703" s="18">
        <v>0</v>
      </c>
      <c r="E703" s="18">
        <v>11</v>
      </c>
    </row>
    <row r="704" spans="1:5" x14ac:dyDescent="0.3">
      <c r="A704" s="18" t="s">
        <v>1</v>
      </c>
      <c r="B704" s="18" t="s">
        <v>236</v>
      </c>
      <c r="C704" s="18">
        <v>2</v>
      </c>
      <c r="D704" s="18">
        <v>0</v>
      </c>
      <c r="E704" s="18">
        <v>6</v>
      </c>
    </row>
    <row r="705" spans="1:5" x14ac:dyDescent="0.3">
      <c r="A705" s="18" t="s">
        <v>1</v>
      </c>
      <c r="B705" s="18" t="s">
        <v>476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54</v>
      </c>
      <c r="C706" s="18">
        <v>3</v>
      </c>
      <c r="D706" s="18">
        <v>0</v>
      </c>
      <c r="E706" s="18">
        <v>4</v>
      </c>
    </row>
    <row r="707" spans="1:5" x14ac:dyDescent="0.3">
      <c r="A707" s="18" t="s">
        <v>1</v>
      </c>
      <c r="B707" s="18" t="s">
        <v>238</v>
      </c>
      <c r="C707" s="18">
        <v>4</v>
      </c>
      <c r="D707" s="18">
        <v>0</v>
      </c>
      <c r="E707" s="18">
        <v>4</v>
      </c>
    </row>
    <row r="708" spans="1:5" x14ac:dyDescent="0.3">
      <c r="A708" s="18" t="s">
        <v>1</v>
      </c>
      <c r="B708" s="18" t="s">
        <v>1085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239</v>
      </c>
      <c r="C709" s="18">
        <v>2</v>
      </c>
      <c r="D709" s="18">
        <v>0</v>
      </c>
      <c r="E709" s="18">
        <v>4</v>
      </c>
    </row>
    <row r="710" spans="1:5" x14ac:dyDescent="0.3">
      <c r="A710" s="18" t="s">
        <v>1</v>
      </c>
      <c r="B710" s="18" t="s">
        <v>672</v>
      </c>
      <c r="C710" s="18">
        <v>2</v>
      </c>
      <c r="D710" s="18">
        <v>0</v>
      </c>
      <c r="E710" s="18">
        <v>2</v>
      </c>
    </row>
    <row r="711" spans="1:5" x14ac:dyDescent="0.3">
      <c r="A711" s="18" t="s">
        <v>1</v>
      </c>
      <c r="B711" s="18" t="s">
        <v>240</v>
      </c>
      <c r="C711" s="18">
        <v>8</v>
      </c>
      <c r="D711" s="18">
        <v>0</v>
      </c>
      <c r="E711" s="18">
        <v>14</v>
      </c>
    </row>
    <row r="712" spans="1:5" x14ac:dyDescent="0.3">
      <c r="A712" s="18" t="s">
        <v>1</v>
      </c>
      <c r="B712" s="18" t="s">
        <v>382</v>
      </c>
      <c r="C712" s="18">
        <v>3</v>
      </c>
      <c r="D712" s="18">
        <v>0</v>
      </c>
      <c r="E712" s="18">
        <v>3</v>
      </c>
    </row>
    <row r="713" spans="1:5" x14ac:dyDescent="0.3">
      <c r="A713" s="18" t="s">
        <v>1</v>
      </c>
      <c r="B713" s="18" t="s">
        <v>377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1086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477</v>
      </c>
      <c r="C715" s="18">
        <v>2</v>
      </c>
      <c r="D715" s="18">
        <v>0</v>
      </c>
      <c r="E715" s="18">
        <v>3</v>
      </c>
    </row>
    <row r="716" spans="1:5" x14ac:dyDescent="0.3">
      <c r="A716" s="18" t="s">
        <v>1</v>
      </c>
      <c r="B716" s="18" t="s">
        <v>2144</v>
      </c>
      <c r="C716" s="18">
        <v>1</v>
      </c>
      <c r="D716" s="18">
        <v>0</v>
      </c>
      <c r="E716" s="18">
        <v>2</v>
      </c>
    </row>
    <row r="717" spans="1:5" x14ac:dyDescent="0.3">
      <c r="A717" s="18" t="s">
        <v>1</v>
      </c>
      <c r="B717" s="18" t="s">
        <v>2798</v>
      </c>
      <c r="C717" s="18">
        <v>0</v>
      </c>
      <c r="D717" s="18">
        <v>1</v>
      </c>
    </row>
    <row r="718" spans="1:5" x14ac:dyDescent="0.3">
      <c r="A718" s="18" t="s">
        <v>1</v>
      </c>
      <c r="B718" s="18" t="s">
        <v>2071</v>
      </c>
      <c r="C718" s="18">
        <v>2</v>
      </c>
      <c r="D718" s="18">
        <v>0</v>
      </c>
      <c r="E718" s="18">
        <v>4</v>
      </c>
    </row>
    <row r="719" spans="1:5" x14ac:dyDescent="0.3">
      <c r="A719" s="18" t="s">
        <v>1</v>
      </c>
      <c r="B719" s="18" t="s">
        <v>266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1027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1404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1047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241</v>
      </c>
      <c r="C723" s="18">
        <v>1</v>
      </c>
      <c r="D723" s="18">
        <v>0</v>
      </c>
      <c r="E723" s="18">
        <v>8</v>
      </c>
    </row>
    <row r="724" spans="1:5" x14ac:dyDescent="0.3">
      <c r="A724" s="18" t="s">
        <v>1</v>
      </c>
      <c r="B724" s="18" t="s">
        <v>1440</v>
      </c>
      <c r="C724" s="18">
        <v>0</v>
      </c>
      <c r="D724" s="18">
        <v>1</v>
      </c>
    </row>
    <row r="725" spans="1:5" x14ac:dyDescent="0.3">
      <c r="A725" s="18" t="s">
        <v>1</v>
      </c>
      <c r="B725" s="18" t="s">
        <v>2799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378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2800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2379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2801</v>
      </c>
      <c r="C729" s="18">
        <v>1</v>
      </c>
      <c r="D729" s="18">
        <v>0</v>
      </c>
      <c r="E729" s="18">
        <v>2</v>
      </c>
    </row>
    <row r="730" spans="1:5" x14ac:dyDescent="0.3">
      <c r="A730" s="18" t="s">
        <v>1</v>
      </c>
      <c r="B730" s="18" t="s">
        <v>971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431</v>
      </c>
      <c r="C731" s="18">
        <v>0</v>
      </c>
      <c r="D731" s="18">
        <v>1</v>
      </c>
    </row>
    <row r="732" spans="1:5" x14ac:dyDescent="0.3">
      <c r="A732" s="18" t="s">
        <v>1</v>
      </c>
      <c r="B732" s="18" t="s">
        <v>1213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242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144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517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990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359</v>
      </c>
      <c r="C737" s="18">
        <v>2</v>
      </c>
      <c r="D737" s="18">
        <v>0</v>
      </c>
      <c r="E737" s="18">
        <v>4</v>
      </c>
    </row>
    <row r="738" spans="1:5" x14ac:dyDescent="0.3">
      <c r="A738" s="18" t="s">
        <v>0</v>
      </c>
      <c r="B738" s="18" t="s">
        <v>152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635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281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93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686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0</v>
      </c>
      <c r="B743" s="18" t="s">
        <v>2440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2468</v>
      </c>
      <c r="C744" s="18">
        <v>1</v>
      </c>
      <c r="D744" s="18">
        <v>0</v>
      </c>
      <c r="E744" s="18">
        <v>2</v>
      </c>
    </row>
    <row r="745" spans="1:5" x14ac:dyDescent="0.3">
      <c r="A745" s="18" t="s">
        <v>0</v>
      </c>
      <c r="B745" s="18" t="s">
        <v>2441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2710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2711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0</v>
      </c>
      <c r="B748" s="18" t="s">
        <v>2404</v>
      </c>
      <c r="C748" s="18">
        <v>2</v>
      </c>
      <c r="D748" s="18">
        <v>0</v>
      </c>
      <c r="E748" s="18">
        <v>2</v>
      </c>
    </row>
    <row r="749" spans="1:5" x14ac:dyDescent="0.3">
      <c r="A749" s="18" t="s">
        <v>0</v>
      </c>
      <c r="B749" s="18" t="s">
        <v>2442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0</v>
      </c>
      <c r="B750" s="18" t="s">
        <v>2399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2398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2443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2428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2802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2506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2803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2444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2397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2507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2508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2705</v>
      </c>
      <c r="C761" s="18">
        <v>3</v>
      </c>
      <c r="D761" s="18">
        <v>0</v>
      </c>
      <c r="E761" s="18">
        <v>3</v>
      </c>
    </row>
    <row r="762" spans="1:5" x14ac:dyDescent="0.3">
      <c r="A762" s="18" t="s">
        <v>0</v>
      </c>
      <c r="B762" s="18" t="s">
        <v>97</v>
      </c>
      <c r="C762" s="18">
        <v>1</v>
      </c>
      <c r="D762" s="18">
        <v>0</v>
      </c>
      <c r="E762" s="18">
        <v>0</v>
      </c>
    </row>
    <row r="763" spans="1:5" x14ac:dyDescent="0.3">
      <c r="A763" s="18" t="s">
        <v>0</v>
      </c>
      <c r="B763" s="18" t="s">
        <v>1275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1318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0</v>
      </c>
      <c r="B765" s="18" t="s">
        <v>28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1922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0</v>
      </c>
      <c r="B767" s="18" t="s">
        <v>1828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174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326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327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258</v>
      </c>
      <c r="C771" s="18">
        <v>1</v>
      </c>
      <c r="D771" s="18">
        <v>0</v>
      </c>
      <c r="E771" s="18">
        <v>2</v>
      </c>
    </row>
    <row r="772" spans="1:5" x14ac:dyDescent="0.3">
      <c r="A772" s="18" t="s">
        <v>0</v>
      </c>
      <c r="B772" s="18" t="s">
        <v>130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754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235</v>
      </c>
      <c r="C774" s="18">
        <v>3</v>
      </c>
      <c r="D774" s="18">
        <v>0</v>
      </c>
      <c r="E774" s="18">
        <v>5</v>
      </c>
    </row>
    <row r="775" spans="1:5" x14ac:dyDescent="0.3">
      <c r="A775" s="18" t="s">
        <v>0</v>
      </c>
      <c r="B775" s="18" t="s">
        <v>2268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0</v>
      </c>
      <c r="B776" s="18" t="s">
        <v>54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238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55</v>
      </c>
      <c r="C778" s="18">
        <v>5</v>
      </c>
      <c r="D778" s="18">
        <v>0</v>
      </c>
      <c r="E778" s="18">
        <v>7</v>
      </c>
    </row>
    <row r="779" spans="1:5" x14ac:dyDescent="0.3">
      <c r="A779" s="18" t="s">
        <v>0</v>
      </c>
      <c r="B779" s="18" t="s">
        <v>240</v>
      </c>
      <c r="C779" s="18">
        <v>1</v>
      </c>
      <c r="D779" s="18">
        <v>0</v>
      </c>
      <c r="E779" s="18">
        <v>2</v>
      </c>
    </row>
    <row r="780" spans="1:5" x14ac:dyDescent="0.3">
      <c r="A780" s="18" t="s">
        <v>0</v>
      </c>
      <c r="B780" s="18" t="s">
        <v>673</v>
      </c>
      <c r="C780" s="18">
        <v>1</v>
      </c>
      <c r="D780" s="18">
        <v>0</v>
      </c>
      <c r="E780" s="18">
        <v>12</v>
      </c>
    </row>
    <row r="781" spans="1:5" x14ac:dyDescent="0.3">
      <c r="A781" s="18" t="s">
        <v>0</v>
      </c>
      <c r="B781" s="18" t="s">
        <v>2058</v>
      </c>
      <c r="C781" s="18">
        <v>1</v>
      </c>
      <c r="D781" s="18">
        <v>0</v>
      </c>
      <c r="E781" s="18">
        <v>3</v>
      </c>
    </row>
    <row r="782" spans="1:5" x14ac:dyDescent="0.3">
      <c r="A782" s="18" t="s">
        <v>0</v>
      </c>
      <c r="B782" s="18" t="s">
        <v>431</v>
      </c>
      <c r="C782" s="18">
        <v>0</v>
      </c>
      <c r="D782" s="18">
        <v>2</v>
      </c>
    </row>
    <row r="783" spans="1:5" x14ac:dyDescent="0.3">
      <c r="A783" s="18" t="s">
        <v>0</v>
      </c>
      <c r="B783" s="18" t="s">
        <v>32</v>
      </c>
      <c r="C783" s="18">
        <v>6</v>
      </c>
      <c r="D783" s="18">
        <v>0</v>
      </c>
      <c r="E783" s="18">
        <v>9</v>
      </c>
    </row>
    <row r="784" spans="1:5" x14ac:dyDescent="0.3">
      <c r="A784" s="18" t="s">
        <v>2</v>
      </c>
      <c r="B784" s="18" t="s">
        <v>96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2</v>
      </c>
      <c r="B785" s="18" t="s">
        <v>944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2</v>
      </c>
      <c r="B786" s="18" t="s">
        <v>1691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2</v>
      </c>
      <c r="B787" s="18" t="s">
        <v>2399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2</v>
      </c>
      <c r="B788" s="18" t="s">
        <v>113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2</v>
      </c>
      <c r="B789" s="18" t="s">
        <v>555</v>
      </c>
      <c r="C789" s="18">
        <v>1</v>
      </c>
      <c r="D789" s="18">
        <v>0</v>
      </c>
      <c r="E789" s="18">
        <v>5</v>
      </c>
    </row>
    <row r="790" spans="1:5" x14ac:dyDescent="0.3">
      <c r="A790" s="18" t="s">
        <v>2</v>
      </c>
      <c r="B790" s="18" t="s">
        <v>235</v>
      </c>
      <c r="C790" s="18">
        <v>1</v>
      </c>
      <c r="D790" s="18">
        <v>0</v>
      </c>
      <c r="E790" s="18">
        <v>7</v>
      </c>
    </row>
    <row r="791" spans="1:5" x14ac:dyDescent="0.3">
      <c r="A791" s="18" t="s">
        <v>2</v>
      </c>
      <c r="B791" s="18" t="s">
        <v>195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2</v>
      </c>
      <c r="B792" s="18" t="s">
        <v>67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2</v>
      </c>
      <c r="B793" s="18" t="s">
        <v>39</v>
      </c>
      <c r="C793" s="18">
        <v>1</v>
      </c>
      <c r="D793" s="18">
        <v>0</v>
      </c>
      <c r="E793" s="18">
        <v>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F4733-C125-4871-9D52-B60CCBC76C89}">
  <sheetPr codeName="Sheet41"/>
  <dimension ref="A1:M868"/>
  <sheetViews>
    <sheetView workbookViewId="0">
      <selection activeCell="A2" sqref="A2:E86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2572</v>
      </c>
      <c r="C2" s="17">
        <v>188</v>
      </c>
      <c r="D2" s="17">
        <v>166</v>
      </c>
      <c r="E2" s="17">
        <v>207</v>
      </c>
    </row>
    <row r="3" spans="1:13" customFormat="1" x14ac:dyDescent="0.3">
      <c r="A3" s="17" t="s">
        <v>1</v>
      </c>
      <c r="B3" s="17" t="s">
        <v>2572</v>
      </c>
      <c r="C3" s="17">
        <v>94</v>
      </c>
      <c r="D3" s="17">
        <v>71</v>
      </c>
      <c r="E3" s="17">
        <v>99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2692</v>
      </c>
      <c r="C4" s="17">
        <v>93</v>
      </c>
      <c r="D4" s="17">
        <v>71</v>
      </c>
      <c r="E4" s="17">
        <v>104</v>
      </c>
      <c r="G4" s="23" t="s">
        <v>8</v>
      </c>
      <c r="H4" s="19">
        <f>H13+H14</f>
        <v>1459</v>
      </c>
      <c r="I4" s="20">
        <f>H4/H$6</f>
        <v>0.64188297404311478</v>
      </c>
      <c r="J4" s="19">
        <f>I13+I14</f>
        <v>824</v>
      </c>
      <c r="K4" s="20">
        <f>J4/J$6</f>
        <v>0.57622377622377619</v>
      </c>
      <c r="L4" s="19">
        <f>J13+J14</f>
        <v>1727</v>
      </c>
      <c r="M4" s="29">
        <f>L4/L$6</f>
        <v>0.63679941002949858</v>
      </c>
    </row>
    <row r="5" spans="1:13" customFormat="1" x14ac:dyDescent="0.3">
      <c r="A5" s="17" t="s">
        <v>1</v>
      </c>
      <c r="B5" s="17" t="s">
        <v>138</v>
      </c>
      <c r="C5" s="17">
        <v>63</v>
      </c>
      <c r="D5" s="17">
        <v>48</v>
      </c>
      <c r="E5" s="17">
        <v>80</v>
      </c>
      <c r="G5" s="23" t="s">
        <v>10</v>
      </c>
      <c r="H5" s="19">
        <f>H15+H16</f>
        <v>814</v>
      </c>
      <c r="I5" s="20">
        <f>H5/H$6</f>
        <v>0.35811702595688516</v>
      </c>
      <c r="J5" s="19">
        <f>I15+I16</f>
        <v>606</v>
      </c>
      <c r="K5" s="20">
        <f>J5/J$6</f>
        <v>0.42377622377622376</v>
      </c>
      <c r="L5" s="19">
        <f>J15+J16</f>
        <v>985</v>
      </c>
      <c r="M5" s="29">
        <f>L5/L$6</f>
        <v>0.36320058997050148</v>
      </c>
    </row>
    <row r="6" spans="1:13" customFormat="1" ht="17.25" thickBot="1" x14ac:dyDescent="0.35">
      <c r="A6" s="17" t="s">
        <v>1</v>
      </c>
      <c r="B6" s="17" t="s">
        <v>30</v>
      </c>
      <c r="C6" s="17">
        <v>108</v>
      </c>
      <c r="D6" s="17">
        <v>43</v>
      </c>
      <c r="E6" s="17">
        <v>194</v>
      </c>
      <c r="G6" s="26"/>
      <c r="H6" s="30">
        <f>SUM(H4:H5)</f>
        <v>2273</v>
      </c>
      <c r="I6" s="31">
        <f>I4+I5</f>
        <v>1</v>
      </c>
      <c r="J6" s="30">
        <f>SUM(J4:J5)</f>
        <v>1430</v>
      </c>
      <c r="K6" s="31">
        <f>K4+K5</f>
        <v>1</v>
      </c>
      <c r="L6" s="30">
        <f>SUM(L4:L5)</f>
        <v>2712</v>
      </c>
      <c r="M6" s="32">
        <f>M4+M5</f>
        <v>1</v>
      </c>
    </row>
    <row r="7" spans="1:13" customFormat="1" x14ac:dyDescent="0.3">
      <c r="A7" s="17" t="s">
        <v>1</v>
      </c>
      <c r="B7" s="17" t="s">
        <v>365</v>
      </c>
      <c r="C7" s="17">
        <v>46</v>
      </c>
      <c r="D7" s="17">
        <v>43</v>
      </c>
      <c r="E7" s="17">
        <v>49</v>
      </c>
    </row>
    <row r="8" spans="1:13" customFormat="1" x14ac:dyDescent="0.3">
      <c r="A8" s="17" t="s">
        <v>0</v>
      </c>
      <c r="B8" s="17" t="s">
        <v>29</v>
      </c>
      <c r="C8" s="17">
        <v>23</v>
      </c>
      <c r="D8" s="17">
        <v>22</v>
      </c>
      <c r="E8" s="17">
        <v>23</v>
      </c>
    </row>
    <row r="9" spans="1:13" customFormat="1" x14ac:dyDescent="0.3">
      <c r="A9" s="17" t="s">
        <v>1</v>
      </c>
      <c r="B9" s="17" t="s">
        <v>37</v>
      </c>
      <c r="C9" s="17">
        <v>25</v>
      </c>
      <c r="D9" s="17">
        <v>21</v>
      </c>
      <c r="E9" s="17">
        <v>29</v>
      </c>
    </row>
    <row r="10" spans="1:13" customFormat="1" ht="17.25" thickBot="1" x14ac:dyDescent="0.35">
      <c r="A10" s="17" t="s">
        <v>1</v>
      </c>
      <c r="B10" s="17" t="s">
        <v>2692</v>
      </c>
      <c r="C10" s="17">
        <v>32</v>
      </c>
      <c r="D10" s="17">
        <v>19</v>
      </c>
      <c r="E10" s="17">
        <v>37</v>
      </c>
    </row>
    <row r="11" spans="1:13" x14ac:dyDescent="0.3">
      <c r="A11" s="17" t="s">
        <v>1</v>
      </c>
      <c r="B11" s="17" t="s">
        <v>61</v>
      </c>
      <c r="C11" s="17">
        <v>18</v>
      </c>
      <c r="D11" s="17">
        <v>17</v>
      </c>
      <c r="E11" s="17">
        <v>19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25</v>
      </c>
      <c r="D12" s="17">
        <v>11</v>
      </c>
      <c r="E12" s="17">
        <v>44</v>
      </c>
      <c r="G12" s="23"/>
      <c r="H12" s="21">
        <f t="shared" ref="H12:J12" si="0">SUM(H13:H16)</f>
        <v>2273</v>
      </c>
      <c r="I12" s="21">
        <f t="shared" si="0"/>
        <v>1430</v>
      </c>
      <c r="J12" s="24">
        <f t="shared" si="0"/>
        <v>2712</v>
      </c>
    </row>
    <row r="13" spans="1:13" x14ac:dyDescent="0.3">
      <c r="A13" s="17" t="s">
        <v>0</v>
      </c>
      <c r="B13" s="17" t="s">
        <v>241</v>
      </c>
      <c r="C13" s="17">
        <v>11</v>
      </c>
      <c r="D13" s="17">
        <v>11</v>
      </c>
      <c r="E13" s="17">
        <v>20</v>
      </c>
      <c r="G13" s="23" t="s">
        <v>7</v>
      </c>
      <c r="H13" s="22">
        <f t="shared" ref="H13:J16" si="1">SUMIF($A$2:$A$9999,$G13,C$2:C$9999)</f>
        <v>1459</v>
      </c>
      <c r="I13" s="22">
        <f t="shared" si="1"/>
        <v>824</v>
      </c>
      <c r="J13" s="25">
        <f t="shared" si="1"/>
        <v>1727</v>
      </c>
    </row>
    <row r="14" spans="1:13" x14ac:dyDescent="0.3">
      <c r="A14" s="17" t="s">
        <v>1</v>
      </c>
      <c r="B14" s="17" t="s">
        <v>33</v>
      </c>
      <c r="C14" s="17">
        <v>12</v>
      </c>
      <c r="D14" s="17">
        <v>10</v>
      </c>
      <c r="E14" s="17">
        <v>12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281</v>
      </c>
      <c r="C15" s="17">
        <v>14</v>
      </c>
      <c r="D15" s="17">
        <v>10</v>
      </c>
      <c r="E15" s="17">
        <v>17</v>
      </c>
      <c r="G15" s="23" t="s">
        <v>11</v>
      </c>
      <c r="H15" s="22">
        <f t="shared" si="1"/>
        <v>725</v>
      </c>
      <c r="I15" s="22">
        <f t="shared" si="1"/>
        <v>559</v>
      </c>
      <c r="J15" s="25">
        <f t="shared" si="1"/>
        <v>851</v>
      </c>
    </row>
    <row r="16" spans="1:13" ht="17.25" thickBot="1" x14ac:dyDescent="0.35">
      <c r="A16" s="17" t="s">
        <v>1</v>
      </c>
      <c r="B16" s="17" t="s">
        <v>1927</v>
      </c>
      <c r="C16" s="17">
        <v>15</v>
      </c>
      <c r="D16" s="17">
        <v>10</v>
      </c>
      <c r="E16" s="17">
        <v>17</v>
      </c>
      <c r="G16" s="26" t="s">
        <v>12</v>
      </c>
      <c r="H16" s="27">
        <f t="shared" si="1"/>
        <v>89</v>
      </c>
      <c r="I16" s="27">
        <f t="shared" si="1"/>
        <v>47</v>
      </c>
      <c r="J16" s="28">
        <f t="shared" si="1"/>
        <v>134</v>
      </c>
    </row>
    <row r="17" spans="1:5" x14ac:dyDescent="0.3">
      <c r="A17" s="17" t="s">
        <v>1</v>
      </c>
      <c r="B17" s="17" t="s">
        <v>51</v>
      </c>
      <c r="C17" s="17">
        <v>11</v>
      </c>
      <c r="D17" s="17">
        <v>10</v>
      </c>
      <c r="E17" s="17">
        <v>13</v>
      </c>
    </row>
    <row r="18" spans="1:5" x14ac:dyDescent="0.3">
      <c r="A18" s="17" t="s">
        <v>0</v>
      </c>
      <c r="B18" s="17" t="s">
        <v>365</v>
      </c>
      <c r="C18" s="17">
        <v>9</v>
      </c>
      <c r="D18" s="17">
        <v>9</v>
      </c>
      <c r="E18" s="17">
        <v>10</v>
      </c>
    </row>
    <row r="19" spans="1:5" x14ac:dyDescent="0.3">
      <c r="A19" s="17" t="s">
        <v>1</v>
      </c>
      <c r="B19" s="17" t="s">
        <v>48</v>
      </c>
      <c r="C19" s="17">
        <v>14</v>
      </c>
      <c r="D19" s="17">
        <v>8</v>
      </c>
      <c r="E19" s="17">
        <v>15</v>
      </c>
    </row>
    <row r="20" spans="1:5" x14ac:dyDescent="0.3">
      <c r="A20" s="17" t="s">
        <v>1</v>
      </c>
      <c r="B20" s="17" t="s">
        <v>155</v>
      </c>
      <c r="C20" s="17">
        <v>9</v>
      </c>
      <c r="D20" s="17">
        <v>7</v>
      </c>
      <c r="E20" s="17">
        <v>10</v>
      </c>
    </row>
    <row r="21" spans="1:5" x14ac:dyDescent="0.3">
      <c r="A21" s="17" t="s">
        <v>1</v>
      </c>
      <c r="B21" s="17" t="s">
        <v>352</v>
      </c>
      <c r="C21" s="17">
        <v>7</v>
      </c>
      <c r="D21" s="17">
        <v>7</v>
      </c>
      <c r="E21" s="17">
        <v>13</v>
      </c>
    </row>
    <row r="22" spans="1:5" x14ac:dyDescent="0.3">
      <c r="A22" s="17" t="s">
        <v>1</v>
      </c>
      <c r="B22" s="17" t="s">
        <v>31</v>
      </c>
      <c r="C22" s="17">
        <v>9</v>
      </c>
      <c r="D22" s="17">
        <v>7</v>
      </c>
      <c r="E22" s="17">
        <v>8</v>
      </c>
    </row>
    <row r="23" spans="1:5" x14ac:dyDescent="0.3">
      <c r="A23" s="17" t="s">
        <v>0</v>
      </c>
      <c r="B23" s="17" t="s">
        <v>2075</v>
      </c>
      <c r="C23" s="17">
        <v>7</v>
      </c>
      <c r="D23" s="17">
        <v>7</v>
      </c>
      <c r="E23" s="17">
        <v>7</v>
      </c>
    </row>
    <row r="24" spans="1:5" x14ac:dyDescent="0.3">
      <c r="A24" s="17" t="s">
        <v>0</v>
      </c>
      <c r="B24" s="17" t="s">
        <v>37</v>
      </c>
      <c r="C24" s="17">
        <v>7</v>
      </c>
      <c r="D24" s="17">
        <v>7</v>
      </c>
      <c r="E24" s="17">
        <v>7</v>
      </c>
    </row>
    <row r="25" spans="1:5" x14ac:dyDescent="0.3">
      <c r="A25" s="17" t="s">
        <v>2</v>
      </c>
      <c r="B25" s="17" t="s">
        <v>2572</v>
      </c>
      <c r="C25" s="17">
        <v>7</v>
      </c>
      <c r="D25" s="17">
        <v>7</v>
      </c>
      <c r="E25" s="17">
        <v>10</v>
      </c>
    </row>
    <row r="26" spans="1:5" x14ac:dyDescent="0.3">
      <c r="A26" s="17" t="s">
        <v>0</v>
      </c>
      <c r="B26" s="17" t="s">
        <v>35</v>
      </c>
      <c r="C26" s="17">
        <v>6</v>
      </c>
      <c r="D26" s="17">
        <v>6</v>
      </c>
      <c r="E26" s="17">
        <v>8</v>
      </c>
    </row>
    <row r="27" spans="1:5" x14ac:dyDescent="0.3">
      <c r="A27" s="17" t="s">
        <v>0</v>
      </c>
      <c r="B27" s="17" t="s">
        <v>31</v>
      </c>
      <c r="C27" s="17">
        <v>7</v>
      </c>
      <c r="D27" s="17">
        <v>6</v>
      </c>
      <c r="E27" s="17">
        <v>6</v>
      </c>
    </row>
    <row r="28" spans="1:5" x14ac:dyDescent="0.3">
      <c r="A28" s="17" t="s">
        <v>1</v>
      </c>
      <c r="B28" s="17" t="s">
        <v>990</v>
      </c>
      <c r="C28" s="17">
        <v>7</v>
      </c>
      <c r="D28" s="17">
        <v>5</v>
      </c>
      <c r="E28" s="17">
        <v>9</v>
      </c>
    </row>
    <row r="29" spans="1:5" x14ac:dyDescent="0.3">
      <c r="A29" s="17" t="s">
        <v>1</v>
      </c>
      <c r="B29" s="17" t="s">
        <v>96</v>
      </c>
      <c r="C29" s="17">
        <v>10</v>
      </c>
      <c r="D29" s="17">
        <v>5</v>
      </c>
      <c r="E29" s="17">
        <v>12</v>
      </c>
    </row>
    <row r="30" spans="1:5" x14ac:dyDescent="0.3">
      <c r="A30" s="17" t="s">
        <v>1</v>
      </c>
      <c r="B30" s="17" t="s">
        <v>2075</v>
      </c>
      <c r="C30" s="17">
        <v>6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2396</v>
      </c>
      <c r="C31" s="17">
        <v>10</v>
      </c>
      <c r="D31" s="17">
        <v>5</v>
      </c>
      <c r="E31" s="17">
        <v>10</v>
      </c>
    </row>
    <row r="32" spans="1:5" x14ac:dyDescent="0.3">
      <c r="A32" s="17" t="s">
        <v>1</v>
      </c>
      <c r="B32" s="17" t="s">
        <v>526</v>
      </c>
      <c r="C32" s="17">
        <v>5</v>
      </c>
      <c r="D32" s="17">
        <v>5</v>
      </c>
      <c r="E32" s="17">
        <v>6</v>
      </c>
    </row>
    <row r="33" spans="1:5" x14ac:dyDescent="0.3">
      <c r="A33" s="17" t="s">
        <v>1</v>
      </c>
      <c r="B33" s="17" t="s">
        <v>897</v>
      </c>
      <c r="C33" s="17">
        <v>5</v>
      </c>
      <c r="D33" s="17">
        <v>5</v>
      </c>
      <c r="E33" s="17">
        <v>5</v>
      </c>
    </row>
    <row r="34" spans="1:5" x14ac:dyDescent="0.3">
      <c r="A34" s="17" t="s">
        <v>1</v>
      </c>
      <c r="B34" s="17" t="s">
        <v>194</v>
      </c>
      <c r="C34" s="17">
        <v>6</v>
      </c>
      <c r="D34" s="17">
        <v>5</v>
      </c>
      <c r="E34" s="17">
        <v>6</v>
      </c>
    </row>
    <row r="35" spans="1:5" x14ac:dyDescent="0.3">
      <c r="A35" s="17" t="s">
        <v>1</v>
      </c>
      <c r="B35" s="17" t="s">
        <v>241</v>
      </c>
      <c r="C35" s="17">
        <v>5</v>
      </c>
      <c r="D35" s="17">
        <v>5</v>
      </c>
      <c r="E35" s="17">
        <v>10</v>
      </c>
    </row>
    <row r="36" spans="1:5" x14ac:dyDescent="0.3">
      <c r="A36" s="17" t="s">
        <v>1</v>
      </c>
      <c r="B36" s="17" t="s">
        <v>32</v>
      </c>
      <c r="C36" s="17">
        <v>12</v>
      </c>
      <c r="D36" s="17">
        <v>5</v>
      </c>
      <c r="E36" s="17">
        <v>22</v>
      </c>
    </row>
    <row r="37" spans="1:5" x14ac:dyDescent="0.3">
      <c r="A37" s="17" t="s">
        <v>0</v>
      </c>
      <c r="B37" s="17" t="s">
        <v>352</v>
      </c>
      <c r="C37" s="17">
        <v>5</v>
      </c>
      <c r="D37" s="17">
        <v>5</v>
      </c>
      <c r="E37" s="17">
        <v>10</v>
      </c>
    </row>
    <row r="38" spans="1:5" x14ac:dyDescent="0.3">
      <c r="A38" s="17" t="s">
        <v>1</v>
      </c>
      <c r="B38" s="17" t="s">
        <v>273</v>
      </c>
      <c r="C38" s="17">
        <v>4</v>
      </c>
      <c r="D38" s="17">
        <v>4</v>
      </c>
      <c r="E38" s="17">
        <v>8</v>
      </c>
    </row>
    <row r="39" spans="1:5" x14ac:dyDescent="0.3">
      <c r="A39" s="17" t="s">
        <v>1</v>
      </c>
      <c r="B39" s="17" t="s">
        <v>34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151</v>
      </c>
      <c r="C40" s="17">
        <v>4</v>
      </c>
      <c r="D40" s="17">
        <v>4</v>
      </c>
      <c r="E40" s="17">
        <v>4</v>
      </c>
    </row>
    <row r="41" spans="1:5" x14ac:dyDescent="0.3">
      <c r="A41" s="17" t="s">
        <v>1</v>
      </c>
      <c r="B41" s="17" t="s">
        <v>89</v>
      </c>
      <c r="C41" s="17">
        <v>4</v>
      </c>
      <c r="D41" s="17">
        <v>4</v>
      </c>
      <c r="E41" s="17">
        <v>5</v>
      </c>
    </row>
    <row r="42" spans="1:5" x14ac:dyDescent="0.3">
      <c r="A42" s="17" t="s">
        <v>1</v>
      </c>
      <c r="B42" s="17" t="s">
        <v>2329</v>
      </c>
      <c r="C42" s="17">
        <v>4</v>
      </c>
      <c r="D42" s="17">
        <v>4</v>
      </c>
      <c r="E42" s="17">
        <v>5</v>
      </c>
    </row>
    <row r="43" spans="1:5" x14ac:dyDescent="0.3">
      <c r="A43" s="17" t="s">
        <v>1</v>
      </c>
      <c r="B43" s="17" t="s">
        <v>2789</v>
      </c>
      <c r="C43" s="17">
        <v>28</v>
      </c>
      <c r="D43" s="17">
        <v>4</v>
      </c>
      <c r="E43" s="17">
        <v>32</v>
      </c>
    </row>
    <row r="44" spans="1:5" x14ac:dyDescent="0.3">
      <c r="A44" s="17" t="s">
        <v>1</v>
      </c>
      <c r="B44" s="17" t="s">
        <v>104</v>
      </c>
      <c r="C44" s="17">
        <v>4</v>
      </c>
      <c r="D44" s="17">
        <v>4</v>
      </c>
      <c r="E44" s="17">
        <v>4</v>
      </c>
    </row>
    <row r="45" spans="1:5" x14ac:dyDescent="0.3">
      <c r="A45" s="17" t="s">
        <v>1</v>
      </c>
      <c r="B45" s="17" t="s">
        <v>107</v>
      </c>
      <c r="C45" s="17">
        <v>5</v>
      </c>
      <c r="D45" s="17">
        <v>4</v>
      </c>
      <c r="E45" s="17">
        <v>5</v>
      </c>
    </row>
    <row r="46" spans="1:5" x14ac:dyDescent="0.3">
      <c r="A46" s="17" t="s">
        <v>1</v>
      </c>
      <c r="B46" s="17" t="s">
        <v>29</v>
      </c>
      <c r="C46" s="17">
        <v>4</v>
      </c>
      <c r="D46" s="17">
        <v>4</v>
      </c>
      <c r="E46" s="17">
        <v>4</v>
      </c>
    </row>
    <row r="47" spans="1:5" x14ac:dyDescent="0.3">
      <c r="A47" s="17" t="s">
        <v>1</v>
      </c>
      <c r="B47" s="17" t="s">
        <v>289</v>
      </c>
      <c r="C47" s="17">
        <v>5</v>
      </c>
      <c r="D47" s="17">
        <v>4</v>
      </c>
      <c r="E47" s="17">
        <v>5</v>
      </c>
    </row>
    <row r="48" spans="1:5" x14ac:dyDescent="0.3">
      <c r="A48" s="17" t="s">
        <v>1</v>
      </c>
      <c r="B48" s="17" t="s">
        <v>872</v>
      </c>
      <c r="C48" s="17">
        <v>5</v>
      </c>
      <c r="D48" s="17">
        <v>4</v>
      </c>
      <c r="E48" s="17">
        <v>10</v>
      </c>
    </row>
    <row r="49" spans="1:5" x14ac:dyDescent="0.3">
      <c r="A49" s="17" t="s">
        <v>1</v>
      </c>
      <c r="B49" s="17" t="s">
        <v>291</v>
      </c>
      <c r="C49" s="17">
        <v>4</v>
      </c>
      <c r="D49" s="17">
        <v>4</v>
      </c>
      <c r="E49" s="17">
        <v>5</v>
      </c>
    </row>
    <row r="50" spans="1:5" x14ac:dyDescent="0.3">
      <c r="A50" s="17" t="s">
        <v>1</v>
      </c>
      <c r="B50" s="17" t="s">
        <v>45</v>
      </c>
      <c r="C50" s="17">
        <v>5</v>
      </c>
      <c r="D50" s="17">
        <v>4</v>
      </c>
      <c r="E50" s="17">
        <v>5</v>
      </c>
    </row>
    <row r="51" spans="1:5" x14ac:dyDescent="0.3">
      <c r="A51" s="17" t="s">
        <v>1</v>
      </c>
      <c r="B51" s="17" t="s">
        <v>120</v>
      </c>
      <c r="C51" s="17">
        <v>4</v>
      </c>
      <c r="D51" s="17">
        <v>4</v>
      </c>
      <c r="E51" s="17">
        <v>4</v>
      </c>
    </row>
    <row r="52" spans="1:5" x14ac:dyDescent="0.3">
      <c r="A52" s="17" t="s">
        <v>1</v>
      </c>
      <c r="B52" s="17" t="s">
        <v>687</v>
      </c>
      <c r="C52" s="17">
        <v>4</v>
      </c>
      <c r="D52" s="17">
        <v>9</v>
      </c>
      <c r="E52" s="17"/>
    </row>
    <row r="53" spans="1:5" x14ac:dyDescent="0.3">
      <c r="A53" s="17" t="s">
        <v>0</v>
      </c>
      <c r="B53" s="17" t="s">
        <v>34</v>
      </c>
      <c r="C53" s="17">
        <v>5</v>
      </c>
      <c r="D53" s="17">
        <v>4</v>
      </c>
      <c r="E53" s="17">
        <v>7</v>
      </c>
    </row>
    <row r="54" spans="1:5" x14ac:dyDescent="0.3">
      <c r="A54" s="17" t="s">
        <v>0</v>
      </c>
      <c r="B54" s="17" t="s">
        <v>1927</v>
      </c>
      <c r="C54" s="17">
        <v>6</v>
      </c>
      <c r="D54" s="17">
        <v>4</v>
      </c>
      <c r="E54" s="17">
        <v>7</v>
      </c>
    </row>
    <row r="55" spans="1:5" x14ac:dyDescent="0.3">
      <c r="A55" s="17" t="s">
        <v>0</v>
      </c>
      <c r="B55" s="17" t="s">
        <v>2789</v>
      </c>
      <c r="C55" s="17">
        <v>7</v>
      </c>
      <c r="D55" s="17">
        <v>4</v>
      </c>
      <c r="E55" s="17">
        <v>7</v>
      </c>
    </row>
    <row r="56" spans="1:5" x14ac:dyDescent="0.3">
      <c r="A56" s="17" t="s">
        <v>0</v>
      </c>
      <c r="B56" s="17" t="s">
        <v>68</v>
      </c>
      <c r="C56" s="17">
        <v>4</v>
      </c>
      <c r="D56" s="17">
        <v>4</v>
      </c>
      <c r="E56" s="17">
        <v>8</v>
      </c>
    </row>
    <row r="57" spans="1:5" x14ac:dyDescent="0.3">
      <c r="A57" s="17" t="s">
        <v>0</v>
      </c>
      <c r="B57" s="17" t="s">
        <v>196</v>
      </c>
      <c r="C57" s="17">
        <v>8</v>
      </c>
      <c r="D57" s="17">
        <v>4</v>
      </c>
      <c r="E57" s="17">
        <v>9</v>
      </c>
    </row>
    <row r="58" spans="1:5" x14ac:dyDescent="0.3">
      <c r="A58" s="17" t="s">
        <v>2</v>
      </c>
      <c r="B58" s="17" t="s">
        <v>1927</v>
      </c>
      <c r="C58" s="17">
        <v>4</v>
      </c>
      <c r="D58" s="17">
        <v>4</v>
      </c>
      <c r="E58" s="17">
        <v>5</v>
      </c>
    </row>
    <row r="59" spans="1:5" x14ac:dyDescent="0.3">
      <c r="A59" s="17" t="s">
        <v>2</v>
      </c>
      <c r="B59" s="17" t="s">
        <v>897</v>
      </c>
      <c r="C59" s="17">
        <v>5</v>
      </c>
      <c r="D59" s="17">
        <v>4</v>
      </c>
      <c r="E59" s="17">
        <v>6</v>
      </c>
    </row>
    <row r="60" spans="1:5" x14ac:dyDescent="0.3">
      <c r="A60" s="17" t="s">
        <v>1</v>
      </c>
      <c r="B60" s="17" t="s">
        <v>210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79</v>
      </c>
      <c r="C61" s="17">
        <v>5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152</v>
      </c>
      <c r="C62" s="17">
        <v>5</v>
      </c>
      <c r="D62" s="17">
        <v>3</v>
      </c>
      <c r="E62" s="17">
        <v>5</v>
      </c>
    </row>
    <row r="63" spans="1:5" x14ac:dyDescent="0.3">
      <c r="A63" s="17" t="s">
        <v>1</v>
      </c>
      <c r="B63" s="17" t="s">
        <v>487</v>
      </c>
      <c r="C63" s="17">
        <v>4</v>
      </c>
      <c r="D63" s="17">
        <v>3</v>
      </c>
      <c r="E63" s="17">
        <v>4</v>
      </c>
    </row>
    <row r="64" spans="1:5" x14ac:dyDescent="0.3">
      <c r="A64" s="17" t="s">
        <v>1</v>
      </c>
      <c r="B64" s="17" t="s">
        <v>403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168</v>
      </c>
      <c r="C65" s="17">
        <v>3</v>
      </c>
      <c r="D65" s="17">
        <v>3</v>
      </c>
      <c r="E65" s="17">
        <v>4</v>
      </c>
    </row>
    <row r="66" spans="1:5" x14ac:dyDescent="0.3">
      <c r="A66" s="17" t="s">
        <v>1</v>
      </c>
      <c r="B66" s="17" t="s">
        <v>199</v>
      </c>
      <c r="C66" s="17">
        <v>3</v>
      </c>
      <c r="D66" s="17">
        <v>3</v>
      </c>
      <c r="E66" s="17">
        <v>4</v>
      </c>
    </row>
    <row r="67" spans="1:5" x14ac:dyDescent="0.3">
      <c r="A67" s="17" t="s">
        <v>1</v>
      </c>
      <c r="B67" s="17" t="s">
        <v>406</v>
      </c>
      <c r="C67" s="17">
        <v>3</v>
      </c>
      <c r="D67" s="17">
        <v>3</v>
      </c>
      <c r="E67" s="17">
        <v>5</v>
      </c>
    </row>
    <row r="68" spans="1:5" x14ac:dyDescent="0.3">
      <c r="A68" s="17" t="s">
        <v>1</v>
      </c>
      <c r="B68" s="17" t="s">
        <v>111</v>
      </c>
      <c r="C68" s="17">
        <v>3</v>
      </c>
      <c r="D68" s="17">
        <v>3</v>
      </c>
      <c r="E68" s="17">
        <v>3</v>
      </c>
    </row>
    <row r="69" spans="1:5" x14ac:dyDescent="0.3">
      <c r="A69" s="17" t="s">
        <v>1</v>
      </c>
      <c r="B69" s="17" t="s">
        <v>328</v>
      </c>
      <c r="C69" s="17">
        <v>4</v>
      </c>
      <c r="D69" s="17">
        <v>3</v>
      </c>
      <c r="E69" s="17">
        <v>4</v>
      </c>
    </row>
    <row r="70" spans="1:5" x14ac:dyDescent="0.3">
      <c r="A70" s="17" t="s">
        <v>1</v>
      </c>
      <c r="B70" s="17" t="s">
        <v>343</v>
      </c>
      <c r="C70" s="17">
        <v>3</v>
      </c>
      <c r="D70" s="17">
        <v>3</v>
      </c>
      <c r="E70" s="17">
        <v>3</v>
      </c>
    </row>
    <row r="71" spans="1:5" x14ac:dyDescent="0.3">
      <c r="A71" s="17" t="s">
        <v>1</v>
      </c>
      <c r="B71" s="17" t="s">
        <v>890</v>
      </c>
      <c r="C71" s="17">
        <v>4</v>
      </c>
      <c r="D71" s="17">
        <v>3</v>
      </c>
      <c r="E71" s="17">
        <v>4</v>
      </c>
    </row>
    <row r="72" spans="1:5" x14ac:dyDescent="0.3">
      <c r="A72" s="17" t="s">
        <v>1</v>
      </c>
      <c r="B72" s="17" t="s">
        <v>180</v>
      </c>
      <c r="C72" s="17">
        <v>3</v>
      </c>
      <c r="D72" s="17">
        <v>3</v>
      </c>
      <c r="E72" s="17">
        <v>3</v>
      </c>
    </row>
    <row r="73" spans="1:5" x14ac:dyDescent="0.3">
      <c r="A73" s="17" t="s">
        <v>1</v>
      </c>
      <c r="B73" s="17" t="s">
        <v>67</v>
      </c>
      <c r="C73" s="17">
        <v>8</v>
      </c>
      <c r="D73" s="17">
        <v>3</v>
      </c>
      <c r="E73" s="17">
        <v>11</v>
      </c>
    </row>
    <row r="74" spans="1:5" x14ac:dyDescent="0.3">
      <c r="A74" s="17" t="s">
        <v>1</v>
      </c>
      <c r="B74" s="17" t="s">
        <v>376</v>
      </c>
      <c r="C74" s="17">
        <v>5</v>
      </c>
      <c r="D74" s="17">
        <v>3</v>
      </c>
      <c r="E74" s="17">
        <v>5</v>
      </c>
    </row>
    <row r="75" spans="1:5" x14ac:dyDescent="0.3">
      <c r="A75" s="17" t="s">
        <v>0</v>
      </c>
      <c r="B75" s="17" t="s">
        <v>33</v>
      </c>
      <c r="C75" s="17">
        <v>3</v>
      </c>
      <c r="D75" s="17">
        <v>3</v>
      </c>
      <c r="E75" s="17">
        <v>4</v>
      </c>
    </row>
    <row r="76" spans="1:5" x14ac:dyDescent="0.3">
      <c r="A76" s="17" t="s">
        <v>0</v>
      </c>
      <c r="B76" s="17" t="s">
        <v>48</v>
      </c>
      <c r="C76" s="17">
        <v>5</v>
      </c>
      <c r="D76" s="17">
        <v>3</v>
      </c>
      <c r="E76" s="17">
        <v>6</v>
      </c>
    </row>
    <row r="77" spans="1:5" x14ac:dyDescent="0.3">
      <c r="A77" s="17" t="s">
        <v>0</v>
      </c>
      <c r="B77" s="17" t="s">
        <v>40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1946</v>
      </c>
      <c r="C78" s="17">
        <v>3</v>
      </c>
      <c r="D78" s="17">
        <v>3</v>
      </c>
      <c r="E78" s="17">
        <v>4</v>
      </c>
    </row>
    <row r="79" spans="1:5" x14ac:dyDescent="0.3">
      <c r="A79" s="17" t="s">
        <v>0</v>
      </c>
      <c r="B79" s="17" t="s">
        <v>2396</v>
      </c>
      <c r="C79" s="17">
        <v>4</v>
      </c>
      <c r="D79" s="17">
        <v>3</v>
      </c>
      <c r="E79" s="17">
        <v>5</v>
      </c>
    </row>
    <row r="80" spans="1:5" x14ac:dyDescent="0.3">
      <c r="A80" s="17" t="s">
        <v>0</v>
      </c>
      <c r="B80" s="17" t="s">
        <v>28</v>
      </c>
      <c r="C80" s="17">
        <v>3</v>
      </c>
      <c r="D80" s="17">
        <v>3</v>
      </c>
      <c r="E80" s="17">
        <v>3</v>
      </c>
    </row>
    <row r="81" spans="1:5" x14ac:dyDescent="0.3">
      <c r="A81" s="17" t="s">
        <v>0</v>
      </c>
      <c r="B81" s="17" t="s">
        <v>51</v>
      </c>
      <c r="C81" s="17">
        <v>3</v>
      </c>
      <c r="D81" s="17">
        <v>3</v>
      </c>
      <c r="E81" s="17">
        <v>3</v>
      </c>
    </row>
    <row r="82" spans="1:5" x14ac:dyDescent="0.3">
      <c r="A82" s="17" t="s">
        <v>0</v>
      </c>
      <c r="B82" s="17" t="s">
        <v>468</v>
      </c>
      <c r="C82" s="17">
        <v>3</v>
      </c>
      <c r="D82" s="17">
        <v>3</v>
      </c>
      <c r="E82" s="17">
        <v>3</v>
      </c>
    </row>
    <row r="83" spans="1:5" x14ac:dyDescent="0.3">
      <c r="A83" s="17" t="s">
        <v>0</v>
      </c>
      <c r="B83" s="17" t="s">
        <v>695</v>
      </c>
      <c r="C83" s="17">
        <v>3</v>
      </c>
      <c r="D83" s="17">
        <v>3</v>
      </c>
      <c r="E83" s="17">
        <v>3</v>
      </c>
    </row>
    <row r="84" spans="1:5" x14ac:dyDescent="0.3">
      <c r="A84" s="17" t="s">
        <v>0</v>
      </c>
      <c r="B84" s="17" t="s">
        <v>2093</v>
      </c>
      <c r="C84" s="17">
        <v>3</v>
      </c>
      <c r="D84" s="17">
        <v>3</v>
      </c>
      <c r="E84" s="17">
        <v>6</v>
      </c>
    </row>
    <row r="85" spans="1:5" x14ac:dyDescent="0.3">
      <c r="A85" s="17" t="s">
        <v>0</v>
      </c>
      <c r="B85" s="17" t="s">
        <v>746</v>
      </c>
      <c r="C85" s="17">
        <v>3</v>
      </c>
      <c r="D85" s="17">
        <v>3</v>
      </c>
      <c r="E85" s="17">
        <v>7</v>
      </c>
    </row>
    <row r="86" spans="1:5" x14ac:dyDescent="0.3">
      <c r="A86" s="17" t="s">
        <v>0</v>
      </c>
      <c r="B86" s="17" t="s">
        <v>39</v>
      </c>
      <c r="C86" s="17">
        <v>6</v>
      </c>
      <c r="D86" s="17">
        <v>3</v>
      </c>
      <c r="E86" s="17">
        <v>7</v>
      </c>
    </row>
    <row r="87" spans="1:5" x14ac:dyDescent="0.3">
      <c r="A87" s="17" t="s">
        <v>0</v>
      </c>
      <c r="B87" s="17" t="s">
        <v>266</v>
      </c>
      <c r="C87" s="17">
        <v>3</v>
      </c>
      <c r="D87" s="17">
        <v>3</v>
      </c>
      <c r="E87" s="17">
        <v>3</v>
      </c>
    </row>
    <row r="88" spans="1:5" x14ac:dyDescent="0.3">
      <c r="A88" s="17" t="s">
        <v>0</v>
      </c>
      <c r="B88" s="17" t="s">
        <v>69</v>
      </c>
      <c r="C88" s="17">
        <v>3</v>
      </c>
      <c r="D88" s="17">
        <v>3</v>
      </c>
      <c r="E88" s="17">
        <v>3</v>
      </c>
    </row>
    <row r="89" spans="1:5" x14ac:dyDescent="0.3">
      <c r="A89" s="17" t="s">
        <v>2</v>
      </c>
      <c r="B89" s="17" t="s">
        <v>241</v>
      </c>
      <c r="C89" s="17">
        <v>3</v>
      </c>
      <c r="D89" s="17">
        <v>3</v>
      </c>
      <c r="E89" s="17">
        <v>3</v>
      </c>
    </row>
    <row r="90" spans="1:5" x14ac:dyDescent="0.3">
      <c r="A90" s="17" t="s">
        <v>1</v>
      </c>
      <c r="B90" s="17" t="s">
        <v>503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36</v>
      </c>
      <c r="C91" s="17">
        <v>4</v>
      </c>
      <c r="D91" s="17">
        <v>2</v>
      </c>
      <c r="E91" s="17">
        <v>5</v>
      </c>
    </row>
    <row r="92" spans="1:5" x14ac:dyDescent="0.3">
      <c r="A92" s="17" t="s">
        <v>1</v>
      </c>
      <c r="B92" s="17" t="s">
        <v>506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73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459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582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515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247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213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1218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92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93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41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60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1691</v>
      </c>
      <c r="C104" s="17">
        <v>2</v>
      </c>
      <c r="D104" s="17">
        <v>2</v>
      </c>
      <c r="E104" s="17">
        <v>3</v>
      </c>
    </row>
    <row r="105" spans="1:5" x14ac:dyDescent="0.3">
      <c r="A105" s="17" t="s">
        <v>1</v>
      </c>
      <c r="B105" s="17" t="s">
        <v>1897</v>
      </c>
      <c r="C105" s="17">
        <v>5</v>
      </c>
      <c r="D105" s="17">
        <v>2</v>
      </c>
      <c r="E105" s="17">
        <v>5</v>
      </c>
    </row>
    <row r="106" spans="1:5" x14ac:dyDescent="0.3">
      <c r="A106" s="17" t="s">
        <v>1</v>
      </c>
      <c r="B106" s="17" t="s">
        <v>2334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2445</v>
      </c>
      <c r="C107" s="17">
        <v>4</v>
      </c>
      <c r="D107" s="17">
        <v>2</v>
      </c>
      <c r="E107" s="17">
        <v>4</v>
      </c>
    </row>
    <row r="108" spans="1:5" x14ac:dyDescent="0.3">
      <c r="A108" s="17" t="s">
        <v>1</v>
      </c>
      <c r="B108" s="17" t="s">
        <v>49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491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492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103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913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2038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172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113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594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115</v>
      </c>
      <c r="C117" s="17">
        <v>3</v>
      </c>
      <c r="D117" s="17">
        <v>2</v>
      </c>
      <c r="E117" s="17">
        <v>3</v>
      </c>
    </row>
    <row r="118" spans="1:5" x14ac:dyDescent="0.3">
      <c r="A118" s="17" t="s">
        <v>1</v>
      </c>
      <c r="B118" s="17" t="s">
        <v>729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1292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176</v>
      </c>
      <c r="C120" s="17">
        <v>3</v>
      </c>
      <c r="D120" s="17">
        <v>2</v>
      </c>
      <c r="E120" s="17">
        <v>3</v>
      </c>
    </row>
    <row r="121" spans="1:5" x14ac:dyDescent="0.3">
      <c r="A121" s="17" t="s">
        <v>1</v>
      </c>
      <c r="B121" s="17" t="s">
        <v>887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123</v>
      </c>
      <c r="C122" s="17">
        <v>2</v>
      </c>
      <c r="D122" s="17">
        <v>2</v>
      </c>
      <c r="E122" s="17">
        <v>3</v>
      </c>
    </row>
    <row r="123" spans="1:5" x14ac:dyDescent="0.3">
      <c r="A123" s="17" t="s">
        <v>1</v>
      </c>
      <c r="B123" s="17" t="s">
        <v>184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429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52</v>
      </c>
      <c r="C125" s="17">
        <v>5</v>
      </c>
      <c r="D125" s="17">
        <v>2</v>
      </c>
      <c r="E125" s="17">
        <v>10</v>
      </c>
    </row>
    <row r="126" spans="1:5" x14ac:dyDescent="0.3">
      <c r="A126" s="17" t="s">
        <v>1</v>
      </c>
      <c r="B126" s="17" t="s">
        <v>129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134</v>
      </c>
      <c r="C127" s="17">
        <v>3</v>
      </c>
      <c r="D127" s="17">
        <v>2</v>
      </c>
      <c r="E127" s="17">
        <v>3</v>
      </c>
    </row>
    <row r="128" spans="1:5" x14ac:dyDescent="0.3">
      <c r="A128" s="17" t="s">
        <v>1</v>
      </c>
      <c r="B128" s="17" t="s">
        <v>351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1</v>
      </c>
      <c r="B129" s="17" t="s">
        <v>38</v>
      </c>
      <c r="C129" s="17">
        <v>3</v>
      </c>
      <c r="D129" s="17">
        <v>2</v>
      </c>
      <c r="E129" s="17">
        <v>3</v>
      </c>
    </row>
    <row r="130" spans="1:5" x14ac:dyDescent="0.3">
      <c r="A130" s="17" t="s">
        <v>1</v>
      </c>
      <c r="B130" s="17" t="s">
        <v>499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236</v>
      </c>
      <c r="C131" s="17">
        <v>5</v>
      </c>
      <c r="D131" s="17">
        <v>2</v>
      </c>
      <c r="E131" s="17">
        <v>5</v>
      </c>
    </row>
    <row r="132" spans="1:5" x14ac:dyDescent="0.3">
      <c r="A132" s="17" t="s">
        <v>1</v>
      </c>
      <c r="B132" s="17" t="s">
        <v>68</v>
      </c>
      <c r="C132" s="17">
        <v>6</v>
      </c>
      <c r="D132" s="17">
        <v>2</v>
      </c>
      <c r="E132" s="17">
        <v>10</v>
      </c>
    </row>
    <row r="133" spans="1:5" x14ac:dyDescent="0.3">
      <c r="A133" s="17" t="s">
        <v>1</v>
      </c>
      <c r="B133" s="17" t="s">
        <v>54</v>
      </c>
      <c r="C133" s="17">
        <v>9</v>
      </c>
      <c r="D133" s="17">
        <v>2</v>
      </c>
      <c r="E133" s="17">
        <v>14</v>
      </c>
    </row>
    <row r="134" spans="1:5" x14ac:dyDescent="0.3">
      <c r="A134" s="17" t="s">
        <v>1</v>
      </c>
      <c r="B134" s="17" t="s">
        <v>2346</v>
      </c>
      <c r="C134" s="17">
        <v>2</v>
      </c>
      <c r="D134" s="17">
        <v>3</v>
      </c>
      <c r="E134" s="17"/>
    </row>
    <row r="135" spans="1:5" x14ac:dyDescent="0.3">
      <c r="A135" s="17" t="s">
        <v>1</v>
      </c>
      <c r="B135" s="17" t="s">
        <v>850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1</v>
      </c>
      <c r="B136" s="17" t="s">
        <v>69</v>
      </c>
      <c r="C136" s="17">
        <v>3</v>
      </c>
      <c r="D136" s="17">
        <v>2</v>
      </c>
      <c r="E136" s="17">
        <v>3</v>
      </c>
    </row>
    <row r="137" spans="1:5" x14ac:dyDescent="0.3">
      <c r="A137" s="17" t="s">
        <v>0</v>
      </c>
      <c r="B137" s="17" t="s">
        <v>619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59</v>
      </c>
      <c r="C138" s="17">
        <v>3</v>
      </c>
      <c r="D138" s="17">
        <v>2</v>
      </c>
      <c r="E138" s="17">
        <v>3</v>
      </c>
    </row>
    <row r="139" spans="1:5" x14ac:dyDescent="0.3">
      <c r="A139" s="17" t="s">
        <v>0</v>
      </c>
      <c r="B139" s="17" t="s">
        <v>267</v>
      </c>
      <c r="C139" s="17">
        <v>3</v>
      </c>
      <c r="D139" s="17">
        <v>2</v>
      </c>
      <c r="E139" s="17">
        <v>4</v>
      </c>
    </row>
    <row r="140" spans="1:5" x14ac:dyDescent="0.3">
      <c r="A140" s="17" t="s">
        <v>0</v>
      </c>
      <c r="B140" s="17" t="s">
        <v>152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60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157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61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2705</v>
      </c>
      <c r="C144" s="17">
        <v>6</v>
      </c>
      <c r="D144" s="17">
        <v>2</v>
      </c>
      <c r="E144" s="17">
        <v>6</v>
      </c>
    </row>
    <row r="145" spans="1:5" x14ac:dyDescent="0.3">
      <c r="A145" s="17" t="s">
        <v>0</v>
      </c>
      <c r="B145" s="17" t="s">
        <v>526</v>
      </c>
      <c r="C145" s="17">
        <v>2</v>
      </c>
      <c r="D145" s="17">
        <v>2</v>
      </c>
      <c r="E145" s="17">
        <v>3</v>
      </c>
    </row>
    <row r="146" spans="1:5" x14ac:dyDescent="0.3">
      <c r="A146" s="17" t="s">
        <v>0</v>
      </c>
      <c r="B146" s="17" t="s">
        <v>160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771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169</v>
      </c>
      <c r="C148" s="17">
        <v>2</v>
      </c>
      <c r="D148" s="17">
        <v>2</v>
      </c>
      <c r="E148" s="17">
        <v>4</v>
      </c>
    </row>
    <row r="149" spans="1:5" x14ac:dyDescent="0.3">
      <c r="A149" s="17" t="s">
        <v>0</v>
      </c>
      <c r="B149" s="17" t="s">
        <v>113</v>
      </c>
      <c r="C149" s="17">
        <v>3</v>
      </c>
      <c r="D149" s="17">
        <v>2</v>
      </c>
      <c r="E149" s="17">
        <v>3</v>
      </c>
    </row>
    <row r="150" spans="1:5" x14ac:dyDescent="0.3">
      <c r="A150" s="17" t="s">
        <v>0</v>
      </c>
      <c r="B150" s="17" t="s">
        <v>1603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191</v>
      </c>
      <c r="C151" s="17">
        <v>2</v>
      </c>
      <c r="D151" s="17">
        <v>2</v>
      </c>
      <c r="E151" s="17">
        <v>3</v>
      </c>
    </row>
    <row r="152" spans="1:5" x14ac:dyDescent="0.3">
      <c r="A152" s="17" t="s">
        <v>2</v>
      </c>
      <c r="B152" s="17" t="s">
        <v>89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2</v>
      </c>
      <c r="B153" s="17" t="s">
        <v>2692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2</v>
      </c>
      <c r="B154" s="17" t="s">
        <v>51</v>
      </c>
      <c r="C154" s="17">
        <v>2</v>
      </c>
      <c r="D154" s="17">
        <v>2</v>
      </c>
      <c r="E154" s="17">
        <v>3</v>
      </c>
    </row>
    <row r="155" spans="1:5" x14ac:dyDescent="0.3">
      <c r="A155" s="17" t="s">
        <v>1</v>
      </c>
      <c r="B155" s="17" t="s">
        <v>2804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982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984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243</v>
      </c>
      <c r="C158" s="17">
        <v>1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355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269</v>
      </c>
      <c r="C160" s="17">
        <v>3</v>
      </c>
      <c r="D160" s="17">
        <v>1</v>
      </c>
      <c r="E160" s="17">
        <v>3</v>
      </c>
    </row>
    <row r="161" spans="1:5" x14ac:dyDescent="0.3">
      <c r="A161" s="17" t="s">
        <v>1</v>
      </c>
      <c r="B161" s="17" t="s">
        <v>432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579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206</v>
      </c>
      <c r="C163" s="17">
        <v>1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792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57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705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272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394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1254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78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1710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1175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626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1336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517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906</v>
      </c>
      <c r="C176" s="17">
        <v>3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59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80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212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860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82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40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462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518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215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863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85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279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584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88</v>
      </c>
      <c r="C190" s="17">
        <v>2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1102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480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362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2650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481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1593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2805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153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219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1284</v>
      </c>
      <c r="C200" s="17">
        <v>1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154</v>
      </c>
      <c r="C201" s="17">
        <v>3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437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522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438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42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157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95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251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686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1708</v>
      </c>
      <c r="C210" s="17">
        <v>2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1775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1860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1912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2293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2363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2401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2399</v>
      </c>
      <c r="C217" s="17">
        <v>2</v>
      </c>
      <c r="D217" s="17">
        <v>1</v>
      </c>
      <c r="E217" s="17">
        <v>3</v>
      </c>
    </row>
    <row r="218" spans="1:5" x14ac:dyDescent="0.3">
      <c r="A218" s="17" t="s">
        <v>1</v>
      </c>
      <c r="B218" s="17" t="s">
        <v>2397</v>
      </c>
      <c r="C218" s="17">
        <v>6</v>
      </c>
      <c r="D218" s="17">
        <v>1</v>
      </c>
      <c r="E218" s="17">
        <v>6</v>
      </c>
    </row>
    <row r="219" spans="1:5" x14ac:dyDescent="0.3">
      <c r="A219" s="17" t="s">
        <v>1</v>
      </c>
      <c r="B219" s="17" t="s">
        <v>2599</v>
      </c>
      <c r="C219" s="17">
        <v>6</v>
      </c>
      <c r="D219" s="17">
        <v>1</v>
      </c>
      <c r="E219" s="17">
        <v>9</v>
      </c>
    </row>
    <row r="220" spans="1:5" x14ac:dyDescent="0.3">
      <c r="A220" s="17" t="s">
        <v>1</v>
      </c>
      <c r="B220" s="17" t="s">
        <v>1167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866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440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1193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1066</v>
      </c>
      <c r="C224" s="17">
        <v>2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945</v>
      </c>
      <c r="C225" s="17">
        <v>3</v>
      </c>
      <c r="D225" s="17">
        <v>1</v>
      </c>
      <c r="E225" s="17">
        <v>3</v>
      </c>
    </row>
    <row r="226" spans="1:5" x14ac:dyDescent="0.3">
      <c r="A226" s="17" t="s">
        <v>1</v>
      </c>
      <c r="B226" s="17" t="s">
        <v>527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2406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528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1958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1104</v>
      </c>
      <c r="C230" s="17">
        <v>1</v>
      </c>
      <c r="D230" s="17">
        <v>1</v>
      </c>
      <c r="E230" s="17">
        <v>3</v>
      </c>
    </row>
    <row r="231" spans="1:5" x14ac:dyDescent="0.3">
      <c r="A231" s="17" t="s">
        <v>1</v>
      </c>
      <c r="B231" s="17" t="s">
        <v>2617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715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265</v>
      </c>
      <c r="C233" s="17">
        <v>2</v>
      </c>
      <c r="D233" s="17">
        <v>1</v>
      </c>
      <c r="E233" s="17">
        <v>3</v>
      </c>
    </row>
    <row r="234" spans="1:5" x14ac:dyDescent="0.3">
      <c r="A234" s="17" t="s">
        <v>1</v>
      </c>
      <c r="B234" s="17" t="s">
        <v>586</v>
      </c>
      <c r="C234" s="17">
        <v>3</v>
      </c>
      <c r="D234" s="17">
        <v>1</v>
      </c>
      <c r="E234" s="17">
        <v>3</v>
      </c>
    </row>
    <row r="235" spans="1:5" x14ac:dyDescent="0.3">
      <c r="A235" s="17" t="s">
        <v>1</v>
      </c>
      <c r="B235" s="17" t="s">
        <v>769</v>
      </c>
      <c r="C235" s="17">
        <v>1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441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995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1145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164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2806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1692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404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2807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28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590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2618</v>
      </c>
      <c r="C246" s="17">
        <v>1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105</v>
      </c>
      <c r="C247" s="17">
        <v>1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106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2808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1182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167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1130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442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2013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1001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1709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2809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1195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1099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1663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1093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1638</v>
      </c>
      <c r="C262" s="17">
        <v>1</v>
      </c>
      <c r="D262" s="17">
        <v>1</v>
      </c>
      <c r="E262" s="17">
        <v>2</v>
      </c>
    </row>
    <row r="263" spans="1:5" x14ac:dyDescent="0.3">
      <c r="A263" s="17" t="s">
        <v>1</v>
      </c>
      <c r="B263" s="17" t="s">
        <v>173</v>
      </c>
      <c r="C263" s="17">
        <v>1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2810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2811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533</v>
      </c>
      <c r="C266" s="17">
        <v>2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44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807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876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2061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2726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722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539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1628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2070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2333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331</v>
      </c>
      <c r="C277" s="17">
        <v>2</v>
      </c>
      <c r="D277" s="17">
        <v>1</v>
      </c>
      <c r="E277" s="17">
        <v>9</v>
      </c>
    </row>
    <row r="278" spans="1:5" x14ac:dyDescent="0.3">
      <c r="A278" s="17" t="s">
        <v>1</v>
      </c>
      <c r="B278" s="17" t="s">
        <v>1347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467</v>
      </c>
      <c r="C279" s="17">
        <v>2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1197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917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728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1290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1008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1720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1243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975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413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2812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2394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1528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337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1699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846</v>
      </c>
      <c r="C294" s="17">
        <v>1</v>
      </c>
      <c r="D294" s="17">
        <v>1</v>
      </c>
      <c r="E294" s="17">
        <v>3</v>
      </c>
    </row>
    <row r="295" spans="1:5" x14ac:dyDescent="0.3">
      <c r="A295" s="17" t="s">
        <v>1</v>
      </c>
      <c r="B295" s="17" t="s">
        <v>1180</v>
      </c>
      <c r="C295" s="17">
        <v>1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2813</v>
      </c>
      <c r="C296" s="17">
        <v>1</v>
      </c>
      <c r="D296" s="17">
        <v>1</v>
      </c>
      <c r="E296" s="17">
        <v>4</v>
      </c>
    </row>
    <row r="297" spans="1:5" x14ac:dyDescent="0.3">
      <c r="A297" s="17" t="s">
        <v>1</v>
      </c>
      <c r="B297" s="17" t="s">
        <v>231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1080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2814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2815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1433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2816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417</v>
      </c>
      <c r="C303" s="17">
        <v>2</v>
      </c>
      <c r="D303" s="17">
        <v>1</v>
      </c>
      <c r="E303" s="17">
        <v>3</v>
      </c>
    </row>
    <row r="304" spans="1:5" x14ac:dyDescent="0.3">
      <c r="A304" s="17" t="s">
        <v>1</v>
      </c>
      <c r="B304" s="17" t="s">
        <v>2817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448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341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1455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470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736</v>
      </c>
      <c r="C309" s="17">
        <v>1</v>
      </c>
      <c r="D309" s="17">
        <v>1</v>
      </c>
      <c r="E309" s="17">
        <v>2</v>
      </c>
    </row>
    <row r="310" spans="1:5" x14ac:dyDescent="0.3">
      <c r="A310" s="17" t="s">
        <v>1</v>
      </c>
      <c r="B310" s="17" t="s">
        <v>200</v>
      </c>
      <c r="C310" s="17">
        <v>2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662</v>
      </c>
      <c r="C311" s="17">
        <v>3</v>
      </c>
      <c r="D311" s="17">
        <v>1</v>
      </c>
      <c r="E311" s="17">
        <v>3</v>
      </c>
    </row>
    <row r="312" spans="1:5" x14ac:dyDescent="0.3">
      <c r="A312" s="17" t="s">
        <v>1</v>
      </c>
      <c r="B312" s="17" t="s">
        <v>682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122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817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124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695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125</v>
      </c>
      <c r="C317" s="17">
        <v>1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178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1779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179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555</v>
      </c>
      <c r="C321" s="17">
        <v>2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1445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791</v>
      </c>
      <c r="C323" s="17">
        <v>2</v>
      </c>
      <c r="D323" s="17">
        <v>1</v>
      </c>
      <c r="E323" s="17">
        <v>3</v>
      </c>
    </row>
    <row r="324" spans="1:5" x14ac:dyDescent="0.3">
      <c r="A324" s="17" t="s">
        <v>1</v>
      </c>
      <c r="B324" s="17" t="s">
        <v>300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1457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1382</v>
      </c>
      <c r="C326" s="17">
        <v>1</v>
      </c>
      <c r="D326" s="17">
        <v>1</v>
      </c>
      <c r="E326" s="17">
        <v>2</v>
      </c>
    </row>
    <row r="327" spans="1:5" x14ac:dyDescent="0.3">
      <c r="A327" s="17" t="s">
        <v>1</v>
      </c>
      <c r="B327" s="17" t="s">
        <v>603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421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1016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63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746</v>
      </c>
      <c r="C331" s="17">
        <v>2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1019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896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664</v>
      </c>
      <c r="C334" s="17">
        <v>2</v>
      </c>
      <c r="D334" s="17">
        <v>1</v>
      </c>
      <c r="E334" s="17">
        <v>2</v>
      </c>
    </row>
    <row r="335" spans="1:5" x14ac:dyDescent="0.3">
      <c r="A335" s="17" t="s">
        <v>1</v>
      </c>
      <c r="B335" s="17" t="s">
        <v>2133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425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604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2818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1042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304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821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127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823</v>
      </c>
      <c r="C343" s="17">
        <v>2</v>
      </c>
      <c r="D343" s="17">
        <v>1</v>
      </c>
      <c r="E343" s="17">
        <v>4</v>
      </c>
    </row>
    <row r="344" spans="1:5" x14ac:dyDescent="0.3">
      <c r="A344" s="17" t="s">
        <v>1</v>
      </c>
      <c r="B344" s="17" t="s">
        <v>2103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920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1096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566</v>
      </c>
      <c r="C347" s="17">
        <v>1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1200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135</v>
      </c>
      <c r="C349" s="17">
        <v>2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842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500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53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263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193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1893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1136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1124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195</v>
      </c>
      <c r="C358" s="17">
        <v>4</v>
      </c>
      <c r="D358" s="17">
        <v>1</v>
      </c>
      <c r="E358" s="17">
        <v>6</v>
      </c>
    </row>
    <row r="359" spans="1:5" x14ac:dyDescent="0.3">
      <c r="A359" s="17" t="s">
        <v>1</v>
      </c>
      <c r="B359" s="17" t="s">
        <v>196</v>
      </c>
      <c r="C359" s="17">
        <v>22</v>
      </c>
      <c r="D359" s="17">
        <v>1</v>
      </c>
      <c r="E359" s="17">
        <v>32</v>
      </c>
    </row>
    <row r="360" spans="1:5" x14ac:dyDescent="0.3">
      <c r="A360" s="17" t="s">
        <v>1</v>
      </c>
      <c r="B360" s="17" t="s">
        <v>39</v>
      </c>
      <c r="C360" s="17">
        <v>14</v>
      </c>
      <c r="D360" s="17">
        <v>1</v>
      </c>
      <c r="E360" s="17">
        <v>18</v>
      </c>
    </row>
    <row r="361" spans="1:5" x14ac:dyDescent="0.3">
      <c r="A361" s="17" t="s">
        <v>1</v>
      </c>
      <c r="B361" s="17" t="s">
        <v>1239</v>
      </c>
      <c r="C361" s="17">
        <v>1</v>
      </c>
      <c r="D361" s="17">
        <v>1</v>
      </c>
      <c r="E361" s="17"/>
    </row>
    <row r="362" spans="1:5" x14ac:dyDescent="0.3">
      <c r="A362" s="17" t="s">
        <v>1</v>
      </c>
      <c r="B362" s="17" t="s">
        <v>2819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1046</v>
      </c>
      <c r="C363" s="17">
        <v>1</v>
      </c>
      <c r="D363" s="17">
        <v>1</v>
      </c>
      <c r="E363" s="17">
        <v>2</v>
      </c>
    </row>
    <row r="364" spans="1:5" x14ac:dyDescent="0.3">
      <c r="A364" s="17" t="s">
        <v>1</v>
      </c>
      <c r="B364" s="17" t="s">
        <v>2820</v>
      </c>
      <c r="C364" s="17">
        <v>1</v>
      </c>
      <c r="D364" s="17">
        <v>1</v>
      </c>
      <c r="E364" s="17">
        <v>2</v>
      </c>
    </row>
    <row r="365" spans="1:5" x14ac:dyDescent="0.3">
      <c r="A365" s="17" t="s">
        <v>1</v>
      </c>
      <c r="B365" s="17" t="s">
        <v>1531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2821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1632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1028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1404</v>
      </c>
      <c r="C369" s="17">
        <v>2</v>
      </c>
      <c r="D369" s="17">
        <v>1</v>
      </c>
      <c r="E369" s="17">
        <v>2</v>
      </c>
    </row>
    <row r="370" spans="1:5" x14ac:dyDescent="0.3">
      <c r="A370" s="17" t="s">
        <v>1</v>
      </c>
      <c r="B370" s="17" t="s">
        <v>2822</v>
      </c>
      <c r="C370" s="17">
        <v>1</v>
      </c>
      <c r="D370" s="17">
        <v>2</v>
      </c>
      <c r="E370" s="17"/>
    </row>
    <row r="371" spans="1:5" x14ac:dyDescent="0.3">
      <c r="A371" s="17" t="s">
        <v>1</v>
      </c>
      <c r="B371" s="17" t="s">
        <v>1637</v>
      </c>
      <c r="C371" s="17">
        <v>1</v>
      </c>
      <c r="D371" s="17">
        <v>1</v>
      </c>
      <c r="E371" s="17"/>
    </row>
    <row r="372" spans="1:5" x14ac:dyDescent="0.3">
      <c r="A372" s="17" t="s">
        <v>1</v>
      </c>
      <c r="B372" s="17" t="s">
        <v>757</v>
      </c>
      <c r="C372" s="17">
        <v>1</v>
      </c>
      <c r="D372" s="17">
        <v>1</v>
      </c>
      <c r="E372" s="17">
        <v>2</v>
      </c>
    </row>
    <row r="373" spans="1:5" x14ac:dyDescent="0.3">
      <c r="A373" s="17" t="s">
        <v>1</v>
      </c>
      <c r="B373" s="17" t="s">
        <v>2145</v>
      </c>
      <c r="C373" s="17">
        <v>1</v>
      </c>
      <c r="D373" s="17">
        <v>1</v>
      </c>
      <c r="E373" s="17"/>
    </row>
    <row r="374" spans="1:5" x14ac:dyDescent="0.3">
      <c r="A374" s="17" t="s">
        <v>1</v>
      </c>
      <c r="B374" s="17" t="s">
        <v>1679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2171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1</v>
      </c>
      <c r="B376" s="17" t="s">
        <v>1438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2823</v>
      </c>
      <c r="C377" s="17">
        <v>1</v>
      </c>
      <c r="D377" s="17">
        <v>1</v>
      </c>
      <c r="E377" s="17">
        <v>2</v>
      </c>
    </row>
    <row r="378" spans="1:5" x14ac:dyDescent="0.3">
      <c r="A378" s="17" t="s">
        <v>1</v>
      </c>
      <c r="B378" s="17" t="s">
        <v>2285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573</v>
      </c>
      <c r="C379" s="17">
        <v>1</v>
      </c>
      <c r="D379" s="17">
        <v>1</v>
      </c>
      <c r="E379" s="17"/>
    </row>
    <row r="380" spans="1:5" x14ac:dyDescent="0.3">
      <c r="A380" s="17" t="s">
        <v>1</v>
      </c>
      <c r="B380" s="17" t="s">
        <v>1164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2359</v>
      </c>
      <c r="C381" s="17">
        <v>1</v>
      </c>
      <c r="D381" s="17">
        <v>1</v>
      </c>
      <c r="E381" s="17">
        <v>2</v>
      </c>
    </row>
    <row r="382" spans="1:5" x14ac:dyDescent="0.3">
      <c r="A382" s="17" t="s">
        <v>1</v>
      </c>
      <c r="B382" s="17" t="s">
        <v>2824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485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2050</v>
      </c>
      <c r="C384" s="17">
        <v>1</v>
      </c>
      <c r="D384" s="17">
        <v>1</v>
      </c>
      <c r="E384" s="17"/>
    </row>
    <row r="385" spans="1:5" x14ac:dyDescent="0.3">
      <c r="A385" s="17" t="s">
        <v>1</v>
      </c>
      <c r="B385" s="17" t="s">
        <v>927</v>
      </c>
      <c r="C385" s="17">
        <v>1</v>
      </c>
      <c r="D385" s="17">
        <v>1</v>
      </c>
      <c r="E385" s="17"/>
    </row>
    <row r="386" spans="1:5" x14ac:dyDescent="0.3">
      <c r="A386" s="17" t="s">
        <v>1</v>
      </c>
      <c r="B386" s="17" t="s">
        <v>981</v>
      </c>
      <c r="C386" s="17">
        <v>1</v>
      </c>
      <c r="D386" s="17">
        <v>2</v>
      </c>
      <c r="E386" s="17"/>
    </row>
    <row r="387" spans="1:5" x14ac:dyDescent="0.3">
      <c r="A387" s="17" t="s">
        <v>1</v>
      </c>
      <c r="B387" s="17" t="s">
        <v>2165</v>
      </c>
      <c r="C387" s="17">
        <v>1</v>
      </c>
      <c r="D387" s="17">
        <v>1</v>
      </c>
      <c r="E387" s="17">
        <v>2</v>
      </c>
    </row>
    <row r="388" spans="1:5" x14ac:dyDescent="0.3">
      <c r="A388" s="17" t="s">
        <v>1</v>
      </c>
      <c r="B388" s="17" t="s">
        <v>1213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70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142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2251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57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208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273</v>
      </c>
      <c r="C394" s="17">
        <v>2</v>
      </c>
      <c r="D394" s="17">
        <v>1</v>
      </c>
      <c r="E394" s="17">
        <v>2</v>
      </c>
    </row>
    <row r="395" spans="1:5" x14ac:dyDescent="0.3">
      <c r="A395" s="17" t="s">
        <v>0</v>
      </c>
      <c r="B395" s="17" t="s">
        <v>490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2527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356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276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989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79</v>
      </c>
      <c r="C400" s="17">
        <v>3</v>
      </c>
      <c r="D400" s="17">
        <v>1</v>
      </c>
      <c r="E400" s="17">
        <v>3</v>
      </c>
    </row>
    <row r="401" spans="1:5" x14ac:dyDescent="0.3">
      <c r="A401" s="17" t="s">
        <v>0</v>
      </c>
      <c r="B401" s="17" t="s">
        <v>1624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583</v>
      </c>
      <c r="C402" s="17">
        <v>2</v>
      </c>
      <c r="D402" s="17">
        <v>1</v>
      </c>
      <c r="E402" s="17">
        <v>3</v>
      </c>
    </row>
    <row r="403" spans="1:5" x14ac:dyDescent="0.3">
      <c r="A403" s="17" t="s">
        <v>0</v>
      </c>
      <c r="B403" s="17" t="s">
        <v>936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1702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83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215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86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584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1360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149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710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89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634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153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926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219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248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281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221</v>
      </c>
      <c r="C419" s="17">
        <v>2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154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155</v>
      </c>
      <c r="C421" s="17">
        <v>2</v>
      </c>
      <c r="D421" s="17">
        <v>1</v>
      </c>
      <c r="E421" s="17">
        <v>3</v>
      </c>
    </row>
    <row r="422" spans="1:5" x14ac:dyDescent="0.3">
      <c r="A422" s="17" t="s">
        <v>0</v>
      </c>
      <c r="B422" s="17" t="s">
        <v>942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41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42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251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1662</v>
      </c>
      <c r="C426" s="17">
        <v>2</v>
      </c>
      <c r="D426" s="17">
        <v>1</v>
      </c>
      <c r="E426" s="17">
        <v>2</v>
      </c>
    </row>
    <row r="427" spans="1:5" x14ac:dyDescent="0.3">
      <c r="A427" s="17" t="s">
        <v>0</v>
      </c>
      <c r="B427" s="17" t="s">
        <v>1928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2115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2363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2429</v>
      </c>
      <c r="C430" s="17">
        <v>2</v>
      </c>
      <c r="D430" s="17">
        <v>1</v>
      </c>
      <c r="E430" s="17">
        <v>2</v>
      </c>
    </row>
    <row r="431" spans="1:5" x14ac:dyDescent="0.3">
      <c r="A431" s="17" t="s">
        <v>0</v>
      </c>
      <c r="B431" s="17" t="s">
        <v>2599</v>
      </c>
      <c r="C431" s="17">
        <v>2</v>
      </c>
      <c r="D431" s="17">
        <v>1</v>
      </c>
      <c r="E431" s="17">
        <v>3</v>
      </c>
    </row>
    <row r="432" spans="1:5" x14ac:dyDescent="0.3">
      <c r="A432" s="17" t="s">
        <v>0</v>
      </c>
      <c r="B432" s="17" t="s">
        <v>1861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2825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97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1065</v>
      </c>
      <c r="C435" s="17">
        <v>2</v>
      </c>
      <c r="D435" s="17">
        <v>1</v>
      </c>
      <c r="E435" s="17">
        <v>2</v>
      </c>
    </row>
    <row r="436" spans="1:5" x14ac:dyDescent="0.3">
      <c r="A436" s="17" t="s">
        <v>0</v>
      </c>
      <c r="B436" s="17" t="s">
        <v>492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945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1479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265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803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1538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161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1480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911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285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2826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322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1107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43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772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1205</v>
      </c>
      <c r="C451" s="17">
        <v>2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442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2827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226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288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111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171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872</v>
      </c>
      <c r="C458" s="17">
        <v>1</v>
      </c>
      <c r="D458" s="17">
        <v>1</v>
      </c>
      <c r="E458" s="17">
        <v>3</v>
      </c>
    </row>
    <row r="459" spans="1:5" x14ac:dyDescent="0.3">
      <c r="A459" s="17" t="s">
        <v>0</v>
      </c>
      <c r="B459" s="17" t="s">
        <v>44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174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1657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594</v>
      </c>
      <c r="C462" s="17">
        <v>1</v>
      </c>
      <c r="D462" s="17">
        <v>1</v>
      </c>
      <c r="E462" s="17">
        <v>4</v>
      </c>
    </row>
    <row r="463" spans="1:5" x14ac:dyDescent="0.3">
      <c r="A463" s="17" t="s">
        <v>0</v>
      </c>
      <c r="B463" s="17" t="s">
        <v>1602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2828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327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540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412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45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292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331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727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596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2829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809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116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2830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415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1350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780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1305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1306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2358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2729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2831</v>
      </c>
      <c r="C484" s="17">
        <v>1</v>
      </c>
      <c r="D484" s="17">
        <v>1</v>
      </c>
      <c r="E484" s="17">
        <v>3</v>
      </c>
    </row>
    <row r="485" spans="1:5" x14ac:dyDescent="0.3">
      <c r="A485" s="17" t="s">
        <v>0</v>
      </c>
      <c r="B485" s="17" t="s">
        <v>448</v>
      </c>
      <c r="C485" s="17">
        <v>1</v>
      </c>
      <c r="D485" s="17">
        <v>1</v>
      </c>
      <c r="E485" s="17">
        <v>2</v>
      </c>
    </row>
    <row r="486" spans="1:5" x14ac:dyDescent="0.3">
      <c r="A486" s="17" t="s">
        <v>0</v>
      </c>
      <c r="B486" s="17" t="s">
        <v>120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121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122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62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123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817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124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890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179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300</v>
      </c>
      <c r="C495" s="17">
        <v>1</v>
      </c>
      <c r="D495" s="17">
        <v>1</v>
      </c>
      <c r="E495" s="17">
        <v>2</v>
      </c>
    </row>
    <row r="496" spans="1:5" x14ac:dyDescent="0.3">
      <c r="A496" s="17" t="s">
        <v>0</v>
      </c>
      <c r="B496" s="17" t="s">
        <v>1016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1397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1758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747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1814</v>
      </c>
      <c r="C500" s="17">
        <v>1</v>
      </c>
      <c r="D500" s="17">
        <v>1</v>
      </c>
      <c r="E500" s="17">
        <v>2</v>
      </c>
    </row>
    <row r="501" spans="1:5" x14ac:dyDescent="0.3">
      <c r="A501" s="17" t="s">
        <v>0</v>
      </c>
      <c r="B501" s="17" t="s">
        <v>698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185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429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350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1621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65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192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842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849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1135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195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240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673</v>
      </c>
      <c r="C513" s="17">
        <v>1</v>
      </c>
      <c r="D513" s="17">
        <v>1</v>
      </c>
      <c r="E513" s="17">
        <v>5</v>
      </c>
    </row>
    <row r="514" spans="1:5" x14ac:dyDescent="0.3">
      <c r="A514" s="17" t="s">
        <v>0</v>
      </c>
      <c r="B514" s="17" t="s">
        <v>1591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2832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1768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1690</v>
      </c>
      <c r="C517" s="17">
        <v>1</v>
      </c>
      <c r="D517" s="17">
        <v>1</v>
      </c>
      <c r="E517" s="17">
        <v>2</v>
      </c>
    </row>
    <row r="518" spans="1:5" x14ac:dyDescent="0.3">
      <c r="A518" s="17" t="s">
        <v>0</v>
      </c>
      <c r="B518" s="17" t="s">
        <v>1126</v>
      </c>
      <c r="C518" s="17">
        <v>1</v>
      </c>
      <c r="D518" s="17">
        <v>1</v>
      </c>
      <c r="E518" s="17">
        <v>5</v>
      </c>
    </row>
    <row r="519" spans="1:5" x14ac:dyDescent="0.3">
      <c r="A519" s="17" t="s">
        <v>0</v>
      </c>
      <c r="B519" s="17" t="s">
        <v>197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456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2833</v>
      </c>
      <c r="C521" s="17">
        <v>1</v>
      </c>
      <c r="D521" s="17">
        <v>1</v>
      </c>
      <c r="E521" s="17">
        <v>2</v>
      </c>
    </row>
    <row r="522" spans="1:5" x14ac:dyDescent="0.3">
      <c r="A522" s="17" t="s">
        <v>0</v>
      </c>
      <c r="B522" s="17" t="s">
        <v>674</v>
      </c>
      <c r="C522" s="17">
        <v>1</v>
      </c>
      <c r="D522" s="17">
        <v>1</v>
      </c>
      <c r="E522" s="17"/>
    </row>
    <row r="523" spans="1:5" x14ac:dyDescent="0.3">
      <c r="A523" s="17" t="s">
        <v>0</v>
      </c>
      <c r="B523" s="17" t="s">
        <v>2171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2834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1896</v>
      </c>
      <c r="C525" s="17">
        <v>1</v>
      </c>
      <c r="D525" s="17">
        <v>1</v>
      </c>
      <c r="E525" s="17"/>
    </row>
    <row r="526" spans="1:5" x14ac:dyDescent="0.3">
      <c r="A526" s="17" t="s">
        <v>0</v>
      </c>
      <c r="B526" s="17" t="s">
        <v>2587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970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1241</v>
      </c>
      <c r="C528" s="17">
        <v>1</v>
      </c>
      <c r="D528" s="17">
        <v>2</v>
      </c>
      <c r="E528" s="17"/>
    </row>
    <row r="529" spans="1:5" x14ac:dyDescent="0.3">
      <c r="A529" s="17" t="s">
        <v>0</v>
      </c>
      <c r="B529" s="17" t="s">
        <v>2291</v>
      </c>
      <c r="C529" s="17">
        <v>1</v>
      </c>
      <c r="D529" s="17">
        <v>2</v>
      </c>
      <c r="E529" s="17"/>
    </row>
    <row r="530" spans="1:5" x14ac:dyDescent="0.3">
      <c r="A530" s="17" t="s">
        <v>0</v>
      </c>
      <c r="B530" s="17" t="s">
        <v>2835</v>
      </c>
      <c r="C530" s="17">
        <v>1</v>
      </c>
      <c r="D530" s="17">
        <v>1</v>
      </c>
      <c r="E530" s="17">
        <v>2</v>
      </c>
    </row>
    <row r="531" spans="1:5" x14ac:dyDescent="0.3">
      <c r="A531" s="17" t="s">
        <v>0</v>
      </c>
      <c r="B531" s="17" t="s">
        <v>309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30</v>
      </c>
      <c r="C532" s="17">
        <v>2</v>
      </c>
      <c r="D532" s="17">
        <v>1</v>
      </c>
      <c r="E532" s="17">
        <v>3</v>
      </c>
    </row>
    <row r="533" spans="1:5" x14ac:dyDescent="0.3">
      <c r="A533" s="17" t="s">
        <v>2</v>
      </c>
      <c r="B533" s="17" t="s">
        <v>33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1256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223</v>
      </c>
      <c r="C535" s="17">
        <v>2</v>
      </c>
      <c r="D535" s="17">
        <v>1</v>
      </c>
      <c r="E535" s="17">
        <v>2</v>
      </c>
    </row>
    <row r="536" spans="1:5" x14ac:dyDescent="0.3">
      <c r="A536" s="17" t="s">
        <v>2</v>
      </c>
      <c r="B536" s="17" t="s">
        <v>365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1897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2075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2429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585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840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1713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28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29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289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537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328</v>
      </c>
      <c r="C547" s="17">
        <v>1</v>
      </c>
      <c r="D547" s="17">
        <v>1</v>
      </c>
      <c r="E547" s="17">
        <v>2</v>
      </c>
    </row>
    <row r="548" spans="1:5" x14ac:dyDescent="0.3">
      <c r="A548" s="17" t="s">
        <v>2</v>
      </c>
      <c r="B548" s="17" t="s">
        <v>725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729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952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37</v>
      </c>
      <c r="C551" s="17">
        <v>1</v>
      </c>
      <c r="D551" s="17">
        <v>1</v>
      </c>
      <c r="E551" s="17">
        <v>2</v>
      </c>
    </row>
    <row r="552" spans="1:5" x14ac:dyDescent="0.3">
      <c r="A552" s="17" t="s">
        <v>2</v>
      </c>
      <c r="B552" s="17" t="s">
        <v>471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1236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351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1</v>
      </c>
      <c r="B555" s="17" t="s">
        <v>2836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502</v>
      </c>
      <c r="C556" s="17">
        <v>1</v>
      </c>
      <c r="D556" s="17">
        <v>0</v>
      </c>
      <c r="E556" s="17">
        <v>0</v>
      </c>
    </row>
    <row r="557" spans="1:5" x14ac:dyDescent="0.3">
      <c r="A557" s="17" t="s">
        <v>1</v>
      </c>
      <c r="B557" s="17" t="s">
        <v>70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2837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242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2838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72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1089</v>
      </c>
      <c r="C562" s="17">
        <v>1</v>
      </c>
      <c r="D562" s="17">
        <v>0</v>
      </c>
      <c r="E562" s="17">
        <v>3</v>
      </c>
    </row>
    <row r="563" spans="1:5" x14ac:dyDescent="0.3">
      <c r="A563" s="17" t="s">
        <v>1</v>
      </c>
      <c r="B563" s="17" t="s">
        <v>580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613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486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616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2839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690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75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793</v>
      </c>
      <c r="C570" s="17">
        <v>1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144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208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433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1174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1563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1609</v>
      </c>
      <c r="C576" s="17">
        <v>1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461</v>
      </c>
      <c r="C577" s="17">
        <v>4</v>
      </c>
      <c r="D577" s="17">
        <v>0</v>
      </c>
      <c r="E577" s="17">
        <v>4</v>
      </c>
    </row>
    <row r="578" spans="1:5" x14ac:dyDescent="0.3">
      <c r="A578" s="17" t="s">
        <v>1</v>
      </c>
      <c r="B578" s="17" t="s">
        <v>2558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1507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1953</v>
      </c>
      <c r="C580" s="17">
        <v>1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859</v>
      </c>
      <c r="C581" s="17">
        <v>2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1624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359</v>
      </c>
      <c r="C583" s="17">
        <v>3</v>
      </c>
      <c r="D583" s="17">
        <v>0</v>
      </c>
      <c r="E583" s="17">
        <v>4</v>
      </c>
    </row>
    <row r="584" spans="1:5" x14ac:dyDescent="0.3">
      <c r="A584" s="17" t="s">
        <v>1</v>
      </c>
      <c r="B584" s="17" t="s">
        <v>81</v>
      </c>
      <c r="C584" s="17">
        <v>1</v>
      </c>
      <c r="D584" s="17">
        <v>0</v>
      </c>
      <c r="E584" s="17">
        <v>2</v>
      </c>
    </row>
    <row r="585" spans="1:5" x14ac:dyDescent="0.3">
      <c r="A585" s="17" t="s">
        <v>1</v>
      </c>
      <c r="B585" s="17" t="s">
        <v>934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2786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2742</v>
      </c>
      <c r="C587" s="17">
        <v>1</v>
      </c>
      <c r="D587" s="17">
        <v>0</v>
      </c>
      <c r="E587" s="17">
        <v>2</v>
      </c>
    </row>
    <row r="588" spans="1:5" x14ac:dyDescent="0.3">
      <c r="A588" s="17" t="s">
        <v>1</v>
      </c>
      <c r="B588" s="17" t="s">
        <v>583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861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1982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315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520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1535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628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280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1057</v>
      </c>
      <c r="C596" s="17">
        <v>2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938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316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264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149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2597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1060</v>
      </c>
      <c r="C602" s="17">
        <v>2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1282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248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636</v>
      </c>
      <c r="C605" s="17">
        <v>1</v>
      </c>
      <c r="D605" s="17">
        <v>0</v>
      </c>
      <c r="E605" s="17">
        <v>0</v>
      </c>
    </row>
    <row r="606" spans="1:5" x14ac:dyDescent="0.3">
      <c r="A606" s="17" t="s">
        <v>1</v>
      </c>
      <c r="B606" s="17" t="s">
        <v>637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2045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711</v>
      </c>
      <c r="C608" s="17">
        <v>1</v>
      </c>
      <c r="D608" s="17">
        <v>0</v>
      </c>
      <c r="E608" s="17">
        <v>3</v>
      </c>
    </row>
    <row r="609" spans="1:5" x14ac:dyDescent="0.3">
      <c r="A609" s="17" t="s">
        <v>1</v>
      </c>
      <c r="B609" s="17" t="s">
        <v>221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1062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94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364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223</v>
      </c>
      <c r="C613" s="17">
        <v>2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464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156</v>
      </c>
      <c r="C615" s="17">
        <v>2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909</v>
      </c>
      <c r="C616" s="17">
        <v>1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1581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1660</v>
      </c>
      <c r="C618" s="17">
        <v>3</v>
      </c>
      <c r="D618" s="17">
        <v>0</v>
      </c>
      <c r="E618" s="17">
        <v>3</v>
      </c>
    </row>
    <row r="619" spans="1:5" x14ac:dyDescent="0.3">
      <c r="A619" s="17" t="s">
        <v>1</v>
      </c>
      <c r="B619" s="17" t="s">
        <v>1673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1661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1711</v>
      </c>
      <c r="C621" s="18">
        <v>1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1750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1772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1871</v>
      </c>
      <c r="C624" s="18">
        <v>2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1928</v>
      </c>
      <c r="C625" s="18">
        <v>1</v>
      </c>
      <c r="D625" s="18">
        <v>0</v>
      </c>
      <c r="E625" s="18">
        <v>0</v>
      </c>
    </row>
    <row r="626" spans="1:5" x14ac:dyDescent="0.3">
      <c r="A626" s="18" t="s">
        <v>1</v>
      </c>
      <c r="B626" s="18" t="s">
        <v>1946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1983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2068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2074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2115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2341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2468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2404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2442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2395</v>
      </c>
      <c r="C635" s="18">
        <v>6</v>
      </c>
      <c r="D635" s="18">
        <v>0</v>
      </c>
      <c r="E635" s="18">
        <v>6</v>
      </c>
    </row>
    <row r="636" spans="1:5" x14ac:dyDescent="0.3">
      <c r="A636" s="18" t="s">
        <v>1</v>
      </c>
      <c r="B636" s="18" t="s">
        <v>2398</v>
      </c>
      <c r="C636" s="18">
        <v>6</v>
      </c>
      <c r="D636" s="18">
        <v>0</v>
      </c>
      <c r="E636" s="18">
        <v>6</v>
      </c>
    </row>
    <row r="637" spans="1:5" x14ac:dyDescent="0.3">
      <c r="A637" s="18" t="s">
        <v>1</v>
      </c>
      <c r="B637" s="18" t="s">
        <v>2428</v>
      </c>
      <c r="C637" s="18">
        <v>2</v>
      </c>
      <c r="D637" s="18">
        <v>0</v>
      </c>
      <c r="E637" s="18">
        <v>2</v>
      </c>
    </row>
    <row r="638" spans="1:5" x14ac:dyDescent="0.3">
      <c r="A638" s="18" t="s">
        <v>1</v>
      </c>
      <c r="B638" s="18" t="s">
        <v>2802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2429</v>
      </c>
      <c r="C639" s="18">
        <v>2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2840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2616</v>
      </c>
      <c r="C641" s="18">
        <v>2</v>
      </c>
      <c r="D641" s="18">
        <v>0</v>
      </c>
      <c r="E641" s="18">
        <v>2</v>
      </c>
    </row>
    <row r="642" spans="1:5" x14ac:dyDescent="0.3">
      <c r="A642" s="18" t="s">
        <v>1</v>
      </c>
      <c r="B642" s="18" t="s">
        <v>2641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2705</v>
      </c>
      <c r="C643" s="18">
        <v>9</v>
      </c>
      <c r="D643" s="18">
        <v>0</v>
      </c>
      <c r="E643" s="18">
        <v>10</v>
      </c>
    </row>
    <row r="644" spans="1:5" x14ac:dyDescent="0.3">
      <c r="A644" s="18" t="s">
        <v>1</v>
      </c>
      <c r="B644" s="18" t="s">
        <v>524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1103</v>
      </c>
      <c r="C645" s="18">
        <v>1</v>
      </c>
      <c r="D645" s="18">
        <v>0</v>
      </c>
      <c r="E645" s="18">
        <v>0</v>
      </c>
    </row>
    <row r="646" spans="1:5" x14ac:dyDescent="0.3">
      <c r="A646" s="18" t="s">
        <v>1</v>
      </c>
      <c r="B646" s="18" t="s">
        <v>98</v>
      </c>
      <c r="C646" s="18">
        <v>1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946</v>
      </c>
      <c r="C647" s="18">
        <v>1</v>
      </c>
      <c r="D647" s="18">
        <v>0</v>
      </c>
      <c r="E647" s="18">
        <v>3</v>
      </c>
    </row>
    <row r="648" spans="1:5" x14ac:dyDescent="0.3">
      <c r="A648" s="18" t="s">
        <v>1</v>
      </c>
      <c r="B648" s="18" t="s">
        <v>2375</v>
      </c>
      <c r="C648" s="18">
        <v>1</v>
      </c>
      <c r="D648" s="18">
        <v>0</v>
      </c>
      <c r="E648" s="18">
        <v>0</v>
      </c>
    </row>
    <row r="649" spans="1:5" x14ac:dyDescent="0.3">
      <c r="A649" s="18" t="s">
        <v>1</v>
      </c>
      <c r="B649" s="18" t="s">
        <v>405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322</v>
      </c>
      <c r="C650" s="18">
        <v>1</v>
      </c>
      <c r="D650" s="18">
        <v>0</v>
      </c>
      <c r="E650" s="18">
        <v>0</v>
      </c>
    </row>
    <row r="651" spans="1:5" x14ac:dyDescent="0.3">
      <c r="A651" s="18" t="s">
        <v>1</v>
      </c>
      <c r="B651" s="18" t="s">
        <v>645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2841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2150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1072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1974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254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109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1545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1984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110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1270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112</v>
      </c>
      <c r="C662" s="18">
        <v>1</v>
      </c>
      <c r="D662" s="18">
        <v>0</v>
      </c>
      <c r="E662" s="18">
        <v>0</v>
      </c>
    </row>
    <row r="663" spans="1:5" x14ac:dyDescent="0.3">
      <c r="A663" s="18" t="s">
        <v>1</v>
      </c>
      <c r="B663" s="18" t="s">
        <v>2842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2843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534</v>
      </c>
      <c r="C665" s="18">
        <v>2</v>
      </c>
      <c r="D665" s="18">
        <v>0</v>
      </c>
      <c r="E665" s="18">
        <v>2</v>
      </c>
    </row>
    <row r="666" spans="1:5" x14ac:dyDescent="0.3">
      <c r="A666" s="18" t="s">
        <v>1</v>
      </c>
      <c r="B666" s="18" t="s">
        <v>606</v>
      </c>
      <c r="C666" s="18">
        <v>1</v>
      </c>
      <c r="D666" s="18">
        <v>0</v>
      </c>
      <c r="E666" s="18">
        <v>2</v>
      </c>
    </row>
    <row r="667" spans="1:5" x14ac:dyDescent="0.3">
      <c r="A667" s="18" t="s">
        <v>1</v>
      </c>
      <c r="B667" s="18" t="s">
        <v>2844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978</v>
      </c>
      <c r="C668" s="18">
        <v>2</v>
      </c>
      <c r="D668" s="18">
        <v>0</v>
      </c>
      <c r="E668" s="18">
        <v>2</v>
      </c>
    </row>
    <row r="669" spans="1:5" x14ac:dyDescent="0.3">
      <c r="A669" s="18" t="s">
        <v>1</v>
      </c>
      <c r="B669" s="18" t="s">
        <v>1675</v>
      </c>
      <c r="C669" s="18">
        <v>1</v>
      </c>
      <c r="D669" s="18">
        <v>0</v>
      </c>
      <c r="E669" s="18">
        <v>0</v>
      </c>
    </row>
    <row r="670" spans="1:5" x14ac:dyDescent="0.3">
      <c r="A670" s="18" t="s">
        <v>1</v>
      </c>
      <c r="B670" s="18" t="s">
        <v>1228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916</v>
      </c>
      <c r="C671" s="18">
        <v>2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1826</v>
      </c>
      <c r="C672" s="18">
        <v>1</v>
      </c>
      <c r="D672" s="18">
        <v>0</v>
      </c>
      <c r="E672" s="18">
        <v>2</v>
      </c>
    </row>
    <row r="673" spans="1:5" x14ac:dyDescent="0.3">
      <c r="A673" s="18" t="s">
        <v>1</v>
      </c>
      <c r="B673" s="18" t="s">
        <v>2845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949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2846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545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1</v>
      </c>
      <c r="B677" s="18" t="s">
        <v>726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776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884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2847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1473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607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371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1079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2848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2849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2311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1510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2850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810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779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681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1151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976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1584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2851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551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340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1844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2852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2309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2853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119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1362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388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2255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2854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2322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847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46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2751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1659</v>
      </c>
      <c r="C712" s="18">
        <v>1</v>
      </c>
      <c r="D712" s="18">
        <v>0</v>
      </c>
      <c r="E712" s="18">
        <v>0</v>
      </c>
    </row>
    <row r="713" spans="1:5" x14ac:dyDescent="0.3">
      <c r="A713" s="18" t="s">
        <v>1</v>
      </c>
      <c r="B713" s="18" t="s">
        <v>375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449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347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1115</v>
      </c>
      <c r="C716" s="18">
        <v>1</v>
      </c>
      <c r="D716" s="18">
        <v>0</v>
      </c>
      <c r="E716" s="18">
        <v>0</v>
      </c>
    </row>
    <row r="717" spans="1:5" x14ac:dyDescent="0.3">
      <c r="A717" s="18" t="s">
        <v>1</v>
      </c>
      <c r="B717" s="18" t="s">
        <v>1018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1199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1814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749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1</v>
      </c>
      <c r="B721" s="18" t="s">
        <v>428</v>
      </c>
      <c r="C721" s="18">
        <v>1</v>
      </c>
      <c r="D721" s="18">
        <v>0</v>
      </c>
      <c r="E721" s="18">
        <v>2</v>
      </c>
    </row>
    <row r="722" spans="1:5" x14ac:dyDescent="0.3">
      <c r="A722" s="18" t="s">
        <v>1</v>
      </c>
      <c r="B722" s="18" t="s">
        <v>2855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919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822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188</v>
      </c>
      <c r="C725" s="18">
        <v>2</v>
      </c>
      <c r="D725" s="18">
        <v>0</v>
      </c>
      <c r="E725" s="18">
        <v>2</v>
      </c>
    </row>
    <row r="726" spans="1:5" x14ac:dyDescent="0.3">
      <c r="A726" s="18" t="s">
        <v>1</v>
      </c>
      <c r="B726" s="18" t="s">
        <v>1023</v>
      </c>
      <c r="C726" s="18">
        <v>2</v>
      </c>
      <c r="D726" s="18">
        <v>0</v>
      </c>
      <c r="E726" s="18">
        <v>2</v>
      </c>
    </row>
    <row r="727" spans="1:5" x14ac:dyDescent="0.3">
      <c r="A727" s="18" t="s">
        <v>1</v>
      </c>
      <c r="B727" s="18" t="s">
        <v>787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259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965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565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192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2856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234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828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569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137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684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235</v>
      </c>
      <c r="C738" s="18">
        <v>10</v>
      </c>
      <c r="D738" s="18">
        <v>0</v>
      </c>
      <c r="E738" s="18">
        <v>11</v>
      </c>
    </row>
    <row r="739" spans="1:5" x14ac:dyDescent="0.3">
      <c r="A739" s="18" t="s">
        <v>1</v>
      </c>
      <c r="B739" s="18" t="s">
        <v>381</v>
      </c>
      <c r="C739" s="18">
        <v>4</v>
      </c>
      <c r="D739" s="18">
        <v>0</v>
      </c>
      <c r="E739" s="18">
        <v>4</v>
      </c>
    </row>
    <row r="740" spans="1:5" x14ac:dyDescent="0.3">
      <c r="A740" s="18" t="s">
        <v>1</v>
      </c>
      <c r="B740" s="18" t="s">
        <v>476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237</v>
      </c>
      <c r="C741" s="18">
        <v>2</v>
      </c>
      <c r="D741" s="18">
        <v>0</v>
      </c>
      <c r="E741" s="18">
        <v>2</v>
      </c>
    </row>
    <row r="742" spans="1:5" x14ac:dyDescent="0.3">
      <c r="A742" s="18" t="s">
        <v>1</v>
      </c>
      <c r="B742" s="18" t="s">
        <v>238</v>
      </c>
      <c r="C742" s="18">
        <v>5</v>
      </c>
      <c r="D742" s="18">
        <v>0</v>
      </c>
      <c r="E742" s="18">
        <v>6</v>
      </c>
    </row>
    <row r="743" spans="1:5" x14ac:dyDescent="0.3">
      <c r="A743" s="18" t="s">
        <v>1</v>
      </c>
      <c r="B743" s="18" t="s">
        <v>1085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239</v>
      </c>
      <c r="C744" s="18">
        <v>9</v>
      </c>
      <c r="D744" s="18">
        <v>0</v>
      </c>
      <c r="E744" s="18">
        <v>12</v>
      </c>
    </row>
    <row r="745" spans="1:5" x14ac:dyDescent="0.3">
      <c r="A745" s="18" t="s">
        <v>1</v>
      </c>
      <c r="B745" s="18" t="s">
        <v>672</v>
      </c>
      <c r="C745" s="18">
        <v>2</v>
      </c>
      <c r="D745" s="18">
        <v>0</v>
      </c>
      <c r="E745" s="18">
        <v>6</v>
      </c>
    </row>
    <row r="746" spans="1:5" x14ac:dyDescent="0.3">
      <c r="A746" s="18" t="s">
        <v>1</v>
      </c>
      <c r="B746" s="18" t="s">
        <v>55</v>
      </c>
      <c r="C746" s="18">
        <v>11</v>
      </c>
      <c r="D746" s="18">
        <v>0</v>
      </c>
      <c r="E746" s="18">
        <v>13</v>
      </c>
    </row>
    <row r="747" spans="1:5" x14ac:dyDescent="0.3">
      <c r="A747" s="18" t="s">
        <v>1</v>
      </c>
      <c r="B747" s="18" t="s">
        <v>240</v>
      </c>
      <c r="C747" s="18">
        <v>8</v>
      </c>
      <c r="D747" s="18">
        <v>0</v>
      </c>
      <c r="E747" s="18">
        <v>8</v>
      </c>
    </row>
    <row r="748" spans="1:5" x14ac:dyDescent="0.3">
      <c r="A748" s="18" t="s">
        <v>1</v>
      </c>
      <c r="B748" s="18" t="s">
        <v>673</v>
      </c>
      <c r="C748" s="18">
        <v>13</v>
      </c>
      <c r="D748" s="18">
        <v>0</v>
      </c>
      <c r="E748" s="18">
        <v>18</v>
      </c>
    </row>
    <row r="749" spans="1:5" x14ac:dyDescent="0.3">
      <c r="A749" s="18" t="s">
        <v>1</v>
      </c>
      <c r="B749" s="18" t="s">
        <v>1451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382</v>
      </c>
      <c r="C750" s="18">
        <v>9</v>
      </c>
      <c r="D750" s="18">
        <v>0</v>
      </c>
      <c r="E750" s="18">
        <v>9</v>
      </c>
    </row>
    <row r="751" spans="1:5" x14ac:dyDescent="0.3">
      <c r="A751" s="18" t="s">
        <v>1</v>
      </c>
      <c r="B751" s="18" t="s">
        <v>377</v>
      </c>
      <c r="C751" s="18">
        <v>3</v>
      </c>
      <c r="D751" s="18">
        <v>0</v>
      </c>
      <c r="E751" s="18">
        <v>3</v>
      </c>
    </row>
    <row r="752" spans="1:5" x14ac:dyDescent="0.3">
      <c r="A752" s="18" t="s">
        <v>1</v>
      </c>
      <c r="B752" s="18" t="s">
        <v>477</v>
      </c>
      <c r="C752" s="18">
        <v>2</v>
      </c>
      <c r="D752" s="18">
        <v>0</v>
      </c>
      <c r="E752" s="18">
        <v>2</v>
      </c>
    </row>
    <row r="753" spans="1:5" x14ac:dyDescent="0.3">
      <c r="A753" s="18" t="s">
        <v>1</v>
      </c>
      <c r="B753" s="18" t="s">
        <v>2376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1</v>
      </c>
      <c r="B754" s="18" t="s">
        <v>2298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2112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2541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2857</v>
      </c>
      <c r="C757" s="18">
        <v>0</v>
      </c>
      <c r="D757" s="18">
        <v>3</v>
      </c>
    </row>
    <row r="758" spans="1:5" x14ac:dyDescent="0.3">
      <c r="A758" s="18" t="s">
        <v>1</v>
      </c>
      <c r="B758" s="18" t="s">
        <v>2057</v>
      </c>
      <c r="C758" s="18">
        <v>1</v>
      </c>
      <c r="D758" s="18">
        <v>0</v>
      </c>
      <c r="E758" s="18">
        <v>2</v>
      </c>
    </row>
    <row r="759" spans="1:5" x14ac:dyDescent="0.3">
      <c r="A759" s="18" t="s">
        <v>1</v>
      </c>
      <c r="B759" s="18" t="s">
        <v>2071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1</v>
      </c>
      <c r="B760" s="18" t="s">
        <v>1766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1</v>
      </c>
      <c r="B761" s="18" t="s">
        <v>2316</v>
      </c>
      <c r="C761" s="18">
        <v>1</v>
      </c>
      <c r="D761" s="18">
        <v>0</v>
      </c>
      <c r="E761" s="18">
        <v>2</v>
      </c>
    </row>
    <row r="762" spans="1:5" x14ac:dyDescent="0.3">
      <c r="A762" s="18" t="s">
        <v>1</v>
      </c>
      <c r="B762" s="18" t="s">
        <v>922</v>
      </c>
      <c r="C762" s="18">
        <v>0</v>
      </c>
      <c r="D762" s="18">
        <v>1</v>
      </c>
    </row>
    <row r="763" spans="1:5" x14ac:dyDescent="0.3">
      <c r="A763" s="18" t="s">
        <v>1</v>
      </c>
      <c r="B763" s="18" t="s">
        <v>1029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1</v>
      </c>
      <c r="B764" s="18" t="s">
        <v>2858</v>
      </c>
      <c r="C764" s="18">
        <v>0</v>
      </c>
      <c r="D764" s="18">
        <v>1</v>
      </c>
    </row>
    <row r="765" spans="1:5" x14ac:dyDescent="0.3">
      <c r="A765" s="18" t="s">
        <v>1</v>
      </c>
      <c r="B765" s="18" t="s">
        <v>2859</v>
      </c>
      <c r="C765" s="18">
        <v>0</v>
      </c>
      <c r="D765" s="18">
        <v>1</v>
      </c>
    </row>
    <row r="766" spans="1:5" x14ac:dyDescent="0.3">
      <c r="A766" s="18" t="s">
        <v>1</v>
      </c>
      <c r="B766" s="18" t="s">
        <v>2860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1</v>
      </c>
      <c r="B767" s="18" t="s">
        <v>1805</v>
      </c>
      <c r="C767" s="18">
        <v>0</v>
      </c>
      <c r="D767" s="18">
        <v>1</v>
      </c>
    </row>
    <row r="768" spans="1:5" x14ac:dyDescent="0.3">
      <c r="A768" s="18" t="s">
        <v>1</v>
      </c>
      <c r="B768" s="18" t="s">
        <v>2301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1</v>
      </c>
      <c r="B769" s="18" t="s">
        <v>2024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1</v>
      </c>
      <c r="B770" s="18" t="s">
        <v>677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1089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580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383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2861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387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0</v>
      </c>
      <c r="B776" s="18" t="s">
        <v>393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2786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479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214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521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224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1581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0</v>
      </c>
      <c r="B783" s="18" t="s">
        <v>1708</v>
      </c>
      <c r="C783" s="18">
        <v>3</v>
      </c>
      <c r="D783" s="18">
        <v>0</v>
      </c>
      <c r="E783" s="18">
        <v>3</v>
      </c>
    </row>
    <row r="784" spans="1:5" x14ac:dyDescent="0.3">
      <c r="A784" s="18" t="s">
        <v>0</v>
      </c>
      <c r="B784" s="18" t="s">
        <v>2329</v>
      </c>
      <c r="C784" s="18">
        <v>1</v>
      </c>
      <c r="D784" s="18">
        <v>0</v>
      </c>
      <c r="E784" s="18">
        <v>2</v>
      </c>
    </row>
    <row r="785" spans="1:5" x14ac:dyDescent="0.3">
      <c r="A785" s="18" t="s">
        <v>0</v>
      </c>
      <c r="B785" s="18" t="s">
        <v>2439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0</v>
      </c>
      <c r="B786" s="18" t="s">
        <v>2440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0</v>
      </c>
      <c r="B787" s="18" t="s">
        <v>2442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0</v>
      </c>
      <c r="B788" s="18" t="s">
        <v>2395</v>
      </c>
      <c r="C788" s="18">
        <v>2</v>
      </c>
      <c r="D788" s="18">
        <v>0</v>
      </c>
      <c r="E788" s="18">
        <v>2</v>
      </c>
    </row>
    <row r="789" spans="1:5" x14ac:dyDescent="0.3">
      <c r="A789" s="18" t="s">
        <v>0</v>
      </c>
      <c r="B789" s="18" t="s">
        <v>2428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0</v>
      </c>
      <c r="B790" s="18" t="s">
        <v>2445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0</v>
      </c>
      <c r="B791" s="18" t="s">
        <v>2507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0</v>
      </c>
      <c r="B792" s="18" t="s">
        <v>225</v>
      </c>
      <c r="C792" s="18">
        <v>1</v>
      </c>
      <c r="D792" s="18">
        <v>0</v>
      </c>
      <c r="E792" s="18">
        <v>2</v>
      </c>
    </row>
    <row r="793" spans="1:5" x14ac:dyDescent="0.3">
      <c r="A793" s="18" t="s">
        <v>0</v>
      </c>
      <c r="B793" s="18" t="s">
        <v>1428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1877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1944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0</v>
      </c>
      <c r="B796" s="18" t="s">
        <v>2862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0</v>
      </c>
      <c r="B797" s="18" t="s">
        <v>103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2863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0</v>
      </c>
      <c r="B799" s="18" t="s">
        <v>1802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0</v>
      </c>
      <c r="B800" s="18" t="s">
        <v>2663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2737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534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1654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1655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256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0</v>
      </c>
      <c r="B806" s="18" t="s">
        <v>810</v>
      </c>
      <c r="C806" s="18">
        <v>5</v>
      </c>
      <c r="D806" s="18">
        <v>0</v>
      </c>
      <c r="E806" s="18">
        <v>6</v>
      </c>
    </row>
    <row r="807" spans="1:5" x14ac:dyDescent="0.3">
      <c r="A807" s="18" t="s">
        <v>0</v>
      </c>
      <c r="B807" s="18" t="s">
        <v>2266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0</v>
      </c>
      <c r="B808" s="18" t="s">
        <v>733</v>
      </c>
      <c r="C808" s="18">
        <v>1</v>
      </c>
      <c r="D808" s="18">
        <v>0</v>
      </c>
      <c r="E808" s="18">
        <v>1</v>
      </c>
    </row>
    <row r="809" spans="1:5" x14ac:dyDescent="0.3">
      <c r="A809" s="18" t="s">
        <v>0</v>
      </c>
      <c r="B809" s="18" t="s">
        <v>662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0</v>
      </c>
      <c r="B810" s="18" t="s">
        <v>63</v>
      </c>
      <c r="C810" s="18">
        <v>1</v>
      </c>
      <c r="D810" s="18">
        <v>0</v>
      </c>
      <c r="E810" s="18">
        <v>1</v>
      </c>
    </row>
    <row r="811" spans="1:5" x14ac:dyDescent="0.3">
      <c r="A811" s="18" t="s">
        <v>0</v>
      </c>
      <c r="B811" s="18" t="s">
        <v>1235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897</v>
      </c>
      <c r="C812" s="18">
        <v>1</v>
      </c>
      <c r="D812" s="18">
        <v>0</v>
      </c>
      <c r="E812" s="18">
        <v>1</v>
      </c>
    </row>
    <row r="813" spans="1:5" x14ac:dyDescent="0.3">
      <c r="A813" s="18" t="s">
        <v>0</v>
      </c>
      <c r="B813" s="18" t="s">
        <v>428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0</v>
      </c>
      <c r="B814" s="18" t="s">
        <v>1577</v>
      </c>
      <c r="C814" s="18">
        <v>1</v>
      </c>
      <c r="D814" s="18">
        <v>0</v>
      </c>
      <c r="E814" s="18">
        <v>1</v>
      </c>
    </row>
    <row r="815" spans="1:5" x14ac:dyDescent="0.3">
      <c r="A815" s="18" t="s">
        <v>0</v>
      </c>
      <c r="B815" s="18" t="s">
        <v>498</v>
      </c>
      <c r="C815" s="18">
        <v>1</v>
      </c>
      <c r="D815" s="18">
        <v>0</v>
      </c>
      <c r="E815" s="18">
        <v>3</v>
      </c>
    </row>
    <row r="816" spans="1:5" x14ac:dyDescent="0.3">
      <c r="A816" s="18" t="s">
        <v>0</v>
      </c>
      <c r="B816" s="18" t="s">
        <v>787</v>
      </c>
      <c r="C816" s="18">
        <v>2</v>
      </c>
      <c r="D816" s="18">
        <v>0</v>
      </c>
      <c r="E816" s="18">
        <v>2</v>
      </c>
    </row>
    <row r="817" spans="1:5" x14ac:dyDescent="0.3">
      <c r="A817" s="18" t="s">
        <v>0</v>
      </c>
      <c r="B817" s="18" t="s">
        <v>565</v>
      </c>
      <c r="C817" s="18">
        <v>1</v>
      </c>
      <c r="D817" s="18">
        <v>0</v>
      </c>
      <c r="E817" s="18">
        <v>3</v>
      </c>
    </row>
    <row r="818" spans="1:5" x14ac:dyDescent="0.3">
      <c r="A818" s="18" t="s">
        <v>0</v>
      </c>
      <c r="B818" s="18" t="s">
        <v>235</v>
      </c>
      <c r="C818" s="18">
        <v>4</v>
      </c>
      <c r="D818" s="18">
        <v>0</v>
      </c>
      <c r="E818" s="18">
        <v>5</v>
      </c>
    </row>
    <row r="819" spans="1:5" x14ac:dyDescent="0.3">
      <c r="A819" s="18" t="s">
        <v>0</v>
      </c>
      <c r="B819" s="18" t="s">
        <v>236</v>
      </c>
      <c r="C819" s="18">
        <v>1</v>
      </c>
      <c r="D819" s="18">
        <v>0</v>
      </c>
      <c r="E819" s="18">
        <v>1</v>
      </c>
    </row>
    <row r="820" spans="1:5" x14ac:dyDescent="0.3">
      <c r="A820" s="18" t="s">
        <v>0</v>
      </c>
      <c r="B820" s="18" t="s">
        <v>54</v>
      </c>
      <c r="C820" s="18">
        <v>3</v>
      </c>
      <c r="D820" s="18">
        <v>0</v>
      </c>
      <c r="E820" s="18">
        <v>4</v>
      </c>
    </row>
    <row r="821" spans="1:5" x14ac:dyDescent="0.3">
      <c r="A821" s="18" t="s">
        <v>0</v>
      </c>
      <c r="B821" s="18" t="s">
        <v>238</v>
      </c>
      <c r="C821" s="18">
        <v>1</v>
      </c>
      <c r="D821" s="18">
        <v>0</v>
      </c>
      <c r="E821" s="18">
        <v>3</v>
      </c>
    </row>
    <row r="822" spans="1:5" x14ac:dyDescent="0.3">
      <c r="A822" s="18" t="s">
        <v>0</v>
      </c>
      <c r="B822" s="18" t="s">
        <v>239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0</v>
      </c>
      <c r="B823" s="18" t="s">
        <v>55</v>
      </c>
      <c r="C823" s="18">
        <v>2</v>
      </c>
      <c r="D823" s="18">
        <v>0</v>
      </c>
      <c r="E823" s="18">
        <v>2</v>
      </c>
    </row>
    <row r="824" spans="1:5" x14ac:dyDescent="0.3">
      <c r="A824" s="18" t="s">
        <v>0</v>
      </c>
      <c r="B824" s="18" t="s">
        <v>382</v>
      </c>
      <c r="C824" s="18">
        <v>2</v>
      </c>
      <c r="D824" s="18">
        <v>0</v>
      </c>
      <c r="E824" s="18">
        <v>2</v>
      </c>
    </row>
    <row r="825" spans="1:5" x14ac:dyDescent="0.3">
      <c r="A825" s="18" t="s">
        <v>0</v>
      </c>
      <c r="B825" s="18" t="s">
        <v>2864</v>
      </c>
      <c r="C825" s="18">
        <v>1</v>
      </c>
      <c r="D825" s="18">
        <v>0</v>
      </c>
      <c r="E825" s="18">
        <v>2</v>
      </c>
    </row>
    <row r="826" spans="1:5" x14ac:dyDescent="0.3">
      <c r="A826" s="18" t="s">
        <v>0</v>
      </c>
      <c r="B826" s="18" t="s">
        <v>2865</v>
      </c>
      <c r="C826" s="18">
        <v>1</v>
      </c>
      <c r="D826" s="18">
        <v>0</v>
      </c>
      <c r="E826" s="18">
        <v>1</v>
      </c>
    </row>
    <row r="827" spans="1:5" x14ac:dyDescent="0.3">
      <c r="A827" s="18" t="s">
        <v>0</v>
      </c>
      <c r="B827" s="18" t="s">
        <v>1097</v>
      </c>
      <c r="C827" s="18">
        <v>1</v>
      </c>
      <c r="D827" s="18">
        <v>0</v>
      </c>
      <c r="E827" s="18">
        <v>1</v>
      </c>
    </row>
    <row r="828" spans="1:5" x14ac:dyDescent="0.3">
      <c r="A828" s="18" t="s">
        <v>0</v>
      </c>
      <c r="B828" s="18" t="s">
        <v>2378</v>
      </c>
      <c r="C828" s="18">
        <v>0</v>
      </c>
      <c r="D828" s="18">
        <v>1</v>
      </c>
    </row>
    <row r="829" spans="1:5" x14ac:dyDescent="0.3">
      <c r="A829" s="18" t="s">
        <v>0</v>
      </c>
      <c r="B829" s="18" t="s">
        <v>32</v>
      </c>
      <c r="C829" s="18">
        <v>3</v>
      </c>
      <c r="D829" s="18">
        <v>0</v>
      </c>
      <c r="E829" s="18">
        <v>7</v>
      </c>
    </row>
    <row r="830" spans="1:5" x14ac:dyDescent="0.3">
      <c r="A830" s="18" t="s">
        <v>2</v>
      </c>
      <c r="B830" s="18" t="s">
        <v>579</v>
      </c>
      <c r="C830" s="18">
        <v>1</v>
      </c>
      <c r="D830" s="18">
        <v>0</v>
      </c>
      <c r="E830" s="18">
        <v>1</v>
      </c>
    </row>
    <row r="831" spans="1:5" x14ac:dyDescent="0.3">
      <c r="A831" s="18" t="s">
        <v>2</v>
      </c>
      <c r="B831" s="18" t="s">
        <v>143</v>
      </c>
      <c r="C831" s="18">
        <v>1</v>
      </c>
      <c r="D831" s="18">
        <v>0</v>
      </c>
      <c r="E831" s="18">
        <v>1</v>
      </c>
    </row>
    <row r="832" spans="1:5" x14ac:dyDescent="0.3">
      <c r="A832" s="18" t="s">
        <v>2</v>
      </c>
      <c r="B832" s="18" t="s">
        <v>795</v>
      </c>
      <c r="C832" s="18">
        <v>1</v>
      </c>
      <c r="D832" s="18">
        <v>0</v>
      </c>
      <c r="E832" s="18">
        <v>2</v>
      </c>
    </row>
    <row r="833" spans="1:5" x14ac:dyDescent="0.3">
      <c r="A833" s="18" t="s">
        <v>2</v>
      </c>
      <c r="B833" s="18" t="s">
        <v>858</v>
      </c>
      <c r="C833" s="18">
        <v>1</v>
      </c>
      <c r="D833" s="18">
        <v>0</v>
      </c>
      <c r="E833" s="18">
        <v>1</v>
      </c>
    </row>
    <row r="834" spans="1:5" x14ac:dyDescent="0.3">
      <c r="A834" s="18" t="s">
        <v>2</v>
      </c>
      <c r="B834" s="18" t="s">
        <v>624</v>
      </c>
      <c r="C834" s="18">
        <v>1</v>
      </c>
      <c r="D834" s="18">
        <v>0</v>
      </c>
      <c r="E834" s="18">
        <v>2</v>
      </c>
    </row>
    <row r="835" spans="1:5" x14ac:dyDescent="0.3">
      <c r="A835" s="18" t="s">
        <v>2</v>
      </c>
      <c r="B835" s="18" t="s">
        <v>1178</v>
      </c>
      <c r="C835" s="18">
        <v>1</v>
      </c>
      <c r="D835" s="18">
        <v>0</v>
      </c>
      <c r="E835" s="18">
        <v>1</v>
      </c>
    </row>
    <row r="836" spans="1:5" x14ac:dyDescent="0.3">
      <c r="A836" s="18" t="s">
        <v>2</v>
      </c>
      <c r="B836" s="18" t="s">
        <v>360</v>
      </c>
      <c r="C836" s="18">
        <v>1</v>
      </c>
      <c r="D836" s="18">
        <v>0</v>
      </c>
      <c r="E836" s="18">
        <v>1</v>
      </c>
    </row>
    <row r="837" spans="1:5" x14ac:dyDescent="0.3">
      <c r="A837" s="18" t="s">
        <v>2</v>
      </c>
      <c r="B837" s="18" t="s">
        <v>710</v>
      </c>
      <c r="C837" s="18">
        <v>1</v>
      </c>
      <c r="D837" s="18">
        <v>0</v>
      </c>
      <c r="E837" s="18">
        <v>1</v>
      </c>
    </row>
    <row r="838" spans="1:5" x14ac:dyDescent="0.3">
      <c r="A838" s="18" t="s">
        <v>2</v>
      </c>
      <c r="B838" s="18" t="s">
        <v>1102</v>
      </c>
      <c r="C838" s="18">
        <v>1</v>
      </c>
      <c r="D838" s="18">
        <v>0</v>
      </c>
      <c r="E838" s="18">
        <v>1</v>
      </c>
    </row>
    <row r="839" spans="1:5" x14ac:dyDescent="0.3">
      <c r="A839" s="18" t="s">
        <v>2</v>
      </c>
      <c r="B839" s="18" t="s">
        <v>151</v>
      </c>
      <c r="C839" s="18">
        <v>1</v>
      </c>
      <c r="D839" s="18">
        <v>0</v>
      </c>
      <c r="E839" s="18">
        <v>1</v>
      </c>
    </row>
    <row r="840" spans="1:5" x14ac:dyDescent="0.3">
      <c r="A840" s="18" t="s">
        <v>2</v>
      </c>
      <c r="B840" s="18" t="s">
        <v>152</v>
      </c>
      <c r="C840" s="18">
        <v>1</v>
      </c>
      <c r="D840" s="18">
        <v>0</v>
      </c>
      <c r="E840" s="18">
        <v>1</v>
      </c>
    </row>
    <row r="841" spans="1:5" x14ac:dyDescent="0.3">
      <c r="A841" s="18" t="s">
        <v>2</v>
      </c>
      <c r="B841" s="18" t="s">
        <v>219</v>
      </c>
      <c r="C841" s="18">
        <v>1</v>
      </c>
      <c r="D841" s="18">
        <v>0</v>
      </c>
      <c r="E841" s="18">
        <v>1</v>
      </c>
    </row>
    <row r="842" spans="1:5" x14ac:dyDescent="0.3">
      <c r="A842" s="18" t="s">
        <v>2</v>
      </c>
      <c r="B842" s="18" t="s">
        <v>281</v>
      </c>
      <c r="C842" s="18">
        <v>1</v>
      </c>
      <c r="D842" s="18">
        <v>0</v>
      </c>
      <c r="E842" s="18">
        <v>2</v>
      </c>
    </row>
    <row r="843" spans="1:5" x14ac:dyDescent="0.3">
      <c r="A843" s="18" t="s">
        <v>2</v>
      </c>
      <c r="B843" s="18" t="s">
        <v>2068</v>
      </c>
      <c r="C843" s="18">
        <v>1</v>
      </c>
      <c r="D843" s="18">
        <v>0</v>
      </c>
      <c r="E843" s="18">
        <v>1</v>
      </c>
    </row>
    <row r="844" spans="1:5" x14ac:dyDescent="0.3">
      <c r="A844" s="18" t="s">
        <v>2</v>
      </c>
      <c r="B844" s="18" t="s">
        <v>2115</v>
      </c>
      <c r="C844" s="18">
        <v>1</v>
      </c>
      <c r="D844" s="18">
        <v>0</v>
      </c>
      <c r="E844" s="18">
        <v>1</v>
      </c>
    </row>
    <row r="845" spans="1:5" x14ac:dyDescent="0.3">
      <c r="A845" s="18" t="s">
        <v>2</v>
      </c>
      <c r="B845" s="18" t="s">
        <v>2292</v>
      </c>
      <c r="C845" s="18">
        <v>1</v>
      </c>
      <c r="D845" s="18">
        <v>0</v>
      </c>
      <c r="E845" s="18">
        <v>2</v>
      </c>
    </row>
    <row r="846" spans="1:5" x14ac:dyDescent="0.3">
      <c r="A846" s="18" t="s">
        <v>2</v>
      </c>
      <c r="B846" s="18" t="s">
        <v>2329</v>
      </c>
      <c r="C846" s="18">
        <v>1</v>
      </c>
      <c r="D846" s="18">
        <v>0</v>
      </c>
      <c r="E846" s="18">
        <v>1</v>
      </c>
    </row>
    <row r="847" spans="1:5" x14ac:dyDescent="0.3">
      <c r="A847" s="18" t="s">
        <v>2</v>
      </c>
      <c r="B847" s="18" t="s">
        <v>2341</v>
      </c>
      <c r="C847" s="18">
        <v>1</v>
      </c>
      <c r="D847" s="18">
        <v>0</v>
      </c>
      <c r="E847" s="18">
        <v>1</v>
      </c>
    </row>
    <row r="848" spans="1:5" x14ac:dyDescent="0.3">
      <c r="A848" s="18" t="s">
        <v>2</v>
      </c>
      <c r="B848" s="18" t="s">
        <v>2400</v>
      </c>
      <c r="C848" s="18">
        <v>1</v>
      </c>
      <c r="D848" s="18">
        <v>0</v>
      </c>
      <c r="E848" s="18">
        <v>1</v>
      </c>
    </row>
    <row r="849" spans="1:5" x14ac:dyDescent="0.3">
      <c r="A849" s="18" t="s">
        <v>2</v>
      </c>
      <c r="B849" s="18" t="s">
        <v>2440</v>
      </c>
      <c r="C849" s="18">
        <v>1</v>
      </c>
      <c r="D849" s="18">
        <v>0</v>
      </c>
      <c r="E849" s="18">
        <v>1</v>
      </c>
    </row>
    <row r="850" spans="1:5" x14ac:dyDescent="0.3">
      <c r="A850" s="18" t="s">
        <v>2</v>
      </c>
      <c r="B850" s="18" t="s">
        <v>2468</v>
      </c>
      <c r="C850" s="18">
        <v>1</v>
      </c>
      <c r="D850" s="18">
        <v>0</v>
      </c>
      <c r="E850" s="18">
        <v>1</v>
      </c>
    </row>
    <row r="851" spans="1:5" x14ac:dyDescent="0.3">
      <c r="A851" s="18" t="s">
        <v>2</v>
      </c>
      <c r="B851" s="18" t="s">
        <v>2441</v>
      </c>
      <c r="C851" s="18">
        <v>1</v>
      </c>
      <c r="D851" s="18">
        <v>0</v>
      </c>
      <c r="E851" s="18">
        <v>1</v>
      </c>
    </row>
    <row r="852" spans="1:5" x14ac:dyDescent="0.3">
      <c r="A852" s="18" t="s">
        <v>2</v>
      </c>
      <c r="B852" s="18" t="s">
        <v>2404</v>
      </c>
      <c r="C852" s="18">
        <v>1</v>
      </c>
      <c r="D852" s="18">
        <v>0</v>
      </c>
      <c r="E852" s="18">
        <v>1</v>
      </c>
    </row>
    <row r="853" spans="1:5" x14ac:dyDescent="0.3">
      <c r="A853" s="18" t="s">
        <v>2</v>
      </c>
      <c r="B853" s="18" t="s">
        <v>2395</v>
      </c>
      <c r="C853" s="18">
        <v>1</v>
      </c>
      <c r="D853" s="18">
        <v>0</v>
      </c>
      <c r="E853" s="18">
        <v>1</v>
      </c>
    </row>
    <row r="854" spans="1:5" x14ac:dyDescent="0.3">
      <c r="A854" s="18" t="s">
        <v>2</v>
      </c>
      <c r="B854" s="18" t="s">
        <v>2428</v>
      </c>
      <c r="C854" s="18">
        <v>1</v>
      </c>
      <c r="D854" s="18">
        <v>0</v>
      </c>
      <c r="E854" s="18">
        <v>1</v>
      </c>
    </row>
    <row r="855" spans="1:5" x14ac:dyDescent="0.3">
      <c r="A855" s="18" t="s">
        <v>2</v>
      </c>
      <c r="B855" s="18" t="s">
        <v>337</v>
      </c>
      <c r="C855" s="18">
        <v>1</v>
      </c>
      <c r="D855" s="18">
        <v>0</v>
      </c>
      <c r="E855" s="18">
        <v>1</v>
      </c>
    </row>
    <row r="856" spans="1:5" x14ac:dyDescent="0.3">
      <c r="A856" s="18" t="s">
        <v>2</v>
      </c>
      <c r="B856" s="18" t="s">
        <v>135</v>
      </c>
      <c r="C856" s="18">
        <v>1</v>
      </c>
      <c r="D856" s="18">
        <v>0</v>
      </c>
      <c r="E856" s="18">
        <v>1</v>
      </c>
    </row>
    <row r="857" spans="1:5" x14ac:dyDescent="0.3">
      <c r="A857" s="18" t="s">
        <v>2</v>
      </c>
      <c r="B857" s="18" t="s">
        <v>235</v>
      </c>
      <c r="C857" s="18">
        <v>1</v>
      </c>
      <c r="D857" s="18">
        <v>0</v>
      </c>
      <c r="E857" s="18">
        <v>13</v>
      </c>
    </row>
    <row r="858" spans="1:5" x14ac:dyDescent="0.3">
      <c r="A858" s="18" t="s">
        <v>2</v>
      </c>
      <c r="B858" s="18" t="s">
        <v>236</v>
      </c>
      <c r="C858" s="18">
        <v>1</v>
      </c>
      <c r="D858" s="18">
        <v>0</v>
      </c>
      <c r="E858" s="18">
        <v>6</v>
      </c>
    </row>
    <row r="859" spans="1:5" x14ac:dyDescent="0.3">
      <c r="A859" s="18" t="s">
        <v>2</v>
      </c>
      <c r="B859" s="18" t="s">
        <v>196</v>
      </c>
      <c r="C859" s="18">
        <v>1</v>
      </c>
      <c r="D859" s="18">
        <v>0</v>
      </c>
      <c r="E859" s="18">
        <v>2</v>
      </c>
    </row>
    <row r="860" spans="1:5" x14ac:dyDescent="0.3">
      <c r="A860" s="18" t="s">
        <v>2</v>
      </c>
      <c r="B860" s="18" t="s">
        <v>54</v>
      </c>
      <c r="C860" s="18">
        <v>1</v>
      </c>
      <c r="D860" s="18">
        <v>0</v>
      </c>
      <c r="E860" s="18">
        <v>4</v>
      </c>
    </row>
    <row r="861" spans="1:5" x14ac:dyDescent="0.3">
      <c r="A861" s="18" t="s">
        <v>2</v>
      </c>
      <c r="B861" s="18" t="s">
        <v>238</v>
      </c>
      <c r="C861" s="18">
        <v>1</v>
      </c>
      <c r="D861" s="18">
        <v>0</v>
      </c>
      <c r="E861" s="18">
        <v>4</v>
      </c>
    </row>
    <row r="862" spans="1:5" x14ac:dyDescent="0.3">
      <c r="A862" s="18" t="s">
        <v>2</v>
      </c>
      <c r="B862" s="18" t="s">
        <v>239</v>
      </c>
      <c r="C862" s="18">
        <v>1</v>
      </c>
      <c r="D862" s="18">
        <v>0</v>
      </c>
      <c r="E862" s="18">
        <v>7</v>
      </c>
    </row>
    <row r="863" spans="1:5" x14ac:dyDescent="0.3">
      <c r="A863" s="18" t="s">
        <v>2</v>
      </c>
      <c r="B863" s="18" t="s">
        <v>55</v>
      </c>
      <c r="C863" s="18">
        <v>1</v>
      </c>
      <c r="D863" s="18">
        <v>0</v>
      </c>
      <c r="E863" s="18">
        <v>2</v>
      </c>
    </row>
    <row r="864" spans="1:5" x14ac:dyDescent="0.3">
      <c r="A864" s="18" t="s">
        <v>2</v>
      </c>
      <c r="B864" s="18" t="s">
        <v>240</v>
      </c>
      <c r="C864" s="18">
        <v>1</v>
      </c>
      <c r="D864" s="18">
        <v>0</v>
      </c>
      <c r="E864" s="18">
        <v>1</v>
      </c>
    </row>
    <row r="865" spans="1:5" x14ac:dyDescent="0.3">
      <c r="A865" s="18" t="s">
        <v>2</v>
      </c>
      <c r="B865" s="18" t="s">
        <v>673</v>
      </c>
      <c r="C865" s="18">
        <v>1</v>
      </c>
      <c r="D865" s="18">
        <v>0</v>
      </c>
      <c r="E865" s="18">
        <v>1</v>
      </c>
    </row>
    <row r="866" spans="1:5" x14ac:dyDescent="0.3">
      <c r="A866" s="18" t="s">
        <v>2</v>
      </c>
      <c r="B866" s="18" t="s">
        <v>382</v>
      </c>
      <c r="C866" s="18">
        <v>1</v>
      </c>
      <c r="D866" s="18">
        <v>0</v>
      </c>
      <c r="E866" s="18">
        <v>2</v>
      </c>
    </row>
    <row r="867" spans="1:5" x14ac:dyDescent="0.3">
      <c r="A867" s="18" t="s">
        <v>2</v>
      </c>
      <c r="B867" s="18" t="s">
        <v>377</v>
      </c>
      <c r="C867" s="18">
        <v>1</v>
      </c>
      <c r="D867" s="18">
        <v>0</v>
      </c>
      <c r="E867" s="18">
        <v>1</v>
      </c>
    </row>
    <row r="868" spans="1:5" x14ac:dyDescent="0.3">
      <c r="A868" s="18" t="s">
        <v>2</v>
      </c>
      <c r="B868" s="18" t="s">
        <v>477</v>
      </c>
      <c r="C868" s="18">
        <v>1</v>
      </c>
      <c r="D868" s="18">
        <v>0</v>
      </c>
      <c r="E868" s="18">
        <v>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FDA2C-F7BB-4C72-AE47-22EB2DD07FEA}">
  <sheetPr codeName="Sheet42"/>
  <dimension ref="A1:M703"/>
  <sheetViews>
    <sheetView workbookViewId="0">
      <selection activeCell="A2" sqref="A2:E70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58</v>
      </c>
      <c r="D2" s="17">
        <v>46</v>
      </c>
      <c r="E2" s="17">
        <v>62</v>
      </c>
    </row>
    <row r="3" spans="1:13" customFormat="1" x14ac:dyDescent="0.3">
      <c r="A3" s="17" t="s">
        <v>0</v>
      </c>
      <c r="B3" s="17" t="s">
        <v>2692</v>
      </c>
      <c r="C3" s="17">
        <v>59</v>
      </c>
      <c r="D3" s="17">
        <v>44</v>
      </c>
      <c r="E3" s="17">
        <v>93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83</v>
      </c>
      <c r="D4" s="17">
        <v>31</v>
      </c>
      <c r="E4" s="17">
        <v>123</v>
      </c>
      <c r="G4" s="23" t="s">
        <v>8</v>
      </c>
      <c r="H4" s="19">
        <f>H13+H14</f>
        <v>1095</v>
      </c>
      <c r="I4" s="20">
        <f>H4/H$6</f>
        <v>0.70463320463320467</v>
      </c>
      <c r="J4" s="19">
        <f>I13+I14</f>
        <v>600</v>
      </c>
      <c r="K4" s="20">
        <f>J4/J$6</f>
        <v>0.62630480167014613</v>
      </c>
      <c r="L4" s="19">
        <f>J13+J14</f>
        <v>1275</v>
      </c>
      <c r="M4" s="29">
        <f>L4/L$6</f>
        <v>0.69068255687974001</v>
      </c>
    </row>
    <row r="5" spans="1:13" customFormat="1" x14ac:dyDescent="0.3">
      <c r="A5" s="17" t="s">
        <v>0</v>
      </c>
      <c r="B5" s="17" t="s">
        <v>2572</v>
      </c>
      <c r="C5" s="17">
        <v>33</v>
      </c>
      <c r="D5" s="17">
        <v>26</v>
      </c>
      <c r="E5" s="17">
        <v>40</v>
      </c>
      <c r="G5" s="23" t="s">
        <v>10</v>
      </c>
      <c r="H5" s="19">
        <f>H15+H16</f>
        <v>459</v>
      </c>
      <c r="I5" s="20">
        <f>H5/H$6</f>
        <v>0.29536679536679539</v>
      </c>
      <c r="J5" s="19">
        <f>I15+I16</f>
        <v>358</v>
      </c>
      <c r="K5" s="20">
        <f>J5/J$6</f>
        <v>0.37369519832985387</v>
      </c>
      <c r="L5" s="19">
        <f>J15+J16</f>
        <v>571</v>
      </c>
      <c r="M5" s="29">
        <f>L5/L$6</f>
        <v>0.30931744312026005</v>
      </c>
    </row>
    <row r="6" spans="1:13" customFormat="1" ht="17.25" thickBot="1" x14ac:dyDescent="0.35">
      <c r="A6" s="17" t="s">
        <v>0</v>
      </c>
      <c r="B6" s="17" t="s">
        <v>29</v>
      </c>
      <c r="C6" s="17">
        <v>22</v>
      </c>
      <c r="D6" s="17">
        <v>21</v>
      </c>
      <c r="E6" s="17">
        <v>25</v>
      </c>
      <c r="G6" s="26"/>
      <c r="H6" s="30">
        <f>SUM(H4:H5)</f>
        <v>1554</v>
      </c>
      <c r="I6" s="31">
        <f>I4+I5</f>
        <v>1</v>
      </c>
      <c r="J6" s="30">
        <f>SUM(J4:J5)</f>
        <v>958</v>
      </c>
      <c r="K6" s="31">
        <f>K4+K5</f>
        <v>1</v>
      </c>
      <c r="L6" s="30">
        <f>SUM(L4:L5)</f>
        <v>1846</v>
      </c>
      <c r="M6" s="32">
        <f>M4+M5</f>
        <v>1</v>
      </c>
    </row>
    <row r="7" spans="1:13" customFormat="1" x14ac:dyDescent="0.3">
      <c r="A7" s="17" t="s">
        <v>1</v>
      </c>
      <c r="B7" s="17" t="s">
        <v>2572</v>
      </c>
      <c r="C7" s="17">
        <v>34</v>
      </c>
      <c r="D7" s="17">
        <v>18</v>
      </c>
      <c r="E7" s="17">
        <v>37</v>
      </c>
    </row>
    <row r="8" spans="1:13" customFormat="1" x14ac:dyDescent="0.3">
      <c r="A8" s="17" t="s">
        <v>1</v>
      </c>
      <c r="B8" s="17" t="s">
        <v>37</v>
      </c>
      <c r="C8" s="17">
        <v>19</v>
      </c>
      <c r="D8" s="17">
        <v>16</v>
      </c>
      <c r="E8" s="17">
        <v>20</v>
      </c>
    </row>
    <row r="9" spans="1:13" customFormat="1" x14ac:dyDescent="0.3">
      <c r="A9" s="17" t="s">
        <v>1</v>
      </c>
      <c r="B9" s="17" t="s">
        <v>2396</v>
      </c>
      <c r="C9" s="17">
        <v>19</v>
      </c>
      <c r="D9" s="17">
        <v>10</v>
      </c>
      <c r="E9" s="17">
        <v>20</v>
      </c>
    </row>
    <row r="10" spans="1:13" customFormat="1" ht="17.25" thickBot="1" x14ac:dyDescent="0.35">
      <c r="A10" s="17" t="s">
        <v>1</v>
      </c>
      <c r="B10" s="17" t="s">
        <v>2692</v>
      </c>
      <c r="C10" s="17">
        <v>34</v>
      </c>
      <c r="D10" s="17">
        <v>9</v>
      </c>
      <c r="E10" s="17">
        <v>56</v>
      </c>
    </row>
    <row r="11" spans="1:13" x14ac:dyDescent="0.3">
      <c r="A11" s="17" t="s">
        <v>0</v>
      </c>
      <c r="B11" s="17" t="s">
        <v>39</v>
      </c>
      <c r="C11" s="17">
        <v>11</v>
      </c>
      <c r="D11" s="17">
        <v>9</v>
      </c>
      <c r="E11" s="17">
        <v>16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365</v>
      </c>
      <c r="C12" s="17">
        <v>16</v>
      </c>
      <c r="D12" s="17">
        <v>8</v>
      </c>
      <c r="E12" s="17">
        <v>14</v>
      </c>
      <c r="G12" s="23"/>
      <c r="H12" s="21">
        <f t="shared" ref="H12:J12" si="0">SUM(H13:H16)</f>
        <v>1554</v>
      </c>
      <c r="I12" s="21">
        <f t="shared" si="0"/>
        <v>958</v>
      </c>
      <c r="J12" s="24">
        <f t="shared" si="0"/>
        <v>1846</v>
      </c>
    </row>
    <row r="13" spans="1:13" x14ac:dyDescent="0.3">
      <c r="A13" s="17" t="s">
        <v>0</v>
      </c>
      <c r="B13" s="17" t="s">
        <v>31</v>
      </c>
      <c r="C13" s="17">
        <v>8</v>
      </c>
      <c r="D13" s="17">
        <v>8</v>
      </c>
      <c r="E13" s="17">
        <v>8</v>
      </c>
      <c r="G13" s="23" t="s">
        <v>7</v>
      </c>
      <c r="H13" s="22">
        <f t="shared" ref="H13:J16" si="1">SUMIF($A$2:$A$9999,$G13,C$2:C$9999)</f>
        <v>1095</v>
      </c>
      <c r="I13" s="22">
        <f t="shared" si="1"/>
        <v>600</v>
      </c>
      <c r="J13" s="25">
        <f t="shared" si="1"/>
        <v>1275</v>
      </c>
    </row>
    <row r="14" spans="1:13" x14ac:dyDescent="0.3">
      <c r="A14" s="17" t="s">
        <v>1</v>
      </c>
      <c r="B14" s="17" t="s">
        <v>48</v>
      </c>
      <c r="C14" s="17">
        <v>12</v>
      </c>
      <c r="D14" s="17">
        <v>7</v>
      </c>
      <c r="E14" s="17">
        <v>14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281</v>
      </c>
      <c r="C15" s="17">
        <v>9</v>
      </c>
      <c r="D15" s="17">
        <v>7</v>
      </c>
      <c r="E15" s="17">
        <v>9</v>
      </c>
      <c r="G15" s="23" t="s">
        <v>11</v>
      </c>
      <c r="H15" s="22">
        <f t="shared" si="1"/>
        <v>428</v>
      </c>
      <c r="I15" s="22">
        <f t="shared" si="1"/>
        <v>332</v>
      </c>
      <c r="J15" s="25">
        <f t="shared" si="1"/>
        <v>536</v>
      </c>
    </row>
    <row r="16" spans="1:13" ht="17.25" thickBot="1" x14ac:dyDescent="0.35">
      <c r="A16" s="17" t="s">
        <v>1</v>
      </c>
      <c r="B16" s="17" t="s">
        <v>1927</v>
      </c>
      <c r="C16" s="17">
        <v>15</v>
      </c>
      <c r="D16" s="17">
        <v>7</v>
      </c>
      <c r="E16" s="17">
        <v>17</v>
      </c>
      <c r="G16" s="26" t="s">
        <v>12</v>
      </c>
      <c r="H16" s="27">
        <f t="shared" si="1"/>
        <v>31</v>
      </c>
      <c r="I16" s="27">
        <f t="shared" si="1"/>
        <v>26</v>
      </c>
      <c r="J16" s="28">
        <f t="shared" si="1"/>
        <v>35</v>
      </c>
    </row>
    <row r="17" spans="1:5" x14ac:dyDescent="0.3">
      <c r="A17" s="17" t="s">
        <v>1</v>
      </c>
      <c r="B17" s="17" t="s">
        <v>2075</v>
      </c>
      <c r="C17" s="17">
        <v>9</v>
      </c>
      <c r="D17" s="17">
        <v>7</v>
      </c>
      <c r="E17" s="17">
        <v>12</v>
      </c>
    </row>
    <row r="18" spans="1:5" x14ac:dyDescent="0.3">
      <c r="A18" s="17" t="s">
        <v>1</v>
      </c>
      <c r="B18" s="17" t="s">
        <v>51</v>
      </c>
      <c r="C18" s="17">
        <v>11</v>
      </c>
      <c r="D18" s="17">
        <v>7</v>
      </c>
      <c r="E18" s="17">
        <v>15</v>
      </c>
    </row>
    <row r="19" spans="1:5" x14ac:dyDescent="0.3">
      <c r="A19" s="17" t="s">
        <v>1</v>
      </c>
      <c r="B19" s="17" t="s">
        <v>33</v>
      </c>
      <c r="C19" s="17">
        <v>9</v>
      </c>
      <c r="D19" s="17">
        <v>6</v>
      </c>
      <c r="E19" s="17">
        <v>9</v>
      </c>
    </row>
    <row r="20" spans="1:5" x14ac:dyDescent="0.3">
      <c r="A20" s="17" t="s">
        <v>1</v>
      </c>
      <c r="B20" s="17" t="s">
        <v>492</v>
      </c>
      <c r="C20" s="17">
        <v>6</v>
      </c>
      <c r="D20" s="17">
        <v>6</v>
      </c>
      <c r="E20" s="17">
        <v>6</v>
      </c>
    </row>
    <row r="21" spans="1:5" x14ac:dyDescent="0.3">
      <c r="A21" s="17" t="s">
        <v>0</v>
      </c>
      <c r="B21" s="17" t="s">
        <v>365</v>
      </c>
      <c r="C21" s="17">
        <v>6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152</v>
      </c>
      <c r="C22" s="17">
        <v>8</v>
      </c>
      <c r="D22" s="17">
        <v>5</v>
      </c>
      <c r="E22" s="17">
        <v>10</v>
      </c>
    </row>
    <row r="23" spans="1:5" x14ac:dyDescent="0.3">
      <c r="A23" s="17" t="s">
        <v>1</v>
      </c>
      <c r="B23" s="17" t="s">
        <v>61</v>
      </c>
      <c r="C23" s="17">
        <v>6</v>
      </c>
      <c r="D23" s="17">
        <v>5</v>
      </c>
      <c r="E23" s="17">
        <v>7</v>
      </c>
    </row>
    <row r="24" spans="1:5" x14ac:dyDescent="0.3">
      <c r="A24" s="17" t="s">
        <v>1</v>
      </c>
      <c r="B24" s="17" t="s">
        <v>2789</v>
      </c>
      <c r="C24" s="17">
        <v>19</v>
      </c>
      <c r="D24" s="17">
        <v>5</v>
      </c>
      <c r="E24" s="17">
        <v>25</v>
      </c>
    </row>
    <row r="25" spans="1:5" x14ac:dyDescent="0.3">
      <c r="A25" s="17" t="s">
        <v>1</v>
      </c>
      <c r="B25" s="17" t="s">
        <v>199</v>
      </c>
      <c r="C25" s="17">
        <v>5</v>
      </c>
      <c r="D25" s="17">
        <v>5</v>
      </c>
      <c r="E25" s="17">
        <v>5</v>
      </c>
    </row>
    <row r="26" spans="1:5" x14ac:dyDescent="0.3">
      <c r="A26" s="17" t="s">
        <v>1</v>
      </c>
      <c r="B26" s="17" t="s">
        <v>289</v>
      </c>
      <c r="C26" s="17">
        <v>5</v>
      </c>
      <c r="D26" s="17">
        <v>5</v>
      </c>
      <c r="E26" s="17">
        <v>6</v>
      </c>
    </row>
    <row r="27" spans="1:5" x14ac:dyDescent="0.3">
      <c r="A27" s="17" t="s">
        <v>1</v>
      </c>
      <c r="B27" s="17" t="s">
        <v>872</v>
      </c>
      <c r="C27" s="17">
        <v>8</v>
      </c>
      <c r="D27" s="17">
        <v>5</v>
      </c>
      <c r="E27" s="17">
        <v>12</v>
      </c>
    </row>
    <row r="28" spans="1:5" x14ac:dyDescent="0.3">
      <c r="A28" s="17" t="s">
        <v>0</v>
      </c>
      <c r="B28" s="17" t="s">
        <v>30</v>
      </c>
      <c r="C28" s="17">
        <v>15</v>
      </c>
      <c r="D28" s="17">
        <v>5</v>
      </c>
      <c r="E28" s="17">
        <v>22</v>
      </c>
    </row>
    <row r="29" spans="1:5" x14ac:dyDescent="0.3">
      <c r="A29" s="17" t="s">
        <v>0</v>
      </c>
      <c r="B29" s="17" t="s">
        <v>40</v>
      </c>
      <c r="C29" s="17">
        <v>6</v>
      </c>
      <c r="D29" s="17">
        <v>5</v>
      </c>
      <c r="E29" s="17">
        <v>6</v>
      </c>
    </row>
    <row r="30" spans="1:5" x14ac:dyDescent="0.3">
      <c r="A30" s="17" t="s">
        <v>0</v>
      </c>
      <c r="B30" s="17" t="s">
        <v>61</v>
      </c>
      <c r="C30" s="17">
        <v>5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36</v>
      </c>
      <c r="C31" s="17">
        <v>5</v>
      </c>
      <c r="D31" s="17">
        <v>4</v>
      </c>
      <c r="E31" s="17">
        <v>6</v>
      </c>
    </row>
    <row r="32" spans="1:5" x14ac:dyDescent="0.3">
      <c r="A32" s="17" t="s">
        <v>1</v>
      </c>
      <c r="B32" s="17" t="s">
        <v>79</v>
      </c>
      <c r="C32" s="17">
        <v>5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85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89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526</v>
      </c>
      <c r="C35" s="17">
        <v>4</v>
      </c>
      <c r="D35" s="17">
        <v>4</v>
      </c>
      <c r="E35" s="17">
        <v>6</v>
      </c>
    </row>
    <row r="36" spans="1:5" x14ac:dyDescent="0.3">
      <c r="A36" s="17" t="s">
        <v>1</v>
      </c>
      <c r="B36" s="17" t="s">
        <v>107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29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113</v>
      </c>
      <c r="C38" s="17">
        <v>6</v>
      </c>
      <c r="D38" s="17">
        <v>4</v>
      </c>
      <c r="E38" s="17">
        <v>6</v>
      </c>
    </row>
    <row r="39" spans="1:5" x14ac:dyDescent="0.3">
      <c r="A39" s="17" t="s">
        <v>1</v>
      </c>
      <c r="B39" s="17" t="s">
        <v>729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122</v>
      </c>
      <c r="C40" s="17">
        <v>4</v>
      </c>
      <c r="D40" s="17">
        <v>4</v>
      </c>
      <c r="E40" s="17">
        <v>4</v>
      </c>
    </row>
    <row r="41" spans="1:5" x14ac:dyDescent="0.3">
      <c r="A41" s="17" t="s">
        <v>1</v>
      </c>
      <c r="B41" s="17" t="s">
        <v>63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31</v>
      </c>
      <c r="C42" s="17">
        <v>5</v>
      </c>
      <c r="D42" s="17">
        <v>4</v>
      </c>
      <c r="E42" s="17">
        <v>5</v>
      </c>
    </row>
    <row r="43" spans="1:5" x14ac:dyDescent="0.3">
      <c r="A43" s="17" t="s">
        <v>1</v>
      </c>
      <c r="B43" s="17" t="s">
        <v>32</v>
      </c>
      <c r="C43" s="17">
        <v>8</v>
      </c>
      <c r="D43" s="17">
        <v>4</v>
      </c>
      <c r="E43" s="17">
        <v>14</v>
      </c>
    </row>
    <row r="44" spans="1:5" x14ac:dyDescent="0.3">
      <c r="A44" s="17" t="s">
        <v>0</v>
      </c>
      <c r="B44" s="17" t="s">
        <v>34</v>
      </c>
      <c r="C44" s="17">
        <v>5</v>
      </c>
      <c r="D44" s="17">
        <v>4</v>
      </c>
      <c r="E44" s="17">
        <v>5</v>
      </c>
    </row>
    <row r="45" spans="1:5" x14ac:dyDescent="0.3">
      <c r="A45" s="17" t="s">
        <v>0</v>
      </c>
      <c r="B45" s="17" t="s">
        <v>42</v>
      </c>
      <c r="C45" s="17">
        <v>4</v>
      </c>
      <c r="D45" s="17">
        <v>4</v>
      </c>
      <c r="E45" s="17">
        <v>5</v>
      </c>
    </row>
    <row r="46" spans="1:5" x14ac:dyDescent="0.3">
      <c r="A46" s="17" t="s">
        <v>0</v>
      </c>
      <c r="B46" s="17" t="s">
        <v>2396</v>
      </c>
      <c r="C46" s="17">
        <v>9</v>
      </c>
      <c r="D46" s="17">
        <v>4</v>
      </c>
      <c r="E46" s="17">
        <v>21</v>
      </c>
    </row>
    <row r="47" spans="1:5" x14ac:dyDescent="0.3">
      <c r="A47" s="17" t="s">
        <v>0</v>
      </c>
      <c r="B47" s="17" t="s">
        <v>37</v>
      </c>
      <c r="C47" s="17">
        <v>4</v>
      </c>
      <c r="D47" s="17">
        <v>4</v>
      </c>
      <c r="E47" s="17">
        <v>4</v>
      </c>
    </row>
    <row r="48" spans="1:5" x14ac:dyDescent="0.3">
      <c r="A48" s="17" t="s">
        <v>1</v>
      </c>
      <c r="B48" s="17" t="s">
        <v>490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151</v>
      </c>
      <c r="C49" s="17">
        <v>5</v>
      </c>
      <c r="D49" s="17">
        <v>3</v>
      </c>
      <c r="E49" s="17">
        <v>5</v>
      </c>
    </row>
    <row r="50" spans="1:5" x14ac:dyDescent="0.3">
      <c r="A50" s="17" t="s">
        <v>1</v>
      </c>
      <c r="B50" s="17" t="s">
        <v>155</v>
      </c>
      <c r="C50" s="17">
        <v>5</v>
      </c>
      <c r="D50" s="17">
        <v>3</v>
      </c>
      <c r="E50" s="17">
        <v>6</v>
      </c>
    </row>
    <row r="51" spans="1:5" x14ac:dyDescent="0.3">
      <c r="A51" s="17" t="s">
        <v>1</v>
      </c>
      <c r="B51" s="17" t="s">
        <v>2705</v>
      </c>
      <c r="C51" s="17">
        <v>8</v>
      </c>
      <c r="D51" s="17">
        <v>3</v>
      </c>
      <c r="E51" s="17">
        <v>12</v>
      </c>
    </row>
    <row r="52" spans="1:5" x14ac:dyDescent="0.3">
      <c r="A52" s="17" t="s">
        <v>1</v>
      </c>
      <c r="B52" s="17" t="s">
        <v>403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45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662</v>
      </c>
      <c r="C54" s="17">
        <v>5</v>
      </c>
      <c r="D54" s="17">
        <v>3</v>
      </c>
      <c r="E54" s="17">
        <v>5</v>
      </c>
    </row>
    <row r="55" spans="1:5" x14ac:dyDescent="0.3">
      <c r="A55" s="17" t="s">
        <v>1</v>
      </c>
      <c r="B55" s="17" t="s">
        <v>429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52</v>
      </c>
      <c r="C56" s="17">
        <v>7</v>
      </c>
      <c r="D56" s="17">
        <v>3</v>
      </c>
      <c r="E56" s="17">
        <v>8</v>
      </c>
    </row>
    <row r="57" spans="1:5" x14ac:dyDescent="0.3">
      <c r="A57" s="17" t="s">
        <v>1</v>
      </c>
      <c r="B57" s="17" t="s">
        <v>135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194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39</v>
      </c>
      <c r="C59" s="17">
        <v>11</v>
      </c>
      <c r="D59" s="17">
        <v>3</v>
      </c>
      <c r="E59" s="17">
        <v>16</v>
      </c>
    </row>
    <row r="60" spans="1:5" x14ac:dyDescent="0.3">
      <c r="A60" s="17" t="s">
        <v>0</v>
      </c>
      <c r="B60" s="17" t="s">
        <v>151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1946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265</v>
      </c>
      <c r="C62" s="17">
        <v>3</v>
      </c>
      <c r="D62" s="17">
        <v>3</v>
      </c>
      <c r="E62" s="17">
        <v>4</v>
      </c>
    </row>
    <row r="63" spans="1:5" x14ac:dyDescent="0.3">
      <c r="A63" s="17" t="s">
        <v>0</v>
      </c>
      <c r="B63" s="17" t="s">
        <v>168</v>
      </c>
      <c r="C63" s="17">
        <v>3</v>
      </c>
      <c r="D63" s="17">
        <v>3</v>
      </c>
      <c r="E63" s="17">
        <v>3</v>
      </c>
    </row>
    <row r="64" spans="1:5" x14ac:dyDescent="0.3">
      <c r="A64" s="17" t="s">
        <v>0</v>
      </c>
      <c r="B64" s="17" t="s">
        <v>51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350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128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68</v>
      </c>
      <c r="C67" s="17">
        <v>3</v>
      </c>
      <c r="D67" s="17">
        <v>3</v>
      </c>
      <c r="E67" s="17">
        <v>5</v>
      </c>
    </row>
    <row r="68" spans="1:5" x14ac:dyDescent="0.3">
      <c r="A68" s="17" t="s">
        <v>1</v>
      </c>
      <c r="B68" s="17" t="s">
        <v>140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269</v>
      </c>
      <c r="C69" s="17">
        <v>3</v>
      </c>
      <c r="D69" s="17">
        <v>2</v>
      </c>
      <c r="E69" s="17">
        <v>6</v>
      </c>
    </row>
    <row r="70" spans="1:5" x14ac:dyDescent="0.3">
      <c r="A70" s="17" t="s">
        <v>1</v>
      </c>
      <c r="B70" s="17" t="s">
        <v>149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154</v>
      </c>
      <c r="C71" s="17">
        <v>4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2395</v>
      </c>
      <c r="C72" s="17">
        <v>7</v>
      </c>
      <c r="D72" s="17">
        <v>2</v>
      </c>
      <c r="E72" s="17">
        <v>8</v>
      </c>
    </row>
    <row r="73" spans="1:5" x14ac:dyDescent="0.3">
      <c r="A73" s="17" t="s">
        <v>1</v>
      </c>
      <c r="B73" s="17" t="s">
        <v>2429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2445</v>
      </c>
      <c r="C74" s="17">
        <v>4</v>
      </c>
      <c r="D74" s="17">
        <v>2</v>
      </c>
      <c r="E74" s="17">
        <v>4</v>
      </c>
    </row>
    <row r="75" spans="1:5" x14ac:dyDescent="0.3">
      <c r="A75" s="17" t="s">
        <v>1</v>
      </c>
      <c r="B75" s="17" t="s">
        <v>866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1868</v>
      </c>
      <c r="C76" s="17">
        <v>2</v>
      </c>
      <c r="D76" s="17">
        <v>2</v>
      </c>
      <c r="E76" s="17">
        <v>4</v>
      </c>
    </row>
    <row r="77" spans="1:5" x14ac:dyDescent="0.3">
      <c r="A77" s="17" t="s">
        <v>1</v>
      </c>
      <c r="B77" s="17" t="s">
        <v>525</v>
      </c>
      <c r="C77" s="17">
        <v>2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402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527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165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405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1182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168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1374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111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172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326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328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117</v>
      </c>
      <c r="C89" s="17">
        <v>4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343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125</v>
      </c>
      <c r="C91" s="17">
        <v>3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179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791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746</v>
      </c>
      <c r="C94" s="17">
        <v>2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2605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1238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195</v>
      </c>
      <c r="C97" s="17">
        <v>8</v>
      </c>
      <c r="D97" s="17">
        <v>2</v>
      </c>
      <c r="E97" s="17">
        <v>9</v>
      </c>
    </row>
    <row r="98" spans="1:5" x14ac:dyDescent="0.3">
      <c r="A98" s="17" t="s">
        <v>1</v>
      </c>
      <c r="B98" s="17" t="s">
        <v>67</v>
      </c>
      <c r="C98" s="17">
        <v>4</v>
      </c>
      <c r="D98" s="17">
        <v>2</v>
      </c>
      <c r="E98" s="17">
        <v>4</v>
      </c>
    </row>
    <row r="99" spans="1:5" x14ac:dyDescent="0.3">
      <c r="A99" s="17" t="s">
        <v>1</v>
      </c>
      <c r="B99" s="17" t="s">
        <v>376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196</v>
      </c>
      <c r="C100" s="17">
        <v>10</v>
      </c>
      <c r="D100" s="17">
        <v>2</v>
      </c>
      <c r="E100" s="17">
        <v>11</v>
      </c>
    </row>
    <row r="101" spans="1:5" x14ac:dyDescent="0.3">
      <c r="A101" s="17" t="s">
        <v>1</v>
      </c>
      <c r="B101" s="17" t="s">
        <v>1276</v>
      </c>
      <c r="C101" s="17">
        <v>2</v>
      </c>
      <c r="D101" s="17">
        <v>3</v>
      </c>
      <c r="E101" s="17"/>
    </row>
    <row r="102" spans="1:5" x14ac:dyDescent="0.3">
      <c r="A102" s="17" t="s">
        <v>1</v>
      </c>
      <c r="B102" s="17" t="s">
        <v>1404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1641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48</v>
      </c>
      <c r="C104" s="17">
        <v>4</v>
      </c>
      <c r="D104" s="17">
        <v>2</v>
      </c>
      <c r="E104" s="17">
        <v>7</v>
      </c>
    </row>
    <row r="105" spans="1:5" x14ac:dyDescent="0.3">
      <c r="A105" s="17" t="s">
        <v>0</v>
      </c>
      <c r="B105" s="17" t="s">
        <v>82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60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1871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1927</v>
      </c>
      <c r="C108" s="17">
        <v>5</v>
      </c>
      <c r="D108" s="17">
        <v>2</v>
      </c>
      <c r="E108" s="17">
        <v>5</v>
      </c>
    </row>
    <row r="109" spans="1:5" x14ac:dyDescent="0.3">
      <c r="A109" s="17" t="s">
        <v>0</v>
      </c>
      <c r="B109" s="17" t="s">
        <v>2075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2789</v>
      </c>
      <c r="C110" s="17">
        <v>4</v>
      </c>
      <c r="D110" s="17">
        <v>2</v>
      </c>
      <c r="E110" s="17">
        <v>5</v>
      </c>
    </row>
    <row r="111" spans="1:5" x14ac:dyDescent="0.3">
      <c r="A111" s="17" t="s">
        <v>0</v>
      </c>
      <c r="B111" s="17" t="s">
        <v>35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492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160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0</v>
      </c>
      <c r="B114" s="17" t="s">
        <v>1970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163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199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606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328</v>
      </c>
      <c r="C118" s="17">
        <v>2</v>
      </c>
      <c r="D118" s="17">
        <v>2</v>
      </c>
      <c r="E118" s="17">
        <v>3</v>
      </c>
    </row>
    <row r="119" spans="1:5" x14ac:dyDescent="0.3">
      <c r="A119" s="17" t="s">
        <v>0</v>
      </c>
      <c r="B119" s="17" t="s">
        <v>62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126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65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1025</v>
      </c>
      <c r="C122" s="17">
        <v>2</v>
      </c>
      <c r="D122" s="17">
        <v>2</v>
      </c>
      <c r="E122" s="17">
        <v>3</v>
      </c>
    </row>
    <row r="123" spans="1:5" x14ac:dyDescent="0.3">
      <c r="A123" s="17" t="s">
        <v>0</v>
      </c>
      <c r="B123" s="17" t="s">
        <v>376</v>
      </c>
      <c r="C123" s="17">
        <v>2</v>
      </c>
      <c r="D123" s="17">
        <v>2</v>
      </c>
      <c r="E123" s="17">
        <v>3</v>
      </c>
    </row>
    <row r="124" spans="1:5" x14ac:dyDescent="0.3">
      <c r="A124" s="17" t="s">
        <v>2</v>
      </c>
      <c r="B124" s="17" t="s">
        <v>2075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2</v>
      </c>
      <c r="B125" s="17" t="s">
        <v>897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389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243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47</v>
      </c>
      <c r="C128" s="17">
        <v>2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355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929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611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581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245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57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691</v>
      </c>
      <c r="C135" s="17">
        <v>2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207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705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208</v>
      </c>
      <c r="C138" s="17">
        <v>2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513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272</v>
      </c>
      <c r="C140" s="17">
        <v>2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2866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273</v>
      </c>
      <c r="C142" s="17">
        <v>2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313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210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275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516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59</v>
      </c>
      <c r="C147" s="17">
        <v>2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211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859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1610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2867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82</v>
      </c>
      <c r="C152" s="17">
        <v>3</v>
      </c>
      <c r="D152" s="17">
        <v>1</v>
      </c>
      <c r="E152" s="17">
        <v>4</v>
      </c>
    </row>
    <row r="153" spans="1:5" x14ac:dyDescent="0.3">
      <c r="A153" s="17" t="s">
        <v>1</v>
      </c>
      <c r="B153" s="17" t="s">
        <v>1702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267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213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214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83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520</v>
      </c>
      <c r="C158" s="17">
        <v>2</v>
      </c>
      <c r="D158" s="17">
        <v>1</v>
      </c>
      <c r="E158" s="17">
        <v>3</v>
      </c>
    </row>
    <row r="159" spans="1:5" x14ac:dyDescent="0.3">
      <c r="A159" s="17" t="s">
        <v>1</v>
      </c>
      <c r="B159" s="17" t="s">
        <v>398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938</v>
      </c>
      <c r="C160" s="17">
        <v>2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88</v>
      </c>
      <c r="C161" s="17">
        <v>2</v>
      </c>
      <c r="D161" s="17">
        <v>1</v>
      </c>
      <c r="E161" s="17">
        <v>3</v>
      </c>
    </row>
    <row r="162" spans="1:5" x14ac:dyDescent="0.3">
      <c r="A162" s="17" t="s">
        <v>1</v>
      </c>
      <c r="B162" s="17" t="s">
        <v>631</v>
      </c>
      <c r="C162" s="17">
        <v>2</v>
      </c>
      <c r="D162" s="17">
        <v>1</v>
      </c>
      <c r="E162" s="17">
        <v>3</v>
      </c>
    </row>
    <row r="163" spans="1:5" x14ac:dyDescent="0.3">
      <c r="A163" s="17" t="s">
        <v>1</v>
      </c>
      <c r="B163" s="17" t="s">
        <v>633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634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91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481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92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636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711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93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640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41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156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802</v>
      </c>
      <c r="C174" s="17">
        <v>2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60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95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96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487</v>
      </c>
      <c r="C178" s="17">
        <v>4</v>
      </c>
      <c r="D178" s="17">
        <v>1</v>
      </c>
      <c r="E178" s="17">
        <v>4</v>
      </c>
    </row>
    <row r="179" spans="1:5" x14ac:dyDescent="0.3">
      <c r="A179" s="17" t="s">
        <v>1</v>
      </c>
      <c r="B179" s="17" t="s">
        <v>1691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1854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1897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1911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1912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1946</v>
      </c>
      <c r="C184" s="17">
        <v>3</v>
      </c>
      <c r="D184" s="17">
        <v>1</v>
      </c>
      <c r="E184" s="17">
        <v>3</v>
      </c>
    </row>
    <row r="185" spans="1:5" x14ac:dyDescent="0.3">
      <c r="A185" s="17" t="s">
        <v>1</v>
      </c>
      <c r="B185" s="17" t="s">
        <v>1983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2068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2329</v>
      </c>
      <c r="C187" s="17">
        <v>4</v>
      </c>
      <c r="D187" s="17">
        <v>1</v>
      </c>
      <c r="E187" s="17">
        <v>6</v>
      </c>
    </row>
    <row r="188" spans="1:5" x14ac:dyDescent="0.3">
      <c r="A188" s="17" t="s">
        <v>1</v>
      </c>
      <c r="B188" s="17" t="s">
        <v>2397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2599</v>
      </c>
      <c r="C189" s="17">
        <v>5</v>
      </c>
      <c r="D189" s="17">
        <v>1</v>
      </c>
      <c r="E189" s="17">
        <v>6</v>
      </c>
    </row>
    <row r="190" spans="1:5" x14ac:dyDescent="0.3">
      <c r="A190" s="17" t="s">
        <v>1</v>
      </c>
      <c r="B190" s="17" t="s">
        <v>158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2868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2347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400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97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440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585</v>
      </c>
      <c r="C196" s="17">
        <v>2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1193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868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35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2869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1287</v>
      </c>
      <c r="C201" s="17">
        <v>1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715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586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769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160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1713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161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163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2870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1932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998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1549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837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352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716</v>
      </c>
      <c r="C215" s="17">
        <v>2</v>
      </c>
      <c r="D215" s="17">
        <v>1</v>
      </c>
      <c r="E215" s="17">
        <v>3</v>
      </c>
    </row>
    <row r="216" spans="1:5" x14ac:dyDescent="0.3">
      <c r="A216" s="17" t="s">
        <v>1</v>
      </c>
      <c r="B216" s="17" t="s">
        <v>804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285</v>
      </c>
      <c r="C217" s="17">
        <v>1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717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106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2826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1523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2052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772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2871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693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1222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167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1568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286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914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2872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1551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169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443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1099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593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648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173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2873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44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410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2874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2230</v>
      </c>
      <c r="C243" s="17">
        <v>2</v>
      </c>
      <c r="D243" s="17">
        <v>1</v>
      </c>
      <c r="E243" s="17">
        <v>4</v>
      </c>
    </row>
    <row r="244" spans="1:5" x14ac:dyDescent="0.3">
      <c r="A244" s="17" t="s">
        <v>1</v>
      </c>
      <c r="B244" s="17" t="s">
        <v>2061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594</v>
      </c>
      <c r="C245" s="17">
        <v>1</v>
      </c>
      <c r="D245" s="17">
        <v>1</v>
      </c>
      <c r="E245" s="17">
        <v>2</v>
      </c>
    </row>
    <row r="246" spans="1:5" x14ac:dyDescent="0.3">
      <c r="A246" s="17" t="s">
        <v>1</v>
      </c>
      <c r="B246" s="17" t="s">
        <v>1005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115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1170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596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776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1509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884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297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979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446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1727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336</v>
      </c>
      <c r="C257" s="17">
        <v>2</v>
      </c>
      <c r="D257" s="17">
        <v>1</v>
      </c>
      <c r="E257" s="17">
        <v>2</v>
      </c>
    </row>
    <row r="258" spans="1:5" x14ac:dyDescent="0.3">
      <c r="A258" s="17" t="s">
        <v>1</v>
      </c>
      <c r="B258" s="17" t="s">
        <v>607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1292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1231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1187</v>
      </c>
      <c r="C261" s="17">
        <v>2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2875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732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116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1180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681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1350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1189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1080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176</v>
      </c>
      <c r="C270" s="17">
        <v>3</v>
      </c>
      <c r="D270" s="17">
        <v>1</v>
      </c>
      <c r="E270" s="17">
        <v>3</v>
      </c>
    </row>
    <row r="271" spans="1:5" x14ac:dyDescent="0.3">
      <c r="A271" s="17" t="s">
        <v>1</v>
      </c>
      <c r="B271" s="17" t="s">
        <v>887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1111</v>
      </c>
      <c r="C272" s="17">
        <v>1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495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1351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1352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388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120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345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1686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123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2120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555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346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2189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2876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1397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180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1543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126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2192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1132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897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348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1279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427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185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472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350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964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1485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667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128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129</v>
      </c>
      <c r="C303" s="17">
        <v>1</v>
      </c>
      <c r="D303" s="17">
        <v>1</v>
      </c>
      <c r="E303" s="17">
        <v>2</v>
      </c>
    </row>
    <row r="304" spans="1:5" x14ac:dyDescent="0.3">
      <c r="A304" s="17" t="s">
        <v>1</v>
      </c>
      <c r="B304" s="17" t="s">
        <v>1119</v>
      </c>
      <c r="C304" s="17">
        <v>2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497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451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2103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132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430</v>
      </c>
      <c r="C309" s="17">
        <v>1</v>
      </c>
      <c r="D309" s="17">
        <v>1</v>
      </c>
      <c r="E309" s="17">
        <v>2</v>
      </c>
    </row>
    <row r="310" spans="1:5" x14ac:dyDescent="0.3">
      <c r="A310" s="17" t="s">
        <v>1</v>
      </c>
      <c r="B310" s="17" t="s">
        <v>201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134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351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38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455</v>
      </c>
      <c r="C314" s="17">
        <v>1</v>
      </c>
      <c r="D314" s="17">
        <v>1</v>
      </c>
      <c r="E314" s="17">
        <v>2</v>
      </c>
    </row>
    <row r="315" spans="1:5" x14ac:dyDescent="0.3">
      <c r="A315" s="17" t="s">
        <v>1</v>
      </c>
      <c r="B315" s="17" t="s">
        <v>305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234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842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921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500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53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263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1476</v>
      </c>
      <c r="C322" s="17">
        <v>2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236</v>
      </c>
      <c r="C323" s="17">
        <v>4</v>
      </c>
      <c r="D323" s="17">
        <v>1</v>
      </c>
      <c r="E323" s="17">
        <v>10</v>
      </c>
    </row>
    <row r="324" spans="1:5" x14ac:dyDescent="0.3">
      <c r="A324" s="17" t="s">
        <v>1</v>
      </c>
      <c r="B324" s="17" t="s">
        <v>54</v>
      </c>
      <c r="C324" s="17">
        <v>4</v>
      </c>
      <c r="D324" s="17">
        <v>1</v>
      </c>
      <c r="E324" s="17">
        <v>4</v>
      </c>
    </row>
    <row r="325" spans="1:5" x14ac:dyDescent="0.3">
      <c r="A325" s="17" t="s">
        <v>1</v>
      </c>
      <c r="B325" s="17" t="s">
        <v>55</v>
      </c>
      <c r="C325" s="17">
        <v>8</v>
      </c>
      <c r="D325" s="17">
        <v>1</v>
      </c>
      <c r="E325" s="17">
        <v>9</v>
      </c>
    </row>
    <row r="326" spans="1:5" x14ac:dyDescent="0.3">
      <c r="A326" s="17" t="s">
        <v>1</v>
      </c>
      <c r="B326" s="17" t="s">
        <v>2418</v>
      </c>
      <c r="C326" s="17">
        <v>1</v>
      </c>
      <c r="D326" s="17">
        <v>1</v>
      </c>
      <c r="E326" s="17"/>
    </row>
    <row r="327" spans="1:5" x14ac:dyDescent="0.3">
      <c r="A327" s="17" t="s">
        <v>1</v>
      </c>
      <c r="B327" s="17" t="s">
        <v>2877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456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1531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571</v>
      </c>
      <c r="C330" s="17">
        <v>1</v>
      </c>
      <c r="D330" s="17">
        <v>1</v>
      </c>
      <c r="E330" s="17"/>
    </row>
    <row r="331" spans="1:5" x14ac:dyDescent="0.3">
      <c r="A331" s="17" t="s">
        <v>1</v>
      </c>
      <c r="B331" s="17" t="s">
        <v>266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1248</v>
      </c>
      <c r="C332" s="17">
        <v>1</v>
      </c>
      <c r="D332" s="17">
        <v>1</v>
      </c>
      <c r="E332" s="17"/>
    </row>
    <row r="333" spans="1:5" x14ac:dyDescent="0.3">
      <c r="A333" s="17" t="s">
        <v>1</v>
      </c>
      <c r="B333" s="17" t="s">
        <v>2269</v>
      </c>
      <c r="C333" s="17">
        <v>1</v>
      </c>
      <c r="D333" s="17">
        <v>1</v>
      </c>
      <c r="E333" s="17"/>
    </row>
    <row r="334" spans="1:5" x14ac:dyDescent="0.3">
      <c r="A334" s="17" t="s">
        <v>1</v>
      </c>
      <c r="B334" s="17" t="s">
        <v>2570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139</v>
      </c>
      <c r="C335" s="17">
        <v>1</v>
      </c>
      <c r="D335" s="17">
        <v>1</v>
      </c>
      <c r="E335" s="17"/>
    </row>
    <row r="336" spans="1:5" x14ac:dyDescent="0.3">
      <c r="A336" s="17" t="s">
        <v>1</v>
      </c>
      <c r="B336" s="17" t="s">
        <v>2878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850</v>
      </c>
      <c r="C337" s="17">
        <v>1</v>
      </c>
      <c r="D337" s="17">
        <v>1</v>
      </c>
      <c r="E337" s="17">
        <v>2</v>
      </c>
    </row>
    <row r="338" spans="1:5" x14ac:dyDescent="0.3">
      <c r="A338" s="17" t="s">
        <v>1</v>
      </c>
      <c r="B338" s="17" t="s">
        <v>1469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1598</v>
      </c>
      <c r="C339" s="17">
        <v>1</v>
      </c>
      <c r="D339" s="17">
        <v>1</v>
      </c>
      <c r="E339" s="17"/>
    </row>
    <row r="340" spans="1:5" x14ac:dyDescent="0.3">
      <c r="A340" s="17" t="s">
        <v>1</v>
      </c>
      <c r="B340" s="17" t="s">
        <v>1241</v>
      </c>
      <c r="C340" s="17">
        <v>1</v>
      </c>
      <c r="D340" s="17">
        <v>2</v>
      </c>
      <c r="E340" s="17"/>
    </row>
    <row r="341" spans="1:5" x14ac:dyDescent="0.3">
      <c r="A341" s="17" t="s">
        <v>1</v>
      </c>
      <c r="B341" s="17" t="s">
        <v>2338</v>
      </c>
      <c r="C341" s="17">
        <v>1</v>
      </c>
      <c r="D341" s="17">
        <v>1</v>
      </c>
      <c r="E341" s="17">
        <v>2</v>
      </c>
    </row>
    <row r="342" spans="1:5" x14ac:dyDescent="0.3">
      <c r="A342" s="17" t="s">
        <v>1</v>
      </c>
      <c r="B342" s="17" t="s">
        <v>1999</v>
      </c>
      <c r="C342" s="17">
        <v>1</v>
      </c>
      <c r="D342" s="17">
        <v>2</v>
      </c>
      <c r="E342" s="17"/>
    </row>
    <row r="343" spans="1:5" x14ac:dyDescent="0.3">
      <c r="A343" s="17" t="s">
        <v>0</v>
      </c>
      <c r="B343" s="17" t="s">
        <v>1214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36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504</v>
      </c>
      <c r="C345" s="17">
        <v>1</v>
      </c>
      <c r="D345" s="17">
        <v>1</v>
      </c>
      <c r="E345" s="17">
        <v>2</v>
      </c>
    </row>
    <row r="346" spans="1:5" x14ac:dyDescent="0.3">
      <c r="A346" s="17" t="s">
        <v>0</v>
      </c>
      <c r="B346" s="17" t="s">
        <v>392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579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2759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33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705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930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706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313</v>
      </c>
      <c r="C353" s="17">
        <v>1</v>
      </c>
      <c r="D353" s="17">
        <v>1</v>
      </c>
      <c r="E353" s="17">
        <v>2</v>
      </c>
    </row>
    <row r="354" spans="1:5" x14ac:dyDescent="0.3">
      <c r="A354" s="17" t="s">
        <v>0</v>
      </c>
      <c r="B354" s="17" t="s">
        <v>1809</v>
      </c>
      <c r="C354" s="17">
        <v>1</v>
      </c>
      <c r="D354" s="17">
        <v>1</v>
      </c>
      <c r="E354" s="17">
        <v>2</v>
      </c>
    </row>
    <row r="355" spans="1:5" x14ac:dyDescent="0.3">
      <c r="A355" s="17" t="s">
        <v>0</v>
      </c>
      <c r="B355" s="17" t="s">
        <v>490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461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276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517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79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59</v>
      </c>
      <c r="C360" s="17">
        <v>1</v>
      </c>
      <c r="D360" s="17">
        <v>1</v>
      </c>
      <c r="E360" s="17">
        <v>2</v>
      </c>
    </row>
    <row r="361" spans="1:5" x14ac:dyDescent="0.3">
      <c r="A361" s="17" t="s">
        <v>0</v>
      </c>
      <c r="B361" s="17" t="s">
        <v>990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936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908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267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83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85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584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280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89</v>
      </c>
      <c r="C369" s="17">
        <v>1</v>
      </c>
      <c r="D369" s="17">
        <v>1</v>
      </c>
      <c r="E369" s="17">
        <v>2</v>
      </c>
    </row>
    <row r="370" spans="1:5" x14ac:dyDescent="0.3">
      <c r="A370" s="17" t="s">
        <v>0</v>
      </c>
      <c r="B370" s="17" t="s">
        <v>281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223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41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1775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1912</v>
      </c>
      <c r="C374" s="17">
        <v>2</v>
      </c>
      <c r="D374" s="17">
        <v>1</v>
      </c>
      <c r="E374" s="17">
        <v>2</v>
      </c>
    </row>
    <row r="375" spans="1:5" x14ac:dyDescent="0.3">
      <c r="A375" s="17" t="s">
        <v>0</v>
      </c>
      <c r="B375" s="17" t="s">
        <v>1928</v>
      </c>
      <c r="C375" s="17">
        <v>2</v>
      </c>
      <c r="D375" s="17">
        <v>1</v>
      </c>
      <c r="E375" s="17">
        <v>2</v>
      </c>
    </row>
    <row r="376" spans="1:5" x14ac:dyDescent="0.3">
      <c r="A376" s="17" t="s">
        <v>0</v>
      </c>
      <c r="B376" s="17" t="s">
        <v>2616</v>
      </c>
      <c r="C376" s="17">
        <v>2</v>
      </c>
      <c r="D376" s="17">
        <v>1</v>
      </c>
      <c r="E376" s="17">
        <v>2</v>
      </c>
    </row>
    <row r="377" spans="1:5" x14ac:dyDescent="0.3">
      <c r="A377" s="17" t="s">
        <v>0</v>
      </c>
      <c r="B377" s="17" t="s">
        <v>158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1167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401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867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2173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1478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1479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101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1128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1538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403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995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1480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164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2765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589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28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2018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320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772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2879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1417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1288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442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2305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407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2880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171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1074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113</v>
      </c>
      <c r="C406" s="17">
        <v>2</v>
      </c>
      <c r="D406" s="17">
        <v>1</v>
      </c>
      <c r="E406" s="17">
        <v>9</v>
      </c>
    </row>
    <row r="407" spans="1:5" x14ac:dyDescent="0.3">
      <c r="A407" s="17" t="s">
        <v>0</v>
      </c>
      <c r="B407" s="17" t="s">
        <v>289</v>
      </c>
      <c r="C407" s="17">
        <v>1</v>
      </c>
      <c r="D407" s="17">
        <v>1</v>
      </c>
      <c r="E407" s="17">
        <v>2</v>
      </c>
    </row>
    <row r="408" spans="1:5" x14ac:dyDescent="0.3">
      <c r="A408" s="17" t="s">
        <v>0</v>
      </c>
      <c r="B408" s="17" t="s">
        <v>534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255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174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1654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1526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879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256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546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1290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336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607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116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117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681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954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735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1307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343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1801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122</v>
      </c>
      <c r="C427" s="17">
        <v>2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124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695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125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959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179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1894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1176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63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182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604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2331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1748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2855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262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186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52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201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259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898</v>
      </c>
      <c r="C446" s="17">
        <v>1</v>
      </c>
      <c r="D446" s="17">
        <v>1</v>
      </c>
      <c r="E446" s="17">
        <v>2</v>
      </c>
    </row>
    <row r="447" spans="1:5" x14ac:dyDescent="0.3">
      <c r="A447" s="17" t="s">
        <v>0</v>
      </c>
      <c r="B447" s="17" t="s">
        <v>455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234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194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195</v>
      </c>
      <c r="C450" s="17">
        <v>2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67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1827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456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2177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1470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2833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1637</v>
      </c>
      <c r="C457" s="17">
        <v>1</v>
      </c>
      <c r="D457" s="17">
        <v>1</v>
      </c>
      <c r="E457" s="17"/>
    </row>
    <row r="458" spans="1:5" x14ac:dyDescent="0.3">
      <c r="A458" s="17" t="s">
        <v>0</v>
      </c>
      <c r="B458" s="17" t="s">
        <v>2489</v>
      </c>
      <c r="C458" s="17">
        <v>1</v>
      </c>
      <c r="D458" s="17">
        <v>1</v>
      </c>
      <c r="E458" s="17"/>
    </row>
    <row r="459" spans="1:5" x14ac:dyDescent="0.3">
      <c r="A459" s="17" t="s">
        <v>0</v>
      </c>
      <c r="B459" s="17" t="s">
        <v>2300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573</v>
      </c>
      <c r="C460" s="17">
        <v>1</v>
      </c>
      <c r="D460" s="17">
        <v>1</v>
      </c>
      <c r="E460" s="17"/>
    </row>
    <row r="461" spans="1:5" x14ac:dyDescent="0.3">
      <c r="A461" s="17" t="s">
        <v>0</v>
      </c>
      <c r="B461" s="17" t="s">
        <v>969</v>
      </c>
      <c r="C461" s="17">
        <v>1</v>
      </c>
      <c r="D461" s="17">
        <v>1</v>
      </c>
      <c r="E461" s="17"/>
    </row>
    <row r="462" spans="1:5" x14ac:dyDescent="0.3">
      <c r="A462" s="17" t="s">
        <v>0</v>
      </c>
      <c r="B462" s="17" t="s">
        <v>1815</v>
      </c>
      <c r="C462" s="17">
        <v>1</v>
      </c>
      <c r="D462" s="17">
        <v>1</v>
      </c>
      <c r="E462" s="17">
        <v>3</v>
      </c>
    </row>
    <row r="463" spans="1:5" x14ac:dyDescent="0.3">
      <c r="A463" s="17" t="s">
        <v>0</v>
      </c>
      <c r="B463" s="17" t="s">
        <v>2735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431</v>
      </c>
      <c r="C464" s="17">
        <v>1</v>
      </c>
      <c r="D464" s="17">
        <v>2</v>
      </c>
      <c r="E464" s="17"/>
    </row>
    <row r="465" spans="1:5" x14ac:dyDescent="0.3">
      <c r="A465" s="17" t="s">
        <v>2</v>
      </c>
      <c r="B465" s="17" t="s">
        <v>30</v>
      </c>
      <c r="C465" s="17">
        <v>1</v>
      </c>
      <c r="D465" s="17">
        <v>1</v>
      </c>
      <c r="E465" s="17">
        <v>2</v>
      </c>
    </row>
    <row r="466" spans="1:5" x14ac:dyDescent="0.3">
      <c r="A466" s="17" t="s">
        <v>2</v>
      </c>
      <c r="B466" s="17" t="s">
        <v>242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2</v>
      </c>
      <c r="B467" s="17" t="s">
        <v>629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2</v>
      </c>
      <c r="B468" s="17" t="s">
        <v>89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2</v>
      </c>
      <c r="B469" s="17" t="s">
        <v>281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2</v>
      </c>
      <c r="B470" s="17" t="s">
        <v>437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2</v>
      </c>
      <c r="B471" s="17" t="s">
        <v>2692</v>
      </c>
      <c r="C471" s="17">
        <v>2</v>
      </c>
      <c r="D471" s="17">
        <v>1</v>
      </c>
      <c r="E471" s="17">
        <v>2</v>
      </c>
    </row>
    <row r="472" spans="1:5" x14ac:dyDescent="0.3">
      <c r="A472" s="17" t="s">
        <v>2</v>
      </c>
      <c r="B472" s="17" t="s">
        <v>2572</v>
      </c>
      <c r="C472" s="17">
        <v>2</v>
      </c>
      <c r="D472" s="17">
        <v>1</v>
      </c>
      <c r="E472" s="17">
        <v>3</v>
      </c>
    </row>
    <row r="473" spans="1:5" x14ac:dyDescent="0.3">
      <c r="A473" s="17" t="s">
        <v>2</v>
      </c>
      <c r="B473" s="17" t="s">
        <v>400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2</v>
      </c>
      <c r="B474" s="17" t="s">
        <v>403</v>
      </c>
      <c r="C474" s="17">
        <v>1</v>
      </c>
      <c r="D474" s="17">
        <v>1</v>
      </c>
      <c r="E474" s="17">
        <v>2</v>
      </c>
    </row>
    <row r="475" spans="1:5" x14ac:dyDescent="0.3">
      <c r="A475" s="17" t="s">
        <v>2</v>
      </c>
      <c r="B475" s="17" t="s">
        <v>1107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2</v>
      </c>
      <c r="B476" s="17" t="s">
        <v>29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2</v>
      </c>
      <c r="B477" s="17" t="s">
        <v>872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2</v>
      </c>
      <c r="B478" s="17" t="s">
        <v>51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410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2</v>
      </c>
      <c r="B480" s="17" t="s">
        <v>328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2</v>
      </c>
      <c r="B481" s="17" t="s">
        <v>542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2881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200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2</v>
      </c>
      <c r="B484" s="17" t="s">
        <v>63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2</v>
      </c>
      <c r="B485" s="17" t="s">
        <v>746</v>
      </c>
      <c r="C485" s="17">
        <v>1</v>
      </c>
      <c r="D485" s="17">
        <v>1</v>
      </c>
      <c r="E485" s="17">
        <v>2</v>
      </c>
    </row>
    <row r="486" spans="1:5" x14ac:dyDescent="0.3">
      <c r="A486" s="17" t="s">
        <v>2</v>
      </c>
      <c r="B486" s="17" t="s">
        <v>1237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1</v>
      </c>
      <c r="B487" s="17" t="s">
        <v>202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928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1771</v>
      </c>
      <c r="C489" s="17">
        <v>2</v>
      </c>
      <c r="D489" s="17">
        <v>0</v>
      </c>
      <c r="E489" s="17">
        <v>2</v>
      </c>
    </row>
    <row r="490" spans="1:5" x14ac:dyDescent="0.3">
      <c r="A490" s="17" t="s">
        <v>1</v>
      </c>
      <c r="B490" s="17" t="s">
        <v>204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506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986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2882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1368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2649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459</v>
      </c>
      <c r="C496" s="17">
        <v>1</v>
      </c>
      <c r="D496" s="17">
        <v>0</v>
      </c>
      <c r="E496" s="17">
        <v>0</v>
      </c>
    </row>
    <row r="497" spans="1:5" x14ac:dyDescent="0.3">
      <c r="A497" s="17" t="s">
        <v>1</v>
      </c>
      <c r="B497" s="17" t="s">
        <v>75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620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512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1370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2059</v>
      </c>
      <c r="C501" s="17">
        <v>1</v>
      </c>
      <c r="D501" s="17">
        <v>0</v>
      </c>
      <c r="E501" s="17">
        <v>3</v>
      </c>
    </row>
    <row r="502" spans="1:5" x14ac:dyDescent="0.3">
      <c r="A502" s="17" t="s">
        <v>1</v>
      </c>
      <c r="B502" s="17" t="s">
        <v>582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835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1254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276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1624</v>
      </c>
      <c r="C506" s="17">
        <v>1</v>
      </c>
      <c r="D506" s="17">
        <v>0</v>
      </c>
      <c r="E506" s="17">
        <v>0</v>
      </c>
    </row>
    <row r="507" spans="1:5" x14ac:dyDescent="0.3">
      <c r="A507" s="17" t="s">
        <v>1</v>
      </c>
      <c r="B507" s="17" t="s">
        <v>990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359</v>
      </c>
      <c r="C508" s="17">
        <v>2</v>
      </c>
      <c r="D508" s="17">
        <v>0</v>
      </c>
      <c r="E508" s="17">
        <v>2</v>
      </c>
    </row>
    <row r="509" spans="1:5" x14ac:dyDescent="0.3">
      <c r="A509" s="17" t="s">
        <v>1</v>
      </c>
      <c r="B509" s="17" t="s">
        <v>796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81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212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396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702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841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708</v>
      </c>
      <c r="C515" s="17">
        <v>1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628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316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1414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87</v>
      </c>
      <c r="C519" s="17">
        <v>2</v>
      </c>
      <c r="D519" s="17">
        <v>0</v>
      </c>
      <c r="E519" s="17">
        <v>2</v>
      </c>
    </row>
    <row r="520" spans="1:5" x14ac:dyDescent="0.3">
      <c r="A520" s="17" t="s">
        <v>1</v>
      </c>
      <c r="B520" s="17" t="s">
        <v>632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1256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216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635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217</v>
      </c>
      <c r="C524" s="17">
        <v>1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219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248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637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249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679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250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942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261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42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367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224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251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686</v>
      </c>
      <c r="C537" s="17">
        <v>2</v>
      </c>
      <c r="D537" s="17">
        <v>0</v>
      </c>
      <c r="E537" s="17">
        <v>2</v>
      </c>
    </row>
    <row r="538" spans="1:5" x14ac:dyDescent="0.3">
      <c r="A538" s="17" t="s">
        <v>1</v>
      </c>
      <c r="B538" s="17" t="s">
        <v>1708</v>
      </c>
      <c r="C538" s="17">
        <v>2</v>
      </c>
      <c r="D538" s="17">
        <v>0</v>
      </c>
      <c r="E538" s="17">
        <v>3</v>
      </c>
    </row>
    <row r="539" spans="1:5" x14ac:dyDescent="0.3">
      <c r="A539" s="17" t="s">
        <v>1</v>
      </c>
      <c r="B539" s="17" t="s">
        <v>1775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1906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2074</v>
      </c>
      <c r="C541" s="17">
        <v>2</v>
      </c>
      <c r="D541" s="17">
        <v>0</v>
      </c>
      <c r="E541" s="17">
        <v>3</v>
      </c>
    </row>
    <row r="542" spans="1:5" x14ac:dyDescent="0.3">
      <c r="A542" s="17" t="s">
        <v>1</v>
      </c>
      <c r="B542" s="17" t="s">
        <v>2100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2115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2334</v>
      </c>
      <c r="C544" s="17">
        <v>1</v>
      </c>
      <c r="D544" s="17">
        <v>0</v>
      </c>
      <c r="E544" s="17">
        <v>2</v>
      </c>
    </row>
    <row r="545" spans="1:5" x14ac:dyDescent="0.3">
      <c r="A545" s="17" t="s">
        <v>1</v>
      </c>
      <c r="B545" s="17" t="s">
        <v>2293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2401</v>
      </c>
      <c r="C546" s="17">
        <v>2</v>
      </c>
      <c r="D546" s="17">
        <v>0</v>
      </c>
      <c r="E546" s="17">
        <v>3</v>
      </c>
    </row>
    <row r="547" spans="1:5" x14ac:dyDescent="0.3">
      <c r="A547" s="17" t="s">
        <v>1</v>
      </c>
      <c r="B547" s="17" t="s">
        <v>2493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2468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2883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2884</v>
      </c>
      <c r="C550" s="17">
        <v>1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2711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2404</v>
      </c>
      <c r="C552" s="17">
        <v>2</v>
      </c>
      <c r="D552" s="17">
        <v>0</v>
      </c>
      <c r="E552" s="17">
        <v>3</v>
      </c>
    </row>
    <row r="553" spans="1:5" x14ac:dyDescent="0.3">
      <c r="A553" s="17" t="s">
        <v>1</v>
      </c>
      <c r="B553" s="17" t="s">
        <v>2398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2443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2428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2444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2616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1035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225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1103</v>
      </c>
      <c r="C560" s="17">
        <v>1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945</v>
      </c>
      <c r="C561" s="17">
        <v>1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946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1538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1275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1371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1069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103</v>
      </c>
      <c r="C567" s="17">
        <v>1</v>
      </c>
      <c r="D567" s="17">
        <v>0</v>
      </c>
      <c r="E567" s="17">
        <v>0</v>
      </c>
    </row>
    <row r="568" spans="1:5" x14ac:dyDescent="0.3">
      <c r="A568" s="17" t="s">
        <v>1</v>
      </c>
      <c r="B568" s="17" t="s">
        <v>2863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805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1493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1443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1685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1545</v>
      </c>
      <c r="C573" s="17">
        <v>1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110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226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2885</v>
      </c>
      <c r="C576" s="17">
        <v>2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1003</v>
      </c>
      <c r="C577" s="17">
        <v>1</v>
      </c>
      <c r="D577" s="17">
        <v>0</v>
      </c>
      <c r="E577" s="17">
        <v>5</v>
      </c>
    </row>
    <row r="578" spans="1:5" x14ac:dyDescent="0.3">
      <c r="A578" s="17" t="s">
        <v>1</v>
      </c>
      <c r="B578" s="17" t="s">
        <v>1570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534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291</v>
      </c>
      <c r="C580" s="17">
        <v>1</v>
      </c>
      <c r="D580" s="17">
        <v>0</v>
      </c>
      <c r="E580" s="17">
        <v>0</v>
      </c>
    </row>
    <row r="581" spans="1:5" x14ac:dyDescent="0.3">
      <c r="A581" s="17" t="s">
        <v>1</v>
      </c>
      <c r="B581" s="17" t="s">
        <v>2226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1756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876</v>
      </c>
      <c r="C583" s="17">
        <v>1</v>
      </c>
      <c r="D583" s="17">
        <v>0</v>
      </c>
      <c r="E583" s="17">
        <v>0</v>
      </c>
    </row>
    <row r="584" spans="1:5" x14ac:dyDescent="0.3">
      <c r="A584" s="17" t="s">
        <v>1</v>
      </c>
      <c r="B584" s="17" t="s">
        <v>1263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1344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1131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2828</v>
      </c>
      <c r="C587" s="17">
        <v>1</v>
      </c>
      <c r="D587" s="17">
        <v>0</v>
      </c>
      <c r="E587" s="17">
        <v>2</v>
      </c>
    </row>
    <row r="588" spans="1:5" x14ac:dyDescent="0.3">
      <c r="A588" s="17" t="s">
        <v>1</v>
      </c>
      <c r="B588" s="17" t="s">
        <v>1798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2253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2168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543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2010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331</v>
      </c>
      <c r="C593" s="17">
        <v>1</v>
      </c>
      <c r="D593" s="17">
        <v>0</v>
      </c>
      <c r="E593" s="17">
        <v>3</v>
      </c>
    </row>
    <row r="594" spans="1:5" x14ac:dyDescent="0.3">
      <c r="A594" s="17" t="s">
        <v>1</v>
      </c>
      <c r="B594" s="17" t="s">
        <v>1379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917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654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1528</v>
      </c>
      <c r="C597" s="17">
        <v>1</v>
      </c>
      <c r="D597" s="17">
        <v>0</v>
      </c>
      <c r="E597" s="17">
        <v>0</v>
      </c>
    </row>
    <row r="598" spans="1:5" x14ac:dyDescent="0.3">
      <c r="A598" s="17" t="s">
        <v>1</v>
      </c>
      <c r="B598" s="17" t="s">
        <v>548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778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1590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2886</v>
      </c>
      <c r="C601" s="17">
        <v>3</v>
      </c>
      <c r="D601" s="17">
        <v>0</v>
      </c>
      <c r="E601" s="17">
        <v>5</v>
      </c>
    </row>
    <row r="602" spans="1:5" x14ac:dyDescent="0.3">
      <c r="A602" s="17" t="s">
        <v>1</v>
      </c>
      <c r="B602" s="17" t="s">
        <v>976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733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957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342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200</v>
      </c>
      <c r="C606" s="17">
        <v>2</v>
      </c>
      <c r="D606" s="17">
        <v>0</v>
      </c>
      <c r="E606" s="17">
        <v>2</v>
      </c>
    </row>
    <row r="607" spans="1:5" x14ac:dyDescent="0.3">
      <c r="A607" s="17" t="s">
        <v>1</v>
      </c>
      <c r="B607" s="17" t="s">
        <v>818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695</v>
      </c>
      <c r="C608" s="17">
        <v>1</v>
      </c>
      <c r="D608" s="17">
        <v>0</v>
      </c>
      <c r="E608" s="17">
        <v>3</v>
      </c>
    </row>
    <row r="609" spans="1:5" x14ac:dyDescent="0.3">
      <c r="A609" s="17" t="s">
        <v>1</v>
      </c>
      <c r="B609" s="17" t="s">
        <v>46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1114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421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422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2887</v>
      </c>
      <c r="C613" s="17">
        <v>1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449</v>
      </c>
      <c r="C614" s="17">
        <v>2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1115</v>
      </c>
      <c r="C615" s="17">
        <v>1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1082</v>
      </c>
      <c r="C616" s="17">
        <v>2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2888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748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1863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304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232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474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1356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1023</v>
      </c>
      <c r="C624" s="18">
        <v>1</v>
      </c>
      <c r="D624" s="18">
        <v>0</v>
      </c>
      <c r="E624" s="18">
        <v>0</v>
      </c>
    </row>
    <row r="625" spans="1:5" x14ac:dyDescent="0.3">
      <c r="A625" s="18" t="s">
        <v>1</v>
      </c>
      <c r="B625" s="18" t="s">
        <v>1326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1486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849</v>
      </c>
      <c r="C627" s="18">
        <v>1</v>
      </c>
      <c r="D627" s="18">
        <v>0</v>
      </c>
      <c r="E627" s="18">
        <v>2</v>
      </c>
    </row>
    <row r="628" spans="1:5" x14ac:dyDescent="0.3">
      <c r="A628" s="18" t="s">
        <v>1</v>
      </c>
      <c r="B628" s="18" t="s">
        <v>1136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235</v>
      </c>
      <c r="C629" s="18">
        <v>6</v>
      </c>
      <c r="D629" s="18">
        <v>0</v>
      </c>
      <c r="E629" s="18">
        <v>6</v>
      </c>
    </row>
    <row r="630" spans="1:5" x14ac:dyDescent="0.3">
      <c r="A630" s="18" t="s">
        <v>1</v>
      </c>
      <c r="B630" s="18" t="s">
        <v>476</v>
      </c>
      <c r="C630" s="18">
        <v>2</v>
      </c>
      <c r="D630" s="18">
        <v>0</v>
      </c>
      <c r="E630" s="18">
        <v>7</v>
      </c>
    </row>
    <row r="631" spans="1:5" x14ac:dyDescent="0.3">
      <c r="A631" s="18" t="s">
        <v>1</v>
      </c>
      <c r="B631" s="18" t="s">
        <v>68</v>
      </c>
      <c r="C631" s="18">
        <v>2</v>
      </c>
      <c r="D631" s="18">
        <v>0</v>
      </c>
      <c r="E631" s="18">
        <v>4</v>
      </c>
    </row>
    <row r="632" spans="1:5" x14ac:dyDescent="0.3">
      <c r="A632" s="18" t="s">
        <v>1</v>
      </c>
      <c r="B632" s="18" t="s">
        <v>237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238</v>
      </c>
      <c r="C633" s="18">
        <v>2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239</v>
      </c>
      <c r="C634" s="18">
        <v>3</v>
      </c>
      <c r="D634" s="18">
        <v>0</v>
      </c>
      <c r="E634" s="18">
        <v>6</v>
      </c>
    </row>
    <row r="635" spans="1:5" x14ac:dyDescent="0.3">
      <c r="A635" s="18" t="s">
        <v>1</v>
      </c>
      <c r="B635" s="18" t="s">
        <v>672</v>
      </c>
      <c r="C635" s="18">
        <v>4</v>
      </c>
      <c r="D635" s="18">
        <v>0</v>
      </c>
      <c r="E635" s="18">
        <v>7</v>
      </c>
    </row>
    <row r="636" spans="1:5" x14ac:dyDescent="0.3">
      <c r="A636" s="18" t="s">
        <v>1</v>
      </c>
      <c r="B636" s="18" t="s">
        <v>240</v>
      </c>
      <c r="C636" s="18">
        <v>8</v>
      </c>
      <c r="D636" s="18">
        <v>0</v>
      </c>
      <c r="E636" s="18">
        <v>13</v>
      </c>
    </row>
    <row r="637" spans="1:5" x14ac:dyDescent="0.3">
      <c r="A637" s="18" t="s">
        <v>1</v>
      </c>
      <c r="B637" s="18" t="s">
        <v>673</v>
      </c>
      <c r="C637" s="18">
        <v>5</v>
      </c>
      <c r="D637" s="18">
        <v>0</v>
      </c>
      <c r="E637" s="18">
        <v>5</v>
      </c>
    </row>
    <row r="638" spans="1:5" x14ac:dyDescent="0.3">
      <c r="A638" s="18" t="s">
        <v>1</v>
      </c>
      <c r="B638" s="18" t="s">
        <v>382</v>
      </c>
      <c r="C638" s="18">
        <v>5</v>
      </c>
      <c r="D638" s="18">
        <v>0</v>
      </c>
      <c r="E638" s="18">
        <v>5</v>
      </c>
    </row>
    <row r="639" spans="1:5" x14ac:dyDescent="0.3">
      <c r="A639" s="18" t="s">
        <v>1</v>
      </c>
      <c r="B639" s="18" t="s">
        <v>377</v>
      </c>
      <c r="C639" s="18">
        <v>2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477</v>
      </c>
      <c r="C640" s="18">
        <v>3</v>
      </c>
      <c r="D640" s="18">
        <v>0</v>
      </c>
      <c r="E640" s="18">
        <v>4</v>
      </c>
    </row>
    <row r="641" spans="1:5" x14ac:dyDescent="0.3">
      <c r="A641" s="18" t="s">
        <v>1</v>
      </c>
      <c r="B641" s="18" t="s">
        <v>307</v>
      </c>
      <c r="C641" s="18">
        <v>1</v>
      </c>
      <c r="D641" s="18">
        <v>0</v>
      </c>
      <c r="E641" s="18">
        <v>2</v>
      </c>
    </row>
    <row r="642" spans="1:5" x14ac:dyDescent="0.3">
      <c r="A642" s="18" t="s">
        <v>1</v>
      </c>
      <c r="B642" s="18" t="s">
        <v>1935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755</v>
      </c>
      <c r="C643" s="18">
        <v>2</v>
      </c>
      <c r="D643" s="18">
        <v>0</v>
      </c>
      <c r="E643" s="18">
        <v>3</v>
      </c>
    </row>
    <row r="644" spans="1:5" x14ac:dyDescent="0.3">
      <c r="A644" s="18" t="s">
        <v>1</v>
      </c>
      <c r="B644" s="18" t="s">
        <v>1126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1804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1988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922</v>
      </c>
      <c r="C647" s="18">
        <v>0</v>
      </c>
      <c r="D647" s="18">
        <v>1</v>
      </c>
    </row>
    <row r="648" spans="1:5" x14ac:dyDescent="0.3">
      <c r="A648" s="18" t="s">
        <v>1</v>
      </c>
      <c r="B648" s="18" t="s">
        <v>1385</v>
      </c>
      <c r="C648" s="18">
        <v>0</v>
      </c>
      <c r="D648" s="18">
        <v>1</v>
      </c>
    </row>
    <row r="649" spans="1:5" x14ac:dyDescent="0.3">
      <c r="A649" s="18" t="s">
        <v>1</v>
      </c>
      <c r="B649" s="18" t="s">
        <v>2086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2889</v>
      </c>
      <c r="C650" s="18">
        <v>0</v>
      </c>
      <c r="D650" s="18">
        <v>1</v>
      </c>
    </row>
    <row r="651" spans="1:5" x14ac:dyDescent="0.3">
      <c r="A651" s="18" t="s">
        <v>1</v>
      </c>
      <c r="B651" s="18" t="s">
        <v>2890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1850</v>
      </c>
      <c r="C652" s="18">
        <v>0</v>
      </c>
      <c r="D652" s="18">
        <v>1</v>
      </c>
    </row>
    <row r="653" spans="1:5" x14ac:dyDescent="0.3">
      <c r="A653" s="18" t="s">
        <v>1</v>
      </c>
      <c r="B653" s="18" t="s">
        <v>760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1888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761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1883</v>
      </c>
      <c r="C656" s="18">
        <v>1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2801</v>
      </c>
      <c r="C657" s="18">
        <v>1</v>
      </c>
      <c r="D657" s="18">
        <v>0</v>
      </c>
      <c r="E657" s="18">
        <v>0</v>
      </c>
    </row>
    <row r="658" spans="1:5" x14ac:dyDescent="0.3">
      <c r="A658" s="18" t="s">
        <v>1</v>
      </c>
      <c r="B658" s="18" t="s">
        <v>971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2891</v>
      </c>
      <c r="C659" s="18">
        <v>0</v>
      </c>
      <c r="D659" s="18">
        <v>1</v>
      </c>
    </row>
    <row r="660" spans="1:5" x14ac:dyDescent="0.3">
      <c r="A660" s="18" t="s">
        <v>1</v>
      </c>
      <c r="B660" s="18" t="s">
        <v>2072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2063</v>
      </c>
      <c r="C661" s="18">
        <v>1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69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243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244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0</v>
      </c>
      <c r="B665" s="18" t="s">
        <v>270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614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459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152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155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96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0</v>
      </c>
      <c r="B671" s="18" t="s">
        <v>487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1646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1691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2439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2399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0</v>
      </c>
      <c r="B676" s="18" t="s">
        <v>2599</v>
      </c>
      <c r="C676" s="18">
        <v>1</v>
      </c>
      <c r="D676" s="18">
        <v>0</v>
      </c>
      <c r="E676" s="18">
        <v>7</v>
      </c>
    </row>
    <row r="677" spans="1:5" x14ac:dyDescent="0.3">
      <c r="A677" s="18" t="s">
        <v>0</v>
      </c>
      <c r="B677" s="18" t="s">
        <v>98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1275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590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1431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0</v>
      </c>
      <c r="B681" s="18" t="s">
        <v>406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2531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290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1954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542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0</v>
      </c>
      <c r="B686" s="18" t="s">
        <v>1410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595</v>
      </c>
      <c r="C687" s="18">
        <v>1</v>
      </c>
      <c r="D687" s="18">
        <v>0</v>
      </c>
      <c r="E687" s="18">
        <v>2</v>
      </c>
    </row>
    <row r="688" spans="1:5" x14ac:dyDescent="0.3">
      <c r="A688" s="18" t="s">
        <v>0</v>
      </c>
      <c r="B688" s="18" t="s">
        <v>979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662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897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235</v>
      </c>
      <c r="C691" s="18">
        <v>2</v>
      </c>
      <c r="D691" s="18">
        <v>0</v>
      </c>
      <c r="E691" s="18">
        <v>2</v>
      </c>
    </row>
    <row r="692" spans="1:5" x14ac:dyDescent="0.3">
      <c r="A692" s="18" t="s">
        <v>0</v>
      </c>
      <c r="B692" s="18" t="s">
        <v>381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476</v>
      </c>
      <c r="C693" s="18">
        <v>1</v>
      </c>
      <c r="D693" s="18">
        <v>0</v>
      </c>
      <c r="E693" s="18">
        <v>7</v>
      </c>
    </row>
    <row r="694" spans="1:5" x14ac:dyDescent="0.3">
      <c r="A694" s="18" t="s">
        <v>0</v>
      </c>
      <c r="B694" s="18" t="s">
        <v>54</v>
      </c>
      <c r="C694" s="18">
        <v>2</v>
      </c>
      <c r="D694" s="18">
        <v>0</v>
      </c>
      <c r="E694" s="18">
        <v>3</v>
      </c>
    </row>
    <row r="695" spans="1:5" x14ac:dyDescent="0.3">
      <c r="A695" s="18" t="s">
        <v>0</v>
      </c>
      <c r="B695" s="18" t="s">
        <v>239</v>
      </c>
      <c r="C695" s="18">
        <v>1</v>
      </c>
      <c r="D695" s="18">
        <v>0</v>
      </c>
      <c r="E695" s="18">
        <v>2</v>
      </c>
    </row>
    <row r="696" spans="1:5" x14ac:dyDescent="0.3">
      <c r="A696" s="18" t="s">
        <v>0</v>
      </c>
      <c r="B696" s="18" t="s">
        <v>55</v>
      </c>
      <c r="C696" s="18">
        <v>2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240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382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2892</v>
      </c>
      <c r="C699" s="18">
        <v>1</v>
      </c>
      <c r="D699" s="18">
        <v>0</v>
      </c>
      <c r="E699" s="18">
        <v>2</v>
      </c>
    </row>
    <row r="700" spans="1:5" x14ac:dyDescent="0.3">
      <c r="A700" s="18" t="s">
        <v>0</v>
      </c>
      <c r="B700" s="18" t="s">
        <v>32</v>
      </c>
      <c r="C700" s="18">
        <v>2</v>
      </c>
      <c r="D700" s="18">
        <v>0</v>
      </c>
      <c r="E700" s="18">
        <v>2</v>
      </c>
    </row>
    <row r="701" spans="1:5" x14ac:dyDescent="0.3">
      <c r="A701" s="18" t="s">
        <v>2</v>
      </c>
      <c r="B701" s="18" t="s">
        <v>817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2</v>
      </c>
      <c r="B702" s="18" t="s">
        <v>135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2</v>
      </c>
      <c r="B703" s="18" t="s">
        <v>241</v>
      </c>
      <c r="C703" s="18">
        <v>1</v>
      </c>
      <c r="D703" s="18">
        <v>0</v>
      </c>
      <c r="E703" s="18">
        <v>1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59DF9-75DB-4BC7-BEDA-E60193E83791}">
  <sheetPr codeName="Sheet43"/>
  <dimension ref="A1:M713"/>
  <sheetViews>
    <sheetView workbookViewId="0">
      <selection activeCell="A2" sqref="A2:E71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63</v>
      </c>
      <c r="D2" s="17">
        <v>48</v>
      </c>
      <c r="E2" s="17">
        <v>67</v>
      </c>
    </row>
    <row r="3" spans="1:13" customFormat="1" x14ac:dyDescent="0.3">
      <c r="A3" s="17" t="s">
        <v>0</v>
      </c>
      <c r="B3" s="17" t="s">
        <v>2692</v>
      </c>
      <c r="C3" s="17">
        <v>42</v>
      </c>
      <c r="D3" s="17">
        <v>33</v>
      </c>
      <c r="E3" s="17">
        <v>46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85</v>
      </c>
      <c r="D4" s="17">
        <v>27</v>
      </c>
      <c r="E4" s="17">
        <v>136</v>
      </c>
      <c r="G4" s="23" t="s">
        <v>8</v>
      </c>
      <c r="H4" s="19">
        <f>H13+H14</f>
        <v>1102</v>
      </c>
      <c r="I4" s="20">
        <f>H4/H$6</f>
        <v>0.69702719797596457</v>
      </c>
      <c r="J4" s="19">
        <f>I13+I14</f>
        <v>633</v>
      </c>
      <c r="K4" s="20">
        <f>J4/J$6</f>
        <v>0.61396702230843836</v>
      </c>
      <c r="L4" s="19">
        <f>J13+J14</f>
        <v>1293</v>
      </c>
      <c r="M4" s="29">
        <f>L4/L$6</f>
        <v>0.7034820457018498</v>
      </c>
    </row>
    <row r="5" spans="1:13" customFormat="1" x14ac:dyDescent="0.3">
      <c r="A5" s="17" t="s">
        <v>1</v>
      </c>
      <c r="B5" s="17" t="s">
        <v>365</v>
      </c>
      <c r="C5" s="17">
        <v>27</v>
      </c>
      <c r="D5" s="17">
        <v>20</v>
      </c>
      <c r="E5" s="17">
        <v>30</v>
      </c>
      <c r="G5" s="23" t="s">
        <v>10</v>
      </c>
      <c r="H5" s="19">
        <f>H15+H16</f>
        <v>479</v>
      </c>
      <c r="I5" s="20">
        <f>H5/H$6</f>
        <v>0.30297280202403543</v>
      </c>
      <c r="J5" s="19">
        <f>I15+I16</f>
        <v>398</v>
      </c>
      <c r="K5" s="20">
        <f>J5/J$6</f>
        <v>0.38603297769156159</v>
      </c>
      <c r="L5" s="19">
        <f>J15+J16</f>
        <v>545</v>
      </c>
      <c r="M5" s="29">
        <f>L5/L$6</f>
        <v>0.29651795429815014</v>
      </c>
    </row>
    <row r="6" spans="1:13" customFormat="1" ht="17.25" thickBot="1" x14ac:dyDescent="0.35">
      <c r="A6" s="17" t="s">
        <v>1</v>
      </c>
      <c r="B6" s="17" t="s">
        <v>1927</v>
      </c>
      <c r="C6" s="17">
        <v>21</v>
      </c>
      <c r="D6" s="17">
        <v>17</v>
      </c>
      <c r="E6" s="17">
        <v>29</v>
      </c>
      <c r="G6" s="26"/>
      <c r="H6" s="30">
        <f>SUM(H4:H5)</f>
        <v>1581</v>
      </c>
      <c r="I6" s="31">
        <f>I4+I5</f>
        <v>1</v>
      </c>
      <c r="J6" s="30">
        <f>SUM(J4:J5)</f>
        <v>1031</v>
      </c>
      <c r="K6" s="31">
        <f>K4+K5</f>
        <v>1</v>
      </c>
      <c r="L6" s="30">
        <f>SUM(L4:L5)</f>
        <v>1838</v>
      </c>
      <c r="M6" s="32">
        <f>M4+M5</f>
        <v>1</v>
      </c>
    </row>
    <row r="7" spans="1:13" customFormat="1" x14ac:dyDescent="0.3">
      <c r="A7" s="17" t="s">
        <v>0</v>
      </c>
      <c r="B7" s="17" t="s">
        <v>29</v>
      </c>
      <c r="C7" s="17">
        <v>16</v>
      </c>
      <c r="D7" s="17">
        <v>16</v>
      </c>
      <c r="E7" s="17">
        <v>17</v>
      </c>
    </row>
    <row r="8" spans="1:13" customFormat="1" x14ac:dyDescent="0.3">
      <c r="A8" s="17" t="s">
        <v>1</v>
      </c>
      <c r="B8" s="17" t="s">
        <v>2075</v>
      </c>
      <c r="C8" s="17">
        <v>17</v>
      </c>
      <c r="D8" s="17">
        <v>15</v>
      </c>
      <c r="E8" s="17">
        <v>17</v>
      </c>
    </row>
    <row r="9" spans="1:13" customFormat="1" x14ac:dyDescent="0.3">
      <c r="A9" s="17" t="s">
        <v>0</v>
      </c>
      <c r="B9" s="17" t="s">
        <v>886</v>
      </c>
      <c r="C9" s="17">
        <v>14</v>
      </c>
      <c r="D9" s="17">
        <v>14</v>
      </c>
      <c r="E9" s="17">
        <v>20</v>
      </c>
    </row>
    <row r="10" spans="1:13" customFormat="1" ht="17.25" thickBot="1" x14ac:dyDescent="0.35">
      <c r="A10" s="17" t="s">
        <v>1</v>
      </c>
      <c r="B10" s="17" t="s">
        <v>2692</v>
      </c>
      <c r="C10" s="17">
        <v>34</v>
      </c>
      <c r="D10" s="17">
        <v>13</v>
      </c>
      <c r="E10" s="17">
        <v>37</v>
      </c>
    </row>
    <row r="11" spans="1:13" x14ac:dyDescent="0.3">
      <c r="A11" s="17" t="s">
        <v>0</v>
      </c>
      <c r="B11" s="17" t="s">
        <v>51</v>
      </c>
      <c r="C11" s="17">
        <v>13</v>
      </c>
      <c r="D11" s="17">
        <v>13</v>
      </c>
      <c r="E11" s="17">
        <v>15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51</v>
      </c>
      <c r="C12" s="17">
        <v>13</v>
      </c>
      <c r="D12" s="17">
        <v>12</v>
      </c>
      <c r="E12" s="17">
        <v>19</v>
      </c>
      <c r="G12" s="23"/>
      <c r="H12" s="21">
        <f t="shared" ref="H12:J12" si="0">SUM(H13:H16)</f>
        <v>1581</v>
      </c>
      <c r="I12" s="21">
        <f t="shared" si="0"/>
        <v>1031</v>
      </c>
      <c r="J12" s="24">
        <f t="shared" si="0"/>
        <v>1838</v>
      </c>
    </row>
    <row r="13" spans="1:13" x14ac:dyDescent="0.3">
      <c r="A13" s="17" t="s">
        <v>0</v>
      </c>
      <c r="B13" s="17" t="s">
        <v>365</v>
      </c>
      <c r="C13" s="17">
        <v>13</v>
      </c>
      <c r="D13" s="17">
        <v>12</v>
      </c>
      <c r="E13" s="17">
        <v>13</v>
      </c>
      <c r="G13" s="23" t="s">
        <v>7</v>
      </c>
      <c r="H13" s="22">
        <f t="shared" ref="H13:J16" si="1">SUMIF($A$2:$A$9999,$G13,C$2:C$9999)</f>
        <v>1102</v>
      </c>
      <c r="I13" s="22">
        <f t="shared" si="1"/>
        <v>633</v>
      </c>
      <c r="J13" s="25">
        <f t="shared" si="1"/>
        <v>1293</v>
      </c>
    </row>
    <row r="14" spans="1:13" x14ac:dyDescent="0.3">
      <c r="A14" s="17" t="s">
        <v>0</v>
      </c>
      <c r="B14" s="17" t="s">
        <v>2572</v>
      </c>
      <c r="C14" s="17">
        <v>18</v>
      </c>
      <c r="D14" s="17">
        <v>12</v>
      </c>
      <c r="E14" s="17">
        <v>20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31</v>
      </c>
      <c r="C15" s="17">
        <v>12</v>
      </c>
      <c r="D15" s="17">
        <v>11</v>
      </c>
      <c r="E15" s="17">
        <v>13</v>
      </c>
      <c r="G15" s="23" t="s">
        <v>11</v>
      </c>
      <c r="H15" s="22">
        <f t="shared" si="1"/>
        <v>430</v>
      </c>
      <c r="I15" s="22">
        <f t="shared" si="1"/>
        <v>362</v>
      </c>
      <c r="J15" s="25">
        <f t="shared" si="1"/>
        <v>486</v>
      </c>
    </row>
    <row r="16" spans="1:13" ht="17.25" thickBot="1" x14ac:dyDescent="0.35">
      <c r="A16" s="17" t="s">
        <v>1</v>
      </c>
      <c r="B16" s="17" t="s">
        <v>2572</v>
      </c>
      <c r="C16" s="17">
        <v>15</v>
      </c>
      <c r="D16" s="17">
        <v>9</v>
      </c>
      <c r="E16" s="17">
        <v>16</v>
      </c>
      <c r="G16" s="26" t="s">
        <v>12</v>
      </c>
      <c r="H16" s="27">
        <f t="shared" si="1"/>
        <v>49</v>
      </c>
      <c r="I16" s="27">
        <f t="shared" si="1"/>
        <v>36</v>
      </c>
      <c r="J16" s="28">
        <f t="shared" si="1"/>
        <v>59</v>
      </c>
    </row>
    <row r="17" spans="1:5" x14ac:dyDescent="0.3">
      <c r="A17" s="17" t="s">
        <v>1</v>
      </c>
      <c r="B17" s="17" t="s">
        <v>48</v>
      </c>
      <c r="C17" s="17">
        <v>12</v>
      </c>
      <c r="D17" s="17">
        <v>8</v>
      </c>
      <c r="E17" s="17">
        <v>12</v>
      </c>
    </row>
    <row r="18" spans="1:5" x14ac:dyDescent="0.3">
      <c r="A18" s="17" t="s">
        <v>1</v>
      </c>
      <c r="B18" s="17" t="s">
        <v>155</v>
      </c>
      <c r="C18" s="17">
        <v>17</v>
      </c>
      <c r="D18" s="17">
        <v>8</v>
      </c>
      <c r="E18" s="17">
        <v>20</v>
      </c>
    </row>
    <row r="19" spans="1:5" x14ac:dyDescent="0.3">
      <c r="A19" s="17" t="s">
        <v>1</v>
      </c>
      <c r="B19" s="17" t="s">
        <v>37</v>
      </c>
      <c r="C19" s="17">
        <v>15</v>
      </c>
      <c r="D19" s="17">
        <v>8</v>
      </c>
      <c r="E19" s="17">
        <v>14</v>
      </c>
    </row>
    <row r="20" spans="1:5" x14ac:dyDescent="0.3">
      <c r="A20" s="17" t="s">
        <v>1</v>
      </c>
      <c r="B20" s="17" t="s">
        <v>33</v>
      </c>
      <c r="C20" s="17">
        <v>10</v>
      </c>
      <c r="D20" s="17">
        <v>7</v>
      </c>
      <c r="E20" s="17">
        <v>13</v>
      </c>
    </row>
    <row r="21" spans="1:5" x14ac:dyDescent="0.3">
      <c r="A21" s="17" t="s">
        <v>1</v>
      </c>
      <c r="B21" s="17" t="s">
        <v>2789</v>
      </c>
      <c r="C21" s="17">
        <v>25</v>
      </c>
      <c r="D21" s="17">
        <v>7</v>
      </c>
      <c r="E21" s="17">
        <v>27</v>
      </c>
    </row>
    <row r="22" spans="1:5" x14ac:dyDescent="0.3">
      <c r="A22" s="17" t="s">
        <v>0</v>
      </c>
      <c r="B22" s="17" t="s">
        <v>1927</v>
      </c>
      <c r="C22" s="17">
        <v>10</v>
      </c>
      <c r="D22" s="17">
        <v>7</v>
      </c>
      <c r="E22" s="17">
        <v>12</v>
      </c>
    </row>
    <row r="23" spans="1:5" x14ac:dyDescent="0.3">
      <c r="A23" s="17" t="s">
        <v>0</v>
      </c>
      <c r="B23" s="17" t="s">
        <v>2363</v>
      </c>
      <c r="C23" s="17">
        <v>7</v>
      </c>
      <c r="D23" s="17">
        <v>7</v>
      </c>
      <c r="E23" s="17">
        <v>10</v>
      </c>
    </row>
    <row r="24" spans="1:5" x14ac:dyDescent="0.3">
      <c r="A24" s="17" t="s">
        <v>1</v>
      </c>
      <c r="B24" s="17" t="s">
        <v>89</v>
      </c>
      <c r="C24" s="17">
        <v>6</v>
      </c>
      <c r="D24" s="17">
        <v>6</v>
      </c>
      <c r="E24" s="17">
        <v>8</v>
      </c>
    </row>
    <row r="25" spans="1:5" x14ac:dyDescent="0.3">
      <c r="A25" s="17" t="s">
        <v>0</v>
      </c>
      <c r="B25" s="17" t="s">
        <v>30</v>
      </c>
      <c r="C25" s="17">
        <v>11</v>
      </c>
      <c r="D25" s="17">
        <v>6</v>
      </c>
      <c r="E25" s="17">
        <v>14</v>
      </c>
    </row>
    <row r="26" spans="1:5" x14ac:dyDescent="0.3">
      <c r="A26" s="17" t="s">
        <v>0</v>
      </c>
      <c r="B26" s="17" t="s">
        <v>111</v>
      </c>
      <c r="C26" s="17">
        <v>6</v>
      </c>
      <c r="D26" s="17">
        <v>6</v>
      </c>
      <c r="E26" s="17">
        <v>7</v>
      </c>
    </row>
    <row r="27" spans="1:5" x14ac:dyDescent="0.3">
      <c r="A27" s="17" t="s">
        <v>1</v>
      </c>
      <c r="B27" s="17" t="s">
        <v>61</v>
      </c>
      <c r="C27" s="17">
        <v>5</v>
      </c>
      <c r="D27" s="17">
        <v>5</v>
      </c>
      <c r="E27" s="17">
        <v>7</v>
      </c>
    </row>
    <row r="28" spans="1:5" x14ac:dyDescent="0.3">
      <c r="A28" s="17" t="s">
        <v>1</v>
      </c>
      <c r="B28" s="17" t="s">
        <v>31</v>
      </c>
      <c r="C28" s="17">
        <v>6</v>
      </c>
      <c r="D28" s="17">
        <v>5</v>
      </c>
      <c r="E28" s="17">
        <v>7</v>
      </c>
    </row>
    <row r="29" spans="1:5" x14ac:dyDescent="0.3">
      <c r="A29" s="17" t="s">
        <v>0</v>
      </c>
      <c r="B29" s="17" t="s">
        <v>2075</v>
      </c>
      <c r="C29" s="17">
        <v>5</v>
      </c>
      <c r="D29" s="17">
        <v>5</v>
      </c>
      <c r="E29" s="17">
        <v>5</v>
      </c>
    </row>
    <row r="30" spans="1:5" x14ac:dyDescent="0.3">
      <c r="A30" s="17" t="s">
        <v>0</v>
      </c>
      <c r="B30" s="17" t="s">
        <v>2396</v>
      </c>
      <c r="C30" s="17">
        <v>6</v>
      </c>
      <c r="D30" s="17">
        <v>5</v>
      </c>
      <c r="E30" s="17">
        <v>6</v>
      </c>
    </row>
    <row r="31" spans="1:5" x14ac:dyDescent="0.3">
      <c r="A31" s="17" t="s">
        <v>0</v>
      </c>
      <c r="B31" s="17" t="s">
        <v>62</v>
      </c>
      <c r="C31" s="17">
        <v>5</v>
      </c>
      <c r="D31" s="17">
        <v>5</v>
      </c>
      <c r="E31" s="17">
        <v>5</v>
      </c>
    </row>
    <row r="32" spans="1:5" x14ac:dyDescent="0.3">
      <c r="A32" s="17" t="s">
        <v>1</v>
      </c>
      <c r="B32" s="17" t="s">
        <v>152</v>
      </c>
      <c r="C32" s="17">
        <v>4</v>
      </c>
      <c r="D32" s="17">
        <v>4</v>
      </c>
      <c r="E32" s="17">
        <v>6</v>
      </c>
    </row>
    <row r="33" spans="1:5" x14ac:dyDescent="0.3">
      <c r="A33" s="17" t="s">
        <v>1</v>
      </c>
      <c r="B33" s="17" t="s">
        <v>281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29</v>
      </c>
      <c r="C34" s="17">
        <v>4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289</v>
      </c>
      <c r="C35" s="17">
        <v>5</v>
      </c>
      <c r="D35" s="17">
        <v>4</v>
      </c>
      <c r="E35" s="17">
        <v>5</v>
      </c>
    </row>
    <row r="36" spans="1:5" x14ac:dyDescent="0.3">
      <c r="A36" s="17" t="s">
        <v>1</v>
      </c>
      <c r="B36" s="17" t="s">
        <v>45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687</v>
      </c>
      <c r="C37" s="17">
        <v>4</v>
      </c>
      <c r="D37" s="17">
        <v>6</v>
      </c>
      <c r="E37" s="17"/>
    </row>
    <row r="38" spans="1:5" x14ac:dyDescent="0.3">
      <c r="A38" s="17" t="s">
        <v>0</v>
      </c>
      <c r="B38" s="17" t="s">
        <v>163</v>
      </c>
      <c r="C38" s="17">
        <v>4</v>
      </c>
      <c r="D38" s="17">
        <v>4</v>
      </c>
      <c r="E38" s="17">
        <v>4</v>
      </c>
    </row>
    <row r="39" spans="1:5" x14ac:dyDescent="0.3">
      <c r="A39" s="17" t="s">
        <v>0</v>
      </c>
      <c r="B39" s="17" t="s">
        <v>28</v>
      </c>
      <c r="C39" s="17">
        <v>4</v>
      </c>
      <c r="D39" s="17">
        <v>4</v>
      </c>
      <c r="E39" s="17">
        <v>5</v>
      </c>
    </row>
    <row r="40" spans="1:5" x14ac:dyDescent="0.3">
      <c r="A40" s="17" t="s">
        <v>1</v>
      </c>
      <c r="B40" s="17" t="s">
        <v>36</v>
      </c>
      <c r="C40" s="17">
        <v>4</v>
      </c>
      <c r="D40" s="17">
        <v>3</v>
      </c>
      <c r="E40" s="17">
        <v>6</v>
      </c>
    </row>
    <row r="41" spans="1:5" x14ac:dyDescent="0.3">
      <c r="A41" s="17" t="s">
        <v>1</v>
      </c>
      <c r="B41" s="17" t="s">
        <v>73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273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34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149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42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1854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104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113</v>
      </c>
      <c r="C48" s="17">
        <v>6</v>
      </c>
      <c r="D48" s="17">
        <v>3</v>
      </c>
      <c r="E48" s="17">
        <v>8</v>
      </c>
    </row>
    <row r="49" spans="1:5" x14ac:dyDescent="0.3">
      <c r="A49" s="17" t="s">
        <v>1</v>
      </c>
      <c r="B49" s="17" t="s">
        <v>291</v>
      </c>
      <c r="C49" s="17">
        <v>4</v>
      </c>
      <c r="D49" s="17">
        <v>3</v>
      </c>
      <c r="E49" s="17">
        <v>5</v>
      </c>
    </row>
    <row r="50" spans="1:5" x14ac:dyDescent="0.3">
      <c r="A50" s="17" t="s">
        <v>1</v>
      </c>
      <c r="B50" s="17" t="s">
        <v>120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200</v>
      </c>
      <c r="C51" s="17">
        <v>4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695</v>
      </c>
      <c r="C52" s="17">
        <v>5</v>
      </c>
      <c r="D52" s="17">
        <v>3</v>
      </c>
      <c r="E52" s="17">
        <v>5</v>
      </c>
    </row>
    <row r="53" spans="1:5" x14ac:dyDescent="0.3">
      <c r="A53" s="17" t="s">
        <v>1</v>
      </c>
      <c r="B53" s="17" t="s">
        <v>126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38</v>
      </c>
      <c r="C54" s="17">
        <v>4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135</v>
      </c>
      <c r="C55" s="17">
        <v>5</v>
      </c>
      <c r="D55" s="17">
        <v>3</v>
      </c>
      <c r="E55" s="17">
        <v>5</v>
      </c>
    </row>
    <row r="56" spans="1:5" x14ac:dyDescent="0.3">
      <c r="A56" s="17" t="s">
        <v>1</v>
      </c>
      <c r="B56" s="17" t="s">
        <v>194</v>
      </c>
      <c r="C56" s="17">
        <v>5</v>
      </c>
      <c r="D56" s="17">
        <v>3</v>
      </c>
      <c r="E56" s="17">
        <v>9</v>
      </c>
    </row>
    <row r="57" spans="1:5" x14ac:dyDescent="0.3">
      <c r="A57" s="17" t="s">
        <v>1</v>
      </c>
      <c r="B57" s="17" t="s">
        <v>376</v>
      </c>
      <c r="C57" s="17">
        <v>7</v>
      </c>
      <c r="D57" s="17">
        <v>3</v>
      </c>
      <c r="E57" s="17">
        <v>7</v>
      </c>
    </row>
    <row r="58" spans="1:5" x14ac:dyDescent="0.3">
      <c r="A58" s="17" t="s">
        <v>1</v>
      </c>
      <c r="B58" s="17" t="s">
        <v>39</v>
      </c>
      <c r="C58" s="17">
        <v>12</v>
      </c>
      <c r="D58" s="17">
        <v>3</v>
      </c>
      <c r="E58" s="17">
        <v>17</v>
      </c>
    </row>
    <row r="59" spans="1:5" x14ac:dyDescent="0.3">
      <c r="A59" s="17" t="s">
        <v>1</v>
      </c>
      <c r="B59" s="17" t="s">
        <v>55</v>
      </c>
      <c r="C59" s="17">
        <v>6</v>
      </c>
      <c r="D59" s="17">
        <v>3</v>
      </c>
      <c r="E59" s="17">
        <v>11</v>
      </c>
    </row>
    <row r="60" spans="1:5" x14ac:dyDescent="0.3">
      <c r="A60" s="17" t="s">
        <v>1</v>
      </c>
      <c r="B60" s="17" t="s">
        <v>32</v>
      </c>
      <c r="C60" s="17">
        <v>7</v>
      </c>
      <c r="D60" s="17">
        <v>3</v>
      </c>
      <c r="E60" s="17">
        <v>9</v>
      </c>
    </row>
    <row r="61" spans="1:5" x14ac:dyDescent="0.3">
      <c r="A61" s="17" t="s">
        <v>0</v>
      </c>
      <c r="B61" s="17" t="s">
        <v>33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79</v>
      </c>
      <c r="C62" s="17">
        <v>3</v>
      </c>
      <c r="D62" s="17">
        <v>3</v>
      </c>
      <c r="E62" s="17">
        <v>4</v>
      </c>
    </row>
    <row r="63" spans="1:5" x14ac:dyDescent="0.3">
      <c r="A63" s="17" t="s">
        <v>0</v>
      </c>
      <c r="B63" s="17" t="s">
        <v>40</v>
      </c>
      <c r="C63" s="17">
        <v>3</v>
      </c>
      <c r="D63" s="17">
        <v>3</v>
      </c>
      <c r="E63" s="17">
        <v>3</v>
      </c>
    </row>
    <row r="64" spans="1:5" x14ac:dyDescent="0.3">
      <c r="A64" s="17" t="s">
        <v>0</v>
      </c>
      <c r="B64" s="17" t="s">
        <v>61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2395</v>
      </c>
      <c r="C65" s="17">
        <v>4</v>
      </c>
      <c r="D65" s="17">
        <v>3</v>
      </c>
      <c r="E65" s="17">
        <v>4</v>
      </c>
    </row>
    <row r="66" spans="1:5" x14ac:dyDescent="0.3">
      <c r="A66" s="17" t="s">
        <v>0</v>
      </c>
      <c r="B66" s="17" t="s">
        <v>265</v>
      </c>
      <c r="C66" s="17">
        <v>3</v>
      </c>
      <c r="D66" s="17">
        <v>3</v>
      </c>
      <c r="E66" s="17">
        <v>5</v>
      </c>
    </row>
    <row r="67" spans="1:5" x14ac:dyDescent="0.3">
      <c r="A67" s="17" t="s">
        <v>0</v>
      </c>
      <c r="B67" s="17" t="s">
        <v>160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165</v>
      </c>
      <c r="C68" s="17">
        <v>3</v>
      </c>
      <c r="D68" s="17">
        <v>3</v>
      </c>
      <c r="E68" s="17">
        <v>3</v>
      </c>
    </row>
    <row r="69" spans="1:5" x14ac:dyDescent="0.3">
      <c r="A69" s="17" t="s">
        <v>1</v>
      </c>
      <c r="B69" s="17" t="s">
        <v>203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75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705</v>
      </c>
      <c r="C71" s="17">
        <v>2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394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515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79</v>
      </c>
      <c r="C74" s="17">
        <v>3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83</v>
      </c>
      <c r="C75" s="17">
        <v>2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215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85</v>
      </c>
      <c r="C77" s="17">
        <v>5</v>
      </c>
      <c r="D77" s="17">
        <v>2</v>
      </c>
      <c r="E77" s="17">
        <v>7</v>
      </c>
    </row>
    <row r="78" spans="1:5" x14ac:dyDescent="0.3">
      <c r="A78" s="17" t="s">
        <v>1</v>
      </c>
      <c r="B78" s="17" t="s">
        <v>151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60</v>
      </c>
      <c r="C79" s="17">
        <v>4</v>
      </c>
      <c r="D79" s="17">
        <v>2</v>
      </c>
      <c r="E79" s="17">
        <v>4</v>
      </c>
    </row>
    <row r="80" spans="1:5" x14ac:dyDescent="0.3">
      <c r="A80" s="17" t="s">
        <v>1</v>
      </c>
      <c r="B80" s="17" t="s">
        <v>487</v>
      </c>
      <c r="C80" s="17">
        <v>4</v>
      </c>
      <c r="D80" s="17">
        <v>2</v>
      </c>
      <c r="E80" s="17">
        <v>5</v>
      </c>
    </row>
    <row r="81" spans="1:5" x14ac:dyDescent="0.3">
      <c r="A81" s="17" t="s">
        <v>1</v>
      </c>
      <c r="B81" s="17" t="s">
        <v>1897</v>
      </c>
      <c r="C81" s="17">
        <v>3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2329</v>
      </c>
      <c r="C82" s="17">
        <v>3</v>
      </c>
      <c r="D82" s="17">
        <v>2</v>
      </c>
      <c r="E82" s="17">
        <v>5</v>
      </c>
    </row>
    <row r="83" spans="1:5" x14ac:dyDescent="0.3">
      <c r="A83" s="17" t="s">
        <v>1</v>
      </c>
      <c r="B83" s="17" t="s">
        <v>2363</v>
      </c>
      <c r="C83" s="17">
        <v>3</v>
      </c>
      <c r="D83" s="17">
        <v>2</v>
      </c>
      <c r="E83" s="17">
        <v>4</v>
      </c>
    </row>
    <row r="84" spans="1:5" x14ac:dyDescent="0.3">
      <c r="A84" s="17" t="s">
        <v>1</v>
      </c>
      <c r="B84" s="17" t="s">
        <v>2396</v>
      </c>
      <c r="C84" s="17">
        <v>7</v>
      </c>
      <c r="D84" s="17">
        <v>2</v>
      </c>
      <c r="E84" s="17">
        <v>7</v>
      </c>
    </row>
    <row r="85" spans="1:5" x14ac:dyDescent="0.3">
      <c r="A85" s="17" t="s">
        <v>1</v>
      </c>
      <c r="B85" s="17" t="s">
        <v>1285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399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492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160</v>
      </c>
      <c r="C88" s="17">
        <v>3</v>
      </c>
      <c r="D88" s="17">
        <v>2</v>
      </c>
      <c r="E88" s="17">
        <v>4</v>
      </c>
    </row>
    <row r="89" spans="1:5" x14ac:dyDescent="0.3">
      <c r="A89" s="17" t="s">
        <v>1</v>
      </c>
      <c r="B89" s="17" t="s">
        <v>530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403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163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352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105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106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107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169</v>
      </c>
      <c r="C96" s="17">
        <v>2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729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1292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886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448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1307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122</v>
      </c>
      <c r="C102" s="17">
        <v>2</v>
      </c>
      <c r="D102" s="17">
        <v>2</v>
      </c>
      <c r="E102" s="17">
        <v>3</v>
      </c>
    </row>
    <row r="103" spans="1:5" x14ac:dyDescent="0.3">
      <c r="A103" s="17" t="s">
        <v>1</v>
      </c>
      <c r="B103" s="17" t="s">
        <v>62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421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449</v>
      </c>
      <c r="C105" s="17">
        <v>3</v>
      </c>
      <c r="D105" s="17">
        <v>2</v>
      </c>
      <c r="E105" s="17">
        <v>4</v>
      </c>
    </row>
    <row r="106" spans="1:5" x14ac:dyDescent="0.3">
      <c r="A106" s="17" t="s">
        <v>1</v>
      </c>
      <c r="B106" s="17" t="s">
        <v>63</v>
      </c>
      <c r="C106" s="17">
        <v>2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746</v>
      </c>
      <c r="C107" s="17">
        <v>3</v>
      </c>
      <c r="D107" s="17">
        <v>2</v>
      </c>
      <c r="E107" s="17">
        <v>5</v>
      </c>
    </row>
    <row r="108" spans="1:5" x14ac:dyDescent="0.3">
      <c r="A108" s="17" t="s">
        <v>1</v>
      </c>
      <c r="B108" s="17" t="s">
        <v>182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304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429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672</v>
      </c>
      <c r="C111" s="17">
        <v>4</v>
      </c>
      <c r="D111" s="17">
        <v>2</v>
      </c>
      <c r="E111" s="17">
        <v>7</v>
      </c>
    </row>
    <row r="112" spans="1:5" x14ac:dyDescent="0.3">
      <c r="A112" s="17" t="s">
        <v>1</v>
      </c>
      <c r="B112" s="17" t="s">
        <v>1404</v>
      </c>
      <c r="C112" s="17">
        <v>3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850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1213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36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73</v>
      </c>
      <c r="C116" s="17">
        <v>2</v>
      </c>
      <c r="D116" s="17">
        <v>2</v>
      </c>
      <c r="E116" s="17">
        <v>3</v>
      </c>
    </row>
    <row r="117" spans="1:5" x14ac:dyDescent="0.3">
      <c r="A117" s="17" t="s">
        <v>0</v>
      </c>
      <c r="B117" s="17" t="s">
        <v>490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267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85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152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89</v>
      </c>
      <c r="C121" s="17">
        <v>2</v>
      </c>
      <c r="D121" s="17">
        <v>2</v>
      </c>
      <c r="E121" s="17">
        <v>3</v>
      </c>
    </row>
    <row r="122" spans="1:5" x14ac:dyDescent="0.3">
      <c r="A122" s="17" t="s">
        <v>0</v>
      </c>
      <c r="B122" s="17" t="s">
        <v>221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60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42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1946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2397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107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43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168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172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289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978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329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695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182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128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38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376</v>
      </c>
      <c r="C138" s="17">
        <v>4</v>
      </c>
      <c r="D138" s="17">
        <v>2</v>
      </c>
      <c r="E138" s="17">
        <v>5</v>
      </c>
    </row>
    <row r="139" spans="1:5" x14ac:dyDescent="0.3">
      <c r="A139" s="17" t="s">
        <v>0</v>
      </c>
      <c r="B139" s="17" t="s">
        <v>68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39</v>
      </c>
      <c r="C140" s="17">
        <v>2</v>
      </c>
      <c r="D140" s="17">
        <v>2</v>
      </c>
      <c r="E140" s="17">
        <v>3</v>
      </c>
    </row>
    <row r="141" spans="1:5" x14ac:dyDescent="0.3">
      <c r="A141" s="17" t="s">
        <v>0</v>
      </c>
      <c r="B141" s="17" t="s">
        <v>2756</v>
      </c>
      <c r="C141" s="17">
        <v>2</v>
      </c>
      <c r="D141" s="17">
        <v>2</v>
      </c>
      <c r="E141" s="17"/>
    </row>
    <row r="142" spans="1:5" x14ac:dyDescent="0.3">
      <c r="A142" s="17" t="s">
        <v>2</v>
      </c>
      <c r="B142" s="17" t="s">
        <v>281</v>
      </c>
      <c r="C142" s="17">
        <v>4</v>
      </c>
      <c r="D142" s="17">
        <v>2</v>
      </c>
      <c r="E142" s="17">
        <v>5</v>
      </c>
    </row>
    <row r="143" spans="1:5" x14ac:dyDescent="0.3">
      <c r="A143" s="17" t="s">
        <v>2</v>
      </c>
      <c r="B143" s="17" t="s">
        <v>1897</v>
      </c>
      <c r="C143" s="17">
        <v>2</v>
      </c>
      <c r="D143" s="17">
        <v>2</v>
      </c>
      <c r="E143" s="17">
        <v>5</v>
      </c>
    </row>
    <row r="144" spans="1:5" x14ac:dyDescent="0.3">
      <c r="A144" s="17" t="s">
        <v>2</v>
      </c>
      <c r="B144" s="17" t="s">
        <v>886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2</v>
      </c>
      <c r="B145" s="17" t="s">
        <v>897</v>
      </c>
      <c r="C145" s="17">
        <v>3</v>
      </c>
      <c r="D145" s="17">
        <v>2</v>
      </c>
      <c r="E145" s="17">
        <v>3</v>
      </c>
    </row>
    <row r="146" spans="1:5" x14ac:dyDescent="0.3">
      <c r="A146" s="17" t="s">
        <v>1</v>
      </c>
      <c r="B146" s="17" t="s">
        <v>489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983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2084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47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457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71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985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269</v>
      </c>
      <c r="C153" s="17">
        <v>2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478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611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612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2893</v>
      </c>
      <c r="C157" s="17">
        <v>1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793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208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931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393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1254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210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1216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78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147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517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1507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211</v>
      </c>
      <c r="C169" s="17">
        <v>2</v>
      </c>
      <c r="D169" s="17">
        <v>1</v>
      </c>
      <c r="E169" s="17">
        <v>3</v>
      </c>
    </row>
    <row r="170" spans="1:5" x14ac:dyDescent="0.3">
      <c r="A170" s="17" t="s">
        <v>1</v>
      </c>
      <c r="B170" s="17" t="s">
        <v>81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380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583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860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82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1314</v>
      </c>
      <c r="C175" s="17">
        <v>2</v>
      </c>
      <c r="D175" s="17">
        <v>1</v>
      </c>
      <c r="E175" s="17">
        <v>5</v>
      </c>
    </row>
    <row r="176" spans="1:5" x14ac:dyDescent="0.3">
      <c r="A176" s="17" t="s">
        <v>1</v>
      </c>
      <c r="B176" s="17" t="s">
        <v>278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462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267</v>
      </c>
      <c r="C178" s="17">
        <v>2</v>
      </c>
      <c r="D178" s="17">
        <v>1</v>
      </c>
      <c r="E178" s="17">
        <v>4</v>
      </c>
    </row>
    <row r="179" spans="1:5" x14ac:dyDescent="0.3">
      <c r="A179" s="17" t="s">
        <v>1</v>
      </c>
      <c r="B179" s="17" t="s">
        <v>213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214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315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1090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316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1281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631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362</v>
      </c>
      <c r="C186" s="17">
        <v>1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844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634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153</v>
      </c>
      <c r="C189" s="17">
        <v>5</v>
      </c>
      <c r="D189" s="17">
        <v>1</v>
      </c>
      <c r="E189" s="17">
        <v>5</v>
      </c>
    </row>
    <row r="190" spans="1:5" x14ac:dyDescent="0.3">
      <c r="A190" s="17" t="s">
        <v>1</v>
      </c>
      <c r="B190" s="17" t="s">
        <v>248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638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250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261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692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438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802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367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157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224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944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909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1775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1871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1912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1946</v>
      </c>
      <c r="C205" s="17">
        <v>4</v>
      </c>
      <c r="D205" s="17">
        <v>1</v>
      </c>
      <c r="E205" s="17">
        <v>7</v>
      </c>
    </row>
    <row r="206" spans="1:5" x14ac:dyDescent="0.3">
      <c r="A206" s="17" t="s">
        <v>1</v>
      </c>
      <c r="B206" s="17" t="s">
        <v>2445</v>
      </c>
      <c r="C206" s="17">
        <v>4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2397</v>
      </c>
      <c r="C207" s="17">
        <v>3</v>
      </c>
      <c r="D207" s="17">
        <v>1</v>
      </c>
      <c r="E207" s="17">
        <v>3</v>
      </c>
    </row>
    <row r="208" spans="1:5" x14ac:dyDescent="0.3">
      <c r="A208" s="17" t="s">
        <v>1</v>
      </c>
      <c r="B208" s="17" t="s">
        <v>2616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2705</v>
      </c>
      <c r="C209" s="17">
        <v>5</v>
      </c>
      <c r="D209" s="17">
        <v>1</v>
      </c>
      <c r="E209" s="17">
        <v>6</v>
      </c>
    </row>
    <row r="210" spans="1:5" x14ac:dyDescent="0.3">
      <c r="A210" s="17" t="s">
        <v>1</v>
      </c>
      <c r="B210" s="17" t="s">
        <v>1969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158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159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97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585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1193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1103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526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993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98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283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945</v>
      </c>
      <c r="C221" s="17">
        <v>3</v>
      </c>
      <c r="D221" s="17">
        <v>1</v>
      </c>
      <c r="E221" s="17">
        <v>4</v>
      </c>
    </row>
    <row r="222" spans="1:5" x14ac:dyDescent="0.3">
      <c r="A222" s="17" t="s">
        <v>1</v>
      </c>
      <c r="B222" s="17" t="s">
        <v>2763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265</v>
      </c>
      <c r="C223" s="17">
        <v>1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586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1342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368</v>
      </c>
      <c r="C226" s="17">
        <v>2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998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2720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103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1442</v>
      </c>
      <c r="C230" s="17">
        <v>1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1522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1714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1168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322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1107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166</v>
      </c>
      <c r="C236" s="17">
        <v>1</v>
      </c>
      <c r="D236" s="17">
        <v>1</v>
      </c>
      <c r="E236" s="17">
        <v>3</v>
      </c>
    </row>
    <row r="237" spans="1:5" x14ac:dyDescent="0.3">
      <c r="A237" s="17" t="s">
        <v>1</v>
      </c>
      <c r="B237" s="17" t="s">
        <v>167</v>
      </c>
      <c r="C237" s="17">
        <v>2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2894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168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1650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2474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109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199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1001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1545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407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648</v>
      </c>
      <c r="C247" s="17">
        <v>1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974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872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533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534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174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410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978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2283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807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2233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594</v>
      </c>
      <c r="C258" s="17">
        <v>1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2026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326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1526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721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1345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1196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327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328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539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115</v>
      </c>
      <c r="C268" s="17">
        <v>2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1075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543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1170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595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330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331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385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467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776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445</v>
      </c>
      <c r="C278" s="17">
        <v>1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546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1574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654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2895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548</v>
      </c>
      <c r="C283" s="17">
        <v>3</v>
      </c>
      <c r="D283" s="17">
        <v>1</v>
      </c>
      <c r="E283" s="17">
        <v>4</v>
      </c>
    </row>
    <row r="284" spans="1:5" x14ac:dyDescent="0.3">
      <c r="A284" s="17" t="s">
        <v>1</v>
      </c>
      <c r="B284" s="17" t="s">
        <v>1231</v>
      </c>
      <c r="C284" s="17">
        <v>1</v>
      </c>
      <c r="D284" s="17">
        <v>1</v>
      </c>
      <c r="E284" s="17">
        <v>3</v>
      </c>
    </row>
    <row r="285" spans="1:5" x14ac:dyDescent="0.3">
      <c r="A285" s="17" t="s">
        <v>1</v>
      </c>
      <c r="B285" s="17" t="s">
        <v>1172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1975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658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1010</v>
      </c>
      <c r="C288" s="17">
        <v>2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1350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814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2896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340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118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416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495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1012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2391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1095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1455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343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373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1198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662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553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46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890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178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742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300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783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1114</v>
      </c>
      <c r="C311" s="17">
        <v>2</v>
      </c>
      <c r="D311" s="17">
        <v>1</v>
      </c>
      <c r="E311" s="17">
        <v>2</v>
      </c>
    </row>
    <row r="312" spans="1:5" x14ac:dyDescent="0.3">
      <c r="A312" s="17" t="s">
        <v>1</v>
      </c>
      <c r="B312" s="17" t="s">
        <v>301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2306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1235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2271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181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1585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450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425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666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897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262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186</v>
      </c>
      <c r="C323" s="17">
        <v>2</v>
      </c>
      <c r="D323" s="17">
        <v>1</v>
      </c>
      <c r="E323" s="17">
        <v>5</v>
      </c>
    </row>
    <row r="324" spans="1:5" x14ac:dyDescent="0.3">
      <c r="A324" s="17" t="s">
        <v>1</v>
      </c>
      <c r="B324" s="17" t="s">
        <v>1977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822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2897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1120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2898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497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1023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498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134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259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2856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848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234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1327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567</v>
      </c>
      <c r="C338" s="17">
        <v>2</v>
      </c>
      <c r="D338" s="17">
        <v>1</v>
      </c>
      <c r="E338" s="17">
        <v>2</v>
      </c>
    </row>
    <row r="339" spans="1:5" x14ac:dyDescent="0.3">
      <c r="A339" s="17" t="s">
        <v>1</v>
      </c>
      <c r="B339" s="17" t="s">
        <v>849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1309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1136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1401</v>
      </c>
      <c r="C342" s="17">
        <v>1</v>
      </c>
      <c r="D342" s="17">
        <v>1</v>
      </c>
      <c r="E342" s="17">
        <v>2</v>
      </c>
    </row>
    <row r="343" spans="1:5" x14ac:dyDescent="0.3">
      <c r="A343" s="17" t="s">
        <v>1</v>
      </c>
      <c r="B343" s="17" t="s">
        <v>67</v>
      </c>
      <c r="C343" s="17">
        <v>4</v>
      </c>
      <c r="D343" s="17">
        <v>1</v>
      </c>
      <c r="E343" s="17">
        <v>9</v>
      </c>
    </row>
    <row r="344" spans="1:5" x14ac:dyDescent="0.3">
      <c r="A344" s="17" t="s">
        <v>1</v>
      </c>
      <c r="B344" s="17" t="s">
        <v>68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54</v>
      </c>
      <c r="C345" s="17">
        <v>3</v>
      </c>
      <c r="D345" s="17">
        <v>1</v>
      </c>
      <c r="E345" s="17">
        <v>3</v>
      </c>
    </row>
    <row r="346" spans="1:5" x14ac:dyDescent="0.3">
      <c r="A346" s="17" t="s">
        <v>1</v>
      </c>
      <c r="B346" s="17" t="s">
        <v>56</v>
      </c>
      <c r="C346" s="17">
        <v>2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2899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1125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2350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197</v>
      </c>
      <c r="C350" s="17">
        <v>1</v>
      </c>
      <c r="D350" s="17">
        <v>1</v>
      </c>
      <c r="E350" s="17">
        <v>3</v>
      </c>
    </row>
    <row r="351" spans="1:5" x14ac:dyDescent="0.3">
      <c r="A351" s="17" t="s">
        <v>1</v>
      </c>
      <c r="B351" s="17" t="s">
        <v>456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1026</v>
      </c>
      <c r="C352" s="17">
        <v>2</v>
      </c>
      <c r="D352" s="17">
        <v>1</v>
      </c>
      <c r="E352" s="17">
        <v>4</v>
      </c>
    </row>
    <row r="353" spans="1:5" x14ac:dyDescent="0.3">
      <c r="A353" s="17" t="s">
        <v>1</v>
      </c>
      <c r="B353" s="17" t="s">
        <v>922</v>
      </c>
      <c r="C353" s="17">
        <v>1</v>
      </c>
      <c r="D353" s="17">
        <v>2</v>
      </c>
      <c r="E353" s="17"/>
    </row>
    <row r="354" spans="1:5" x14ac:dyDescent="0.3">
      <c r="A354" s="17" t="s">
        <v>1</v>
      </c>
      <c r="B354" s="17" t="s">
        <v>1882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1859</v>
      </c>
      <c r="C355" s="17">
        <v>1</v>
      </c>
      <c r="D355" s="17">
        <v>2</v>
      </c>
      <c r="E355" s="17"/>
    </row>
    <row r="356" spans="1:5" x14ac:dyDescent="0.3">
      <c r="A356" s="17" t="s">
        <v>1</v>
      </c>
      <c r="B356" s="17" t="s">
        <v>2900</v>
      </c>
      <c r="C356" s="17">
        <v>1</v>
      </c>
      <c r="D356" s="17">
        <v>1</v>
      </c>
      <c r="E356" s="17"/>
    </row>
    <row r="357" spans="1:5" x14ac:dyDescent="0.3">
      <c r="A357" s="17" t="s">
        <v>1</v>
      </c>
      <c r="B357" s="17" t="s">
        <v>2901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2633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2488</v>
      </c>
      <c r="C359" s="17">
        <v>1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2775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69</v>
      </c>
      <c r="C361" s="17">
        <v>2</v>
      </c>
      <c r="D361" s="17">
        <v>1</v>
      </c>
      <c r="E361" s="17">
        <v>2</v>
      </c>
    </row>
    <row r="362" spans="1:5" x14ac:dyDescent="0.3">
      <c r="A362" s="17" t="s">
        <v>0</v>
      </c>
      <c r="B362" s="17" t="s">
        <v>489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389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242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47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609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985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384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616</v>
      </c>
      <c r="C369" s="17">
        <v>1</v>
      </c>
      <c r="D369" s="17">
        <v>1</v>
      </c>
      <c r="E369" s="17">
        <v>2</v>
      </c>
    </row>
    <row r="370" spans="1:5" x14ac:dyDescent="0.3">
      <c r="A370" s="17" t="s">
        <v>0</v>
      </c>
      <c r="B370" s="17" t="s">
        <v>48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509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705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619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795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247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859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34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315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215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279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1414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435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93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155</v>
      </c>
      <c r="C384" s="17">
        <v>2</v>
      </c>
      <c r="D384" s="17">
        <v>1</v>
      </c>
      <c r="E384" s="17">
        <v>3</v>
      </c>
    </row>
    <row r="385" spans="1:5" x14ac:dyDescent="0.3">
      <c r="A385" s="17" t="s">
        <v>0</v>
      </c>
      <c r="B385" s="17" t="s">
        <v>2902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96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487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686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1691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1708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2401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2599</v>
      </c>
      <c r="C392" s="17">
        <v>3</v>
      </c>
      <c r="D392" s="17">
        <v>1</v>
      </c>
      <c r="E392" s="17">
        <v>4</v>
      </c>
    </row>
    <row r="393" spans="1:5" x14ac:dyDescent="0.3">
      <c r="A393" s="17" t="s">
        <v>0</v>
      </c>
      <c r="B393" s="17" t="s">
        <v>2789</v>
      </c>
      <c r="C393" s="17">
        <v>2</v>
      </c>
      <c r="D393" s="17">
        <v>1</v>
      </c>
      <c r="E393" s="17">
        <v>2</v>
      </c>
    </row>
    <row r="394" spans="1:5" x14ac:dyDescent="0.3">
      <c r="A394" s="17" t="s">
        <v>0</v>
      </c>
      <c r="B394" s="17" t="s">
        <v>282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439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1167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1035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866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525</v>
      </c>
      <c r="C399" s="17">
        <v>2</v>
      </c>
      <c r="D399" s="17">
        <v>1</v>
      </c>
      <c r="E399" s="17">
        <v>2</v>
      </c>
    </row>
    <row r="400" spans="1:5" x14ac:dyDescent="0.3">
      <c r="A400" s="17" t="s">
        <v>0</v>
      </c>
      <c r="B400" s="17" t="s">
        <v>401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526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528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1479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803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1105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1970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0</v>
      </c>
      <c r="B407" s="17" t="s">
        <v>996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368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998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2903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104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285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1777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771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1372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405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322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645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2904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805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167</v>
      </c>
      <c r="C421" s="17">
        <v>2</v>
      </c>
      <c r="D421" s="17">
        <v>1</v>
      </c>
      <c r="E421" s="17">
        <v>3</v>
      </c>
    </row>
    <row r="422" spans="1:5" x14ac:dyDescent="0.3">
      <c r="A422" s="17" t="s">
        <v>0</v>
      </c>
      <c r="B422" s="17" t="s">
        <v>1130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1288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1650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1443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199</v>
      </c>
      <c r="C426" s="17">
        <v>1</v>
      </c>
      <c r="D426" s="17">
        <v>1</v>
      </c>
      <c r="E426" s="17">
        <v>5</v>
      </c>
    </row>
    <row r="427" spans="1:5" x14ac:dyDescent="0.3">
      <c r="A427" s="17" t="s">
        <v>0</v>
      </c>
      <c r="B427" s="17" t="s">
        <v>169</v>
      </c>
      <c r="C427" s="17">
        <v>2</v>
      </c>
      <c r="D427" s="17">
        <v>1</v>
      </c>
      <c r="E427" s="17">
        <v>3</v>
      </c>
    </row>
    <row r="428" spans="1:5" x14ac:dyDescent="0.3">
      <c r="A428" s="17" t="s">
        <v>0</v>
      </c>
      <c r="B428" s="17" t="s">
        <v>110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838</v>
      </c>
      <c r="C429" s="17">
        <v>1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1093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2147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872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2905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533</v>
      </c>
      <c r="C434" s="17">
        <v>1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534</v>
      </c>
      <c r="C435" s="17">
        <v>1</v>
      </c>
      <c r="D435" s="17">
        <v>1</v>
      </c>
      <c r="E435" s="17">
        <v>2</v>
      </c>
    </row>
    <row r="436" spans="1:5" x14ac:dyDescent="0.3">
      <c r="A436" s="17" t="s">
        <v>0</v>
      </c>
      <c r="B436" s="17" t="s">
        <v>44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325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594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1038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45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1726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445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1009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846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117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1189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176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1161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495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2906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388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1411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345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200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122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37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46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179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346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1631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746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126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897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474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350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822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132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430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1023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1237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65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2907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1487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195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196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237</v>
      </c>
      <c r="C476" s="17">
        <v>2</v>
      </c>
      <c r="D476" s="17">
        <v>1</v>
      </c>
      <c r="E476" s="17">
        <v>2</v>
      </c>
    </row>
    <row r="477" spans="1:5" x14ac:dyDescent="0.3">
      <c r="A477" s="17" t="s">
        <v>0</v>
      </c>
      <c r="B477" s="17" t="s">
        <v>672</v>
      </c>
      <c r="C477" s="17">
        <v>1</v>
      </c>
      <c r="D477" s="17">
        <v>1</v>
      </c>
      <c r="E477" s="17">
        <v>3</v>
      </c>
    </row>
    <row r="478" spans="1:5" x14ac:dyDescent="0.3">
      <c r="A478" s="17" t="s">
        <v>0</v>
      </c>
      <c r="B478" s="17" t="s">
        <v>2176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197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1404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2501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850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790</v>
      </c>
      <c r="C483" s="17">
        <v>1</v>
      </c>
      <c r="D483" s="17">
        <v>1</v>
      </c>
      <c r="E483" s="17"/>
    </row>
    <row r="484" spans="1:5" x14ac:dyDescent="0.3">
      <c r="A484" s="17" t="s">
        <v>2</v>
      </c>
      <c r="B484" s="17" t="s">
        <v>389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2</v>
      </c>
      <c r="B485" s="17" t="s">
        <v>2908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517</v>
      </c>
      <c r="C486" s="17">
        <v>1</v>
      </c>
      <c r="D486" s="17">
        <v>1</v>
      </c>
      <c r="E486" s="17">
        <v>3</v>
      </c>
    </row>
    <row r="487" spans="1:5" x14ac:dyDescent="0.3">
      <c r="A487" s="17" t="s">
        <v>2</v>
      </c>
      <c r="B487" s="17" t="s">
        <v>34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267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264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41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365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1928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2692</v>
      </c>
      <c r="C493" s="17">
        <v>3</v>
      </c>
      <c r="D493" s="17">
        <v>1</v>
      </c>
      <c r="E493" s="17">
        <v>3</v>
      </c>
    </row>
    <row r="494" spans="1:5" x14ac:dyDescent="0.3">
      <c r="A494" s="17" t="s">
        <v>2</v>
      </c>
      <c r="B494" s="17" t="s">
        <v>403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2</v>
      </c>
      <c r="B495" s="17" t="s">
        <v>166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169</v>
      </c>
      <c r="C496" s="17">
        <v>1</v>
      </c>
      <c r="D496" s="17">
        <v>1</v>
      </c>
      <c r="E496" s="17">
        <v>3</v>
      </c>
    </row>
    <row r="497" spans="1:5" x14ac:dyDescent="0.3">
      <c r="A497" s="17" t="s">
        <v>2</v>
      </c>
      <c r="B497" s="17" t="s">
        <v>289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51</v>
      </c>
      <c r="C498" s="17">
        <v>1</v>
      </c>
      <c r="D498" s="17">
        <v>1</v>
      </c>
      <c r="E498" s="17">
        <v>3</v>
      </c>
    </row>
    <row r="499" spans="1:5" x14ac:dyDescent="0.3">
      <c r="A499" s="17" t="s">
        <v>2</v>
      </c>
      <c r="B499" s="17" t="s">
        <v>776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229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729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2</v>
      </c>
      <c r="B502" s="17" t="s">
        <v>658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2391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2</v>
      </c>
      <c r="B504" s="17" t="s">
        <v>62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2</v>
      </c>
      <c r="B505" s="17" t="s">
        <v>125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2</v>
      </c>
      <c r="B506" s="17" t="s">
        <v>890</v>
      </c>
      <c r="C506" s="17">
        <v>1</v>
      </c>
      <c r="D506" s="17">
        <v>1</v>
      </c>
      <c r="E506" s="17">
        <v>2</v>
      </c>
    </row>
    <row r="507" spans="1:5" x14ac:dyDescent="0.3">
      <c r="A507" s="17" t="s">
        <v>2</v>
      </c>
      <c r="B507" s="17" t="s">
        <v>178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2</v>
      </c>
      <c r="B508" s="17" t="s">
        <v>179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2</v>
      </c>
      <c r="B509" s="17" t="s">
        <v>31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2</v>
      </c>
      <c r="B510" s="17" t="s">
        <v>65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2</v>
      </c>
      <c r="B511" s="17" t="s">
        <v>2032</v>
      </c>
      <c r="C511" s="17">
        <v>1</v>
      </c>
      <c r="D511" s="17">
        <v>1</v>
      </c>
      <c r="E511" s="17"/>
    </row>
    <row r="512" spans="1:5" x14ac:dyDescent="0.3">
      <c r="A512" s="17" t="s">
        <v>1</v>
      </c>
      <c r="B512" s="17" t="s">
        <v>2836</v>
      </c>
      <c r="C512" s="17">
        <v>1</v>
      </c>
      <c r="D512" s="17">
        <v>0</v>
      </c>
      <c r="E512" s="17">
        <v>0</v>
      </c>
    </row>
    <row r="513" spans="1:5" x14ac:dyDescent="0.3">
      <c r="A513" s="17" t="s">
        <v>1</v>
      </c>
      <c r="B513" s="17" t="s">
        <v>355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432</v>
      </c>
      <c r="C514" s="17">
        <v>1</v>
      </c>
      <c r="D514" s="17">
        <v>0</v>
      </c>
      <c r="E514" s="17">
        <v>3</v>
      </c>
    </row>
    <row r="515" spans="1:5" x14ac:dyDescent="0.3">
      <c r="A515" s="17" t="s">
        <v>1</v>
      </c>
      <c r="B515" s="17" t="s">
        <v>929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1101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579</v>
      </c>
      <c r="C517" s="17">
        <v>1</v>
      </c>
      <c r="D517" s="17">
        <v>0</v>
      </c>
      <c r="E517" s="17">
        <v>2</v>
      </c>
    </row>
    <row r="518" spans="1:5" x14ac:dyDescent="0.3">
      <c r="A518" s="17" t="s">
        <v>1</v>
      </c>
      <c r="B518" s="17" t="s">
        <v>704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1050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508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458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486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614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615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616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617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459</v>
      </c>
      <c r="C527" s="17">
        <v>1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2785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246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247</v>
      </c>
      <c r="C530" s="17">
        <v>2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990</v>
      </c>
      <c r="C531" s="17">
        <v>2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359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1721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1610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396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40</v>
      </c>
      <c r="C536" s="17">
        <v>3</v>
      </c>
      <c r="D536" s="17">
        <v>0</v>
      </c>
      <c r="E536" s="17">
        <v>3</v>
      </c>
    </row>
    <row r="537" spans="1:5" x14ac:dyDescent="0.3">
      <c r="A537" s="17" t="s">
        <v>1</v>
      </c>
      <c r="B537" s="17" t="s">
        <v>841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1338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584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1057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264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435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92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219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636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1284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154</v>
      </c>
      <c r="C547" s="17">
        <v>1</v>
      </c>
      <c r="D547" s="17">
        <v>0</v>
      </c>
      <c r="E547" s="17">
        <v>0</v>
      </c>
    </row>
    <row r="548" spans="1:5" x14ac:dyDescent="0.3">
      <c r="A548" s="17" t="s">
        <v>1</v>
      </c>
      <c r="B548" s="17" t="s">
        <v>437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223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464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41</v>
      </c>
      <c r="C551" s="17">
        <v>2</v>
      </c>
      <c r="D551" s="17">
        <v>0</v>
      </c>
      <c r="E551" s="17">
        <v>2</v>
      </c>
    </row>
    <row r="552" spans="1:5" x14ac:dyDescent="0.3">
      <c r="A552" s="17" t="s">
        <v>1</v>
      </c>
      <c r="B552" s="17" t="s">
        <v>156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712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96</v>
      </c>
      <c r="C554" s="17">
        <v>2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1143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1906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1983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2115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2334</v>
      </c>
      <c r="C559" s="17">
        <v>2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2362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2909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2401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2400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2468</v>
      </c>
      <c r="C564" s="17">
        <v>2</v>
      </c>
      <c r="D564" s="17">
        <v>0</v>
      </c>
      <c r="E564" s="17">
        <v>2</v>
      </c>
    </row>
    <row r="565" spans="1:5" x14ac:dyDescent="0.3">
      <c r="A565" s="17" t="s">
        <v>1</v>
      </c>
      <c r="B565" s="17" t="s">
        <v>2442</v>
      </c>
      <c r="C565" s="17">
        <v>1</v>
      </c>
      <c r="D565" s="17">
        <v>0</v>
      </c>
      <c r="E565" s="17">
        <v>2</v>
      </c>
    </row>
    <row r="566" spans="1:5" x14ac:dyDescent="0.3">
      <c r="A566" s="17" t="s">
        <v>1</v>
      </c>
      <c r="B566" s="17" t="s">
        <v>2395</v>
      </c>
      <c r="C566" s="17">
        <v>6</v>
      </c>
      <c r="D566" s="17">
        <v>0</v>
      </c>
      <c r="E566" s="17">
        <v>8</v>
      </c>
    </row>
    <row r="567" spans="1:5" x14ac:dyDescent="0.3">
      <c r="A567" s="17" t="s">
        <v>1</v>
      </c>
      <c r="B567" s="17" t="s">
        <v>2398</v>
      </c>
      <c r="C567" s="17">
        <v>3</v>
      </c>
      <c r="D567" s="17">
        <v>0</v>
      </c>
      <c r="E567" s="17">
        <v>3</v>
      </c>
    </row>
    <row r="568" spans="1:5" x14ac:dyDescent="0.3">
      <c r="A568" s="17" t="s">
        <v>1</v>
      </c>
      <c r="B568" s="17" t="s">
        <v>2443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2428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2429</v>
      </c>
      <c r="C570" s="17">
        <v>2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2599</v>
      </c>
      <c r="C571" s="17">
        <v>5</v>
      </c>
      <c r="D571" s="17">
        <v>0</v>
      </c>
      <c r="E571" s="17">
        <v>7</v>
      </c>
    </row>
    <row r="572" spans="1:5" x14ac:dyDescent="0.3">
      <c r="A572" s="17" t="s">
        <v>1</v>
      </c>
      <c r="B572" s="17" t="s">
        <v>2641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2910</v>
      </c>
      <c r="C573" s="17">
        <v>2</v>
      </c>
      <c r="D573" s="17">
        <v>0</v>
      </c>
      <c r="E573" s="17">
        <v>3</v>
      </c>
    </row>
    <row r="574" spans="1:5" x14ac:dyDescent="0.3">
      <c r="A574" s="17" t="s">
        <v>1</v>
      </c>
      <c r="B574" s="17" t="s">
        <v>713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524</v>
      </c>
      <c r="C575" s="17">
        <v>1</v>
      </c>
      <c r="D575" s="17">
        <v>0</v>
      </c>
      <c r="E575" s="17">
        <v>3</v>
      </c>
    </row>
    <row r="576" spans="1:5" x14ac:dyDescent="0.3">
      <c r="A576" s="17" t="s">
        <v>1</v>
      </c>
      <c r="B576" s="17" t="s">
        <v>525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1920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528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99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101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715</v>
      </c>
      <c r="C581" s="17">
        <v>1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1105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1275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1517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1371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996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716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1146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165</v>
      </c>
      <c r="C589" s="17">
        <v>2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320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1824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914</v>
      </c>
      <c r="C592" s="17">
        <v>1</v>
      </c>
      <c r="D592" s="17">
        <v>0</v>
      </c>
      <c r="E592" s="17">
        <v>0</v>
      </c>
    </row>
    <row r="593" spans="1:5" x14ac:dyDescent="0.3">
      <c r="A593" s="17" t="s">
        <v>1</v>
      </c>
      <c r="B593" s="17" t="s">
        <v>2724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649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1225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1464</v>
      </c>
      <c r="C596" s="17">
        <v>1</v>
      </c>
      <c r="D596" s="17">
        <v>0</v>
      </c>
      <c r="E596" s="17">
        <v>0</v>
      </c>
    </row>
    <row r="597" spans="1:5" x14ac:dyDescent="0.3">
      <c r="A597" s="17" t="s">
        <v>1</v>
      </c>
      <c r="B597" s="17" t="s">
        <v>2411</v>
      </c>
      <c r="C597" s="17">
        <v>1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2911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2230</v>
      </c>
      <c r="C599" s="17">
        <v>1</v>
      </c>
      <c r="D599" s="17">
        <v>0</v>
      </c>
      <c r="E599" s="17">
        <v>0</v>
      </c>
    </row>
    <row r="600" spans="1:5" x14ac:dyDescent="0.3">
      <c r="A600" s="17" t="s">
        <v>1</v>
      </c>
      <c r="B600" s="17" t="s">
        <v>175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1409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916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228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881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446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1590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1899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1858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2912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414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117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415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659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1151</v>
      </c>
      <c r="C614" s="17">
        <v>1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447</v>
      </c>
      <c r="C615" s="17">
        <v>2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176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887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1729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417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2348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682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1323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2323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555</v>
      </c>
      <c r="C624" s="18">
        <v>2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2343</v>
      </c>
      <c r="C625" s="18">
        <v>1</v>
      </c>
      <c r="D625" s="18">
        <v>0</v>
      </c>
      <c r="E625" s="18">
        <v>0</v>
      </c>
    </row>
    <row r="626" spans="1:5" x14ac:dyDescent="0.3">
      <c r="A626" s="18" t="s">
        <v>1</v>
      </c>
      <c r="B626" s="18" t="s">
        <v>791</v>
      </c>
      <c r="C626" s="18">
        <v>1</v>
      </c>
      <c r="D626" s="18">
        <v>0</v>
      </c>
      <c r="E626" s="18">
        <v>0</v>
      </c>
    </row>
    <row r="627" spans="1:5" x14ac:dyDescent="0.3">
      <c r="A627" s="18" t="s">
        <v>1</v>
      </c>
      <c r="B627" s="18" t="s">
        <v>1456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375</v>
      </c>
      <c r="C628" s="18">
        <v>1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1295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1298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1132</v>
      </c>
      <c r="C631" s="18">
        <v>1</v>
      </c>
      <c r="D631" s="18">
        <v>0</v>
      </c>
      <c r="E631" s="18">
        <v>0</v>
      </c>
    </row>
    <row r="632" spans="1:5" x14ac:dyDescent="0.3">
      <c r="A632" s="18" t="s">
        <v>1</v>
      </c>
      <c r="B632" s="18" t="s">
        <v>1116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2344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232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1356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233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350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562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52</v>
      </c>
      <c r="C639" s="18">
        <v>2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189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201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899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53</v>
      </c>
      <c r="C643" s="18">
        <v>1</v>
      </c>
      <c r="D643" s="18">
        <v>0</v>
      </c>
      <c r="E643" s="18">
        <v>2</v>
      </c>
    </row>
    <row r="644" spans="1:5" x14ac:dyDescent="0.3">
      <c r="A644" s="18" t="s">
        <v>1</v>
      </c>
      <c r="B644" s="18" t="s">
        <v>263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1135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2483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2739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235</v>
      </c>
      <c r="C648" s="18">
        <v>9</v>
      </c>
      <c r="D648" s="18">
        <v>0</v>
      </c>
      <c r="E648" s="18">
        <v>12</v>
      </c>
    </row>
    <row r="649" spans="1:5" x14ac:dyDescent="0.3">
      <c r="A649" s="18" t="s">
        <v>1</v>
      </c>
      <c r="B649" s="18" t="s">
        <v>195</v>
      </c>
      <c r="C649" s="18">
        <v>4</v>
      </c>
      <c r="D649" s="18">
        <v>0</v>
      </c>
      <c r="E649" s="18">
        <v>4</v>
      </c>
    </row>
    <row r="650" spans="1:5" x14ac:dyDescent="0.3">
      <c r="A650" s="18" t="s">
        <v>1</v>
      </c>
      <c r="B650" s="18" t="s">
        <v>236</v>
      </c>
      <c r="C650" s="18">
        <v>6</v>
      </c>
      <c r="D650" s="18">
        <v>0</v>
      </c>
      <c r="E650" s="18">
        <v>8</v>
      </c>
    </row>
    <row r="651" spans="1:5" x14ac:dyDescent="0.3">
      <c r="A651" s="18" t="s">
        <v>1</v>
      </c>
      <c r="B651" s="18" t="s">
        <v>196</v>
      </c>
      <c r="C651" s="18">
        <v>9</v>
      </c>
      <c r="D651" s="18">
        <v>0</v>
      </c>
      <c r="E651" s="18">
        <v>15</v>
      </c>
    </row>
    <row r="652" spans="1:5" x14ac:dyDescent="0.3">
      <c r="A652" s="18" t="s">
        <v>1</v>
      </c>
      <c r="B652" s="18" t="s">
        <v>237</v>
      </c>
      <c r="C652" s="18">
        <v>1</v>
      </c>
      <c r="D652" s="18">
        <v>0</v>
      </c>
      <c r="E652" s="18">
        <v>0</v>
      </c>
    </row>
    <row r="653" spans="1:5" x14ac:dyDescent="0.3">
      <c r="A653" s="18" t="s">
        <v>1</v>
      </c>
      <c r="B653" s="18" t="s">
        <v>238</v>
      </c>
      <c r="C653" s="18">
        <v>2</v>
      </c>
      <c r="D653" s="18">
        <v>0</v>
      </c>
      <c r="E653" s="18">
        <v>2</v>
      </c>
    </row>
    <row r="654" spans="1:5" x14ac:dyDescent="0.3">
      <c r="A654" s="18" t="s">
        <v>1</v>
      </c>
      <c r="B654" s="18" t="s">
        <v>1605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239</v>
      </c>
      <c r="C655" s="18">
        <v>6</v>
      </c>
      <c r="D655" s="18">
        <v>0</v>
      </c>
      <c r="E655" s="18">
        <v>7</v>
      </c>
    </row>
    <row r="656" spans="1:5" x14ac:dyDescent="0.3">
      <c r="A656" s="18" t="s">
        <v>1</v>
      </c>
      <c r="B656" s="18" t="s">
        <v>240</v>
      </c>
      <c r="C656" s="18">
        <v>6</v>
      </c>
      <c r="D656" s="18">
        <v>0</v>
      </c>
      <c r="E656" s="18">
        <v>10</v>
      </c>
    </row>
    <row r="657" spans="1:5" x14ac:dyDescent="0.3">
      <c r="A657" s="18" t="s">
        <v>1</v>
      </c>
      <c r="B657" s="18" t="s">
        <v>673</v>
      </c>
      <c r="C657" s="18">
        <v>7</v>
      </c>
      <c r="D657" s="18">
        <v>0</v>
      </c>
      <c r="E657" s="18">
        <v>8</v>
      </c>
    </row>
    <row r="658" spans="1:5" x14ac:dyDescent="0.3">
      <c r="A658" s="18" t="s">
        <v>1</v>
      </c>
      <c r="B658" s="18" t="s">
        <v>382</v>
      </c>
      <c r="C658" s="18">
        <v>3</v>
      </c>
      <c r="D658" s="18">
        <v>0</v>
      </c>
      <c r="E658" s="18">
        <v>4</v>
      </c>
    </row>
    <row r="659" spans="1:5" x14ac:dyDescent="0.3">
      <c r="A659" s="18" t="s">
        <v>1</v>
      </c>
      <c r="B659" s="18" t="s">
        <v>377</v>
      </c>
      <c r="C659" s="18">
        <v>2</v>
      </c>
      <c r="D659" s="18">
        <v>0</v>
      </c>
      <c r="E659" s="18">
        <v>3</v>
      </c>
    </row>
    <row r="660" spans="1:5" x14ac:dyDescent="0.3">
      <c r="A660" s="18" t="s">
        <v>1</v>
      </c>
      <c r="B660" s="18" t="s">
        <v>1086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477</v>
      </c>
      <c r="C661" s="18">
        <v>2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1239</v>
      </c>
      <c r="C662" s="18">
        <v>0</v>
      </c>
      <c r="D662" s="18">
        <v>4</v>
      </c>
    </row>
    <row r="663" spans="1:5" x14ac:dyDescent="0.3">
      <c r="A663" s="18" t="s">
        <v>1</v>
      </c>
      <c r="B663" s="18" t="s">
        <v>307</v>
      </c>
      <c r="C663" s="18">
        <v>1</v>
      </c>
      <c r="D663" s="18">
        <v>0</v>
      </c>
      <c r="E663" s="18">
        <v>2</v>
      </c>
    </row>
    <row r="664" spans="1:5" x14ac:dyDescent="0.3">
      <c r="A664" s="18" t="s">
        <v>1</v>
      </c>
      <c r="B664" s="18" t="s">
        <v>1424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2163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1765</v>
      </c>
      <c r="C666" s="18">
        <v>0</v>
      </c>
      <c r="D666" s="18">
        <v>1</v>
      </c>
    </row>
    <row r="667" spans="1:5" x14ac:dyDescent="0.3">
      <c r="A667" s="18" t="s">
        <v>1</v>
      </c>
      <c r="B667" s="18" t="s">
        <v>1988</v>
      </c>
      <c r="C667" s="18">
        <v>1</v>
      </c>
      <c r="D667" s="18">
        <v>0</v>
      </c>
      <c r="E667" s="18">
        <v>2</v>
      </c>
    </row>
    <row r="668" spans="1:5" x14ac:dyDescent="0.3">
      <c r="A668" s="18" t="s">
        <v>1</v>
      </c>
      <c r="B668" s="18" t="s">
        <v>2913</v>
      </c>
      <c r="C668" s="18">
        <v>1</v>
      </c>
      <c r="D668" s="18">
        <v>0</v>
      </c>
      <c r="E668" s="18">
        <v>2</v>
      </c>
    </row>
    <row r="669" spans="1:5" x14ac:dyDescent="0.3">
      <c r="A669" s="18" t="s">
        <v>1</v>
      </c>
      <c r="B669" s="18" t="s">
        <v>2914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573</v>
      </c>
      <c r="C670" s="18">
        <v>0</v>
      </c>
      <c r="D670" s="18">
        <v>1</v>
      </c>
    </row>
    <row r="671" spans="1:5" x14ac:dyDescent="0.3">
      <c r="A671" s="18" t="s">
        <v>1</v>
      </c>
      <c r="B671" s="18" t="s">
        <v>1469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2371</v>
      </c>
      <c r="C672" s="18">
        <v>0</v>
      </c>
      <c r="D672" s="18">
        <v>1</v>
      </c>
    </row>
    <row r="673" spans="1:5" x14ac:dyDescent="0.3">
      <c r="A673" s="18" t="s">
        <v>1</v>
      </c>
      <c r="B673" s="18" t="s">
        <v>1598</v>
      </c>
      <c r="C673" s="18">
        <v>0</v>
      </c>
      <c r="D673" s="18">
        <v>1</v>
      </c>
    </row>
    <row r="674" spans="1:5" x14ac:dyDescent="0.3">
      <c r="A674" s="18" t="s">
        <v>1</v>
      </c>
      <c r="B674" s="18" t="s">
        <v>2327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927</v>
      </c>
      <c r="C675" s="18">
        <v>0</v>
      </c>
      <c r="D675" s="18">
        <v>11</v>
      </c>
    </row>
    <row r="676" spans="1:5" x14ac:dyDescent="0.3">
      <c r="A676" s="18" t="s">
        <v>0</v>
      </c>
      <c r="B676" s="18" t="s">
        <v>206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0</v>
      </c>
      <c r="B677" s="18" t="s">
        <v>208</v>
      </c>
      <c r="C677" s="18">
        <v>1</v>
      </c>
      <c r="D677" s="18">
        <v>0</v>
      </c>
      <c r="E677" s="18">
        <v>3</v>
      </c>
    </row>
    <row r="678" spans="1:5" x14ac:dyDescent="0.3">
      <c r="A678" s="18" t="s">
        <v>0</v>
      </c>
      <c r="B678" s="18" t="s">
        <v>990</v>
      </c>
      <c r="C678" s="18">
        <v>1</v>
      </c>
      <c r="D678" s="18">
        <v>0</v>
      </c>
      <c r="E678" s="18">
        <v>2</v>
      </c>
    </row>
    <row r="679" spans="1:5" x14ac:dyDescent="0.3">
      <c r="A679" s="18" t="s">
        <v>0</v>
      </c>
      <c r="B679" s="18" t="s">
        <v>359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934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0</v>
      </c>
      <c r="B681" s="18" t="s">
        <v>908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149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219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248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95</v>
      </c>
      <c r="C685" s="18">
        <v>1</v>
      </c>
      <c r="D685" s="18">
        <v>0</v>
      </c>
      <c r="E685" s="18">
        <v>2</v>
      </c>
    </row>
    <row r="686" spans="1:5" x14ac:dyDescent="0.3">
      <c r="A686" s="18" t="s">
        <v>0</v>
      </c>
      <c r="B686" s="18" t="s">
        <v>2468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2398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840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1275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644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1625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910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2879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254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113</v>
      </c>
      <c r="C695" s="18">
        <v>1</v>
      </c>
      <c r="D695" s="18">
        <v>0</v>
      </c>
      <c r="E695" s="18">
        <v>3</v>
      </c>
    </row>
    <row r="696" spans="1:5" x14ac:dyDescent="0.3">
      <c r="A696" s="18" t="s">
        <v>0</v>
      </c>
      <c r="B696" s="18" t="s">
        <v>2214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1185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607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2121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1603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452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235</v>
      </c>
      <c r="C702" s="18">
        <v>1</v>
      </c>
      <c r="D702" s="18">
        <v>0</v>
      </c>
      <c r="E702" s="18">
        <v>2</v>
      </c>
    </row>
    <row r="703" spans="1:5" x14ac:dyDescent="0.3">
      <c r="A703" s="18" t="s">
        <v>0</v>
      </c>
      <c r="B703" s="18" t="s">
        <v>240</v>
      </c>
      <c r="C703" s="18">
        <v>1</v>
      </c>
      <c r="D703" s="18">
        <v>0</v>
      </c>
      <c r="E703" s="18">
        <v>3</v>
      </c>
    </row>
    <row r="704" spans="1:5" x14ac:dyDescent="0.3">
      <c r="A704" s="18" t="s">
        <v>0</v>
      </c>
      <c r="B704" s="18" t="s">
        <v>2915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0</v>
      </c>
      <c r="B705" s="18" t="s">
        <v>2916</v>
      </c>
      <c r="C705" s="18">
        <v>0</v>
      </c>
      <c r="D705" s="18">
        <v>2</v>
      </c>
    </row>
    <row r="706" spans="1:5" x14ac:dyDescent="0.3">
      <c r="A706" s="18" t="s">
        <v>0</v>
      </c>
      <c r="B706" s="18" t="s">
        <v>32</v>
      </c>
      <c r="C706" s="18">
        <v>4</v>
      </c>
      <c r="D706" s="18">
        <v>0</v>
      </c>
      <c r="E706" s="18">
        <v>6</v>
      </c>
    </row>
    <row r="707" spans="1:5" x14ac:dyDescent="0.3">
      <c r="A707" s="18" t="s">
        <v>2</v>
      </c>
      <c r="B707" s="18" t="s">
        <v>48</v>
      </c>
      <c r="C707" s="18">
        <v>2</v>
      </c>
      <c r="D707" s="18">
        <v>0</v>
      </c>
      <c r="E707" s="18">
        <v>2</v>
      </c>
    </row>
    <row r="708" spans="1:5" x14ac:dyDescent="0.3">
      <c r="A708" s="18" t="s">
        <v>2</v>
      </c>
      <c r="B708" s="18" t="s">
        <v>78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2</v>
      </c>
      <c r="B709" s="18" t="s">
        <v>1927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2</v>
      </c>
      <c r="B710" s="18" t="s">
        <v>2075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2</v>
      </c>
      <c r="B711" s="18" t="s">
        <v>328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2</v>
      </c>
      <c r="B712" s="18" t="s">
        <v>551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2</v>
      </c>
      <c r="B713" s="18" t="s">
        <v>1138</v>
      </c>
      <c r="C713" s="18">
        <v>1</v>
      </c>
      <c r="D713" s="18">
        <v>0</v>
      </c>
      <c r="E713" s="18">
        <v>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9CA3-6DEB-471C-BEEC-3934FAAE3AB5}">
  <sheetPr codeName="Sheet44"/>
  <dimension ref="A1:M620"/>
  <sheetViews>
    <sheetView workbookViewId="0">
      <selection activeCell="A2" sqref="A2:E37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52</v>
      </c>
      <c r="D2" s="17">
        <v>50</v>
      </c>
      <c r="E2" s="17">
        <v>52</v>
      </c>
    </row>
    <row r="3" spans="1:13" customFormat="1" x14ac:dyDescent="0.3">
      <c r="A3" s="17" t="s">
        <v>0</v>
      </c>
      <c r="B3" s="17" t="s">
        <v>29</v>
      </c>
      <c r="C3" s="17">
        <v>27</v>
      </c>
      <c r="D3" s="17">
        <v>27</v>
      </c>
      <c r="E3" s="17">
        <v>42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2692</v>
      </c>
      <c r="C4" s="17">
        <v>43</v>
      </c>
      <c r="D4" s="17">
        <v>23</v>
      </c>
      <c r="E4" s="17">
        <v>45</v>
      </c>
      <c r="G4" s="23" t="s">
        <v>8</v>
      </c>
      <c r="H4" s="19">
        <f>H13+H14</f>
        <v>379</v>
      </c>
      <c r="I4" s="20">
        <f>H4/H$6</f>
        <v>0.51285520974289578</v>
      </c>
      <c r="J4" s="19">
        <f>I13+I14</f>
        <v>241</v>
      </c>
      <c r="K4" s="20">
        <f>J4/J$6</f>
        <v>0.45386064030131829</v>
      </c>
      <c r="L4" s="19">
        <f>J13+J14</f>
        <v>451</v>
      </c>
      <c r="M4" s="29">
        <f>L4/L$6</f>
        <v>0.53121319199057715</v>
      </c>
    </row>
    <row r="5" spans="1:13" customFormat="1" x14ac:dyDescent="0.3">
      <c r="A5" s="17" t="s">
        <v>0</v>
      </c>
      <c r="B5" s="17" t="s">
        <v>365</v>
      </c>
      <c r="C5" s="17">
        <v>15</v>
      </c>
      <c r="D5" s="17">
        <v>13</v>
      </c>
      <c r="E5" s="17">
        <v>15</v>
      </c>
      <c r="G5" s="23" t="s">
        <v>10</v>
      </c>
      <c r="H5" s="19">
        <f>H15+H16</f>
        <v>360</v>
      </c>
      <c r="I5" s="20">
        <f>H5/H$6</f>
        <v>0.48714479025710422</v>
      </c>
      <c r="J5" s="19">
        <f>I15+I16</f>
        <v>290</v>
      </c>
      <c r="K5" s="20">
        <f>J5/J$6</f>
        <v>0.54613935969868177</v>
      </c>
      <c r="L5" s="19">
        <f>J15+J16</f>
        <v>398</v>
      </c>
      <c r="M5" s="29">
        <f>L5/L$6</f>
        <v>0.46878680800942285</v>
      </c>
    </row>
    <row r="6" spans="1:13" customFormat="1" ht="17.25" thickBot="1" x14ac:dyDescent="0.35">
      <c r="A6" s="17" t="s">
        <v>0</v>
      </c>
      <c r="B6" s="17" t="s">
        <v>31</v>
      </c>
      <c r="C6" s="17">
        <v>11</v>
      </c>
      <c r="D6" s="17">
        <v>11</v>
      </c>
      <c r="E6" s="17">
        <v>12</v>
      </c>
      <c r="G6" s="26"/>
      <c r="H6" s="30">
        <f>SUM(H4:H5)</f>
        <v>739</v>
      </c>
      <c r="I6" s="31">
        <f>I4+I5</f>
        <v>1</v>
      </c>
      <c r="J6" s="30">
        <f>SUM(J4:J5)</f>
        <v>531</v>
      </c>
      <c r="K6" s="31">
        <f>K4+K5</f>
        <v>1</v>
      </c>
      <c r="L6" s="30">
        <f>SUM(L4:L5)</f>
        <v>849</v>
      </c>
      <c r="M6" s="32">
        <f>M4+M5</f>
        <v>1</v>
      </c>
    </row>
    <row r="7" spans="1:13" customFormat="1" x14ac:dyDescent="0.3">
      <c r="A7" s="17" t="s">
        <v>1</v>
      </c>
      <c r="B7" s="17" t="s">
        <v>2692</v>
      </c>
      <c r="C7" s="17">
        <v>10</v>
      </c>
      <c r="D7" s="17">
        <v>6</v>
      </c>
      <c r="E7" s="17">
        <v>12</v>
      </c>
    </row>
    <row r="8" spans="1:13" customFormat="1" x14ac:dyDescent="0.3">
      <c r="A8" s="17" t="s">
        <v>1</v>
      </c>
      <c r="B8" s="17" t="s">
        <v>29</v>
      </c>
      <c r="C8" s="17">
        <v>6</v>
      </c>
      <c r="D8" s="17">
        <v>6</v>
      </c>
      <c r="E8" s="17">
        <v>6</v>
      </c>
    </row>
    <row r="9" spans="1:13" customFormat="1" x14ac:dyDescent="0.3">
      <c r="A9" s="17" t="s">
        <v>0</v>
      </c>
      <c r="B9" s="17" t="s">
        <v>60</v>
      </c>
      <c r="C9" s="17">
        <v>6</v>
      </c>
      <c r="D9" s="17">
        <v>6</v>
      </c>
      <c r="E9" s="17">
        <v>6</v>
      </c>
    </row>
    <row r="10" spans="1:13" customFormat="1" ht="17.25" thickBot="1" x14ac:dyDescent="0.35">
      <c r="A10" s="17" t="s">
        <v>0</v>
      </c>
      <c r="B10" s="17" t="s">
        <v>2572</v>
      </c>
      <c r="C10" s="17">
        <v>11</v>
      </c>
      <c r="D10" s="17">
        <v>6</v>
      </c>
      <c r="E10" s="17">
        <v>14</v>
      </c>
    </row>
    <row r="11" spans="1:13" x14ac:dyDescent="0.3">
      <c r="A11" s="17" t="s">
        <v>1</v>
      </c>
      <c r="B11" s="17" t="s">
        <v>51</v>
      </c>
      <c r="C11" s="17">
        <v>5</v>
      </c>
      <c r="D11" s="17">
        <v>5</v>
      </c>
      <c r="E11" s="17">
        <v>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2075</v>
      </c>
      <c r="C12" s="17">
        <v>5</v>
      </c>
      <c r="D12" s="17">
        <v>5</v>
      </c>
      <c r="E12" s="17">
        <v>5</v>
      </c>
      <c r="G12" s="23"/>
      <c r="H12" s="21">
        <f t="shared" ref="H12:J12" si="0">SUM(H13:H16)</f>
        <v>739</v>
      </c>
      <c r="I12" s="21">
        <f t="shared" si="0"/>
        <v>531</v>
      </c>
      <c r="J12" s="24">
        <f t="shared" si="0"/>
        <v>849</v>
      </c>
    </row>
    <row r="13" spans="1:13" x14ac:dyDescent="0.3">
      <c r="A13" s="17" t="s">
        <v>0</v>
      </c>
      <c r="B13" s="17" t="s">
        <v>35</v>
      </c>
      <c r="C13" s="17">
        <v>5</v>
      </c>
      <c r="D13" s="17">
        <v>5</v>
      </c>
      <c r="E13" s="17">
        <v>6</v>
      </c>
      <c r="G13" s="23" t="s">
        <v>7</v>
      </c>
      <c r="H13" s="22">
        <f t="shared" ref="H13:J16" si="1">SUMIF($A$2:$A$9999,$G13,C$2:C$9999)</f>
        <v>379</v>
      </c>
      <c r="I13" s="22">
        <f t="shared" si="1"/>
        <v>241</v>
      </c>
      <c r="J13" s="25">
        <f t="shared" si="1"/>
        <v>451</v>
      </c>
    </row>
    <row r="14" spans="1:13" x14ac:dyDescent="0.3">
      <c r="A14" s="17" t="s">
        <v>1</v>
      </c>
      <c r="B14" s="17" t="s">
        <v>30</v>
      </c>
      <c r="C14" s="17">
        <v>18</v>
      </c>
      <c r="D14" s="17">
        <v>4</v>
      </c>
      <c r="E14" s="17">
        <v>30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48</v>
      </c>
      <c r="C15" s="17">
        <v>7</v>
      </c>
      <c r="D15" s="17">
        <v>4</v>
      </c>
      <c r="E15" s="17">
        <v>8</v>
      </c>
      <c r="G15" s="23" t="s">
        <v>11</v>
      </c>
      <c r="H15" s="22">
        <f t="shared" si="1"/>
        <v>346</v>
      </c>
      <c r="I15" s="22">
        <f t="shared" si="1"/>
        <v>278</v>
      </c>
      <c r="J15" s="25">
        <f t="shared" si="1"/>
        <v>381</v>
      </c>
    </row>
    <row r="16" spans="1:13" ht="17.25" thickBot="1" x14ac:dyDescent="0.35">
      <c r="A16" s="17" t="s">
        <v>1</v>
      </c>
      <c r="B16" s="17" t="s">
        <v>365</v>
      </c>
      <c r="C16" s="17">
        <v>7</v>
      </c>
      <c r="D16" s="17">
        <v>4</v>
      </c>
      <c r="E16" s="17">
        <v>10</v>
      </c>
      <c r="G16" s="26" t="s">
        <v>12</v>
      </c>
      <c r="H16" s="27">
        <f t="shared" si="1"/>
        <v>14</v>
      </c>
      <c r="I16" s="27">
        <f t="shared" si="1"/>
        <v>12</v>
      </c>
      <c r="J16" s="28">
        <f t="shared" si="1"/>
        <v>17</v>
      </c>
    </row>
    <row r="17" spans="1:5" x14ac:dyDescent="0.3">
      <c r="A17" s="17" t="s">
        <v>1</v>
      </c>
      <c r="B17" s="17" t="s">
        <v>2075</v>
      </c>
      <c r="C17" s="17">
        <v>6</v>
      </c>
      <c r="D17" s="17">
        <v>4</v>
      </c>
      <c r="E17" s="17">
        <v>6</v>
      </c>
    </row>
    <row r="18" spans="1:5" x14ac:dyDescent="0.3">
      <c r="A18" s="17" t="s">
        <v>1</v>
      </c>
      <c r="B18" s="17" t="s">
        <v>328</v>
      </c>
      <c r="C18" s="17">
        <v>5</v>
      </c>
      <c r="D18" s="17">
        <v>4</v>
      </c>
      <c r="E18" s="17">
        <v>5</v>
      </c>
    </row>
    <row r="19" spans="1:5" x14ac:dyDescent="0.3">
      <c r="A19" s="17" t="s">
        <v>0</v>
      </c>
      <c r="B19" s="17" t="s">
        <v>30</v>
      </c>
      <c r="C19" s="17">
        <v>8</v>
      </c>
      <c r="D19" s="17">
        <v>4</v>
      </c>
      <c r="E19" s="17">
        <v>10</v>
      </c>
    </row>
    <row r="20" spans="1:5" x14ac:dyDescent="0.3">
      <c r="A20" s="17" t="s">
        <v>0</v>
      </c>
      <c r="B20" s="17" t="s">
        <v>34</v>
      </c>
      <c r="C20" s="17">
        <v>4</v>
      </c>
      <c r="D20" s="17">
        <v>4</v>
      </c>
      <c r="E20" s="17">
        <v>4</v>
      </c>
    </row>
    <row r="21" spans="1:5" x14ac:dyDescent="0.3">
      <c r="A21" s="17" t="s">
        <v>0</v>
      </c>
      <c r="B21" s="17" t="s">
        <v>89</v>
      </c>
      <c r="C21" s="17">
        <v>4</v>
      </c>
      <c r="D21" s="17">
        <v>4</v>
      </c>
      <c r="E21" s="17">
        <v>4</v>
      </c>
    </row>
    <row r="22" spans="1:5" x14ac:dyDescent="0.3">
      <c r="A22" s="17" t="s">
        <v>0</v>
      </c>
      <c r="B22" s="17" t="s">
        <v>163</v>
      </c>
      <c r="C22" s="17">
        <v>5</v>
      </c>
      <c r="D22" s="17">
        <v>4</v>
      </c>
      <c r="E22" s="17">
        <v>6</v>
      </c>
    </row>
    <row r="23" spans="1:5" x14ac:dyDescent="0.3">
      <c r="A23" s="17" t="s">
        <v>0</v>
      </c>
      <c r="B23" s="17" t="s">
        <v>51</v>
      </c>
      <c r="C23" s="17">
        <v>4</v>
      </c>
      <c r="D23" s="17">
        <v>4</v>
      </c>
      <c r="E23" s="17">
        <v>5</v>
      </c>
    </row>
    <row r="24" spans="1:5" x14ac:dyDescent="0.3">
      <c r="A24" s="17" t="s">
        <v>0</v>
      </c>
      <c r="B24" s="17" t="s">
        <v>305</v>
      </c>
      <c r="C24" s="17">
        <v>4</v>
      </c>
      <c r="D24" s="17">
        <v>4</v>
      </c>
      <c r="E24" s="17">
        <v>4</v>
      </c>
    </row>
    <row r="25" spans="1:5" x14ac:dyDescent="0.3">
      <c r="A25" s="17" t="s">
        <v>1</v>
      </c>
      <c r="B25" s="17" t="s">
        <v>33</v>
      </c>
      <c r="C25" s="17">
        <v>5</v>
      </c>
      <c r="D25" s="17">
        <v>3</v>
      </c>
      <c r="E25" s="17">
        <v>5</v>
      </c>
    </row>
    <row r="26" spans="1:5" x14ac:dyDescent="0.3">
      <c r="A26" s="17" t="s">
        <v>1</v>
      </c>
      <c r="B26" s="17" t="s">
        <v>89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61</v>
      </c>
      <c r="C27" s="17">
        <v>3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1927</v>
      </c>
      <c r="C28" s="17">
        <v>6</v>
      </c>
      <c r="D28" s="17">
        <v>3</v>
      </c>
      <c r="E28" s="17">
        <v>6</v>
      </c>
    </row>
    <row r="29" spans="1:5" x14ac:dyDescent="0.3">
      <c r="A29" s="17" t="s">
        <v>1</v>
      </c>
      <c r="B29" s="17" t="s">
        <v>107</v>
      </c>
      <c r="C29" s="17">
        <v>3</v>
      </c>
      <c r="D29" s="17">
        <v>3</v>
      </c>
      <c r="E29" s="17">
        <v>3</v>
      </c>
    </row>
    <row r="30" spans="1:5" x14ac:dyDescent="0.3">
      <c r="A30" s="17" t="s">
        <v>1</v>
      </c>
      <c r="B30" s="17" t="s">
        <v>695</v>
      </c>
      <c r="C30" s="17">
        <v>3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31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32</v>
      </c>
      <c r="C32" s="17">
        <v>5</v>
      </c>
      <c r="D32" s="17">
        <v>3</v>
      </c>
      <c r="E32" s="17">
        <v>6</v>
      </c>
    </row>
    <row r="33" spans="1:5" x14ac:dyDescent="0.3">
      <c r="A33" s="17" t="s">
        <v>0</v>
      </c>
      <c r="B33" s="17" t="s">
        <v>61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62</v>
      </c>
      <c r="C34" s="17">
        <v>3</v>
      </c>
      <c r="D34" s="17">
        <v>3</v>
      </c>
      <c r="E34" s="17">
        <v>3</v>
      </c>
    </row>
    <row r="35" spans="1:5" x14ac:dyDescent="0.3">
      <c r="A35" s="17" t="s">
        <v>0</v>
      </c>
      <c r="B35" s="17" t="s">
        <v>37</v>
      </c>
      <c r="C35" s="17">
        <v>3</v>
      </c>
      <c r="D35" s="17">
        <v>3</v>
      </c>
      <c r="E35" s="17">
        <v>3</v>
      </c>
    </row>
    <row r="36" spans="1:5" x14ac:dyDescent="0.3">
      <c r="A36" s="17" t="s">
        <v>0</v>
      </c>
      <c r="B36" s="17" t="s">
        <v>39</v>
      </c>
      <c r="C36" s="17">
        <v>3</v>
      </c>
      <c r="D36" s="17">
        <v>3</v>
      </c>
      <c r="E36" s="17">
        <v>5</v>
      </c>
    </row>
    <row r="37" spans="1:5" x14ac:dyDescent="0.3">
      <c r="A37" s="17" t="s">
        <v>2</v>
      </c>
      <c r="B37" s="17" t="s">
        <v>29</v>
      </c>
      <c r="C37" s="17">
        <v>3</v>
      </c>
      <c r="D37" s="17">
        <v>3</v>
      </c>
      <c r="E37" s="17">
        <v>5</v>
      </c>
    </row>
    <row r="38" spans="1:5" x14ac:dyDescent="0.3">
      <c r="A38" s="17" t="s">
        <v>1</v>
      </c>
      <c r="B38" s="17" t="s">
        <v>152</v>
      </c>
      <c r="C38" s="17">
        <v>5</v>
      </c>
      <c r="D38" s="17">
        <v>2</v>
      </c>
      <c r="E38" s="17">
        <v>6</v>
      </c>
    </row>
    <row r="39" spans="1:5" x14ac:dyDescent="0.3">
      <c r="A39" s="17" t="s">
        <v>1</v>
      </c>
      <c r="B39" s="17" t="s">
        <v>281</v>
      </c>
      <c r="C39" s="17">
        <v>4</v>
      </c>
      <c r="D39" s="17">
        <v>2</v>
      </c>
      <c r="E39" s="17">
        <v>3</v>
      </c>
    </row>
    <row r="40" spans="1:5" x14ac:dyDescent="0.3">
      <c r="A40" s="17" t="s">
        <v>1</v>
      </c>
      <c r="B40" s="17" t="s">
        <v>154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2572</v>
      </c>
      <c r="C41" s="17">
        <v>4</v>
      </c>
      <c r="D41" s="17">
        <v>2</v>
      </c>
      <c r="E41" s="17">
        <v>4</v>
      </c>
    </row>
    <row r="42" spans="1:5" x14ac:dyDescent="0.3">
      <c r="A42" s="17" t="s">
        <v>1</v>
      </c>
      <c r="B42" s="17" t="s">
        <v>163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1522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322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111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325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597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179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1823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698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33</v>
      </c>
      <c r="C51" s="17">
        <v>3</v>
      </c>
      <c r="D51" s="17">
        <v>2</v>
      </c>
      <c r="E51" s="17">
        <v>3</v>
      </c>
    </row>
    <row r="52" spans="1:5" x14ac:dyDescent="0.3">
      <c r="A52" s="17" t="s">
        <v>0</v>
      </c>
      <c r="B52" s="17" t="s">
        <v>48</v>
      </c>
      <c r="C52" s="17">
        <v>2</v>
      </c>
      <c r="D52" s="17">
        <v>2</v>
      </c>
      <c r="E52" s="17">
        <v>2</v>
      </c>
    </row>
    <row r="53" spans="1:5" x14ac:dyDescent="0.3">
      <c r="A53" s="17" t="s">
        <v>0</v>
      </c>
      <c r="B53" s="17" t="s">
        <v>79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267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41</v>
      </c>
      <c r="C55" s="17">
        <v>2</v>
      </c>
      <c r="D55" s="17">
        <v>2</v>
      </c>
      <c r="E55" s="17">
        <v>2</v>
      </c>
    </row>
    <row r="56" spans="1:5" x14ac:dyDescent="0.3">
      <c r="A56" s="17" t="s">
        <v>0</v>
      </c>
      <c r="B56" s="17" t="s">
        <v>42</v>
      </c>
      <c r="C56" s="17">
        <v>2</v>
      </c>
      <c r="D56" s="17">
        <v>2</v>
      </c>
      <c r="E56" s="17">
        <v>4</v>
      </c>
    </row>
    <row r="57" spans="1:5" x14ac:dyDescent="0.3">
      <c r="A57" s="17" t="s">
        <v>0</v>
      </c>
      <c r="B57" s="17" t="s">
        <v>401</v>
      </c>
      <c r="C57" s="17">
        <v>2</v>
      </c>
      <c r="D57" s="17">
        <v>2</v>
      </c>
      <c r="E57" s="17">
        <v>3</v>
      </c>
    </row>
    <row r="58" spans="1:5" x14ac:dyDescent="0.3">
      <c r="A58" s="17" t="s">
        <v>0</v>
      </c>
      <c r="B58" s="17" t="s">
        <v>265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107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172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289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122</v>
      </c>
      <c r="C62" s="17">
        <v>2</v>
      </c>
      <c r="D62" s="17">
        <v>2</v>
      </c>
      <c r="E62" s="17">
        <v>3</v>
      </c>
    </row>
    <row r="63" spans="1:5" x14ac:dyDescent="0.3">
      <c r="A63" s="17" t="s">
        <v>0</v>
      </c>
      <c r="B63" s="17" t="s">
        <v>123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124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128</v>
      </c>
      <c r="C65" s="17">
        <v>3</v>
      </c>
      <c r="D65" s="17">
        <v>2</v>
      </c>
      <c r="E65" s="17">
        <v>3</v>
      </c>
    </row>
    <row r="66" spans="1:5" x14ac:dyDescent="0.3">
      <c r="A66" s="17" t="s">
        <v>0</v>
      </c>
      <c r="B66" s="17" t="s">
        <v>2917</v>
      </c>
      <c r="C66" s="17">
        <v>2</v>
      </c>
      <c r="D66" s="17">
        <v>2</v>
      </c>
      <c r="E66" s="17"/>
    </row>
    <row r="67" spans="1:5" x14ac:dyDescent="0.3">
      <c r="A67" s="17" t="s">
        <v>1</v>
      </c>
      <c r="B67" s="17" t="s">
        <v>853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983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1139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36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244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270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384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616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73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2615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273</v>
      </c>
      <c r="C77" s="17">
        <v>1</v>
      </c>
      <c r="D77" s="17">
        <v>1</v>
      </c>
      <c r="E77" s="17">
        <v>3</v>
      </c>
    </row>
    <row r="78" spans="1:5" x14ac:dyDescent="0.3">
      <c r="A78" s="17" t="s">
        <v>1</v>
      </c>
      <c r="B78" s="17" t="s">
        <v>79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211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80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934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860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1314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149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1060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217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92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679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692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41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1643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1775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1897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1946</v>
      </c>
      <c r="C94" s="17">
        <v>2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2068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2292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2399</v>
      </c>
      <c r="C97" s="17">
        <v>2</v>
      </c>
      <c r="D97" s="17">
        <v>1</v>
      </c>
      <c r="E97" s="17">
        <v>3</v>
      </c>
    </row>
    <row r="98" spans="1:5" x14ac:dyDescent="0.3">
      <c r="A98" s="17" t="s">
        <v>1</v>
      </c>
      <c r="B98" s="17" t="s">
        <v>2395</v>
      </c>
      <c r="C98" s="17">
        <v>3</v>
      </c>
      <c r="D98" s="17">
        <v>1</v>
      </c>
      <c r="E98" s="17">
        <v>5</v>
      </c>
    </row>
    <row r="99" spans="1:5" x14ac:dyDescent="0.3">
      <c r="A99" s="17" t="s">
        <v>1</v>
      </c>
      <c r="B99" s="17" t="s">
        <v>2429</v>
      </c>
      <c r="C99" s="17">
        <v>2</v>
      </c>
      <c r="D99" s="17">
        <v>1</v>
      </c>
      <c r="E99" s="17">
        <v>2</v>
      </c>
    </row>
    <row r="100" spans="1:5" x14ac:dyDescent="0.3">
      <c r="A100" s="17" t="s">
        <v>1</v>
      </c>
      <c r="B100" s="17" t="s">
        <v>2789</v>
      </c>
      <c r="C100" s="17">
        <v>5</v>
      </c>
      <c r="D100" s="17">
        <v>1</v>
      </c>
      <c r="E100" s="17">
        <v>7</v>
      </c>
    </row>
    <row r="101" spans="1:5" x14ac:dyDescent="0.3">
      <c r="A101" s="17" t="s">
        <v>1</v>
      </c>
      <c r="B101" s="17" t="s">
        <v>1167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1035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159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440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35</v>
      </c>
      <c r="C105" s="17">
        <v>1</v>
      </c>
      <c r="D105" s="17">
        <v>1</v>
      </c>
      <c r="E105" s="17">
        <v>2</v>
      </c>
    </row>
    <row r="106" spans="1:5" x14ac:dyDescent="0.3">
      <c r="A106" s="17" t="s">
        <v>1</v>
      </c>
      <c r="B106" s="17" t="s">
        <v>160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403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103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285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2108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1972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1130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168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442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109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226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113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289</v>
      </c>
      <c r="C118" s="17">
        <v>2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872</v>
      </c>
      <c r="C119" s="17">
        <v>2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1572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534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291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44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326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1196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539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115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331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295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1726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468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607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2394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548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337</v>
      </c>
      <c r="C135" s="17">
        <v>1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117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681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887</v>
      </c>
      <c r="C138" s="17">
        <v>2</v>
      </c>
      <c r="D138" s="17">
        <v>1</v>
      </c>
      <c r="E138" s="17">
        <v>3</v>
      </c>
    </row>
    <row r="139" spans="1:5" x14ac:dyDescent="0.3">
      <c r="A139" s="17" t="s">
        <v>1</v>
      </c>
      <c r="B139" s="17" t="s">
        <v>119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388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200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662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122</v>
      </c>
      <c r="C143" s="17">
        <v>2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1381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37</v>
      </c>
      <c r="C145" s="17">
        <v>3</v>
      </c>
      <c r="D145" s="17">
        <v>1</v>
      </c>
      <c r="E145" s="17">
        <v>3</v>
      </c>
    </row>
    <row r="146" spans="1:5" x14ac:dyDescent="0.3">
      <c r="A146" s="17" t="s">
        <v>1</v>
      </c>
      <c r="B146" s="17" t="s">
        <v>125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555</v>
      </c>
      <c r="C147" s="17">
        <v>1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180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427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429</v>
      </c>
      <c r="C150" s="17">
        <v>1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1120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2898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430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133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351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65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305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194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195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376</v>
      </c>
      <c r="C160" s="17">
        <v>1</v>
      </c>
      <c r="D160" s="17">
        <v>1</v>
      </c>
      <c r="E160" s="17">
        <v>3</v>
      </c>
    </row>
    <row r="161" spans="1:5" x14ac:dyDescent="0.3">
      <c r="A161" s="17" t="s">
        <v>1</v>
      </c>
      <c r="B161" s="17" t="s">
        <v>39</v>
      </c>
      <c r="C161" s="17">
        <v>4</v>
      </c>
      <c r="D161" s="17">
        <v>1</v>
      </c>
      <c r="E161" s="17">
        <v>26</v>
      </c>
    </row>
    <row r="162" spans="1:5" x14ac:dyDescent="0.3">
      <c r="A162" s="17" t="s">
        <v>1</v>
      </c>
      <c r="B162" s="17" t="s">
        <v>54</v>
      </c>
      <c r="C162" s="17">
        <v>2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55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56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2376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2781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1404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2022</v>
      </c>
      <c r="C168" s="17">
        <v>1</v>
      </c>
      <c r="D168" s="17">
        <v>1</v>
      </c>
      <c r="E168" s="17"/>
    </row>
    <row r="169" spans="1:5" x14ac:dyDescent="0.3">
      <c r="A169" s="17" t="s">
        <v>1</v>
      </c>
      <c r="B169" s="17" t="s">
        <v>760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243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390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704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613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75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0</v>
      </c>
      <c r="B175" s="17" t="s">
        <v>2776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855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2615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490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78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1178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147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356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583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860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0</v>
      </c>
      <c r="B185" s="17" t="s">
        <v>1314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702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40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708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0</v>
      </c>
      <c r="B189" s="17" t="s">
        <v>85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630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938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149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93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0</v>
      </c>
      <c r="B194" s="17" t="s">
        <v>522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96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0</v>
      </c>
      <c r="B196" s="17" t="s">
        <v>487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686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909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1518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1912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1927</v>
      </c>
      <c r="C201" s="17">
        <v>4</v>
      </c>
      <c r="D201" s="17">
        <v>1</v>
      </c>
      <c r="E201" s="17">
        <v>5</v>
      </c>
    </row>
    <row r="202" spans="1:5" x14ac:dyDescent="0.3">
      <c r="A202" s="17" t="s">
        <v>0</v>
      </c>
      <c r="B202" s="17" t="s">
        <v>1946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2115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2398</v>
      </c>
      <c r="C204" s="17">
        <v>2</v>
      </c>
      <c r="D204" s="17">
        <v>1</v>
      </c>
      <c r="E204" s="17">
        <v>3</v>
      </c>
    </row>
    <row r="205" spans="1:5" x14ac:dyDescent="0.3">
      <c r="A205" s="17" t="s">
        <v>0</v>
      </c>
      <c r="B205" s="17" t="s">
        <v>2429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0</v>
      </c>
      <c r="B206" s="17" t="s">
        <v>2397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2396</v>
      </c>
      <c r="C207" s="17">
        <v>4</v>
      </c>
      <c r="D207" s="17">
        <v>1</v>
      </c>
      <c r="E207" s="17">
        <v>4</v>
      </c>
    </row>
    <row r="208" spans="1:5" x14ac:dyDescent="0.3">
      <c r="A208" s="17" t="s">
        <v>0</v>
      </c>
      <c r="B208" s="17" t="s">
        <v>1167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525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945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1479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100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1105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161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28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102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103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2918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321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1430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43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167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2473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168</v>
      </c>
      <c r="C224" s="17">
        <v>1</v>
      </c>
      <c r="D224" s="17">
        <v>1</v>
      </c>
      <c r="E224" s="17">
        <v>3</v>
      </c>
    </row>
    <row r="225" spans="1:5" x14ac:dyDescent="0.3">
      <c r="A225" s="17" t="s">
        <v>0</v>
      </c>
      <c r="B225" s="17" t="s">
        <v>948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109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199</v>
      </c>
      <c r="C227" s="17">
        <v>2</v>
      </c>
      <c r="D227" s="17">
        <v>1</v>
      </c>
      <c r="E227" s="17">
        <v>2</v>
      </c>
    </row>
    <row r="228" spans="1:5" x14ac:dyDescent="0.3">
      <c r="A228" s="17" t="s">
        <v>0</v>
      </c>
      <c r="B228" s="17" t="s">
        <v>2919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169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110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226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593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1002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111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113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915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114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594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45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331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467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295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546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1290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598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1830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337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1189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733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1455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345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1198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553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1894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2920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1265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2303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182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1021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429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0</v>
      </c>
      <c r="B261" s="17" t="s">
        <v>131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2898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132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1023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65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2080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455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1486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234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1327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849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1192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1124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68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922</v>
      </c>
      <c r="C275" s="17">
        <v>1</v>
      </c>
      <c r="D275" s="17">
        <v>1</v>
      </c>
      <c r="E275" s="17"/>
    </row>
    <row r="276" spans="1:5" x14ac:dyDescent="0.3">
      <c r="A276" s="17" t="s">
        <v>0</v>
      </c>
      <c r="B276" s="17" t="s">
        <v>1615</v>
      </c>
      <c r="C276" s="17">
        <v>1</v>
      </c>
      <c r="D276" s="17">
        <v>3</v>
      </c>
      <c r="E276" s="17"/>
    </row>
    <row r="277" spans="1:5" x14ac:dyDescent="0.3">
      <c r="A277" s="17" t="s">
        <v>0</v>
      </c>
      <c r="B277" s="17" t="s">
        <v>1606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1138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1742</v>
      </c>
      <c r="C279" s="17">
        <v>1</v>
      </c>
      <c r="D279" s="17">
        <v>1</v>
      </c>
      <c r="E279" s="17"/>
    </row>
    <row r="280" spans="1:5" x14ac:dyDescent="0.3">
      <c r="A280" s="17" t="s">
        <v>0</v>
      </c>
      <c r="B280" s="17" t="s">
        <v>1213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69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2</v>
      </c>
      <c r="B282" s="17" t="s">
        <v>48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2</v>
      </c>
      <c r="B283" s="17" t="s">
        <v>41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2</v>
      </c>
      <c r="B284" s="17" t="s">
        <v>1927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2</v>
      </c>
      <c r="B285" s="17" t="s">
        <v>2572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2</v>
      </c>
      <c r="B286" s="17" t="s">
        <v>51</v>
      </c>
      <c r="C286" s="17">
        <v>1</v>
      </c>
      <c r="D286" s="17">
        <v>1</v>
      </c>
      <c r="E286" s="17">
        <v>4</v>
      </c>
    </row>
    <row r="287" spans="1:5" x14ac:dyDescent="0.3">
      <c r="A287" s="17" t="s">
        <v>2</v>
      </c>
      <c r="B287" s="17" t="s">
        <v>44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2</v>
      </c>
      <c r="B288" s="17" t="s">
        <v>424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2</v>
      </c>
      <c r="B289" s="17" t="s">
        <v>922</v>
      </c>
      <c r="C289" s="17">
        <v>1</v>
      </c>
      <c r="D289" s="17">
        <v>1</v>
      </c>
      <c r="E289" s="17"/>
    </row>
    <row r="290" spans="1:5" x14ac:dyDescent="0.3">
      <c r="A290" s="17" t="s">
        <v>2</v>
      </c>
      <c r="B290" s="17" t="s">
        <v>1561</v>
      </c>
      <c r="C290" s="17">
        <v>1</v>
      </c>
      <c r="D290" s="17">
        <v>1</v>
      </c>
      <c r="E290" s="17"/>
    </row>
    <row r="291" spans="1:5" x14ac:dyDescent="0.3">
      <c r="A291" s="17" t="s">
        <v>1</v>
      </c>
      <c r="B291" s="17" t="s">
        <v>47</v>
      </c>
      <c r="C291" s="17">
        <v>2</v>
      </c>
      <c r="D291" s="17">
        <v>0</v>
      </c>
      <c r="E291" s="17">
        <v>2</v>
      </c>
    </row>
    <row r="292" spans="1:5" x14ac:dyDescent="0.3">
      <c r="A292" s="17" t="s">
        <v>1</v>
      </c>
      <c r="B292" s="17" t="s">
        <v>2921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792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57</v>
      </c>
      <c r="C294" s="17">
        <v>1</v>
      </c>
      <c r="D294" s="17">
        <v>0</v>
      </c>
      <c r="E294" s="17">
        <v>2</v>
      </c>
    </row>
    <row r="295" spans="1:5" x14ac:dyDescent="0.3">
      <c r="A295" s="17" t="s">
        <v>1</v>
      </c>
      <c r="B295" s="17" t="s">
        <v>75</v>
      </c>
      <c r="C295" s="17">
        <v>1</v>
      </c>
      <c r="D295" s="17">
        <v>0</v>
      </c>
      <c r="E295" s="17">
        <v>2</v>
      </c>
    </row>
    <row r="296" spans="1:5" x14ac:dyDescent="0.3">
      <c r="A296" s="17" t="s">
        <v>1</v>
      </c>
      <c r="B296" s="17" t="s">
        <v>433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394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990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359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85</v>
      </c>
      <c r="C300" s="17">
        <v>2</v>
      </c>
      <c r="D300" s="17">
        <v>0</v>
      </c>
      <c r="E300" s="17">
        <v>2</v>
      </c>
    </row>
    <row r="301" spans="1:5" x14ac:dyDescent="0.3">
      <c r="A301" s="17" t="s">
        <v>1</v>
      </c>
      <c r="B301" s="17" t="s">
        <v>1414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88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463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487</v>
      </c>
      <c r="C304" s="17">
        <v>3</v>
      </c>
      <c r="D304" s="17">
        <v>0</v>
      </c>
      <c r="E304" s="17">
        <v>3</v>
      </c>
    </row>
    <row r="305" spans="1:5" x14ac:dyDescent="0.3">
      <c r="A305" s="17" t="s">
        <v>1</v>
      </c>
      <c r="B305" s="17" t="s">
        <v>686</v>
      </c>
      <c r="C305" s="17">
        <v>2</v>
      </c>
      <c r="D305" s="17">
        <v>0</v>
      </c>
      <c r="E305" s="17">
        <v>3</v>
      </c>
    </row>
    <row r="306" spans="1:5" x14ac:dyDescent="0.3">
      <c r="A306" s="17" t="s">
        <v>1</v>
      </c>
      <c r="B306" s="17" t="s">
        <v>944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1143</v>
      </c>
      <c r="C307" s="17">
        <v>1</v>
      </c>
      <c r="D307" s="17">
        <v>0</v>
      </c>
      <c r="E307" s="17">
        <v>2</v>
      </c>
    </row>
    <row r="308" spans="1:5" x14ac:dyDescent="0.3">
      <c r="A308" s="17" t="s">
        <v>1</v>
      </c>
      <c r="B308" s="17" t="s">
        <v>1662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1673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1854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1911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1912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1928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1983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2334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2329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2401</v>
      </c>
      <c r="C317" s="17">
        <v>1</v>
      </c>
      <c r="D317" s="17">
        <v>0</v>
      </c>
      <c r="E317" s="17">
        <v>2</v>
      </c>
    </row>
    <row r="318" spans="1:5" x14ac:dyDescent="0.3">
      <c r="A318" s="17" t="s">
        <v>1</v>
      </c>
      <c r="B318" s="17" t="s">
        <v>2442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2398</v>
      </c>
      <c r="C319" s="17">
        <v>2</v>
      </c>
      <c r="D319" s="17">
        <v>0</v>
      </c>
      <c r="E319" s="17">
        <v>2</v>
      </c>
    </row>
    <row r="320" spans="1:5" x14ac:dyDescent="0.3">
      <c r="A320" s="17" t="s">
        <v>1</v>
      </c>
      <c r="B320" s="17" t="s">
        <v>2428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2444</v>
      </c>
      <c r="C321" s="17">
        <v>1</v>
      </c>
      <c r="D321" s="17">
        <v>0</v>
      </c>
      <c r="E321" s="17">
        <v>2</v>
      </c>
    </row>
    <row r="322" spans="1:5" x14ac:dyDescent="0.3">
      <c r="A322" s="17" t="s">
        <v>1</v>
      </c>
      <c r="B322" s="17" t="s">
        <v>2397</v>
      </c>
      <c r="C322" s="17">
        <v>2</v>
      </c>
      <c r="D322" s="17">
        <v>0</v>
      </c>
      <c r="E322" s="17">
        <v>2</v>
      </c>
    </row>
    <row r="323" spans="1:5" x14ac:dyDescent="0.3">
      <c r="A323" s="17" t="s">
        <v>1</v>
      </c>
      <c r="B323" s="17" t="s">
        <v>2599</v>
      </c>
      <c r="C323" s="17">
        <v>2</v>
      </c>
      <c r="D323" s="17">
        <v>0</v>
      </c>
      <c r="E323" s="17">
        <v>2</v>
      </c>
    </row>
    <row r="324" spans="1:5" x14ac:dyDescent="0.3">
      <c r="A324" s="17" t="s">
        <v>1</v>
      </c>
      <c r="B324" s="17" t="s">
        <v>2705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1275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104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2922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166</v>
      </c>
      <c r="C328" s="17">
        <v>1</v>
      </c>
      <c r="D328" s="17">
        <v>0</v>
      </c>
      <c r="E328" s="17">
        <v>3</v>
      </c>
    </row>
    <row r="329" spans="1:5" x14ac:dyDescent="0.3">
      <c r="A329" s="17" t="s">
        <v>1</v>
      </c>
      <c r="B329" s="17" t="s">
        <v>1131</v>
      </c>
      <c r="C329" s="17">
        <v>1</v>
      </c>
      <c r="D329" s="17">
        <v>0</v>
      </c>
      <c r="E329" s="17">
        <v>3</v>
      </c>
    </row>
    <row r="330" spans="1:5" x14ac:dyDescent="0.3">
      <c r="A330" s="17" t="s">
        <v>1</v>
      </c>
      <c r="B330" s="17" t="s">
        <v>340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121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556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375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746</v>
      </c>
      <c r="C334" s="17">
        <v>1</v>
      </c>
      <c r="D334" s="17">
        <v>0</v>
      </c>
      <c r="E334" s="17">
        <v>3</v>
      </c>
    </row>
    <row r="335" spans="1:5" x14ac:dyDescent="0.3">
      <c r="A335" s="17" t="s">
        <v>1</v>
      </c>
      <c r="B335" s="17" t="s">
        <v>824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2923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497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825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135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235</v>
      </c>
      <c r="C340" s="17">
        <v>3</v>
      </c>
      <c r="D340" s="17">
        <v>0</v>
      </c>
      <c r="E340" s="17">
        <v>4</v>
      </c>
    </row>
    <row r="341" spans="1:5" x14ac:dyDescent="0.3">
      <c r="A341" s="17" t="s">
        <v>1</v>
      </c>
      <c r="B341" s="17" t="s">
        <v>68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1</v>
      </c>
      <c r="B342" s="17" t="s">
        <v>196</v>
      </c>
      <c r="C342" s="17">
        <v>3</v>
      </c>
      <c r="D342" s="17">
        <v>0</v>
      </c>
      <c r="E342" s="17">
        <v>9</v>
      </c>
    </row>
    <row r="343" spans="1:5" x14ac:dyDescent="0.3">
      <c r="A343" s="17" t="s">
        <v>1</v>
      </c>
      <c r="B343" s="17" t="s">
        <v>239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1</v>
      </c>
      <c r="B344" s="17" t="s">
        <v>673</v>
      </c>
      <c r="C344" s="17">
        <v>2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382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477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1547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2525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1439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1088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2757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431</v>
      </c>
      <c r="C352" s="17">
        <v>0</v>
      </c>
      <c r="D352" s="17">
        <v>1</v>
      </c>
      <c r="E352" s="17"/>
    </row>
    <row r="353" spans="1:5" x14ac:dyDescent="0.3">
      <c r="A353" s="17" t="s">
        <v>0</v>
      </c>
      <c r="B353" s="17" t="s">
        <v>478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0</v>
      </c>
      <c r="B354" s="17" t="s">
        <v>580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0</v>
      </c>
      <c r="B355" s="17" t="s">
        <v>359</v>
      </c>
      <c r="C355" s="17">
        <v>1</v>
      </c>
      <c r="D355" s="17">
        <v>0</v>
      </c>
      <c r="E355" s="17">
        <v>2</v>
      </c>
    </row>
    <row r="356" spans="1:5" x14ac:dyDescent="0.3">
      <c r="A356" s="17" t="s">
        <v>0</v>
      </c>
      <c r="B356" s="17" t="s">
        <v>2114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281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0</v>
      </c>
      <c r="B358" s="17" t="s">
        <v>155</v>
      </c>
      <c r="C358" s="17">
        <v>1</v>
      </c>
      <c r="D358" s="17">
        <v>0</v>
      </c>
      <c r="E358" s="17">
        <v>2</v>
      </c>
    </row>
    <row r="359" spans="1:5" x14ac:dyDescent="0.3">
      <c r="A359" s="17" t="s">
        <v>0</v>
      </c>
      <c r="B359" s="17" t="s">
        <v>95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0</v>
      </c>
      <c r="B360" s="17" t="s">
        <v>2599</v>
      </c>
      <c r="C360" s="17">
        <v>2</v>
      </c>
      <c r="D360" s="17">
        <v>0</v>
      </c>
      <c r="E360" s="17">
        <v>2</v>
      </c>
    </row>
    <row r="361" spans="1:5" x14ac:dyDescent="0.3">
      <c r="A361" s="17" t="s">
        <v>0</v>
      </c>
      <c r="B361" s="17" t="s">
        <v>2789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0</v>
      </c>
      <c r="B362" s="17" t="s">
        <v>1970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0</v>
      </c>
      <c r="B363" s="17" t="s">
        <v>1625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0</v>
      </c>
      <c r="B364" s="17" t="s">
        <v>165</v>
      </c>
      <c r="C364" s="17">
        <v>1</v>
      </c>
      <c r="D364" s="17">
        <v>0</v>
      </c>
      <c r="E364" s="17">
        <v>0</v>
      </c>
    </row>
    <row r="365" spans="1:5" x14ac:dyDescent="0.3">
      <c r="A365" s="17" t="s">
        <v>0</v>
      </c>
      <c r="B365" s="17" t="s">
        <v>2879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0</v>
      </c>
      <c r="B366" s="17" t="s">
        <v>288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0</v>
      </c>
      <c r="B367" s="17" t="s">
        <v>495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0</v>
      </c>
      <c r="B368" s="17" t="s">
        <v>186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0</v>
      </c>
      <c r="B369" s="17" t="s">
        <v>67</v>
      </c>
      <c r="C369" s="17">
        <v>1</v>
      </c>
      <c r="D369" s="17">
        <v>0</v>
      </c>
      <c r="E369" s="17">
        <v>2</v>
      </c>
    </row>
    <row r="370" spans="1:5" x14ac:dyDescent="0.3">
      <c r="A370" s="17" t="s">
        <v>0</v>
      </c>
      <c r="B370" s="17" t="s">
        <v>238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0</v>
      </c>
      <c r="B371" s="17" t="s">
        <v>673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0</v>
      </c>
      <c r="B372" s="17" t="s">
        <v>382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0</v>
      </c>
      <c r="B373" s="17" t="s">
        <v>1088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0</v>
      </c>
      <c r="B374" s="17" t="s">
        <v>32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2</v>
      </c>
      <c r="B375" s="17" t="s">
        <v>30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2</v>
      </c>
      <c r="B376" s="17" t="s">
        <v>897</v>
      </c>
      <c r="C376" s="17">
        <v>1</v>
      </c>
      <c r="D376" s="17">
        <v>0</v>
      </c>
      <c r="E376" s="17">
        <v>1</v>
      </c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32A83-924A-48B8-A52F-FC213329E35D}">
  <sheetPr codeName="Sheet45"/>
  <dimension ref="A1:M620"/>
  <sheetViews>
    <sheetView workbookViewId="0">
      <selection activeCell="A2" sqref="A2:E360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51</v>
      </c>
      <c r="D2" s="17">
        <v>48</v>
      </c>
      <c r="E2" s="17">
        <v>51</v>
      </c>
    </row>
    <row r="3" spans="1:13" customFormat="1" x14ac:dyDescent="0.3">
      <c r="A3" s="17" t="s">
        <v>0</v>
      </c>
      <c r="B3" s="17" t="s">
        <v>29</v>
      </c>
      <c r="C3" s="17">
        <v>27</v>
      </c>
      <c r="D3" s="17">
        <v>26</v>
      </c>
      <c r="E3" s="17">
        <v>33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31</v>
      </c>
      <c r="D4" s="17">
        <v>17</v>
      </c>
      <c r="E4" s="17">
        <v>47</v>
      </c>
      <c r="G4" s="23" t="s">
        <v>8</v>
      </c>
      <c r="H4" s="19">
        <f>H13+H14</f>
        <v>456</v>
      </c>
      <c r="I4" s="20">
        <f>H4/H$6</f>
        <v>0.62637362637362637</v>
      </c>
      <c r="J4" s="19">
        <f>I13+I14</f>
        <v>303</v>
      </c>
      <c r="K4" s="20">
        <f>J4/J$6</f>
        <v>0.5684803001876173</v>
      </c>
      <c r="L4" s="19">
        <f>J13+J14</f>
        <v>542</v>
      </c>
      <c r="M4" s="29">
        <f>L4/L$6</f>
        <v>0.63170163170163174</v>
      </c>
    </row>
    <row r="5" spans="1:13" customFormat="1" x14ac:dyDescent="0.3">
      <c r="A5" s="17" t="s">
        <v>1</v>
      </c>
      <c r="B5" s="17" t="s">
        <v>365</v>
      </c>
      <c r="C5" s="17">
        <v>14</v>
      </c>
      <c r="D5" s="17">
        <v>11</v>
      </c>
      <c r="E5" s="17">
        <v>21</v>
      </c>
      <c r="G5" s="23" t="s">
        <v>10</v>
      </c>
      <c r="H5" s="19">
        <f>H15+H16</f>
        <v>272</v>
      </c>
      <c r="I5" s="20">
        <f>H5/H$6</f>
        <v>0.37362637362637363</v>
      </c>
      <c r="J5" s="19">
        <f>I15+I16</f>
        <v>230</v>
      </c>
      <c r="K5" s="20">
        <f>J5/J$6</f>
        <v>0.43151969981238275</v>
      </c>
      <c r="L5" s="19">
        <f>J15+J16</f>
        <v>316</v>
      </c>
      <c r="M5" s="29">
        <f>L5/L$6</f>
        <v>0.36829836829836832</v>
      </c>
    </row>
    <row r="6" spans="1:13" customFormat="1" ht="17.25" thickBot="1" x14ac:dyDescent="0.35">
      <c r="A6" s="17" t="s">
        <v>1</v>
      </c>
      <c r="B6" s="17" t="s">
        <v>2075</v>
      </c>
      <c r="C6" s="17">
        <v>15</v>
      </c>
      <c r="D6" s="17">
        <v>11</v>
      </c>
      <c r="E6" s="17">
        <v>18</v>
      </c>
      <c r="G6" s="26"/>
      <c r="H6" s="30">
        <f>SUM(H4:H5)</f>
        <v>728</v>
      </c>
      <c r="I6" s="31">
        <f>I4+I5</f>
        <v>1</v>
      </c>
      <c r="J6" s="30">
        <f>SUM(J4:J5)</f>
        <v>533</v>
      </c>
      <c r="K6" s="31">
        <f>K4+K5</f>
        <v>1</v>
      </c>
      <c r="L6" s="30">
        <f>SUM(L4:L5)</f>
        <v>858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9</v>
      </c>
      <c r="D7" s="17">
        <v>8</v>
      </c>
      <c r="E7" s="17">
        <v>10</v>
      </c>
    </row>
    <row r="8" spans="1:13" customFormat="1" x14ac:dyDescent="0.3">
      <c r="A8" s="17" t="s">
        <v>0</v>
      </c>
      <c r="B8" s="17" t="s">
        <v>61</v>
      </c>
      <c r="C8" s="17">
        <v>7</v>
      </c>
      <c r="D8" s="17">
        <v>7</v>
      </c>
      <c r="E8" s="17">
        <v>8</v>
      </c>
    </row>
    <row r="9" spans="1:13" customFormat="1" x14ac:dyDescent="0.3">
      <c r="A9" s="17" t="s">
        <v>1</v>
      </c>
      <c r="B9" s="17" t="s">
        <v>1927</v>
      </c>
      <c r="C9" s="17">
        <v>7</v>
      </c>
      <c r="D9" s="17">
        <v>6</v>
      </c>
      <c r="E9" s="17">
        <v>11</v>
      </c>
    </row>
    <row r="10" spans="1:13" customFormat="1" ht="17.25" thickBot="1" x14ac:dyDescent="0.35">
      <c r="A10" s="17" t="s">
        <v>0</v>
      </c>
      <c r="B10" s="17" t="s">
        <v>34</v>
      </c>
      <c r="C10" s="17">
        <v>6</v>
      </c>
      <c r="D10" s="17">
        <v>6</v>
      </c>
      <c r="E10" s="17">
        <v>6</v>
      </c>
    </row>
    <row r="11" spans="1:13" x14ac:dyDescent="0.3">
      <c r="A11" s="17" t="s">
        <v>0</v>
      </c>
      <c r="B11" s="17" t="s">
        <v>365</v>
      </c>
      <c r="C11" s="17">
        <v>7</v>
      </c>
      <c r="D11" s="17">
        <v>6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2572</v>
      </c>
      <c r="C12" s="17">
        <v>6</v>
      </c>
      <c r="D12" s="17">
        <v>6</v>
      </c>
      <c r="E12" s="17">
        <v>6</v>
      </c>
      <c r="G12" s="23"/>
      <c r="H12" s="21">
        <f t="shared" ref="H12:J12" si="0">SUM(H13:H16)</f>
        <v>728</v>
      </c>
      <c r="I12" s="21">
        <f t="shared" si="0"/>
        <v>533</v>
      </c>
      <c r="J12" s="24">
        <f t="shared" si="0"/>
        <v>858</v>
      </c>
    </row>
    <row r="13" spans="1:13" x14ac:dyDescent="0.3">
      <c r="A13" s="17" t="s">
        <v>1</v>
      </c>
      <c r="B13" s="17" t="s">
        <v>48</v>
      </c>
      <c r="C13" s="17">
        <v>7</v>
      </c>
      <c r="D13" s="17">
        <v>5</v>
      </c>
      <c r="E13" s="17">
        <v>7</v>
      </c>
      <c r="G13" s="23" t="s">
        <v>7</v>
      </c>
      <c r="H13" s="22">
        <f t="shared" ref="H13:J16" si="1">SUMIF($A$2:$A$9999,$G13,C$2:C$9999)</f>
        <v>456</v>
      </c>
      <c r="I13" s="22">
        <f t="shared" si="1"/>
        <v>303</v>
      </c>
      <c r="J13" s="25">
        <f t="shared" si="1"/>
        <v>542</v>
      </c>
    </row>
    <row r="14" spans="1:13" x14ac:dyDescent="0.3">
      <c r="A14" s="17" t="s">
        <v>1</v>
      </c>
      <c r="B14" s="17" t="s">
        <v>2395</v>
      </c>
      <c r="C14" s="17">
        <v>7</v>
      </c>
      <c r="D14" s="17">
        <v>5</v>
      </c>
      <c r="E14" s="17">
        <v>11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2692</v>
      </c>
      <c r="C15" s="17">
        <v>16</v>
      </c>
      <c r="D15" s="17">
        <v>5</v>
      </c>
      <c r="E15" s="17">
        <v>19</v>
      </c>
      <c r="G15" s="23" t="s">
        <v>11</v>
      </c>
      <c r="H15" s="22">
        <f t="shared" si="1"/>
        <v>258</v>
      </c>
      <c r="I15" s="22">
        <f t="shared" si="1"/>
        <v>219</v>
      </c>
      <c r="J15" s="25">
        <f t="shared" si="1"/>
        <v>301</v>
      </c>
    </row>
    <row r="16" spans="1:13" ht="17.25" thickBot="1" x14ac:dyDescent="0.35">
      <c r="A16" s="17" t="s">
        <v>1</v>
      </c>
      <c r="B16" s="17" t="s">
        <v>51</v>
      </c>
      <c r="C16" s="17">
        <v>5</v>
      </c>
      <c r="D16" s="17">
        <v>5</v>
      </c>
      <c r="E16" s="17">
        <v>7</v>
      </c>
      <c r="G16" s="26" t="s">
        <v>12</v>
      </c>
      <c r="H16" s="27">
        <f t="shared" si="1"/>
        <v>14</v>
      </c>
      <c r="I16" s="27">
        <f t="shared" si="1"/>
        <v>11</v>
      </c>
      <c r="J16" s="28">
        <f t="shared" si="1"/>
        <v>15</v>
      </c>
    </row>
    <row r="17" spans="1:5" x14ac:dyDescent="0.3">
      <c r="A17" s="17" t="s">
        <v>1</v>
      </c>
      <c r="B17" s="17" t="s">
        <v>37</v>
      </c>
      <c r="C17" s="17">
        <v>5</v>
      </c>
      <c r="D17" s="17">
        <v>5</v>
      </c>
      <c r="E17" s="17">
        <v>7</v>
      </c>
    </row>
    <row r="18" spans="1:5" x14ac:dyDescent="0.3">
      <c r="A18" s="17" t="s">
        <v>1</v>
      </c>
      <c r="B18" s="17" t="s">
        <v>32</v>
      </c>
      <c r="C18" s="17">
        <v>11</v>
      </c>
      <c r="D18" s="17">
        <v>5</v>
      </c>
      <c r="E18" s="17">
        <v>14</v>
      </c>
    </row>
    <row r="19" spans="1:5" x14ac:dyDescent="0.3">
      <c r="A19" s="17" t="s">
        <v>0</v>
      </c>
      <c r="B19" s="17" t="s">
        <v>39</v>
      </c>
      <c r="C19" s="17">
        <v>5</v>
      </c>
      <c r="D19" s="17">
        <v>5</v>
      </c>
      <c r="E19" s="17">
        <v>7</v>
      </c>
    </row>
    <row r="20" spans="1:5" x14ac:dyDescent="0.3">
      <c r="A20" s="17" t="s">
        <v>1</v>
      </c>
      <c r="B20" s="17" t="s">
        <v>1897</v>
      </c>
      <c r="C20" s="17">
        <v>4</v>
      </c>
      <c r="D20" s="17">
        <v>4</v>
      </c>
      <c r="E20" s="17">
        <v>5</v>
      </c>
    </row>
    <row r="21" spans="1:5" x14ac:dyDescent="0.3">
      <c r="A21" s="17" t="s">
        <v>1</v>
      </c>
      <c r="B21" s="17" t="s">
        <v>2572</v>
      </c>
      <c r="C21" s="17">
        <v>6</v>
      </c>
      <c r="D21" s="17">
        <v>4</v>
      </c>
      <c r="E21" s="17">
        <v>10</v>
      </c>
    </row>
    <row r="22" spans="1:5" x14ac:dyDescent="0.3">
      <c r="A22" s="17" t="s">
        <v>1</v>
      </c>
      <c r="B22" s="17" t="s">
        <v>29</v>
      </c>
      <c r="C22" s="17">
        <v>4</v>
      </c>
      <c r="D22" s="17">
        <v>4</v>
      </c>
      <c r="E22" s="17">
        <v>4</v>
      </c>
    </row>
    <row r="23" spans="1:5" x14ac:dyDescent="0.3">
      <c r="A23" s="17" t="s">
        <v>1</v>
      </c>
      <c r="B23" s="17" t="s">
        <v>199</v>
      </c>
      <c r="C23" s="17">
        <v>4</v>
      </c>
      <c r="D23" s="17">
        <v>4</v>
      </c>
      <c r="E23" s="17">
        <v>4</v>
      </c>
    </row>
    <row r="24" spans="1:5" x14ac:dyDescent="0.3">
      <c r="A24" s="17" t="s">
        <v>0</v>
      </c>
      <c r="B24" s="17" t="s">
        <v>155</v>
      </c>
      <c r="C24" s="17">
        <v>5</v>
      </c>
      <c r="D24" s="17">
        <v>4</v>
      </c>
      <c r="E24" s="17">
        <v>5</v>
      </c>
    </row>
    <row r="25" spans="1:5" x14ac:dyDescent="0.3">
      <c r="A25" s="17" t="s">
        <v>0</v>
      </c>
      <c r="B25" s="17" t="s">
        <v>1927</v>
      </c>
      <c r="C25" s="17">
        <v>4</v>
      </c>
      <c r="D25" s="17">
        <v>4</v>
      </c>
      <c r="E25" s="17">
        <v>5</v>
      </c>
    </row>
    <row r="26" spans="1:5" x14ac:dyDescent="0.3">
      <c r="A26" s="17" t="s">
        <v>0</v>
      </c>
      <c r="B26" s="17" t="s">
        <v>35</v>
      </c>
      <c r="C26" s="17">
        <v>4</v>
      </c>
      <c r="D26" s="17">
        <v>4</v>
      </c>
      <c r="E26" s="17">
        <v>4</v>
      </c>
    </row>
    <row r="27" spans="1:5" x14ac:dyDescent="0.3">
      <c r="A27" s="17" t="s">
        <v>0</v>
      </c>
      <c r="B27" s="17" t="s">
        <v>168</v>
      </c>
      <c r="C27" s="17">
        <v>4</v>
      </c>
      <c r="D27" s="17">
        <v>4</v>
      </c>
      <c r="E27" s="17">
        <v>4</v>
      </c>
    </row>
    <row r="28" spans="1:5" x14ac:dyDescent="0.3">
      <c r="A28" s="17" t="s">
        <v>1</v>
      </c>
      <c r="B28" s="17" t="s">
        <v>33</v>
      </c>
      <c r="C28" s="17">
        <v>6</v>
      </c>
      <c r="D28" s="17">
        <v>3</v>
      </c>
      <c r="E28" s="17">
        <v>6</v>
      </c>
    </row>
    <row r="29" spans="1:5" x14ac:dyDescent="0.3">
      <c r="A29" s="17" t="s">
        <v>1</v>
      </c>
      <c r="B29" s="17" t="s">
        <v>273</v>
      </c>
      <c r="C29" s="17">
        <v>3</v>
      </c>
      <c r="D29" s="17">
        <v>3</v>
      </c>
      <c r="E29" s="17">
        <v>4</v>
      </c>
    </row>
    <row r="30" spans="1:5" x14ac:dyDescent="0.3">
      <c r="A30" s="17" t="s">
        <v>1</v>
      </c>
      <c r="B30" s="17" t="s">
        <v>61</v>
      </c>
      <c r="C30" s="17">
        <v>5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403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174</v>
      </c>
      <c r="C32" s="17">
        <v>3</v>
      </c>
      <c r="D32" s="17">
        <v>3</v>
      </c>
      <c r="E32" s="17">
        <v>4</v>
      </c>
    </row>
    <row r="33" spans="1:5" x14ac:dyDescent="0.3">
      <c r="A33" s="17" t="s">
        <v>1</v>
      </c>
      <c r="B33" s="17" t="s">
        <v>122</v>
      </c>
      <c r="C33" s="17">
        <v>4</v>
      </c>
      <c r="D33" s="17">
        <v>3</v>
      </c>
      <c r="E33" s="17">
        <v>4</v>
      </c>
    </row>
    <row r="34" spans="1:5" x14ac:dyDescent="0.3">
      <c r="A34" s="17" t="s">
        <v>1</v>
      </c>
      <c r="B34" s="17" t="s">
        <v>746</v>
      </c>
      <c r="C34" s="17">
        <v>3</v>
      </c>
      <c r="D34" s="17">
        <v>3</v>
      </c>
      <c r="E34" s="17">
        <v>4</v>
      </c>
    </row>
    <row r="35" spans="1:5" x14ac:dyDescent="0.3">
      <c r="A35" s="17" t="s">
        <v>1</v>
      </c>
      <c r="B35" s="17" t="s">
        <v>38</v>
      </c>
      <c r="C35" s="17">
        <v>3</v>
      </c>
      <c r="D35" s="17">
        <v>3</v>
      </c>
      <c r="E35" s="17">
        <v>4</v>
      </c>
    </row>
    <row r="36" spans="1:5" x14ac:dyDescent="0.3">
      <c r="A36" s="17" t="s">
        <v>1</v>
      </c>
      <c r="B36" s="17" t="s">
        <v>135</v>
      </c>
      <c r="C36" s="17">
        <v>3</v>
      </c>
      <c r="D36" s="17">
        <v>3</v>
      </c>
      <c r="E36" s="17">
        <v>3</v>
      </c>
    </row>
    <row r="37" spans="1:5" x14ac:dyDescent="0.3">
      <c r="A37" s="17" t="s">
        <v>0</v>
      </c>
      <c r="B37" s="17" t="s">
        <v>30</v>
      </c>
      <c r="C37" s="17">
        <v>7</v>
      </c>
      <c r="D37" s="17">
        <v>3</v>
      </c>
      <c r="E37" s="17">
        <v>12</v>
      </c>
    </row>
    <row r="38" spans="1:5" x14ac:dyDescent="0.3">
      <c r="A38" s="17" t="s">
        <v>0</v>
      </c>
      <c r="B38" s="17" t="s">
        <v>60</v>
      </c>
      <c r="C38" s="17">
        <v>3</v>
      </c>
      <c r="D38" s="17">
        <v>3</v>
      </c>
      <c r="E38" s="17">
        <v>3</v>
      </c>
    </row>
    <row r="39" spans="1:5" x14ac:dyDescent="0.3">
      <c r="A39" s="17" t="s">
        <v>0</v>
      </c>
      <c r="B39" s="17" t="s">
        <v>2075</v>
      </c>
      <c r="C39" s="17">
        <v>3</v>
      </c>
      <c r="D39" s="17">
        <v>3</v>
      </c>
      <c r="E39" s="17">
        <v>3</v>
      </c>
    </row>
    <row r="40" spans="1:5" x14ac:dyDescent="0.3">
      <c r="A40" s="17" t="s">
        <v>0</v>
      </c>
      <c r="B40" s="17" t="s">
        <v>163</v>
      </c>
      <c r="C40" s="17">
        <v>3</v>
      </c>
      <c r="D40" s="17">
        <v>3</v>
      </c>
      <c r="E40" s="17">
        <v>4</v>
      </c>
    </row>
    <row r="41" spans="1:5" x14ac:dyDescent="0.3">
      <c r="A41" s="17" t="s">
        <v>0</v>
      </c>
      <c r="B41" s="17" t="s">
        <v>305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85</v>
      </c>
      <c r="C42" s="17">
        <v>3</v>
      </c>
      <c r="D42" s="17">
        <v>2</v>
      </c>
      <c r="E42" s="17">
        <v>3</v>
      </c>
    </row>
    <row r="43" spans="1:5" x14ac:dyDescent="0.3">
      <c r="A43" s="17" t="s">
        <v>1</v>
      </c>
      <c r="B43" s="17" t="s">
        <v>1277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96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487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2789</v>
      </c>
      <c r="C46" s="17">
        <v>6</v>
      </c>
      <c r="D46" s="17">
        <v>2</v>
      </c>
      <c r="E46" s="17">
        <v>7</v>
      </c>
    </row>
    <row r="47" spans="1:5" x14ac:dyDescent="0.3">
      <c r="A47" s="17" t="s">
        <v>1</v>
      </c>
      <c r="B47" s="17" t="s">
        <v>97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111</v>
      </c>
      <c r="C48" s="17">
        <v>2</v>
      </c>
      <c r="D48" s="17">
        <v>2</v>
      </c>
      <c r="E48" s="17">
        <v>3</v>
      </c>
    </row>
    <row r="49" spans="1:5" x14ac:dyDescent="0.3">
      <c r="A49" s="17" t="s">
        <v>1</v>
      </c>
      <c r="B49" s="17" t="s">
        <v>113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606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1196</v>
      </c>
      <c r="C51" s="17">
        <v>3</v>
      </c>
      <c r="D51" s="17">
        <v>2</v>
      </c>
      <c r="E51" s="17">
        <v>3</v>
      </c>
    </row>
    <row r="52" spans="1:5" x14ac:dyDescent="0.3">
      <c r="A52" s="17" t="s">
        <v>1</v>
      </c>
      <c r="B52" s="17" t="s">
        <v>116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753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39</v>
      </c>
      <c r="C54" s="17">
        <v>4</v>
      </c>
      <c r="D54" s="17">
        <v>2</v>
      </c>
      <c r="E54" s="17">
        <v>7</v>
      </c>
    </row>
    <row r="55" spans="1:5" x14ac:dyDescent="0.3">
      <c r="A55" s="17" t="s">
        <v>1</v>
      </c>
      <c r="B55" s="17" t="s">
        <v>54</v>
      </c>
      <c r="C55" s="17">
        <v>5</v>
      </c>
      <c r="D55" s="17">
        <v>2</v>
      </c>
      <c r="E55" s="17">
        <v>6</v>
      </c>
    </row>
    <row r="56" spans="1:5" x14ac:dyDescent="0.3">
      <c r="A56" s="17" t="s">
        <v>1</v>
      </c>
      <c r="B56" s="17" t="s">
        <v>55</v>
      </c>
      <c r="C56" s="17">
        <v>4</v>
      </c>
      <c r="D56" s="17">
        <v>2</v>
      </c>
      <c r="E56" s="17">
        <v>7</v>
      </c>
    </row>
    <row r="57" spans="1:5" x14ac:dyDescent="0.3">
      <c r="A57" s="17" t="s">
        <v>1</v>
      </c>
      <c r="B57" s="17" t="s">
        <v>56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506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48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79</v>
      </c>
      <c r="C60" s="17">
        <v>3</v>
      </c>
      <c r="D60" s="17">
        <v>2</v>
      </c>
      <c r="E60" s="17">
        <v>3</v>
      </c>
    </row>
    <row r="61" spans="1:5" x14ac:dyDescent="0.3">
      <c r="A61" s="17" t="s">
        <v>0</v>
      </c>
      <c r="B61" s="17" t="s">
        <v>40</v>
      </c>
      <c r="C61" s="17">
        <v>3</v>
      </c>
      <c r="D61" s="17">
        <v>2</v>
      </c>
      <c r="E61" s="17">
        <v>3</v>
      </c>
    </row>
    <row r="62" spans="1:5" x14ac:dyDescent="0.3">
      <c r="A62" s="17" t="s">
        <v>0</v>
      </c>
      <c r="B62" s="17" t="s">
        <v>214</v>
      </c>
      <c r="C62" s="17">
        <v>2</v>
      </c>
      <c r="D62" s="17">
        <v>2</v>
      </c>
      <c r="E62" s="17">
        <v>5</v>
      </c>
    </row>
    <row r="63" spans="1:5" x14ac:dyDescent="0.3">
      <c r="A63" s="17" t="s">
        <v>0</v>
      </c>
      <c r="B63" s="17" t="s">
        <v>89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2429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159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1479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100</v>
      </c>
      <c r="C67" s="17">
        <v>2</v>
      </c>
      <c r="D67" s="17">
        <v>2</v>
      </c>
      <c r="E67" s="17">
        <v>3</v>
      </c>
    </row>
    <row r="68" spans="1:5" x14ac:dyDescent="0.3">
      <c r="A68" s="17" t="s">
        <v>0</v>
      </c>
      <c r="B68" s="17" t="s">
        <v>160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161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169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172</v>
      </c>
      <c r="C71" s="17">
        <v>3</v>
      </c>
      <c r="D71" s="17">
        <v>2</v>
      </c>
      <c r="E71" s="17">
        <v>3</v>
      </c>
    </row>
    <row r="72" spans="1:5" x14ac:dyDescent="0.3">
      <c r="A72" s="17" t="s">
        <v>0</v>
      </c>
      <c r="B72" s="17" t="s">
        <v>51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44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662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122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346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350</v>
      </c>
      <c r="C77" s="17">
        <v>2</v>
      </c>
      <c r="D77" s="17">
        <v>2</v>
      </c>
      <c r="E77" s="17">
        <v>2</v>
      </c>
    </row>
    <row r="78" spans="1:5" x14ac:dyDescent="0.3">
      <c r="A78" s="17" t="s">
        <v>2</v>
      </c>
      <c r="B78" s="17" t="s">
        <v>61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140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1139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1562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986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432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691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79</v>
      </c>
      <c r="C85" s="17">
        <v>1</v>
      </c>
      <c r="D85" s="17">
        <v>1</v>
      </c>
      <c r="E85" s="17">
        <v>2</v>
      </c>
    </row>
    <row r="86" spans="1:5" x14ac:dyDescent="0.3">
      <c r="A86" s="17" t="s">
        <v>1</v>
      </c>
      <c r="B86" s="17" t="s">
        <v>1314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1280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1414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88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151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152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89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219</v>
      </c>
      <c r="C93" s="17">
        <v>2</v>
      </c>
      <c r="D93" s="17">
        <v>1</v>
      </c>
      <c r="E93" s="17">
        <v>3</v>
      </c>
    </row>
    <row r="94" spans="1:5" x14ac:dyDescent="0.3">
      <c r="A94" s="17" t="s">
        <v>1</v>
      </c>
      <c r="B94" s="17" t="s">
        <v>686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1946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2396</v>
      </c>
      <c r="C96" s="17">
        <v>2</v>
      </c>
      <c r="D96" s="17">
        <v>1</v>
      </c>
      <c r="E96" s="17">
        <v>3</v>
      </c>
    </row>
    <row r="97" spans="1:5" x14ac:dyDescent="0.3">
      <c r="A97" s="17" t="s">
        <v>1</v>
      </c>
      <c r="B97" s="17" t="s">
        <v>1868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525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2924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159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399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49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526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1066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528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1479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101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586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840</v>
      </c>
      <c r="C109" s="17">
        <v>2</v>
      </c>
      <c r="D109" s="17">
        <v>1</v>
      </c>
      <c r="E109" s="17">
        <v>3</v>
      </c>
    </row>
    <row r="110" spans="1:5" x14ac:dyDescent="0.3">
      <c r="A110" s="17" t="s">
        <v>1</v>
      </c>
      <c r="B110" s="17" t="s">
        <v>319</v>
      </c>
      <c r="C110" s="17">
        <v>1</v>
      </c>
      <c r="D110" s="17">
        <v>1</v>
      </c>
      <c r="E110" s="17">
        <v>2</v>
      </c>
    </row>
    <row r="111" spans="1:5" x14ac:dyDescent="0.3">
      <c r="A111" s="17" t="s">
        <v>1</v>
      </c>
      <c r="B111" s="17" t="s">
        <v>163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1482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998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28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104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106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107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1107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2925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1182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2926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168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442</v>
      </c>
      <c r="C123" s="17">
        <v>2</v>
      </c>
      <c r="D123" s="17">
        <v>1</v>
      </c>
      <c r="E123" s="17">
        <v>2</v>
      </c>
    </row>
    <row r="124" spans="1:5" x14ac:dyDescent="0.3">
      <c r="A124" s="17" t="s">
        <v>1</v>
      </c>
      <c r="B124" s="17" t="s">
        <v>646</v>
      </c>
      <c r="C124" s="17">
        <v>2</v>
      </c>
      <c r="D124" s="17">
        <v>1</v>
      </c>
      <c r="E124" s="17">
        <v>2</v>
      </c>
    </row>
    <row r="125" spans="1:5" x14ac:dyDescent="0.3">
      <c r="A125" s="17" t="s">
        <v>1</v>
      </c>
      <c r="B125" s="17" t="s">
        <v>407</v>
      </c>
      <c r="C125" s="17">
        <v>1</v>
      </c>
      <c r="D125" s="17">
        <v>1</v>
      </c>
      <c r="E125" s="17">
        <v>2</v>
      </c>
    </row>
    <row r="126" spans="1:5" x14ac:dyDescent="0.3">
      <c r="A126" s="17" t="s">
        <v>1</v>
      </c>
      <c r="B126" s="17" t="s">
        <v>593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288</v>
      </c>
      <c r="C127" s="17">
        <v>1</v>
      </c>
      <c r="D127" s="17">
        <v>1</v>
      </c>
      <c r="E127" s="17">
        <v>2</v>
      </c>
    </row>
    <row r="128" spans="1:5" x14ac:dyDescent="0.3">
      <c r="A128" s="17" t="s">
        <v>1</v>
      </c>
      <c r="B128" s="17" t="s">
        <v>112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289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1184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872</v>
      </c>
      <c r="C131" s="17">
        <v>1</v>
      </c>
      <c r="D131" s="17">
        <v>1</v>
      </c>
      <c r="E131" s="17">
        <v>2</v>
      </c>
    </row>
    <row r="132" spans="1:5" x14ac:dyDescent="0.3">
      <c r="A132" s="17" t="s">
        <v>1</v>
      </c>
      <c r="B132" s="17" t="s">
        <v>534</v>
      </c>
      <c r="C132" s="17">
        <v>1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2001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325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538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594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774</v>
      </c>
      <c r="C137" s="17">
        <v>1</v>
      </c>
      <c r="D137" s="17">
        <v>1</v>
      </c>
      <c r="E137" s="17">
        <v>2</v>
      </c>
    </row>
    <row r="138" spans="1:5" x14ac:dyDescent="0.3">
      <c r="A138" s="17" t="s">
        <v>1</v>
      </c>
      <c r="B138" s="17" t="s">
        <v>328</v>
      </c>
      <c r="C138" s="17">
        <v>2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227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1985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45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1094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331</v>
      </c>
      <c r="C143" s="17">
        <v>1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385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1704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776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884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297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1473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607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371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1172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338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120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345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200</v>
      </c>
      <c r="C156" s="17">
        <v>1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1872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601</v>
      </c>
      <c r="C158" s="17">
        <v>1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695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1113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890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419</v>
      </c>
      <c r="C162" s="17">
        <v>1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696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300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183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750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262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52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128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824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1023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752</v>
      </c>
      <c r="C172" s="17">
        <v>2</v>
      </c>
      <c r="D172" s="17">
        <v>1</v>
      </c>
      <c r="E172" s="17">
        <v>3</v>
      </c>
    </row>
    <row r="173" spans="1:5" x14ac:dyDescent="0.3">
      <c r="A173" s="17" t="s">
        <v>1</v>
      </c>
      <c r="B173" s="17" t="s">
        <v>190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259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569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456</v>
      </c>
      <c r="C176" s="17">
        <v>1</v>
      </c>
      <c r="D176" s="17">
        <v>1</v>
      </c>
      <c r="E176" s="17">
        <v>3</v>
      </c>
    </row>
    <row r="177" spans="1:5" x14ac:dyDescent="0.3">
      <c r="A177" s="17" t="s">
        <v>1</v>
      </c>
      <c r="B177" s="17" t="s">
        <v>1248</v>
      </c>
      <c r="C177" s="17">
        <v>1</v>
      </c>
      <c r="D177" s="17">
        <v>1</v>
      </c>
      <c r="E177" s="17"/>
    </row>
    <row r="178" spans="1:5" x14ac:dyDescent="0.3">
      <c r="A178" s="17" t="s">
        <v>1</v>
      </c>
      <c r="B178" s="17" t="s">
        <v>2927</v>
      </c>
      <c r="C178" s="17">
        <v>1</v>
      </c>
      <c r="D178" s="17">
        <v>1</v>
      </c>
      <c r="E178" s="17"/>
    </row>
    <row r="179" spans="1:5" x14ac:dyDescent="0.3">
      <c r="A179" s="17" t="s">
        <v>1</v>
      </c>
      <c r="B179" s="17" t="s">
        <v>1873</v>
      </c>
      <c r="C179" s="17">
        <v>1</v>
      </c>
      <c r="D179" s="17">
        <v>1</v>
      </c>
      <c r="E179" s="17"/>
    </row>
    <row r="180" spans="1:5" x14ac:dyDescent="0.3">
      <c r="A180" s="17" t="s">
        <v>1</v>
      </c>
      <c r="B180" s="17" t="s">
        <v>2928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850</v>
      </c>
      <c r="C181" s="17">
        <v>1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1598</v>
      </c>
      <c r="C182" s="17">
        <v>1</v>
      </c>
      <c r="D182" s="17">
        <v>1</v>
      </c>
      <c r="E182" s="17"/>
    </row>
    <row r="183" spans="1:5" x14ac:dyDescent="0.3">
      <c r="A183" s="17" t="s">
        <v>1</v>
      </c>
      <c r="B183" s="17" t="s">
        <v>925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0</v>
      </c>
      <c r="B184" s="17" t="s">
        <v>1032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1139</v>
      </c>
      <c r="C185" s="17">
        <v>1</v>
      </c>
      <c r="D185" s="17">
        <v>1</v>
      </c>
      <c r="E185" s="17">
        <v>2</v>
      </c>
    </row>
    <row r="186" spans="1:5" x14ac:dyDescent="0.3">
      <c r="A186" s="17" t="s">
        <v>0</v>
      </c>
      <c r="B186" s="17" t="s">
        <v>242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705</v>
      </c>
      <c r="C187" s="17">
        <v>1</v>
      </c>
      <c r="D187" s="17">
        <v>1</v>
      </c>
      <c r="E187" s="17">
        <v>2</v>
      </c>
    </row>
    <row r="188" spans="1:5" x14ac:dyDescent="0.3">
      <c r="A188" s="17" t="s">
        <v>0</v>
      </c>
      <c r="B188" s="17" t="s">
        <v>272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706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78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356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59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479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1217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264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149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1775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1835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1912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1946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2398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282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1167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524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1035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1868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401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1428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0</v>
      </c>
      <c r="B209" s="17" t="s">
        <v>526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492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99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265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164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2656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404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1036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104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165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1204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1168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107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1614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2038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199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593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111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1795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171</v>
      </c>
      <c r="C228" s="17">
        <v>1</v>
      </c>
      <c r="D228" s="17">
        <v>1</v>
      </c>
      <c r="E228" s="17">
        <v>2</v>
      </c>
    </row>
    <row r="229" spans="1:5" x14ac:dyDescent="0.3">
      <c r="A229" s="17" t="s">
        <v>0</v>
      </c>
      <c r="B229" s="17" t="s">
        <v>289</v>
      </c>
      <c r="C229" s="17">
        <v>1</v>
      </c>
      <c r="D229" s="17">
        <v>1</v>
      </c>
      <c r="E229" s="17">
        <v>2</v>
      </c>
    </row>
    <row r="230" spans="1:5" x14ac:dyDescent="0.3">
      <c r="A230" s="17" t="s">
        <v>0</v>
      </c>
      <c r="B230" s="17" t="s">
        <v>1524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534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291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606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2929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540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2119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1075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726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1008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1720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413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336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1528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782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200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62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123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37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2930</v>
      </c>
      <c r="C249" s="17">
        <v>1</v>
      </c>
      <c r="D249" s="17">
        <v>1</v>
      </c>
      <c r="E249" s="17">
        <v>3</v>
      </c>
    </row>
    <row r="250" spans="1:5" x14ac:dyDescent="0.3">
      <c r="A250" s="17" t="s">
        <v>0</v>
      </c>
      <c r="B250" s="17" t="s">
        <v>124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1421</v>
      </c>
      <c r="C251" s="17">
        <v>2</v>
      </c>
      <c r="D251" s="17">
        <v>1</v>
      </c>
      <c r="E251" s="17">
        <v>4</v>
      </c>
    </row>
    <row r="252" spans="1:5" x14ac:dyDescent="0.3">
      <c r="A252" s="17" t="s">
        <v>0</v>
      </c>
      <c r="B252" s="17" t="s">
        <v>697</v>
      </c>
      <c r="C252" s="17">
        <v>1</v>
      </c>
      <c r="D252" s="17">
        <v>1</v>
      </c>
      <c r="E252" s="17">
        <v>3</v>
      </c>
    </row>
    <row r="253" spans="1:5" x14ac:dyDescent="0.3">
      <c r="A253" s="17" t="s">
        <v>0</v>
      </c>
      <c r="B253" s="17" t="s">
        <v>63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483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0</v>
      </c>
      <c r="B255" s="17" t="s">
        <v>429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2592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451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201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2454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1083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53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1025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2931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2932</v>
      </c>
      <c r="C264" s="17">
        <v>1</v>
      </c>
      <c r="D264" s="17">
        <v>1</v>
      </c>
      <c r="E264" s="17">
        <v>5</v>
      </c>
    </row>
    <row r="265" spans="1:5" x14ac:dyDescent="0.3">
      <c r="A265" s="17" t="s">
        <v>0</v>
      </c>
      <c r="B265" s="17" t="s">
        <v>2584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2933</v>
      </c>
      <c r="C266" s="17">
        <v>1</v>
      </c>
      <c r="D266" s="17">
        <v>1</v>
      </c>
      <c r="E266" s="17"/>
    </row>
    <row r="267" spans="1:5" x14ac:dyDescent="0.3">
      <c r="A267" s="17" t="s">
        <v>0</v>
      </c>
      <c r="B267" s="17" t="s">
        <v>431</v>
      </c>
      <c r="C267" s="17">
        <v>1</v>
      </c>
      <c r="D267" s="17">
        <v>1</v>
      </c>
      <c r="E267" s="17"/>
    </row>
    <row r="268" spans="1:5" x14ac:dyDescent="0.3">
      <c r="A268" s="17" t="s">
        <v>2</v>
      </c>
      <c r="B268" s="17" t="s">
        <v>36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2</v>
      </c>
      <c r="B269" s="17" t="s">
        <v>273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2</v>
      </c>
      <c r="B270" s="17" t="s">
        <v>155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2</v>
      </c>
      <c r="B271" s="17" t="s">
        <v>365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2</v>
      </c>
      <c r="B272" s="17" t="s">
        <v>1927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2</v>
      </c>
      <c r="B273" s="17" t="s">
        <v>29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2</v>
      </c>
      <c r="B274" s="17" t="s">
        <v>872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2</v>
      </c>
      <c r="B275" s="17" t="s">
        <v>331</v>
      </c>
      <c r="C275" s="17">
        <v>1</v>
      </c>
      <c r="D275" s="17">
        <v>1</v>
      </c>
      <c r="E275" s="17">
        <v>2</v>
      </c>
    </row>
    <row r="276" spans="1:5" x14ac:dyDescent="0.3">
      <c r="A276" s="17" t="s">
        <v>2</v>
      </c>
      <c r="B276" s="17" t="s">
        <v>662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392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987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75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1</v>
      </c>
      <c r="B280" s="17" t="s">
        <v>59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1624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359</v>
      </c>
      <c r="C282" s="17">
        <v>1</v>
      </c>
      <c r="D282" s="17">
        <v>0</v>
      </c>
      <c r="E282" s="17">
        <v>2</v>
      </c>
    </row>
    <row r="283" spans="1:5" x14ac:dyDescent="0.3">
      <c r="A283" s="17" t="s">
        <v>1</v>
      </c>
      <c r="B283" s="17" t="s">
        <v>81</v>
      </c>
      <c r="C283" s="17">
        <v>1</v>
      </c>
      <c r="D283" s="17">
        <v>0</v>
      </c>
      <c r="E283" s="17">
        <v>2</v>
      </c>
    </row>
    <row r="284" spans="1:5" x14ac:dyDescent="0.3">
      <c r="A284" s="17" t="s">
        <v>1</v>
      </c>
      <c r="B284" s="17" t="s">
        <v>2716</v>
      </c>
      <c r="C284" s="17">
        <v>1</v>
      </c>
      <c r="D284" s="17">
        <v>0</v>
      </c>
      <c r="E284" s="17">
        <v>2</v>
      </c>
    </row>
    <row r="285" spans="1:5" x14ac:dyDescent="0.3">
      <c r="A285" s="17" t="s">
        <v>1</v>
      </c>
      <c r="B285" s="17" t="s">
        <v>279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360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1281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435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362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1</v>
      </c>
      <c r="B290" s="17" t="s">
        <v>634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218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281</v>
      </c>
      <c r="C292" s="17">
        <v>1</v>
      </c>
      <c r="D292" s="17">
        <v>0</v>
      </c>
      <c r="E292" s="17">
        <v>0</v>
      </c>
    </row>
    <row r="293" spans="1:5" x14ac:dyDescent="0.3">
      <c r="A293" s="17" t="s">
        <v>1</v>
      </c>
      <c r="B293" s="17" t="s">
        <v>638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1063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1</v>
      </c>
      <c r="B295" s="17" t="s">
        <v>41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95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944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1683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1691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2334</v>
      </c>
      <c r="C300" s="17">
        <v>3</v>
      </c>
      <c r="D300" s="17">
        <v>0</v>
      </c>
      <c r="E300" s="17">
        <v>3</v>
      </c>
    </row>
    <row r="301" spans="1:5" x14ac:dyDescent="0.3">
      <c r="A301" s="17" t="s">
        <v>1</v>
      </c>
      <c r="B301" s="17" t="s">
        <v>2329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2439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2468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2399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2398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2397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996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2656</v>
      </c>
      <c r="C308" s="17">
        <v>1</v>
      </c>
      <c r="D308" s="17">
        <v>0</v>
      </c>
      <c r="E308" s="17">
        <v>2</v>
      </c>
    </row>
    <row r="309" spans="1:5" x14ac:dyDescent="0.3">
      <c r="A309" s="17" t="s">
        <v>1</v>
      </c>
      <c r="B309" s="17" t="s">
        <v>2934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115</v>
      </c>
      <c r="C310" s="17">
        <v>1</v>
      </c>
      <c r="D310" s="17">
        <v>0</v>
      </c>
      <c r="E310" s="17">
        <v>0</v>
      </c>
    </row>
    <row r="311" spans="1:5" x14ac:dyDescent="0.3">
      <c r="A311" s="17" t="s">
        <v>1</v>
      </c>
      <c r="B311" s="17" t="s">
        <v>1376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468</v>
      </c>
      <c r="C312" s="17">
        <v>1</v>
      </c>
      <c r="D312" s="17">
        <v>0</v>
      </c>
      <c r="E312" s="17">
        <v>0</v>
      </c>
    </row>
    <row r="313" spans="1:5" x14ac:dyDescent="0.3">
      <c r="A313" s="17" t="s">
        <v>1</v>
      </c>
      <c r="B313" s="17" t="s">
        <v>731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1455</v>
      </c>
      <c r="C314" s="17">
        <v>1</v>
      </c>
      <c r="D314" s="17">
        <v>0</v>
      </c>
      <c r="E314" s="17">
        <v>2</v>
      </c>
    </row>
    <row r="315" spans="1:5" x14ac:dyDescent="0.3">
      <c r="A315" s="17" t="s">
        <v>1</v>
      </c>
      <c r="B315" s="17" t="s">
        <v>1475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1801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894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2935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1604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2898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31</v>
      </c>
      <c r="C321" s="17">
        <v>1</v>
      </c>
      <c r="D321" s="17">
        <v>0</v>
      </c>
      <c r="E321" s="17">
        <v>2</v>
      </c>
    </row>
    <row r="322" spans="1:5" x14ac:dyDescent="0.3">
      <c r="A322" s="17" t="s">
        <v>1</v>
      </c>
      <c r="B322" s="17" t="s">
        <v>65</v>
      </c>
      <c r="C322" s="17">
        <v>1</v>
      </c>
      <c r="D322" s="17">
        <v>0</v>
      </c>
      <c r="E322" s="17">
        <v>0</v>
      </c>
    </row>
    <row r="323" spans="1:5" x14ac:dyDescent="0.3">
      <c r="A323" s="17" t="s">
        <v>1</v>
      </c>
      <c r="B323" s="17" t="s">
        <v>921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194</v>
      </c>
      <c r="C324" s="17">
        <v>2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235</v>
      </c>
      <c r="C325" s="17">
        <v>3</v>
      </c>
      <c r="D325" s="17">
        <v>0</v>
      </c>
      <c r="E325" s="17">
        <v>3</v>
      </c>
    </row>
    <row r="326" spans="1:5" x14ac:dyDescent="0.3">
      <c r="A326" s="17" t="s">
        <v>1</v>
      </c>
      <c r="B326" s="17" t="s">
        <v>195</v>
      </c>
      <c r="C326" s="17">
        <v>3</v>
      </c>
      <c r="D326" s="17">
        <v>0</v>
      </c>
      <c r="E326" s="17">
        <v>3</v>
      </c>
    </row>
    <row r="327" spans="1:5" x14ac:dyDescent="0.3">
      <c r="A327" s="17" t="s">
        <v>1</v>
      </c>
      <c r="B327" s="17" t="s">
        <v>68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196</v>
      </c>
      <c r="C328" s="17">
        <v>4</v>
      </c>
      <c r="D328" s="17">
        <v>0</v>
      </c>
      <c r="E328" s="17">
        <v>5</v>
      </c>
    </row>
    <row r="329" spans="1:5" x14ac:dyDescent="0.3">
      <c r="A329" s="17" t="s">
        <v>1</v>
      </c>
      <c r="B329" s="17" t="s">
        <v>238</v>
      </c>
      <c r="C329" s="17">
        <v>2</v>
      </c>
      <c r="D329" s="17">
        <v>0</v>
      </c>
      <c r="E329" s="17">
        <v>2</v>
      </c>
    </row>
    <row r="330" spans="1:5" x14ac:dyDescent="0.3">
      <c r="A330" s="17" t="s">
        <v>1</v>
      </c>
      <c r="B330" s="17" t="s">
        <v>239</v>
      </c>
      <c r="C330" s="17">
        <v>3</v>
      </c>
      <c r="D330" s="17">
        <v>0</v>
      </c>
      <c r="E330" s="17">
        <v>3</v>
      </c>
    </row>
    <row r="331" spans="1:5" x14ac:dyDescent="0.3">
      <c r="A331" s="17" t="s">
        <v>1</v>
      </c>
      <c r="B331" s="17" t="s">
        <v>672</v>
      </c>
      <c r="C331" s="17">
        <v>1</v>
      </c>
      <c r="D331" s="17">
        <v>0</v>
      </c>
      <c r="E331" s="17">
        <v>2</v>
      </c>
    </row>
    <row r="332" spans="1:5" x14ac:dyDescent="0.3">
      <c r="A332" s="17" t="s">
        <v>1</v>
      </c>
      <c r="B332" s="17" t="s">
        <v>240</v>
      </c>
      <c r="C332" s="17">
        <v>4</v>
      </c>
      <c r="D332" s="17">
        <v>0</v>
      </c>
      <c r="E332" s="17">
        <v>9</v>
      </c>
    </row>
    <row r="333" spans="1:5" x14ac:dyDescent="0.3">
      <c r="A333" s="17" t="s">
        <v>1</v>
      </c>
      <c r="B333" s="17" t="s">
        <v>673</v>
      </c>
      <c r="C333" s="17">
        <v>3</v>
      </c>
      <c r="D333" s="17">
        <v>0</v>
      </c>
      <c r="E333" s="17">
        <v>6</v>
      </c>
    </row>
    <row r="334" spans="1:5" x14ac:dyDescent="0.3">
      <c r="A334" s="17" t="s">
        <v>1</v>
      </c>
      <c r="B334" s="17" t="s">
        <v>382</v>
      </c>
      <c r="C334" s="17">
        <v>1</v>
      </c>
      <c r="D334" s="17">
        <v>0</v>
      </c>
      <c r="E334" s="17">
        <v>2</v>
      </c>
    </row>
    <row r="335" spans="1:5" x14ac:dyDescent="0.3">
      <c r="A335" s="17" t="s">
        <v>0</v>
      </c>
      <c r="B335" s="17" t="s">
        <v>93</v>
      </c>
      <c r="C335" s="17">
        <v>3</v>
      </c>
      <c r="D335" s="17">
        <v>0</v>
      </c>
      <c r="E335" s="17">
        <v>3</v>
      </c>
    </row>
    <row r="336" spans="1:5" x14ac:dyDescent="0.3">
      <c r="A336" s="17" t="s">
        <v>0</v>
      </c>
      <c r="B336" s="17" t="s">
        <v>154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0</v>
      </c>
      <c r="B337" s="17" t="s">
        <v>251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0</v>
      </c>
      <c r="B338" s="17" t="s">
        <v>2404</v>
      </c>
      <c r="C338" s="17">
        <v>1</v>
      </c>
      <c r="D338" s="17">
        <v>0</v>
      </c>
      <c r="E338" s="17">
        <v>5</v>
      </c>
    </row>
    <row r="339" spans="1:5" x14ac:dyDescent="0.3">
      <c r="A339" s="17" t="s">
        <v>0</v>
      </c>
      <c r="B339" s="17" t="s">
        <v>2692</v>
      </c>
      <c r="C339" s="17">
        <v>2</v>
      </c>
      <c r="D339" s="17">
        <v>0</v>
      </c>
      <c r="E339" s="17">
        <v>2</v>
      </c>
    </row>
    <row r="340" spans="1:5" x14ac:dyDescent="0.3">
      <c r="A340" s="17" t="s">
        <v>0</v>
      </c>
      <c r="B340" s="17" t="s">
        <v>2705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0</v>
      </c>
      <c r="B341" s="17" t="s">
        <v>1696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2936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0</v>
      </c>
      <c r="B343" s="17" t="s">
        <v>1374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0</v>
      </c>
      <c r="B344" s="17" t="s">
        <v>113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0</v>
      </c>
      <c r="B345" s="17" t="s">
        <v>1680</v>
      </c>
      <c r="C345" s="17">
        <v>1</v>
      </c>
      <c r="D345" s="17">
        <v>0</v>
      </c>
      <c r="E345" s="17">
        <v>2</v>
      </c>
    </row>
    <row r="346" spans="1:5" x14ac:dyDescent="0.3">
      <c r="A346" s="17" t="s">
        <v>0</v>
      </c>
      <c r="B346" s="17" t="s">
        <v>495</v>
      </c>
      <c r="C346" s="17">
        <v>1</v>
      </c>
      <c r="D346" s="17">
        <v>0</v>
      </c>
      <c r="E346" s="17">
        <v>0</v>
      </c>
    </row>
    <row r="347" spans="1:5" x14ac:dyDescent="0.3">
      <c r="A347" s="17" t="s">
        <v>0</v>
      </c>
      <c r="B347" s="17" t="s">
        <v>2937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0</v>
      </c>
      <c r="B348" s="17" t="s">
        <v>2483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2938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0</v>
      </c>
      <c r="B350" s="17" t="s">
        <v>235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0</v>
      </c>
      <c r="B351" s="17" t="s">
        <v>195</v>
      </c>
      <c r="C351" s="17">
        <v>1</v>
      </c>
      <c r="D351" s="17">
        <v>0</v>
      </c>
      <c r="E351" s="17">
        <v>4</v>
      </c>
    </row>
    <row r="352" spans="1:5" x14ac:dyDescent="0.3">
      <c r="A352" s="17" t="s">
        <v>0</v>
      </c>
      <c r="B352" s="17" t="s">
        <v>68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196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0</v>
      </c>
      <c r="B354" s="17" t="s">
        <v>55</v>
      </c>
      <c r="C354" s="17">
        <v>1</v>
      </c>
      <c r="D354" s="17">
        <v>0</v>
      </c>
      <c r="E354" s="17">
        <v>2</v>
      </c>
    </row>
    <row r="355" spans="1:5" x14ac:dyDescent="0.3">
      <c r="A355" s="17" t="s">
        <v>0</v>
      </c>
      <c r="B355" s="17" t="s">
        <v>240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0</v>
      </c>
      <c r="B356" s="17" t="s">
        <v>1804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2939</v>
      </c>
      <c r="C357" s="17">
        <v>1</v>
      </c>
      <c r="D357" s="17">
        <v>0</v>
      </c>
      <c r="E357" s="17">
        <v>2</v>
      </c>
    </row>
    <row r="358" spans="1:5" x14ac:dyDescent="0.3">
      <c r="A358" s="17" t="s">
        <v>2</v>
      </c>
      <c r="B358" s="17" t="s">
        <v>96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2</v>
      </c>
      <c r="B359" s="17" t="s">
        <v>158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2</v>
      </c>
      <c r="B360" s="17" t="s">
        <v>424</v>
      </c>
      <c r="C360" s="17">
        <v>1</v>
      </c>
      <c r="D360" s="17">
        <v>0</v>
      </c>
      <c r="E360" s="17">
        <v>1</v>
      </c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0552C-188B-443B-AEC0-31A6021FF5DB}">
  <sheetPr codeName="Sheet46"/>
  <dimension ref="A1:M825"/>
  <sheetViews>
    <sheetView workbookViewId="0">
      <selection activeCell="A2" sqref="A2:E82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62</v>
      </c>
      <c r="D2" s="17">
        <v>48</v>
      </c>
      <c r="E2" s="17">
        <v>71</v>
      </c>
    </row>
    <row r="3" spans="1:13" customFormat="1" x14ac:dyDescent="0.3">
      <c r="A3" s="17" t="s">
        <v>1</v>
      </c>
      <c r="B3" s="17" t="s">
        <v>30</v>
      </c>
      <c r="C3" s="17">
        <v>78</v>
      </c>
      <c r="D3" s="17">
        <v>26</v>
      </c>
      <c r="E3" s="17">
        <v>214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365</v>
      </c>
      <c r="C4" s="17">
        <v>31</v>
      </c>
      <c r="D4" s="17">
        <v>25</v>
      </c>
      <c r="E4" s="17">
        <v>35</v>
      </c>
      <c r="G4" s="23" t="s">
        <v>8</v>
      </c>
      <c r="H4" s="19">
        <f>H13+H14</f>
        <v>1404</v>
      </c>
      <c r="I4" s="20">
        <f>H4/H$6</f>
        <v>0.76805251641137851</v>
      </c>
      <c r="J4" s="19">
        <f>I13+I14</f>
        <v>748</v>
      </c>
      <c r="K4" s="20">
        <f>J4/J$6</f>
        <v>0.67753623188405798</v>
      </c>
      <c r="L4" s="19">
        <f>J13+J14</f>
        <v>1802</v>
      </c>
      <c r="M4" s="29">
        <f>L4/L$6</f>
        <v>0.78450152372659987</v>
      </c>
    </row>
    <row r="5" spans="1:13" customFormat="1" x14ac:dyDescent="0.3">
      <c r="A5" s="17" t="s">
        <v>1</v>
      </c>
      <c r="B5" s="17" t="s">
        <v>1927</v>
      </c>
      <c r="C5" s="17">
        <v>25</v>
      </c>
      <c r="D5" s="17">
        <v>21</v>
      </c>
      <c r="E5" s="17">
        <v>28</v>
      </c>
      <c r="G5" s="23" t="s">
        <v>10</v>
      </c>
      <c r="H5" s="19">
        <f>H15+H16</f>
        <v>424</v>
      </c>
      <c r="I5" s="20">
        <f>H5/H$6</f>
        <v>0.23194748358862144</v>
      </c>
      <c r="J5" s="19">
        <f>I15+I16</f>
        <v>356</v>
      </c>
      <c r="K5" s="20">
        <f>J5/J$6</f>
        <v>0.32246376811594202</v>
      </c>
      <c r="L5" s="19">
        <f>J15+J16</f>
        <v>495</v>
      </c>
      <c r="M5" s="29">
        <f>L5/L$6</f>
        <v>0.21549847627340007</v>
      </c>
    </row>
    <row r="6" spans="1:13" customFormat="1" ht="17.25" thickBot="1" x14ac:dyDescent="0.35">
      <c r="A6" s="17" t="s">
        <v>1</v>
      </c>
      <c r="B6" s="17" t="s">
        <v>51</v>
      </c>
      <c r="C6" s="17">
        <v>18</v>
      </c>
      <c r="D6" s="17">
        <v>16</v>
      </c>
      <c r="E6" s="17">
        <v>25</v>
      </c>
      <c r="G6" s="26"/>
      <c r="H6" s="30">
        <f>SUM(H4:H5)</f>
        <v>1828</v>
      </c>
      <c r="I6" s="31">
        <f>I4+I5</f>
        <v>1</v>
      </c>
      <c r="J6" s="30">
        <f>SUM(J4:J5)</f>
        <v>1104</v>
      </c>
      <c r="K6" s="31">
        <f>K4+K5</f>
        <v>1</v>
      </c>
      <c r="L6" s="30">
        <f>SUM(L4:L5)</f>
        <v>2297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20</v>
      </c>
      <c r="D7" s="17">
        <v>15</v>
      </c>
      <c r="E7" s="17">
        <v>25</v>
      </c>
    </row>
    <row r="8" spans="1:13" customFormat="1" x14ac:dyDescent="0.3">
      <c r="A8" s="17" t="s">
        <v>1</v>
      </c>
      <c r="B8" s="17" t="s">
        <v>2075</v>
      </c>
      <c r="C8" s="17">
        <v>19</v>
      </c>
      <c r="D8" s="17">
        <v>14</v>
      </c>
      <c r="E8" s="17">
        <v>17</v>
      </c>
    </row>
    <row r="9" spans="1:13" customFormat="1" x14ac:dyDescent="0.3">
      <c r="A9" s="17" t="s">
        <v>0</v>
      </c>
      <c r="B9" s="17" t="s">
        <v>29</v>
      </c>
      <c r="C9" s="17">
        <v>15</v>
      </c>
      <c r="D9" s="17">
        <v>13</v>
      </c>
      <c r="E9" s="17">
        <v>15</v>
      </c>
    </row>
    <row r="10" spans="1:13" customFormat="1" ht="17.25" thickBot="1" x14ac:dyDescent="0.35">
      <c r="A10" s="17" t="s">
        <v>1</v>
      </c>
      <c r="B10" s="17" t="s">
        <v>2692</v>
      </c>
      <c r="C10" s="17">
        <v>26</v>
      </c>
      <c r="D10" s="17">
        <v>11</v>
      </c>
      <c r="E10" s="17">
        <v>28</v>
      </c>
    </row>
    <row r="11" spans="1:13" x14ac:dyDescent="0.3">
      <c r="A11" s="17" t="s">
        <v>0</v>
      </c>
      <c r="B11" s="17" t="s">
        <v>61</v>
      </c>
      <c r="C11" s="17">
        <v>10</v>
      </c>
      <c r="D11" s="17">
        <v>10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2572</v>
      </c>
      <c r="C12" s="17">
        <v>12</v>
      </c>
      <c r="D12" s="17">
        <v>10</v>
      </c>
      <c r="E12" s="17">
        <v>17</v>
      </c>
      <c r="G12" s="23"/>
      <c r="H12" s="21">
        <f t="shared" ref="H12:J12" si="0">SUM(H13:H16)</f>
        <v>1828</v>
      </c>
      <c r="I12" s="21">
        <f t="shared" si="0"/>
        <v>1104</v>
      </c>
      <c r="J12" s="24">
        <f t="shared" si="0"/>
        <v>2297</v>
      </c>
    </row>
    <row r="13" spans="1:13" x14ac:dyDescent="0.3">
      <c r="A13" s="17" t="s">
        <v>0</v>
      </c>
      <c r="B13" s="17" t="s">
        <v>31</v>
      </c>
      <c r="C13" s="17">
        <v>10</v>
      </c>
      <c r="D13" s="17">
        <v>10</v>
      </c>
      <c r="E13" s="17">
        <v>10</v>
      </c>
      <c r="G13" s="23" t="s">
        <v>7</v>
      </c>
      <c r="H13" s="22">
        <f t="shared" ref="H13:J16" si="1">SUMIF($A$2:$A$9999,$G13,C$2:C$9999)</f>
        <v>1404</v>
      </c>
      <c r="I13" s="22">
        <f t="shared" si="1"/>
        <v>748</v>
      </c>
      <c r="J13" s="25">
        <f t="shared" si="1"/>
        <v>1802</v>
      </c>
    </row>
    <row r="14" spans="1:13" x14ac:dyDescent="0.3">
      <c r="A14" s="17" t="s">
        <v>1</v>
      </c>
      <c r="B14" s="17" t="s">
        <v>2572</v>
      </c>
      <c r="C14" s="17">
        <v>15</v>
      </c>
      <c r="D14" s="17">
        <v>9</v>
      </c>
      <c r="E14" s="17">
        <v>14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33</v>
      </c>
      <c r="C15" s="17">
        <v>14</v>
      </c>
      <c r="D15" s="17">
        <v>8</v>
      </c>
      <c r="E15" s="17">
        <v>17</v>
      </c>
      <c r="G15" s="23" t="s">
        <v>11</v>
      </c>
      <c r="H15" s="22">
        <f t="shared" si="1"/>
        <v>371</v>
      </c>
      <c r="I15" s="22">
        <f t="shared" si="1"/>
        <v>310</v>
      </c>
      <c r="J15" s="25">
        <f t="shared" si="1"/>
        <v>424</v>
      </c>
    </row>
    <row r="16" spans="1:13" ht="17.25" thickBot="1" x14ac:dyDescent="0.35">
      <c r="A16" s="17" t="s">
        <v>1</v>
      </c>
      <c r="B16" s="17" t="s">
        <v>61</v>
      </c>
      <c r="C16" s="17">
        <v>9</v>
      </c>
      <c r="D16" s="17">
        <v>8</v>
      </c>
      <c r="E16" s="17">
        <v>11</v>
      </c>
      <c r="G16" s="26" t="s">
        <v>12</v>
      </c>
      <c r="H16" s="27">
        <f t="shared" si="1"/>
        <v>53</v>
      </c>
      <c r="I16" s="27">
        <f t="shared" si="1"/>
        <v>46</v>
      </c>
      <c r="J16" s="28">
        <f t="shared" si="1"/>
        <v>71</v>
      </c>
    </row>
    <row r="17" spans="1:5" x14ac:dyDescent="0.3">
      <c r="A17" s="17" t="s">
        <v>1</v>
      </c>
      <c r="B17" s="17" t="s">
        <v>200</v>
      </c>
      <c r="C17" s="17">
        <v>8</v>
      </c>
      <c r="D17" s="17">
        <v>8</v>
      </c>
      <c r="E17" s="17">
        <v>8</v>
      </c>
    </row>
    <row r="18" spans="1:5" x14ac:dyDescent="0.3">
      <c r="A18" s="17" t="s">
        <v>0</v>
      </c>
      <c r="B18" s="17" t="s">
        <v>2075</v>
      </c>
      <c r="C18" s="17">
        <v>8</v>
      </c>
      <c r="D18" s="17">
        <v>8</v>
      </c>
      <c r="E18" s="17">
        <v>8</v>
      </c>
    </row>
    <row r="19" spans="1:5" x14ac:dyDescent="0.3">
      <c r="A19" s="17" t="s">
        <v>1</v>
      </c>
      <c r="B19" s="17" t="s">
        <v>289</v>
      </c>
      <c r="C19" s="17">
        <v>8</v>
      </c>
      <c r="D19" s="17">
        <v>7</v>
      </c>
      <c r="E19" s="17">
        <v>12</v>
      </c>
    </row>
    <row r="20" spans="1:5" x14ac:dyDescent="0.3">
      <c r="A20" s="17" t="s">
        <v>1</v>
      </c>
      <c r="B20" s="17" t="s">
        <v>872</v>
      </c>
      <c r="C20" s="17">
        <v>7</v>
      </c>
      <c r="D20" s="17">
        <v>7</v>
      </c>
      <c r="E20" s="17">
        <v>9</v>
      </c>
    </row>
    <row r="21" spans="1:5" x14ac:dyDescent="0.3">
      <c r="A21" s="17" t="s">
        <v>0</v>
      </c>
      <c r="B21" s="17" t="s">
        <v>30</v>
      </c>
      <c r="C21" s="17">
        <v>13</v>
      </c>
      <c r="D21" s="17">
        <v>7</v>
      </c>
      <c r="E21" s="17">
        <v>17</v>
      </c>
    </row>
    <row r="22" spans="1:5" x14ac:dyDescent="0.3">
      <c r="A22" s="17" t="s">
        <v>1</v>
      </c>
      <c r="B22" s="17" t="s">
        <v>48</v>
      </c>
      <c r="C22" s="17">
        <v>14</v>
      </c>
      <c r="D22" s="17">
        <v>6</v>
      </c>
      <c r="E22" s="17">
        <v>16</v>
      </c>
    </row>
    <row r="23" spans="1:5" x14ac:dyDescent="0.3">
      <c r="A23" s="17" t="s">
        <v>1</v>
      </c>
      <c r="B23" s="17" t="s">
        <v>152</v>
      </c>
      <c r="C23" s="17">
        <v>10</v>
      </c>
      <c r="D23" s="17">
        <v>6</v>
      </c>
      <c r="E23" s="17">
        <v>11</v>
      </c>
    </row>
    <row r="24" spans="1:5" x14ac:dyDescent="0.3">
      <c r="A24" s="17" t="s">
        <v>1</v>
      </c>
      <c r="B24" s="17" t="s">
        <v>89</v>
      </c>
      <c r="C24" s="17">
        <v>6</v>
      </c>
      <c r="D24" s="17">
        <v>6</v>
      </c>
      <c r="E24" s="17">
        <v>7</v>
      </c>
    </row>
    <row r="25" spans="1:5" x14ac:dyDescent="0.3">
      <c r="A25" s="17" t="s">
        <v>1</v>
      </c>
      <c r="B25" s="17" t="s">
        <v>281</v>
      </c>
      <c r="C25" s="17">
        <v>8</v>
      </c>
      <c r="D25" s="17">
        <v>6</v>
      </c>
      <c r="E25" s="17">
        <v>9</v>
      </c>
    </row>
    <row r="26" spans="1:5" x14ac:dyDescent="0.3">
      <c r="A26" s="17" t="s">
        <v>0</v>
      </c>
      <c r="B26" s="17" t="s">
        <v>365</v>
      </c>
      <c r="C26" s="17">
        <v>6</v>
      </c>
      <c r="D26" s="17">
        <v>6</v>
      </c>
      <c r="E26" s="17">
        <v>6</v>
      </c>
    </row>
    <row r="27" spans="1:5" x14ac:dyDescent="0.3">
      <c r="A27" s="17" t="s">
        <v>0</v>
      </c>
      <c r="B27" s="17" t="s">
        <v>51</v>
      </c>
      <c r="C27" s="17">
        <v>6</v>
      </c>
      <c r="D27" s="17">
        <v>6</v>
      </c>
      <c r="E27" s="17">
        <v>8</v>
      </c>
    </row>
    <row r="28" spans="1:5" x14ac:dyDescent="0.3">
      <c r="A28" s="17" t="s">
        <v>1</v>
      </c>
      <c r="B28" s="17" t="s">
        <v>36</v>
      </c>
      <c r="C28" s="17">
        <v>7</v>
      </c>
      <c r="D28" s="17">
        <v>5</v>
      </c>
      <c r="E28" s="17">
        <v>7</v>
      </c>
    </row>
    <row r="29" spans="1:5" x14ac:dyDescent="0.3">
      <c r="A29" s="17" t="s">
        <v>1</v>
      </c>
      <c r="B29" s="17" t="s">
        <v>149</v>
      </c>
      <c r="C29" s="17">
        <v>5</v>
      </c>
      <c r="D29" s="17">
        <v>5</v>
      </c>
      <c r="E29" s="17">
        <v>5</v>
      </c>
    </row>
    <row r="30" spans="1:5" x14ac:dyDescent="0.3">
      <c r="A30" s="17" t="s">
        <v>1</v>
      </c>
      <c r="B30" s="17" t="s">
        <v>1946</v>
      </c>
      <c r="C30" s="17">
        <v>6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2329</v>
      </c>
      <c r="C31" s="17">
        <v>8</v>
      </c>
      <c r="D31" s="17">
        <v>5</v>
      </c>
      <c r="E31" s="17">
        <v>26</v>
      </c>
    </row>
    <row r="32" spans="1:5" x14ac:dyDescent="0.3">
      <c r="A32" s="17" t="s">
        <v>1</v>
      </c>
      <c r="B32" s="17" t="s">
        <v>199</v>
      </c>
      <c r="C32" s="17">
        <v>5</v>
      </c>
      <c r="D32" s="17">
        <v>5</v>
      </c>
      <c r="E32" s="17">
        <v>5</v>
      </c>
    </row>
    <row r="33" spans="1:5" x14ac:dyDescent="0.3">
      <c r="A33" s="17" t="s">
        <v>0</v>
      </c>
      <c r="B33" s="17" t="s">
        <v>34</v>
      </c>
      <c r="C33" s="17">
        <v>6</v>
      </c>
      <c r="D33" s="17">
        <v>5</v>
      </c>
      <c r="E33" s="17">
        <v>10</v>
      </c>
    </row>
    <row r="34" spans="1:5" x14ac:dyDescent="0.3">
      <c r="A34" s="17" t="s">
        <v>0</v>
      </c>
      <c r="B34" s="17" t="s">
        <v>60</v>
      </c>
      <c r="C34" s="17">
        <v>5</v>
      </c>
      <c r="D34" s="17">
        <v>5</v>
      </c>
      <c r="E34" s="17">
        <v>5</v>
      </c>
    </row>
    <row r="35" spans="1:5" x14ac:dyDescent="0.3">
      <c r="A35" s="17" t="s">
        <v>0</v>
      </c>
      <c r="B35" s="17" t="s">
        <v>1927</v>
      </c>
      <c r="C35" s="17">
        <v>5</v>
      </c>
      <c r="D35" s="17">
        <v>5</v>
      </c>
      <c r="E35" s="17">
        <v>5</v>
      </c>
    </row>
    <row r="36" spans="1:5" x14ac:dyDescent="0.3">
      <c r="A36" s="17" t="s">
        <v>0</v>
      </c>
      <c r="B36" s="17" t="s">
        <v>662</v>
      </c>
      <c r="C36" s="17">
        <v>5</v>
      </c>
      <c r="D36" s="17">
        <v>5</v>
      </c>
      <c r="E36" s="17">
        <v>5</v>
      </c>
    </row>
    <row r="37" spans="1:5" x14ac:dyDescent="0.3">
      <c r="A37" s="17" t="s">
        <v>0</v>
      </c>
      <c r="B37" s="17" t="s">
        <v>39</v>
      </c>
      <c r="C37" s="17">
        <v>6</v>
      </c>
      <c r="D37" s="17">
        <v>5</v>
      </c>
      <c r="E37" s="17">
        <v>8</v>
      </c>
    </row>
    <row r="38" spans="1:5" x14ac:dyDescent="0.3">
      <c r="A38" s="17" t="s">
        <v>2</v>
      </c>
      <c r="B38" s="17" t="s">
        <v>2075</v>
      </c>
      <c r="C38" s="17">
        <v>5</v>
      </c>
      <c r="D38" s="17">
        <v>5</v>
      </c>
      <c r="E38" s="17">
        <v>6</v>
      </c>
    </row>
    <row r="39" spans="1:5" x14ac:dyDescent="0.3">
      <c r="A39" s="17" t="s">
        <v>1</v>
      </c>
      <c r="B39" s="17" t="s">
        <v>273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2396</v>
      </c>
      <c r="C40" s="17">
        <v>9</v>
      </c>
      <c r="D40" s="17">
        <v>4</v>
      </c>
      <c r="E40" s="17">
        <v>10</v>
      </c>
    </row>
    <row r="41" spans="1:5" x14ac:dyDescent="0.3">
      <c r="A41" s="17" t="s">
        <v>1</v>
      </c>
      <c r="B41" s="17" t="s">
        <v>525</v>
      </c>
      <c r="C41" s="17">
        <v>4</v>
      </c>
      <c r="D41" s="17">
        <v>4</v>
      </c>
      <c r="E41" s="17">
        <v>6</v>
      </c>
    </row>
    <row r="42" spans="1:5" x14ac:dyDescent="0.3">
      <c r="A42" s="17" t="s">
        <v>1</v>
      </c>
      <c r="B42" s="17" t="s">
        <v>265</v>
      </c>
      <c r="C42" s="17">
        <v>4</v>
      </c>
      <c r="D42" s="17">
        <v>4</v>
      </c>
      <c r="E42" s="17">
        <v>5</v>
      </c>
    </row>
    <row r="43" spans="1:5" x14ac:dyDescent="0.3">
      <c r="A43" s="17" t="s">
        <v>1</v>
      </c>
      <c r="B43" s="17" t="s">
        <v>29</v>
      </c>
      <c r="C43" s="17">
        <v>4</v>
      </c>
      <c r="D43" s="17">
        <v>4</v>
      </c>
      <c r="E43" s="17">
        <v>4</v>
      </c>
    </row>
    <row r="44" spans="1:5" x14ac:dyDescent="0.3">
      <c r="A44" s="17" t="s">
        <v>1</v>
      </c>
      <c r="B44" s="17" t="s">
        <v>111</v>
      </c>
      <c r="C44" s="17">
        <v>4</v>
      </c>
      <c r="D44" s="17">
        <v>4</v>
      </c>
      <c r="E44" s="17">
        <v>5</v>
      </c>
    </row>
    <row r="45" spans="1:5" x14ac:dyDescent="0.3">
      <c r="A45" s="17" t="s">
        <v>1</v>
      </c>
      <c r="B45" s="17" t="s">
        <v>113</v>
      </c>
      <c r="C45" s="17">
        <v>7</v>
      </c>
      <c r="D45" s="17">
        <v>4</v>
      </c>
      <c r="E45" s="17">
        <v>11</v>
      </c>
    </row>
    <row r="46" spans="1:5" x14ac:dyDescent="0.3">
      <c r="A46" s="17" t="s">
        <v>1</v>
      </c>
      <c r="B46" s="17" t="s">
        <v>328</v>
      </c>
      <c r="C46" s="17">
        <v>5</v>
      </c>
      <c r="D46" s="17">
        <v>4</v>
      </c>
      <c r="E46" s="17">
        <v>5</v>
      </c>
    </row>
    <row r="47" spans="1:5" x14ac:dyDescent="0.3">
      <c r="A47" s="17" t="s">
        <v>1</v>
      </c>
      <c r="B47" s="17" t="s">
        <v>662</v>
      </c>
      <c r="C47" s="17">
        <v>6</v>
      </c>
      <c r="D47" s="17">
        <v>4</v>
      </c>
      <c r="E47" s="17">
        <v>8</v>
      </c>
    </row>
    <row r="48" spans="1:5" x14ac:dyDescent="0.3">
      <c r="A48" s="17" t="s">
        <v>1</v>
      </c>
      <c r="B48" s="17" t="s">
        <v>122</v>
      </c>
      <c r="C48" s="17">
        <v>5</v>
      </c>
      <c r="D48" s="17">
        <v>4</v>
      </c>
      <c r="E48" s="17">
        <v>7</v>
      </c>
    </row>
    <row r="49" spans="1:5" x14ac:dyDescent="0.3">
      <c r="A49" s="17" t="s">
        <v>1</v>
      </c>
      <c r="B49" s="17" t="s">
        <v>126</v>
      </c>
      <c r="C49" s="17">
        <v>5</v>
      </c>
      <c r="D49" s="17">
        <v>4</v>
      </c>
      <c r="E49" s="17">
        <v>5</v>
      </c>
    </row>
    <row r="50" spans="1:5" x14ac:dyDescent="0.3">
      <c r="A50" s="17" t="s">
        <v>1</v>
      </c>
      <c r="B50" s="17" t="s">
        <v>38</v>
      </c>
      <c r="C50" s="17">
        <v>4</v>
      </c>
      <c r="D50" s="17">
        <v>4</v>
      </c>
      <c r="E50" s="17">
        <v>4</v>
      </c>
    </row>
    <row r="51" spans="1:5" x14ac:dyDescent="0.3">
      <c r="A51" s="17" t="s">
        <v>1</v>
      </c>
      <c r="B51" s="17" t="s">
        <v>39</v>
      </c>
      <c r="C51" s="17">
        <v>18</v>
      </c>
      <c r="D51" s="17">
        <v>4</v>
      </c>
      <c r="E51" s="17">
        <v>37</v>
      </c>
    </row>
    <row r="52" spans="1:5" x14ac:dyDescent="0.3">
      <c r="A52" s="17" t="s">
        <v>0</v>
      </c>
      <c r="B52" s="17" t="s">
        <v>2940</v>
      </c>
      <c r="C52" s="17">
        <v>4</v>
      </c>
      <c r="D52" s="17">
        <v>4</v>
      </c>
      <c r="E52" s="17">
        <v>4</v>
      </c>
    </row>
    <row r="53" spans="1:5" x14ac:dyDescent="0.3">
      <c r="A53" s="17" t="s">
        <v>0</v>
      </c>
      <c r="B53" s="17" t="s">
        <v>45</v>
      </c>
      <c r="C53" s="17">
        <v>4</v>
      </c>
      <c r="D53" s="17">
        <v>4</v>
      </c>
      <c r="E53" s="17">
        <v>5</v>
      </c>
    </row>
    <row r="54" spans="1:5" x14ac:dyDescent="0.3">
      <c r="A54" s="17" t="s">
        <v>0</v>
      </c>
      <c r="B54" s="17" t="s">
        <v>37</v>
      </c>
      <c r="C54" s="17">
        <v>4</v>
      </c>
      <c r="D54" s="17">
        <v>4</v>
      </c>
      <c r="E54" s="17">
        <v>4</v>
      </c>
    </row>
    <row r="55" spans="1:5" x14ac:dyDescent="0.3">
      <c r="A55" s="17" t="s">
        <v>2</v>
      </c>
      <c r="B55" s="17" t="s">
        <v>1927</v>
      </c>
      <c r="C55" s="17">
        <v>4</v>
      </c>
      <c r="D55" s="17">
        <v>4</v>
      </c>
      <c r="E55" s="17">
        <v>5</v>
      </c>
    </row>
    <row r="56" spans="1:5" x14ac:dyDescent="0.3">
      <c r="A56" s="17" t="s">
        <v>1</v>
      </c>
      <c r="B56" s="17" t="s">
        <v>79</v>
      </c>
      <c r="C56" s="17">
        <v>4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315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151</v>
      </c>
      <c r="C58" s="17">
        <v>8</v>
      </c>
      <c r="D58" s="17">
        <v>3</v>
      </c>
      <c r="E58" s="17">
        <v>9</v>
      </c>
    </row>
    <row r="59" spans="1:5" x14ac:dyDescent="0.3">
      <c r="A59" s="17" t="s">
        <v>1</v>
      </c>
      <c r="B59" s="17" t="s">
        <v>60</v>
      </c>
      <c r="C59" s="17">
        <v>4</v>
      </c>
      <c r="D59" s="17">
        <v>3</v>
      </c>
      <c r="E59" s="17">
        <v>4</v>
      </c>
    </row>
    <row r="60" spans="1:5" x14ac:dyDescent="0.3">
      <c r="A60" s="17" t="s">
        <v>1</v>
      </c>
      <c r="B60" s="17" t="s">
        <v>42</v>
      </c>
      <c r="C60" s="17">
        <v>6</v>
      </c>
      <c r="D60" s="17">
        <v>3</v>
      </c>
      <c r="E60" s="17">
        <v>6</v>
      </c>
    </row>
    <row r="61" spans="1:5" x14ac:dyDescent="0.3">
      <c r="A61" s="17" t="s">
        <v>1</v>
      </c>
      <c r="B61" s="17" t="s">
        <v>2429</v>
      </c>
      <c r="C61" s="17">
        <v>4</v>
      </c>
      <c r="D61" s="17">
        <v>3</v>
      </c>
      <c r="E61" s="17">
        <v>4</v>
      </c>
    </row>
    <row r="62" spans="1:5" x14ac:dyDescent="0.3">
      <c r="A62" s="17" t="s">
        <v>1</v>
      </c>
      <c r="B62" s="17" t="s">
        <v>594</v>
      </c>
      <c r="C62" s="17">
        <v>3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371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117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681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259</v>
      </c>
      <c r="C66" s="17">
        <v>3</v>
      </c>
      <c r="D66" s="17">
        <v>3</v>
      </c>
      <c r="E66" s="17">
        <v>4</v>
      </c>
    </row>
    <row r="67" spans="1:5" x14ac:dyDescent="0.3">
      <c r="A67" s="17" t="s">
        <v>1</v>
      </c>
      <c r="B67" s="17" t="s">
        <v>2781</v>
      </c>
      <c r="C67" s="17">
        <v>3</v>
      </c>
      <c r="D67" s="17">
        <v>3</v>
      </c>
      <c r="E67" s="17">
        <v>3</v>
      </c>
    </row>
    <row r="68" spans="1:5" x14ac:dyDescent="0.3">
      <c r="A68" s="17" t="s">
        <v>1</v>
      </c>
      <c r="B68" s="17" t="s">
        <v>32</v>
      </c>
      <c r="C68" s="17">
        <v>8</v>
      </c>
      <c r="D68" s="17">
        <v>3</v>
      </c>
      <c r="E68" s="17">
        <v>13</v>
      </c>
    </row>
    <row r="69" spans="1:5" x14ac:dyDescent="0.3">
      <c r="A69" s="17" t="s">
        <v>0</v>
      </c>
      <c r="B69" s="17" t="s">
        <v>79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280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155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2396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113</v>
      </c>
      <c r="C73" s="17">
        <v>4</v>
      </c>
      <c r="D73" s="17">
        <v>3</v>
      </c>
      <c r="E73" s="17">
        <v>6</v>
      </c>
    </row>
    <row r="74" spans="1:5" x14ac:dyDescent="0.3">
      <c r="A74" s="17" t="s">
        <v>0</v>
      </c>
      <c r="B74" s="17" t="s">
        <v>124</v>
      </c>
      <c r="C74" s="17">
        <v>3</v>
      </c>
      <c r="D74" s="17">
        <v>3</v>
      </c>
      <c r="E74" s="17">
        <v>5</v>
      </c>
    </row>
    <row r="75" spans="1:5" x14ac:dyDescent="0.3">
      <c r="A75" s="17" t="s">
        <v>0</v>
      </c>
      <c r="B75" s="17" t="s">
        <v>182</v>
      </c>
      <c r="C75" s="17">
        <v>3</v>
      </c>
      <c r="D75" s="17">
        <v>3</v>
      </c>
      <c r="E75" s="17">
        <v>4</v>
      </c>
    </row>
    <row r="76" spans="1:5" x14ac:dyDescent="0.3">
      <c r="A76" s="17" t="s">
        <v>2</v>
      </c>
      <c r="B76" s="17" t="s">
        <v>609</v>
      </c>
      <c r="C76" s="17">
        <v>3</v>
      </c>
      <c r="D76" s="17">
        <v>3</v>
      </c>
      <c r="E76" s="17">
        <v>5</v>
      </c>
    </row>
    <row r="77" spans="1:5" x14ac:dyDescent="0.3">
      <c r="A77" s="17" t="s">
        <v>1</v>
      </c>
      <c r="B77" s="17" t="s">
        <v>47</v>
      </c>
      <c r="C77" s="17">
        <v>6</v>
      </c>
      <c r="D77" s="17">
        <v>2</v>
      </c>
      <c r="E77" s="17">
        <v>10</v>
      </c>
    </row>
    <row r="78" spans="1:5" x14ac:dyDescent="0.3">
      <c r="A78" s="17" t="s">
        <v>1</v>
      </c>
      <c r="B78" s="17" t="s">
        <v>203</v>
      </c>
      <c r="C78" s="17">
        <v>4</v>
      </c>
      <c r="D78" s="17">
        <v>2</v>
      </c>
      <c r="E78" s="17">
        <v>7</v>
      </c>
    </row>
    <row r="79" spans="1:5" x14ac:dyDescent="0.3">
      <c r="A79" s="17" t="s">
        <v>1</v>
      </c>
      <c r="B79" s="17" t="s">
        <v>244</v>
      </c>
      <c r="C79" s="17">
        <v>4</v>
      </c>
      <c r="D79" s="17">
        <v>2</v>
      </c>
      <c r="E79" s="17">
        <v>5</v>
      </c>
    </row>
    <row r="80" spans="1:5" x14ac:dyDescent="0.3">
      <c r="A80" s="17" t="s">
        <v>1</v>
      </c>
      <c r="B80" s="17" t="s">
        <v>384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433</v>
      </c>
      <c r="C81" s="17">
        <v>5</v>
      </c>
      <c r="D81" s="17">
        <v>2</v>
      </c>
      <c r="E81" s="17">
        <v>6</v>
      </c>
    </row>
    <row r="82" spans="1:5" x14ac:dyDescent="0.3">
      <c r="A82" s="17" t="s">
        <v>1</v>
      </c>
      <c r="B82" s="17" t="s">
        <v>59</v>
      </c>
      <c r="C82" s="17">
        <v>3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247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1846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860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267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213</v>
      </c>
      <c r="C87" s="17">
        <v>3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83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85</v>
      </c>
      <c r="C89" s="17">
        <v>4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218</v>
      </c>
      <c r="C90" s="17">
        <v>2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92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221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155</v>
      </c>
      <c r="C93" s="17">
        <v>6</v>
      </c>
      <c r="D93" s="17">
        <v>2</v>
      </c>
      <c r="E93" s="17">
        <v>7</v>
      </c>
    </row>
    <row r="94" spans="1:5" x14ac:dyDescent="0.3">
      <c r="A94" s="17" t="s">
        <v>1</v>
      </c>
      <c r="B94" s="17" t="s">
        <v>41</v>
      </c>
      <c r="C94" s="17">
        <v>4</v>
      </c>
      <c r="D94" s="17">
        <v>2</v>
      </c>
      <c r="E94" s="17">
        <v>5</v>
      </c>
    </row>
    <row r="95" spans="1:5" x14ac:dyDescent="0.3">
      <c r="A95" s="17" t="s">
        <v>1</v>
      </c>
      <c r="B95" s="17" t="s">
        <v>487</v>
      </c>
      <c r="C95" s="17">
        <v>8</v>
      </c>
      <c r="D95" s="17">
        <v>2</v>
      </c>
      <c r="E95" s="17">
        <v>13</v>
      </c>
    </row>
    <row r="96" spans="1:5" x14ac:dyDescent="0.3">
      <c r="A96" s="17" t="s">
        <v>1</v>
      </c>
      <c r="B96" s="17" t="s">
        <v>2599</v>
      </c>
      <c r="C96" s="17">
        <v>4</v>
      </c>
      <c r="D96" s="17">
        <v>2</v>
      </c>
      <c r="E96" s="17">
        <v>8</v>
      </c>
    </row>
    <row r="97" spans="1:5" x14ac:dyDescent="0.3">
      <c r="A97" s="17" t="s">
        <v>1</v>
      </c>
      <c r="B97" s="17" t="s">
        <v>2789</v>
      </c>
      <c r="C97" s="17">
        <v>13</v>
      </c>
      <c r="D97" s="17">
        <v>2</v>
      </c>
      <c r="E97" s="17">
        <v>18</v>
      </c>
    </row>
    <row r="98" spans="1:5" x14ac:dyDescent="0.3">
      <c r="A98" s="17" t="s">
        <v>1</v>
      </c>
      <c r="B98" s="17" t="s">
        <v>866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526</v>
      </c>
      <c r="C99" s="17">
        <v>3</v>
      </c>
      <c r="D99" s="17">
        <v>2</v>
      </c>
      <c r="E99" s="17">
        <v>5</v>
      </c>
    </row>
    <row r="100" spans="1:5" x14ac:dyDescent="0.3">
      <c r="A100" s="17" t="s">
        <v>1</v>
      </c>
      <c r="B100" s="17" t="s">
        <v>98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492</v>
      </c>
      <c r="C101" s="17">
        <v>3</v>
      </c>
      <c r="D101" s="17">
        <v>2</v>
      </c>
      <c r="E101" s="17">
        <v>3</v>
      </c>
    </row>
    <row r="102" spans="1:5" x14ac:dyDescent="0.3">
      <c r="A102" s="17" t="s">
        <v>1</v>
      </c>
      <c r="B102" s="17" t="s">
        <v>163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589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165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106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171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172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534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45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1094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2941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330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467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596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776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176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340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124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695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178</v>
      </c>
      <c r="C120" s="17">
        <v>4</v>
      </c>
      <c r="D120" s="17">
        <v>2</v>
      </c>
      <c r="E120" s="17">
        <v>4</v>
      </c>
    </row>
    <row r="121" spans="1:5" x14ac:dyDescent="0.3">
      <c r="A121" s="17" t="s">
        <v>1</v>
      </c>
      <c r="B121" s="17" t="s">
        <v>63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201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134</v>
      </c>
      <c r="C123" s="17">
        <v>3</v>
      </c>
      <c r="D123" s="17">
        <v>2</v>
      </c>
      <c r="E123" s="17">
        <v>3</v>
      </c>
    </row>
    <row r="124" spans="1:5" x14ac:dyDescent="0.3">
      <c r="A124" s="17" t="s">
        <v>1</v>
      </c>
      <c r="B124" s="17" t="s">
        <v>31</v>
      </c>
      <c r="C124" s="17">
        <v>3</v>
      </c>
      <c r="D124" s="17">
        <v>2</v>
      </c>
      <c r="E124" s="17">
        <v>3</v>
      </c>
    </row>
    <row r="125" spans="1:5" x14ac:dyDescent="0.3">
      <c r="A125" s="17" t="s">
        <v>1</v>
      </c>
      <c r="B125" s="17" t="s">
        <v>53</v>
      </c>
      <c r="C125" s="17">
        <v>4</v>
      </c>
      <c r="D125" s="17">
        <v>2</v>
      </c>
      <c r="E125" s="17">
        <v>4</v>
      </c>
    </row>
    <row r="126" spans="1:5" x14ac:dyDescent="0.3">
      <c r="A126" s="17" t="s">
        <v>1</v>
      </c>
      <c r="B126" s="17" t="s">
        <v>263</v>
      </c>
      <c r="C126" s="17">
        <v>3</v>
      </c>
      <c r="D126" s="17">
        <v>2</v>
      </c>
      <c r="E126" s="17">
        <v>3</v>
      </c>
    </row>
    <row r="127" spans="1:5" x14ac:dyDescent="0.3">
      <c r="A127" s="17" t="s">
        <v>1</v>
      </c>
      <c r="B127" s="17" t="s">
        <v>376</v>
      </c>
      <c r="C127" s="17">
        <v>5</v>
      </c>
      <c r="D127" s="17">
        <v>2</v>
      </c>
      <c r="E127" s="17">
        <v>10</v>
      </c>
    </row>
    <row r="128" spans="1:5" x14ac:dyDescent="0.3">
      <c r="A128" s="17" t="s">
        <v>1</v>
      </c>
      <c r="B128" s="17" t="s">
        <v>68</v>
      </c>
      <c r="C128" s="17">
        <v>3</v>
      </c>
      <c r="D128" s="17">
        <v>2</v>
      </c>
      <c r="E128" s="17">
        <v>4</v>
      </c>
    </row>
    <row r="129" spans="1:5" x14ac:dyDescent="0.3">
      <c r="A129" s="17" t="s">
        <v>1</v>
      </c>
      <c r="B129" s="17" t="s">
        <v>54</v>
      </c>
      <c r="C129" s="17">
        <v>7</v>
      </c>
      <c r="D129" s="17">
        <v>2</v>
      </c>
      <c r="E129" s="17">
        <v>9</v>
      </c>
    </row>
    <row r="130" spans="1:5" x14ac:dyDescent="0.3">
      <c r="A130" s="17" t="s">
        <v>1</v>
      </c>
      <c r="B130" s="17" t="s">
        <v>1519</v>
      </c>
      <c r="C130" s="17">
        <v>2</v>
      </c>
      <c r="D130" s="17">
        <v>3</v>
      </c>
      <c r="E130" s="17"/>
    </row>
    <row r="131" spans="1:5" x14ac:dyDescent="0.3">
      <c r="A131" s="17" t="s">
        <v>1</v>
      </c>
      <c r="B131" s="17" t="s">
        <v>2942</v>
      </c>
      <c r="C131" s="17">
        <v>2</v>
      </c>
      <c r="D131" s="17">
        <v>4</v>
      </c>
      <c r="E131" s="17"/>
    </row>
    <row r="132" spans="1:5" x14ac:dyDescent="0.3">
      <c r="A132" s="17" t="s">
        <v>1</v>
      </c>
      <c r="B132" s="17" t="s">
        <v>850</v>
      </c>
      <c r="C132" s="17">
        <v>3</v>
      </c>
      <c r="D132" s="17">
        <v>2</v>
      </c>
      <c r="E132" s="17">
        <v>4</v>
      </c>
    </row>
    <row r="133" spans="1:5" x14ac:dyDescent="0.3">
      <c r="A133" s="17" t="s">
        <v>1</v>
      </c>
      <c r="B133" s="17" t="s">
        <v>2317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1</v>
      </c>
      <c r="B134" s="17" t="s">
        <v>1213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1</v>
      </c>
      <c r="B135" s="17" t="s">
        <v>677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33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272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517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1314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40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89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281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2429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2599</v>
      </c>
      <c r="C144" s="17">
        <v>3</v>
      </c>
      <c r="D144" s="17">
        <v>2</v>
      </c>
      <c r="E144" s="17">
        <v>3</v>
      </c>
    </row>
    <row r="145" spans="1:5" x14ac:dyDescent="0.3">
      <c r="A145" s="17" t="s">
        <v>0</v>
      </c>
      <c r="B145" s="17" t="s">
        <v>526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35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1479</v>
      </c>
      <c r="C147" s="17">
        <v>2</v>
      </c>
      <c r="D147" s="17">
        <v>2</v>
      </c>
      <c r="E147" s="17">
        <v>3</v>
      </c>
    </row>
    <row r="148" spans="1:5" x14ac:dyDescent="0.3">
      <c r="A148" s="17" t="s">
        <v>0</v>
      </c>
      <c r="B148" s="17" t="s">
        <v>265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163</v>
      </c>
      <c r="C149" s="17">
        <v>2</v>
      </c>
      <c r="D149" s="17">
        <v>2</v>
      </c>
      <c r="E149" s="17">
        <v>3</v>
      </c>
    </row>
    <row r="150" spans="1:5" x14ac:dyDescent="0.3">
      <c r="A150" s="17" t="s">
        <v>0</v>
      </c>
      <c r="B150" s="17" t="s">
        <v>165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107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168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872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534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594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326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597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186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0</v>
      </c>
      <c r="B159" s="17" t="s">
        <v>1246</v>
      </c>
      <c r="C159" s="17">
        <v>3</v>
      </c>
      <c r="D159" s="17">
        <v>2</v>
      </c>
      <c r="E159" s="17">
        <v>3</v>
      </c>
    </row>
    <row r="160" spans="1:5" x14ac:dyDescent="0.3">
      <c r="A160" s="17" t="s">
        <v>0</v>
      </c>
      <c r="B160" s="17" t="s">
        <v>192</v>
      </c>
      <c r="C160" s="17">
        <v>3</v>
      </c>
      <c r="D160" s="17">
        <v>2</v>
      </c>
      <c r="E160" s="17">
        <v>4</v>
      </c>
    </row>
    <row r="161" spans="1:5" x14ac:dyDescent="0.3">
      <c r="A161" s="17" t="s">
        <v>0</v>
      </c>
      <c r="B161" s="17" t="s">
        <v>305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0</v>
      </c>
      <c r="B162" s="17" t="s">
        <v>194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2</v>
      </c>
      <c r="B163" s="17" t="s">
        <v>48</v>
      </c>
      <c r="C163" s="17">
        <v>2</v>
      </c>
      <c r="D163" s="17">
        <v>2</v>
      </c>
      <c r="E163" s="17">
        <v>2</v>
      </c>
    </row>
    <row r="164" spans="1:5" x14ac:dyDescent="0.3">
      <c r="A164" s="17" t="s">
        <v>2</v>
      </c>
      <c r="B164" s="17" t="s">
        <v>872</v>
      </c>
      <c r="C164" s="17">
        <v>2</v>
      </c>
      <c r="D164" s="17">
        <v>2</v>
      </c>
      <c r="E164" s="17">
        <v>2</v>
      </c>
    </row>
    <row r="165" spans="1:5" x14ac:dyDescent="0.3">
      <c r="A165" s="17" t="s">
        <v>2</v>
      </c>
      <c r="B165" s="17" t="s">
        <v>51</v>
      </c>
      <c r="C165" s="17">
        <v>2</v>
      </c>
      <c r="D165" s="17">
        <v>2</v>
      </c>
      <c r="E165" s="17">
        <v>3</v>
      </c>
    </row>
    <row r="166" spans="1:5" x14ac:dyDescent="0.3">
      <c r="A166" s="17" t="s">
        <v>2</v>
      </c>
      <c r="B166" s="17" t="s">
        <v>328</v>
      </c>
      <c r="C166" s="17">
        <v>2</v>
      </c>
      <c r="D166" s="17">
        <v>2</v>
      </c>
      <c r="E166" s="17">
        <v>4</v>
      </c>
    </row>
    <row r="167" spans="1:5" x14ac:dyDescent="0.3">
      <c r="A167" s="17" t="s">
        <v>1</v>
      </c>
      <c r="B167" s="17" t="s">
        <v>202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389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984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242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504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243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379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2116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391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929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478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507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613</v>
      </c>
      <c r="C179" s="17">
        <v>3</v>
      </c>
      <c r="D179" s="17">
        <v>1</v>
      </c>
      <c r="E179" s="17">
        <v>3</v>
      </c>
    </row>
    <row r="180" spans="1:5" x14ac:dyDescent="0.3">
      <c r="A180" s="17" t="s">
        <v>1</v>
      </c>
      <c r="B180" s="17" t="s">
        <v>73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75</v>
      </c>
      <c r="C181" s="17">
        <v>8</v>
      </c>
      <c r="D181" s="17">
        <v>1</v>
      </c>
      <c r="E181" s="17">
        <v>15</v>
      </c>
    </row>
    <row r="182" spans="1:5" x14ac:dyDescent="0.3">
      <c r="A182" s="17" t="s">
        <v>1</v>
      </c>
      <c r="B182" s="17" t="s">
        <v>618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705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272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209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394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2943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1335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1336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357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517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1867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859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990</v>
      </c>
      <c r="C194" s="17">
        <v>2</v>
      </c>
      <c r="D194" s="17">
        <v>1</v>
      </c>
      <c r="E194" s="17">
        <v>6</v>
      </c>
    </row>
    <row r="195" spans="1:5" x14ac:dyDescent="0.3">
      <c r="A195" s="17" t="s">
        <v>1</v>
      </c>
      <c r="B195" s="17" t="s">
        <v>212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583</v>
      </c>
      <c r="C196" s="17">
        <v>3</v>
      </c>
      <c r="D196" s="17">
        <v>1</v>
      </c>
      <c r="E196" s="17">
        <v>3</v>
      </c>
    </row>
    <row r="197" spans="1:5" x14ac:dyDescent="0.3">
      <c r="A197" s="17" t="s">
        <v>1</v>
      </c>
      <c r="B197" s="17" t="s">
        <v>82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396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314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841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148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84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519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1535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937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88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1964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634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153</v>
      </c>
      <c r="C209" s="17">
        <v>4</v>
      </c>
      <c r="D209" s="17">
        <v>1</v>
      </c>
      <c r="E209" s="17">
        <v>4</v>
      </c>
    </row>
    <row r="210" spans="1:5" x14ac:dyDescent="0.3">
      <c r="A210" s="17" t="s">
        <v>1</v>
      </c>
      <c r="B210" s="17" t="s">
        <v>1257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1062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851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93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154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941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692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522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367</v>
      </c>
      <c r="C218" s="17">
        <v>2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157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95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96</v>
      </c>
      <c r="C221" s="17">
        <v>5</v>
      </c>
      <c r="D221" s="17">
        <v>1</v>
      </c>
      <c r="E221" s="17">
        <v>5</v>
      </c>
    </row>
    <row r="222" spans="1:5" x14ac:dyDescent="0.3">
      <c r="A222" s="17" t="s">
        <v>1</v>
      </c>
      <c r="B222" s="17" t="s">
        <v>686</v>
      </c>
      <c r="C222" s="17">
        <v>4</v>
      </c>
      <c r="D222" s="17">
        <v>1</v>
      </c>
      <c r="E222" s="17">
        <v>6</v>
      </c>
    </row>
    <row r="223" spans="1:5" x14ac:dyDescent="0.3">
      <c r="A223" s="17" t="s">
        <v>1</v>
      </c>
      <c r="B223" s="17" t="s">
        <v>1141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909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1662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1683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1711</v>
      </c>
      <c r="C227" s="17">
        <v>2</v>
      </c>
      <c r="D227" s="17">
        <v>1</v>
      </c>
      <c r="E227" s="17">
        <v>2</v>
      </c>
    </row>
    <row r="228" spans="1:5" x14ac:dyDescent="0.3">
      <c r="A228" s="17" t="s">
        <v>1</v>
      </c>
      <c r="B228" s="17" t="s">
        <v>1775</v>
      </c>
      <c r="C228" s="17">
        <v>1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1820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1854</v>
      </c>
      <c r="C230" s="17">
        <v>5</v>
      </c>
      <c r="D230" s="17">
        <v>1</v>
      </c>
      <c r="E230" s="17">
        <v>6</v>
      </c>
    </row>
    <row r="231" spans="1:5" x14ac:dyDescent="0.3">
      <c r="A231" s="17" t="s">
        <v>1</v>
      </c>
      <c r="B231" s="17" t="s">
        <v>1897</v>
      </c>
      <c r="C231" s="17">
        <v>3</v>
      </c>
      <c r="D231" s="17">
        <v>1</v>
      </c>
      <c r="E231" s="17">
        <v>3</v>
      </c>
    </row>
    <row r="232" spans="1:5" x14ac:dyDescent="0.3">
      <c r="A232" s="17" t="s">
        <v>1</v>
      </c>
      <c r="B232" s="17" t="s">
        <v>1912</v>
      </c>
      <c r="C232" s="17">
        <v>5</v>
      </c>
      <c r="D232" s="17">
        <v>1</v>
      </c>
      <c r="E232" s="17">
        <v>5</v>
      </c>
    </row>
    <row r="233" spans="1:5" x14ac:dyDescent="0.3">
      <c r="A233" s="17" t="s">
        <v>1</v>
      </c>
      <c r="B233" s="17" t="s">
        <v>2362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2400</v>
      </c>
      <c r="C234" s="17">
        <v>2</v>
      </c>
      <c r="D234" s="17">
        <v>1</v>
      </c>
      <c r="E234" s="17">
        <v>2</v>
      </c>
    </row>
    <row r="235" spans="1:5" x14ac:dyDescent="0.3">
      <c r="A235" s="17" t="s">
        <v>1</v>
      </c>
      <c r="B235" s="17" t="s">
        <v>2612</v>
      </c>
      <c r="C235" s="17">
        <v>1</v>
      </c>
      <c r="D235" s="17">
        <v>1</v>
      </c>
      <c r="E235" s="17"/>
    </row>
    <row r="236" spans="1:5" x14ac:dyDescent="0.3">
      <c r="A236" s="17" t="s">
        <v>1</v>
      </c>
      <c r="B236" s="17" t="s">
        <v>2441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2395</v>
      </c>
      <c r="C237" s="17">
        <v>9</v>
      </c>
      <c r="D237" s="17">
        <v>1</v>
      </c>
      <c r="E237" s="17">
        <v>10</v>
      </c>
    </row>
    <row r="238" spans="1:5" x14ac:dyDescent="0.3">
      <c r="A238" s="17" t="s">
        <v>1</v>
      </c>
      <c r="B238" s="17" t="s">
        <v>2616</v>
      </c>
      <c r="C238" s="17">
        <v>6</v>
      </c>
      <c r="D238" s="17">
        <v>1</v>
      </c>
      <c r="E238" s="17">
        <v>7</v>
      </c>
    </row>
    <row r="239" spans="1:5" x14ac:dyDescent="0.3">
      <c r="A239" s="17" t="s">
        <v>1</v>
      </c>
      <c r="B239" s="17" t="s">
        <v>2705</v>
      </c>
      <c r="C239" s="17">
        <v>5</v>
      </c>
      <c r="D239" s="17">
        <v>1</v>
      </c>
      <c r="E239" s="17">
        <v>6</v>
      </c>
    </row>
    <row r="240" spans="1:5" x14ac:dyDescent="0.3">
      <c r="A240" s="17" t="s">
        <v>1</v>
      </c>
      <c r="B240" s="17" t="s">
        <v>2944</v>
      </c>
      <c r="C240" s="17">
        <v>2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158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1285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1167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524</v>
      </c>
      <c r="C244" s="17">
        <v>2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1868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399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585</v>
      </c>
      <c r="C247" s="17">
        <v>2</v>
      </c>
      <c r="D247" s="17">
        <v>1</v>
      </c>
      <c r="E247" s="17">
        <v>3</v>
      </c>
    </row>
    <row r="248" spans="1:5" x14ac:dyDescent="0.3">
      <c r="A248" s="17" t="s">
        <v>1</v>
      </c>
      <c r="B248" s="17" t="s">
        <v>401</v>
      </c>
      <c r="C248" s="17">
        <v>2</v>
      </c>
      <c r="D248" s="17">
        <v>1</v>
      </c>
      <c r="E248" s="17">
        <v>2</v>
      </c>
    </row>
    <row r="249" spans="1:5" x14ac:dyDescent="0.3">
      <c r="A249" s="17" t="s">
        <v>1</v>
      </c>
      <c r="B249" s="17" t="s">
        <v>49</v>
      </c>
      <c r="C249" s="17">
        <v>1</v>
      </c>
      <c r="D249" s="17">
        <v>1</v>
      </c>
      <c r="E249" s="17">
        <v>3</v>
      </c>
    </row>
    <row r="250" spans="1:5" x14ac:dyDescent="0.3">
      <c r="A250" s="17" t="s">
        <v>1</v>
      </c>
      <c r="B250" s="17" t="s">
        <v>1286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1103</v>
      </c>
      <c r="C251" s="17">
        <v>2</v>
      </c>
      <c r="D251" s="17">
        <v>1</v>
      </c>
      <c r="E251" s="17">
        <v>3</v>
      </c>
    </row>
    <row r="252" spans="1:5" x14ac:dyDescent="0.3">
      <c r="A252" s="17" t="s">
        <v>1</v>
      </c>
      <c r="B252" s="17" t="s">
        <v>1806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35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1491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1066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527</v>
      </c>
      <c r="C256" s="17">
        <v>2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2257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2617</v>
      </c>
      <c r="C258" s="17">
        <v>1</v>
      </c>
      <c r="D258" s="17">
        <v>1</v>
      </c>
      <c r="E258" s="17">
        <v>3</v>
      </c>
    </row>
    <row r="259" spans="1:5" x14ac:dyDescent="0.3">
      <c r="A259" s="17" t="s">
        <v>1</v>
      </c>
      <c r="B259" s="17" t="s">
        <v>715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840</v>
      </c>
      <c r="C260" s="17">
        <v>2</v>
      </c>
      <c r="D260" s="17">
        <v>1</v>
      </c>
      <c r="E260" s="17">
        <v>5</v>
      </c>
    </row>
    <row r="261" spans="1:5" x14ac:dyDescent="0.3">
      <c r="A261" s="17" t="s">
        <v>1</v>
      </c>
      <c r="B261" s="17" t="s">
        <v>1105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973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403</v>
      </c>
      <c r="C263" s="17">
        <v>2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1898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1810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2870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997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998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2903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104</v>
      </c>
      <c r="C270" s="17">
        <v>2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1260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1921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321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1523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1343</v>
      </c>
      <c r="C275" s="17">
        <v>1</v>
      </c>
      <c r="D275" s="17">
        <v>1</v>
      </c>
      <c r="E275" s="17">
        <v>3</v>
      </c>
    </row>
    <row r="276" spans="1:5" x14ac:dyDescent="0.3">
      <c r="A276" s="17" t="s">
        <v>1</v>
      </c>
      <c r="B276" s="17" t="s">
        <v>772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1182</v>
      </c>
      <c r="C277" s="17">
        <v>3</v>
      </c>
      <c r="D277" s="17">
        <v>1</v>
      </c>
      <c r="E277" s="17">
        <v>3</v>
      </c>
    </row>
    <row r="278" spans="1:5" x14ac:dyDescent="0.3">
      <c r="A278" s="17" t="s">
        <v>1</v>
      </c>
      <c r="B278" s="17" t="s">
        <v>2945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168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1817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442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1698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914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1443</v>
      </c>
      <c r="C284" s="17">
        <v>1</v>
      </c>
      <c r="D284" s="17">
        <v>1</v>
      </c>
      <c r="E284" s="17">
        <v>3</v>
      </c>
    </row>
    <row r="285" spans="1:5" x14ac:dyDescent="0.3">
      <c r="A285" s="17" t="s">
        <v>1</v>
      </c>
      <c r="B285" s="17" t="s">
        <v>109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646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1001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1709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2009</v>
      </c>
      <c r="C289" s="17">
        <v>2</v>
      </c>
      <c r="D289" s="17">
        <v>1</v>
      </c>
      <c r="E289" s="17">
        <v>2</v>
      </c>
    </row>
    <row r="290" spans="1:5" x14ac:dyDescent="0.3">
      <c r="A290" s="17" t="s">
        <v>1</v>
      </c>
      <c r="B290" s="17" t="s">
        <v>169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1489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488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1003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1184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1464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291</v>
      </c>
      <c r="C296" s="17">
        <v>2</v>
      </c>
      <c r="D296" s="17">
        <v>1</v>
      </c>
      <c r="E296" s="17">
        <v>2</v>
      </c>
    </row>
    <row r="297" spans="1:5" x14ac:dyDescent="0.3">
      <c r="A297" s="17" t="s">
        <v>1</v>
      </c>
      <c r="B297" s="17" t="s">
        <v>1149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410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2001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538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1526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1345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1196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2182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539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540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2532</v>
      </c>
      <c r="C307" s="17">
        <v>1</v>
      </c>
      <c r="D307" s="17">
        <v>1</v>
      </c>
      <c r="E307" s="17">
        <v>3</v>
      </c>
    </row>
    <row r="308" spans="1:5" x14ac:dyDescent="0.3">
      <c r="A308" s="17" t="s">
        <v>1</v>
      </c>
      <c r="B308" s="17" t="s">
        <v>2946</v>
      </c>
      <c r="C308" s="17">
        <v>1</v>
      </c>
      <c r="D308" s="17">
        <v>1</v>
      </c>
      <c r="E308" s="17">
        <v>2</v>
      </c>
    </row>
    <row r="309" spans="1:5" x14ac:dyDescent="0.3">
      <c r="A309" s="17" t="s">
        <v>1</v>
      </c>
      <c r="B309" s="17" t="s">
        <v>1170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1916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331</v>
      </c>
      <c r="C311" s="17">
        <v>3</v>
      </c>
      <c r="D311" s="17">
        <v>1</v>
      </c>
      <c r="E311" s="17">
        <v>3</v>
      </c>
    </row>
    <row r="312" spans="1:5" x14ac:dyDescent="0.3">
      <c r="A312" s="17" t="s">
        <v>1</v>
      </c>
      <c r="B312" s="17" t="s">
        <v>726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385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1378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1617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607</v>
      </c>
      <c r="C316" s="17">
        <v>3</v>
      </c>
      <c r="D316" s="17">
        <v>1</v>
      </c>
      <c r="E316" s="17">
        <v>3</v>
      </c>
    </row>
    <row r="317" spans="1:5" x14ac:dyDescent="0.3">
      <c r="A317" s="17" t="s">
        <v>1</v>
      </c>
      <c r="B317" s="17" t="s">
        <v>550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1738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414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415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1010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1395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1110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2581</v>
      </c>
      <c r="C324" s="17">
        <v>1</v>
      </c>
      <c r="D324" s="17">
        <v>1</v>
      </c>
      <c r="E324" s="17">
        <v>3</v>
      </c>
    </row>
    <row r="325" spans="1:5" x14ac:dyDescent="0.3">
      <c r="A325" s="17" t="s">
        <v>1</v>
      </c>
      <c r="B325" s="17" t="s">
        <v>955</v>
      </c>
      <c r="C325" s="17">
        <v>1</v>
      </c>
      <c r="D325" s="17">
        <v>1</v>
      </c>
      <c r="E325" s="17">
        <v>2</v>
      </c>
    </row>
    <row r="326" spans="1:5" x14ac:dyDescent="0.3">
      <c r="A326" s="17" t="s">
        <v>1</v>
      </c>
      <c r="B326" s="17" t="s">
        <v>887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1161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299</v>
      </c>
      <c r="C328" s="17">
        <v>1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495</v>
      </c>
      <c r="C329" s="17">
        <v>2</v>
      </c>
      <c r="D329" s="17">
        <v>1</v>
      </c>
      <c r="E329" s="17">
        <v>2</v>
      </c>
    </row>
    <row r="330" spans="1:5" x14ac:dyDescent="0.3">
      <c r="A330" s="17" t="s">
        <v>1</v>
      </c>
      <c r="B330" s="17" t="s">
        <v>1233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1433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1264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958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343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120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121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688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123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46</v>
      </c>
      <c r="C339" s="17">
        <v>1</v>
      </c>
      <c r="D339" s="17">
        <v>1</v>
      </c>
      <c r="E339" s="17">
        <v>2</v>
      </c>
    </row>
    <row r="340" spans="1:5" x14ac:dyDescent="0.3">
      <c r="A340" s="17" t="s">
        <v>1</v>
      </c>
      <c r="B340" s="17" t="s">
        <v>125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689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554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1014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1355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555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419</v>
      </c>
      <c r="C346" s="17">
        <v>2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1324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740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346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791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1813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2947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421</v>
      </c>
      <c r="C353" s="17">
        <v>2</v>
      </c>
      <c r="D353" s="17">
        <v>1</v>
      </c>
      <c r="E353" s="17">
        <v>2</v>
      </c>
    </row>
    <row r="354" spans="1:5" x14ac:dyDescent="0.3">
      <c r="A354" s="17" t="s">
        <v>1</v>
      </c>
      <c r="B354" s="17" t="s">
        <v>422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2887</v>
      </c>
      <c r="C355" s="17">
        <v>1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2162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1015</v>
      </c>
      <c r="C357" s="17">
        <v>1</v>
      </c>
      <c r="D357" s="17">
        <v>1</v>
      </c>
      <c r="E357" s="17">
        <v>2</v>
      </c>
    </row>
    <row r="358" spans="1:5" x14ac:dyDescent="0.3">
      <c r="A358" s="17" t="s">
        <v>1</v>
      </c>
      <c r="B358" s="17" t="s">
        <v>1513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697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746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2382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896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2626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2948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1780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1020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897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750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1559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699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561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2453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429</v>
      </c>
      <c r="C373" s="17">
        <v>2</v>
      </c>
      <c r="D373" s="17">
        <v>1</v>
      </c>
      <c r="E373" s="17">
        <v>4</v>
      </c>
    </row>
    <row r="374" spans="1:5" x14ac:dyDescent="0.3">
      <c r="A374" s="17" t="s">
        <v>1</v>
      </c>
      <c r="B374" s="17" t="s">
        <v>563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2949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52</v>
      </c>
      <c r="C376" s="17">
        <v>6</v>
      </c>
      <c r="D376" s="17">
        <v>1</v>
      </c>
      <c r="E376" s="17">
        <v>6</v>
      </c>
    </row>
    <row r="377" spans="1:5" x14ac:dyDescent="0.3">
      <c r="A377" s="17" t="s">
        <v>1</v>
      </c>
      <c r="B377" s="17" t="s">
        <v>128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1502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1640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496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1134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133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191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1096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499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565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192</v>
      </c>
      <c r="C387" s="17">
        <v>2</v>
      </c>
      <c r="D387" s="17">
        <v>1</v>
      </c>
      <c r="E387" s="17">
        <v>2</v>
      </c>
    </row>
    <row r="388" spans="1:5" x14ac:dyDescent="0.3">
      <c r="A388" s="17" t="s">
        <v>1</v>
      </c>
      <c r="B388" s="17" t="s">
        <v>1595</v>
      </c>
      <c r="C388" s="17">
        <v>2</v>
      </c>
      <c r="D388" s="17">
        <v>1</v>
      </c>
      <c r="E388" s="17">
        <v>2</v>
      </c>
    </row>
    <row r="389" spans="1:5" x14ac:dyDescent="0.3">
      <c r="A389" s="17" t="s">
        <v>1</v>
      </c>
      <c r="B389" s="17" t="s">
        <v>1669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1327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842</v>
      </c>
      <c r="C391" s="17">
        <v>2</v>
      </c>
      <c r="D391" s="17">
        <v>1</v>
      </c>
      <c r="E391" s="17">
        <v>2</v>
      </c>
    </row>
    <row r="392" spans="1:5" x14ac:dyDescent="0.3">
      <c r="A392" s="17" t="s">
        <v>1</v>
      </c>
      <c r="B392" s="17" t="s">
        <v>500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828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194</v>
      </c>
      <c r="C394" s="17">
        <v>2</v>
      </c>
      <c r="D394" s="17">
        <v>1</v>
      </c>
      <c r="E394" s="17">
        <v>2</v>
      </c>
    </row>
    <row r="395" spans="1:5" x14ac:dyDescent="0.3">
      <c r="A395" s="17" t="s">
        <v>1</v>
      </c>
      <c r="B395" s="17" t="s">
        <v>195</v>
      </c>
      <c r="C395" s="17">
        <v>5</v>
      </c>
      <c r="D395" s="17">
        <v>1</v>
      </c>
      <c r="E395" s="17">
        <v>6</v>
      </c>
    </row>
    <row r="396" spans="1:5" x14ac:dyDescent="0.3">
      <c r="A396" s="17" t="s">
        <v>1</v>
      </c>
      <c r="B396" s="17" t="s">
        <v>67</v>
      </c>
      <c r="C396" s="17">
        <v>3</v>
      </c>
      <c r="D396" s="17">
        <v>1</v>
      </c>
      <c r="E396" s="17">
        <v>4</v>
      </c>
    </row>
    <row r="397" spans="1:5" x14ac:dyDescent="0.3">
      <c r="A397" s="17" t="s">
        <v>1</v>
      </c>
      <c r="B397" s="17" t="s">
        <v>56</v>
      </c>
      <c r="C397" s="17">
        <v>3</v>
      </c>
      <c r="D397" s="17">
        <v>1</v>
      </c>
      <c r="E397" s="17">
        <v>3</v>
      </c>
    </row>
    <row r="398" spans="1:5" x14ac:dyDescent="0.3">
      <c r="A398" s="17" t="s">
        <v>1</v>
      </c>
      <c r="B398" s="17" t="s">
        <v>1987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2950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922</v>
      </c>
      <c r="C400" s="17">
        <v>1</v>
      </c>
      <c r="D400" s="17">
        <v>3</v>
      </c>
      <c r="E400" s="17"/>
    </row>
    <row r="401" spans="1:5" x14ac:dyDescent="0.3">
      <c r="A401" s="17" t="s">
        <v>1</v>
      </c>
      <c r="B401" s="17" t="s">
        <v>2606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2951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789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2952</v>
      </c>
      <c r="C404" s="17">
        <v>1</v>
      </c>
      <c r="D404" s="17">
        <v>1</v>
      </c>
      <c r="E404" s="17"/>
    </row>
    <row r="405" spans="1:5" x14ac:dyDescent="0.3">
      <c r="A405" s="17" t="s">
        <v>1</v>
      </c>
      <c r="B405" s="17" t="s">
        <v>1404</v>
      </c>
      <c r="C405" s="17">
        <v>2</v>
      </c>
      <c r="D405" s="17">
        <v>1</v>
      </c>
      <c r="E405" s="17">
        <v>2</v>
      </c>
    </row>
    <row r="406" spans="1:5" x14ac:dyDescent="0.3">
      <c r="A406" s="17" t="s">
        <v>1</v>
      </c>
      <c r="B406" s="17" t="s">
        <v>2953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1</v>
      </c>
      <c r="B407" s="17" t="s">
        <v>1592</v>
      </c>
      <c r="C407" s="17">
        <v>1</v>
      </c>
      <c r="D407" s="17">
        <v>1</v>
      </c>
      <c r="E407" s="17"/>
    </row>
    <row r="408" spans="1:5" x14ac:dyDescent="0.3">
      <c r="A408" s="17" t="s">
        <v>1</v>
      </c>
      <c r="B408" s="17" t="s">
        <v>139</v>
      </c>
      <c r="C408" s="17">
        <v>1</v>
      </c>
      <c r="D408" s="17">
        <v>6</v>
      </c>
      <c r="E408" s="17"/>
    </row>
    <row r="409" spans="1:5" x14ac:dyDescent="0.3">
      <c r="A409" s="17" t="s">
        <v>1</v>
      </c>
      <c r="B409" s="17" t="s">
        <v>2954</v>
      </c>
      <c r="C409" s="17">
        <v>1</v>
      </c>
      <c r="D409" s="17">
        <v>1</v>
      </c>
      <c r="E409" s="17"/>
    </row>
    <row r="410" spans="1:5" x14ac:dyDescent="0.3">
      <c r="A410" s="17" t="s">
        <v>1</v>
      </c>
      <c r="B410" s="17" t="s">
        <v>760</v>
      </c>
      <c r="C410" s="17">
        <v>1</v>
      </c>
      <c r="D410" s="17">
        <v>1</v>
      </c>
      <c r="E410" s="17">
        <v>2</v>
      </c>
    </row>
    <row r="411" spans="1:5" x14ac:dyDescent="0.3">
      <c r="A411" s="17" t="s">
        <v>1</v>
      </c>
      <c r="B411" s="17" t="s">
        <v>2095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1910</v>
      </c>
      <c r="C412" s="17">
        <v>1</v>
      </c>
      <c r="D412" s="17">
        <v>1</v>
      </c>
      <c r="E412" s="17"/>
    </row>
    <row r="413" spans="1:5" x14ac:dyDescent="0.3">
      <c r="A413" s="17" t="s">
        <v>1</v>
      </c>
      <c r="B413" s="17" t="s">
        <v>2146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1</v>
      </c>
      <c r="B414" s="17" t="s">
        <v>833</v>
      </c>
      <c r="C414" s="17">
        <v>1</v>
      </c>
      <c r="D414" s="17">
        <v>1</v>
      </c>
      <c r="E414" s="17"/>
    </row>
    <row r="415" spans="1:5" x14ac:dyDescent="0.3">
      <c r="A415" s="17" t="s">
        <v>0</v>
      </c>
      <c r="B415" s="17" t="s">
        <v>1214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503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478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312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579</v>
      </c>
      <c r="C419" s="17">
        <v>2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384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792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48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793</v>
      </c>
      <c r="C423" s="17">
        <v>1</v>
      </c>
      <c r="D423" s="17">
        <v>1</v>
      </c>
      <c r="E423" s="17">
        <v>2</v>
      </c>
    </row>
    <row r="424" spans="1:5" x14ac:dyDescent="0.3">
      <c r="A424" s="17" t="s">
        <v>0</v>
      </c>
      <c r="B424" s="17" t="s">
        <v>58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393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313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906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247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907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82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396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314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1702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462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315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215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1140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316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149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88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151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152</v>
      </c>
      <c r="C442" s="17">
        <v>2</v>
      </c>
      <c r="D442" s="17">
        <v>1</v>
      </c>
      <c r="E442" s="17">
        <v>2</v>
      </c>
    </row>
    <row r="443" spans="1:5" x14ac:dyDescent="0.3">
      <c r="A443" s="17" t="s">
        <v>0</v>
      </c>
      <c r="B443" s="17" t="s">
        <v>154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156</v>
      </c>
      <c r="C444" s="17">
        <v>2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487</v>
      </c>
      <c r="C445" s="17">
        <v>2</v>
      </c>
      <c r="D445" s="17">
        <v>1</v>
      </c>
      <c r="E445" s="17">
        <v>2</v>
      </c>
    </row>
    <row r="446" spans="1:5" x14ac:dyDescent="0.3">
      <c r="A446" s="17" t="s">
        <v>0</v>
      </c>
      <c r="B446" s="17" t="s">
        <v>1871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1897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1946</v>
      </c>
      <c r="C448" s="17">
        <v>1</v>
      </c>
      <c r="D448" s="17">
        <v>1</v>
      </c>
      <c r="E448" s="17">
        <v>2</v>
      </c>
    </row>
    <row r="449" spans="1:5" x14ac:dyDescent="0.3">
      <c r="A449" s="17" t="s">
        <v>0</v>
      </c>
      <c r="B449" s="17" t="s">
        <v>1983</v>
      </c>
      <c r="C449" s="17">
        <v>1</v>
      </c>
      <c r="D449" s="17">
        <v>1</v>
      </c>
      <c r="E449" s="17">
        <v>2</v>
      </c>
    </row>
    <row r="450" spans="1:5" x14ac:dyDescent="0.3">
      <c r="A450" s="17" t="s">
        <v>0</v>
      </c>
      <c r="B450" s="17" t="s">
        <v>2329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2363</v>
      </c>
      <c r="C451" s="17">
        <v>1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2401</v>
      </c>
      <c r="C452" s="17">
        <v>1</v>
      </c>
      <c r="D452" s="17">
        <v>1</v>
      </c>
      <c r="E452" s="17">
        <v>3</v>
      </c>
    </row>
    <row r="453" spans="1:5" x14ac:dyDescent="0.3">
      <c r="A453" s="17" t="s">
        <v>0</v>
      </c>
      <c r="B453" s="17" t="s">
        <v>2692</v>
      </c>
      <c r="C453" s="17">
        <v>3</v>
      </c>
      <c r="D453" s="17">
        <v>1</v>
      </c>
      <c r="E453" s="17">
        <v>4</v>
      </c>
    </row>
    <row r="454" spans="1:5" x14ac:dyDescent="0.3">
      <c r="A454" s="17" t="s">
        <v>0</v>
      </c>
      <c r="B454" s="17" t="s">
        <v>2445</v>
      </c>
      <c r="C454" s="17">
        <v>1</v>
      </c>
      <c r="D454" s="17">
        <v>1</v>
      </c>
      <c r="E454" s="17">
        <v>2</v>
      </c>
    </row>
    <row r="455" spans="1:5" x14ac:dyDescent="0.3">
      <c r="A455" s="17" t="s">
        <v>0</v>
      </c>
      <c r="B455" s="17" t="s">
        <v>2397</v>
      </c>
      <c r="C455" s="17">
        <v>2</v>
      </c>
      <c r="D455" s="17">
        <v>1</v>
      </c>
      <c r="E455" s="17">
        <v>2</v>
      </c>
    </row>
    <row r="456" spans="1:5" x14ac:dyDescent="0.3">
      <c r="A456" s="17" t="s">
        <v>0</v>
      </c>
      <c r="B456" s="17" t="s">
        <v>2616</v>
      </c>
      <c r="C456" s="17">
        <v>2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158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866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525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1428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49</v>
      </c>
      <c r="C461" s="17">
        <v>1</v>
      </c>
      <c r="D461" s="17">
        <v>1</v>
      </c>
      <c r="E461" s="17">
        <v>3</v>
      </c>
    </row>
    <row r="462" spans="1:5" x14ac:dyDescent="0.3">
      <c r="A462" s="17" t="s">
        <v>0</v>
      </c>
      <c r="B462" s="17" t="s">
        <v>1066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283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715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996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2955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2446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2956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103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1304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2957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322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2159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1684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167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1972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1130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287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199</v>
      </c>
      <c r="C479" s="17">
        <v>1</v>
      </c>
      <c r="D479" s="17">
        <v>1</v>
      </c>
      <c r="E479" s="17">
        <v>2</v>
      </c>
    </row>
    <row r="480" spans="1:5" x14ac:dyDescent="0.3">
      <c r="A480" s="17" t="s">
        <v>0</v>
      </c>
      <c r="B480" s="17" t="s">
        <v>592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169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50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226</v>
      </c>
      <c r="C483" s="17">
        <v>1</v>
      </c>
      <c r="D483" s="17">
        <v>1</v>
      </c>
      <c r="E483" s="17">
        <v>3</v>
      </c>
    </row>
    <row r="484" spans="1:5" x14ac:dyDescent="0.3">
      <c r="A484" s="17" t="s">
        <v>0</v>
      </c>
      <c r="B484" s="17" t="s">
        <v>407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1663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291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174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465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774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1628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115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256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776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445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297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468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117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1728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681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345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1557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1112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200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62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46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890</v>
      </c>
      <c r="C506" s="17">
        <v>2</v>
      </c>
      <c r="D506" s="17">
        <v>1</v>
      </c>
      <c r="E506" s="17">
        <v>2</v>
      </c>
    </row>
    <row r="507" spans="1:5" x14ac:dyDescent="0.3">
      <c r="A507" s="17" t="s">
        <v>0</v>
      </c>
      <c r="B507" s="17" t="s">
        <v>418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791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746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0</v>
      </c>
      <c r="B510" s="17" t="s">
        <v>181</v>
      </c>
      <c r="C510" s="17">
        <v>1</v>
      </c>
      <c r="D510" s="17">
        <v>1</v>
      </c>
      <c r="E510" s="17">
        <v>2</v>
      </c>
    </row>
    <row r="511" spans="1:5" x14ac:dyDescent="0.3">
      <c r="A511" s="17" t="s">
        <v>0</v>
      </c>
      <c r="B511" s="17" t="s">
        <v>604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1043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262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429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350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2958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52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1134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132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65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1083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753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234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135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849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195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68</v>
      </c>
      <c r="C527" s="17">
        <v>2</v>
      </c>
      <c r="D527" s="17">
        <v>1</v>
      </c>
      <c r="E527" s="17">
        <v>2</v>
      </c>
    </row>
    <row r="528" spans="1:5" x14ac:dyDescent="0.3">
      <c r="A528" s="17" t="s">
        <v>0</v>
      </c>
      <c r="B528" s="17" t="s">
        <v>1207</v>
      </c>
      <c r="C528" s="17">
        <v>1</v>
      </c>
      <c r="D528" s="17">
        <v>1</v>
      </c>
      <c r="E528" s="17">
        <v>2</v>
      </c>
    </row>
    <row r="529" spans="1:5" x14ac:dyDescent="0.3">
      <c r="A529" s="17" t="s">
        <v>0</v>
      </c>
      <c r="B529" s="17" t="s">
        <v>1087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266</v>
      </c>
      <c r="C530" s="17">
        <v>1</v>
      </c>
      <c r="D530" s="17">
        <v>1</v>
      </c>
      <c r="E530" s="17">
        <v>2</v>
      </c>
    </row>
    <row r="531" spans="1:5" x14ac:dyDescent="0.3">
      <c r="A531" s="17" t="s">
        <v>0</v>
      </c>
      <c r="B531" s="17" t="s">
        <v>922</v>
      </c>
      <c r="C531" s="17">
        <v>1</v>
      </c>
      <c r="D531" s="17">
        <v>1</v>
      </c>
      <c r="E531" s="17"/>
    </row>
    <row r="532" spans="1:5" x14ac:dyDescent="0.3">
      <c r="A532" s="17" t="s">
        <v>0</v>
      </c>
      <c r="B532" s="17" t="s">
        <v>1997</v>
      </c>
      <c r="C532" s="17">
        <v>1</v>
      </c>
      <c r="D532" s="17">
        <v>1</v>
      </c>
      <c r="E532" s="17"/>
    </row>
    <row r="533" spans="1:5" x14ac:dyDescent="0.3">
      <c r="A533" s="17" t="s">
        <v>0</v>
      </c>
      <c r="B533" s="17" t="s">
        <v>2959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1048</v>
      </c>
      <c r="C534" s="17">
        <v>1</v>
      </c>
      <c r="D534" s="17">
        <v>1</v>
      </c>
      <c r="E534" s="17">
        <v>5</v>
      </c>
    </row>
    <row r="535" spans="1:5" x14ac:dyDescent="0.3">
      <c r="A535" s="17" t="s">
        <v>0</v>
      </c>
      <c r="B535" s="17" t="s">
        <v>760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850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0</v>
      </c>
      <c r="B537" s="17" t="s">
        <v>2573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2960</v>
      </c>
      <c r="C538" s="17">
        <v>1</v>
      </c>
      <c r="D538" s="17">
        <v>1</v>
      </c>
      <c r="E538" s="17"/>
    </row>
    <row r="539" spans="1:5" x14ac:dyDescent="0.3">
      <c r="A539" s="17" t="s">
        <v>0</v>
      </c>
      <c r="B539" s="17" t="s">
        <v>2291</v>
      </c>
      <c r="C539" s="17">
        <v>1</v>
      </c>
      <c r="D539" s="17">
        <v>1</v>
      </c>
      <c r="E539" s="17"/>
    </row>
    <row r="540" spans="1:5" x14ac:dyDescent="0.3">
      <c r="A540" s="17" t="s">
        <v>0</v>
      </c>
      <c r="B540" s="17" t="s">
        <v>1642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0</v>
      </c>
      <c r="B541" s="17" t="s">
        <v>69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32</v>
      </c>
      <c r="C542" s="17">
        <v>2</v>
      </c>
      <c r="D542" s="17">
        <v>1</v>
      </c>
      <c r="E542" s="17">
        <v>3</v>
      </c>
    </row>
    <row r="543" spans="1:5" x14ac:dyDescent="0.3">
      <c r="A543" s="17" t="s">
        <v>2</v>
      </c>
      <c r="B543" s="17" t="s">
        <v>141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78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276</v>
      </c>
      <c r="C545" s="17">
        <v>1</v>
      </c>
      <c r="D545" s="17">
        <v>1</v>
      </c>
      <c r="E545" s="17">
        <v>2</v>
      </c>
    </row>
    <row r="546" spans="1:5" x14ac:dyDescent="0.3">
      <c r="A546" s="17" t="s">
        <v>2</v>
      </c>
      <c r="B546" s="17" t="s">
        <v>281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155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2292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2398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2429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97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403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163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29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169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112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2</v>
      </c>
      <c r="B557" s="17" t="s">
        <v>534</v>
      </c>
      <c r="C557" s="17">
        <v>1</v>
      </c>
      <c r="D557" s="17">
        <v>1</v>
      </c>
      <c r="E557" s="17">
        <v>3</v>
      </c>
    </row>
    <row r="558" spans="1:5" x14ac:dyDescent="0.3">
      <c r="A558" s="17" t="s">
        <v>2</v>
      </c>
      <c r="B558" s="17" t="s">
        <v>594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2</v>
      </c>
      <c r="B559" s="17" t="s">
        <v>2961</v>
      </c>
      <c r="C559" s="17">
        <v>1</v>
      </c>
      <c r="D559" s="17">
        <v>1</v>
      </c>
      <c r="E559" s="17">
        <v>2</v>
      </c>
    </row>
    <row r="560" spans="1:5" x14ac:dyDescent="0.3">
      <c r="A560" s="17" t="s">
        <v>2</v>
      </c>
      <c r="B560" s="17" t="s">
        <v>1852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2</v>
      </c>
      <c r="B561" s="17" t="s">
        <v>231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2</v>
      </c>
      <c r="B562" s="17" t="s">
        <v>1112</v>
      </c>
      <c r="C562" s="17">
        <v>1</v>
      </c>
      <c r="D562" s="17">
        <v>1</v>
      </c>
      <c r="E562" s="17">
        <v>2</v>
      </c>
    </row>
    <row r="563" spans="1:5" x14ac:dyDescent="0.3">
      <c r="A563" s="17" t="s">
        <v>2</v>
      </c>
      <c r="B563" s="17" t="s">
        <v>695</v>
      </c>
      <c r="C563" s="17">
        <v>1</v>
      </c>
      <c r="D563" s="17">
        <v>1</v>
      </c>
      <c r="E563" s="17">
        <v>2</v>
      </c>
    </row>
    <row r="564" spans="1:5" x14ac:dyDescent="0.3">
      <c r="A564" s="17" t="s">
        <v>2</v>
      </c>
      <c r="B564" s="17" t="s">
        <v>125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300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2</v>
      </c>
      <c r="B566" s="17" t="s">
        <v>201</v>
      </c>
      <c r="C566" s="17">
        <v>2</v>
      </c>
      <c r="D566" s="17">
        <v>1</v>
      </c>
      <c r="E566" s="17">
        <v>5</v>
      </c>
    </row>
    <row r="567" spans="1:5" x14ac:dyDescent="0.3">
      <c r="A567" s="17" t="s">
        <v>2</v>
      </c>
      <c r="B567" s="17" t="s">
        <v>2962</v>
      </c>
      <c r="C567" s="17">
        <v>1</v>
      </c>
      <c r="D567" s="17">
        <v>1</v>
      </c>
      <c r="E567" s="17">
        <v>2</v>
      </c>
    </row>
    <row r="568" spans="1:5" x14ac:dyDescent="0.3">
      <c r="A568" s="17" t="s">
        <v>2</v>
      </c>
      <c r="B568" s="17" t="s">
        <v>31</v>
      </c>
      <c r="C568" s="17">
        <v>1</v>
      </c>
      <c r="D568" s="17">
        <v>1</v>
      </c>
      <c r="E568" s="17">
        <v>1</v>
      </c>
    </row>
    <row r="569" spans="1:5" x14ac:dyDescent="0.3">
      <c r="A569" s="17" t="s">
        <v>1</v>
      </c>
      <c r="B569" s="17" t="s">
        <v>354</v>
      </c>
      <c r="C569" s="17">
        <v>2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457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204</v>
      </c>
      <c r="C571" s="17">
        <v>2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1249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269</v>
      </c>
      <c r="C573" s="17">
        <v>2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142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458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486</v>
      </c>
      <c r="C576" s="17">
        <v>3</v>
      </c>
      <c r="D576" s="17">
        <v>0</v>
      </c>
      <c r="E576" s="17">
        <v>3</v>
      </c>
    </row>
    <row r="577" spans="1:5" x14ac:dyDescent="0.3">
      <c r="A577" s="17" t="s">
        <v>1</v>
      </c>
      <c r="B577" s="17" t="s">
        <v>207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511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271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393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795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621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623</v>
      </c>
      <c r="C583" s="17">
        <v>1</v>
      </c>
      <c r="D583" s="17">
        <v>0</v>
      </c>
      <c r="E583" s="17">
        <v>2</v>
      </c>
    </row>
    <row r="584" spans="1:5" x14ac:dyDescent="0.3">
      <c r="A584" s="17" t="s">
        <v>1</v>
      </c>
      <c r="B584" s="17" t="s">
        <v>1254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210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78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1710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461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625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356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276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358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359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81</v>
      </c>
      <c r="C594" s="17">
        <v>2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934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2963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2381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2373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1610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2964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936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1314</v>
      </c>
      <c r="C602" s="17">
        <v>1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278</v>
      </c>
      <c r="C603" s="17">
        <v>1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2965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908</v>
      </c>
      <c r="C605" s="17">
        <v>2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462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2114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520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279</v>
      </c>
      <c r="C609" s="17">
        <v>1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86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630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2966</v>
      </c>
      <c r="C612" s="17">
        <v>2</v>
      </c>
      <c r="D612" s="17">
        <v>0</v>
      </c>
      <c r="E612" s="17">
        <v>2</v>
      </c>
    </row>
    <row r="613" spans="1:5" x14ac:dyDescent="0.3">
      <c r="A613" s="17" t="s">
        <v>1</v>
      </c>
      <c r="B613" s="17" t="s">
        <v>316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766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1360</v>
      </c>
      <c r="C615" s="17">
        <v>2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939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1415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1886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1537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633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972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481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635</v>
      </c>
      <c r="C623" s="18">
        <v>2</v>
      </c>
      <c r="D623" s="18">
        <v>0</v>
      </c>
      <c r="E623" s="18">
        <v>3</v>
      </c>
    </row>
    <row r="624" spans="1:5" x14ac:dyDescent="0.3">
      <c r="A624" s="18" t="s">
        <v>1</v>
      </c>
      <c r="B624" s="18" t="s">
        <v>1339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1061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217</v>
      </c>
      <c r="C626" s="18">
        <v>1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219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220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249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437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1269</v>
      </c>
      <c r="C631" s="18">
        <v>1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222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463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363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2902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2967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1142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944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1646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1691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1708</v>
      </c>
      <c r="C641" s="18">
        <v>3</v>
      </c>
      <c r="D641" s="18">
        <v>0</v>
      </c>
      <c r="E641" s="18">
        <v>3</v>
      </c>
    </row>
    <row r="642" spans="1:5" x14ac:dyDescent="0.3">
      <c r="A642" s="18" t="s">
        <v>1</v>
      </c>
      <c r="B642" s="18" t="s">
        <v>1750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2968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1983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2074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2100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2115</v>
      </c>
      <c r="C647" s="18">
        <v>1</v>
      </c>
      <c r="D647" s="18">
        <v>0</v>
      </c>
      <c r="E647" s="18">
        <v>5</v>
      </c>
    </row>
    <row r="648" spans="1:5" x14ac:dyDescent="0.3">
      <c r="A648" s="18" t="s">
        <v>1</v>
      </c>
      <c r="B648" s="18" t="s">
        <v>2292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2334</v>
      </c>
      <c r="C649" s="18">
        <v>5</v>
      </c>
      <c r="D649" s="18">
        <v>0</v>
      </c>
      <c r="E649" s="18">
        <v>6</v>
      </c>
    </row>
    <row r="650" spans="1:5" x14ac:dyDescent="0.3">
      <c r="A650" s="18" t="s">
        <v>1</v>
      </c>
      <c r="B650" s="18" t="s">
        <v>2293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2363</v>
      </c>
      <c r="C651" s="18">
        <v>2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2401</v>
      </c>
      <c r="C652" s="18">
        <v>3</v>
      </c>
      <c r="D652" s="18">
        <v>0</v>
      </c>
      <c r="E652" s="18">
        <v>3</v>
      </c>
    </row>
    <row r="653" spans="1:5" x14ac:dyDescent="0.3">
      <c r="A653" s="18" t="s">
        <v>1</v>
      </c>
      <c r="B653" s="18" t="s">
        <v>2493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2468</v>
      </c>
      <c r="C654" s="18">
        <v>4</v>
      </c>
      <c r="D654" s="18">
        <v>0</v>
      </c>
      <c r="E654" s="18">
        <v>8</v>
      </c>
    </row>
    <row r="655" spans="1:5" x14ac:dyDescent="0.3">
      <c r="A655" s="18" t="s">
        <v>1</v>
      </c>
      <c r="B655" s="18" t="s">
        <v>2404</v>
      </c>
      <c r="C655" s="18">
        <v>3</v>
      </c>
      <c r="D655" s="18">
        <v>0</v>
      </c>
      <c r="E655" s="18">
        <v>3</v>
      </c>
    </row>
    <row r="656" spans="1:5" x14ac:dyDescent="0.3">
      <c r="A656" s="18" t="s">
        <v>1</v>
      </c>
      <c r="B656" s="18" t="s">
        <v>2442</v>
      </c>
      <c r="C656" s="18">
        <v>5</v>
      </c>
      <c r="D656" s="18">
        <v>0</v>
      </c>
      <c r="E656" s="18">
        <v>7</v>
      </c>
    </row>
    <row r="657" spans="1:5" x14ac:dyDescent="0.3">
      <c r="A657" s="18" t="s">
        <v>1</v>
      </c>
      <c r="B657" s="18" t="s">
        <v>2399</v>
      </c>
      <c r="C657" s="18">
        <v>7</v>
      </c>
      <c r="D657" s="18">
        <v>0</v>
      </c>
      <c r="E657" s="18">
        <v>11</v>
      </c>
    </row>
    <row r="658" spans="1:5" x14ac:dyDescent="0.3">
      <c r="A658" s="18" t="s">
        <v>1</v>
      </c>
      <c r="B658" s="18" t="s">
        <v>2398</v>
      </c>
      <c r="C658" s="18">
        <v>4</v>
      </c>
      <c r="D658" s="18">
        <v>0</v>
      </c>
      <c r="E658" s="18">
        <v>5</v>
      </c>
    </row>
    <row r="659" spans="1:5" x14ac:dyDescent="0.3">
      <c r="A659" s="18" t="s">
        <v>1</v>
      </c>
      <c r="B659" s="18" t="s">
        <v>2443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2428</v>
      </c>
      <c r="C660" s="18">
        <v>3</v>
      </c>
      <c r="D660" s="18">
        <v>0</v>
      </c>
      <c r="E660" s="18">
        <v>3</v>
      </c>
    </row>
    <row r="661" spans="1:5" x14ac:dyDescent="0.3">
      <c r="A661" s="18" t="s">
        <v>1</v>
      </c>
      <c r="B661" s="18" t="s">
        <v>2444</v>
      </c>
      <c r="C661" s="18">
        <v>2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2445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2397</v>
      </c>
      <c r="C663" s="18">
        <v>3</v>
      </c>
      <c r="D663" s="18">
        <v>0</v>
      </c>
      <c r="E663" s="18">
        <v>3</v>
      </c>
    </row>
    <row r="664" spans="1:5" x14ac:dyDescent="0.3">
      <c r="A664" s="18" t="s">
        <v>1</v>
      </c>
      <c r="B664" s="18" t="s">
        <v>2662</v>
      </c>
      <c r="C664" s="18">
        <v>1</v>
      </c>
      <c r="D664" s="18">
        <v>0</v>
      </c>
      <c r="E664" s="18">
        <v>2</v>
      </c>
    </row>
    <row r="665" spans="1:5" x14ac:dyDescent="0.3">
      <c r="A665" s="18" t="s">
        <v>1</v>
      </c>
      <c r="B665" s="18" t="s">
        <v>1877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1944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2969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946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2970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2971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1824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2922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405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2193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2972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110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1099</v>
      </c>
      <c r="C677" s="18">
        <v>1</v>
      </c>
      <c r="D677" s="18">
        <v>0</v>
      </c>
      <c r="E677" s="18">
        <v>2</v>
      </c>
    </row>
    <row r="678" spans="1:5" x14ac:dyDescent="0.3">
      <c r="A678" s="18" t="s">
        <v>1</v>
      </c>
      <c r="B678" s="18" t="s">
        <v>407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2973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1092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650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2287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2217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493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876</v>
      </c>
      <c r="C685" s="18">
        <v>1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1344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1447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1628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723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542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2974</v>
      </c>
      <c r="C691" s="18">
        <v>1</v>
      </c>
      <c r="D691" s="18">
        <v>0</v>
      </c>
      <c r="E691" s="18">
        <v>2</v>
      </c>
    </row>
    <row r="692" spans="1:5" x14ac:dyDescent="0.3">
      <c r="A692" s="18" t="s">
        <v>1</v>
      </c>
      <c r="B692" s="18" t="s">
        <v>369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597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229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654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547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1171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1187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1510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1418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1080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2975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1305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1420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2906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815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341</v>
      </c>
      <c r="C707" s="18">
        <v>1</v>
      </c>
      <c r="D707" s="18">
        <v>0</v>
      </c>
      <c r="E707" s="18">
        <v>2</v>
      </c>
    </row>
    <row r="708" spans="1:5" x14ac:dyDescent="0.3">
      <c r="A708" s="18" t="s">
        <v>1</v>
      </c>
      <c r="B708" s="18" t="s">
        <v>1455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1869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661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345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816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1822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553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890</v>
      </c>
      <c r="C715" s="18">
        <v>1</v>
      </c>
      <c r="D715" s="18">
        <v>0</v>
      </c>
      <c r="E715" s="18">
        <v>0</v>
      </c>
    </row>
    <row r="716" spans="1:5" x14ac:dyDescent="0.3">
      <c r="A716" s="18" t="s">
        <v>1</v>
      </c>
      <c r="B716" s="18" t="s">
        <v>2976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2750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696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742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783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1081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894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1484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1016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2306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744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558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180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181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1082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2133</v>
      </c>
      <c r="C731" s="18">
        <v>1</v>
      </c>
      <c r="D731" s="18">
        <v>0</v>
      </c>
      <c r="E731" s="18">
        <v>2</v>
      </c>
    </row>
    <row r="732" spans="1:5" x14ac:dyDescent="0.3">
      <c r="A732" s="18" t="s">
        <v>1</v>
      </c>
      <c r="B732" s="18" t="s">
        <v>2677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1436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1814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749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698</v>
      </c>
      <c r="C736" s="18">
        <v>1</v>
      </c>
      <c r="D736" s="18">
        <v>0</v>
      </c>
      <c r="E736" s="18">
        <v>0</v>
      </c>
    </row>
    <row r="737" spans="1:5" x14ac:dyDescent="0.3">
      <c r="A737" s="18" t="s">
        <v>1</v>
      </c>
      <c r="B737" s="18" t="s">
        <v>1117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2855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262</v>
      </c>
      <c r="C739" s="18">
        <v>1</v>
      </c>
      <c r="D739" s="18">
        <v>0</v>
      </c>
      <c r="E739" s="18">
        <v>2</v>
      </c>
    </row>
    <row r="740" spans="1:5" x14ac:dyDescent="0.3">
      <c r="A740" s="18" t="s">
        <v>1</v>
      </c>
      <c r="B740" s="18" t="s">
        <v>474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233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1120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668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1023</v>
      </c>
      <c r="C744" s="18">
        <v>2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2278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753</v>
      </c>
      <c r="C746" s="18">
        <v>1</v>
      </c>
      <c r="D746" s="18">
        <v>0</v>
      </c>
      <c r="E746" s="18">
        <v>0</v>
      </c>
    </row>
    <row r="747" spans="1:5" x14ac:dyDescent="0.3">
      <c r="A747" s="18" t="s">
        <v>1</v>
      </c>
      <c r="B747" s="18" t="s">
        <v>135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1</v>
      </c>
      <c r="B748" s="18" t="s">
        <v>1238</v>
      </c>
      <c r="C748" s="18">
        <v>2</v>
      </c>
      <c r="D748" s="18">
        <v>0</v>
      </c>
      <c r="E748" s="18">
        <v>4</v>
      </c>
    </row>
    <row r="749" spans="1:5" x14ac:dyDescent="0.3">
      <c r="A749" s="18" t="s">
        <v>1</v>
      </c>
      <c r="B749" s="18" t="s">
        <v>1363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136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306</v>
      </c>
      <c r="C751" s="18">
        <v>3</v>
      </c>
      <c r="D751" s="18">
        <v>0</v>
      </c>
      <c r="E751" s="18">
        <v>4</v>
      </c>
    </row>
    <row r="752" spans="1:5" x14ac:dyDescent="0.3">
      <c r="A752" s="18" t="s">
        <v>1</v>
      </c>
      <c r="B752" s="18" t="s">
        <v>849</v>
      </c>
      <c r="C752" s="18">
        <v>2</v>
      </c>
      <c r="D752" s="18">
        <v>0</v>
      </c>
      <c r="E752" s="18">
        <v>2</v>
      </c>
    </row>
    <row r="753" spans="1:5" x14ac:dyDescent="0.3">
      <c r="A753" s="18" t="s">
        <v>1</v>
      </c>
      <c r="B753" s="18" t="s">
        <v>1487</v>
      </c>
      <c r="C753" s="18">
        <v>1</v>
      </c>
      <c r="D753" s="18">
        <v>0</v>
      </c>
      <c r="E753" s="18">
        <v>0</v>
      </c>
    </row>
    <row r="754" spans="1:5" x14ac:dyDescent="0.3">
      <c r="A754" s="18" t="s">
        <v>1</v>
      </c>
      <c r="B754" s="18" t="s">
        <v>2483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1124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137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684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1</v>
      </c>
      <c r="B758" s="18" t="s">
        <v>235</v>
      </c>
      <c r="C758" s="18">
        <v>8</v>
      </c>
      <c r="D758" s="18">
        <v>0</v>
      </c>
      <c r="E758" s="18">
        <v>16</v>
      </c>
    </row>
    <row r="759" spans="1:5" x14ac:dyDescent="0.3">
      <c r="A759" s="18" t="s">
        <v>1</v>
      </c>
      <c r="B759" s="18" t="s">
        <v>381</v>
      </c>
      <c r="C759" s="18">
        <v>1</v>
      </c>
      <c r="D759" s="18">
        <v>0</v>
      </c>
      <c r="E759" s="18">
        <v>2</v>
      </c>
    </row>
    <row r="760" spans="1:5" x14ac:dyDescent="0.3">
      <c r="A760" s="18" t="s">
        <v>1</v>
      </c>
      <c r="B760" s="18" t="s">
        <v>236</v>
      </c>
      <c r="C760" s="18">
        <v>3</v>
      </c>
      <c r="D760" s="18">
        <v>0</v>
      </c>
      <c r="E760" s="18">
        <v>3</v>
      </c>
    </row>
    <row r="761" spans="1:5" x14ac:dyDescent="0.3">
      <c r="A761" s="18" t="s">
        <v>1</v>
      </c>
      <c r="B761" s="18" t="s">
        <v>476</v>
      </c>
      <c r="C761" s="18">
        <v>3</v>
      </c>
      <c r="D761" s="18">
        <v>0</v>
      </c>
      <c r="E761" s="18">
        <v>4</v>
      </c>
    </row>
    <row r="762" spans="1:5" x14ac:dyDescent="0.3">
      <c r="A762" s="18" t="s">
        <v>1</v>
      </c>
      <c r="B762" s="18" t="s">
        <v>196</v>
      </c>
      <c r="C762" s="18">
        <v>10</v>
      </c>
      <c r="D762" s="18">
        <v>0</v>
      </c>
      <c r="E762" s="18">
        <v>12</v>
      </c>
    </row>
    <row r="763" spans="1:5" x14ac:dyDescent="0.3">
      <c r="A763" s="18" t="s">
        <v>1</v>
      </c>
      <c r="B763" s="18" t="s">
        <v>238</v>
      </c>
      <c r="C763" s="18">
        <v>7</v>
      </c>
      <c r="D763" s="18">
        <v>0</v>
      </c>
      <c r="E763" s="18">
        <v>12</v>
      </c>
    </row>
    <row r="764" spans="1:5" x14ac:dyDescent="0.3">
      <c r="A764" s="18" t="s">
        <v>1</v>
      </c>
      <c r="B764" s="18" t="s">
        <v>239</v>
      </c>
      <c r="C764" s="18">
        <v>6</v>
      </c>
      <c r="D764" s="18">
        <v>0</v>
      </c>
      <c r="E764" s="18">
        <v>11</v>
      </c>
    </row>
    <row r="765" spans="1:5" x14ac:dyDescent="0.3">
      <c r="A765" s="18" t="s">
        <v>1</v>
      </c>
      <c r="B765" s="18" t="s">
        <v>672</v>
      </c>
      <c r="C765" s="18">
        <v>5</v>
      </c>
      <c r="D765" s="18">
        <v>0</v>
      </c>
      <c r="E765" s="18">
        <v>13</v>
      </c>
    </row>
    <row r="766" spans="1:5" x14ac:dyDescent="0.3">
      <c r="A766" s="18" t="s">
        <v>1</v>
      </c>
      <c r="B766" s="18" t="s">
        <v>55</v>
      </c>
      <c r="C766" s="18">
        <v>6</v>
      </c>
      <c r="D766" s="18">
        <v>0</v>
      </c>
      <c r="E766" s="18">
        <v>8</v>
      </c>
    </row>
    <row r="767" spans="1:5" x14ac:dyDescent="0.3">
      <c r="A767" s="18" t="s">
        <v>1</v>
      </c>
      <c r="B767" s="18" t="s">
        <v>240</v>
      </c>
      <c r="C767" s="18">
        <v>13</v>
      </c>
      <c r="D767" s="18">
        <v>0</v>
      </c>
      <c r="E767" s="18">
        <v>19</v>
      </c>
    </row>
    <row r="768" spans="1:5" x14ac:dyDescent="0.3">
      <c r="A768" s="18" t="s">
        <v>1</v>
      </c>
      <c r="B768" s="18" t="s">
        <v>673</v>
      </c>
      <c r="C768" s="18">
        <v>6</v>
      </c>
      <c r="D768" s="18">
        <v>0</v>
      </c>
      <c r="E768" s="18">
        <v>11</v>
      </c>
    </row>
    <row r="769" spans="1:5" x14ac:dyDescent="0.3">
      <c r="A769" s="18" t="s">
        <v>1</v>
      </c>
      <c r="B769" s="18" t="s">
        <v>382</v>
      </c>
      <c r="C769" s="18">
        <v>5</v>
      </c>
      <c r="D769" s="18">
        <v>0</v>
      </c>
      <c r="E769" s="18">
        <v>6</v>
      </c>
    </row>
    <row r="770" spans="1:5" x14ac:dyDescent="0.3">
      <c r="A770" s="18" t="s">
        <v>1</v>
      </c>
      <c r="B770" s="18" t="s">
        <v>377</v>
      </c>
      <c r="C770" s="18">
        <v>3</v>
      </c>
      <c r="D770" s="18">
        <v>0</v>
      </c>
      <c r="E770" s="18">
        <v>3</v>
      </c>
    </row>
    <row r="771" spans="1:5" x14ac:dyDescent="0.3">
      <c r="A771" s="18" t="s">
        <v>1</v>
      </c>
      <c r="B771" s="18" t="s">
        <v>477</v>
      </c>
      <c r="C771" s="18">
        <v>4</v>
      </c>
      <c r="D771" s="18">
        <v>0</v>
      </c>
      <c r="E771" s="18">
        <v>4</v>
      </c>
    </row>
    <row r="772" spans="1:5" x14ac:dyDescent="0.3">
      <c r="A772" s="18" t="s">
        <v>1</v>
      </c>
      <c r="B772" s="18" t="s">
        <v>1299</v>
      </c>
      <c r="C772" s="18">
        <v>1</v>
      </c>
      <c r="D772" s="18">
        <v>0</v>
      </c>
      <c r="E772" s="18">
        <v>2</v>
      </c>
    </row>
    <row r="773" spans="1:5" x14ac:dyDescent="0.3">
      <c r="A773" s="18" t="s">
        <v>1</v>
      </c>
      <c r="B773" s="18" t="s">
        <v>1207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1</v>
      </c>
      <c r="B774" s="18" t="s">
        <v>1201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1</v>
      </c>
      <c r="B775" s="18" t="s">
        <v>1045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1</v>
      </c>
      <c r="B776" s="18" t="s">
        <v>260</v>
      </c>
      <c r="C776" s="18">
        <v>0</v>
      </c>
      <c r="D776" s="18">
        <v>1</v>
      </c>
    </row>
    <row r="777" spans="1:5" x14ac:dyDescent="0.3">
      <c r="A777" s="18" t="s">
        <v>1</v>
      </c>
      <c r="B777" s="18" t="s">
        <v>2977</v>
      </c>
      <c r="C777" s="18">
        <v>0</v>
      </c>
      <c r="D777" s="18">
        <v>2</v>
      </c>
    </row>
    <row r="778" spans="1:5" x14ac:dyDescent="0.3">
      <c r="A778" s="18" t="s">
        <v>1</v>
      </c>
      <c r="B778" s="18" t="s">
        <v>2151</v>
      </c>
      <c r="C778" s="18">
        <v>1</v>
      </c>
      <c r="D778" s="18">
        <v>0</v>
      </c>
      <c r="E778" s="18">
        <v>3</v>
      </c>
    </row>
    <row r="779" spans="1:5" x14ac:dyDescent="0.3">
      <c r="A779" s="18" t="s">
        <v>1</v>
      </c>
      <c r="B779" s="18" t="s">
        <v>2978</v>
      </c>
      <c r="C779" s="18">
        <v>1</v>
      </c>
      <c r="D779" s="18">
        <v>0</v>
      </c>
      <c r="E779" s="18">
        <v>2</v>
      </c>
    </row>
    <row r="780" spans="1:5" x14ac:dyDescent="0.3">
      <c r="A780" s="18" t="s">
        <v>1</v>
      </c>
      <c r="B780" s="18" t="s">
        <v>2979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1</v>
      </c>
      <c r="B781" s="18" t="s">
        <v>1501</v>
      </c>
      <c r="C781" s="18">
        <v>0</v>
      </c>
      <c r="D781" s="18">
        <v>1</v>
      </c>
    </row>
    <row r="782" spans="1:5" x14ac:dyDescent="0.3">
      <c r="A782" s="18" t="s">
        <v>1</v>
      </c>
      <c r="B782" s="18" t="s">
        <v>1883</v>
      </c>
      <c r="C782" s="18">
        <v>1</v>
      </c>
      <c r="D782" s="18">
        <v>0</v>
      </c>
      <c r="E782" s="18">
        <v>5</v>
      </c>
    </row>
    <row r="783" spans="1:5" x14ac:dyDescent="0.3">
      <c r="A783" s="18" t="s">
        <v>1</v>
      </c>
      <c r="B783" s="18" t="s">
        <v>2587</v>
      </c>
      <c r="C783" s="18">
        <v>1</v>
      </c>
      <c r="D783" s="18">
        <v>0</v>
      </c>
      <c r="E783" s="18">
        <v>5</v>
      </c>
    </row>
    <row r="784" spans="1:5" x14ac:dyDescent="0.3">
      <c r="A784" s="18" t="s">
        <v>1</v>
      </c>
      <c r="B784" s="18" t="s">
        <v>1753</v>
      </c>
      <c r="C784" s="18">
        <v>1</v>
      </c>
      <c r="D784" s="18">
        <v>0</v>
      </c>
      <c r="E784" s="18">
        <v>2</v>
      </c>
    </row>
    <row r="785" spans="1:5" x14ac:dyDescent="0.3">
      <c r="A785" s="18" t="s">
        <v>1</v>
      </c>
      <c r="B785" s="18" t="s">
        <v>763</v>
      </c>
      <c r="C785" s="18">
        <v>0</v>
      </c>
      <c r="D785" s="18">
        <v>1</v>
      </c>
    </row>
    <row r="786" spans="1:5" x14ac:dyDescent="0.3">
      <c r="A786" s="18" t="s">
        <v>1</v>
      </c>
      <c r="B786" s="18" t="s">
        <v>1481</v>
      </c>
      <c r="C786" s="18">
        <v>0</v>
      </c>
      <c r="D786" s="18">
        <v>2</v>
      </c>
    </row>
    <row r="787" spans="1:5" x14ac:dyDescent="0.3">
      <c r="A787" s="18" t="s">
        <v>1</v>
      </c>
      <c r="B787" s="18" t="s">
        <v>2980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1</v>
      </c>
      <c r="B788" s="18" t="s">
        <v>431</v>
      </c>
      <c r="C788" s="18">
        <v>0</v>
      </c>
      <c r="D788" s="18">
        <v>2</v>
      </c>
    </row>
    <row r="789" spans="1:5" x14ac:dyDescent="0.3">
      <c r="A789" s="18" t="s">
        <v>1</v>
      </c>
      <c r="B789" s="18" t="s">
        <v>69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1</v>
      </c>
      <c r="B790" s="18" t="s">
        <v>1459</v>
      </c>
      <c r="C790" s="18">
        <v>2</v>
      </c>
      <c r="D790" s="18">
        <v>0</v>
      </c>
      <c r="E790" s="18">
        <v>2</v>
      </c>
    </row>
    <row r="791" spans="1:5" x14ac:dyDescent="0.3">
      <c r="A791" s="18" t="s">
        <v>0</v>
      </c>
      <c r="B791" s="18" t="s">
        <v>270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0</v>
      </c>
      <c r="B792" s="18" t="s">
        <v>835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0</v>
      </c>
      <c r="B793" s="18" t="s">
        <v>214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153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1708</v>
      </c>
      <c r="C795" s="18">
        <v>1</v>
      </c>
      <c r="D795" s="18">
        <v>0</v>
      </c>
      <c r="E795" s="18">
        <v>3</v>
      </c>
    </row>
    <row r="796" spans="1:5" x14ac:dyDescent="0.3">
      <c r="A796" s="18" t="s">
        <v>0</v>
      </c>
      <c r="B796" s="18" t="s">
        <v>2789</v>
      </c>
      <c r="C796" s="18">
        <v>3</v>
      </c>
      <c r="D796" s="18">
        <v>0</v>
      </c>
      <c r="E796" s="18">
        <v>3</v>
      </c>
    </row>
    <row r="797" spans="1:5" x14ac:dyDescent="0.3">
      <c r="A797" s="18" t="s">
        <v>0</v>
      </c>
      <c r="B797" s="18" t="s">
        <v>159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1665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0</v>
      </c>
      <c r="B799" s="18" t="s">
        <v>2038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0</v>
      </c>
      <c r="B800" s="18" t="s">
        <v>110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1375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1975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779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2031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1264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0</v>
      </c>
      <c r="B806" s="18" t="s">
        <v>421</v>
      </c>
      <c r="C806" s="18">
        <v>1</v>
      </c>
      <c r="D806" s="18">
        <v>0</v>
      </c>
      <c r="E806" s="18">
        <v>2</v>
      </c>
    </row>
    <row r="807" spans="1:5" x14ac:dyDescent="0.3">
      <c r="A807" s="18" t="s">
        <v>0</v>
      </c>
      <c r="B807" s="18" t="s">
        <v>2054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0</v>
      </c>
      <c r="B808" s="18" t="s">
        <v>697</v>
      </c>
      <c r="C808" s="18">
        <v>1</v>
      </c>
      <c r="D808" s="18">
        <v>0</v>
      </c>
      <c r="E808" s="18">
        <v>1</v>
      </c>
    </row>
    <row r="809" spans="1:5" x14ac:dyDescent="0.3">
      <c r="A809" s="18" t="s">
        <v>0</v>
      </c>
      <c r="B809" s="18" t="s">
        <v>235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0</v>
      </c>
      <c r="B810" s="18" t="s">
        <v>381</v>
      </c>
      <c r="C810" s="18">
        <v>1</v>
      </c>
      <c r="D810" s="18">
        <v>0</v>
      </c>
      <c r="E810" s="18">
        <v>1</v>
      </c>
    </row>
    <row r="811" spans="1:5" x14ac:dyDescent="0.3">
      <c r="A811" s="18" t="s">
        <v>0</v>
      </c>
      <c r="B811" s="18" t="s">
        <v>376</v>
      </c>
      <c r="C811" s="18">
        <v>1</v>
      </c>
      <c r="D811" s="18">
        <v>0</v>
      </c>
      <c r="E811" s="18">
        <v>2</v>
      </c>
    </row>
    <row r="812" spans="1:5" x14ac:dyDescent="0.3">
      <c r="A812" s="18" t="s">
        <v>0</v>
      </c>
      <c r="B812" s="18" t="s">
        <v>476</v>
      </c>
      <c r="C812" s="18">
        <v>1</v>
      </c>
      <c r="D812" s="18">
        <v>0</v>
      </c>
      <c r="E812" s="18">
        <v>3</v>
      </c>
    </row>
    <row r="813" spans="1:5" x14ac:dyDescent="0.3">
      <c r="A813" s="18" t="s">
        <v>0</v>
      </c>
      <c r="B813" s="18" t="s">
        <v>196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0</v>
      </c>
      <c r="B814" s="18" t="s">
        <v>54</v>
      </c>
      <c r="C814" s="18">
        <v>1</v>
      </c>
      <c r="D814" s="18">
        <v>0</v>
      </c>
      <c r="E814" s="18">
        <v>3</v>
      </c>
    </row>
    <row r="815" spans="1:5" x14ac:dyDescent="0.3">
      <c r="A815" s="18" t="s">
        <v>0</v>
      </c>
      <c r="B815" s="18" t="s">
        <v>238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0</v>
      </c>
      <c r="B816" s="18" t="s">
        <v>239</v>
      </c>
      <c r="C816" s="18">
        <v>3</v>
      </c>
      <c r="D816" s="18">
        <v>0</v>
      </c>
      <c r="E816" s="18">
        <v>4</v>
      </c>
    </row>
    <row r="817" spans="1:5" x14ac:dyDescent="0.3">
      <c r="A817" s="18" t="s">
        <v>0</v>
      </c>
      <c r="B817" s="18" t="s">
        <v>240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0</v>
      </c>
      <c r="B818" s="18" t="s">
        <v>673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0</v>
      </c>
      <c r="B819" s="18" t="s">
        <v>138</v>
      </c>
      <c r="C819" s="18">
        <v>1</v>
      </c>
      <c r="D819" s="18">
        <v>0</v>
      </c>
      <c r="E819" s="18">
        <v>1</v>
      </c>
    </row>
    <row r="820" spans="1:5" x14ac:dyDescent="0.3">
      <c r="A820" s="18" t="s">
        <v>0</v>
      </c>
      <c r="B820" s="18" t="s">
        <v>1404</v>
      </c>
      <c r="C820" s="18">
        <v>1</v>
      </c>
      <c r="D820" s="18">
        <v>0</v>
      </c>
      <c r="E820" s="18">
        <v>1</v>
      </c>
    </row>
    <row r="821" spans="1:5" x14ac:dyDescent="0.3">
      <c r="A821" s="18" t="s">
        <v>2</v>
      </c>
      <c r="B821" s="18" t="s">
        <v>30</v>
      </c>
      <c r="C821" s="18">
        <v>2</v>
      </c>
      <c r="D821" s="18">
        <v>0</v>
      </c>
      <c r="E821" s="18">
        <v>3</v>
      </c>
    </row>
    <row r="822" spans="1:5" x14ac:dyDescent="0.3">
      <c r="A822" s="18" t="s">
        <v>2</v>
      </c>
      <c r="B822" s="18" t="s">
        <v>152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2</v>
      </c>
      <c r="B823" s="18" t="s">
        <v>2692</v>
      </c>
      <c r="C823" s="18">
        <v>1</v>
      </c>
      <c r="D823" s="18">
        <v>0</v>
      </c>
      <c r="E823" s="18">
        <v>1</v>
      </c>
    </row>
    <row r="824" spans="1:5" x14ac:dyDescent="0.3">
      <c r="A824" s="18" t="s">
        <v>2</v>
      </c>
      <c r="B824" s="18" t="s">
        <v>897</v>
      </c>
      <c r="C824" s="18">
        <v>1</v>
      </c>
      <c r="D824" s="18">
        <v>0</v>
      </c>
      <c r="E824" s="18">
        <v>1</v>
      </c>
    </row>
    <row r="825" spans="1:5" x14ac:dyDescent="0.3">
      <c r="A825" s="18" t="s">
        <v>2</v>
      </c>
      <c r="B825" s="18" t="s">
        <v>54</v>
      </c>
      <c r="C825" s="18">
        <v>1</v>
      </c>
      <c r="D825" s="18">
        <v>0</v>
      </c>
      <c r="E825" s="18">
        <v>1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2EC9-59D6-42F8-A044-4E45C0144E60}">
  <sheetPr codeName="Sheet47"/>
  <dimension ref="A1:M829"/>
  <sheetViews>
    <sheetView workbookViewId="0">
      <selection activeCell="A2" sqref="A2:E82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60</v>
      </c>
      <c r="D2" s="17">
        <v>48</v>
      </c>
      <c r="E2" s="17">
        <v>63</v>
      </c>
    </row>
    <row r="3" spans="1:13" customFormat="1" x14ac:dyDescent="0.3">
      <c r="A3" s="17" t="s">
        <v>0</v>
      </c>
      <c r="B3" s="17" t="s">
        <v>2944</v>
      </c>
      <c r="C3" s="17">
        <v>55</v>
      </c>
      <c r="D3" s="17">
        <v>41</v>
      </c>
      <c r="E3" s="17">
        <v>65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96</v>
      </c>
      <c r="D4" s="17">
        <v>32</v>
      </c>
      <c r="E4" s="17">
        <v>199</v>
      </c>
      <c r="G4" s="23" t="s">
        <v>8</v>
      </c>
      <c r="H4" s="19">
        <f>H13+H14</f>
        <v>1405</v>
      </c>
      <c r="I4" s="20">
        <f>H4/H$6</f>
        <v>0.73560209424083767</v>
      </c>
      <c r="J4" s="19">
        <f>I13+I14</f>
        <v>815</v>
      </c>
      <c r="K4" s="20">
        <f>J4/J$6</f>
        <v>0.67355371900826444</v>
      </c>
      <c r="L4" s="19">
        <f>J13+J14</f>
        <v>1737</v>
      </c>
      <c r="M4" s="29">
        <f>L4/L$6</f>
        <v>0.73664122137404575</v>
      </c>
    </row>
    <row r="5" spans="1:13" customFormat="1" x14ac:dyDescent="0.3">
      <c r="A5" s="17" t="s">
        <v>1</v>
      </c>
      <c r="B5" s="17" t="s">
        <v>365</v>
      </c>
      <c r="C5" s="17">
        <v>31</v>
      </c>
      <c r="D5" s="17">
        <v>24</v>
      </c>
      <c r="E5" s="17">
        <v>29</v>
      </c>
      <c r="G5" s="23" t="s">
        <v>10</v>
      </c>
      <c r="H5" s="19">
        <f>H15+H16</f>
        <v>505</v>
      </c>
      <c r="I5" s="20">
        <f>H5/H$6</f>
        <v>0.26439790575916228</v>
      </c>
      <c r="J5" s="19">
        <f>I15+I16</f>
        <v>395</v>
      </c>
      <c r="K5" s="20">
        <f>J5/J$6</f>
        <v>0.32644628099173556</v>
      </c>
      <c r="L5" s="19">
        <f>J15+J16</f>
        <v>621</v>
      </c>
      <c r="M5" s="29">
        <f>L5/L$6</f>
        <v>0.26335877862595419</v>
      </c>
    </row>
    <row r="6" spans="1:13" customFormat="1" ht="17.25" thickBot="1" x14ac:dyDescent="0.35">
      <c r="A6" s="17" t="s">
        <v>1</v>
      </c>
      <c r="B6" s="17" t="s">
        <v>1927</v>
      </c>
      <c r="C6" s="17">
        <v>19</v>
      </c>
      <c r="D6" s="17">
        <v>18</v>
      </c>
      <c r="E6" s="17">
        <v>28</v>
      </c>
      <c r="G6" s="26"/>
      <c r="H6" s="30">
        <f>SUM(H4:H5)</f>
        <v>1910</v>
      </c>
      <c r="I6" s="31">
        <f>I4+I5</f>
        <v>1</v>
      </c>
      <c r="J6" s="30">
        <f>SUM(J4:J5)</f>
        <v>1210</v>
      </c>
      <c r="K6" s="31">
        <f>K4+K5</f>
        <v>1</v>
      </c>
      <c r="L6" s="30">
        <f>SUM(L4:L5)</f>
        <v>2358</v>
      </c>
      <c r="M6" s="32">
        <f>M4+M5</f>
        <v>1</v>
      </c>
    </row>
    <row r="7" spans="1:13" customFormat="1" x14ac:dyDescent="0.3">
      <c r="A7" s="17" t="s">
        <v>1</v>
      </c>
      <c r="B7" s="17" t="s">
        <v>51</v>
      </c>
      <c r="C7" s="17">
        <v>21</v>
      </c>
      <c r="D7" s="17">
        <v>17</v>
      </c>
      <c r="E7" s="17">
        <v>22</v>
      </c>
    </row>
    <row r="8" spans="1:13" customFormat="1" x14ac:dyDescent="0.3">
      <c r="A8" s="17" t="s">
        <v>1</v>
      </c>
      <c r="B8" s="17" t="s">
        <v>37</v>
      </c>
      <c r="C8" s="17">
        <v>24</v>
      </c>
      <c r="D8" s="17">
        <v>16</v>
      </c>
      <c r="E8" s="17">
        <v>25</v>
      </c>
    </row>
    <row r="9" spans="1:13" customFormat="1" x14ac:dyDescent="0.3">
      <c r="A9" s="17" t="s">
        <v>1</v>
      </c>
      <c r="B9" s="17" t="s">
        <v>2572</v>
      </c>
      <c r="C9" s="17">
        <v>26</v>
      </c>
      <c r="D9" s="17">
        <v>15</v>
      </c>
      <c r="E9" s="17">
        <v>26</v>
      </c>
    </row>
    <row r="10" spans="1:13" customFormat="1" ht="17.25" thickBot="1" x14ac:dyDescent="0.35">
      <c r="A10" s="17" t="s">
        <v>1</v>
      </c>
      <c r="B10" s="17" t="s">
        <v>61</v>
      </c>
      <c r="C10" s="17">
        <v>14</v>
      </c>
      <c r="D10" s="17">
        <v>12</v>
      </c>
      <c r="E10" s="17">
        <v>15</v>
      </c>
    </row>
    <row r="11" spans="1:13" x14ac:dyDescent="0.3">
      <c r="A11" s="17" t="s">
        <v>1</v>
      </c>
      <c r="B11" s="17" t="s">
        <v>2075</v>
      </c>
      <c r="C11" s="17">
        <v>14</v>
      </c>
      <c r="D11" s="17">
        <v>12</v>
      </c>
      <c r="E11" s="17">
        <v>16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29</v>
      </c>
      <c r="C12" s="17">
        <v>12</v>
      </c>
      <c r="D12" s="17">
        <v>12</v>
      </c>
      <c r="E12" s="17">
        <v>13</v>
      </c>
      <c r="G12" s="23"/>
      <c r="H12" s="21">
        <f t="shared" ref="H12:J12" si="0">SUM(H13:H16)</f>
        <v>1910</v>
      </c>
      <c r="I12" s="21">
        <f t="shared" si="0"/>
        <v>1210</v>
      </c>
      <c r="J12" s="24">
        <f t="shared" si="0"/>
        <v>2358</v>
      </c>
    </row>
    <row r="13" spans="1:13" x14ac:dyDescent="0.3">
      <c r="A13" s="17" t="s">
        <v>1</v>
      </c>
      <c r="B13" s="17" t="s">
        <v>48</v>
      </c>
      <c r="C13" s="17">
        <v>14</v>
      </c>
      <c r="D13" s="17">
        <v>11</v>
      </c>
      <c r="E13" s="17">
        <v>13</v>
      </c>
      <c r="G13" s="23" t="s">
        <v>7</v>
      </c>
      <c r="H13" s="22">
        <f t="shared" ref="H13:J16" si="1">SUMIF($A$2:$A$9999,$G13,C$2:C$9999)</f>
        <v>1405</v>
      </c>
      <c r="I13" s="22">
        <f t="shared" si="1"/>
        <v>815</v>
      </c>
      <c r="J13" s="25">
        <f t="shared" si="1"/>
        <v>1737</v>
      </c>
    </row>
    <row r="14" spans="1:13" x14ac:dyDescent="0.3">
      <c r="A14" s="17" t="s">
        <v>1</v>
      </c>
      <c r="B14" s="17" t="s">
        <v>1897</v>
      </c>
      <c r="C14" s="17">
        <v>14</v>
      </c>
      <c r="D14" s="17">
        <v>11</v>
      </c>
      <c r="E14" s="17">
        <v>23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31</v>
      </c>
      <c r="C15" s="17">
        <v>11</v>
      </c>
      <c r="D15" s="17">
        <v>11</v>
      </c>
      <c r="E15" s="17">
        <v>11</v>
      </c>
      <c r="G15" s="23" t="s">
        <v>11</v>
      </c>
      <c r="H15" s="22">
        <f t="shared" si="1"/>
        <v>440</v>
      </c>
      <c r="I15" s="22">
        <f t="shared" si="1"/>
        <v>341</v>
      </c>
      <c r="J15" s="25">
        <f t="shared" si="1"/>
        <v>536</v>
      </c>
    </row>
    <row r="16" spans="1:13" ht="17.25" thickBot="1" x14ac:dyDescent="0.35">
      <c r="A16" s="17" t="s">
        <v>1</v>
      </c>
      <c r="B16" s="17" t="s">
        <v>376</v>
      </c>
      <c r="C16" s="17">
        <v>14</v>
      </c>
      <c r="D16" s="17">
        <v>10</v>
      </c>
      <c r="E16" s="17">
        <v>26</v>
      </c>
      <c r="G16" s="26" t="s">
        <v>12</v>
      </c>
      <c r="H16" s="27">
        <f t="shared" si="1"/>
        <v>65</v>
      </c>
      <c r="I16" s="27">
        <f t="shared" si="1"/>
        <v>54</v>
      </c>
      <c r="J16" s="28">
        <f t="shared" si="1"/>
        <v>85</v>
      </c>
    </row>
    <row r="17" spans="1:5" x14ac:dyDescent="0.3">
      <c r="A17" s="17" t="s">
        <v>0</v>
      </c>
      <c r="B17" s="17" t="s">
        <v>30</v>
      </c>
      <c r="C17" s="17">
        <v>19</v>
      </c>
      <c r="D17" s="17">
        <v>10</v>
      </c>
      <c r="E17" s="17">
        <v>32</v>
      </c>
    </row>
    <row r="18" spans="1:5" x14ac:dyDescent="0.3">
      <c r="A18" s="17" t="s">
        <v>1</v>
      </c>
      <c r="B18" s="17" t="s">
        <v>149</v>
      </c>
      <c r="C18" s="17">
        <v>10</v>
      </c>
      <c r="D18" s="17">
        <v>9</v>
      </c>
      <c r="E18" s="17">
        <v>10</v>
      </c>
    </row>
    <row r="19" spans="1:5" x14ac:dyDescent="0.3">
      <c r="A19" s="17" t="s">
        <v>1</v>
      </c>
      <c r="B19" s="17" t="s">
        <v>29</v>
      </c>
      <c r="C19" s="17">
        <v>9</v>
      </c>
      <c r="D19" s="17">
        <v>9</v>
      </c>
      <c r="E19" s="17">
        <v>9</v>
      </c>
    </row>
    <row r="20" spans="1:5" x14ac:dyDescent="0.3">
      <c r="A20" s="17" t="s">
        <v>1</v>
      </c>
      <c r="B20" s="17" t="s">
        <v>135</v>
      </c>
      <c r="C20" s="17">
        <v>10</v>
      </c>
      <c r="D20" s="17">
        <v>9</v>
      </c>
      <c r="E20" s="17">
        <v>15</v>
      </c>
    </row>
    <row r="21" spans="1:5" x14ac:dyDescent="0.3">
      <c r="A21" s="17" t="s">
        <v>0</v>
      </c>
      <c r="B21" s="17" t="s">
        <v>2572</v>
      </c>
      <c r="C21" s="17">
        <v>10</v>
      </c>
      <c r="D21" s="17">
        <v>9</v>
      </c>
      <c r="E21" s="17">
        <v>11</v>
      </c>
    </row>
    <row r="22" spans="1:5" x14ac:dyDescent="0.3">
      <c r="A22" s="17" t="s">
        <v>1</v>
      </c>
      <c r="B22" s="17" t="s">
        <v>152</v>
      </c>
      <c r="C22" s="17">
        <v>14</v>
      </c>
      <c r="D22" s="17">
        <v>8</v>
      </c>
      <c r="E22" s="17">
        <v>14</v>
      </c>
    </row>
    <row r="23" spans="1:5" x14ac:dyDescent="0.3">
      <c r="A23" s="17" t="s">
        <v>1</v>
      </c>
      <c r="B23" s="17" t="s">
        <v>96</v>
      </c>
      <c r="C23" s="17">
        <v>10</v>
      </c>
      <c r="D23" s="17">
        <v>8</v>
      </c>
      <c r="E23" s="17">
        <v>10</v>
      </c>
    </row>
    <row r="24" spans="1:5" x14ac:dyDescent="0.3">
      <c r="A24" s="17" t="s">
        <v>1</v>
      </c>
      <c r="B24" s="17" t="s">
        <v>2692</v>
      </c>
      <c r="C24" s="17">
        <v>30</v>
      </c>
      <c r="D24" s="17">
        <v>8</v>
      </c>
      <c r="E24" s="17">
        <v>36</v>
      </c>
    </row>
    <row r="25" spans="1:5" x14ac:dyDescent="0.3">
      <c r="A25" s="17" t="s">
        <v>1</v>
      </c>
      <c r="B25" s="17" t="s">
        <v>289</v>
      </c>
      <c r="C25" s="17">
        <v>8</v>
      </c>
      <c r="D25" s="17">
        <v>8</v>
      </c>
      <c r="E25" s="17">
        <v>8</v>
      </c>
    </row>
    <row r="26" spans="1:5" x14ac:dyDescent="0.3">
      <c r="A26" s="17" t="s">
        <v>0</v>
      </c>
      <c r="B26" s="17" t="s">
        <v>2075</v>
      </c>
      <c r="C26" s="17">
        <v>9</v>
      </c>
      <c r="D26" s="17">
        <v>8</v>
      </c>
      <c r="E26" s="17">
        <v>11</v>
      </c>
    </row>
    <row r="27" spans="1:5" x14ac:dyDescent="0.3">
      <c r="A27" s="17" t="s">
        <v>1</v>
      </c>
      <c r="B27" s="17" t="s">
        <v>33</v>
      </c>
      <c r="C27" s="17">
        <v>9</v>
      </c>
      <c r="D27" s="17">
        <v>7</v>
      </c>
      <c r="E27" s="17">
        <v>10</v>
      </c>
    </row>
    <row r="28" spans="1:5" x14ac:dyDescent="0.3">
      <c r="A28" s="17" t="s">
        <v>1</v>
      </c>
      <c r="B28" s="17" t="s">
        <v>89</v>
      </c>
      <c r="C28" s="17">
        <v>8</v>
      </c>
      <c r="D28" s="17">
        <v>7</v>
      </c>
      <c r="E28" s="17">
        <v>7</v>
      </c>
    </row>
    <row r="29" spans="1:5" x14ac:dyDescent="0.3">
      <c r="A29" s="17" t="s">
        <v>1</v>
      </c>
      <c r="B29" s="17" t="s">
        <v>155</v>
      </c>
      <c r="C29" s="17">
        <v>10</v>
      </c>
      <c r="D29" s="17">
        <v>7</v>
      </c>
      <c r="E29" s="17">
        <v>9</v>
      </c>
    </row>
    <row r="30" spans="1:5" x14ac:dyDescent="0.3">
      <c r="A30" s="17" t="s">
        <v>1</v>
      </c>
      <c r="B30" s="17" t="s">
        <v>2944</v>
      </c>
      <c r="C30" s="17">
        <v>29</v>
      </c>
      <c r="D30" s="17">
        <v>7</v>
      </c>
      <c r="E30" s="17">
        <v>81</v>
      </c>
    </row>
    <row r="31" spans="1:5" x14ac:dyDescent="0.3">
      <c r="A31" s="17" t="s">
        <v>1</v>
      </c>
      <c r="B31" s="17" t="s">
        <v>200</v>
      </c>
      <c r="C31" s="17">
        <v>7</v>
      </c>
      <c r="D31" s="17">
        <v>6</v>
      </c>
      <c r="E31" s="17">
        <v>7</v>
      </c>
    </row>
    <row r="32" spans="1:5" x14ac:dyDescent="0.3">
      <c r="A32" s="17" t="s">
        <v>1</v>
      </c>
      <c r="B32" s="17" t="s">
        <v>122</v>
      </c>
      <c r="C32" s="17">
        <v>6</v>
      </c>
      <c r="D32" s="17">
        <v>6</v>
      </c>
      <c r="E32" s="17">
        <v>6</v>
      </c>
    </row>
    <row r="33" spans="1:5" x14ac:dyDescent="0.3">
      <c r="A33" s="17" t="s">
        <v>1</v>
      </c>
      <c r="B33" s="17" t="s">
        <v>31</v>
      </c>
      <c r="C33" s="17">
        <v>6</v>
      </c>
      <c r="D33" s="17">
        <v>6</v>
      </c>
      <c r="E33" s="17">
        <v>6</v>
      </c>
    </row>
    <row r="34" spans="1:5" x14ac:dyDescent="0.3">
      <c r="A34" s="17" t="s">
        <v>1</v>
      </c>
      <c r="B34" s="17" t="s">
        <v>38</v>
      </c>
      <c r="C34" s="17">
        <v>7</v>
      </c>
      <c r="D34" s="17">
        <v>6</v>
      </c>
      <c r="E34" s="17">
        <v>6</v>
      </c>
    </row>
    <row r="35" spans="1:5" x14ac:dyDescent="0.3">
      <c r="A35" s="17" t="s">
        <v>0</v>
      </c>
      <c r="B35" s="17" t="s">
        <v>37</v>
      </c>
      <c r="C35" s="17">
        <v>7</v>
      </c>
      <c r="D35" s="17">
        <v>6</v>
      </c>
      <c r="E35" s="17">
        <v>8</v>
      </c>
    </row>
    <row r="36" spans="1:5" x14ac:dyDescent="0.3">
      <c r="A36" s="17" t="s">
        <v>0</v>
      </c>
      <c r="B36" s="17" t="s">
        <v>39</v>
      </c>
      <c r="C36" s="17">
        <v>8</v>
      </c>
      <c r="D36" s="17">
        <v>6</v>
      </c>
      <c r="E36" s="17">
        <v>8</v>
      </c>
    </row>
    <row r="37" spans="1:5" x14ac:dyDescent="0.3">
      <c r="A37" s="17" t="s">
        <v>1</v>
      </c>
      <c r="B37" s="17" t="s">
        <v>273</v>
      </c>
      <c r="C37" s="17">
        <v>6</v>
      </c>
      <c r="D37" s="17">
        <v>5</v>
      </c>
      <c r="E37" s="17">
        <v>6</v>
      </c>
    </row>
    <row r="38" spans="1:5" x14ac:dyDescent="0.3">
      <c r="A38" s="17" t="s">
        <v>1</v>
      </c>
      <c r="B38" s="17" t="s">
        <v>113</v>
      </c>
      <c r="C38" s="17">
        <v>5</v>
      </c>
      <c r="D38" s="17">
        <v>5</v>
      </c>
      <c r="E38" s="17">
        <v>5</v>
      </c>
    </row>
    <row r="39" spans="1:5" x14ac:dyDescent="0.3">
      <c r="A39" s="17" t="s">
        <v>0</v>
      </c>
      <c r="B39" s="17" t="s">
        <v>376</v>
      </c>
      <c r="C39" s="17">
        <v>7</v>
      </c>
      <c r="D39" s="17">
        <v>5</v>
      </c>
      <c r="E39" s="17">
        <v>10</v>
      </c>
    </row>
    <row r="40" spans="1:5" x14ac:dyDescent="0.3">
      <c r="A40" s="17" t="s">
        <v>2</v>
      </c>
      <c r="B40" s="17" t="s">
        <v>403</v>
      </c>
      <c r="C40" s="17">
        <v>5</v>
      </c>
      <c r="D40" s="17">
        <v>5</v>
      </c>
      <c r="E40" s="17">
        <v>6</v>
      </c>
    </row>
    <row r="41" spans="1:5" x14ac:dyDescent="0.3">
      <c r="A41" s="17" t="s">
        <v>1</v>
      </c>
      <c r="B41" s="17" t="s">
        <v>79</v>
      </c>
      <c r="C41" s="17">
        <v>5</v>
      </c>
      <c r="D41" s="17">
        <v>4</v>
      </c>
      <c r="E41" s="17">
        <v>5</v>
      </c>
    </row>
    <row r="42" spans="1:5" x14ac:dyDescent="0.3">
      <c r="A42" s="17" t="s">
        <v>1</v>
      </c>
      <c r="B42" s="17" t="s">
        <v>85</v>
      </c>
      <c r="C42" s="17">
        <v>7</v>
      </c>
      <c r="D42" s="17">
        <v>4</v>
      </c>
      <c r="E42" s="17">
        <v>9</v>
      </c>
    </row>
    <row r="43" spans="1:5" x14ac:dyDescent="0.3">
      <c r="A43" s="17" t="s">
        <v>1</v>
      </c>
      <c r="B43" s="17" t="s">
        <v>281</v>
      </c>
      <c r="C43" s="17">
        <v>8</v>
      </c>
      <c r="D43" s="17">
        <v>4</v>
      </c>
      <c r="E43" s="17">
        <v>9</v>
      </c>
    </row>
    <row r="44" spans="1:5" x14ac:dyDescent="0.3">
      <c r="A44" s="17" t="s">
        <v>1</v>
      </c>
      <c r="B44" s="17" t="s">
        <v>42</v>
      </c>
      <c r="C44" s="17">
        <v>7</v>
      </c>
      <c r="D44" s="17">
        <v>4</v>
      </c>
      <c r="E44" s="17">
        <v>8</v>
      </c>
    </row>
    <row r="45" spans="1:5" x14ac:dyDescent="0.3">
      <c r="A45" s="17" t="s">
        <v>1</v>
      </c>
      <c r="B45" s="17" t="s">
        <v>2396</v>
      </c>
      <c r="C45" s="17">
        <v>6</v>
      </c>
      <c r="D45" s="17">
        <v>4</v>
      </c>
      <c r="E45" s="17">
        <v>7</v>
      </c>
    </row>
    <row r="46" spans="1:5" x14ac:dyDescent="0.3">
      <c r="A46" s="17" t="s">
        <v>1</v>
      </c>
      <c r="B46" s="17" t="s">
        <v>403</v>
      </c>
      <c r="C46" s="17">
        <v>5</v>
      </c>
      <c r="D46" s="17">
        <v>4</v>
      </c>
      <c r="E46" s="17">
        <v>4</v>
      </c>
    </row>
    <row r="47" spans="1:5" x14ac:dyDescent="0.3">
      <c r="A47" s="17" t="s">
        <v>1</v>
      </c>
      <c r="B47" s="17" t="s">
        <v>168</v>
      </c>
      <c r="C47" s="17">
        <v>4</v>
      </c>
      <c r="D47" s="17">
        <v>4</v>
      </c>
      <c r="E47" s="17">
        <v>4</v>
      </c>
    </row>
    <row r="48" spans="1:5" x14ac:dyDescent="0.3">
      <c r="A48" s="17" t="s">
        <v>1</v>
      </c>
      <c r="B48" s="17" t="s">
        <v>169</v>
      </c>
      <c r="C48" s="17">
        <v>4</v>
      </c>
      <c r="D48" s="17">
        <v>4</v>
      </c>
      <c r="E48" s="17">
        <v>5</v>
      </c>
    </row>
    <row r="49" spans="1:5" x14ac:dyDescent="0.3">
      <c r="A49" s="17" t="s">
        <v>1</v>
      </c>
      <c r="B49" s="17" t="s">
        <v>52</v>
      </c>
      <c r="C49" s="17">
        <v>6</v>
      </c>
      <c r="D49" s="17">
        <v>4</v>
      </c>
      <c r="E49" s="17">
        <v>6</v>
      </c>
    </row>
    <row r="50" spans="1:5" x14ac:dyDescent="0.3">
      <c r="A50" s="17" t="s">
        <v>1</v>
      </c>
      <c r="B50" s="17" t="s">
        <v>39</v>
      </c>
      <c r="C50" s="17">
        <v>18</v>
      </c>
      <c r="D50" s="17">
        <v>4</v>
      </c>
      <c r="E50" s="17">
        <v>21</v>
      </c>
    </row>
    <row r="51" spans="1:5" x14ac:dyDescent="0.3">
      <c r="A51" s="17" t="s">
        <v>1</v>
      </c>
      <c r="B51" s="17" t="s">
        <v>850</v>
      </c>
      <c r="C51" s="17">
        <v>4</v>
      </c>
      <c r="D51" s="17">
        <v>4</v>
      </c>
      <c r="E51" s="17">
        <v>5</v>
      </c>
    </row>
    <row r="52" spans="1:5" x14ac:dyDescent="0.3">
      <c r="A52" s="17" t="s">
        <v>1</v>
      </c>
      <c r="B52" s="17" t="s">
        <v>1213</v>
      </c>
      <c r="C52" s="17">
        <v>4</v>
      </c>
      <c r="D52" s="17">
        <v>4</v>
      </c>
      <c r="E52" s="17">
        <v>4</v>
      </c>
    </row>
    <row r="53" spans="1:5" x14ac:dyDescent="0.3">
      <c r="A53" s="17" t="s">
        <v>0</v>
      </c>
      <c r="B53" s="17" t="s">
        <v>48</v>
      </c>
      <c r="C53" s="17">
        <v>4</v>
      </c>
      <c r="D53" s="17">
        <v>4</v>
      </c>
      <c r="E53" s="17">
        <v>4</v>
      </c>
    </row>
    <row r="54" spans="1:5" x14ac:dyDescent="0.3">
      <c r="A54" s="17" t="s">
        <v>0</v>
      </c>
      <c r="B54" s="17" t="s">
        <v>365</v>
      </c>
      <c r="C54" s="17">
        <v>5</v>
      </c>
      <c r="D54" s="17">
        <v>4</v>
      </c>
      <c r="E54" s="17">
        <v>5</v>
      </c>
    </row>
    <row r="55" spans="1:5" x14ac:dyDescent="0.3">
      <c r="A55" s="17" t="s">
        <v>0</v>
      </c>
      <c r="B55" s="17" t="s">
        <v>61</v>
      </c>
      <c r="C55" s="17">
        <v>4</v>
      </c>
      <c r="D55" s="17">
        <v>4</v>
      </c>
      <c r="E55" s="17">
        <v>4</v>
      </c>
    </row>
    <row r="56" spans="1:5" x14ac:dyDescent="0.3">
      <c r="A56" s="17" t="s">
        <v>0</v>
      </c>
      <c r="B56" s="17" t="s">
        <v>2396</v>
      </c>
      <c r="C56" s="17">
        <v>4</v>
      </c>
      <c r="D56" s="17">
        <v>4</v>
      </c>
      <c r="E56" s="17">
        <v>5</v>
      </c>
    </row>
    <row r="57" spans="1:5" x14ac:dyDescent="0.3">
      <c r="A57" s="17" t="s">
        <v>0</v>
      </c>
      <c r="B57" s="17" t="s">
        <v>265</v>
      </c>
      <c r="C57" s="17">
        <v>5</v>
      </c>
      <c r="D57" s="17">
        <v>4</v>
      </c>
      <c r="E57" s="17">
        <v>5</v>
      </c>
    </row>
    <row r="58" spans="1:5" x14ac:dyDescent="0.3">
      <c r="A58" s="17" t="s">
        <v>0</v>
      </c>
      <c r="B58" s="17" t="s">
        <v>322</v>
      </c>
      <c r="C58" s="17">
        <v>4</v>
      </c>
      <c r="D58" s="17">
        <v>4</v>
      </c>
      <c r="E58" s="17">
        <v>10</v>
      </c>
    </row>
    <row r="59" spans="1:5" x14ac:dyDescent="0.3">
      <c r="A59" s="17" t="s">
        <v>1</v>
      </c>
      <c r="B59" s="17" t="s">
        <v>36</v>
      </c>
      <c r="C59" s="17">
        <v>5</v>
      </c>
      <c r="D59" s="17">
        <v>3</v>
      </c>
      <c r="E59" s="17">
        <v>6</v>
      </c>
    </row>
    <row r="60" spans="1:5" x14ac:dyDescent="0.3">
      <c r="A60" s="17" t="s">
        <v>1</v>
      </c>
      <c r="B60" s="17" t="s">
        <v>47</v>
      </c>
      <c r="C60" s="17">
        <v>10</v>
      </c>
      <c r="D60" s="17">
        <v>3</v>
      </c>
      <c r="E60" s="17">
        <v>14</v>
      </c>
    </row>
    <row r="61" spans="1:5" x14ac:dyDescent="0.3">
      <c r="A61" s="17" t="s">
        <v>1</v>
      </c>
      <c r="B61" s="17" t="s">
        <v>247</v>
      </c>
      <c r="C61" s="17">
        <v>5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1314</v>
      </c>
      <c r="C62" s="17">
        <v>4</v>
      </c>
      <c r="D62" s="17">
        <v>3</v>
      </c>
      <c r="E62" s="17">
        <v>5</v>
      </c>
    </row>
    <row r="63" spans="1:5" x14ac:dyDescent="0.3">
      <c r="A63" s="17" t="s">
        <v>1</v>
      </c>
      <c r="B63" s="17" t="s">
        <v>315</v>
      </c>
      <c r="C63" s="17">
        <v>3</v>
      </c>
      <c r="D63" s="17">
        <v>3</v>
      </c>
      <c r="E63" s="17">
        <v>5</v>
      </c>
    </row>
    <row r="64" spans="1:5" x14ac:dyDescent="0.3">
      <c r="A64" s="17" t="s">
        <v>1</v>
      </c>
      <c r="B64" s="17" t="s">
        <v>692</v>
      </c>
      <c r="C64" s="17">
        <v>4</v>
      </c>
      <c r="D64" s="17">
        <v>3</v>
      </c>
      <c r="E64" s="17">
        <v>6</v>
      </c>
    </row>
    <row r="65" spans="1:5" x14ac:dyDescent="0.3">
      <c r="A65" s="17" t="s">
        <v>1</v>
      </c>
      <c r="B65" s="17" t="s">
        <v>487</v>
      </c>
      <c r="C65" s="17">
        <v>10</v>
      </c>
      <c r="D65" s="17">
        <v>3</v>
      </c>
      <c r="E65" s="17">
        <v>19</v>
      </c>
    </row>
    <row r="66" spans="1:5" x14ac:dyDescent="0.3">
      <c r="A66" s="17" t="s">
        <v>1</v>
      </c>
      <c r="B66" s="17" t="s">
        <v>1946</v>
      </c>
      <c r="C66" s="17">
        <v>7</v>
      </c>
      <c r="D66" s="17">
        <v>3</v>
      </c>
      <c r="E66" s="17">
        <v>8</v>
      </c>
    </row>
    <row r="67" spans="1:5" x14ac:dyDescent="0.3">
      <c r="A67" s="17" t="s">
        <v>1</v>
      </c>
      <c r="B67" s="17" t="s">
        <v>2599</v>
      </c>
      <c r="C67" s="17">
        <v>11</v>
      </c>
      <c r="D67" s="17">
        <v>3</v>
      </c>
      <c r="E67" s="17">
        <v>14</v>
      </c>
    </row>
    <row r="68" spans="1:5" x14ac:dyDescent="0.3">
      <c r="A68" s="17" t="s">
        <v>1</v>
      </c>
      <c r="B68" s="17" t="s">
        <v>588</v>
      </c>
      <c r="C68" s="17">
        <v>3</v>
      </c>
      <c r="D68" s="17">
        <v>3</v>
      </c>
      <c r="E68" s="17">
        <v>5</v>
      </c>
    </row>
    <row r="69" spans="1:5" x14ac:dyDescent="0.3">
      <c r="A69" s="17" t="s">
        <v>1</v>
      </c>
      <c r="B69" s="17" t="s">
        <v>103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291</v>
      </c>
      <c r="C70" s="17">
        <v>3</v>
      </c>
      <c r="D70" s="17">
        <v>3</v>
      </c>
      <c r="E70" s="17">
        <v>3</v>
      </c>
    </row>
    <row r="71" spans="1:5" x14ac:dyDescent="0.3">
      <c r="A71" s="17" t="s">
        <v>1</v>
      </c>
      <c r="B71" s="17" t="s">
        <v>178</v>
      </c>
      <c r="C71" s="17">
        <v>5</v>
      </c>
      <c r="D71" s="17">
        <v>3</v>
      </c>
      <c r="E71" s="17">
        <v>7</v>
      </c>
    </row>
    <row r="72" spans="1:5" x14ac:dyDescent="0.3">
      <c r="A72" s="17" t="s">
        <v>1</v>
      </c>
      <c r="B72" s="17" t="s">
        <v>897</v>
      </c>
      <c r="C72" s="17">
        <v>3</v>
      </c>
      <c r="D72" s="17">
        <v>3</v>
      </c>
      <c r="E72" s="17">
        <v>3</v>
      </c>
    </row>
    <row r="73" spans="1:5" x14ac:dyDescent="0.3">
      <c r="A73" s="17" t="s">
        <v>1</v>
      </c>
      <c r="B73" s="17" t="s">
        <v>1519</v>
      </c>
      <c r="C73" s="17">
        <v>3</v>
      </c>
      <c r="D73" s="17">
        <v>4</v>
      </c>
      <c r="E73" s="17"/>
    </row>
    <row r="74" spans="1:5" x14ac:dyDescent="0.3">
      <c r="A74" s="17" t="s">
        <v>1</v>
      </c>
      <c r="B74" s="17" t="s">
        <v>32</v>
      </c>
      <c r="C74" s="17">
        <v>13</v>
      </c>
      <c r="D74" s="17">
        <v>3</v>
      </c>
      <c r="E74" s="17">
        <v>19</v>
      </c>
    </row>
    <row r="75" spans="1:5" x14ac:dyDescent="0.3">
      <c r="A75" s="17" t="s">
        <v>0</v>
      </c>
      <c r="B75" s="17" t="s">
        <v>490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247</v>
      </c>
      <c r="C76" s="17">
        <v>3</v>
      </c>
      <c r="D76" s="17">
        <v>3</v>
      </c>
      <c r="E76" s="17">
        <v>3</v>
      </c>
    </row>
    <row r="77" spans="1:5" x14ac:dyDescent="0.3">
      <c r="A77" s="17" t="s">
        <v>0</v>
      </c>
      <c r="B77" s="17" t="s">
        <v>149</v>
      </c>
      <c r="C77" s="17">
        <v>3</v>
      </c>
      <c r="D77" s="17">
        <v>3</v>
      </c>
      <c r="E77" s="17">
        <v>4</v>
      </c>
    </row>
    <row r="78" spans="1:5" x14ac:dyDescent="0.3">
      <c r="A78" s="17" t="s">
        <v>0</v>
      </c>
      <c r="B78" s="17" t="s">
        <v>92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155</v>
      </c>
      <c r="C79" s="17">
        <v>3</v>
      </c>
      <c r="D79" s="17">
        <v>3</v>
      </c>
      <c r="E79" s="17">
        <v>4</v>
      </c>
    </row>
    <row r="80" spans="1:5" x14ac:dyDescent="0.3">
      <c r="A80" s="17" t="s">
        <v>0</v>
      </c>
      <c r="B80" s="17" t="s">
        <v>41</v>
      </c>
      <c r="C80" s="17">
        <v>3</v>
      </c>
      <c r="D80" s="17">
        <v>3</v>
      </c>
      <c r="E80" s="17">
        <v>3</v>
      </c>
    </row>
    <row r="81" spans="1:5" x14ac:dyDescent="0.3">
      <c r="A81" s="17" t="s">
        <v>0</v>
      </c>
      <c r="B81" s="17" t="s">
        <v>1897</v>
      </c>
      <c r="C81" s="17">
        <v>3</v>
      </c>
      <c r="D81" s="17">
        <v>3</v>
      </c>
      <c r="E81" s="17">
        <v>4</v>
      </c>
    </row>
    <row r="82" spans="1:5" x14ac:dyDescent="0.3">
      <c r="A82" s="17" t="s">
        <v>0</v>
      </c>
      <c r="B82" s="17" t="s">
        <v>122</v>
      </c>
      <c r="C82" s="17">
        <v>3</v>
      </c>
      <c r="D82" s="17">
        <v>3</v>
      </c>
      <c r="E82" s="17">
        <v>3</v>
      </c>
    </row>
    <row r="83" spans="1:5" x14ac:dyDescent="0.3">
      <c r="A83" s="17" t="s">
        <v>0</v>
      </c>
      <c r="B83" s="17" t="s">
        <v>602</v>
      </c>
      <c r="C83" s="17">
        <v>3</v>
      </c>
      <c r="D83" s="17">
        <v>3</v>
      </c>
      <c r="E83" s="17">
        <v>3</v>
      </c>
    </row>
    <row r="84" spans="1:5" x14ac:dyDescent="0.3">
      <c r="A84" s="17" t="s">
        <v>0</v>
      </c>
      <c r="B84" s="17" t="s">
        <v>192</v>
      </c>
      <c r="C84" s="17">
        <v>3</v>
      </c>
      <c r="D84" s="17">
        <v>3</v>
      </c>
      <c r="E84" s="17">
        <v>3</v>
      </c>
    </row>
    <row r="85" spans="1:5" x14ac:dyDescent="0.3">
      <c r="A85" s="17" t="s">
        <v>2</v>
      </c>
      <c r="B85" s="17" t="s">
        <v>61</v>
      </c>
      <c r="C85" s="17">
        <v>3</v>
      </c>
      <c r="D85" s="17">
        <v>3</v>
      </c>
      <c r="E85" s="17">
        <v>3</v>
      </c>
    </row>
    <row r="86" spans="1:5" x14ac:dyDescent="0.3">
      <c r="A86" s="17" t="s">
        <v>2</v>
      </c>
      <c r="B86" s="17" t="s">
        <v>1927</v>
      </c>
      <c r="C86" s="17">
        <v>4</v>
      </c>
      <c r="D86" s="17">
        <v>3</v>
      </c>
      <c r="E86" s="17">
        <v>6</v>
      </c>
    </row>
    <row r="87" spans="1:5" x14ac:dyDescent="0.3">
      <c r="A87" s="17" t="s">
        <v>2</v>
      </c>
      <c r="B87" s="17" t="s">
        <v>2075</v>
      </c>
      <c r="C87" s="17">
        <v>3</v>
      </c>
      <c r="D87" s="17">
        <v>3</v>
      </c>
      <c r="E87" s="17">
        <v>3</v>
      </c>
    </row>
    <row r="88" spans="1:5" x14ac:dyDescent="0.3">
      <c r="A88" s="17" t="s">
        <v>1</v>
      </c>
      <c r="B88" s="17" t="s">
        <v>144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34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40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215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151</v>
      </c>
      <c r="C92" s="17">
        <v>3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154</v>
      </c>
      <c r="C93" s="17">
        <v>2</v>
      </c>
      <c r="D93" s="17">
        <v>2</v>
      </c>
      <c r="E93" s="17">
        <v>4</v>
      </c>
    </row>
    <row r="94" spans="1:5" x14ac:dyDescent="0.3">
      <c r="A94" s="17" t="s">
        <v>1</v>
      </c>
      <c r="B94" s="17" t="s">
        <v>95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1662</v>
      </c>
      <c r="C95" s="17">
        <v>3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2616</v>
      </c>
      <c r="C96" s="17">
        <v>4</v>
      </c>
      <c r="D96" s="17">
        <v>2</v>
      </c>
      <c r="E96" s="17">
        <v>4</v>
      </c>
    </row>
    <row r="97" spans="1:5" x14ac:dyDescent="0.3">
      <c r="A97" s="17" t="s">
        <v>1</v>
      </c>
      <c r="B97" s="17" t="s">
        <v>1391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492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998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352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165</v>
      </c>
      <c r="C101" s="17">
        <v>5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105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106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199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111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173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872</v>
      </c>
      <c r="C107" s="17">
        <v>3</v>
      </c>
      <c r="D107" s="17">
        <v>2</v>
      </c>
      <c r="E107" s="17">
        <v>4</v>
      </c>
    </row>
    <row r="108" spans="1:5" x14ac:dyDescent="0.3">
      <c r="A108" s="17" t="s">
        <v>1</v>
      </c>
      <c r="B108" s="17" t="s">
        <v>2215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534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594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539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115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331</v>
      </c>
      <c r="C113" s="17">
        <v>3</v>
      </c>
      <c r="D113" s="17">
        <v>2</v>
      </c>
      <c r="E113" s="17">
        <v>5</v>
      </c>
    </row>
    <row r="114" spans="1:5" x14ac:dyDescent="0.3">
      <c r="A114" s="17" t="s">
        <v>1</v>
      </c>
      <c r="B114" s="17" t="s">
        <v>597</v>
      </c>
      <c r="C114" s="17">
        <v>2</v>
      </c>
      <c r="D114" s="17">
        <v>2</v>
      </c>
      <c r="E114" s="17">
        <v>4</v>
      </c>
    </row>
    <row r="115" spans="1:5" x14ac:dyDescent="0.3">
      <c r="A115" s="17" t="s">
        <v>1</v>
      </c>
      <c r="B115" s="17" t="s">
        <v>336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607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658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681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176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120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123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695</v>
      </c>
      <c r="C122" s="17">
        <v>3</v>
      </c>
      <c r="D122" s="17">
        <v>2</v>
      </c>
      <c r="E122" s="17">
        <v>3</v>
      </c>
    </row>
    <row r="123" spans="1:5" x14ac:dyDescent="0.3">
      <c r="A123" s="17" t="s">
        <v>1</v>
      </c>
      <c r="B123" s="17" t="s">
        <v>553</v>
      </c>
      <c r="C123" s="17">
        <v>3</v>
      </c>
      <c r="D123" s="17">
        <v>2</v>
      </c>
      <c r="E123" s="17">
        <v>4</v>
      </c>
    </row>
    <row r="124" spans="1:5" x14ac:dyDescent="0.3">
      <c r="A124" s="17" t="s">
        <v>1</v>
      </c>
      <c r="B124" s="17" t="s">
        <v>125</v>
      </c>
      <c r="C124" s="17">
        <v>3</v>
      </c>
      <c r="D124" s="17">
        <v>2</v>
      </c>
      <c r="E124" s="17">
        <v>3</v>
      </c>
    </row>
    <row r="125" spans="1:5" x14ac:dyDescent="0.3">
      <c r="A125" s="17" t="s">
        <v>1</v>
      </c>
      <c r="B125" s="17" t="s">
        <v>746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703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126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201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1</v>
      </c>
      <c r="B129" s="17" t="s">
        <v>1327</v>
      </c>
      <c r="C129" s="17">
        <v>3</v>
      </c>
      <c r="D129" s="17">
        <v>2</v>
      </c>
      <c r="E129" s="17">
        <v>4</v>
      </c>
    </row>
    <row r="130" spans="1:5" x14ac:dyDescent="0.3">
      <c r="A130" s="17" t="s">
        <v>1</v>
      </c>
      <c r="B130" s="17" t="s">
        <v>56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2981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58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1090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151</v>
      </c>
      <c r="C134" s="17">
        <v>2</v>
      </c>
      <c r="D134" s="17">
        <v>2</v>
      </c>
      <c r="E134" s="17">
        <v>3</v>
      </c>
    </row>
    <row r="135" spans="1:5" x14ac:dyDescent="0.3">
      <c r="A135" s="17" t="s">
        <v>0</v>
      </c>
      <c r="B135" s="17" t="s">
        <v>89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641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96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1691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1927</v>
      </c>
      <c r="C139" s="17">
        <v>2</v>
      </c>
      <c r="D139" s="17">
        <v>2</v>
      </c>
      <c r="E139" s="17">
        <v>3</v>
      </c>
    </row>
    <row r="140" spans="1:5" x14ac:dyDescent="0.3">
      <c r="A140" s="17" t="s">
        <v>0</v>
      </c>
      <c r="B140" s="17" t="s">
        <v>35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319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104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165</v>
      </c>
      <c r="C143" s="17">
        <v>2</v>
      </c>
      <c r="D143" s="17">
        <v>2</v>
      </c>
      <c r="E143" s="17">
        <v>3</v>
      </c>
    </row>
    <row r="144" spans="1:5" x14ac:dyDescent="0.3">
      <c r="A144" s="17" t="s">
        <v>0</v>
      </c>
      <c r="B144" s="17" t="s">
        <v>321</v>
      </c>
      <c r="C144" s="17">
        <v>2</v>
      </c>
      <c r="D144" s="17">
        <v>2</v>
      </c>
      <c r="E144" s="17">
        <v>3</v>
      </c>
    </row>
    <row r="145" spans="1:5" x14ac:dyDescent="0.3">
      <c r="A145" s="17" t="s">
        <v>0</v>
      </c>
      <c r="B145" s="17" t="s">
        <v>51</v>
      </c>
      <c r="C145" s="17">
        <v>4</v>
      </c>
      <c r="D145" s="17">
        <v>2</v>
      </c>
      <c r="E145" s="17">
        <v>4</v>
      </c>
    </row>
    <row r="146" spans="1:5" x14ac:dyDescent="0.3">
      <c r="A146" s="17" t="s">
        <v>0</v>
      </c>
      <c r="B146" s="17" t="s">
        <v>300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1083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68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2982</v>
      </c>
      <c r="C149" s="17">
        <v>2</v>
      </c>
      <c r="D149" s="17">
        <v>3</v>
      </c>
      <c r="E149" s="17"/>
    </row>
    <row r="150" spans="1:5" x14ac:dyDescent="0.3">
      <c r="A150" s="17" t="s">
        <v>2</v>
      </c>
      <c r="B150" s="17" t="s">
        <v>1897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2</v>
      </c>
      <c r="B151" s="17" t="s">
        <v>1112</v>
      </c>
      <c r="C151" s="17">
        <v>2</v>
      </c>
      <c r="D151" s="17">
        <v>2</v>
      </c>
      <c r="E151" s="17">
        <v>7</v>
      </c>
    </row>
    <row r="152" spans="1:5" x14ac:dyDescent="0.3">
      <c r="A152" s="17" t="s">
        <v>2</v>
      </c>
      <c r="B152" s="17" t="s">
        <v>746</v>
      </c>
      <c r="C152" s="17">
        <v>2</v>
      </c>
      <c r="D152" s="17">
        <v>2</v>
      </c>
      <c r="E152" s="17">
        <v>3</v>
      </c>
    </row>
    <row r="153" spans="1:5" x14ac:dyDescent="0.3">
      <c r="A153" s="17" t="s">
        <v>2</v>
      </c>
      <c r="B153" s="17" t="s">
        <v>126</v>
      </c>
      <c r="C153" s="17">
        <v>2</v>
      </c>
      <c r="D153" s="17">
        <v>2</v>
      </c>
      <c r="E153" s="17">
        <v>3</v>
      </c>
    </row>
    <row r="154" spans="1:5" x14ac:dyDescent="0.3">
      <c r="A154" s="17" t="s">
        <v>2</v>
      </c>
      <c r="B154" s="17" t="s">
        <v>38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1</v>
      </c>
      <c r="B155" s="17" t="s">
        <v>853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984</v>
      </c>
      <c r="C156" s="17">
        <v>2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1202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1981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311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71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269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432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72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392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206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458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1506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384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792</v>
      </c>
      <c r="C169" s="17">
        <v>3</v>
      </c>
      <c r="D169" s="17">
        <v>1</v>
      </c>
      <c r="E169" s="17">
        <v>4</v>
      </c>
    </row>
    <row r="170" spans="1:5" x14ac:dyDescent="0.3">
      <c r="A170" s="17" t="s">
        <v>1</v>
      </c>
      <c r="B170" s="17" t="s">
        <v>614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73</v>
      </c>
      <c r="C171" s="17">
        <v>1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793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856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513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393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272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1313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210</v>
      </c>
      <c r="C178" s="17">
        <v>2</v>
      </c>
      <c r="D178" s="17">
        <v>1</v>
      </c>
      <c r="E178" s="17">
        <v>4</v>
      </c>
    </row>
    <row r="179" spans="1:5" x14ac:dyDescent="0.3">
      <c r="A179" s="17" t="s">
        <v>1</v>
      </c>
      <c r="B179" s="17" t="s">
        <v>490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78</v>
      </c>
      <c r="C180" s="17">
        <v>1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434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517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59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1337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990</v>
      </c>
      <c r="C185" s="17">
        <v>2</v>
      </c>
      <c r="D185" s="17">
        <v>1</v>
      </c>
      <c r="E185" s="17">
        <v>3</v>
      </c>
    </row>
    <row r="186" spans="1:5" x14ac:dyDescent="0.3">
      <c r="A186" s="17" t="s">
        <v>1</v>
      </c>
      <c r="B186" s="17" t="s">
        <v>479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860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82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267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584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280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87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88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1203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631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1218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216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972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1060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1389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219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248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711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1062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1258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223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41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522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60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157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686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1643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1691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1911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1912</v>
      </c>
      <c r="C215" s="17">
        <v>2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2710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2399</v>
      </c>
      <c r="C217" s="17">
        <v>6</v>
      </c>
      <c r="D217" s="17">
        <v>1</v>
      </c>
      <c r="E217" s="17">
        <v>6</v>
      </c>
    </row>
    <row r="218" spans="1:5" x14ac:dyDescent="0.3">
      <c r="A218" s="17" t="s">
        <v>1</v>
      </c>
      <c r="B218" s="17" t="s">
        <v>2395</v>
      </c>
      <c r="C218" s="17">
        <v>5</v>
      </c>
      <c r="D218" s="17">
        <v>1</v>
      </c>
      <c r="E218" s="17">
        <v>5</v>
      </c>
    </row>
    <row r="219" spans="1:5" x14ac:dyDescent="0.3">
      <c r="A219" s="17" t="s">
        <v>1</v>
      </c>
      <c r="B219" s="17" t="s">
        <v>2398</v>
      </c>
      <c r="C219" s="17">
        <v>3</v>
      </c>
      <c r="D219" s="17">
        <v>1</v>
      </c>
      <c r="E219" s="17">
        <v>3</v>
      </c>
    </row>
    <row r="220" spans="1:5" x14ac:dyDescent="0.3">
      <c r="A220" s="17" t="s">
        <v>1</v>
      </c>
      <c r="B220" s="17" t="s">
        <v>2445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282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1285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1167</v>
      </c>
      <c r="C223" s="17">
        <v>1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524</v>
      </c>
      <c r="C224" s="17">
        <v>2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1868</v>
      </c>
      <c r="C225" s="17">
        <v>1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525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159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97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585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2983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1428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49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1278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35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1776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1066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100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101</v>
      </c>
      <c r="C238" s="17">
        <v>2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265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586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1067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441</v>
      </c>
      <c r="C242" s="17">
        <v>2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1713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163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2984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716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1460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1194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2246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2129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107</v>
      </c>
      <c r="C251" s="17">
        <v>2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1107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1147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1130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2060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2009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50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1393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1374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171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1225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1184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1735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2905</v>
      </c>
      <c r="C264" s="17">
        <v>2</v>
      </c>
      <c r="D264" s="17">
        <v>1</v>
      </c>
      <c r="E264" s="17">
        <v>2</v>
      </c>
    </row>
    <row r="265" spans="1:5" x14ac:dyDescent="0.3">
      <c r="A265" s="17" t="s">
        <v>1</v>
      </c>
      <c r="B265" s="17" t="s">
        <v>2210</v>
      </c>
      <c r="C265" s="17">
        <v>2</v>
      </c>
      <c r="D265" s="17">
        <v>1</v>
      </c>
      <c r="E265" s="17">
        <v>3</v>
      </c>
    </row>
    <row r="266" spans="1:5" x14ac:dyDescent="0.3">
      <c r="A266" s="17" t="s">
        <v>1</v>
      </c>
      <c r="B266" s="17" t="s">
        <v>1464</v>
      </c>
      <c r="C266" s="17">
        <v>2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1828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1552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533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175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493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1495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721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1196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540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541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1611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1376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45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2985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330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2030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776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917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296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445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2986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728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297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1077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729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1629</v>
      </c>
      <c r="C292" s="17">
        <v>1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468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598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2394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1528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731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2987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1556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1231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1187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809</v>
      </c>
      <c r="C302" s="17">
        <v>1</v>
      </c>
      <c r="D302" s="17">
        <v>1</v>
      </c>
      <c r="E302" s="17">
        <v>2</v>
      </c>
    </row>
    <row r="303" spans="1:5" x14ac:dyDescent="0.3">
      <c r="A303" s="17" t="s">
        <v>1</v>
      </c>
      <c r="B303" s="17" t="s">
        <v>656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1510</v>
      </c>
      <c r="C304" s="17">
        <v>1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886</v>
      </c>
      <c r="C305" s="17">
        <v>1</v>
      </c>
      <c r="D305" s="17">
        <v>1</v>
      </c>
      <c r="E305" s="17">
        <v>3</v>
      </c>
    </row>
    <row r="306" spans="1:5" x14ac:dyDescent="0.3">
      <c r="A306" s="17" t="s">
        <v>1</v>
      </c>
      <c r="B306" s="17" t="s">
        <v>414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338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117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415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339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1825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1110</v>
      </c>
      <c r="C312" s="17">
        <v>2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814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955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118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177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448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735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2988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2330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121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1112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662</v>
      </c>
      <c r="C323" s="17">
        <v>2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663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46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689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1014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890</v>
      </c>
      <c r="C328" s="17">
        <v>3</v>
      </c>
      <c r="D328" s="17">
        <v>1</v>
      </c>
      <c r="E328" s="17">
        <v>4</v>
      </c>
    </row>
    <row r="329" spans="1:5" x14ac:dyDescent="0.3">
      <c r="A329" s="17" t="s">
        <v>1</v>
      </c>
      <c r="B329" s="17" t="s">
        <v>179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2989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471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1894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696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892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300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2947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893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421</v>
      </c>
      <c r="C338" s="17">
        <v>2</v>
      </c>
      <c r="D338" s="17">
        <v>1</v>
      </c>
      <c r="E338" s="17">
        <v>3</v>
      </c>
    </row>
    <row r="339" spans="1:5" x14ac:dyDescent="0.3">
      <c r="A339" s="17" t="s">
        <v>1</v>
      </c>
      <c r="B339" s="17" t="s">
        <v>1163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63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1235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558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2382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424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1450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303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2948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666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962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1042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304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821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186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429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2990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822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188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823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1120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1465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1134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133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920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1096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499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65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1121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305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753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1200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234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842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306</v>
      </c>
      <c r="C373" s="17">
        <v>2</v>
      </c>
      <c r="D373" s="17">
        <v>1</v>
      </c>
      <c r="E373" s="17">
        <v>2</v>
      </c>
    </row>
    <row r="374" spans="1:5" x14ac:dyDescent="0.3">
      <c r="A374" s="17" t="s">
        <v>1</v>
      </c>
      <c r="B374" s="17" t="s">
        <v>53</v>
      </c>
      <c r="C374" s="17">
        <v>2</v>
      </c>
      <c r="D374" s="17">
        <v>1</v>
      </c>
      <c r="E374" s="17">
        <v>2</v>
      </c>
    </row>
    <row r="375" spans="1:5" x14ac:dyDescent="0.3">
      <c r="A375" s="17" t="s">
        <v>1</v>
      </c>
      <c r="B375" s="17" t="s">
        <v>1024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194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569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1124</v>
      </c>
      <c r="C378" s="17">
        <v>1</v>
      </c>
      <c r="D378" s="17">
        <v>1</v>
      </c>
      <c r="E378" s="17">
        <v>2</v>
      </c>
    </row>
    <row r="379" spans="1:5" x14ac:dyDescent="0.3">
      <c r="A379" s="17" t="s">
        <v>1</v>
      </c>
      <c r="B379" s="17" t="s">
        <v>235</v>
      </c>
      <c r="C379" s="17">
        <v>13</v>
      </c>
      <c r="D379" s="17">
        <v>1</v>
      </c>
      <c r="E379" s="17">
        <v>19</v>
      </c>
    </row>
    <row r="380" spans="1:5" x14ac:dyDescent="0.3">
      <c r="A380" s="17" t="s">
        <v>1</v>
      </c>
      <c r="B380" s="17" t="s">
        <v>381</v>
      </c>
      <c r="C380" s="17">
        <v>2</v>
      </c>
      <c r="D380" s="17">
        <v>1</v>
      </c>
      <c r="E380" s="17">
        <v>5</v>
      </c>
    </row>
    <row r="381" spans="1:5" x14ac:dyDescent="0.3">
      <c r="A381" s="17" t="s">
        <v>1</v>
      </c>
      <c r="B381" s="17" t="s">
        <v>68</v>
      </c>
      <c r="C381" s="17">
        <v>7</v>
      </c>
      <c r="D381" s="17">
        <v>1</v>
      </c>
      <c r="E381" s="17">
        <v>11</v>
      </c>
    </row>
    <row r="382" spans="1:5" x14ac:dyDescent="0.3">
      <c r="A382" s="17" t="s">
        <v>1</v>
      </c>
      <c r="B382" s="17" t="s">
        <v>54</v>
      </c>
      <c r="C382" s="17">
        <v>10</v>
      </c>
      <c r="D382" s="17">
        <v>1</v>
      </c>
      <c r="E382" s="17">
        <v>13</v>
      </c>
    </row>
    <row r="383" spans="1:5" x14ac:dyDescent="0.3">
      <c r="A383" s="17" t="s">
        <v>1</v>
      </c>
      <c r="B383" s="17" t="s">
        <v>238</v>
      </c>
      <c r="C383" s="17">
        <v>2</v>
      </c>
      <c r="D383" s="17">
        <v>1</v>
      </c>
      <c r="E383" s="17">
        <v>3</v>
      </c>
    </row>
    <row r="384" spans="1:5" x14ac:dyDescent="0.3">
      <c r="A384" s="17" t="s">
        <v>1</v>
      </c>
      <c r="B384" s="17" t="s">
        <v>239</v>
      </c>
      <c r="C384" s="17">
        <v>6</v>
      </c>
      <c r="D384" s="17">
        <v>1</v>
      </c>
      <c r="E384" s="17">
        <v>9</v>
      </c>
    </row>
    <row r="385" spans="1:5" x14ac:dyDescent="0.3">
      <c r="A385" s="17" t="s">
        <v>1</v>
      </c>
      <c r="B385" s="17" t="s">
        <v>55</v>
      </c>
      <c r="C385" s="17">
        <v>8</v>
      </c>
      <c r="D385" s="17">
        <v>1</v>
      </c>
      <c r="E385" s="17">
        <v>9</v>
      </c>
    </row>
    <row r="386" spans="1:5" x14ac:dyDescent="0.3">
      <c r="A386" s="17" t="s">
        <v>1</v>
      </c>
      <c r="B386" s="17" t="s">
        <v>477</v>
      </c>
      <c r="C386" s="17">
        <v>3</v>
      </c>
      <c r="D386" s="17">
        <v>1</v>
      </c>
      <c r="E386" s="17">
        <v>5</v>
      </c>
    </row>
    <row r="387" spans="1:5" x14ac:dyDescent="0.3">
      <c r="A387" s="17" t="s">
        <v>1</v>
      </c>
      <c r="B387" s="17" t="s">
        <v>2991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2992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2993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2994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2995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2996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1402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2997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1046</v>
      </c>
      <c r="C395" s="17">
        <v>1</v>
      </c>
      <c r="D395" s="17">
        <v>1</v>
      </c>
      <c r="E395" s="17">
        <v>2</v>
      </c>
    </row>
    <row r="396" spans="1:5" x14ac:dyDescent="0.3">
      <c r="A396" s="17" t="s">
        <v>1</v>
      </c>
      <c r="B396" s="17" t="s">
        <v>2998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456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570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1</v>
      </c>
      <c r="B399" s="17" t="s">
        <v>1531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1804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2999</v>
      </c>
      <c r="C401" s="17">
        <v>1</v>
      </c>
      <c r="D401" s="17">
        <v>1</v>
      </c>
      <c r="E401" s="17"/>
    </row>
    <row r="402" spans="1:5" x14ac:dyDescent="0.3">
      <c r="A402" s="17" t="s">
        <v>1</v>
      </c>
      <c r="B402" s="17" t="s">
        <v>2630</v>
      </c>
      <c r="C402" s="17">
        <v>1</v>
      </c>
      <c r="D402" s="17">
        <v>1</v>
      </c>
      <c r="E402" s="17">
        <v>2</v>
      </c>
    </row>
    <row r="403" spans="1:5" x14ac:dyDescent="0.3">
      <c r="A403" s="17" t="s">
        <v>1</v>
      </c>
      <c r="B403" s="17" t="s">
        <v>266</v>
      </c>
      <c r="C403" s="17">
        <v>1</v>
      </c>
      <c r="D403" s="17">
        <v>1</v>
      </c>
      <c r="E403" s="17">
        <v>3</v>
      </c>
    </row>
    <row r="404" spans="1:5" x14ac:dyDescent="0.3">
      <c r="A404" s="17" t="s">
        <v>1</v>
      </c>
      <c r="B404" s="17" t="s">
        <v>1741</v>
      </c>
      <c r="C404" s="17">
        <v>1</v>
      </c>
      <c r="D404" s="17">
        <v>3</v>
      </c>
      <c r="E404" s="17"/>
    </row>
    <row r="405" spans="1:5" x14ac:dyDescent="0.3">
      <c r="A405" s="17" t="s">
        <v>1</v>
      </c>
      <c r="B405" s="17" t="s">
        <v>3000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1404</v>
      </c>
      <c r="C406" s="17">
        <v>1</v>
      </c>
      <c r="D406" s="17">
        <v>1</v>
      </c>
      <c r="E406" s="17">
        <v>3</v>
      </c>
    </row>
    <row r="407" spans="1:5" x14ac:dyDescent="0.3">
      <c r="A407" s="17" t="s">
        <v>1</v>
      </c>
      <c r="B407" s="17" t="s">
        <v>1516</v>
      </c>
      <c r="C407" s="17">
        <v>1</v>
      </c>
      <c r="D407" s="17">
        <v>1</v>
      </c>
      <c r="E407" s="17"/>
    </row>
    <row r="408" spans="1:5" x14ac:dyDescent="0.3">
      <c r="A408" s="17" t="s">
        <v>1</v>
      </c>
      <c r="B408" s="17" t="s">
        <v>1891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3001</v>
      </c>
      <c r="C409" s="17">
        <v>1</v>
      </c>
      <c r="D409" s="17">
        <v>1</v>
      </c>
      <c r="E409" s="17"/>
    </row>
    <row r="410" spans="1:5" x14ac:dyDescent="0.3">
      <c r="A410" s="17" t="s">
        <v>1</v>
      </c>
      <c r="B410" s="17" t="s">
        <v>3002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1</v>
      </c>
      <c r="B411" s="17" t="s">
        <v>3003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3004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1</v>
      </c>
      <c r="B413" s="17" t="s">
        <v>2243</v>
      </c>
      <c r="C413" s="17">
        <v>1</v>
      </c>
      <c r="D413" s="17">
        <v>1</v>
      </c>
      <c r="E413" s="17"/>
    </row>
    <row r="414" spans="1:5" x14ac:dyDescent="0.3">
      <c r="A414" s="17" t="s">
        <v>1</v>
      </c>
      <c r="B414" s="17" t="s">
        <v>3005</v>
      </c>
      <c r="C414" s="17">
        <v>1</v>
      </c>
      <c r="D414" s="17">
        <v>1</v>
      </c>
      <c r="E414" s="17"/>
    </row>
    <row r="415" spans="1:5" x14ac:dyDescent="0.3">
      <c r="A415" s="17" t="s">
        <v>1</v>
      </c>
      <c r="B415" s="17" t="s">
        <v>1440</v>
      </c>
      <c r="C415" s="17">
        <v>1</v>
      </c>
      <c r="D415" s="17">
        <v>1</v>
      </c>
      <c r="E415" s="17"/>
    </row>
    <row r="416" spans="1:5" x14ac:dyDescent="0.3">
      <c r="A416" s="17" t="s">
        <v>1</v>
      </c>
      <c r="B416" s="17" t="s">
        <v>1532</v>
      </c>
      <c r="C416" s="17">
        <v>1</v>
      </c>
      <c r="D416" s="17">
        <v>1</v>
      </c>
      <c r="E416" s="17">
        <v>2</v>
      </c>
    </row>
    <row r="417" spans="1:5" x14ac:dyDescent="0.3">
      <c r="A417" s="17" t="s">
        <v>1</v>
      </c>
      <c r="B417" s="17" t="s">
        <v>2979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1</v>
      </c>
      <c r="B418" s="17" t="s">
        <v>760</v>
      </c>
      <c r="C418" s="17">
        <v>1</v>
      </c>
      <c r="D418" s="17">
        <v>1</v>
      </c>
      <c r="E418" s="17">
        <v>2</v>
      </c>
    </row>
    <row r="419" spans="1:5" x14ac:dyDescent="0.3">
      <c r="A419" s="17" t="s">
        <v>1</v>
      </c>
      <c r="B419" s="17" t="s">
        <v>2095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1</v>
      </c>
      <c r="B420" s="17" t="s">
        <v>3006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1</v>
      </c>
      <c r="B421" s="17" t="s">
        <v>3007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1</v>
      </c>
      <c r="B422" s="17" t="s">
        <v>969</v>
      </c>
      <c r="C422" s="17">
        <v>1</v>
      </c>
      <c r="D422" s="17">
        <v>1</v>
      </c>
      <c r="E422" s="17"/>
    </row>
    <row r="423" spans="1:5" x14ac:dyDescent="0.3">
      <c r="A423" s="17" t="s">
        <v>1</v>
      </c>
      <c r="B423" s="17" t="s">
        <v>2379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1</v>
      </c>
      <c r="B424" s="17" t="s">
        <v>3008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1</v>
      </c>
      <c r="B425" s="17" t="s">
        <v>3009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1</v>
      </c>
      <c r="B426" s="17" t="s">
        <v>3010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1</v>
      </c>
      <c r="B427" s="17" t="s">
        <v>3011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1</v>
      </c>
      <c r="B428" s="17" t="s">
        <v>2380</v>
      </c>
      <c r="C428" s="17">
        <v>1</v>
      </c>
      <c r="D428" s="17">
        <v>2</v>
      </c>
      <c r="E428" s="17"/>
    </row>
    <row r="429" spans="1:5" x14ac:dyDescent="0.3">
      <c r="A429" s="17" t="s">
        <v>1</v>
      </c>
      <c r="B429" s="17" t="s">
        <v>834</v>
      </c>
      <c r="C429" s="17">
        <v>1</v>
      </c>
      <c r="D429" s="17">
        <v>1</v>
      </c>
      <c r="E429" s="17">
        <v>5</v>
      </c>
    </row>
    <row r="430" spans="1:5" x14ac:dyDescent="0.3">
      <c r="A430" s="17" t="s">
        <v>1</v>
      </c>
      <c r="B430" s="17" t="s">
        <v>1459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389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1214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502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36</v>
      </c>
      <c r="C434" s="17">
        <v>2</v>
      </c>
      <c r="D434" s="17">
        <v>1</v>
      </c>
      <c r="E434" s="17">
        <v>4</v>
      </c>
    </row>
    <row r="435" spans="1:5" x14ac:dyDescent="0.3">
      <c r="A435" s="17" t="s">
        <v>0</v>
      </c>
      <c r="B435" s="17" t="s">
        <v>1089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73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74</v>
      </c>
      <c r="C437" s="17">
        <v>1</v>
      </c>
      <c r="D437" s="17">
        <v>1</v>
      </c>
      <c r="E437" s="17">
        <v>2</v>
      </c>
    </row>
    <row r="438" spans="1:5" x14ac:dyDescent="0.3">
      <c r="A438" s="17" t="s">
        <v>0</v>
      </c>
      <c r="B438" s="17" t="s">
        <v>75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856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795</v>
      </c>
      <c r="C440" s="17">
        <v>1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273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515</v>
      </c>
      <c r="C442" s="17">
        <v>1</v>
      </c>
      <c r="D442" s="17">
        <v>1</v>
      </c>
      <c r="E442" s="17">
        <v>2</v>
      </c>
    </row>
    <row r="443" spans="1:5" x14ac:dyDescent="0.3">
      <c r="A443" s="17" t="s">
        <v>0</v>
      </c>
      <c r="B443" s="17" t="s">
        <v>79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859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82</v>
      </c>
      <c r="C445" s="17">
        <v>2</v>
      </c>
      <c r="D445" s="17">
        <v>1</v>
      </c>
      <c r="E445" s="17">
        <v>2</v>
      </c>
    </row>
    <row r="446" spans="1:5" x14ac:dyDescent="0.3">
      <c r="A446" s="17" t="s">
        <v>0</v>
      </c>
      <c r="B446" s="17" t="s">
        <v>908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85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86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3012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280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938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631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362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216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801</v>
      </c>
      <c r="C455" s="17">
        <v>2</v>
      </c>
      <c r="D455" s="17">
        <v>1</v>
      </c>
      <c r="E455" s="17">
        <v>2</v>
      </c>
    </row>
    <row r="456" spans="1:5" x14ac:dyDescent="0.3">
      <c r="A456" s="17" t="s">
        <v>0</v>
      </c>
      <c r="B456" s="17" t="s">
        <v>153</v>
      </c>
      <c r="C456" s="17">
        <v>2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1274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221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93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1166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3013</v>
      </c>
      <c r="C461" s="17">
        <v>1</v>
      </c>
      <c r="D461" s="17">
        <v>1</v>
      </c>
      <c r="E461" s="17">
        <v>2</v>
      </c>
    </row>
    <row r="462" spans="1:5" x14ac:dyDescent="0.3">
      <c r="A462" s="17" t="s">
        <v>0</v>
      </c>
      <c r="B462" s="17" t="s">
        <v>60</v>
      </c>
      <c r="C462" s="17">
        <v>2</v>
      </c>
      <c r="D462" s="17">
        <v>1</v>
      </c>
      <c r="E462" s="17">
        <v>2</v>
      </c>
    </row>
    <row r="463" spans="1:5" x14ac:dyDescent="0.3">
      <c r="A463" s="17" t="s">
        <v>0</v>
      </c>
      <c r="B463" s="17" t="s">
        <v>42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642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686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1662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1946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2429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2692</v>
      </c>
      <c r="C469" s="17">
        <v>2</v>
      </c>
      <c r="D469" s="17">
        <v>1</v>
      </c>
      <c r="E469" s="17">
        <v>2</v>
      </c>
    </row>
    <row r="470" spans="1:5" x14ac:dyDescent="0.3">
      <c r="A470" s="17" t="s">
        <v>0</v>
      </c>
      <c r="B470" s="17" t="s">
        <v>2599</v>
      </c>
      <c r="C470" s="17">
        <v>4</v>
      </c>
      <c r="D470" s="17">
        <v>1</v>
      </c>
      <c r="E470" s="17">
        <v>6</v>
      </c>
    </row>
    <row r="471" spans="1:5" x14ac:dyDescent="0.3">
      <c r="A471" s="17" t="s">
        <v>0</v>
      </c>
      <c r="B471" s="17" t="s">
        <v>158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1167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3014</v>
      </c>
      <c r="C473" s="17">
        <v>1</v>
      </c>
      <c r="D473" s="17">
        <v>1</v>
      </c>
      <c r="E473" s="17">
        <v>3</v>
      </c>
    </row>
    <row r="474" spans="1:5" x14ac:dyDescent="0.3">
      <c r="A474" s="17" t="s">
        <v>0</v>
      </c>
      <c r="B474" s="17" t="s">
        <v>1647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1428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526</v>
      </c>
      <c r="C476" s="17">
        <v>1</v>
      </c>
      <c r="D476" s="17">
        <v>1</v>
      </c>
      <c r="E476" s="17">
        <v>3</v>
      </c>
    </row>
    <row r="477" spans="1:5" x14ac:dyDescent="0.3">
      <c r="A477" s="17" t="s">
        <v>0</v>
      </c>
      <c r="B477" s="17" t="s">
        <v>2762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2388</v>
      </c>
      <c r="C478" s="17">
        <v>1</v>
      </c>
      <c r="D478" s="17">
        <v>1</v>
      </c>
      <c r="E478" s="17">
        <v>2</v>
      </c>
    </row>
    <row r="479" spans="1:5" x14ac:dyDescent="0.3">
      <c r="A479" s="17" t="s">
        <v>0</v>
      </c>
      <c r="B479" s="17" t="s">
        <v>1479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99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588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995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997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28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771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1204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1492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3015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1373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1130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168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406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110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1099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226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111</v>
      </c>
      <c r="C496" s="17">
        <v>1</v>
      </c>
      <c r="D496" s="17">
        <v>1</v>
      </c>
      <c r="E496" s="17">
        <v>3</v>
      </c>
    </row>
    <row r="497" spans="1:5" x14ac:dyDescent="0.3">
      <c r="A497" s="17" t="s">
        <v>0</v>
      </c>
      <c r="B497" s="17" t="s">
        <v>171</v>
      </c>
      <c r="C497" s="17">
        <v>2</v>
      </c>
      <c r="D497" s="17">
        <v>1</v>
      </c>
      <c r="E497" s="17">
        <v>4</v>
      </c>
    </row>
    <row r="498" spans="1:5" x14ac:dyDescent="0.3">
      <c r="A498" s="17" t="s">
        <v>0</v>
      </c>
      <c r="B498" s="17" t="s">
        <v>1092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172</v>
      </c>
      <c r="C499" s="17">
        <v>1</v>
      </c>
      <c r="D499" s="17">
        <v>1</v>
      </c>
      <c r="E499" s="17">
        <v>2</v>
      </c>
    </row>
    <row r="500" spans="1:5" x14ac:dyDescent="0.3">
      <c r="A500" s="17" t="s">
        <v>0</v>
      </c>
      <c r="B500" s="17" t="s">
        <v>1074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173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289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872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534</v>
      </c>
      <c r="C504" s="17">
        <v>1</v>
      </c>
      <c r="D504" s="17">
        <v>1</v>
      </c>
      <c r="E504" s="17">
        <v>2</v>
      </c>
    </row>
    <row r="505" spans="1:5" x14ac:dyDescent="0.3">
      <c r="A505" s="17" t="s">
        <v>0</v>
      </c>
      <c r="B505" s="17" t="s">
        <v>291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44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1149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174</v>
      </c>
      <c r="C508" s="17">
        <v>1</v>
      </c>
      <c r="D508" s="17">
        <v>1</v>
      </c>
      <c r="E508" s="17">
        <v>2</v>
      </c>
    </row>
    <row r="509" spans="1:5" x14ac:dyDescent="0.3">
      <c r="A509" s="17" t="s">
        <v>0</v>
      </c>
      <c r="B509" s="17" t="s">
        <v>1553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2097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876</v>
      </c>
      <c r="C511" s="17">
        <v>2</v>
      </c>
      <c r="D511" s="17">
        <v>1</v>
      </c>
      <c r="E511" s="17">
        <v>2</v>
      </c>
    </row>
    <row r="512" spans="1:5" x14ac:dyDescent="0.3">
      <c r="A512" s="17" t="s">
        <v>0</v>
      </c>
      <c r="B512" s="17" t="s">
        <v>465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1319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1526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1196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1681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115</v>
      </c>
      <c r="C517" s="17">
        <v>1</v>
      </c>
      <c r="D517" s="17">
        <v>1</v>
      </c>
      <c r="E517" s="17">
        <v>5</v>
      </c>
    </row>
    <row r="518" spans="1:5" x14ac:dyDescent="0.3">
      <c r="A518" s="17" t="s">
        <v>0</v>
      </c>
      <c r="B518" s="17" t="s">
        <v>385</v>
      </c>
      <c r="C518" s="17">
        <v>1</v>
      </c>
      <c r="D518" s="17">
        <v>1</v>
      </c>
      <c r="E518" s="17">
        <v>2</v>
      </c>
    </row>
    <row r="519" spans="1:5" x14ac:dyDescent="0.3">
      <c r="A519" s="17" t="s">
        <v>0</v>
      </c>
      <c r="B519" s="17" t="s">
        <v>727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546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607</v>
      </c>
      <c r="C521" s="17">
        <v>1</v>
      </c>
      <c r="D521" s="17">
        <v>1</v>
      </c>
      <c r="E521" s="17">
        <v>2</v>
      </c>
    </row>
    <row r="522" spans="1:5" x14ac:dyDescent="0.3">
      <c r="A522" s="17" t="s">
        <v>0</v>
      </c>
      <c r="B522" s="17" t="s">
        <v>731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550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659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1010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1350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231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782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121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662</v>
      </c>
      <c r="C530" s="17">
        <v>2</v>
      </c>
      <c r="D530" s="17">
        <v>1</v>
      </c>
      <c r="E530" s="17">
        <v>2</v>
      </c>
    </row>
    <row r="531" spans="1:5" x14ac:dyDescent="0.3">
      <c r="A531" s="17" t="s">
        <v>0</v>
      </c>
      <c r="B531" s="17" t="s">
        <v>62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123</v>
      </c>
      <c r="C532" s="17">
        <v>1</v>
      </c>
      <c r="D532" s="17">
        <v>1</v>
      </c>
      <c r="E532" s="17">
        <v>2</v>
      </c>
    </row>
    <row r="533" spans="1:5" x14ac:dyDescent="0.3">
      <c r="A533" s="17" t="s">
        <v>0</v>
      </c>
      <c r="B533" s="17" t="s">
        <v>3016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346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1813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63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0</v>
      </c>
      <c r="B537" s="17" t="s">
        <v>1041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183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0</v>
      </c>
      <c r="B539" s="17" t="s">
        <v>897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0</v>
      </c>
      <c r="B540" s="17" t="s">
        <v>699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0</v>
      </c>
      <c r="B541" s="17" t="s">
        <v>1043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262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0</v>
      </c>
      <c r="B543" s="17" t="s">
        <v>429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0</v>
      </c>
      <c r="B544" s="17" t="s">
        <v>350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0</v>
      </c>
      <c r="B545" s="17" t="s">
        <v>1022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0</v>
      </c>
      <c r="B546" s="17" t="s">
        <v>784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0</v>
      </c>
      <c r="B547" s="17" t="s">
        <v>128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0</v>
      </c>
      <c r="B548" s="17" t="s">
        <v>201</v>
      </c>
      <c r="C548" s="17">
        <v>1</v>
      </c>
      <c r="D548" s="17">
        <v>1</v>
      </c>
      <c r="E548" s="17">
        <v>4</v>
      </c>
    </row>
    <row r="549" spans="1:5" x14ac:dyDescent="0.3">
      <c r="A549" s="17" t="s">
        <v>0</v>
      </c>
      <c r="B549" s="17" t="s">
        <v>453</v>
      </c>
      <c r="C549" s="17">
        <v>1</v>
      </c>
      <c r="D549" s="17">
        <v>1</v>
      </c>
      <c r="E549" s="17">
        <v>2</v>
      </c>
    </row>
    <row r="550" spans="1:5" x14ac:dyDescent="0.3">
      <c r="A550" s="17" t="s">
        <v>0</v>
      </c>
      <c r="B550" s="17" t="s">
        <v>305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0</v>
      </c>
      <c r="B551" s="17" t="s">
        <v>135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0</v>
      </c>
      <c r="B552" s="17" t="s">
        <v>1327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0</v>
      </c>
      <c r="B553" s="17" t="s">
        <v>306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0</v>
      </c>
      <c r="B554" s="17" t="s">
        <v>1124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0</v>
      </c>
      <c r="B555" s="17" t="s">
        <v>195</v>
      </c>
      <c r="C555" s="17">
        <v>1</v>
      </c>
      <c r="D555" s="17">
        <v>1</v>
      </c>
      <c r="E555" s="17">
        <v>4</v>
      </c>
    </row>
    <row r="556" spans="1:5" x14ac:dyDescent="0.3">
      <c r="A556" s="17" t="s">
        <v>0</v>
      </c>
      <c r="B556" s="17" t="s">
        <v>67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0</v>
      </c>
      <c r="B557" s="17" t="s">
        <v>1201</v>
      </c>
      <c r="C557" s="17">
        <v>1</v>
      </c>
      <c r="D557" s="17">
        <v>1</v>
      </c>
      <c r="E557" s="17">
        <v>1</v>
      </c>
    </row>
    <row r="558" spans="1:5" x14ac:dyDescent="0.3">
      <c r="A558" s="17" t="s">
        <v>0</v>
      </c>
      <c r="B558" s="17" t="s">
        <v>2056</v>
      </c>
      <c r="C558" s="17">
        <v>1</v>
      </c>
      <c r="D558" s="17">
        <v>1</v>
      </c>
      <c r="E558" s="17"/>
    </row>
    <row r="559" spans="1:5" x14ac:dyDescent="0.3">
      <c r="A559" s="17" t="s">
        <v>0</v>
      </c>
      <c r="B559" s="17" t="s">
        <v>456</v>
      </c>
      <c r="C559" s="17">
        <v>1</v>
      </c>
      <c r="D559" s="17">
        <v>1</v>
      </c>
      <c r="E559" s="17">
        <v>1</v>
      </c>
    </row>
    <row r="560" spans="1:5" x14ac:dyDescent="0.3">
      <c r="A560" s="17" t="s">
        <v>0</v>
      </c>
      <c r="B560" s="17" t="s">
        <v>3017</v>
      </c>
      <c r="C560" s="17">
        <v>1</v>
      </c>
      <c r="D560" s="17">
        <v>1</v>
      </c>
      <c r="E560" s="17"/>
    </row>
    <row r="561" spans="1:5" x14ac:dyDescent="0.3">
      <c r="A561" s="17" t="s">
        <v>0</v>
      </c>
      <c r="B561" s="17" t="s">
        <v>1470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0</v>
      </c>
      <c r="B562" s="17" t="s">
        <v>3018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0</v>
      </c>
      <c r="B563" s="17" t="s">
        <v>2939</v>
      </c>
      <c r="C563" s="17">
        <v>1</v>
      </c>
      <c r="D563" s="17">
        <v>1</v>
      </c>
      <c r="E563" s="17">
        <v>1</v>
      </c>
    </row>
    <row r="564" spans="1:5" x14ac:dyDescent="0.3">
      <c r="A564" s="17" t="s">
        <v>0</v>
      </c>
      <c r="B564" s="17" t="s">
        <v>1653</v>
      </c>
      <c r="C564" s="17">
        <v>1</v>
      </c>
      <c r="D564" s="17">
        <v>1</v>
      </c>
      <c r="E564" s="17">
        <v>3</v>
      </c>
    </row>
    <row r="565" spans="1:5" x14ac:dyDescent="0.3">
      <c r="A565" s="17" t="s">
        <v>0</v>
      </c>
      <c r="B565" s="17" t="s">
        <v>3019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0</v>
      </c>
      <c r="B566" s="17" t="s">
        <v>2784</v>
      </c>
      <c r="C566" s="17">
        <v>1</v>
      </c>
      <c r="D566" s="17">
        <v>1</v>
      </c>
      <c r="E566" s="17">
        <v>1</v>
      </c>
    </row>
    <row r="567" spans="1:5" x14ac:dyDescent="0.3">
      <c r="A567" s="17" t="s">
        <v>0</v>
      </c>
      <c r="B567" s="17" t="s">
        <v>3020</v>
      </c>
      <c r="C567" s="17">
        <v>1</v>
      </c>
      <c r="D567" s="17">
        <v>2</v>
      </c>
      <c r="E567" s="17"/>
    </row>
    <row r="568" spans="1:5" x14ac:dyDescent="0.3">
      <c r="A568" s="17" t="s">
        <v>0</v>
      </c>
      <c r="B568" s="17" t="s">
        <v>970</v>
      </c>
      <c r="C568" s="17">
        <v>1</v>
      </c>
      <c r="D568" s="17">
        <v>1</v>
      </c>
      <c r="E568" s="17">
        <v>1</v>
      </c>
    </row>
    <row r="569" spans="1:5" x14ac:dyDescent="0.3">
      <c r="A569" s="17" t="s">
        <v>0</v>
      </c>
      <c r="B569" s="17" t="s">
        <v>1598</v>
      </c>
      <c r="C569" s="17">
        <v>1</v>
      </c>
      <c r="D569" s="17">
        <v>1</v>
      </c>
      <c r="E569" s="17"/>
    </row>
    <row r="570" spans="1:5" x14ac:dyDescent="0.3">
      <c r="A570" s="17" t="s">
        <v>0</v>
      </c>
      <c r="B570" s="17" t="s">
        <v>2611</v>
      </c>
      <c r="C570" s="17">
        <v>1</v>
      </c>
      <c r="D570" s="17">
        <v>1</v>
      </c>
      <c r="E570" s="17">
        <v>1</v>
      </c>
    </row>
    <row r="571" spans="1:5" x14ac:dyDescent="0.3">
      <c r="A571" s="17" t="s">
        <v>2</v>
      </c>
      <c r="B571" s="17" t="s">
        <v>30</v>
      </c>
      <c r="C571" s="17">
        <v>1</v>
      </c>
      <c r="D571" s="17">
        <v>1</v>
      </c>
      <c r="E571" s="17">
        <v>1</v>
      </c>
    </row>
    <row r="572" spans="1:5" x14ac:dyDescent="0.3">
      <c r="A572" s="17" t="s">
        <v>2</v>
      </c>
      <c r="B572" s="17" t="s">
        <v>987</v>
      </c>
      <c r="C572" s="17">
        <v>1</v>
      </c>
      <c r="D572" s="17">
        <v>1</v>
      </c>
      <c r="E572" s="17">
        <v>1</v>
      </c>
    </row>
    <row r="573" spans="1:5" x14ac:dyDescent="0.3">
      <c r="A573" s="17" t="s">
        <v>2</v>
      </c>
      <c r="B573" s="17" t="s">
        <v>393</v>
      </c>
      <c r="C573" s="17">
        <v>1</v>
      </c>
      <c r="D573" s="17">
        <v>1</v>
      </c>
      <c r="E573" s="17">
        <v>1</v>
      </c>
    </row>
    <row r="574" spans="1:5" x14ac:dyDescent="0.3">
      <c r="A574" s="17" t="s">
        <v>2</v>
      </c>
      <c r="B574" s="17" t="s">
        <v>2615</v>
      </c>
      <c r="C574" s="17">
        <v>1</v>
      </c>
      <c r="D574" s="17">
        <v>1</v>
      </c>
      <c r="E574" s="17">
        <v>2</v>
      </c>
    </row>
    <row r="575" spans="1:5" x14ac:dyDescent="0.3">
      <c r="A575" s="17" t="s">
        <v>2</v>
      </c>
      <c r="B575" s="17" t="s">
        <v>1314</v>
      </c>
      <c r="C575" s="17">
        <v>1</v>
      </c>
      <c r="D575" s="17">
        <v>1</v>
      </c>
      <c r="E575" s="17">
        <v>2</v>
      </c>
    </row>
    <row r="576" spans="1:5" x14ac:dyDescent="0.3">
      <c r="A576" s="17" t="s">
        <v>2</v>
      </c>
      <c r="B576" s="17" t="s">
        <v>991</v>
      </c>
      <c r="C576" s="17">
        <v>1</v>
      </c>
      <c r="D576" s="17">
        <v>1</v>
      </c>
      <c r="E576" s="17">
        <v>1</v>
      </c>
    </row>
    <row r="577" spans="1:5" x14ac:dyDescent="0.3">
      <c r="A577" s="17" t="s">
        <v>2</v>
      </c>
      <c r="B577" s="17" t="s">
        <v>152</v>
      </c>
      <c r="C577" s="17">
        <v>1</v>
      </c>
      <c r="D577" s="17">
        <v>1</v>
      </c>
      <c r="E577" s="17">
        <v>1</v>
      </c>
    </row>
    <row r="578" spans="1:5" x14ac:dyDescent="0.3">
      <c r="A578" s="17" t="s">
        <v>2</v>
      </c>
      <c r="B578" s="17" t="s">
        <v>89</v>
      </c>
      <c r="C578" s="17">
        <v>1</v>
      </c>
      <c r="D578" s="17">
        <v>1</v>
      </c>
      <c r="E578" s="17">
        <v>1</v>
      </c>
    </row>
    <row r="579" spans="1:5" x14ac:dyDescent="0.3">
      <c r="A579" s="17" t="s">
        <v>2</v>
      </c>
      <c r="B579" s="17" t="s">
        <v>634</v>
      </c>
      <c r="C579" s="17">
        <v>1</v>
      </c>
      <c r="D579" s="17">
        <v>1</v>
      </c>
      <c r="E579" s="17">
        <v>1</v>
      </c>
    </row>
    <row r="580" spans="1:5" x14ac:dyDescent="0.3">
      <c r="A580" s="17" t="s">
        <v>2</v>
      </c>
      <c r="B580" s="17" t="s">
        <v>281</v>
      </c>
      <c r="C580" s="17">
        <v>1</v>
      </c>
      <c r="D580" s="17">
        <v>1</v>
      </c>
      <c r="E580" s="17">
        <v>4</v>
      </c>
    </row>
    <row r="581" spans="1:5" x14ac:dyDescent="0.3">
      <c r="A581" s="17" t="s">
        <v>2</v>
      </c>
      <c r="B581" s="17" t="s">
        <v>155</v>
      </c>
      <c r="C581" s="17">
        <v>1</v>
      </c>
      <c r="D581" s="17">
        <v>1</v>
      </c>
      <c r="E581" s="17">
        <v>1</v>
      </c>
    </row>
    <row r="582" spans="1:5" x14ac:dyDescent="0.3">
      <c r="A582" s="17" t="s">
        <v>2</v>
      </c>
      <c r="B582" s="17" t="s">
        <v>522</v>
      </c>
      <c r="C582" s="17">
        <v>1</v>
      </c>
      <c r="D582" s="17">
        <v>1</v>
      </c>
      <c r="E582" s="17">
        <v>3</v>
      </c>
    </row>
    <row r="583" spans="1:5" x14ac:dyDescent="0.3">
      <c r="A583" s="17" t="s">
        <v>2</v>
      </c>
      <c r="B583" s="17" t="s">
        <v>365</v>
      </c>
      <c r="C583" s="17">
        <v>1</v>
      </c>
      <c r="D583" s="17">
        <v>1</v>
      </c>
      <c r="E583" s="17">
        <v>1</v>
      </c>
    </row>
    <row r="584" spans="1:5" x14ac:dyDescent="0.3">
      <c r="A584" s="17" t="s">
        <v>2</v>
      </c>
      <c r="B584" s="17" t="s">
        <v>158</v>
      </c>
      <c r="C584" s="17">
        <v>1</v>
      </c>
      <c r="D584" s="17">
        <v>1</v>
      </c>
      <c r="E584" s="17">
        <v>1</v>
      </c>
    </row>
    <row r="585" spans="1:5" x14ac:dyDescent="0.3">
      <c r="A585" s="17" t="s">
        <v>2</v>
      </c>
      <c r="B585" s="17" t="s">
        <v>526</v>
      </c>
      <c r="C585" s="17">
        <v>1</v>
      </c>
      <c r="D585" s="17">
        <v>1</v>
      </c>
      <c r="E585" s="17">
        <v>1</v>
      </c>
    </row>
    <row r="586" spans="1:5" x14ac:dyDescent="0.3">
      <c r="A586" s="17" t="s">
        <v>2</v>
      </c>
      <c r="B586" s="17" t="s">
        <v>161</v>
      </c>
      <c r="C586" s="17">
        <v>1</v>
      </c>
      <c r="D586" s="17">
        <v>1</v>
      </c>
      <c r="E586" s="17">
        <v>1</v>
      </c>
    </row>
    <row r="587" spans="1:5" x14ac:dyDescent="0.3">
      <c r="A587" s="17" t="s">
        <v>2</v>
      </c>
      <c r="B587" s="17" t="s">
        <v>163</v>
      </c>
      <c r="C587" s="17">
        <v>1</v>
      </c>
      <c r="D587" s="17">
        <v>1</v>
      </c>
      <c r="E587" s="17">
        <v>1</v>
      </c>
    </row>
    <row r="588" spans="1:5" x14ac:dyDescent="0.3">
      <c r="A588" s="17" t="s">
        <v>2</v>
      </c>
      <c r="B588" s="17" t="s">
        <v>1182</v>
      </c>
      <c r="C588" s="17">
        <v>1</v>
      </c>
      <c r="D588" s="17">
        <v>1</v>
      </c>
      <c r="E588" s="17">
        <v>1</v>
      </c>
    </row>
    <row r="589" spans="1:5" x14ac:dyDescent="0.3">
      <c r="A589" s="17" t="s">
        <v>2</v>
      </c>
      <c r="B589" s="17" t="s">
        <v>111</v>
      </c>
      <c r="C589" s="17">
        <v>1</v>
      </c>
      <c r="D589" s="17">
        <v>1</v>
      </c>
      <c r="E589" s="17">
        <v>1</v>
      </c>
    </row>
    <row r="590" spans="1:5" x14ac:dyDescent="0.3">
      <c r="A590" s="17" t="s">
        <v>2</v>
      </c>
      <c r="B590" s="17" t="s">
        <v>289</v>
      </c>
      <c r="C590" s="17">
        <v>1</v>
      </c>
      <c r="D590" s="17">
        <v>1</v>
      </c>
      <c r="E590" s="17">
        <v>1</v>
      </c>
    </row>
    <row r="591" spans="1:5" x14ac:dyDescent="0.3">
      <c r="A591" s="17" t="s">
        <v>2</v>
      </c>
      <c r="B591" s="17" t="s">
        <v>872</v>
      </c>
      <c r="C591" s="17">
        <v>1</v>
      </c>
      <c r="D591" s="17">
        <v>1</v>
      </c>
      <c r="E591" s="17">
        <v>2</v>
      </c>
    </row>
    <row r="592" spans="1:5" x14ac:dyDescent="0.3">
      <c r="A592" s="17" t="s">
        <v>2</v>
      </c>
      <c r="B592" s="17" t="s">
        <v>448</v>
      </c>
      <c r="C592" s="17">
        <v>1</v>
      </c>
      <c r="D592" s="17">
        <v>1</v>
      </c>
      <c r="E592" s="17">
        <v>1</v>
      </c>
    </row>
    <row r="593" spans="1:5" x14ac:dyDescent="0.3">
      <c r="A593" s="17" t="s">
        <v>2</v>
      </c>
      <c r="B593" s="17" t="s">
        <v>343</v>
      </c>
      <c r="C593" s="17">
        <v>1</v>
      </c>
      <c r="D593" s="17">
        <v>1</v>
      </c>
      <c r="E593" s="17">
        <v>1</v>
      </c>
    </row>
    <row r="594" spans="1:5" x14ac:dyDescent="0.3">
      <c r="A594" s="17" t="s">
        <v>2</v>
      </c>
      <c r="B594" s="17" t="s">
        <v>662</v>
      </c>
      <c r="C594" s="17">
        <v>1</v>
      </c>
      <c r="D594" s="17">
        <v>1</v>
      </c>
      <c r="E594" s="17">
        <v>1</v>
      </c>
    </row>
    <row r="595" spans="1:5" x14ac:dyDescent="0.3">
      <c r="A595" s="17" t="s">
        <v>2</v>
      </c>
      <c r="B595" s="17" t="s">
        <v>2110</v>
      </c>
      <c r="C595" s="17">
        <v>1</v>
      </c>
      <c r="D595" s="17">
        <v>1</v>
      </c>
      <c r="E595" s="17">
        <v>1</v>
      </c>
    </row>
    <row r="596" spans="1:5" x14ac:dyDescent="0.3">
      <c r="A596" s="17" t="s">
        <v>2</v>
      </c>
      <c r="B596" s="17" t="s">
        <v>125</v>
      </c>
      <c r="C596" s="17">
        <v>1</v>
      </c>
      <c r="D596" s="17">
        <v>1</v>
      </c>
      <c r="E596" s="17">
        <v>1</v>
      </c>
    </row>
    <row r="597" spans="1:5" x14ac:dyDescent="0.3">
      <c r="A597" s="17" t="s">
        <v>2</v>
      </c>
      <c r="B597" s="17" t="s">
        <v>178</v>
      </c>
      <c r="C597" s="17">
        <v>1</v>
      </c>
      <c r="D597" s="17">
        <v>1</v>
      </c>
      <c r="E597" s="17">
        <v>1</v>
      </c>
    </row>
    <row r="598" spans="1:5" x14ac:dyDescent="0.3">
      <c r="A598" s="17" t="s">
        <v>2</v>
      </c>
      <c r="B598" s="17" t="s">
        <v>897</v>
      </c>
      <c r="C598" s="17">
        <v>1</v>
      </c>
      <c r="D598" s="17">
        <v>1</v>
      </c>
      <c r="E598" s="17">
        <v>1</v>
      </c>
    </row>
    <row r="599" spans="1:5" x14ac:dyDescent="0.3">
      <c r="A599" s="17" t="s">
        <v>2</v>
      </c>
      <c r="B599" s="17" t="s">
        <v>474</v>
      </c>
      <c r="C599" s="17">
        <v>1</v>
      </c>
      <c r="D599" s="17">
        <v>1</v>
      </c>
      <c r="E599" s="17">
        <v>1</v>
      </c>
    </row>
    <row r="600" spans="1:5" x14ac:dyDescent="0.3">
      <c r="A600" s="17" t="s">
        <v>2</v>
      </c>
      <c r="B600" s="17" t="s">
        <v>751</v>
      </c>
      <c r="C600" s="17">
        <v>1</v>
      </c>
      <c r="D600" s="17">
        <v>1</v>
      </c>
      <c r="E600" s="17">
        <v>1</v>
      </c>
    </row>
    <row r="601" spans="1:5" x14ac:dyDescent="0.3">
      <c r="A601" s="17" t="s">
        <v>1</v>
      </c>
      <c r="B601" s="17" t="s">
        <v>489</v>
      </c>
      <c r="C601" s="17">
        <v>2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2084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203</v>
      </c>
      <c r="C603" s="17">
        <v>2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1634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1251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1369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613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486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383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75</v>
      </c>
      <c r="C610" s="17">
        <v>3</v>
      </c>
      <c r="D610" s="17">
        <v>0</v>
      </c>
      <c r="E610" s="17">
        <v>4</v>
      </c>
    </row>
    <row r="611" spans="1:5" x14ac:dyDescent="0.3">
      <c r="A611" s="17" t="s">
        <v>1</v>
      </c>
      <c r="B611" s="17" t="s">
        <v>3021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207</v>
      </c>
      <c r="C612" s="17">
        <v>2</v>
      </c>
      <c r="D612" s="17">
        <v>0</v>
      </c>
      <c r="E612" s="17">
        <v>2</v>
      </c>
    </row>
    <row r="613" spans="1:5" x14ac:dyDescent="0.3">
      <c r="A613" s="17" t="s">
        <v>1</v>
      </c>
      <c r="B613" s="17" t="s">
        <v>2776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3022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433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394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356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3023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906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1566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859</v>
      </c>
      <c r="C621" s="18">
        <v>1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1624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81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3024</v>
      </c>
      <c r="C624" s="18">
        <v>1</v>
      </c>
      <c r="D624" s="18">
        <v>0</v>
      </c>
      <c r="E624" s="18">
        <v>3</v>
      </c>
    </row>
    <row r="625" spans="1:5" x14ac:dyDescent="0.3">
      <c r="A625" s="18" t="s">
        <v>1</v>
      </c>
      <c r="B625" s="18" t="s">
        <v>212</v>
      </c>
      <c r="C625" s="18">
        <v>1</v>
      </c>
      <c r="D625" s="18">
        <v>0</v>
      </c>
      <c r="E625" s="18">
        <v>0</v>
      </c>
    </row>
    <row r="626" spans="1:5" x14ac:dyDescent="0.3">
      <c r="A626" s="18" t="s">
        <v>1</v>
      </c>
      <c r="B626" s="18" t="s">
        <v>583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798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83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2127</v>
      </c>
      <c r="C629" s="18">
        <v>1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863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2966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316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1281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940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801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635</v>
      </c>
      <c r="C636" s="18">
        <v>3</v>
      </c>
      <c r="D636" s="18">
        <v>0</v>
      </c>
      <c r="E636" s="18">
        <v>3</v>
      </c>
    </row>
    <row r="637" spans="1:5" x14ac:dyDescent="0.3">
      <c r="A637" s="18" t="s">
        <v>1</v>
      </c>
      <c r="B637" s="18" t="s">
        <v>217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153</v>
      </c>
      <c r="C638" s="18">
        <v>5</v>
      </c>
      <c r="D638" s="18">
        <v>0</v>
      </c>
      <c r="E638" s="18">
        <v>5</v>
      </c>
    </row>
    <row r="639" spans="1:5" x14ac:dyDescent="0.3">
      <c r="A639" s="18" t="s">
        <v>1</v>
      </c>
      <c r="B639" s="18" t="s">
        <v>1257</v>
      </c>
      <c r="C639" s="18">
        <v>2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1284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221</v>
      </c>
      <c r="C641" s="18">
        <v>2</v>
      </c>
      <c r="D641" s="18">
        <v>0</v>
      </c>
      <c r="E641" s="18">
        <v>2</v>
      </c>
    </row>
    <row r="642" spans="1:5" x14ac:dyDescent="0.3">
      <c r="A642" s="18" t="s">
        <v>1</v>
      </c>
      <c r="B642" s="18" t="s">
        <v>2437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249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156</v>
      </c>
      <c r="C644" s="18">
        <v>1</v>
      </c>
      <c r="D644" s="18">
        <v>0</v>
      </c>
      <c r="E644" s="18">
        <v>4</v>
      </c>
    </row>
    <row r="645" spans="1:5" x14ac:dyDescent="0.3">
      <c r="A645" s="18" t="s">
        <v>1</v>
      </c>
      <c r="B645" s="18" t="s">
        <v>944</v>
      </c>
      <c r="C645" s="18">
        <v>2</v>
      </c>
      <c r="D645" s="18">
        <v>0</v>
      </c>
      <c r="E645" s="18">
        <v>2</v>
      </c>
    </row>
    <row r="646" spans="1:5" x14ac:dyDescent="0.3">
      <c r="A646" s="18" t="s">
        <v>1</v>
      </c>
      <c r="B646" s="18" t="s">
        <v>1143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1518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1660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1711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1708</v>
      </c>
      <c r="C650" s="18">
        <v>3</v>
      </c>
      <c r="D650" s="18">
        <v>0</v>
      </c>
      <c r="E650" s="18">
        <v>3</v>
      </c>
    </row>
    <row r="651" spans="1:5" x14ac:dyDescent="0.3">
      <c r="A651" s="18" t="s">
        <v>1</v>
      </c>
      <c r="B651" s="18" t="s">
        <v>1906</v>
      </c>
      <c r="C651" s="18">
        <v>2</v>
      </c>
      <c r="D651" s="18">
        <v>0</v>
      </c>
      <c r="E651" s="18">
        <v>4</v>
      </c>
    </row>
    <row r="652" spans="1:5" x14ac:dyDescent="0.3">
      <c r="A652" s="18" t="s">
        <v>1</v>
      </c>
      <c r="B652" s="18" t="s">
        <v>1928</v>
      </c>
      <c r="C652" s="18">
        <v>2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2099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2334</v>
      </c>
      <c r="C654" s="18">
        <v>2</v>
      </c>
      <c r="D654" s="18">
        <v>0</v>
      </c>
      <c r="E654" s="18">
        <v>2</v>
      </c>
    </row>
    <row r="655" spans="1:5" x14ac:dyDescent="0.3">
      <c r="A655" s="18" t="s">
        <v>1</v>
      </c>
      <c r="B655" s="18" t="s">
        <v>2329</v>
      </c>
      <c r="C655" s="18">
        <v>1</v>
      </c>
      <c r="D655" s="18">
        <v>0</v>
      </c>
      <c r="E655" s="18">
        <v>2</v>
      </c>
    </row>
    <row r="656" spans="1:5" x14ac:dyDescent="0.3">
      <c r="A656" s="18" t="s">
        <v>1</v>
      </c>
      <c r="B656" s="18" t="s">
        <v>2362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2468</v>
      </c>
      <c r="C657" s="18">
        <v>2</v>
      </c>
      <c r="D657" s="18">
        <v>0</v>
      </c>
      <c r="E657" s="18">
        <v>3</v>
      </c>
    </row>
    <row r="658" spans="1:5" x14ac:dyDescent="0.3">
      <c r="A658" s="18" t="s">
        <v>1</v>
      </c>
      <c r="B658" s="18" t="s">
        <v>2441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2442</v>
      </c>
      <c r="C659" s="18">
        <v>2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2428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2429</v>
      </c>
      <c r="C661" s="18">
        <v>1</v>
      </c>
      <c r="D661" s="18">
        <v>0</v>
      </c>
      <c r="E661" s="18">
        <v>0</v>
      </c>
    </row>
    <row r="662" spans="1:5" x14ac:dyDescent="0.3">
      <c r="A662" s="18" t="s">
        <v>1</v>
      </c>
      <c r="B662" s="18" t="s">
        <v>2397</v>
      </c>
      <c r="C662" s="18">
        <v>1</v>
      </c>
      <c r="D662" s="18">
        <v>0</v>
      </c>
      <c r="E662" s="18">
        <v>2</v>
      </c>
    </row>
    <row r="663" spans="1:5" x14ac:dyDescent="0.3">
      <c r="A663" s="18" t="s">
        <v>1</v>
      </c>
      <c r="B663" s="18" t="s">
        <v>2508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2705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2789</v>
      </c>
      <c r="C665" s="18">
        <v>6</v>
      </c>
      <c r="D665" s="18">
        <v>0</v>
      </c>
      <c r="E665" s="18">
        <v>6</v>
      </c>
    </row>
    <row r="666" spans="1:5" x14ac:dyDescent="0.3">
      <c r="A666" s="18" t="s">
        <v>1</v>
      </c>
      <c r="B666" s="18" t="s">
        <v>1035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1806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945</v>
      </c>
      <c r="C668" s="18">
        <v>2</v>
      </c>
      <c r="D668" s="18">
        <v>0</v>
      </c>
      <c r="E668" s="18">
        <v>2</v>
      </c>
    </row>
    <row r="669" spans="1:5" x14ac:dyDescent="0.3">
      <c r="A669" s="18" t="s">
        <v>1</v>
      </c>
      <c r="B669" s="18" t="s">
        <v>2117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994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803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2364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769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589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2157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2274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3025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772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3026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3027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648</v>
      </c>
      <c r="C681" s="18">
        <v>1</v>
      </c>
      <c r="D681" s="18">
        <v>0</v>
      </c>
      <c r="E681" s="18">
        <v>2</v>
      </c>
    </row>
    <row r="682" spans="1:5" x14ac:dyDescent="0.3">
      <c r="A682" s="18" t="s">
        <v>1</v>
      </c>
      <c r="B682" s="18" t="s">
        <v>1002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2222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978</v>
      </c>
      <c r="C684" s="18">
        <v>1</v>
      </c>
      <c r="D684" s="18">
        <v>0</v>
      </c>
      <c r="E684" s="18">
        <v>2</v>
      </c>
    </row>
    <row r="685" spans="1:5" x14ac:dyDescent="0.3">
      <c r="A685" s="18" t="s">
        <v>1</v>
      </c>
      <c r="B685" s="18" t="s">
        <v>720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807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538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1228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877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879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1826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2794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1678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949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467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334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371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1109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1738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1887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495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1353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417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372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1234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345</v>
      </c>
      <c r="C706" s="18">
        <v>1</v>
      </c>
      <c r="D706" s="18">
        <v>0</v>
      </c>
      <c r="E706" s="18">
        <v>2</v>
      </c>
    </row>
    <row r="707" spans="1:5" x14ac:dyDescent="0.3">
      <c r="A707" s="18" t="s">
        <v>1</v>
      </c>
      <c r="B707" s="18" t="s">
        <v>62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124</v>
      </c>
      <c r="C708" s="18">
        <v>4</v>
      </c>
      <c r="D708" s="18">
        <v>0</v>
      </c>
      <c r="E708" s="18">
        <v>4</v>
      </c>
    </row>
    <row r="709" spans="1:5" x14ac:dyDescent="0.3">
      <c r="A709" s="18" t="s">
        <v>1</v>
      </c>
      <c r="B709" s="18" t="s">
        <v>1325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783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1206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1382</v>
      </c>
      <c r="C712" s="18">
        <v>1</v>
      </c>
      <c r="D712" s="18">
        <v>0</v>
      </c>
      <c r="E712" s="18">
        <v>2</v>
      </c>
    </row>
    <row r="713" spans="1:5" x14ac:dyDescent="0.3">
      <c r="A713" s="18" t="s">
        <v>1</v>
      </c>
      <c r="B713" s="18" t="s">
        <v>1114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375</v>
      </c>
      <c r="C714" s="18">
        <v>2</v>
      </c>
      <c r="D714" s="18">
        <v>0</v>
      </c>
      <c r="E714" s="18">
        <v>3</v>
      </c>
    </row>
    <row r="715" spans="1:5" x14ac:dyDescent="0.3">
      <c r="A715" s="18" t="s">
        <v>1</v>
      </c>
      <c r="B715" s="18" t="s">
        <v>422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1040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894</v>
      </c>
      <c r="C717" s="18">
        <v>1</v>
      </c>
      <c r="D717" s="18">
        <v>0</v>
      </c>
      <c r="E717" s="18">
        <v>0</v>
      </c>
    </row>
    <row r="718" spans="1:5" x14ac:dyDescent="0.3">
      <c r="A718" s="18" t="s">
        <v>1</v>
      </c>
      <c r="B718" s="18" t="s">
        <v>852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2920</v>
      </c>
      <c r="C719" s="18">
        <v>1</v>
      </c>
      <c r="D719" s="18">
        <v>0</v>
      </c>
      <c r="E719" s="18">
        <v>2</v>
      </c>
    </row>
    <row r="720" spans="1:5" x14ac:dyDescent="0.3">
      <c r="A720" s="18" t="s">
        <v>1</v>
      </c>
      <c r="B720" s="18" t="s">
        <v>2284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664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1082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1863</v>
      </c>
      <c r="C723" s="18">
        <v>1</v>
      </c>
      <c r="D723" s="18">
        <v>0</v>
      </c>
      <c r="E723" s="18">
        <v>2</v>
      </c>
    </row>
    <row r="724" spans="1:5" x14ac:dyDescent="0.3">
      <c r="A724" s="18" t="s">
        <v>1</v>
      </c>
      <c r="B724" s="18" t="s">
        <v>749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699</v>
      </c>
      <c r="C725" s="18">
        <v>1</v>
      </c>
      <c r="D725" s="18">
        <v>0</v>
      </c>
      <c r="E725" s="18">
        <v>0</v>
      </c>
    </row>
    <row r="726" spans="1:5" x14ac:dyDescent="0.3">
      <c r="A726" s="18" t="s">
        <v>1</v>
      </c>
      <c r="B726" s="18" t="s">
        <v>2453</v>
      </c>
      <c r="C726" s="18">
        <v>2</v>
      </c>
      <c r="D726" s="18">
        <v>0</v>
      </c>
      <c r="E726" s="18">
        <v>2</v>
      </c>
    </row>
    <row r="727" spans="1:5" x14ac:dyDescent="0.3">
      <c r="A727" s="18" t="s">
        <v>1</v>
      </c>
      <c r="B727" s="18" t="s">
        <v>128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501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668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3028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134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825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1331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564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1578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192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899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1514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500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2483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3029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195</v>
      </c>
      <c r="C742" s="18">
        <v>7</v>
      </c>
      <c r="D742" s="18">
        <v>0</v>
      </c>
      <c r="E742" s="18">
        <v>7</v>
      </c>
    </row>
    <row r="743" spans="1:5" x14ac:dyDescent="0.3">
      <c r="A743" s="18" t="s">
        <v>1</v>
      </c>
      <c r="B743" s="18" t="s">
        <v>67</v>
      </c>
      <c r="C743" s="18">
        <v>3</v>
      </c>
      <c r="D743" s="18">
        <v>0</v>
      </c>
      <c r="E743" s="18">
        <v>3</v>
      </c>
    </row>
    <row r="744" spans="1:5" x14ac:dyDescent="0.3">
      <c r="A744" s="18" t="s">
        <v>1</v>
      </c>
      <c r="B744" s="18" t="s">
        <v>236</v>
      </c>
      <c r="C744" s="18">
        <v>5</v>
      </c>
      <c r="D744" s="18">
        <v>0</v>
      </c>
      <c r="E744" s="18">
        <v>8</v>
      </c>
    </row>
    <row r="745" spans="1:5" x14ac:dyDescent="0.3">
      <c r="A745" s="18" t="s">
        <v>1</v>
      </c>
      <c r="B745" s="18" t="s">
        <v>476</v>
      </c>
      <c r="C745" s="18">
        <v>4</v>
      </c>
      <c r="D745" s="18">
        <v>0</v>
      </c>
      <c r="E745" s="18">
        <v>8</v>
      </c>
    </row>
    <row r="746" spans="1:5" x14ac:dyDescent="0.3">
      <c r="A746" s="18" t="s">
        <v>1</v>
      </c>
      <c r="B746" s="18" t="s">
        <v>196</v>
      </c>
      <c r="C746" s="18">
        <v>10</v>
      </c>
      <c r="D746" s="18">
        <v>0</v>
      </c>
      <c r="E746" s="18">
        <v>15</v>
      </c>
    </row>
    <row r="747" spans="1:5" x14ac:dyDescent="0.3">
      <c r="A747" s="18" t="s">
        <v>1</v>
      </c>
      <c r="B747" s="18" t="s">
        <v>237</v>
      </c>
      <c r="C747" s="18">
        <v>2</v>
      </c>
      <c r="D747" s="18">
        <v>0</v>
      </c>
      <c r="E747" s="18">
        <v>4</v>
      </c>
    </row>
    <row r="748" spans="1:5" x14ac:dyDescent="0.3">
      <c r="A748" s="18" t="s">
        <v>1</v>
      </c>
      <c r="B748" s="18" t="s">
        <v>672</v>
      </c>
      <c r="C748" s="18">
        <v>5</v>
      </c>
      <c r="D748" s="18">
        <v>0</v>
      </c>
      <c r="E748" s="18">
        <v>7</v>
      </c>
    </row>
    <row r="749" spans="1:5" x14ac:dyDescent="0.3">
      <c r="A749" s="18" t="s">
        <v>1</v>
      </c>
      <c r="B749" s="18" t="s">
        <v>240</v>
      </c>
      <c r="C749" s="18">
        <v>10</v>
      </c>
      <c r="D749" s="18">
        <v>0</v>
      </c>
      <c r="E749" s="18">
        <v>12</v>
      </c>
    </row>
    <row r="750" spans="1:5" x14ac:dyDescent="0.3">
      <c r="A750" s="18" t="s">
        <v>1</v>
      </c>
      <c r="B750" s="18" t="s">
        <v>673</v>
      </c>
      <c r="C750" s="18">
        <v>4</v>
      </c>
      <c r="D750" s="18">
        <v>0</v>
      </c>
      <c r="E750" s="18">
        <v>4</v>
      </c>
    </row>
    <row r="751" spans="1:5" x14ac:dyDescent="0.3">
      <c r="A751" s="18" t="s">
        <v>1</v>
      </c>
      <c r="B751" s="18" t="s">
        <v>382</v>
      </c>
      <c r="C751" s="18">
        <v>4</v>
      </c>
      <c r="D751" s="18">
        <v>0</v>
      </c>
      <c r="E751" s="18">
        <v>6</v>
      </c>
    </row>
    <row r="752" spans="1:5" x14ac:dyDescent="0.3">
      <c r="A752" s="18" t="s">
        <v>1</v>
      </c>
      <c r="B752" s="18" t="s">
        <v>377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1086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1</v>
      </c>
      <c r="B754" s="18" t="s">
        <v>3030</v>
      </c>
      <c r="C754" s="18">
        <v>1</v>
      </c>
      <c r="D754" s="18">
        <v>0</v>
      </c>
      <c r="E754" s="18">
        <v>2</v>
      </c>
    </row>
    <row r="755" spans="1:5" x14ac:dyDescent="0.3">
      <c r="A755" s="18" t="s">
        <v>1</v>
      </c>
      <c r="B755" s="18" t="s">
        <v>1840</v>
      </c>
      <c r="C755" s="18">
        <v>0</v>
      </c>
      <c r="D755" s="18">
        <v>1</v>
      </c>
    </row>
    <row r="756" spans="1:5" x14ac:dyDescent="0.3">
      <c r="A756" s="18" t="s">
        <v>1</v>
      </c>
      <c r="B756" s="18" t="s">
        <v>1087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2607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1</v>
      </c>
      <c r="B758" s="18" t="s">
        <v>3031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1</v>
      </c>
      <c r="B759" s="18" t="s">
        <v>2324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1</v>
      </c>
      <c r="B760" s="18" t="s">
        <v>1501</v>
      </c>
      <c r="C760" s="18">
        <v>0</v>
      </c>
      <c r="D760" s="18">
        <v>1</v>
      </c>
    </row>
    <row r="761" spans="1:5" x14ac:dyDescent="0.3">
      <c r="A761" s="18" t="s">
        <v>1</v>
      </c>
      <c r="B761" s="18" t="s">
        <v>378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1</v>
      </c>
      <c r="B762" s="18" t="s">
        <v>761</v>
      </c>
      <c r="C762" s="18">
        <v>1</v>
      </c>
      <c r="D762" s="18">
        <v>0</v>
      </c>
      <c r="E762" s="18">
        <v>3</v>
      </c>
    </row>
    <row r="763" spans="1:5" x14ac:dyDescent="0.3">
      <c r="A763" s="18" t="s">
        <v>1</v>
      </c>
      <c r="B763" s="18" t="s">
        <v>1695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1</v>
      </c>
      <c r="B764" s="18" t="s">
        <v>1998</v>
      </c>
      <c r="C764" s="18">
        <v>0</v>
      </c>
      <c r="D764" s="18">
        <v>1</v>
      </c>
    </row>
    <row r="765" spans="1:5" x14ac:dyDescent="0.3">
      <c r="A765" s="18" t="s">
        <v>1</v>
      </c>
      <c r="B765" s="18" t="s">
        <v>1753</v>
      </c>
      <c r="C765" s="18">
        <v>1</v>
      </c>
      <c r="D765" s="18">
        <v>0</v>
      </c>
      <c r="E765" s="18">
        <v>0</v>
      </c>
    </row>
    <row r="766" spans="1:5" x14ac:dyDescent="0.3">
      <c r="A766" s="18" t="s">
        <v>1</v>
      </c>
      <c r="B766" s="18" t="s">
        <v>575</v>
      </c>
      <c r="C766" s="18">
        <v>0</v>
      </c>
      <c r="D766" s="18">
        <v>1</v>
      </c>
    </row>
    <row r="767" spans="1:5" x14ac:dyDescent="0.3">
      <c r="A767" s="18" t="s">
        <v>1</v>
      </c>
      <c r="B767" s="18" t="s">
        <v>3032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1</v>
      </c>
      <c r="B768" s="18" t="s">
        <v>69</v>
      </c>
      <c r="C768" s="18">
        <v>2</v>
      </c>
      <c r="D768" s="18">
        <v>0</v>
      </c>
      <c r="E768" s="18">
        <v>2</v>
      </c>
    </row>
    <row r="769" spans="1:5" x14ac:dyDescent="0.3">
      <c r="A769" s="18" t="s">
        <v>1</v>
      </c>
      <c r="B769" s="18" t="s">
        <v>677</v>
      </c>
      <c r="C769" s="18">
        <v>1</v>
      </c>
      <c r="D769" s="18">
        <v>0</v>
      </c>
      <c r="E769" s="18">
        <v>3</v>
      </c>
    </row>
    <row r="770" spans="1:5" x14ac:dyDescent="0.3">
      <c r="A770" s="18" t="s">
        <v>0</v>
      </c>
      <c r="B770" s="18" t="s">
        <v>242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579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146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34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937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487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0</v>
      </c>
      <c r="B776" s="18" t="s">
        <v>1660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1854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2334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2363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2468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2442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2399</v>
      </c>
      <c r="C782" s="18">
        <v>1</v>
      </c>
      <c r="D782" s="18">
        <v>0</v>
      </c>
      <c r="E782" s="18">
        <v>2</v>
      </c>
    </row>
    <row r="783" spans="1:5" x14ac:dyDescent="0.3">
      <c r="A783" s="18" t="s">
        <v>0</v>
      </c>
      <c r="B783" s="18" t="s">
        <v>2395</v>
      </c>
      <c r="C783" s="18">
        <v>3</v>
      </c>
      <c r="D783" s="18">
        <v>0</v>
      </c>
      <c r="E783" s="18">
        <v>6</v>
      </c>
    </row>
    <row r="784" spans="1:5" x14ac:dyDescent="0.3">
      <c r="A784" s="18" t="s">
        <v>0</v>
      </c>
      <c r="B784" s="18" t="s">
        <v>2428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0</v>
      </c>
      <c r="B785" s="18" t="s">
        <v>2616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0</v>
      </c>
      <c r="B786" s="18" t="s">
        <v>2789</v>
      </c>
      <c r="C786" s="18">
        <v>2</v>
      </c>
      <c r="D786" s="18">
        <v>0</v>
      </c>
      <c r="E786" s="18">
        <v>2</v>
      </c>
    </row>
    <row r="787" spans="1:5" x14ac:dyDescent="0.3">
      <c r="A787" s="18" t="s">
        <v>0</v>
      </c>
      <c r="B787" s="18" t="s">
        <v>1944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0</v>
      </c>
      <c r="B788" s="18" t="s">
        <v>993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0</v>
      </c>
      <c r="B789" s="18" t="s">
        <v>1066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0</v>
      </c>
      <c r="B790" s="18" t="s">
        <v>169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0</v>
      </c>
      <c r="B791" s="18" t="s">
        <v>113</v>
      </c>
      <c r="C791" s="18">
        <v>1</v>
      </c>
      <c r="D791" s="18">
        <v>0</v>
      </c>
      <c r="E791" s="18">
        <v>2</v>
      </c>
    </row>
    <row r="792" spans="1:5" x14ac:dyDescent="0.3">
      <c r="A792" s="18" t="s">
        <v>0</v>
      </c>
      <c r="B792" s="18" t="s">
        <v>2600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0</v>
      </c>
      <c r="B793" s="18" t="s">
        <v>256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950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124</v>
      </c>
      <c r="C795" s="18">
        <v>1</v>
      </c>
      <c r="D795" s="18">
        <v>0</v>
      </c>
      <c r="E795" s="18">
        <v>2</v>
      </c>
    </row>
    <row r="796" spans="1:5" x14ac:dyDescent="0.3">
      <c r="A796" s="18" t="s">
        <v>0</v>
      </c>
      <c r="B796" s="18" t="s">
        <v>178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0</v>
      </c>
      <c r="B797" s="18" t="s">
        <v>741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683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0</v>
      </c>
      <c r="B799" s="18" t="s">
        <v>697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0</v>
      </c>
      <c r="B800" s="18" t="s">
        <v>182</v>
      </c>
      <c r="C800" s="18">
        <v>2</v>
      </c>
      <c r="D800" s="18">
        <v>0</v>
      </c>
      <c r="E800" s="18">
        <v>3</v>
      </c>
    </row>
    <row r="801" spans="1:5" x14ac:dyDescent="0.3">
      <c r="A801" s="18" t="s">
        <v>0</v>
      </c>
      <c r="B801" s="18" t="s">
        <v>2897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2019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2349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38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263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0</v>
      </c>
      <c r="B806" s="18" t="s">
        <v>684</v>
      </c>
      <c r="C806" s="18">
        <v>1</v>
      </c>
      <c r="D806" s="18">
        <v>0</v>
      </c>
      <c r="E806" s="18">
        <v>3</v>
      </c>
    </row>
    <row r="807" spans="1:5" x14ac:dyDescent="0.3">
      <c r="A807" s="18" t="s">
        <v>0</v>
      </c>
      <c r="B807" s="18" t="s">
        <v>235</v>
      </c>
      <c r="C807" s="18">
        <v>1</v>
      </c>
      <c r="D807" s="18">
        <v>0</v>
      </c>
      <c r="E807" s="18">
        <v>2</v>
      </c>
    </row>
    <row r="808" spans="1:5" x14ac:dyDescent="0.3">
      <c r="A808" s="18" t="s">
        <v>0</v>
      </c>
      <c r="B808" s="18" t="s">
        <v>238</v>
      </c>
      <c r="C808" s="18">
        <v>1</v>
      </c>
      <c r="D808" s="18">
        <v>0</v>
      </c>
      <c r="E808" s="18">
        <v>2</v>
      </c>
    </row>
    <row r="809" spans="1:5" x14ac:dyDescent="0.3">
      <c r="A809" s="18" t="s">
        <v>0</v>
      </c>
      <c r="B809" s="18" t="s">
        <v>672</v>
      </c>
      <c r="C809" s="18">
        <v>2</v>
      </c>
      <c r="D809" s="18">
        <v>0</v>
      </c>
      <c r="E809" s="18">
        <v>2</v>
      </c>
    </row>
    <row r="810" spans="1:5" x14ac:dyDescent="0.3">
      <c r="A810" s="18" t="s">
        <v>0</v>
      </c>
      <c r="B810" s="18" t="s">
        <v>55</v>
      </c>
      <c r="C810" s="18">
        <v>2</v>
      </c>
      <c r="D810" s="18">
        <v>0</v>
      </c>
      <c r="E810" s="18">
        <v>7</v>
      </c>
    </row>
    <row r="811" spans="1:5" x14ac:dyDescent="0.3">
      <c r="A811" s="18" t="s">
        <v>0</v>
      </c>
      <c r="B811" s="18" t="s">
        <v>240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1086</v>
      </c>
      <c r="C812" s="18">
        <v>1</v>
      </c>
      <c r="D812" s="18">
        <v>0</v>
      </c>
      <c r="E812" s="18">
        <v>1</v>
      </c>
    </row>
    <row r="813" spans="1:5" x14ac:dyDescent="0.3">
      <c r="A813" s="18" t="s">
        <v>0</v>
      </c>
      <c r="B813" s="18" t="s">
        <v>2085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0</v>
      </c>
      <c r="B814" s="18" t="s">
        <v>266</v>
      </c>
      <c r="C814" s="18">
        <v>1</v>
      </c>
      <c r="D814" s="18">
        <v>0</v>
      </c>
      <c r="E814" s="18">
        <v>4</v>
      </c>
    </row>
    <row r="815" spans="1:5" x14ac:dyDescent="0.3">
      <c r="A815" s="18" t="s">
        <v>0</v>
      </c>
      <c r="B815" s="18" t="s">
        <v>3033</v>
      </c>
      <c r="C815" s="18">
        <v>0</v>
      </c>
      <c r="D815" s="18">
        <v>1</v>
      </c>
    </row>
    <row r="816" spans="1:5" x14ac:dyDescent="0.3">
      <c r="A816" s="18" t="s">
        <v>0</v>
      </c>
      <c r="B816" s="18" t="s">
        <v>2458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0</v>
      </c>
      <c r="B817" s="18" t="s">
        <v>3034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0</v>
      </c>
      <c r="B818" s="18" t="s">
        <v>3035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0</v>
      </c>
      <c r="B819" s="18" t="s">
        <v>32</v>
      </c>
      <c r="C819" s="18">
        <v>2</v>
      </c>
      <c r="D819" s="18">
        <v>0</v>
      </c>
      <c r="E819" s="18">
        <v>3</v>
      </c>
    </row>
    <row r="820" spans="1:5" x14ac:dyDescent="0.3">
      <c r="A820" s="18" t="s">
        <v>2</v>
      </c>
      <c r="B820" s="18" t="s">
        <v>85</v>
      </c>
      <c r="C820" s="18">
        <v>1</v>
      </c>
      <c r="D820" s="18">
        <v>0</v>
      </c>
      <c r="E820" s="18">
        <v>1</v>
      </c>
    </row>
    <row r="821" spans="1:5" x14ac:dyDescent="0.3">
      <c r="A821" s="18" t="s">
        <v>2</v>
      </c>
      <c r="B821" s="18" t="s">
        <v>2428</v>
      </c>
      <c r="C821" s="18">
        <v>1</v>
      </c>
      <c r="D821" s="18">
        <v>0</v>
      </c>
      <c r="E821" s="18">
        <v>1</v>
      </c>
    </row>
    <row r="822" spans="1:5" x14ac:dyDescent="0.3">
      <c r="A822" s="18" t="s">
        <v>2</v>
      </c>
      <c r="B822" s="18" t="s">
        <v>201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2</v>
      </c>
      <c r="B823" s="18" t="s">
        <v>684</v>
      </c>
      <c r="C823" s="18">
        <v>1</v>
      </c>
      <c r="D823" s="18">
        <v>0</v>
      </c>
      <c r="E823" s="18">
        <v>1</v>
      </c>
    </row>
    <row r="824" spans="1:5" x14ac:dyDescent="0.3">
      <c r="A824" s="18" t="s">
        <v>2</v>
      </c>
      <c r="B824" s="18" t="s">
        <v>235</v>
      </c>
      <c r="C824" s="18">
        <v>1</v>
      </c>
      <c r="D824" s="18">
        <v>0</v>
      </c>
      <c r="E824" s="18">
        <v>2</v>
      </c>
    </row>
    <row r="825" spans="1:5" x14ac:dyDescent="0.3">
      <c r="A825" s="18" t="s">
        <v>2</v>
      </c>
      <c r="B825" s="18" t="s">
        <v>238</v>
      </c>
      <c r="C825" s="18">
        <v>1</v>
      </c>
      <c r="D825" s="18">
        <v>0</v>
      </c>
      <c r="E825" s="18">
        <v>1</v>
      </c>
    </row>
    <row r="826" spans="1:5" x14ac:dyDescent="0.3">
      <c r="A826" s="18" t="s">
        <v>2</v>
      </c>
      <c r="B826" s="18" t="s">
        <v>672</v>
      </c>
      <c r="C826" s="18">
        <v>1</v>
      </c>
      <c r="D826" s="18">
        <v>0</v>
      </c>
      <c r="E826" s="18">
        <v>2</v>
      </c>
    </row>
    <row r="827" spans="1:5" x14ac:dyDescent="0.3">
      <c r="A827" s="18" t="s">
        <v>2</v>
      </c>
      <c r="B827" s="18" t="s">
        <v>55</v>
      </c>
      <c r="C827" s="18">
        <v>1</v>
      </c>
      <c r="D827" s="18">
        <v>0</v>
      </c>
      <c r="E827" s="18">
        <v>1</v>
      </c>
    </row>
    <row r="828" spans="1:5" x14ac:dyDescent="0.3">
      <c r="A828" s="18" t="s">
        <v>2</v>
      </c>
      <c r="B828" s="18" t="s">
        <v>382</v>
      </c>
      <c r="C828" s="18">
        <v>1</v>
      </c>
      <c r="D828" s="18">
        <v>0</v>
      </c>
      <c r="E828" s="18">
        <v>1</v>
      </c>
    </row>
    <row r="829" spans="1:5" x14ac:dyDescent="0.3">
      <c r="A829" s="18" t="s">
        <v>2</v>
      </c>
      <c r="B829" s="18" t="s">
        <v>2525</v>
      </c>
      <c r="C829" s="18">
        <v>1</v>
      </c>
      <c r="D829" s="18">
        <v>0</v>
      </c>
      <c r="E829" s="18">
        <v>1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418CF-DE23-452B-B82F-28303725AE55}">
  <sheetPr codeName="Sheet48"/>
  <dimension ref="A1:M819"/>
  <sheetViews>
    <sheetView workbookViewId="0">
      <selection activeCell="A2" sqref="A2:E81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2944</v>
      </c>
      <c r="C2" s="17">
        <v>73</v>
      </c>
      <c r="D2" s="17">
        <v>59</v>
      </c>
      <c r="E2" s="17">
        <v>78</v>
      </c>
    </row>
    <row r="3" spans="1:13" customFormat="1" x14ac:dyDescent="0.3">
      <c r="A3" s="17" t="s">
        <v>1</v>
      </c>
      <c r="B3" s="17" t="s">
        <v>30</v>
      </c>
      <c r="C3" s="17">
        <v>122</v>
      </c>
      <c r="D3" s="17">
        <v>43</v>
      </c>
      <c r="E3" s="17">
        <v>249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365</v>
      </c>
      <c r="C4" s="17">
        <v>34</v>
      </c>
      <c r="D4" s="17">
        <v>29</v>
      </c>
      <c r="E4" s="17">
        <v>34</v>
      </c>
      <c r="G4" s="23" t="s">
        <v>8</v>
      </c>
      <c r="H4" s="19">
        <f>H13+H14</f>
        <v>1361</v>
      </c>
      <c r="I4" s="20">
        <f>H4/H$6</f>
        <v>0.69902413970210575</v>
      </c>
      <c r="J4" s="19">
        <f>I13+I14</f>
        <v>732</v>
      </c>
      <c r="K4" s="20">
        <f>J4/J$6</f>
        <v>0.60746887966804974</v>
      </c>
      <c r="L4" s="19">
        <f>J13+J14</f>
        <v>1686</v>
      </c>
      <c r="M4" s="29">
        <f>L4/L$6</f>
        <v>0.7063259321323837</v>
      </c>
    </row>
    <row r="5" spans="1:13" customFormat="1" x14ac:dyDescent="0.3">
      <c r="A5" s="17" t="s">
        <v>1</v>
      </c>
      <c r="B5" s="17" t="s">
        <v>138</v>
      </c>
      <c r="C5" s="17">
        <v>53</v>
      </c>
      <c r="D5" s="17">
        <v>29</v>
      </c>
      <c r="E5" s="17">
        <v>77</v>
      </c>
      <c r="G5" s="23" t="s">
        <v>10</v>
      </c>
      <c r="H5" s="19">
        <f>H15+H16</f>
        <v>586</v>
      </c>
      <c r="I5" s="20">
        <f>H5/H$6</f>
        <v>0.30097586029789419</v>
      </c>
      <c r="J5" s="19">
        <f>I15+I16</f>
        <v>473</v>
      </c>
      <c r="K5" s="20">
        <f>J5/J$6</f>
        <v>0.3925311203319502</v>
      </c>
      <c r="L5" s="19">
        <f>J15+J16</f>
        <v>701</v>
      </c>
      <c r="M5" s="29">
        <f>L5/L$6</f>
        <v>0.29367406786761624</v>
      </c>
    </row>
    <row r="6" spans="1:13" customFormat="1" ht="17.25" thickBot="1" x14ac:dyDescent="0.35">
      <c r="A6" s="17" t="s">
        <v>0</v>
      </c>
      <c r="B6" s="17" t="s">
        <v>30</v>
      </c>
      <c r="C6" s="17">
        <v>32</v>
      </c>
      <c r="D6" s="17">
        <v>23</v>
      </c>
      <c r="E6" s="17">
        <v>47</v>
      </c>
      <c r="G6" s="26"/>
      <c r="H6" s="30">
        <f>SUM(H4:H5)</f>
        <v>1947</v>
      </c>
      <c r="I6" s="31">
        <f>I4+I5</f>
        <v>1</v>
      </c>
      <c r="J6" s="30">
        <f>SUM(J4:J5)</f>
        <v>1205</v>
      </c>
      <c r="K6" s="31">
        <f>K4+K5</f>
        <v>1</v>
      </c>
      <c r="L6" s="30">
        <f>SUM(L4:L5)</f>
        <v>2387</v>
      </c>
      <c r="M6" s="32">
        <f>M4+M5</f>
        <v>1</v>
      </c>
    </row>
    <row r="7" spans="1:13" customFormat="1" x14ac:dyDescent="0.3">
      <c r="A7" s="17" t="s">
        <v>1</v>
      </c>
      <c r="B7" s="17" t="s">
        <v>376</v>
      </c>
      <c r="C7" s="17">
        <v>26</v>
      </c>
      <c r="D7" s="17">
        <v>18</v>
      </c>
      <c r="E7" s="17">
        <v>36</v>
      </c>
    </row>
    <row r="8" spans="1:13" customFormat="1" x14ac:dyDescent="0.3">
      <c r="A8" s="17" t="s">
        <v>1</v>
      </c>
      <c r="B8" s="17" t="s">
        <v>37</v>
      </c>
      <c r="C8" s="17">
        <v>23</v>
      </c>
      <c r="D8" s="17">
        <v>17</v>
      </c>
      <c r="E8" s="17">
        <v>25</v>
      </c>
    </row>
    <row r="9" spans="1:13" customFormat="1" x14ac:dyDescent="0.3">
      <c r="A9" s="17" t="s">
        <v>1</v>
      </c>
      <c r="B9" s="17" t="s">
        <v>51</v>
      </c>
      <c r="C9" s="17">
        <v>13</v>
      </c>
      <c r="D9" s="17">
        <v>12</v>
      </c>
      <c r="E9" s="17">
        <v>16</v>
      </c>
    </row>
    <row r="10" spans="1:13" customFormat="1" ht="17.25" thickBot="1" x14ac:dyDescent="0.35">
      <c r="A10" s="17" t="s">
        <v>1</v>
      </c>
      <c r="B10" s="17" t="s">
        <v>89</v>
      </c>
      <c r="C10" s="17">
        <v>12</v>
      </c>
      <c r="D10" s="17">
        <v>11</v>
      </c>
      <c r="E10" s="17">
        <v>18</v>
      </c>
    </row>
    <row r="11" spans="1:13" x14ac:dyDescent="0.3">
      <c r="A11" s="17" t="s">
        <v>1</v>
      </c>
      <c r="B11" s="17" t="s">
        <v>3036</v>
      </c>
      <c r="C11" s="17">
        <v>35</v>
      </c>
      <c r="D11" s="17">
        <v>11</v>
      </c>
      <c r="E11" s="17">
        <v>50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29</v>
      </c>
      <c r="C12" s="17">
        <v>12</v>
      </c>
      <c r="D12" s="17">
        <v>11</v>
      </c>
      <c r="E12" s="17">
        <v>14</v>
      </c>
      <c r="G12" s="23"/>
      <c r="H12" s="21">
        <f t="shared" ref="H12:J12" si="0">SUM(H13:H16)</f>
        <v>1947</v>
      </c>
      <c r="I12" s="21">
        <f t="shared" si="0"/>
        <v>1205</v>
      </c>
      <c r="J12" s="24">
        <f t="shared" si="0"/>
        <v>2387</v>
      </c>
    </row>
    <row r="13" spans="1:13" x14ac:dyDescent="0.3">
      <c r="A13" s="17" t="s">
        <v>1</v>
      </c>
      <c r="B13" s="17" t="s">
        <v>2944</v>
      </c>
      <c r="C13" s="17">
        <v>22</v>
      </c>
      <c r="D13" s="17">
        <v>10</v>
      </c>
      <c r="E13" s="17">
        <v>24</v>
      </c>
      <c r="G13" s="23" t="s">
        <v>7</v>
      </c>
      <c r="H13" s="22">
        <f t="shared" ref="H13:J16" si="1">SUMIF($A$2:$A$9999,$G13,C$2:C$9999)</f>
        <v>1361</v>
      </c>
      <c r="I13" s="22">
        <f t="shared" si="1"/>
        <v>732</v>
      </c>
      <c r="J13" s="25">
        <f t="shared" si="1"/>
        <v>1686</v>
      </c>
    </row>
    <row r="14" spans="1:13" x14ac:dyDescent="0.3">
      <c r="A14" s="17" t="s">
        <v>0</v>
      </c>
      <c r="B14" s="17" t="s">
        <v>3036</v>
      </c>
      <c r="C14" s="17">
        <v>15</v>
      </c>
      <c r="D14" s="17">
        <v>10</v>
      </c>
      <c r="E14" s="17">
        <v>23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1927</v>
      </c>
      <c r="C15" s="17">
        <v>13</v>
      </c>
      <c r="D15" s="17">
        <v>9</v>
      </c>
      <c r="E15" s="17">
        <v>16</v>
      </c>
      <c r="G15" s="23" t="s">
        <v>11</v>
      </c>
      <c r="H15" s="22">
        <f t="shared" si="1"/>
        <v>509</v>
      </c>
      <c r="I15" s="22">
        <f t="shared" si="1"/>
        <v>407</v>
      </c>
      <c r="J15" s="25">
        <f t="shared" si="1"/>
        <v>592</v>
      </c>
    </row>
    <row r="16" spans="1:13" ht="17.25" thickBot="1" x14ac:dyDescent="0.35">
      <c r="A16" s="17" t="s">
        <v>0</v>
      </c>
      <c r="B16" s="17" t="s">
        <v>2572</v>
      </c>
      <c r="C16" s="17">
        <v>11</v>
      </c>
      <c r="D16" s="17">
        <v>9</v>
      </c>
      <c r="E16" s="17">
        <v>11</v>
      </c>
      <c r="G16" s="26" t="s">
        <v>12</v>
      </c>
      <c r="H16" s="27">
        <f t="shared" si="1"/>
        <v>77</v>
      </c>
      <c r="I16" s="27">
        <f t="shared" si="1"/>
        <v>66</v>
      </c>
      <c r="J16" s="28">
        <f t="shared" si="1"/>
        <v>109</v>
      </c>
    </row>
    <row r="17" spans="1:5" x14ac:dyDescent="0.3">
      <c r="A17" s="17" t="s">
        <v>2</v>
      </c>
      <c r="B17" s="17" t="s">
        <v>89</v>
      </c>
      <c r="C17" s="17">
        <v>9</v>
      </c>
      <c r="D17" s="17">
        <v>9</v>
      </c>
      <c r="E17" s="17">
        <v>13</v>
      </c>
    </row>
    <row r="18" spans="1:5" x14ac:dyDescent="0.3">
      <c r="A18" s="17" t="s">
        <v>1</v>
      </c>
      <c r="B18" s="17" t="s">
        <v>48</v>
      </c>
      <c r="C18" s="17">
        <v>13</v>
      </c>
      <c r="D18" s="17">
        <v>8</v>
      </c>
      <c r="E18" s="17">
        <v>21</v>
      </c>
    </row>
    <row r="19" spans="1:5" x14ac:dyDescent="0.3">
      <c r="A19" s="17" t="s">
        <v>1</v>
      </c>
      <c r="B19" s="17" t="s">
        <v>2075</v>
      </c>
      <c r="C19" s="17">
        <v>9</v>
      </c>
      <c r="D19" s="17">
        <v>8</v>
      </c>
      <c r="E19" s="17">
        <v>12</v>
      </c>
    </row>
    <row r="20" spans="1:5" x14ac:dyDescent="0.3">
      <c r="A20" s="17" t="s">
        <v>1</v>
      </c>
      <c r="B20" s="17" t="s">
        <v>2572</v>
      </c>
      <c r="C20" s="17">
        <v>11</v>
      </c>
      <c r="D20" s="17">
        <v>8</v>
      </c>
      <c r="E20" s="17">
        <v>11</v>
      </c>
    </row>
    <row r="21" spans="1:5" x14ac:dyDescent="0.3">
      <c r="A21" s="17" t="s">
        <v>0</v>
      </c>
      <c r="B21" s="17" t="s">
        <v>2396</v>
      </c>
      <c r="C21" s="17">
        <v>8</v>
      </c>
      <c r="D21" s="17">
        <v>8</v>
      </c>
      <c r="E21" s="17">
        <v>8</v>
      </c>
    </row>
    <row r="22" spans="1:5" x14ac:dyDescent="0.3">
      <c r="A22" s="17" t="s">
        <v>0</v>
      </c>
      <c r="B22" s="17" t="s">
        <v>31</v>
      </c>
      <c r="C22" s="17">
        <v>8</v>
      </c>
      <c r="D22" s="17">
        <v>8</v>
      </c>
      <c r="E22" s="17">
        <v>9</v>
      </c>
    </row>
    <row r="23" spans="1:5" x14ac:dyDescent="0.3">
      <c r="A23" s="17" t="s">
        <v>2</v>
      </c>
      <c r="B23" s="17" t="s">
        <v>1927</v>
      </c>
      <c r="C23" s="17">
        <v>8</v>
      </c>
      <c r="D23" s="17">
        <v>8</v>
      </c>
      <c r="E23" s="17">
        <v>11</v>
      </c>
    </row>
    <row r="24" spans="1:5" x14ac:dyDescent="0.3">
      <c r="A24" s="17" t="s">
        <v>1</v>
      </c>
      <c r="B24" s="17" t="s">
        <v>31</v>
      </c>
      <c r="C24" s="17">
        <v>8</v>
      </c>
      <c r="D24" s="17">
        <v>7</v>
      </c>
      <c r="E24" s="17">
        <v>9</v>
      </c>
    </row>
    <row r="25" spans="1:5" x14ac:dyDescent="0.3">
      <c r="A25" s="17" t="s">
        <v>1</v>
      </c>
      <c r="B25" s="17" t="s">
        <v>3037</v>
      </c>
      <c r="C25" s="17">
        <v>7</v>
      </c>
      <c r="D25" s="17">
        <v>10</v>
      </c>
      <c r="E25" s="17"/>
    </row>
    <row r="26" spans="1:5" x14ac:dyDescent="0.3">
      <c r="A26" s="17" t="s">
        <v>0</v>
      </c>
      <c r="B26" s="17" t="s">
        <v>34</v>
      </c>
      <c r="C26" s="17">
        <v>8</v>
      </c>
      <c r="D26" s="17">
        <v>7</v>
      </c>
      <c r="E26" s="17">
        <v>9</v>
      </c>
    </row>
    <row r="27" spans="1:5" x14ac:dyDescent="0.3">
      <c r="A27" s="17" t="s">
        <v>0</v>
      </c>
      <c r="B27" s="17" t="s">
        <v>39</v>
      </c>
      <c r="C27" s="17">
        <v>8</v>
      </c>
      <c r="D27" s="17">
        <v>7</v>
      </c>
      <c r="E27" s="17">
        <v>8</v>
      </c>
    </row>
    <row r="28" spans="1:5" x14ac:dyDescent="0.3">
      <c r="A28" s="17" t="s">
        <v>1</v>
      </c>
      <c r="B28" s="17" t="s">
        <v>403</v>
      </c>
      <c r="C28" s="17">
        <v>7</v>
      </c>
      <c r="D28" s="17">
        <v>6</v>
      </c>
      <c r="E28" s="17">
        <v>8</v>
      </c>
    </row>
    <row r="29" spans="1:5" x14ac:dyDescent="0.3">
      <c r="A29" s="17" t="s">
        <v>1</v>
      </c>
      <c r="B29" s="17" t="s">
        <v>113</v>
      </c>
      <c r="C29" s="17">
        <v>7</v>
      </c>
      <c r="D29" s="17">
        <v>6</v>
      </c>
      <c r="E29" s="17">
        <v>7</v>
      </c>
    </row>
    <row r="30" spans="1:5" x14ac:dyDescent="0.3">
      <c r="A30" s="17" t="s">
        <v>1</v>
      </c>
      <c r="B30" s="17" t="s">
        <v>594</v>
      </c>
      <c r="C30" s="17">
        <v>6</v>
      </c>
      <c r="D30" s="17">
        <v>6</v>
      </c>
      <c r="E30" s="17">
        <v>6</v>
      </c>
    </row>
    <row r="31" spans="1:5" x14ac:dyDescent="0.3">
      <c r="A31" s="17" t="s">
        <v>0</v>
      </c>
      <c r="B31" s="17" t="s">
        <v>40</v>
      </c>
      <c r="C31" s="17">
        <v>7</v>
      </c>
      <c r="D31" s="17">
        <v>6</v>
      </c>
      <c r="E31" s="17">
        <v>8</v>
      </c>
    </row>
    <row r="32" spans="1:5" x14ac:dyDescent="0.3">
      <c r="A32" s="17" t="s">
        <v>0</v>
      </c>
      <c r="B32" s="17" t="s">
        <v>51</v>
      </c>
      <c r="C32" s="17">
        <v>7</v>
      </c>
      <c r="D32" s="17">
        <v>6</v>
      </c>
      <c r="E32" s="17">
        <v>8</v>
      </c>
    </row>
    <row r="33" spans="1:5" x14ac:dyDescent="0.3">
      <c r="A33" s="17" t="s">
        <v>0</v>
      </c>
      <c r="B33" s="17" t="s">
        <v>376</v>
      </c>
      <c r="C33" s="17">
        <v>6</v>
      </c>
      <c r="D33" s="17">
        <v>6</v>
      </c>
      <c r="E33" s="17">
        <v>6</v>
      </c>
    </row>
    <row r="34" spans="1:5" x14ac:dyDescent="0.3">
      <c r="A34" s="17" t="s">
        <v>1</v>
      </c>
      <c r="B34" s="17" t="s">
        <v>33</v>
      </c>
      <c r="C34" s="17">
        <v>9</v>
      </c>
      <c r="D34" s="17">
        <v>5</v>
      </c>
      <c r="E34" s="17">
        <v>8</v>
      </c>
    </row>
    <row r="35" spans="1:5" x14ac:dyDescent="0.3">
      <c r="A35" s="17" t="s">
        <v>1</v>
      </c>
      <c r="B35" s="17" t="s">
        <v>487</v>
      </c>
      <c r="C35" s="17">
        <v>7</v>
      </c>
      <c r="D35" s="17">
        <v>5</v>
      </c>
      <c r="E35" s="17">
        <v>8</v>
      </c>
    </row>
    <row r="36" spans="1:5" x14ac:dyDescent="0.3">
      <c r="A36" s="17" t="s">
        <v>1</v>
      </c>
      <c r="B36" s="17" t="s">
        <v>289</v>
      </c>
      <c r="C36" s="17">
        <v>5</v>
      </c>
      <c r="D36" s="17">
        <v>5</v>
      </c>
      <c r="E36" s="17">
        <v>5</v>
      </c>
    </row>
    <row r="37" spans="1:5" x14ac:dyDescent="0.3">
      <c r="A37" s="17" t="s">
        <v>1</v>
      </c>
      <c r="B37" s="17" t="s">
        <v>195</v>
      </c>
      <c r="C37" s="17">
        <v>13</v>
      </c>
      <c r="D37" s="17">
        <v>5</v>
      </c>
      <c r="E37" s="17">
        <v>23</v>
      </c>
    </row>
    <row r="38" spans="1:5" x14ac:dyDescent="0.3">
      <c r="A38" s="17" t="s">
        <v>0</v>
      </c>
      <c r="B38" s="17" t="s">
        <v>42</v>
      </c>
      <c r="C38" s="17">
        <v>5</v>
      </c>
      <c r="D38" s="17">
        <v>5</v>
      </c>
      <c r="E38" s="17">
        <v>5</v>
      </c>
    </row>
    <row r="39" spans="1:5" x14ac:dyDescent="0.3">
      <c r="A39" s="17" t="s">
        <v>0</v>
      </c>
      <c r="B39" s="17" t="s">
        <v>1927</v>
      </c>
      <c r="C39" s="17">
        <v>5</v>
      </c>
      <c r="D39" s="17">
        <v>5</v>
      </c>
      <c r="E39" s="17">
        <v>6</v>
      </c>
    </row>
    <row r="40" spans="1:5" x14ac:dyDescent="0.3">
      <c r="A40" s="17" t="s">
        <v>0</v>
      </c>
      <c r="B40" s="17" t="s">
        <v>2075</v>
      </c>
      <c r="C40" s="17">
        <v>6</v>
      </c>
      <c r="D40" s="17">
        <v>5</v>
      </c>
      <c r="E40" s="17">
        <v>8</v>
      </c>
    </row>
    <row r="41" spans="1:5" x14ac:dyDescent="0.3">
      <c r="A41" s="17" t="s">
        <v>1</v>
      </c>
      <c r="B41" s="17" t="s">
        <v>213</v>
      </c>
      <c r="C41" s="17">
        <v>6</v>
      </c>
      <c r="D41" s="17">
        <v>4</v>
      </c>
      <c r="E41" s="17">
        <v>7</v>
      </c>
    </row>
    <row r="42" spans="1:5" x14ac:dyDescent="0.3">
      <c r="A42" s="17" t="s">
        <v>1</v>
      </c>
      <c r="B42" s="17" t="s">
        <v>155</v>
      </c>
      <c r="C42" s="17">
        <v>10</v>
      </c>
      <c r="D42" s="17">
        <v>4</v>
      </c>
      <c r="E42" s="17">
        <v>9</v>
      </c>
    </row>
    <row r="43" spans="1:5" x14ac:dyDescent="0.3">
      <c r="A43" s="17" t="s">
        <v>1</v>
      </c>
      <c r="B43" s="17" t="s">
        <v>61</v>
      </c>
      <c r="C43" s="17">
        <v>5</v>
      </c>
      <c r="D43" s="17">
        <v>4</v>
      </c>
      <c r="E43" s="17">
        <v>5</v>
      </c>
    </row>
    <row r="44" spans="1:5" x14ac:dyDescent="0.3">
      <c r="A44" s="17" t="s">
        <v>1</v>
      </c>
      <c r="B44" s="17" t="s">
        <v>526</v>
      </c>
      <c r="C44" s="17">
        <v>4</v>
      </c>
      <c r="D44" s="17">
        <v>4</v>
      </c>
      <c r="E44" s="17">
        <v>5</v>
      </c>
    </row>
    <row r="45" spans="1:5" x14ac:dyDescent="0.3">
      <c r="A45" s="17" t="s">
        <v>1</v>
      </c>
      <c r="B45" s="17" t="s">
        <v>29</v>
      </c>
      <c r="C45" s="17">
        <v>4</v>
      </c>
      <c r="D45" s="17">
        <v>4</v>
      </c>
      <c r="E45" s="17">
        <v>4</v>
      </c>
    </row>
    <row r="46" spans="1:5" x14ac:dyDescent="0.3">
      <c r="A46" s="17" t="s">
        <v>1</v>
      </c>
      <c r="B46" s="17" t="s">
        <v>662</v>
      </c>
      <c r="C46" s="17">
        <v>6</v>
      </c>
      <c r="D46" s="17">
        <v>4</v>
      </c>
      <c r="E46" s="17">
        <v>6</v>
      </c>
    </row>
    <row r="47" spans="1:5" x14ac:dyDescent="0.3">
      <c r="A47" s="17" t="s">
        <v>1</v>
      </c>
      <c r="B47" s="17" t="s">
        <v>135</v>
      </c>
      <c r="C47" s="17">
        <v>5</v>
      </c>
      <c r="D47" s="17">
        <v>4</v>
      </c>
      <c r="E47" s="17">
        <v>5</v>
      </c>
    </row>
    <row r="48" spans="1:5" x14ac:dyDescent="0.3">
      <c r="A48" s="17" t="s">
        <v>1</v>
      </c>
      <c r="B48" s="17" t="s">
        <v>32</v>
      </c>
      <c r="C48" s="17">
        <v>12</v>
      </c>
      <c r="D48" s="17">
        <v>4</v>
      </c>
      <c r="E48" s="17">
        <v>20</v>
      </c>
    </row>
    <row r="49" spans="1:5" x14ac:dyDescent="0.3">
      <c r="A49" s="17" t="s">
        <v>0</v>
      </c>
      <c r="B49" s="17" t="s">
        <v>490</v>
      </c>
      <c r="C49" s="17">
        <v>4</v>
      </c>
      <c r="D49" s="17">
        <v>4</v>
      </c>
      <c r="E49" s="17">
        <v>4</v>
      </c>
    </row>
    <row r="50" spans="1:5" x14ac:dyDescent="0.3">
      <c r="A50" s="17" t="s">
        <v>0</v>
      </c>
      <c r="B50" s="17" t="s">
        <v>247</v>
      </c>
      <c r="C50" s="17">
        <v>4</v>
      </c>
      <c r="D50" s="17">
        <v>4</v>
      </c>
      <c r="E50" s="17">
        <v>4</v>
      </c>
    </row>
    <row r="51" spans="1:5" x14ac:dyDescent="0.3">
      <c r="A51" s="17" t="s">
        <v>0</v>
      </c>
      <c r="B51" s="17" t="s">
        <v>60</v>
      </c>
      <c r="C51" s="17">
        <v>4</v>
      </c>
      <c r="D51" s="17">
        <v>4</v>
      </c>
      <c r="E51" s="17">
        <v>4</v>
      </c>
    </row>
    <row r="52" spans="1:5" x14ac:dyDescent="0.3">
      <c r="A52" s="17" t="s">
        <v>0</v>
      </c>
      <c r="B52" s="17" t="s">
        <v>403</v>
      </c>
      <c r="C52" s="17">
        <v>4</v>
      </c>
      <c r="D52" s="17">
        <v>4</v>
      </c>
      <c r="E52" s="17">
        <v>4</v>
      </c>
    </row>
    <row r="53" spans="1:5" x14ac:dyDescent="0.3">
      <c r="A53" s="17" t="s">
        <v>0</v>
      </c>
      <c r="B53" s="17" t="s">
        <v>37</v>
      </c>
      <c r="C53" s="17">
        <v>4</v>
      </c>
      <c r="D53" s="17">
        <v>4</v>
      </c>
      <c r="E53" s="17">
        <v>4</v>
      </c>
    </row>
    <row r="54" spans="1:5" x14ac:dyDescent="0.3">
      <c r="A54" s="17" t="s">
        <v>0</v>
      </c>
      <c r="B54" s="17" t="s">
        <v>192</v>
      </c>
      <c r="C54" s="17">
        <v>5</v>
      </c>
      <c r="D54" s="17">
        <v>4</v>
      </c>
      <c r="E54" s="17">
        <v>5</v>
      </c>
    </row>
    <row r="55" spans="1:5" x14ac:dyDescent="0.3">
      <c r="A55" s="17" t="s">
        <v>0</v>
      </c>
      <c r="B55" s="17" t="s">
        <v>138</v>
      </c>
      <c r="C55" s="17">
        <v>5</v>
      </c>
      <c r="D55" s="17">
        <v>4</v>
      </c>
      <c r="E55" s="17">
        <v>6</v>
      </c>
    </row>
    <row r="56" spans="1:5" x14ac:dyDescent="0.3">
      <c r="A56" s="17" t="s">
        <v>1</v>
      </c>
      <c r="B56" s="17" t="s">
        <v>489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79</v>
      </c>
      <c r="C57" s="17">
        <v>4</v>
      </c>
      <c r="D57" s="17">
        <v>3</v>
      </c>
      <c r="E57" s="17">
        <v>5</v>
      </c>
    </row>
    <row r="58" spans="1:5" x14ac:dyDescent="0.3">
      <c r="A58" s="17" t="s">
        <v>1</v>
      </c>
      <c r="B58" s="17" t="s">
        <v>34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1314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267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85</v>
      </c>
      <c r="C61" s="17">
        <v>6</v>
      </c>
      <c r="D61" s="17">
        <v>3</v>
      </c>
      <c r="E61" s="17">
        <v>6</v>
      </c>
    </row>
    <row r="62" spans="1:5" x14ac:dyDescent="0.3">
      <c r="A62" s="17" t="s">
        <v>1</v>
      </c>
      <c r="B62" s="17" t="s">
        <v>149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152</v>
      </c>
      <c r="C63" s="17">
        <v>7</v>
      </c>
      <c r="D63" s="17">
        <v>3</v>
      </c>
      <c r="E63" s="17">
        <v>7</v>
      </c>
    </row>
    <row r="64" spans="1:5" x14ac:dyDescent="0.3">
      <c r="A64" s="17" t="s">
        <v>1</v>
      </c>
      <c r="B64" s="17" t="s">
        <v>281</v>
      </c>
      <c r="C64" s="17">
        <v>4</v>
      </c>
      <c r="D64" s="17">
        <v>3</v>
      </c>
      <c r="E64" s="17">
        <v>5</v>
      </c>
    </row>
    <row r="65" spans="1:5" x14ac:dyDescent="0.3">
      <c r="A65" s="17" t="s">
        <v>1</v>
      </c>
      <c r="B65" s="17" t="s">
        <v>60</v>
      </c>
      <c r="C65" s="17">
        <v>4</v>
      </c>
      <c r="D65" s="17">
        <v>3</v>
      </c>
      <c r="E65" s="17">
        <v>4</v>
      </c>
    </row>
    <row r="66" spans="1:5" x14ac:dyDescent="0.3">
      <c r="A66" s="17" t="s">
        <v>1</v>
      </c>
      <c r="B66" s="17" t="s">
        <v>1897</v>
      </c>
      <c r="C66" s="17">
        <v>3</v>
      </c>
      <c r="D66" s="17">
        <v>3</v>
      </c>
      <c r="E66" s="17">
        <v>3</v>
      </c>
    </row>
    <row r="67" spans="1:5" x14ac:dyDescent="0.3">
      <c r="A67" s="17" t="s">
        <v>1</v>
      </c>
      <c r="B67" s="17" t="s">
        <v>2329</v>
      </c>
      <c r="C67" s="17">
        <v>5</v>
      </c>
      <c r="D67" s="17">
        <v>3</v>
      </c>
      <c r="E67" s="17">
        <v>13</v>
      </c>
    </row>
    <row r="68" spans="1:5" x14ac:dyDescent="0.3">
      <c r="A68" s="17" t="s">
        <v>1</v>
      </c>
      <c r="B68" s="17" t="s">
        <v>2395</v>
      </c>
      <c r="C68" s="17">
        <v>4</v>
      </c>
      <c r="D68" s="17">
        <v>3</v>
      </c>
      <c r="E68" s="17">
        <v>5</v>
      </c>
    </row>
    <row r="69" spans="1:5" x14ac:dyDescent="0.3">
      <c r="A69" s="17" t="s">
        <v>1</v>
      </c>
      <c r="B69" s="17" t="s">
        <v>158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492</v>
      </c>
      <c r="C70" s="17">
        <v>3</v>
      </c>
      <c r="D70" s="17">
        <v>3</v>
      </c>
      <c r="E70" s="17">
        <v>3</v>
      </c>
    </row>
    <row r="71" spans="1:5" x14ac:dyDescent="0.3">
      <c r="A71" s="17" t="s">
        <v>1</v>
      </c>
      <c r="B71" s="17" t="s">
        <v>946</v>
      </c>
      <c r="C71" s="17">
        <v>3</v>
      </c>
      <c r="D71" s="17">
        <v>3</v>
      </c>
      <c r="E71" s="17">
        <v>4</v>
      </c>
    </row>
    <row r="72" spans="1:5" x14ac:dyDescent="0.3">
      <c r="A72" s="17" t="s">
        <v>1</v>
      </c>
      <c r="B72" s="17" t="s">
        <v>165</v>
      </c>
      <c r="C72" s="17">
        <v>7</v>
      </c>
      <c r="D72" s="17">
        <v>3</v>
      </c>
      <c r="E72" s="17">
        <v>9</v>
      </c>
    </row>
    <row r="73" spans="1:5" x14ac:dyDescent="0.3">
      <c r="A73" s="17" t="s">
        <v>1</v>
      </c>
      <c r="B73" s="17" t="s">
        <v>1182</v>
      </c>
      <c r="C73" s="17">
        <v>3</v>
      </c>
      <c r="D73" s="17">
        <v>3</v>
      </c>
      <c r="E73" s="17">
        <v>4</v>
      </c>
    </row>
    <row r="74" spans="1:5" x14ac:dyDescent="0.3">
      <c r="A74" s="17" t="s">
        <v>1</v>
      </c>
      <c r="B74" s="17" t="s">
        <v>169</v>
      </c>
      <c r="C74" s="17">
        <v>3</v>
      </c>
      <c r="D74" s="17">
        <v>3</v>
      </c>
      <c r="E74" s="17">
        <v>3</v>
      </c>
    </row>
    <row r="75" spans="1:5" x14ac:dyDescent="0.3">
      <c r="A75" s="17" t="s">
        <v>1</v>
      </c>
      <c r="B75" s="17" t="s">
        <v>541</v>
      </c>
      <c r="C75" s="17">
        <v>3</v>
      </c>
      <c r="D75" s="17">
        <v>3</v>
      </c>
      <c r="E75" s="17">
        <v>3</v>
      </c>
    </row>
    <row r="76" spans="1:5" x14ac:dyDescent="0.3">
      <c r="A76" s="17" t="s">
        <v>1</v>
      </c>
      <c r="B76" s="17" t="s">
        <v>45</v>
      </c>
      <c r="C76" s="17">
        <v>4</v>
      </c>
      <c r="D76" s="17">
        <v>3</v>
      </c>
      <c r="E76" s="17">
        <v>4</v>
      </c>
    </row>
    <row r="77" spans="1:5" x14ac:dyDescent="0.3">
      <c r="A77" s="17" t="s">
        <v>1</v>
      </c>
      <c r="B77" s="17" t="s">
        <v>330</v>
      </c>
      <c r="C77" s="17">
        <v>3</v>
      </c>
      <c r="D77" s="17">
        <v>3</v>
      </c>
      <c r="E77" s="17">
        <v>3</v>
      </c>
    </row>
    <row r="78" spans="1:5" x14ac:dyDescent="0.3">
      <c r="A78" s="17" t="s">
        <v>1</v>
      </c>
      <c r="B78" s="17" t="s">
        <v>117</v>
      </c>
      <c r="C78" s="17">
        <v>3</v>
      </c>
      <c r="D78" s="17">
        <v>3</v>
      </c>
      <c r="E78" s="17">
        <v>5</v>
      </c>
    </row>
    <row r="79" spans="1:5" x14ac:dyDescent="0.3">
      <c r="A79" s="17" t="s">
        <v>1</v>
      </c>
      <c r="B79" s="17" t="s">
        <v>200</v>
      </c>
      <c r="C79" s="17">
        <v>5</v>
      </c>
      <c r="D79" s="17">
        <v>3</v>
      </c>
      <c r="E79" s="17">
        <v>6</v>
      </c>
    </row>
    <row r="80" spans="1:5" x14ac:dyDescent="0.3">
      <c r="A80" s="17" t="s">
        <v>1</v>
      </c>
      <c r="B80" s="17" t="s">
        <v>122</v>
      </c>
      <c r="C80" s="17">
        <v>3</v>
      </c>
      <c r="D80" s="17">
        <v>3</v>
      </c>
      <c r="E80" s="17">
        <v>3</v>
      </c>
    </row>
    <row r="81" spans="1:5" x14ac:dyDescent="0.3">
      <c r="A81" s="17" t="s">
        <v>1</v>
      </c>
      <c r="B81" s="17" t="s">
        <v>124</v>
      </c>
      <c r="C81" s="17">
        <v>3</v>
      </c>
      <c r="D81" s="17">
        <v>3</v>
      </c>
      <c r="E81" s="17">
        <v>3</v>
      </c>
    </row>
    <row r="82" spans="1:5" x14ac:dyDescent="0.3">
      <c r="A82" s="17" t="s">
        <v>1</v>
      </c>
      <c r="B82" s="17" t="s">
        <v>695</v>
      </c>
      <c r="C82" s="17">
        <v>3</v>
      </c>
      <c r="D82" s="17">
        <v>3</v>
      </c>
      <c r="E82" s="17">
        <v>3</v>
      </c>
    </row>
    <row r="83" spans="1:5" x14ac:dyDescent="0.3">
      <c r="A83" s="17" t="s">
        <v>1</v>
      </c>
      <c r="B83" s="17" t="s">
        <v>126</v>
      </c>
      <c r="C83" s="17">
        <v>3</v>
      </c>
      <c r="D83" s="17">
        <v>3</v>
      </c>
      <c r="E83" s="17">
        <v>3</v>
      </c>
    </row>
    <row r="84" spans="1:5" x14ac:dyDescent="0.3">
      <c r="A84" s="17" t="s">
        <v>1</v>
      </c>
      <c r="B84" s="17" t="s">
        <v>52</v>
      </c>
      <c r="C84" s="17">
        <v>3</v>
      </c>
      <c r="D84" s="17">
        <v>3</v>
      </c>
      <c r="E84" s="17">
        <v>3</v>
      </c>
    </row>
    <row r="85" spans="1:5" x14ac:dyDescent="0.3">
      <c r="A85" s="17" t="s">
        <v>1</v>
      </c>
      <c r="B85" s="17" t="s">
        <v>1515</v>
      </c>
      <c r="C85" s="17">
        <v>3</v>
      </c>
      <c r="D85" s="17">
        <v>3</v>
      </c>
      <c r="E85" s="17">
        <v>6</v>
      </c>
    </row>
    <row r="86" spans="1:5" x14ac:dyDescent="0.3">
      <c r="A86" s="17" t="s">
        <v>0</v>
      </c>
      <c r="B86" s="17" t="s">
        <v>61</v>
      </c>
      <c r="C86" s="17">
        <v>3</v>
      </c>
      <c r="D86" s="17">
        <v>3</v>
      </c>
      <c r="E86" s="17">
        <v>3</v>
      </c>
    </row>
    <row r="87" spans="1:5" x14ac:dyDescent="0.3">
      <c r="A87" s="17" t="s">
        <v>0</v>
      </c>
      <c r="B87" s="17" t="s">
        <v>998</v>
      </c>
      <c r="C87" s="17">
        <v>3</v>
      </c>
      <c r="D87" s="17">
        <v>3</v>
      </c>
      <c r="E87" s="17">
        <v>3</v>
      </c>
    </row>
    <row r="88" spans="1:5" x14ac:dyDescent="0.3">
      <c r="A88" s="17" t="s">
        <v>0</v>
      </c>
      <c r="B88" s="17" t="s">
        <v>3038</v>
      </c>
      <c r="C88" s="17">
        <v>3</v>
      </c>
      <c r="D88" s="17">
        <v>3</v>
      </c>
      <c r="E88" s="17">
        <v>3</v>
      </c>
    </row>
    <row r="89" spans="1:5" x14ac:dyDescent="0.3">
      <c r="A89" s="17" t="s">
        <v>0</v>
      </c>
      <c r="B89" s="17" t="s">
        <v>195</v>
      </c>
      <c r="C89" s="17">
        <v>3</v>
      </c>
      <c r="D89" s="17">
        <v>3</v>
      </c>
      <c r="E89" s="17">
        <v>4</v>
      </c>
    </row>
    <row r="90" spans="1:5" x14ac:dyDescent="0.3">
      <c r="A90" s="17" t="s">
        <v>2</v>
      </c>
      <c r="B90" s="17" t="s">
        <v>517</v>
      </c>
      <c r="C90" s="17">
        <v>3</v>
      </c>
      <c r="D90" s="17">
        <v>3</v>
      </c>
      <c r="E90" s="17">
        <v>3</v>
      </c>
    </row>
    <row r="91" spans="1:5" x14ac:dyDescent="0.3">
      <c r="A91" s="17" t="s">
        <v>2</v>
      </c>
      <c r="B91" s="17" t="s">
        <v>872</v>
      </c>
      <c r="C91" s="17">
        <v>3</v>
      </c>
      <c r="D91" s="17">
        <v>3</v>
      </c>
      <c r="E91" s="17">
        <v>3</v>
      </c>
    </row>
    <row r="92" spans="1:5" x14ac:dyDescent="0.3">
      <c r="A92" s="17" t="s">
        <v>1</v>
      </c>
      <c r="B92" s="17" t="s">
        <v>242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244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611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613</v>
      </c>
      <c r="C95" s="17">
        <v>2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705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511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272</v>
      </c>
      <c r="C98" s="17">
        <v>3</v>
      </c>
      <c r="D98" s="17">
        <v>2</v>
      </c>
      <c r="E98" s="17">
        <v>4</v>
      </c>
    </row>
    <row r="99" spans="1:5" x14ac:dyDescent="0.3">
      <c r="A99" s="17" t="s">
        <v>1</v>
      </c>
      <c r="B99" s="17" t="s">
        <v>40</v>
      </c>
      <c r="C99" s="17">
        <v>3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86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481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42</v>
      </c>
      <c r="C102" s="17">
        <v>4</v>
      </c>
      <c r="D102" s="17">
        <v>2</v>
      </c>
      <c r="E102" s="17">
        <v>4</v>
      </c>
    </row>
    <row r="103" spans="1:5" x14ac:dyDescent="0.3">
      <c r="A103" s="17" t="s">
        <v>1</v>
      </c>
      <c r="B103" s="17" t="s">
        <v>96</v>
      </c>
      <c r="C103" s="17">
        <v>5</v>
      </c>
      <c r="D103" s="17">
        <v>2</v>
      </c>
      <c r="E103" s="17">
        <v>5</v>
      </c>
    </row>
    <row r="104" spans="1:5" x14ac:dyDescent="0.3">
      <c r="A104" s="17" t="s">
        <v>1</v>
      </c>
      <c r="B104" s="17" t="s">
        <v>1912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1946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2399</v>
      </c>
      <c r="C106" s="17">
        <v>5</v>
      </c>
      <c r="D106" s="17">
        <v>2</v>
      </c>
      <c r="E106" s="17">
        <v>5</v>
      </c>
    </row>
    <row r="107" spans="1:5" x14ac:dyDescent="0.3">
      <c r="A107" s="17" t="s">
        <v>1</v>
      </c>
      <c r="B107" s="17" t="s">
        <v>2429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2599</v>
      </c>
      <c r="C108" s="17">
        <v>4</v>
      </c>
      <c r="D108" s="17">
        <v>2</v>
      </c>
      <c r="E108" s="17">
        <v>4</v>
      </c>
    </row>
    <row r="109" spans="1:5" x14ac:dyDescent="0.3">
      <c r="A109" s="17" t="s">
        <v>1</v>
      </c>
      <c r="B109" s="17" t="s">
        <v>2789</v>
      </c>
      <c r="C109" s="17">
        <v>8</v>
      </c>
      <c r="D109" s="17">
        <v>2</v>
      </c>
      <c r="E109" s="17">
        <v>9</v>
      </c>
    </row>
    <row r="110" spans="1:5" x14ac:dyDescent="0.3">
      <c r="A110" s="17" t="s">
        <v>1</v>
      </c>
      <c r="B110" s="17" t="s">
        <v>49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99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803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588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368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998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109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647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199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1545</v>
      </c>
      <c r="C119" s="17">
        <v>4</v>
      </c>
      <c r="D119" s="17">
        <v>2</v>
      </c>
      <c r="E119" s="17">
        <v>4</v>
      </c>
    </row>
    <row r="120" spans="1:5" x14ac:dyDescent="0.3">
      <c r="A120" s="17" t="s">
        <v>1</v>
      </c>
      <c r="B120" s="17" t="s">
        <v>110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872</v>
      </c>
      <c r="C121" s="17">
        <v>4</v>
      </c>
      <c r="D121" s="17">
        <v>2</v>
      </c>
      <c r="E121" s="17">
        <v>4</v>
      </c>
    </row>
    <row r="122" spans="1:5" x14ac:dyDescent="0.3">
      <c r="A122" s="17" t="s">
        <v>1</v>
      </c>
      <c r="B122" s="17" t="s">
        <v>533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534</v>
      </c>
      <c r="C123" s="17">
        <v>2</v>
      </c>
      <c r="D123" s="17">
        <v>2</v>
      </c>
      <c r="E123" s="17">
        <v>4</v>
      </c>
    </row>
    <row r="124" spans="1:5" x14ac:dyDescent="0.3">
      <c r="A124" s="17" t="s">
        <v>1</v>
      </c>
      <c r="B124" s="17" t="s">
        <v>174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328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539</v>
      </c>
      <c r="C126" s="17">
        <v>4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879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1038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331</v>
      </c>
      <c r="C129" s="17">
        <v>3</v>
      </c>
      <c r="D129" s="17">
        <v>2</v>
      </c>
      <c r="E129" s="17">
        <v>3</v>
      </c>
    </row>
    <row r="130" spans="1:5" x14ac:dyDescent="0.3">
      <c r="A130" s="17" t="s">
        <v>1</v>
      </c>
      <c r="B130" s="17" t="s">
        <v>467</v>
      </c>
      <c r="C130" s="17">
        <v>2</v>
      </c>
      <c r="D130" s="17">
        <v>2</v>
      </c>
      <c r="E130" s="17">
        <v>4</v>
      </c>
    </row>
    <row r="131" spans="1:5" x14ac:dyDescent="0.3">
      <c r="A131" s="17" t="s">
        <v>1</v>
      </c>
      <c r="B131" s="17" t="s">
        <v>337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1</v>
      </c>
      <c r="B132" s="17" t="s">
        <v>120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1</v>
      </c>
      <c r="B133" s="17" t="s">
        <v>63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1</v>
      </c>
      <c r="B134" s="17" t="s">
        <v>565</v>
      </c>
      <c r="C134" s="17">
        <v>2</v>
      </c>
      <c r="D134" s="17">
        <v>2</v>
      </c>
      <c r="E134" s="17">
        <v>3</v>
      </c>
    </row>
    <row r="135" spans="1:5" x14ac:dyDescent="0.3">
      <c r="A135" s="17" t="s">
        <v>1</v>
      </c>
      <c r="B135" s="17" t="s">
        <v>842</v>
      </c>
      <c r="C135" s="17">
        <v>3</v>
      </c>
      <c r="D135" s="17">
        <v>2</v>
      </c>
      <c r="E135" s="17">
        <v>6</v>
      </c>
    </row>
    <row r="136" spans="1:5" x14ac:dyDescent="0.3">
      <c r="A136" s="17" t="s">
        <v>1</v>
      </c>
      <c r="B136" s="17" t="s">
        <v>39</v>
      </c>
      <c r="C136" s="17">
        <v>14</v>
      </c>
      <c r="D136" s="17">
        <v>2</v>
      </c>
      <c r="E136" s="17">
        <v>22</v>
      </c>
    </row>
    <row r="137" spans="1:5" x14ac:dyDescent="0.3">
      <c r="A137" s="17" t="s">
        <v>1</v>
      </c>
      <c r="B137" s="17" t="s">
        <v>760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242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48</v>
      </c>
      <c r="C139" s="17">
        <v>3</v>
      </c>
      <c r="D139" s="17">
        <v>2</v>
      </c>
      <c r="E139" s="17">
        <v>3</v>
      </c>
    </row>
    <row r="140" spans="1:5" x14ac:dyDescent="0.3">
      <c r="A140" s="17" t="s">
        <v>0</v>
      </c>
      <c r="B140" s="17" t="s">
        <v>315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151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152</v>
      </c>
      <c r="C142" s="17">
        <v>2</v>
      </c>
      <c r="D142" s="17">
        <v>2</v>
      </c>
      <c r="E142" s="17">
        <v>3</v>
      </c>
    </row>
    <row r="143" spans="1:5" x14ac:dyDescent="0.3">
      <c r="A143" s="17" t="s">
        <v>0</v>
      </c>
      <c r="B143" s="17" t="s">
        <v>481</v>
      </c>
      <c r="C143" s="17">
        <v>3</v>
      </c>
      <c r="D143" s="17">
        <v>2</v>
      </c>
      <c r="E143" s="17">
        <v>3</v>
      </c>
    </row>
    <row r="144" spans="1:5" x14ac:dyDescent="0.3">
      <c r="A144" s="17" t="s">
        <v>0</v>
      </c>
      <c r="B144" s="17" t="s">
        <v>365</v>
      </c>
      <c r="C144" s="17">
        <v>2</v>
      </c>
      <c r="D144" s="17">
        <v>2</v>
      </c>
      <c r="E144" s="17">
        <v>4</v>
      </c>
    </row>
    <row r="145" spans="1:5" x14ac:dyDescent="0.3">
      <c r="A145" s="17" t="s">
        <v>0</v>
      </c>
      <c r="B145" s="17" t="s">
        <v>96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1912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2401</v>
      </c>
      <c r="C147" s="17">
        <v>2</v>
      </c>
      <c r="D147" s="17">
        <v>2</v>
      </c>
      <c r="E147" s="17">
        <v>4</v>
      </c>
    </row>
    <row r="148" spans="1:5" x14ac:dyDescent="0.3">
      <c r="A148" s="17" t="s">
        <v>0</v>
      </c>
      <c r="B148" s="17" t="s">
        <v>265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1220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103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107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199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171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289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328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331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1187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117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0</v>
      </c>
      <c r="B159" s="17" t="s">
        <v>123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262</v>
      </c>
      <c r="C160" s="17">
        <v>2</v>
      </c>
      <c r="D160" s="17">
        <v>2</v>
      </c>
      <c r="E160" s="17">
        <v>2</v>
      </c>
    </row>
    <row r="161" spans="1:5" x14ac:dyDescent="0.3">
      <c r="A161" s="17" t="s">
        <v>0</v>
      </c>
      <c r="B161" s="17" t="s">
        <v>128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0</v>
      </c>
      <c r="B162" s="17" t="s">
        <v>351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0</v>
      </c>
      <c r="B163" s="17" t="s">
        <v>499</v>
      </c>
      <c r="C163" s="17">
        <v>2</v>
      </c>
      <c r="D163" s="17">
        <v>2</v>
      </c>
      <c r="E163" s="17">
        <v>3</v>
      </c>
    </row>
    <row r="164" spans="1:5" x14ac:dyDescent="0.3">
      <c r="A164" s="17" t="s">
        <v>0</v>
      </c>
      <c r="B164" s="17" t="s">
        <v>65</v>
      </c>
      <c r="C164" s="17">
        <v>2</v>
      </c>
      <c r="D164" s="17">
        <v>2</v>
      </c>
      <c r="E164" s="17">
        <v>3</v>
      </c>
    </row>
    <row r="165" spans="1:5" x14ac:dyDescent="0.3">
      <c r="A165" s="17" t="s">
        <v>0</v>
      </c>
      <c r="B165" s="17" t="s">
        <v>68</v>
      </c>
      <c r="C165" s="17">
        <v>3</v>
      </c>
      <c r="D165" s="17">
        <v>2</v>
      </c>
      <c r="E165" s="17">
        <v>7</v>
      </c>
    </row>
    <row r="166" spans="1:5" x14ac:dyDescent="0.3">
      <c r="A166" s="17" t="s">
        <v>0</v>
      </c>
      <c r="B166" s="17" t="s">
        <v>1741</v>
      </c>
      <c r="C166" s="17">
        <v>2</v>
      </c>
      <c r="D166" s="17">
        <v>2</v>
      </c>
      <c r="E166" s="17"/>
    </row>
    <row r="167" spans="1:5" x14ac:dyDescent="0.3">
      <c r="A167" s="17" t="s">
        <v>0</v>
      </c>
      <c r="B167" s="17" t="s">
        <v>3039</v>
      </c>
      <c r="C167" s="17">
        <v>2</v>
      </c>
      <c r="D167" s="17">
        <v>2</v>
      </c>
      <c r="E167" s="17">
        <v>2</v>
      </c>
    </row>
    <row r="168" spans="1:5" x14ac:dyDescent="0.3">
      <c r="A168" s="17" t="s">
        <v>2</v>
      </c>
      <c r="B168" s="17" t="s">
        <v>30</v>
      </c>
      <c r="C168" s="17">
        <v>4</v>
      </c>
      <c r="D168" s="17">
        <v>2</v>
      </c>
      <c r="E168" s="17">
        <v>7</v>
      </c>
    </row>
    <row r="169" spans="1:5" x14ac:dyDescent="0.3">
      <c r="A169" s="17" t="s">
        <v>2</v>
      </c>
      <c r="B169" s="17" t="s">
        <v>33</v>
      </c>
      <c r="C169" s="17">
        <v>2</v>
      </c>
      <c r="D169" s="17">
        <v>2</v>
      </c>
      <c r="E169" s="17">
        <v>2</v>
      </c>
    </row>
    <row r="170" spans="1:5" x14ac:dyDescent="0.3">
      <c r="A170" s="17" t="s">
        <v>2</v>
      </c>
      <c r="B170" s="17" t="s">
        <v>155</v>
      </c>
      <c r="C170" s="17">
        <v>2</v>
      </c>
      <c r="D170" s="17">
        <v>2</v>
      </c>
      <c r="E170" s="17">
        <v>3</v>
      </c>
    </row>
    <row r="171" spans="1:5" x14ac:dyDescent="0.3">
      <c r="A171" s="17" t="s">
        <v>2</v>
      </c>
      <c r="B171" s="17" t="s">
        <v>487</v>
      </c>
      <c r="C171" s="17">
        <v>2</v>
      </c>
      <c r="D171" s="17">
        <v>2</v>
      </c>
      <c r="E171" s="17">
        <v>3</v>
      </c>
    </row>
    <row r="172" spans="1:5" x14ac:dyDescent="0.3">
      <c r="A172" s="17" t="s">
        <v>2</v>
      </c>
      <c r="B172" s="17" t="s">
        <v>328</v>
      </c>
      <c r="C172" s="17">
        <v>2</v>
      </c>
      <c r="D172" s="17">
        <v>2</v>
      </c>
      <c r="E172" s="17">
        <v>2</v>
      </c>
    </row>
    <row r="173" spans="1:5" x14ac:dyDescent="0.3">
      <c r="A173" s="17" t="s">
        <v>2</v>
      </c>
      <c r="B173" s="17" t="s">
        <v>331</v>
      </c>
      <c r="C173" s="17">
        <v>2</v>
      </c>
      <c r="D173" s="17">
        <v>2</v>
      </c>
      <c r="E173" s="17">
        <v>10</v>
      </c>
    </row>
    <row r="174" spans="1:5" x14ac:dyDescent="0.3">
      <c r="A174" s="17" t="s">
        <v>2</v>
      </c>
      <c r="B174" s="17" t="s">
        <v>1112</v>
      </c>
      <c r="C174" s="17">
        <v>3</v>
      </c>
      <c r="D174" s="17">
        <v>2</v>
      </c>
      <c r="E174" s="17">
        <v>6</v>
      </c>
    </row>
    <row r="175" spans="1:5" x14ac:dyDescent="0.3">
      <c r="A175" s="17" t="s">
        <v>1</v>
      </c>
      <c r="B175" s="17" t="s">
        <v>3040</v>
      </c>
      <c r="C175" s="17">
        <v>1</v>
      </c>
      <c r="D175" s="17">
        <v>1</v>
      </c>
      <c r="E175" s="17">
        <v>4</v>
      </c>
    </row>
    <row r="176" spans="1:5" x14ac:dyDescent="0.3">
      <c r="A176" s="17" t="s">
        <v>1</v>
      </c>
      <c r="B176" s="17" t="s">
        <v>389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70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243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47</v>
      </c>
      <c r="C179" s="17">
        <v>4</v>
      </c>
      <c r="D179" s="17">
        <v>1</v>
      </c>
      <c r="E179" s="17">
        <v>4</v>
      </c>
    </row>
    <row r="180" spans="1:5" x14ac:dyDescent="0.3">
      <c r="A180" s="17" t="s">
        <v>1</v>
      </c>
      <c r="B180" s="17" t="s">
        <v>1504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392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73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207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857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208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706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1253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3041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78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2067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356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2558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275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906</v>
      </c>
      <c r="C194" s="17">
        <v>3</v>
      </c>
      <c r="D194" s="17">
        <v>1</v>
      </c>
      <c r="E194" s="17">
        <v>3</v>
      </c>
    </row>
    <row r="195" spans="1:5" x14ac:dyDescent="0.3">
      <c r="A195" s="17" t="s">
        <v>1</v>
      </c>
      <c r="B195" s="17" t="s">
        <v>211</v>
      </c>
      <c r="C195" s="17">
        <v>2</v>
      </c>
      <c r="D195" s="17">
        <v>1</v>
      </c>
      <c r="E195" s="17">
        <v>5</v>
      </c>
    </row>
    <row r="196" spans="1:5" x14ac:dyDescent="0.3">
      <c r="A196" s="17" t="s">
        <v>1</v>
      </c>
      <c r="B196" s="17" t="s">
        <v>859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277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3042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908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462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841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214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708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315</v>
      </c>
      <c r="C204" s="17">
        <v>2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215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148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2127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84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520</v>
      </c>
      <c r="C209" s="17">
        <v>2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1644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280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938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316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264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1281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1203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631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709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2282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2761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1218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635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1426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92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636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93</v>
      </c>
      <c r="C226" s="17">
        <v>2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437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941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641</v>
      </c>
      <c r="C229" s="17">
        <v>2</v>
      </c>
      <c r="D229" s="17">
        <v>1</v>
      </c>
      <c r="E229" s="17">
        <v>2</v>
      </c>
    </row>
    <row r="230" spans="1:5" x14ac:dyDescent="0.3">
      <c r="A230" s="17" t="s">
        <v>1</v>
      </c>
      <c r="B230" s="17" t="s">
        <v>41</v>
      </c>
      <c r="C230" s="17">
        <v>3</v>
      </c>
      <c r="D230" s="17">
        <v>1</v>
      </c>
      <c r="E230" s="17">
        <v>3</v>
      </c>
    </row>
    <row r="231" spans="1:5" x14ac:dyDescent="0.3">
      <c r="A231" s="17" t="s">
        <v>1</v>
      </c>
      <c r="B231" s="17" t="s">
        <v>156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686</v>
      </c>
      <c r="C232" s="17">
        <v>2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909</v>
      </c>
      <c r="C233" s="17">
        <v>2</v>
      </c>
      <c r="D233" s="17">
        <v>1</v>
      </c>
      <c r="E233" s="17">
        <v>3</v>
      </c>
    </row>
    <row r="234" spans="1:5" x14ac:dyDescent="0.3">
      <c r="A234" s="17" t="s">
        <v>1</v>
      </c>
      <c r="B234" s="17" t="s">
        <v>1691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1775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1928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1983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2362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2439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2440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2441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2692</v>
      </c>
      <c r="C242" s="17">
        <v>8</v>
      </c>
      <c r="D242" s="17">
        <v>1</v>
      </c>
      <c r="E242" s="17">
        <v>6</v>
      </c>
    </row>
    <row r="243" spans="1:5" x14ac:dyDescent="0.3">
      <c r="A243" s="17" t="s">
        <v>1</v>
      </c>
      <c r="B243" s="17" t="s">
        <v>2396</v>
      </c>
      <c r="C243" s="17">
        <v>9</v>
      </c>
      <c r="D243" s="17">
        <v>1</v>
      </c>
      <c r="E243" s="17">
        <v>8</v>
      </c>
    </row>
    <row r="244" spans="1:5" x14ac:dyDescent="0.3">
      <c r="A244" s="17" t="s">
        <v>1</v>
      </c>
      <c r="B244" s="17" t="s">
        <v>713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97</v>
      </c>
      <c r="C245" s="17">
        <v>1</v>
      </c>
      <c r="D245" s="17">
        <v>1</v>
      </c>
      <c r="E245" s="17">
        <v>2</v>
      </c>
    </row>
    <row r="246" spans="1:5" x14ac:dyDescent="0.3">
      <c r="A246" s="17" t="s">
        <v>1</v>
      </c>
      <c r="B246" s="17" t="s">
        <v>3043</v>
      </c>
      <c r="C246" s="17">
        <v>3</v>
      </c>
      <c r="D246" s="17">
        <v>1</v>
      </c>
      <c r="E246" s="17">
        <v>5</v>
      </c>
    </row>
    <row r="247" spans="1:5" x14ac:dyDescent="0.3">
      <c r="A247" s="17" t="s">
        <v>1</v>
      </c>
      <c r="B247" s="17" t="s">
        <v>1428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402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1278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35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993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1479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265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996</v>
      </c>
      <c r="C254" s="17">
        <v>3</v>
      </c>
      <c r="D254" s="17">
        <v>1</v>
      </c>
      <c r="E254" s="17">
        <v>6</v>
      </c>
    </row>
    <row r="255" spans="1:5" x14ac:dyDescent="0.3">
      <c r="A255" s="17" t="s">
        <v>1</v>
      </c>
      <c r="B255" s="17" t="s">
        <v>589</v>
      </c>
      <c r="C255" s="17">
        <v>1</v>
      </c>
      <c r="D255" s="17">
        <v>1</v>
      </c>
      <c r="E255" s="17">
        <v>2</v>
      </c>
    </row>
    <row r="256" spans="1:5" x14ac:dyDescent="0.3">
      <c r="A256" s="17" t="s">
        <v>1</v>
      </c>
      <c r="B256" s="17" t="s">
        <v>531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404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716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285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717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106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1106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1540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166</v>
      </c>
      <c r="C264" s="17">
        <v>2</v>
      </c>
      <c r="D264" s="17">
        <v>1</v>
      </c>
      <c r="E264" s="17">
        <v>2</v>
      </c>
    </row>
    <row r="265" spans="1:5" x14ac:dyDescent="0.3">
      <c r="A265" s="17" t="s">
        <v>1</v>
      </c>
      <c r="B265" s="17" t="s">
        <v>2332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805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167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3044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1972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1130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286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1001</v>
      </c>
      <c r="C272" s="17">
        <v>1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406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1393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1099</v>
      </c>
      <c r="C275" s="17">
        <v>2</v>
      </c>
      <c r="D275" s="17">
        <v>1</v>
      </c>
      <c r="E275" s="17">
        <v>3</v>
      </c>
    </row>
    <row r="276" spans="1:5" x14ac:dyDescent="0.3">
      <c r="A276" s="17" t="s">
        <v>1</v>
      </c>
      <c r="B276" s="17" t="s">
        <v>407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3045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838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1580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171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915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409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1464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2130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3046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325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807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2259</v>
      </c>
      <c r="C288" s="17">
        <v>1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326</v>
      </c>
      <c r="C289" s="17">
        <v>1</v>
      </c>
      <c r="D289" s="17">
        <v>1</v>
      </c>
      <c r="E289" s="17">
        <v>5</v>
      </c>
    </row>
    <row r="290" spans="1:5" x14ac:dyDescent="0.3">
      <c r="A290" s="17" t="s">
        <v>1</v>
      </c>
      <c r="B290" s="17" t="s">
        <v>774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1800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877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1526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680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1196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722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227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115</v>
      </c>
      <c r="C298" s="17">
        <v>2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1006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466</v>
      </c>
      <c r="C300" s="17">
        <v>2</v>
      </c>
      <c r="D300" s="17">
        <v>1</v>
      </c>
      <c r="E300" s="17">
        <v>2</v>
      </c>
    </row>
    <row r="301" spans="1:5" x14ac:dyDescent="0.3">
      <c r="A301" s="17" t="s">
        <v>1</v>
      </c>
      <c r="B301" s="17" t="s">
        <v>3047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3048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3049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385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2188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597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546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728</v>
      </c>
      <c r="C308" s="17">
        <v>2</v>
      </c>
      <c r="D308" s="17">
        <v>1</v>
      </c>
      <c r="E308" s="17">
        <v>2</v>
      </c>
    </row>
    <row r="309" spans="1:5" x14ac:dyDescent="0.3">
      <c r="A309" s="17" t="s">
        <v>1</v>
      </c>
      <c r="B309" s="17" t="s">
        <v>1077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729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1243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1078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1292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731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885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548</v>
      </c>
      <c r="C316" s="17">
        <v>2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1231</v>
      </c>
      <c r="C317" s="17">
        <v>3</v>
      </c>
      <c r="D317" s="17">
        <v>1</v>
      </c>
      <c r="E317" s="17">
        <v>4</v>
      </c>
    </row>
    <row r="318" spans="1:5" x14ac:dyDescent="0.3">
      <c r="A318" s="17" t="s">
        <v>1</v>
      </c>
      <c r="B318" s="17" t="s">
        <v>2390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810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116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231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1575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176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3050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1161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888</v>
      </c>
      <c r="C326" s="17">
        <v>1</v>
      </c>
      <c r="D326" s="17">
        <v>1</v>
      </c>
      <c r="E326" s="17">
        <v>2</v>
      </c>
    </row>
    <row r="327" spans="1:5" x14ac:dyDescent="0.3">
      <c r="A327" s="17" t="s">
        <v>1</v>
      </c>
      <c r="B327" s="17" t="s">
        <v>1322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448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1411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373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121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1112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1872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123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125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179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791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696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1212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1114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2162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1948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449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558</v>
      </c>
      <c r="C344" s="17">
        <v>2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746</v>
      </c>
      <c r="C345" s="17">
        <v>1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182</v>
      </c>
      <c r="C346" s="17">
        <v>1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450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303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425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897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304</v>
      </c>
      <c r="C351" s="17">
        <v>1</v>
      </c>
      <c r="D351" s="17">
        <v>1</v>
      </c>
      <c r="E351" s="17">
        <v>2</v>
      </c>
    </row>
    <row r="352" spans="1:5" x14ac:dyDescent="0.3">
      <c r="A352" s="17" t="s">
        <v>1</v>
      </c>
      <c r="B352" s="17" t="s">
        <v>605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750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561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262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186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919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822</v>
      </c>
      <c r="C358" s="17">
        <v>3</v>
      </c>
      <c r="D358" s="17">
        <v>1</v>
      </c>
      <c r="E358" s="17">
        <v>5</v>
      </c>
    </row>
    <row r="359" spans="1:5" x14ac:dyDescent="0.3">
      <c r="A359" s="17" t="s">
        <v>1</v>
      </c>
      <c r="B359" s="17" t="s">
        <v>188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1134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201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1023</v>
      </c>
      <c r="C362" s="17">
        <v>1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259</v>
      </c>
      <c r="C363" s="17">
        <v>3</v>
      </c>
      <c r="D363" s="17">
        <v>1</v>
      </c>
      <c r="E363" s="17">
        <v>3</v>
      </c>
    </row>
    <row r="364" spans="1:5" x14ac:dyDescent="0.3">
      <c r="A364" s="17" t="s">
        <v>1</v>
      </c>
      <c r="B364" s="17" t="s">
        <v>38</v>
      </c>
      <c r="C364" s="17">
        <v>3</v>
      </c>
      <c r="D364" s="17">
        <v>1</v>
      </c>
      <c r="E364" s="17">
        <v>4</v>
      </c>
    </row>
    <row r="365" spans="1:5" x14ac:dyDescent="0.3">
      <c r="A365" s="17" t="s">
        <v>1</v>
      </c>
      <c r="B365" s="17" t="s">
        <v>65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192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899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848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305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234</v>
      </c>
      <c r="C370" s="17">
        <v>2</v>
      </c>
      <c r="D370" s="17">
        <v>1</v>
      </c>
      <c r="E370" s="17">
        <v>3</v>
      </c>
    </row>
    <row r="371" spans="1:5" x14ac:dyDescent="0.3">
      <c r="A371" s="17" t="s">
        <v>1</v>
      </c>
      <c r="B371" s="17" t="s">
        <v>2647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1327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306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53</v>
      </c>
      <c r="C374" s="17">
        <v>1</v>
      </c>
      <c r="D374" s="17">
        <v>1</v>
      </c>
      <c r="E374" s="17">
        <v>2</v>
      </c>
    </row>
    <row r="375" spans="1:5" x14ac:dyDescent="0.3">
      <c r="A375" s="17" t="s">
        <v>1</v>
      </c>
      <c r="B375" s="17" t="s">
        <v>849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194</v>
      </c>
      <c r="C376" s="17">
        <v>4</v>
      </c>
      <c r="D376" s="17">
        <v>1</v>
      </c>
      <c r="E376" s="17">
        <v>4</v>
      </c>
    </row>
    <row r="377" spans="1:5" x14ac:dyDescent="0.3">
      <c r="A377" s="17" t="s">
        <v>1</v>
      </c>
      <c r="B377" s="17" t="s">
        <v>700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235</v>
      </c>
      <c r="C378" s="17">
        <v>10</v>
      </c>
      <c r="D378" s="17">
        <v>1</v>
      </c>
      <c r="E378" s="17">
        <v>16</v>
      </c>
    </row>
    <row r="379" spans="1:5" x14ac:dyDescent="0.3">
      <c r="A379" s="17" t="s">
        <v>1</v>
      </c>
      <c r="B379" s="17" t="s">
        <v>67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68</v>
      </c>
      <c r="C380" s="17">
        <v>3</v>
      </c>
      <c r="D380" s="17">
        <v>1</v>
      </c>
      <c r="E380" s="17">
        <v>4</v>
      </c>
    </row>
    <row r="381" spans="1:5" x14ac:dyDescent="0.3">
      <c r="A381" s="17" t="s">
        <v>1</v>
      </c>
      <c r="B381" s="17" t="s">
        <v>237</v>
      </c>
      <c r="C381" s="17">
        <v>3</v>
      </c>
      <c r="D381" s="17">
        <v>1</v>
      </c>
      <c r="E381" s="17">
        <v>3</v>
      </c>
    </row>
    <row r="382" spans="1:5" x14ac:dyDescent="0.3">
      <c r="A382" s="17" t="s">
        <v>1</v>
      </c>
      <c r="B382" s="17" t="s">
        <v>54</v>
      </c>
      <c r="C382" s="17">
        <v>8</v>
      </c>
      <c r="D382" s="17">
        <v>1</v>
      </c>
      <c r="E382" s="17">
        <v>9</v>
      </c>
    </row>
    <row r="383" spans="1:5" x14ac:dyDescent="0.3">
      <c r="A383" s="17" t="s">
        <v>1</v>
      </c>
      <c r="B383" s="17" t="s">
        <v>56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3051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2539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1804</v>
      </c>
      <c r="C386" s="17">
        <v>3</v>
      </c>
      <c r="D386" s="17">
        <v>1</v>
      </c>
      <c r="E386" s="17">
        <v>4</v>
      </c>
    </row>
    <row r="387" spans="1:5" x14ac:dyDescent="0.3">
      <c r="A387" s="17" t="s">
        <v>1</v>
      </c>
      <c r="B387" s="17" t="s">
        <v>572</v>
      </c>
      <c r="C387" s="17">
        <v>1</v>
      </c>
      <c r="D387" s="17">
        <v>1</v>
      </c>
      <c r="E387" s="17"/>
    </row>
    <row r="388" spans="1:5" x14ac:dyDescent="0.3">
      <c r="A388" s="17" t="s">
        <v>1</v>
      </c>
      <c r="B388" s="17" t="s">
        <v>266</v>
      </c>
      <c r="C388" s="17">
        <v>2</v>
      </c>
      <c r="D388" s="17">
        <v>1</v>
      </c>
      <c r="E388" s="17">
        <v>2</v>
      </c>
    </row>
    <row r="389" spans="1:5" x14ac:dyDescent="0.3">
      <c r="A389" s="17" t="s">
        <v>1</v>
      </c>
      <c r="B389" s="17" t="s">
        <v>922</v>
      </c>
      <c r="C389" s="17">
        <v>1</v>
      </c>
      <c r="D389" s="17">
        <v>1</v>
      </c>
      <c r="E389" s="17"/>
    </row>
    <row r="390" spans="1:5" x14ac:dyDescent="0.3">
      <c r="A390" s="17" t="s">
        <v>1</v>
      </c>
      <c r="B390" s="17" t="s">
        <v>1027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1248</v>
      </c>
      <c r="C391" s="17">
        <v>1</v>
      </c>
      <c r="D391" s="17">
        <v>1</v>
      </c>
      <c r="E391" s="17"/>
    </row>
    <row r="392" spans="1:5" x14ac:dyDescent="0.3">
      <c r="A392" s="17" t="s">
        <v>1</v>
      </c>
      <c r="B392" s="17" t="s">
        <v>3052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1859</v>
      </c>
      <c r="C393" s="17">
        <v>1</v>
      </c>
      <c r="D393" s="17">
        <v>1</v>
      </c>
      <c r="E393" s="17"/>
    </row>
    <row r="394" spans="1:5" x14ac:dyDescent="0.3">
      <c r="A394" s="17" t="s">
        <v>1</v>
      </c>
      <c r="B394" s="17" t="s">
        <v>3053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3054</v>
      </c>
      <c r="C395" s="17">
        <v>1</v>
      </c>
      <c r="D395" s="17">
        <v>1</v>
      </c>
      <c r="E395" s="17"/>
    </row>
    <row r="396" spans="1:5" x14ac:dyDescent="0.3">
      <c r="A396" s="17" t="s">
        <v>1</v>
      </c>
      <c r="B396" s="17" t="s">
        <v>3055</v>
      </c>
      <c r="C396" s="17">
        <v>1</v>
      </c>
      <c r="D396" s="17">
        <v>1</v>
      </c>
      <c r="E396" s="17"/>
    </row>
    <row r="397" spans="1:5" x14ac:dyDescent="0.3">
      <c r="A397" s="17" t="s">
        <v>1</v>
      </c>
      <c r="B397" s="17" t="s">
        <v>3056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2022</v>
      </c>
      <c r="C398" s="17">
        <v>1</v>
      </c>
      <c r="D398" s="17">
        <v>1</v>
      </c>
      <c r="E398" s="17"/>
    </row>
    <row r="399" spans="1:5" x14ac:dyDescent="0.3">
      <c r="A399" s="17" t="s">
        <v>1</v>
      </c>
      <c r="B399" s="17" t="s">
        <v>850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573</v>
      </c>
      <c r="C400" s="17">
        <v>1</v>
      </c>
      <c r="D400" s="17">
        <v>2</v>
      </c>
      <c r="E400" s="17"/>
    </row>
    <row r="401" spans="1:5" x14ac:dyDescent="0.3">
      <c r="A401" s="17" t="s">
        <v>1</v>
      </c>
      <c r="B401" s="17" t="s">
        <v>1781</v>
      </c>
      <c r="C401" s="17">
        <v>1</v>
      </c>
      <c r="D401" s="17">
        <v>2</v>
      </c>
      <c r="E401" s="17"/>
    </row>
    <row r="402" spans="1:5" x14ac:dyDescent="0.3">
      <c r="A402" s="17" t="s">
        <v>1</v>
      </c>
      <c r="B402" s="17" t="s">
        <v>1302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970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832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1</v>
      </c>
      <c r="B405" s="17" t="s">
        <v>2379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2353</v>
      </c>
      <c r="C406" s="17">
        <v>1</v>
      </c>
      <c r="D406" s="17">
        <v>1</v>
      </c>
      <c r="E406" s="17"/>
    </row>
    <row r="407" spans="1:5" x14ac:dyDescent="0.3">
      <c r="A407" s="17" t="s">
        <v>1</v>
      </c>
      <c r="B407" s="17" t="s">
        <v>927</v>
      </c>
      <c r="C407" s="17">
        <v>1</v>
      </c>
      <c r="D407" s="17">
        <v>2</v>
      </c>
      <c r="E407" s="17"/>
    </row>
    <row r="408" spans="1:5" x14ac:dyDescent="0.3">
      <c r="A408" s="17" t="s">
        <v>1</v>
      </c>
      <c r="B408" s="17" t="s">
        <v>925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981</v>
      </c>
      <c r="C409" s="17">
        <v>1</v>
      </c>
      <c r="D409" s="17">
        <v>2</v>
      </c>
      <c r="E409" s="17"/>
    </row>
    <row r="410" spans="1:5" x14ac:dyDescent="0.3">
      <c r="A410" s="17" t="s">
        <v>1</v>
      </c>
      <c r="B410" s="17" t="s">
        <v>1031</v>
      </c>
      <c r="C410" s="17">
        <v>2</v>
      </c>
      <c r="D410" s="17">
        <v>1</v>
      </c>
      <c r="E410" s="17">
        <v>2</v>
      </c>
    </row>
    <row r="411" spans="1:5" x14ac:dyDescent="0.3">
      <c r="A411" s="17" t="s">
        <v>1</v>
      </c>
      <c r="B411" s="17" t="s">
        <v>1459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70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1796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1761</v>
      </c>
      <c r="C414" s="17">
        <v>1</v>
      </c>
      <c r="D414" s="17">
        <v>1</v>
      </c>
      <c r="E414" s="17">
        <v>3</v>
      </c>
    </row>
    <row r="415" spans="1:5" x14ac:dyDescent="0.3">
      <c r="A415" s="17" t="s">
        <v>0</v>
      </c>
      <c r="B415" s="17" t="s">
        <v>579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458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384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705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394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276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79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59</v>
      </c>
      <c r="C422" s="17">
        <v>2</v>
      </c>
      <c r="D422" s="17">
        <v>1</v>
      </c>
      <c r="E422" s="17">
        <v>2</v>
      </c>
    </row>
    <row r="423" spans="1:5" x14ac:dyDescent="0.3">
      <c r="A423" s="17" t="s">
        <v>0</v>
      </c>
      <c r="B423" s="17" t="s">
        <v>358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82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702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908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148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149</v>
      </c>
      <c r="C428" s="17">
        <v>1</v>
      </c>
      <c r="D428" s="17">
        <v>1</v>
      </c>
      <c r="E428" s="17">
        <v>2</v>
      </c>
    </row>
    <row r="429" spans="1:5" x14ac:dyDescent="0.3">
      <c r="A429" s="17" t="s">
        <v>0</v>
      </c>
      <c r="B429" s="17" t="s">
        <v>1218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89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1282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217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1269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155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640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41</v>
      </c>
      <c r="C436" s="17">
        <v>1</v>
      </c>
      <c r="D436" s="17">
        <v>1</v>
      </c>
      <c r="E436" s="17">
        <v>2</v>
      </c>
    </row>
    <row r="437" spans="1:5" x14ac:dyDescent="0.3">
      <c r="A437" s="17" t="s">
        <v>0</v>
      </c>
      <c r="B437" s="17" t="s">
        <v>642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157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686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1518</v>
      </c>
      <c r="C440" s="17">
        <v>2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1673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1946</v>
      </c>
      <c r="C442" s="17">
        <v>3</v>
      </c>
      <c r="D442" s="17">
        <v>1</v>
      </c>
      <c r="E442" s="17">
        <v>4</v>
      </c>
    </row>
    <row r="443" spans="1:5" x14ac:dyDescent="0.3">
      <c r="A443" s="17" t="s">
        <v>0</v>
      </c>
      <c r="B443" s="17" t="s">
        <v>2115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2399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2395</v>
      </c>
      <c r="C445" s="17">
        <v>3</v>
      </c>
      <c r="D445" s="17">
        <v>1</v>
      </c>
      <c r="E445" s="17">
        <v>15</v>
      </c>
    </row>
    <row r="446" spans="1:5" x14ac:dyDescent="0.3">
      <c r="A446" s="17" t="s">
        <v>0</v>
      </c>
      <c r="B446" s="17" t="s">
        <v>2397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2599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1868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97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585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1428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1103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35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492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99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319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1549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28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590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911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1069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1304</v>
      </c>
      <c r="C462" s="17">
        <v>1</v>
      </c>
      <c r="D462" s="17">
        <v>1</v>
      </c>
      <c r="E462" s="17">
        <v>2</v>
      </c>
    </row>
    <row r="463" spans="1:5" x14ac:dyDescent="0.3">
      <c r="A463" s="17" t="s">
        <v>0</v>
      </c>
      <c r="B463" s="17" t="s">
        <v>285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771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166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167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168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442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109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646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169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406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1159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111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3057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113</v>
      </c>
      <c r="C476" s="17">
        <v>3</v>
      </c>
      <c r="D476" s="17">
        <v>1</v>
      </c>
      <c r="E476" s="17">
        <v>5</v>
      </c>
    </row>
    <row r="477" spans="1:5" x14ac:dyDescent="0.3">
      <c r="A477" s="17" t="s">
        <v>0</v>
      </c>
      <c r="B477" s="17" t="s">
        <v>872</v>
      </c>
      <c r="C477" s="17">
        <v>1</v>
      </c>
      <c r="D477" s="17">
        <v>1</v>
      </c>
      <c r="E477" s="17">
        <v>2</v>
      </c>
    </row>
    <row r="478" spans="1:5" x14ac:dyDescent="0.3">
      <c r="A478" s="17" t="s">
        <v>0</v>
      </c>
      <c r="B478" s="17" t="s">
        <v>2213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291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44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174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325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2239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2241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228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1826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2551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45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330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726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1704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776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546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297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3058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468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607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885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339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119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1095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3059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200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62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124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179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555</v>
      </c>
      <c r="C507" s="17">
        <v>1</v>
      </c>
      <c r="D507" s="17">
        <v>1</v>
      </c>
      <c r="E507" s="17">
        <v>2</v>
      </c>
    </row>
    <row r="508" spans="1:5" x14ac:dyDescent="0.3">
      <c r="A508" s="17" t="s">
        <v>0</v>
      </c>
      <c r="B508" s="17" t="s">
        <v>556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603</v>
      </c>
      <c r="C509" s="17">
        <v>1</v>
      </c>
      <c r="D509" s="17">
        <v>1</v>
      </c>
      <c r="E509" s="17">
        <v>3</v>
      </c>
    </row>
    <row r="510" spans="1:5" x14ac:dyDescent="0.3">
      <c r="A510" s="17" t="s">
        <v>0</v>
      </c>
      <c r="B510" s="17" t="s">
        <v>301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347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126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2604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698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1116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428</v>
      </c>
      <c r="C516" s="17">
        <v>1</v>
      </c>
      <c r="D516" s="17">
        <v>1</v>
      </c>
      <c r="E516" s="17">
        <v>2</v>
      </c>
    </row>
    <row r="517" spans="1:5" x14ac:dyDescent="0.3">
      <c r="A517" s="17" t="s">
        <v>0</v>
      </c>
      <c r="B517" s="17" t="s">
        <v>429</v>
      </c>
      <c r="C517" s="17">
        <v>1</v>
      </c>
      <c r="D517" s="17">
        <v>1</v>
      </c>
      <c r="E517" s="17">
        <v>2</v>
      </c>
    </row>
    <row r="518" spans="1:5" x14ac:dyDescent="0.3">
      <c r="A518" s="17" t="s">
        <v>0</v>
      </c>
      <c r="B518" s="17" t="s">
        <v>350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822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452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234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921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1515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1192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193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67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196</v>
      </c>
      <c r="C527" s="17">
        <v>5</v>
      </c>
      <c r="D527" s="17">
        <v>1</v>
      </c>
      <c r="E527" s="17">
        <v>6</v>
      </c>
    </row>
    <row r="528" spans="1:5" x14ac:dyDescent="0.3">
      <c r="A528" s="17" t="s">
        <v>0</v>
      </c>
      <c r="B528" s="17" t="s">
        <v>237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1827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1792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3060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1531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2177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2939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1870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3061</v>
      </c>
      <c r="C536" s="17">
        <v>1</v>
      </c>
      <c r="D536" s="17">
        <v>1</v>
      </c>
      <c r="E536" s="17">
        <v>3</v>
      </c>
    </row>
    <row r="537" spans="1:5" x14ac:dyDescent="0.3">
      <c r="A537" s="17" t="s">
        <v>0</v>
      </c>
      <c r="B537" s="17" t="s">
        <v>2281</v>
      </c>
      <c r="C537" s="17">
        <v>1</v>
      </c>
      <c r="D537" s="17">
        <v>1</v>
      </c>
      <c r="E537" s="17"/>
    </row>
    <row r="538" spans="1:5" x14ac:dyDescent="0.3">
      <c r="A538" s="17" t="s">
        <v>0</v>
      </c>
      <c r="B538" s="17" t="s">
        <v>573</v>
      </c>
      <c r="C538" s="17">
        <v>1</v>
      </c>
      <c r="D538" s="17">
        <v>1</v>
      </c>
      <c r="E538" s="17"/>
    </row>
    <row r="539" spans="1:5" x14ac:dyDescent="0.3">
      <c r="A539" s="17" t="s">
        <v>0</v>
      </c>
      <c r="B539" s="17" t="s">
        <v>1302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0</v>
      </c>
      <c r="B540" s="17" t="s">
        <v>3062</v>
      </c>
      <c r="C540" s="17">
        <v>1</v>
      </c>
      <c r="D540" s="17">
        <v>1</v>
      </c>
      <c r="E540" s="17"/>
    </row>
    <row r="541" spans="1:5" x14ac:dyDescent="0.3">
      <c r="A541" s="17" t="s">
        <v>0</v>
      </c>
      <c r="B541" s="17" t="s">
        <v>2735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1329</v>
      </c>
      <c r="C542" s="17">
        <v>1</v>
      </c>
      <c r="D542" s="17">
        <v>1</v>
      </c>
      <c r="E542" s="17"/>
    </row>
    <row r="543" spans="1:5" x14ac:dyDescent="0.3">
      <c r="A543" s="17" t="s">
        <v>0</v>
      </c>
      <c r="B543" s="17" t="s">
        <v>69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48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79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479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398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481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221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692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365</v>
      </c>
      <c r="C551" s="17">
        <v>2</v>
      </c>
      <c r="D551" s="17">
        <v>1</v>
      </c>
      <c r="E551" s="17">
        <v>2</v>
      </c>
    </row>
    <row r="552" spans="1:5" x14ac:dyDescent="0.3">
      <c r="A552" s="17" t="s">
        <v>2</v>
      </c>
      <c r="B552" s="17" t="s">
        <v>686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2075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2399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2944</v>
      </c>
      <c r="C555" s="17">
        <v>2</v>
      </c>
      <c r="D555" s="17">
        <v>1</v>
      </c>
      <c r="E555" s="17">
        <v>3</v>
      </c>
    </row>
    <row r="556" spans="1:5" x14ac:dyDescent="0.3">
      <c r="A556" s="17" t="s">
        <v>2</v>
      </c>
      <c r="B556" s="17" t="s">
        <v>3036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2</v>
      </c>
      <c r="B557" s="17" t="s">
        <v>265</v>
      </c>
      <c r="C557" s="17">
        <v>1</v>
      </c>
      <c r="D557" s="17">
        <v>1</v>
      </c>
      <c r="E557" s="17">
        <v>2</v>
      </c>
    </row>
    <row r="558" spans="1:5" x14ac:dyDescent="0.3">
      <c r="A558" s="17" t="s">
        <v>2</v>
      </c>
      <c r="B558" s="17" t="s">
        <v>588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2</v>
      </c>
      <c r="B559" s="17" t="s">
        <v>998</v>
      </c>
      <c r="C559" s="17">
        <v>1</v>
      </c>
      <c r="D559" s="17">
        <v>1</v>
      </c>
      <c r="E559" s="17">
        <v>2</v>
      </c>
    </row>
    <row r="560" spans="1:5" x14ac:dyDescent="0.3">
      <c r="A560" s="17" t="s">
        <v>2</v>
      </c>
      <c r="B560" s="17" t="s">
        <v>3063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2</v>
      </c>
      <c r="B561" s="17" t="s">
        <v>2549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2</v>
      </c>
      <c r="B562" s="17" t="s">
        <v>51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2</v>
      </c>
      <c r="B563" s="17" t="s">
        <v>534</v>
      </c>
      <c r="C563" s="17">
        <v>1</v>
      </c>
      <c r="D563" s="17">
        <v>1</v>
      </c>
      <c r="E563" s="17">
        <v>1</v>
      </c>
    </row>
    <row r="564" spans="1:5" x14ac:dyDescent="0.3">
      <c r="A564" s="17" t="s">
        <v>2</v>
      </c>
      <c r="B564" s="17" t="s">
        <v>916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339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2</v>
      </c>
      <c r="B566" s="17" t="s">
        <v>125</v>
      </c>
      <c r="C566" s="17">
        <v>1</v>
      </c>
      <c r="D566" s="17">
        <v>1</v>
      </c>
      <c r="E566" s="17">
        <v>1</v>
      </c>
    </row>
    <row r="567" spans="1:5" x14ac:dyDescent="0.3">
      <c r="A567" s="17" t="s">
        <v>2</v>
      </c>
      <c r="B567" s="17" t="s">
        <v>1445</v>
      </c>
      <c r="C567" s="17">
        <v>1</v>
      </c>
      <c r="D567" s="17">
        <v>1</v>
      </c>
      <c r="E567" s="17">
        <v>1</v>
      </c>
    </row>
    <row r="568" spans="1:5" x14ac:dyDescent="0.3">
      <c r="A568" s="17" t="s">
        <v>2</v>
      </c>
      <c r="B568" s="17" t="s">
        <v>351</v>
      </c>
      <c r="C568" s="17">
        <v>1</v>
      </c>
      <c r="D568" s="17">
        <v>1</v>
      </c>
      <c r="E568" s="17">
        <v>1</v>
      </c>
    </row>
    <row r="569" spans="1:5" x14ac:dyDescent="0.3">
      <c r="A569" s="17" t="s">
        <v>2</v>
      </c>
      <c r="B569" s="17" t="s">
        <v>1327</v>
      </c>
      <c r="C569" s="17">
        <v>1</v>
      </c>
      <c r="D569" s="17">
        <v>1</v>
      </c>
      <c r="E569" s="17">
        <v>1</v>
      </c>
    </row>
    <row r="570" spans="1:5" x14ac:dyDescent="0.3">
      <c r="A570" s="17" t="s">
        <v>2</v>
      </c>
      <c r="B570" s="17" t="s">
        <v>195</v>
      </c>
      <c r="C570" s="17">
        <v>1</v>
      </c>
      <c r="D570" s="17">
        <v>1</v>
      </c>
      <c r="E570" s="17">
        <v>4</v>
      </c>
    </row>
    <row r="571" spans="1:5" x14ac:dyDescent="0.3">
      <c r="A571" s="17" t="s">
        <v>2</v>
      </c>
      <c r="B571" s="17" t="s">
        <v>39</v>
      </c>
      <c r="C571" s="17">
        <v>1</v>
      </c>
      <c r="D571" s="17">
        <v>1</v>
      </c>
      <c r="E571" s="17">
        <v>1</v>
      </c>
    </row>
    <row r="572" spans="1:5" x14ac:dyDescent="0.3">
      <c r="A572" s="17" t="s">
        <v>2</v>
      </c>
      <c r="B572" s="17" t="s">
        <v>2371</v>
      </c>
      <c r="C572" s="17">
        <v>1</v>
      </c>
      <c r="D572" s="17">
        <v>1</v>
      </c>
      <c r="E572" s="17"/>
    </row>
    <row r="573" spans="1:5" x14ac:dyDescent="0.3">
      <c r="A573" s="17" t="s">
        <v>1</v>
      </c>
      <c r="B573" s="17" t="s">
        <v>1388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983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140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2503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2557</v>
      </c>
      <c r="C577" s="17">
        <v>1</v>
      </c>
      <c r="D577" s="17">
        <v>0</v>
      </c>
      <c r="E577" s="17">
        <v>2</v>
      </c>
    </row>
    <row r="578" spans="1:5" x14ac:dyDescent="0.3">
      <c r="A578" s="17" t="s">
        <v>1</v>
      </c>
      <c r="B578" s="17" t="s">
        <v>203</v>
      </c>
      <c r="C578" s="17">
        <v>2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1367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610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986</v>
      </c>
      <c r="C581" s="17">
        <v>1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1368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206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75</v>
      </c>
      <c r="C584" s="17">
        <v>9</v>
      </c>
      <c r="D584" s="17">
        <v>0</v>
      </c>
      <c r="E584" s="17">
        <v>13</v>
      </c>
    </row>
    <row r="585" spans="1:5" x14ac:dyDescent="0.3">
      <c r="A585" s="17" t="s">
        <v>1</v>
      </c>
      <c r="B585" s="17" t="s">
        <v>393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77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835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210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146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147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625</v>
      </c>
      <c r="C591" s="17">
        <v>4</v>
      </c>
      <c r="D591" s="17">
        <v>0</v>
      </c>
      <c r="E591" s="17">
        <v>5</v>
      </c>
    </row>
    <row r="592" spans="1:5" x14ac:dyDescent="0.3">
      <c r="A592" s="17" t="s">
        <v>1</v>
      </c>
      <c r="B592" s="17" t="s">
        <v>1175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59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247</v>
      </c>
      <c r="C594" s="17">
        <v>3</v>
      </c>
      <c r="D594" s="17">
        <v>0</v>
      </c>
      <c r="E594" s="17">
        <v>3</v>
      </c>
    </row>
    <row r="595" spans="1:5" x14ac:dyDescent="0.3">
      <c r="A595" s="17" t="s">
        <v>1</v>
      </c>
      <c r="B595" s="17" t="s">
        <v>907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990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2596</v>
      </c>
      <c r="C597" s="17">
        <v>1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1053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3064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1610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860</v>
      </c>
      <c r="C601" s="17">
        <v>2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279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765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151</v>
      </c>
      <c r="C604" s="17">
        <v>1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2149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480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1688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362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2650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972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1060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1593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153</v>
      </c>
      <c r="C613" s="17">
        <v>10</v>
      </c>
      <c r="D613" s="17">
        <v>0</v>
      </c>
      <c r="E613" s="17">
        <v>8</v>
      </c>
    </row>
    <row r="614" spans="1:5" x14ac:dyDescent="0.3">
      <c r="A614" s="17" t="s">
        <v>1</v>
      </c>
      <c r="B614" s="17" t="s">
        <v>219</v>
      </c>
      <c r="C614" s="17">
        <v>3</v>
      </c>
      <c r="D614" s="17">
        <v>0</v>
      </c>
      <c r="E614" s="17">
        <v>4</v>
      </c>
    </row>
    <row r="615" spans="1:5" x14ac:dyDescent="0.3">
      <c r="A615" s="17" t="s">
        <v>1</v>
      </c>
      <c r="B615" s="17" t="s">
        <v>637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865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154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678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802</v>
      </c>
      <c r="C619" s="17">
        <v>1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157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95</v>
      </c>
      <c r="C621" s="18">
        <v>1</v>
      </c>
      <c r="D621" s="18">
        <v>0</v>
      </c>
      <c r="E621" s="18">
        <v>0</v>
      </c>
    </row>
    <row r="622" spans="1:5" x14ac:dyDescent="0.3">
      <c r="A622" s="18" t="s">
        <v>1</v>
      </c>
      <c r="B622" s="18" t="s">
        <v>224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251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1518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1581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1643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1683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1772</v>
      </c>
      <c r="C628" s="18">
        <v>2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1871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2363</v>
      </c>
      <c r="C630" s="18">
        <v>2</v>
      </c>
      <c r="D630" s="18">
        <v>0</v>
      </c>
      <c r="E630" s="18">
        <v>3</v>
      </c>
    </row>
    <row r="631" spans="1:5" x14ac:dyDescent="0.3">
      <c r="A631" s="18" t="s">
        <v>1</v>
      </c>
      <c r="B631" s="18" t="s">
        <v>3065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2401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2400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2468</v>
      </c>
      <c r="C634" s="18">
        <v>3</v>
      </c>
      <c r="D634" s="18">
        <v>0</v>
      </c>
      <c r="E634" s="18">
        <v>4</v>
      </c>
    </row>
    <row r="635" spans="1:5" x14ac:dyDescent="0.3">
      <c r="A635" s="18" t="s">
        <v>1</v>
      </c>
      <c r="B635" s="18" t="s">
        <v>2404</v>
      </c>
      <c r="C635" s="18">
        <v>6</v>
      </c>
      <c r="D635" s="18">
        <v>0</v>
      </c>
      <c r="E635" s="18">
        <v>7</v>
      </c>
    </row>
    <row r="636" spans="1:5" x14ac:dyDescent="0.3">
      <c r="A636" s="18" t="s">
        <v>1</v>
      </c>
      <c r="B636" s="18" t="s">
        <v>2506</v>
      </c>
      <c r="C636" s="18">
        <v>1</v>
      </c>
      <c r="D636" s="18">
        <v>0</v>
      </c>
      <c r="E636" s="18">
        <v>2</v>
      </c>
    </row>
    <row r="637" spans="1:5" x14ac:dyDescent="0.3">
      <c r="A637" s="18" t="s">
        <v>1</v>
      </c>
      <c r="B637" s="18" t="s">
        <v>2444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2397</v>
      </c>
      <c r="C638" s="18">
        <v>3</v>
      </c>
      <c r="D638" s="18">
        <v>0</v>
      </c>
      <c r="E638" s="18">
        <v>4</v>
      </c>
    </row>
    <row r="639" spans="1:5" x14ac:dyDescent="0.3">
      <c r="A639" s="18" t="s">
        <v>1</v>
      </c>
      <c r="B639" s="18" t="s">
        <v>2616</v>
      </c>
      <c r="C639" s="18">
        <v>2</v>
      </c>
      <c r="D639" s="18">
        <v>0</v>
      </c>
      <c r="E639" s="18">
        <v>3</v>
      </c>
    </row>
    <row r="640" spans="1:5" x14ac:dyDescent="0.3">
      <c r="A640" s="18" t="s">
        <v>1</v>
      </c>
      <c r="B640" s="18" t="s">
        <v>2705</v>
      </c>
      <c r="C640" s="18">
        <v>4</v>
      </c>
      <c r="D640" s="18">
        <v>0</v>
      </c>
      <c r="E640" s="18">
        <v>6</v>
      </c>
    </row>
    <row r="641" spans="1:5" x14ac:dyDescent="0.3">
      <c r="A641" s="18" t="s">
        <v>1</v>
      </c>
      <c r="B641" s="18" t="s">
        <v>524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525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252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3066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1877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1944</v>
      </c>
      <c r="C646" s="18">
        <v>1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491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945</v>
      </c>
      <c r="C648" s="18">
        <v>2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586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1371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2808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107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323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1789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772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3067</v>
      </c>
      <c r="C656" s="18">
        <v>1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1373</v>
      </c>
      <c r="C657" s="18">
        <v>2</v>
      </c>
      <c r="D657" s="18">
        <v>0</v>
      </c>
      <c r="E657" s="18">
        <v>2</v>
      </c>
    </row>
    <row r="658" spans="1:5" x14ac:dyDescent="0.3">
      <c r="A658" s="18" t="s">
        <v>1</v>
      </c>
      <c r="B658" s="18" t="s">
        <v>3068</v>
      </c>
      <c r="C658" s="18">
        <v>1</v>
      </c>
      <c r="D658" s="18">
        <v>0</v>
      </c>
      <c r="E658" s="18">
        <v>2</v>
      </c>
    </row>
    <row r="659" spans="1:5" x14ac:dyDescent="0.3">
      <c r="A659" s="18" t="s">
        <v>1</v>
      </c>
      <c r="B659" s="18" t="s">
        <v>3069</v>
      </c>
      <c r="C659" s="18">
        <v>1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2203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1072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1790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2448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1541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111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172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871</v>
      </c>
      <c r="C667" s="18">
        <v>1</v>
      </c>
      <c r="D667" s="18">
        <v>0</v>
      </c>
      <c r="E667" s="18">
        <v>2</v>
      </c>
    </row>
    <row r="668" spans="1:5" x14ac:dyDescent="0.3">
      <c r="A668" s="18" t="s">
        <v>1</v>
      </c>
      <c r="B668" s="18" t="s">
        <v>3070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1184</v>
      </c>
      <c r="C669" s="18">
        <v>1</v>
      </c>
      <c r="D669" s="18">
        <v>0</v>
      </c>
      <c r="E669" s="18">
        <v>0</v>
      </c>
    </row>
    <row r="670" spans="1:5" x14ac:dyDescent="0.3">
      <c r="A670" s="18" t="s">
        <v>1</v>
      </c>
      <c r="B670" s="18" t="s">
        <v>2212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1494</v>
      </c>
      <c r="C671" s="18">
        <v>2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978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1228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2089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1611</v>
      </c>
      <c r="C675" s="18">
        <v>1</v>
      </c>
      <c r="D675" s="18">
        <v>0</v>
      </c>
      <c r="E675" s="18">
        <v>0</v>
      </c>
    </row>
    <row r="676" spans="1:5" x14ac:dyDescent="0.3">
      <c r="A676" s="18" t="s">
        <v>1</v>
      </c>
      <c r="B676" s="18" t="s">
        <v>2007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1907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726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3071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296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3072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2191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654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598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730</v>
      </c>
      <c r="C685" s="18">
        <v>1</v>
      </c>
      <c r="D685" s="18">
        <v>0</v>
      </c>
      <c r="E685" s="18">
        <v>3</v>
      </c>
    </row>
    <row r="686" spans="1:5" x14ac:dyDescent="0.3">
      <c r="A686" s="18" t="s">
        <v>1</v>
      </c>
      <c r="B686" s="18" t="s">
        <v>1293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658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340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1419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1818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416</v>
      </c>
      <c r="C691" s="18">
        <v>2</v>
      </c>
      <c r="D691" s="18">
        <v>0</v>
      </c>
      <c r="E691" s="18">
        <v>2</v>
      </c>
    </row>
    <row r="692" spans="1:5" x14ac:dyDescent="0.3">
      <c r="A692" s="18" t="s">
        <v>1</v>
      </c>
      <c r="B692" s="18" t="s">
        <v>470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2769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2330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3073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1434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178</v>
      </c>
      <c r="C697" s="18">
        <v>2</v>
      </c>
      <c r="D697" s="18">
        <v>0</v>
      </c>
      <c r="E697" s="18">
        <v>2</v>
      </c>
    </row>
    <row r="698" spans="1:5" x14ac:dyDescent="0.3">
      <c r="A698" s="18" t="s">
        <v>1</v>
      </c>
      <c r="B698" s="18" t="s">
        <v>2120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2976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3074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1594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1081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2947</v>
      </c>
      <c r="C703" s="18">
        <v>2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1015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3075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1018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2261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664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1546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2337</v>
      </c>
      <c r="C710" s="18">
        <v>1</v>
      </c>
      <c r="D710" s="18">
        <v>0</v>
      </c>
      <c r="E710" s="18">
        <v>2</v>
      </c>
    </row>
    <row r="711" spans="1:5" x14ac:dyDescent="0.3">
      <c r="A711" s="18" t="s">
        <v>1</v>
      </c>
      <c r="B711" s="18" t="s">
        <v>1116</v>
      </c>
      <c r="C711" s="18">
        <v>1</v>
      </c>
      <c r="D711" s="18">
        <v>0</v>
      </c>
      <c r="E711" s="18">
        <v>2</v>
      </c>
    </row>
    <row r="712" spans="1:5" x14ac:dyDescent="0.3">
      <c r="A712" s="18" t="s">
        <v>1</v>
      </c>
      <c r="B712" s="18" t="s">
        <v>1117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821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429</v>
      </c>
      <c r="C714" s="18">
        <v>1</v>
      </c>
      <c r="D714" s="18">
        <v>0</v>
      </c>
      <c r="E714" s="18">
        <v>0</v>
      </c>
    </row>
    <row r="715" spans="1:5" x14ac:dyDescent="0.3">
      <c r="A715" s="18" t="s">
        <v>1</v>
      </c>
      <c r="B715" s="18" t="s">
        <v>233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823</v>
      </c>
      <c r="C716" s="18">
        <v>1</v>
      </c>
      <c r="D716" s="18">
        <v>0</v>
      </c>
      <c r="E716" s="18">
        <v>3</v>
      </c>
    </row>
    <row r="717" spans="1:5" x14ac:dyDescent="0.3">
      <c r="A717" s="18" t="s">
        <v>1</v>
      </c>
      <c r="B717" s="18" t="s">
        <v>1120</v>
      </c>
      <c r="C717" s="18">
        <v>1</v>
      </c>
      <c r="D717" s="18">
        <v>0</v>
      </c>
      <c r="E717" s="18">
        <v>0</v>
      </c>
    </row>
    <row r="718" spans="1:5" x14ac:dyDescent="0.3">
      <c r="A718" s="18" t="s">
        <v>1</v>
      </c>
      <c r="B718" s="18" t="s">
        <v>668</v>
      </c>
      <c r="C718" s="18">
        <v>1</v>
      </c>
      <c r="D718" s="18">
        <v>0</v>
      </c>
      <c r="E718" s="18">
        <v>7</v>
      </c>
    </row>
    <row r="719" spans="1:5" x14ac:dyDescent="0.3">
      <c r="A719" s="18" t="s">
        <v>1</v>
      </c>
      <c r="B719" s="18" t="s">
        <v>825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1096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1845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1578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1083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1534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1423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475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1024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1328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1487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137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381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236</v>
      </c>
      <c r="C732" s="18">
        <v>6</v>
      </c>
      <c r="D732" s="18">
        <v>0</v>
      </c>
      <c r="E732" s="18">
        <v>7</v>
      </c>
    </row>
    <row r="733" spans="1:5" x14ac:dyDescent="0.3">
      <c r="A733" s="18" t="s">
        <v>1</v>
      </c>
      <c r="B733" s="18" t="s">
        <v>476</v>
      </c>
      <c r="C733" s="18">
        <v>3</v>
      </c>
      <c r="D733" s="18">
        <v>0</v>
      </c>
      <c r="E733" s="18">
        <v>6</v>
      </c>
    </row>
    <row r="734" spans="1:5" x14ac:dyDescent="0.3">
      <c r="A734" s="18" t="s">
        <v>1</v>
      </c>
      <c r="B734" s="18" t="s">
        <v>196</v>
      </c>
      <c r="C734" s="18">
        <v>19</v>
      </c>
      <c r="D734" s="18">
        <v>0</v>
      </c>
      <c r="E734" s="18">
        <v>22</v>
      </c>
    </row>
    <row r="735" spans="1:5" x14ac:dyDescent="0.3">
      <c r="A735" s="18" t="s">
        <v>1</v>
      </c>
      <c r="B735" s="18" t="s">
        <v>238</v>
      </c>
      <c r="C735" s="18">
        <v>2</v>
      </c>
      <c r="D735" s="18">
        <v>0</v>
      </c>
      <c r="E735" s="18">
        <v>2</v>
      </c>
    </row>
    <row r="736" spans="1:5" x14ac:dyDescent="0.3">
      <c r="A736" s="18" t="s">
        <v>1</v>
      </c>
      <c r="B736" s="18" t="s">
        <v>1085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239</v>
      </c>
      <c r="C737" s="18">
        <v>3</v>
      </c>
      <c r="D737" s="18">
        <v>0</v>
      </c>
      <c r="E737" s="18">
        <v>3</v>
      </c>
    </row>
    <row r="738" spans="1:5" x14ac:dyDescent="0.3">
      <c r="A738" s="18" t="s">
        <v>1</v>
      </c>
      <c r="B738" s="18" t="s">
        <v>672</v>
      </c>
      <c r="C738" s="18">
        <v>5</v>
      </c>
      <c r="D738" s="18">
        <v>0</v>
      </c>
      <c r="E738" s="18">
        <v>6</v>
      </c>
    </row>
    <row r="739" spans="1:5" x14ac:dyDescent="0.3">
      <c r="A739" s="18" t="s">
        <v>1</v>
      </c>
      <c r="B739" s="18" t="s">
        <v>55</v>
      </c>
      <c r="C739" s="18">
        <v>2</v>
      </c>
      <c r="D739" s="18">
        <v>0</v>
      </c>
      <c r="E739" s="18">
        <v>2</v>
      </c>
    </row>
    <row r="740" spans="1:5" x14ac:dyDescent="0.3">
      <c r="A740" s="18" t="s">
        <v>1</v>
      </c>
      <c r="B740" s="18" t="s">
        <v>240</v>
      </c>
      <c r="C740" s="18">
        <v>6</v>
      </c>
      <c r="D740" s="18">
        <v>0</v>
      </c>
      <c r="E740" s="18">
        <v>7</v>
      </c>
    </row>
    <row r="741" spans="1:5" x14ac:dyDescent="0.3">
      <c r="A741" s="18" t="s">
        <v>1</v>
      </c>
      <c r="B741" s="18" t="s">
        <v>673</v>
      </c>
      <c r="C741" s="18">
        <v>2</v>
      </c>
      <c r="D741" s="18">
        <v>0</v>
      </c>
      <c r="E741" s="18">
        <v>2</v>
      </c>
    </row>
    <row r="742" spans="1:5" x14ac:dyDescent="0.3">
      <c r="A742" s="18" t="s">
        <v>1</v>
      </c>
      <c r="B742" s="18" t="s">
        <v>382</v>
      </c>
      <c r="C742" s="18">
        <v>5</v>
      </c>
      <c r="D742" s="18">
        <v>0</v>
      </c>
      <c r="E742" s="18">
        <v>6</v>
      </c>
    </row>
    <row r="743" spans="1:5" x14ac:dyDescent="0.3">
      <c r="A743" s="18" t="s">
        <v>1</v>
      </c>
      <c r="B743" s="18" t="s">
        <v>377</v>
      </c>
      <c r="C743" s="18">
        <v>4</v>
      </c>
      <c r="D743" s="18">
        <v>0</v>
      </c>
      <c r="E743" s="18">
        <v>4</v>
      </c>
    </row>
    <row r="744" spans="1:5" x14ac:dyDescent="0.3">
      <c r="A744" s="18" t="s">
        <v>1</v>
      </c>
      <c r="B744" s="18" t="s">
        <v>1086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477</v>
      </c>
      <c r="C745" s="18">
        <v>4</v>
      </c>
      <c r="D745" s="18">
        <v>0</v>
      </c>
      <c r="E745" s="18">
        <v>4</v>
      </c>
    </row>
    <row r="746" spans="1:5" x14ac:dyDescent="0.3">
      <c r="A746" s="18" t="s">
        <v>1</v>
      </c>
      <c r="B746" s="18" t="s">
        <v>1239</v>
      </c>
      <c r="C746" s="18">
        <v>0</v>
      </c>
      <c r="D746" s="18">
        <v>1</v>
      </c>
    </row>
    <row r="747" spans="1:5" x14ac:dyDescent="0.3">
      <c r="A747" s="18" t="s">
        <v>1</v>
      </c>
      <c r="B747" s="18" t="s">
        <v>2081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1</v>
      </c>
      <c r="B748" s="18" t="s">
        <v>2177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1240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1470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2062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1404</v>
      </c>
      <c r="C752" s="18">
        <v>1</v>
      </c>
      <c r="D752" s="18">
        <v>0</v>
      </c>
      <c r="E752" s="18">
        <v>2</v>
      </c>
    </row>
    <row r="753" spans="1:5" x14ac:dyDescent="0.3">
      <c r="A753" s="18" t="s">
        <v>1</v>
      </c>
      <c r="B753" s="18" t="s">
        <v>3076</v>
      </c>
      <c r="C753" s="18">
        <v>0</v>
      </c>
      <c r="D753" s="18">
        <v>1</v>
      </c>
    </row>
    <row r="754" spans="1:5" x14ac:dyDescent="0.3">
      <c r="A754" s="18" t="s">
        <v>1</v>
      </c>
      <c r="B754" s="18" t="s">
        <v>2171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3077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3078</v>
      </c>
      <c r="C756" s="18">
        <v>0</v>
      </c>
      <c r="D756" s="18">
        <v>1</v>
      </c>
    </row>
    <row r="757" spans="1:5" x14ac:dyDescent="0.3">
      <c r="A757" s="18" t="s">
        <v>1</v>
      </c>
      <c r="B757" s="18" t="s">
        <v>2979</v>
      </c>
      <c r="C757" s="18">
        <v>1</v>
      </c>
      <c r="D757" s="18">
        <v>0</v>
      </c>
      <c r="E757" s="18">
        <v>2</v>
      </c>
    </row>
    <row r="758" spans="1:5" x14ac:dyDescent="0.3">
      <c r="A758" s="18" t="s">
        <v>1</v>
      </c>
      <c r="B758" s="18" t="s">
        <v>3079</v>
      </c>
      <c r="C758" s="18">
        <v>0</v>
      </c>
      <c r="D758" s="18">
        <v>1</v>
      </c>
    </row>
    <row r="759" spans="1:5" x14ac:dyDescent="0.3">
      <c r="A759" s="18" t="s">
        <v>1</v>
      </c>
      <c r="B759" s="18" t="s">
        <v>1503</v>
      </c>
      <c r="C759" s="18">
        <v>1</v>
      </c>
      <c r="D759" s="18">
        <v>0</v>
      </c>
      <c r="E759" s="18">
        <v>2</v>
      </c>
    </row>
    <row r="760" spans="1:5" x14ac:dyDescent="0.3">
      <c r="A760" s="18" t="s">
        <v>1</v>
      </c>
      <c r="B760" s="18" t="s">
        <v>3080</v>
      </c>
      <c r="C760" s="18">
        <v>0</v>
      </c>
      <c r="D760" s="18">
        <v>1</v>
      </c>
    </row>
    <row r="761" spans="1:5" x14ac:dyDescent="0.3">
      <c r="A761" s="18" t="s">
        <v>1</v>
      </c>
      <c r="B761" s="18" t="s">
        <v>1883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1</v>
      </c>
      <c r="B762" s="18" t="s">
        <v>1548</v>
      </c>
      <c r="C762" s="18">
        <v>1</v>
      </c>
      <c r="D762" s="18">
        <v>0</v>
      </c>
      <c r="E762" s="18">
        <v>2</v>
      </c>
    </row>
    <row r="763" spans="1:5" x14ac:dyDescent="0.3">
      <c r="A763" s="18" t="s">
        <v>1</v>
      </c>
      <c r="B763" s="18" t="s">
        <v>1453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1</v>
      </c>
      <c r="B764" s="18" t="s">
        <v>833</v>
      </c>
      <c r="C764" s="18">
        <v>0</v>
      </c>
      <c r="D764" s="18">
        <v>1</v>
      </c>
    </row>
    <row r="765" spans="1:5" x14ac:dyDescent="0.3">
      <c r="A765" s="18" t="s">
        <v>1</v>
      </c>
      <c r="B765" s="18" t="s">
        <v>2317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1</v>
      </c>
      <c r="B766" s="18" t="s">
        <v>575</v>
      </c>
      <c r="C766" s="18">
        <v>0</v>
      </c>
      <c r="D766" s="18">
        <v>2</v>
      </c>
    </row>
    <row r="767" spans="1:5" x14ac:dyDescent="0.3">
      <c r="A767" s="18" t="s">
        <v>1</v>
      </c>
      <c r="B767" s="18" t="s">
        <v>3081</v>
      </c>
      <c r="C767" s="18">
        <v>0</v>
      </c>
      <c r="D767" s="18">
        <v>1</v>
      </c>
    </row>
    <row r="768" spans="1:5" x14ac:dyDescent="0.3">
      <c r="A768" s="18" t="s">
        <v>1</v>
      </c>
      <c r="B768" s="18" t="s">
        <v>69</v>
      </c>
      <c r="C768" s="18">
        <v>4</v>
      </c>
      <c r="D768" s="18">
        <v>0</v>
      </c>
      <c r="E768" s="18">
        <v>4</v>
      </c>
    </row>
    <row r="769" spans="1:5" x14ac:dyDescent="0.3">
      <c r="A769" s="18" t="s">
        <v>1</v>
      </c>
      <c r="B769" s="18" t="s">
        <v>677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391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269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580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383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691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479</v>
      </c>
      <c r="C775" s="18">
        <v>1</v>
      </c>
      <c r="D775" s="18">
        <v>0</v>
      </c>
      <c r="E775" s="18">
        <v>2</v>
      </c>
    </row>
    <row r="776" spans="1:5" x14ac:dyDescent="0.3">
      <c r="A776" s="18" t="s">
        <v>0</v>
      </c>
      <c r="B776" s="18" t="s">
        <v>214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628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153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281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692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1643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1660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0</v>
      </c>
      <c r="B783" s="18" t="s">
        <v>1897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0</v>
      </c>
      <c r="B784" s="18" t="s">
        <v>1941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0</v>
      </c>
      <c r="B785" s="18" t="s">
        <v>2468</v>
      </c>
      <c r="C785" s="18">
        <v>1</v>
      </c>
      <c r="D785" s="18">
        <v>0</v>
      </c>
      <c r="E785" s="18">
        <v>2</v>
      </c>
    </row>
    <row r="786" spans="1:5" x14ac:dyDescent="0.3">
      <c r="A786" s="18" t="s">
        <v>0</v>
      </c>
      <c r="B786" s="18" t="s">
        <v>2404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0</v>
      </c>
      <c r="B787" s="18" t="s">
        <v>2444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0</v>
      </c>
      <c r="B788" s="18" t="s">
        <v>2509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0</v>
      </c>
      <c r="B789" s="18" t="s">
        <v>2789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0</v>
      </c>
      <c r="B790" s="18" t="s">
        <v>158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0</v>
      </c>
      <c r="B791" s="18" t="s">
        <v>1221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0</v>
      </c>
      <c r="B792" s="18" t="s">
        <v>2477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0</v>
      </c>
      <c r="B793" s="18" t="s">
        <v>1495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916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1196</v>
      </c>
      <c r="C795" s="18">
        <v>1</v>
      </c>
      <c r="D795" s="18">
        <v>0</v>
      </c>
      <c r="E795" s="18">
        <v>2</v>
      </c>
    </row>
    <row r="796" spans="1:5" x14ac:dyDescent="0.3">
      <c r="A796" s="18" t="s">
        <v>0</v>
      </c>
      <c r="B796" s="18" t="s">
        <v>2187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0</v>
      </c>
      <c r="B797" s="18" t="s">
        <v>231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1153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0</v>
      </c>
      <c r="B799" s="18" t="s">
        <v>602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0</v>
      </c>
      <c r="B800" s="18" t="s">
        <v>421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38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306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235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239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672</v>
      </c>
      <c r="C805" s="18">
        <v>1</v>
      </c>
      <c r="D805" s="18">
        <v>0</v>
      </c>
      <c r="E805" s="18">
        <v>3</v>
      </c>
    </row>
    <row r="806" spans="1:5" x14ac:dyDescent="0.3">
      <c r="A806" s="18" t="s">
        <v>0</v>
      </c>
      <c r="B806" s="18" t="s">
        <v>382</v>
      </c>
      <c r="C806" s="18">
        <v>2</v>
      </c>
      <c r="D806" s="18">
        <v>0</v>
      </c>
      <c r="E806" s="18">
        <v>2</v>
      </c>
    </row>
    <row r="807" spans="1:5" x14ac:dyDescent="0.3">
      <c r="A807" s="18" t="s">
        <v>0</v>
      </c>
      <c r="B807" s="18" t="s">
        <v>477</v>
      </c>
      <c r="C807" s="18">
        <v>1</v>
      </c>
      <c r="D807" s="18">
        <v>0</v>
      </c>
      <c r="E807" s="18">
        <v>2</v>
      </c>
    </row>
    <row r="808" spans="1:5" x14ac:dyDescent="0.3">
      <c r="A808" s="18" t="s">
        <v>0</v>
      </c>
      <c r="B808" s="18" t="s">
        <v>307</v>
      </c>
      <c r="C808" s="18">
        <v>1</v>
      </c>
      <c r="D808" s="18">
        <v>0</v>
      </c>
      <c r="E808" s="18">
        <v>1</v>
      </c>
    </row>
    <row r="809" spans="1:5" x14ac:dyDescent="0.3">
      <c r="A809" s="18" t="s">
        <v>0</v>
      </c>
      <c r="B809" s="18" t="s">
        <v>1087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0</v>
      </c>
      <c r="B810" s="18" t="s">
        <v>2027</v>
      </c>
      <c r="C810" s="18">
        <v>1</v>
      </c>
      <c r="D810" s="18">
        <v>0</v>
      </c>
      <c r="E810" s="18">
        <v>1</v>
      </c>
    </row>
    <row r="811" spans="1:5" x14ac:dyDescent="0.3">
      <c r="A811" s="18" t="s">
        <v>0</v>
      </c>
      <c r="B811" s="18" t="s">
        <v>1029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1469</v>
      </c>
      <c r="C812" s="18">
        <v>1</v>
      </c>
      <c r="D812" s="18">
        <v>0</v>
      </c>
      <c r="E812" s="18">
        <v>1</v>
      </c>
    </row>
    <row r="813" spans="1:5" x14ac:dyDescent="0.3">
      <c r="A813" s="18" t="s">
        <v>0</v>
      </c>
      <c r="B813" s="18" t="s">
        <v>32</v>
      </c>
      <c r="C813" s="18">
        <v>5</v>
      </c>
      <c r="D813" s="18">
        <v>0</v>
      </c>
      <c r="E813" s="18">
        <v>10</v>
      </c>
    </row>
    <row r="814" spans="1:5" x14ac:dyDescent="0.3">
      <c r="A814" s="18" t="s">
        <v>2</v>
      </c>
      <c r="B814" s="18" t="s">
        <v>203</v>
      </c>
      <c r="C814" s="18">
        <v>1</v>
      </c>
      <c r="D814" s="18">
        <v>0</v>
      </c>
      <c r="E814" s="18">
        <v>1</v>
      </c>
    </row>
    <row r="815" spans="1:5" x14ac:dyDescent="0.3">
      <c r="A815" s="18" t="s">
        <v>2</v>
      </c>
      <c r="B815" s="18" t="s">
        <v>480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2</v>
      </c>
      <c r="B816" s="18" t="s">
        <v>152</v>
      </c>
      <c r="C816" s="18">
        <v>1</v>
      </c>
      <c r="D816" s="18">
        <v>0</v>
      </c>
      <c r="E816" s="18">
        <v>5</v>
      </c>
    </row>
    <row r="817" spans="1:5" x14ac:dyDescent="0.3">
      <c r="A817" s="18" t="s">
        <v>2</v>
      </c>
      <c r="B817" s="18" t="s">
        <v>93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2</v>
      </c>
      <c r="B818" s="18" t="s">
        <v>154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2</v>
      </c>
      <c r="B819" s="18" t="s">
        <v>382</v>
      </c>
      <c r="C819" s="18">
        <v>1</v>
      </c>
      <c r="D819" s="18">
        <v>0</v>
      </c>
      <c r="E819" s="18">
        <v>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5C33D-5123-4A7B-82FA-63D67430E238}">
  <sheetPr codeName="Sheet49"/>
  <dimension ref="A1:M777"/>
  <sheetViews>
    <sheetView workbookViewId="0">
      <selection activeCell="A2" sqref="A2:E77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152</v>
      </c>
      <c r="D2" s="17">
        <v>58</v>
      </c>
      <c r="E2" s="17">
        <v>273</v>
      </c>
    </row>
    <row r="3" spans="1:13" customFormat="1" x14ac:dyDescent="0.3">
      <c r="A3" s="17" t="s">
        <v>1</v>
      </c>
      <c r="B3" s="17" t="s">
        <v>138</v>
      </c>
      <c r="C3" s="17">
        <v>73</v>
      </c>
      <c r="D3" s="17">
        <v>50</v>
      </c>
      <c r="E3" s="17">
        <v>91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2944</v>
      </c>
      <c r="C4" s="17">
        <v>45</v>
      </c>
      <c r="D4" s="17">
        <v>38</v>
      </c>
      <c r="E4" s="17">
        <v>52</v>
      </c>
      <c r="G4" s="23" t="s">
        <v>8</v>
      </c>
      <c r="H4" s="19">
        <f>H13+H14</f>
        <v>1544</v>
      </c>
      <c r="I4" s="20">
        <f>H4/H$6</f>
        <v>0.7685415629666501</v>
      </c>
      <c r="J4" s="19">
        <f>I13+I14</f>
        <v>801</v>
      </c>
      <c r="K4" s="20">
        <f>J4/J$6</f>
        <v>0.70572687224669606</v>
      </c>
      <c r="L4" s="19">
        <f>J13+J14</f>
        <v>1889</v>
      </c>
      <c r="M4" s="29">
        <f>L4/L$6</f>
        <v>0.75560000000000005</v>
      </c>
    </row>
    <row r="5" spans="1:13" customFormat="1" x14ac:dyDescent="0.3">
      <c r="A5" s="17" t="s">
        <v>1</v>
      </c>
      <c r="B5" s="17" t="s">
        <v>365</v>
      </c>
      <c r="C5" s="17">
        <v>36</v>
      </c>
      <c r="D5" s="17">
        <v>29</v>
      </c>
      <c r="E5" s="17">
        <v>37</v>
      </c>
      <c r="G5" s="23" t="s">
        <v>10</v>
      </c>
      <c r="H5" s="19">
        <f>H15+H16</f>
        <v>465</v>
      </c>
      <c r="I5" s="20">
        <f>H5/H$6</f>
        <v>0.23145843703334992</v>
      </c>
      <c r="J5" s="19">
        <f>I15+I16</f>
        <v>334</v>
      </c>
      <c r="K5" s="20">
        <f>J5/J$6</f>
        <v>0.29427312775330394</v>
      </c>
      <c r="L5" s="19">
        <f>J15+J16</f>
        <v>611</v>
      </c>
      <c r="M5" s="29">
        <f>L5/L$6</f>
        <v>0.24440000000000001</v>
      </c>
    </row>
    <row r="6" spans="1:13" customFormat="1" ht="17.25" thickBot="1" x14ac:dyDescent="0.35">
      <c r="A6" s="17" t="s">
        <v>1</v>
      </c>
      <c r="B6" s="17" t="s">
        <v>376</v>
      </c>
      <c r="C6" s="17">
        <v>47</v>
      </c>
      <c r="D6" s="17">
        <v>29</v>
      </c>
      <c r="E6" s="17">
        <v>82</v>
      </c>
      <c r="G6" s="26"/>
      <c r="H6" s="30">
        <f>SUM(H4:H5)</f>
        <v>2009</v>
      </c>
      <c r="I6" s="31">
        <f>I4+I5</f>
        <v>1</v>
      </c>
      <c r="J6" s="30">
        <f>SUM(J4:J5)</f>
        <v>1135</v>
      </c>
      <c r="K6" s="31">
        <f>K4+K5</f>
        <v>1</v>
      </c>
      <c r="L6" s="30">
        <f>SUM(L4:L5)</f>
        <v>2500</v>
      </c>
      <c r="M6" s="32">
        <f>M4+M5</f>
        <v>1</v>
      </c>
    </row>
    <row r="7" spans="1:13" customFormat="1" x14ac:dyDescent="0.3">
      <c r="A7" s="17" t="s">
        <v>0</v>
      </c>
      <c r="B7" s="17" t="s">
        <v>30</v>
      </c>
      <c r="C7" s="17">
        <v>27</v>
      </c>
      <c r="D7" s="17">
        <v>16</v>
      </c>
      <c r="E7" s="17">
        <v>66</v>
      </c>
    </row>
    <row r="8" spans="1:13" customFormat="1" x14ac:dyDescent="0.3">
      <c r="A8" s="17" t="s">
        <v>1</v>
      </c>
      <c r="B8" s="17" t="s">
        <v>3036</v>
      </c>
      <c r="C8" s="17">
        <v>99</v>
      </c>
      <c r="D8" s="17">
        <v>14</v>
      </c>
      <c r="E8" s="17">
        <v>133</v>
      </c>
    </row>
    <row r="9" spans="1:13" customFormat="1" x14ac:dyDescent="0.3">
      <c r="A9" s="17" t="s">
        <v>1</v>
      </c>
      <c r="B9" s="17" t="s">
        <v>37</v>
      </c>
      <c r="C9" s="17">
        <v>18</v>
      </c>
      <c r="D9" s="17">
        <v>14</v>
      </c>
      <c r="E9" s="17">
        <v>18</v>
      </c>
    </row>
    <row r="10" spans="1:13" customFormat="1" ht="17.25" thickBot="1" x14ac:dyDescent="0.35">
      <c r="A10" s="17" t="s">
        <v>0</v>
      </c>
      <c r="B10" s="17" t="s">
        <v>29</v>
      </c>
      <c r="C10" s="17">
        <v>15</v>
      </c>
      <c r="D10" s="17">
        <v>14</v>
      </c>
      <c r="E10" s="17">
        <v>16</v>
      </c>
    </row>
    <row r="11" spans="1:13" x14ac:dyDescent="0.3">
      <c r="A11" s="17" t="s">
        <v>1</v>
      </c>
      <c r="B11" s="17" t="s">
        <v>2075</v>
      </c>
      <c r="C11" s="17">
        <v>13</v>
      </c>
      <c r="D11" s="17">
        <v>12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33</v>
      </c>
      <c r="C12" s="17">
        <v>12</v>
      </c>
      <c r="D12" s="17">
        <v>11</v>
      </c>
      <c r="E12" s="17">
        <v>15</v>
      </c>
      <c r="G12" s="23"/>
      <c r="H12" s="21">
        <f t="shared" ref="H12:J12" si="0">SUM(H13:H16)</f>
        <v>2009</v>
      </c>
      <c r="I12" s="21">
        <f t="shared" si="0"/>
        <v>1135</v>
      </c>
      <c r="J12" s="24">
        <f t="shared" si="0"/>
        <v>2500</v>
      </c>
    </row>
    <row r="13" spans="1:13" x14ac:dyDescent="0.3">
      <c r="A13" s="17" t="s">
        <v>1</v>
      </c>
      <c r="B13" s="17" t="s">
        <v>51</v>
      </c>
      <c r="C13" s="17">
        <v>13</v>
      </c>
      <c r="D13" s="17">
        <v>11</v>
      </c>
      <c r="E13" s="17">
        <v>16</v>
      </c>
      <c r="G13" s="23" t="s">
        <v>7</v>
      </c>
      <c r="H13" s="22">
        <f t="shared" ref="H13:J16" si="1">SUMIF($A$2:$A$9999,$G13,C$2:C$9999)</f>
        <v>1544</v>
      </c>
      <c r="I13" s="22">
        <f t="shared" si="1"/>
        <v>801</v>
      </c>
      <c r="J13" s="25">
        <f t="shared" si="1"/>
        <v>1889</v>
      </c>
    </row>
    <row r="14" spans="1:13" x14ac:dyDescent="0.3">
      <c r="A14" s="17" t="s">
        <v>1</v>
      </c>
      <c r="B14" s="17" t="s">
        <v>2944</v>
      </c>
      <c r="C14" s="17">
        <v>20</v>
      </c>
      <c r="D14" s="17">
        <v>10</v>
      </c>
      <c r="E14" s="17">
        <v>26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1927</v>
      </c>
      <c r="C15" s="17">
        <v>13</v>
      </c>
      <c r="D15" s="17">
        <v>9</v>
      </c>
      <c r="E15" s="17">
        <v>15</v>
      </c>
      <c r="G15" s="23" t="s">
        <v>11</v>
      </c>
      <c r="H15" s="22">
        <f t="shared" si="1"/>
        <v>429</v>
      </c>
      <c r="I15" s="22">
        <f t="shared" si="1"/>
        <v>303</v>
      </c>
      <c r="J15" s="25">
        <f t="shared" si="1"/>
        <v>566</v>
      </c>
    </row>
    <row r="16" spans="1:13" ht="17.25" thickBot="1" x14ac:dyDescent="0.35">
      <c r="A16" s="17" t="s">
        <v>0</v>
      </c>
      <c r="B16" s="17" t="s">
        <v>2572</v>
      </c>
      <c r="C16" s="17">
        <v>11</v>
      </c>
      <c r="D16" s="17">
        <v>9</v>
      </c>
      <c r="E16" s="17">
        <v>15</v>
      </c>
      <c r="G16" s="26" t="s">
        <v>12</v>
      </c>
      <c r="H16" s="27">
        <f t="shared" si="1"/>
        <v>36</v>
      </c>
      <c r="I16" s="27">
        <f t="shared" si="1"/>
        <v>31</v>
      </c>
      <c r="J16" s="28">
        <f t="shared" si="1"/>
        <v>45</v>
      </c>
    </row>
    <row r="17" spans="1:5" x14ac:dyDescent="0.3">
      <c r="A17" s="17" t="s">
        <v>0</v>
      </c>
      <c r="B17" s="17" t="s">
        <v>3036</v>
      </c>
      <c r="C17" s="17">
        <v>23</v>
      </c>
      <c r="D17" s="17">
        <v>8</v>
      </c>
      <c r="E17" s="17">
        <v>35</v>
      </c>
    </row>
    <row r="18" spans="1:5" x14ac:dyDescent="0.3">
      <c r="A18" s="17" t="s">
        <v>0</v>
      </c>
      <c r="B18" s="17" t="s">
        <v>376</v>
      </c>
      <c r="C18" s="17">
        <v>8</v>
      </c>
      <c r="D18" s="17">
        <v>8</v>
      </c>
      <c r="E18" s="17">
        <v>16</v>
      </c>
    </row>
    <row r="19" spans="1:5" x14ac:dyDescent="0.3">
      <c r="A19" s="17" t="s">
        <v>1</v>
      </c>
      <c r="B19" s="17" t="s">
        <v>48</v>
      </c>
      <c r="C19" s="17">
        <v>13</v>
      </c>
      <c r="D19" s="17">
        <v>7</v>
      </c>
      <c r="E19" s="17">
        <v>14</v>
      </c>
    </row>
    <row r="20" spans="1:5" x14ac:dyDescent="0.3">
      <c r="A20" s="17" t="s">
        <v>1</v>
      </c>
      <c r="B20" s="17" t="s">
        <v>61</v>
      </c>
      <c r="C20" s="17">
        <v>8</v>
      </c>
      <c r="D20" s="17">
        <v>7</v>
      </c>
      <c r="E20" s="17">
        <v>7</v>
      </c>
    </row>
    <row r="21" spans="1:5" x14ac:dyDescent="0.3">
      <c r="A21" s="17" t="s">
        <v>1</v>
      </c>
      <c r="B21" s="17" t="s">
        <v>31</v>
      </c>
      <c r="C21" s="17">
        <v>8</v>
      </c>
      <c r="D21" s="17">
        <v>7</v>
      </c>
      <c r="E21" s="17">
        <v>9</v>
      </c>
    </row>
    <row r="22" spans="1:5" x14ac:dyDescent="0.3">
      <c r="A22" s="17" t="s">
        <v>1</v>
      </c>
      <c r="B22" s="17" t="s">
        <v>135</v>
      </c>
      <c r="C22" s="17">
        <v>7</v>
      </c>
      <c r="D22" s="17">
        <v>7</v>
      </c>
      <c r="E22" s="17">
        <v>7</v>
      </c>
    </row>
    <row r="23" spans="1:5" x14ac:dyDescent="0.3">
      <c r="A23" s="17" t="s">
        <v>0</v>
      </c>
      <c r="B23" s="17" t="s">
        <v>365</v>
      </c>
      <c r="C23" s="17">
        <v>8</v>
      </c>
      <c r="D23" s="17">
        <v>7</v>
      </c>
      <c r="E23" s="17">
        <v>8</v>
      </c>
    </row>
    <row r="24" spans="1:5" x14ac:dyDescent="0.3">
      <c r="A24" s="17" t="s">
        <v>1</v>
      </c>
      <c r="B24" s="17" t="s">
        <v>281</v>
      </c>
      <c r="C24" s="17">
        <v>10</v>
      </c>
      <c r="D24" s="17">
        <v>6</v>
      </c>
      <c r="E24" s="17">
        <v>9</v>
      </c>
    </row>
    <row r="25" spans="1:5" x14ac:dyDescent="0.3">
      <c r="A25" s="17" t="s">
        <v>1</v>
      </c>
      <c r="B25" s="17" t="s">
        <v>2692</v>
      </c>
      <c r="C25" s="17">
        <v>17</v>
      </c>
      <c r="D25" s="17">
        <v>6</v>
      </c>
      <c r="E25" s="17">
        <v>23</v>
      </c>
    </row>
    <row r="26" spans="1:5" x14ac:dyDescent="0.3">
      <c r="A26" s="17" t="s">
        <v>0</v>
      </c>
      <c r="B26" s="17" t="s">
        <v>34</v>
      </c>
      <c r="C26" s="17">
        <v>7</v>
      </c>
      <c r="D26" s="17">
        <v>6</v>
      </c>
      <c r="E26" s="17">
        <v>7</v>
      </c>
    </row>
    <row r="27" spans="1:5" x14ac:dyDescent="0.3">
      <c r="A27" s="17" t="s">
        <v>1</v>
      </c>
      <c r="B27" s="17" t="s">
        <v>151</v>
      </c>
      <c r="C27" s="17">
        <v>7</v>
      </c>
      <c r="D27" s="17">
        <v>5</v>
      </c>
      <c r="E27" s="17">
        <v>8</v>
      </c>
    </row>
    <row r="28" spans="1:5" x14ac:dyDescent="0.3">
      <c r="A28" s="17" t="s">
        <v>1</v>
      </c>
      <c r="B28" s="17" t="s">
        <v>2572</v>
      </c>
      <c r="C28" s="17">
        <v>9</v>
      </c>
      <c r="D28" s="17">
        <v>5</v>
      </c>
      <c r="E28" s="17">
        <v>8</v>
      </c>
    </row>
    <row r="29" spans="1:5" x14ac:dyDescent="0.3">
      <c r="A29" s="17" t="s">
        <v>1</v>
      </c>
      <c r="B29" s="17" t="s">
        <v>403</v>
      </c>
      <c r="C29" s="17">
        <v>6</v>
      </c>
      <c r="D29" s="17">
        <v>5</v>
      </c>
      <c r="E29" s="17">
        <v>6</v>
      </c>
    </row>
    <row r="30" spans="1:5" x14ac:dyDescent="0.3">
      <c r="A30" s="17" t="s">
        <v>1</v>
      </c>
      <c r="B30" s="17" t="s">
        <v>126</v>
      </c>
      <c r="C30" s="17">
        <v>5</v>
      </c>
      <c r="D30" s="17">
        <v>5</v>
      </c>
      <c r="E30" s="17">
        <v>5</v>
      </c>
    </row>
    <row r="31" spans="1:5" x14ac:dyDescent="0.3">
      <c r="A31" s="17" t="s">
        <v>1</v>
      </c>
      <c r="B31" s="17" t="s">
        <v>897</v>
      </c>
      <c r="C31" s="17">
        <v>5</v>
      </c>
      <c r="D31" s="17">
        <v>5</v>
      </c>
      <c r="E31" s="17">
        <v>5</v>
      </c>
    </row>
    <row r="32" spans="1:5" x14ac:dyDescent="0.3">
      <c r="A32" s="17" t="s">
        <v>1</v>
      </c>
      <c r="B32" s="17" t="s">
        <v>39</v>
      </c>
      <c r="C32" s="17">
        <v>15</v>
      </c>
      <c r="D32" s="17">
        <v>5</v>
      </c>
      <c r="E32" s="17">
        <v>18</v>
      </c>
    </row>
    <row r="33" spans="1:5" x14ac:dyDescent="0.3">
      <c r="A33" s="17" t="s">
        <v>0</v>
      </c>
      <c r="B33" s="17" t="s">
        <v>1897</v>
      </c>
      <c r="C33" s="17">
        <v>5</v>
      </c>
      <c r="D33" s="17">
        <v>5</v>
      </c>
      <c r="E33" s="17">
        <v>6</v>
      </c>
    </row>
    <row r="34" spans="1:5" x14ac:dyDescent="0.3">
      <c r="A34" s="17" t="s">
        <v>0</v>
      </c>
      <c r="B34" s="17" t="s">
        <v>35</v>
      </c>
      <c r="C34" s="17">
        <v>5</v>
      </c>
      <c r="D34" s="17">
        <v>5</v>
      </c>
      <c r="E34" s="17">
        <v>6</v>
      </c>
    </row>
    <row r="35" spans="1:5" x14ac:dyDescent="0.3">
      <c r="A35" s="17" t="s">
        <v>0</v>
      </c>
      <c r="B35" s="17" t="s">
        <v>168</v>
      </c>
      <c r="C35" s="17">
        <v>5</v>
      </c>
      <c r="D35" s="17">
        <v>5</v>
      </c>
      <c r="E35" s="17">
        <v>5</v>
      </c>
    </row>
    <row r="36" spans="1:5" x14ac:dyDescent="0.3">
      <c r="A36" s="17" t="s">
        <v>0</v>
      </c>
      <c r="B36" s="17" t="s">
        <v>31</v>
      </c>
      <c r="C36" s="17">
        <v>6</v>
      </c>
      <c r="D36" s="17">
        <v>5</v>
      </c>
      <c r="E36" s="17">
        <v>7</v>
      </c>
    </row>
    <row r="37" spans="1:5" x14ac:dyDescent="0.3">
      <c r="A37" s="17" t="s">
        <v>1</v>
      </c>
      <c r="B37" s="17" t="s">
        <v>85</v>
      </c>
      <c r="C37" s="17">
        <v>7</v>
      </c>
      <c r="D37" s="17">
        <v>4</v>
      </c>
      <c r="E37" s="17">
        <v>7</v>
      </c>
    </row>
    <row r="38" spans="1:5" x14ac:dyDescent="0.3">
      <c r="A38" s="17" t="s">
        <v>1</v>
      </c>
      <c r="B38" s="17" t="s">
        <v>152</v>
      </c>
      <c r="C38" s="17">
        <v>7</v>
      </c>
      <c r="D38" s="17">
        <v>4</v>
      </c>
      <c r="E38" s="17">
        <v>8</v>
      </c>
    </row>
    <row r="39" spans="1:5" x14ac:dyDescent="0.3">
      <c r="A39" s="17" t="s">
        <v>1</v>
      </c>
      <c r="B39" s="17" t="s">
        <v>89</v>
      </c>
      <c r="C39" s="17">
        <v>5</v>
      </c>
      <c r="D39" s="17">
        <v>4</v>
      </c>
      <c r="E39" s="17">
        <v>5</v>
      </c>
    </row>
    <row r="40" spans="1:5" x14ac:dyDescent="0.3">
      <c r="A40" s="17" t="s">
        <v>1</v>
      </c>
      <c r="B40" s="17" t="s">
        <v>364</v>
      </c>
      <c r="C40" s="17">
        <v>5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1946</v>
      </c>
      <c r="C41" s="17">
        <v>6</v>
      </c>
      <c r="D41" s="17">
        <v>4</v>
      </c>
      <c r="E41" s="17">
        <v>6</v>
      </c>
    </row>
    <row r="42" spans="1:5" x14ac:dyDescent="0.3">
      <c r="A42" s="17" t="s">
        <v>1</v>
      </c>
      <c r="B42" s="17" t="s">
        <v>2395</v>
      </c>
      <c r="C42" s="17">
        <v>4</v>
      </c>
      <c r="D42" s="17">
        <v>4</v>
      </c>
      <c r="E42" s="17">
        <v>4</v>
      </c>
    </row>
    <row r="43" spans="1:5" x14ac:dyDescent="0.3">
      <c r="A43" s="17" t="s">
        <v>1</v>
      </c>
      <c r="B43" s="17" t="s">
        <v>168</v>
      </c>
      <c r="C43" s="17">
        <v>4</v>
      </c>
      <c r="D43" s="17">
        <v>4</v>
      </c>
      <c r="E43" s="17">
        <v>4</v>
      </c>
    </row>
    <row r="44" spans="1:5" x14ac:dyDescent="0.3">
      <c r="A44" s="17" t="s">
        <v>1</v>
      </c>
      <c r="B44" s="17" t="s">
        <v>169</v>
      </c>
      <c r="C44" s="17">
        <v>6</v>
      </c>
      <c r="D44" s="17">
        <v>4</v>
      </c>
      <c r="E44" s="17">
        <v>6</v>
      </c>
    </row>
    <row r="45" spans="1:5" x14ac:dyDescent="0.3">
      <c r="A45" s="17" t="s">
        <v>1</v>
      </c>
      <c r="B45" s="17" t="s">
        <v>111</v>
      </c>
      <c r="C45" s="17">
        <v>4</v>
      </c>
      <c r="D45" s="17">
        <v>4</v>
      </c>
      <c r="E45" s="17">
        <v>4</v>
      </c>
    </row>
    <row r="46" spans="1:5" x14ac:dyDescent="0.3">
      <c r="A46" s="17" t="s">
        <v>1</v>
      </c>
      <c r="B46" s="17" t="s">
        <v>113</v>
      </c>
      <c r="C46" s="17">
        <v>8</v>
      </c>
      <c r="D46" s="17">
        <v>4</v>
      </c>
      <c r="E46" s="17">
        <v>9</v>
      </c>
    </row>
    <row r="47" spans="1:5" x14ac:dyDescent="0.3">
      <c r="A47" s="17" t="s">
        <v>1</v>
      </c>
      <c r="B47" s="17" t="s">
        <v>289</v>
      </c>
      <c r="C47" s="17">
        <v>4</v>
      </c>
      <c r="D47" s="17">
        <v>4</v>
      </c>
      <c r="E47" s="17">
        <v>6</v>
      </c>
    </row>
    <row r="48" spans="1:5" x14ac:dyDescent="0.3">
      <c r="A48" s="17" t="s">
        <v>1</v>
      </c>
      <c r="B48" s="17" t="s">
        <v>44</v>
      </c>
      <c r="C48" s="17">
        <v>4</v>
      </c>
      <c r="D48" s="17">
        <v>4</v>
      </c>
      <c r="E48" s="17">
        <v>4</v>
      </c>
    </row>
    <row r="49" spans="1:5" x14ac:dyDescent="0.3">
      <c r="A49" s="17" t="s">
        <v>1</v>
      </c>
      <c r="B49" s="17" t="s">
        <v>695</v>
      </c>
      <c r="C49" s="17">
        <v>5</v>
      </c>
      <c r="D49" s="17">
        <v>4</v>
      </c>
      <c r="E49" s="17">
        <v>5</v>
      </c>
    </row>
    <row r="50" spans="1:5" x14ac:dyDescent="0.3">
      <c r="A50" s="17" t="s">
        <v>0</v>
      </c>
      <c r="B50" s="17" t="s">
        <v>350</v>
      </c>
      <c r="C50" s="17">
        <v>5</v>
      </c>
      <c r="D50" s="17">
        <v>4</v>
      </c>
      <c r="E50" s="17">
        <v>5</v>
      </c>
    </row>
    <row r="51" spans="1:5" x14ac:dyDescent="0.3">
      <c r="A51" s="17" t="s">
        <v>1</v>
      </c>
      <c r="B51" s="17" t="s">
        <v>36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394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273</v>
      </c>
      <c r="C53" s="17">
        <v>4</v>
      </c>
      <c r="D53" s="17">
        <v>3</v>
      </c>
      <c r="E53" s="17">
        <v>5</v>
      </c>
    </row>
    <row r="54" spans="1:5" x14ac:dyDescent="0.3">
      <c r="A54" s="17" t="s">
        <v>1</v>
      </c>
      <c r="B54" s="17" t="s">
        <v>83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149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93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155</v>
      </c>
      <c r="C57" s="17">
        <v>9</v>
      </c>
      <c r="D57" s="17">
        <v>3</v>
      </c>
      <c r="E57" s="17">
        <v>11</v>
      </c>
    </row>
    <row r="58" spans="1:5" x14ac:dyDescent="0.3">
      <c r="A58" s="17" t="s">
        <v>1</v>
      </c>
      <c r="B58" s="17" t="s">
        <v>2399</v>
      </c>
      <c r="C58" s="17">
        <v>6</v>
      </c>
      <c r="D58" s="17">
        <v>3</v>
      </c>
      <c r="E58" s="17">
        <v>6</v>
      </c>
    </row>
    <row r="59" spans="1:5" x14ac:dyDescent="0.3">
      <c r="A59" s="17" t="s">
        <v>1</v>
      </c>
      <c r="B59" s="17" t="s">
        <v>43</v>
      </c>
      <c r="C59" s="17">
        <v>3</v>
      </c>
      <c r="D59" s="17">
        <v>3</v>
      </c>
      <c r="E59" s="17">
        <v>6</v>
      </c>
    </row>
    <row r="60" spans="1:5" x14ac:dyDescent="0.3">
      <c r="A60" s="17" t="s">
        <v>1</v>
      </c>
      <c r="B60" s="17" t="s">
        <v>29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45</v>
      </c>
      <c r="C61" s="17">
        <v>4</v>
      </c>
      <c r="D61" s="17">
        <v>3</v>
      </c>
      <c r="E61" s="17">
        <v>4</v>
      </c>
    </row>
    <row r="62" spans="1:5" x14ac:dyDescent="0.3">
      <c r="A62" s="17" t="s">
        <v>1</v>
      </c>
      <c r="B62" s="17" t="s">
        <v>120</v>
      </c>
      <c r="C62" s="17">
        <v>4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200</v>
      </c>
      <c r="C63" s="17">
        <v>5</v>
      </c>
      <c r="D63" s="17">
        <v>3</v>
      </c>
      <c r="E63" s="17">
        <v>5</v>
      </c>
    </row>
    <row r="64" spans="1:5" x14ac:dyDescent="0.3">
      <c r="A64" s="17" t="s">
        <v>1</v>
      </c>
      <c r="B64" s="17" t="s">
        <v>791</v>
      </c>
      <c r="C64" s="17">
        <v>5</v>
      </c>
      <c r="D64" s="17">
        <v>3</v>
      </c>
      <c r="E64" s="17">
        <v>6</v>
      </c>
    </row>
    <row r="65" spans="1:5" x14ac:dyDescent="0.3">
      <c r="A65" s="17" t="s">
        <v>1</v>
      </c>
      <c r="B65" s="17" t="s">
        <v>500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67</v>
      </c>
      <c r="C66" s="17">
        <v>7</v>
      </c>
      <c r="D66" s="17">
        <v>3</v>
      </c>
      <c r="E66" s="17">
        <v>13</v>
      </c>
    </row>
    <row r="67" spans="1:5" x14ac:dyDescent="0.3">
      <c r="A67" s="17" t="s">
        <v>1</v>
      </c>
      <c r="B67" s="17" t="s">
        <v>32</v>
      </c>
      <c r="C67" s="17">
        <v>18</v>
      </c>
      <c r="D67" s="17">
        <v>3</v>
      </c>
      <c r="E67" s="17">
        <v>23</v>
      </c>
    </row>
    <row r="68" spans="1:5" x14ac:dyDescent="0.3">
      <c r="A68" s="17" t="s">
        <v>0</v>
      </c>
      <c r="B68" s="17" t="s">
        <v>36</v>
      </c>
      <c r="C68" s="17">
        <v>3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490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61</v>
      </c>
      <c r="C70" s="17">
        <v>3</v>
      </c>
      <c r="D70" s="17">
        <v>3</v>
      </c>
      <c r="E70" s="17">
        <v>4</v>
      </c>
    </row>
    <row r="71" spans="1:5" x14ac:dyDescent="0.3">
      <c r="A71" s="17" t="s">
        <v>0</v>
      </c>
      <c r="B71" s="17" t="s">
        <v>1927</v>
      </c>
      <c r="C71" s="17">
        <v>5</v>
      </c>
      <c r="D71" s="17">
        <v>3</v>
      </c>
      <c r="E71" s="17">
        <v>6</v>
      </c>
    </row>
    <row r="72" spans="1:5" x14ac:dyDescent="0.3">
      <c r="A72" s="17" t="s">
        <v>0</v>
      </c>
      <c r="B72" s="17" t="s">
        <v>2692</v>
      </c>
      <c r="C72" s="17">
        <v>6</v>
      </c>
      <c r="D72" s="17">
        <v>3</v>
      </c>
      <c r="E72" s="17">
        <v>7</v>
      </c>
    </row>
    <row r="73" spans="1:5" x14ac:dyDescent="0.3">
      <c r="A73" s="17" t="s">
        <v>0</v>
      </c>
      <c r="B73" s="17" t="s">
        <v>2397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122</v>
      </c>
      <c r="C74" s="17">
        <v>3</v>
      </c>
      <c r="D74" s="17">
        <v>3</v>
      </c>
      <c r="E74" s="17">
        <v>3</v>
      </c>
    </row>
    <row r="75" spans="1:5" x14ac:dyDescent="0.3">
      <c r="A75" s="17" t="s">
        <v>1</v>
      </c>
      <c r="B75" s="17" t="s">
        <v>47</v>
      </c>
      <c r="C75" s="17">
        <v>5</v>
      </c>
      <c r="D75" s="17">
        <v>2</v>
      </c>
      <c r="E75" s="17">
        <v>12</v>
      </c>
    </row>
    <row r="76" spans="1:5" x14ac:dyDescent="0.3">
      <c r="A76" s="17" t="s">
        <v>1</v>
      </c>
      <c r="B76" s="17" t="s">
        <v>73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210</v>
      </c>
      <c r="C77" s="17">
        <v>2</v>
      </c>
      <c r="D77" s="17">
        <v>2</v>
      </c>
      <c r="E77" s="17">
        <v>4</v>
      </c>
    </row>
    <row r="78" spans="1:5" x14ac:dyDescent="0.3">
      <c r="A78" s="17" t="s">
        <v>1</v>
      </c>
      <c r="B78" s="17" t="s">
        <v>247</v>
      </c>
      <c r="C78" s="17">
        <v>3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267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215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148</v>
      </c>
      <c r="C81" s="17">
        <v>3</v>
      </c>
      <c r="D81" s="17">
        <v>2</v>
      </c>
      <c r="E81" s="17">
        <v>5</v>
      </c>
    </row>
    <row r="82" spans="1:5" x14ac:dyDescent="0.3">
      <c r="A82" s="17" t="s">
        <v>1</v>
      </c>
      <c r="B82" s="17" t="s">
        <v>520</v>
      </c>
      <c r="C82" s="17">
        <v>3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280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153</v>
      </c>
      <c r="C84" s="17">
        <v>24</v>
      </c>
      <c r="D84" s="17">
        <v>2</v>
      </c>
      <c r="E84" s="17">
        <v>24</v>
      </c>
    </row>
    <row r="85" spans="1:5" x14ac:dyDescent="0.3">
      <c r="A85" s="17" t="s">
        <v>1</v>
      </c>
      <c r="B85" s="17" t="s">
        <v>221</v>
      </c>
      <c r="C85" s="17">
        <v>3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692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156</v>
      </c>
      <c r="C87" s="17">
        <v>5</v>
      </c>
      <c r="D87" s="17">
        <v>2</v>
      </c>
      <c r="E87" s="17">
        <v>8</v>
      </c>
    </row>
    <row r="88" spans="1:5" x14ac:dyDescent="0.3">
      <c r="A88" s="17" t="s">
        <v>1</v>
      </c>
      <c r="B88" s="17" t="s">
        <v>42</v>
      </c>
      <c r="C88" s="17">
        <v>4</v>
      </c>
      <c r="D88" s="17">
        <v>2</v>
      </c>
      <c r="E88" s="17">
        <v>5</v>
      </c>
    </row>
    <row r="89" spans="1:5" x14ac:dyDescent="0.3">
      <c r="A89" s="17" t="s">
        <v>1</v>
      </c>
      <c r="B89" s="17" t="s">
        <v>367</v>
      </c>
      <c r="C89" s="17">
        <v>2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96</v>
      </c>
      <c r="C90" s="17">
        <v>6</v>
      </c>
      <c r="D90" s="17">
        <v>2</v>
      </c>
      <c r="E90" s="17">
        <v>12</v>
      </c>
    </row>
    <row r="91" spans="1:5" x14ac:dyDescent="0.3">
      <c r="A91" s="17" t="s">
        <v>1</v>
      </c>
      <c r="B91" s="17" t="s">
        <v>487</v>
      </c>
      <c r="C91" s="17">
        <v>9</v>
      </c>
      <c r="D91" s="17">
        <v>2</v>
      </c>
      <c r="E91" s="17">
        <v>9</v>
      </c>
    </row>
    <row r="92" spans="1:5" x14ac:dyDescent="0.3">
      <c r="A92" s="17" t="s">
        <v>1</v>
      </c>
      <c r="B92" s="17" t="s">
        <v>1775</v>
      </c>
      <c r="C92" s="17">
        <v>4</v>
      </c>
      <c r="D92" s="17">
        <v>2</v>
      </c>
      <c r="E92" s="17">
        <v>5</v>
      </c>
    </row>
    <row r="93" spans="1:5" x14ac:dyDescent="0.3">
      <c r="A93" s="17" t="s">
        <v>1</v>
      </c>
      <c r="B93" s="17" t="s">
        <v>2401</v>
      </c>
      <c r="C93" s="17">
        <v>3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2396</v>
      </c>
      <c r="C94" s="17">
        <v>5</v>
      </c>
      <c r="D94" s="17">
        <v>2</v>
      </c>
      <c r="E94" s="17">
        <v>6</v>
      </c>
    </row>
    <row r="95" spans="1:5" x14ac:dyDescent="0.3">
      <c r="A95" s="17" t="s">
        <v>1</v>
      </c>
      <c r="B95" s="17" t="s">
        <v>2599</v>
      </c>
      <c r="C95" s="17">
        <v>4</v>
      </c>
      <c r="D95" s="17">
        <v>2</v>
      </c>
      <c r="E95" s="17">
        <v>8</v>
      </c>
    </row>
    <row r="96" spans="1:5" x14ac:dyDescent="0.3">
      <c r="A96" s="17" t="s">
        <v>1</v>
      </c>
      <c r="B96" s="17" t="s">
        <v>2789</v>
      </c>
      <c r="C96" s="17">
        <v>9</v>
      </c>
      <c r="D96" s="17">
        <v>2</v>
      </c>
      <c r="E96" s="17">
        <v>9</v>
      </c>
    </row>
    <row r="97" spans="1:5" x14ac:dyDescent="0.3">
      <c r="A97" s="17" t="s">
        <v>1</v>
      </c>
      <c r="B97" s="17" t="s">
        <v>158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525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99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265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352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199</v>
      </c>
      <c r="C102" s="17">
        <v>4</v>
      </c>
      <c r="D102" s="17">
        <v>2</v>
      </c>
      <c r="E102" s="17">
        <v>3</v>
      </c>
    </row>
    <row r="103" spans="1:5" x14ac:dyDescent="0.3">
      <c r="A103" s="17" t="s">
        <v>1</v>
      </c>
      <c r="B103" s="17" t="s">
        <v>288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534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291</v>
      </c>
      <c r="C105" s="17">
        <v>2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594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326</v>
      </c>
      <c r="C107" s="17">
        <v>3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539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775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726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467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729</v>
      </c>
      <c r="C112" s="17">
        <v>3</v>
      </c>
      <c r="D112" s="17">
        <v>2</v>
      </c>
      <c r="E112" s="17">
        <v>4</v>
      </c>
    </row>
    <row r="113" spans="1:5" x14ac:dyDescent="0.3">
      <c r="A113" s="17" t="s">
        <v>1</v>
      </c>
      <c r="B113" s="17" t="s">
        <v>121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124</v>
      </c>
      <c r="C114" s="17">
        <v>3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178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555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418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1</v>
      </c>
      <c r="B118" s="17" t="s">
        <v>63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1235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3082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233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822</v>
      </c>
      <c r="C122" s="17">
        <v>3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132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53</v>
      </c>
      <c r="C124" s="17">
        <v>5</v>
      </c>
      <c r="D124" s="17">
        <v>2</v>
      </c>
      <c r="E124" s="17">
        <v>5</v>
      </c>
    </row>
    <row r="125" spans="1:5" x14ac:dyDescent="0.3">
      <c r="A125" s="17" t="s">
        <v>1</v>
      </c>
      <c r="B125" s="17" t="s">
        <v>194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68</v>
      </c>
      <c r="C126" s="17">
        <v>4</v>
      </c>
      <c r="D126" s="17">
        <v>2</v>
      </c>
      <c r="E126" s="17">
        <v>5</v>
      </c>
    </row>
    <row r="127" spans="1:5" x14ac:dyDescent="0.3">
      <c r="A127" s="17" t="s">
        <v>1</v>
      </c>
      <c r="B127" s="17" t="s">
        <v>1276</v>
      </c>
      <c r="C127" s="17">
        <v>2</v>
      </c>
      <c r="D127" s="17">
        <v>3</v>
      </c>
      <c r="E127" s="17"/>
    </row>
    <row r="128" spans="1:5" x14ac:dyDescent="0.3">
      <c r="A128" s="17" t="s">
        <v>1</v>
      </c>
      <c r="B128" s="17" t="s">
        <v>1470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841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151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281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155</v>
      </c>
      <c r="C132" s="17">
        <v>2</v>
      </c>
      <c r="D132" s="17">
        <v>2</v>
      </c>
      <c r="E132" s="17">
        <v>4</v>
      </c>
    </row>
    <row r="133" spans="1:5" x14ac:dyDescent="0.3">
      <c r="A133" s="17" t="s">
        <v>0</v>
      </c>
      <c r="B133" s="17" t="s">
        <v>60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1662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2075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2401</v>
      </c>
      <c r="C136" s="17">
        <v>3</v>
      </c>
      <c r="D136" s="17">
        <v>2</v>
      </c>
      <c r="E136" s="17">
        <v>3</v>
      </c>
    </row>
    <row r="137" spans="1:5" x14ac:dyDescent="0.3">
      <c r="A137" s="17" t="s">
        <v>0</v>
      </c>
      <c r="B137" s="17" t="s">
        <v>1582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103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289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174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328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726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37</v>
      </c>
      <c r="C143" s="17">
        <v>2</v>
      </c>
      <c r="D143" s="17">
        <v>2</v>
      </c>
      <c r="E143" s="17">
        <v>3</v>
      </c>
    </row>
    <row r="144" spans="1:5" x14ac:dyDescent="0.3">
      <c r="A144" s="17" t="s">
        <v>0</v>
      </c>
      <c r="B144" s="17" t="s">
        <v>125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63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135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67</v>
      </c>
      <c r="C147" s="17">
        <v>2</v>
      </c>
      <c r="D147" s="17">
        <v>2</v>
      </c>
      <c r="E147" s="17">
        <v>3</v>
      </c>
    </row>
    <row r="148" spans="1:5" x14ac:dyDescent="0.3">
      <c r="A148" s="17" t="s">
        <v>0</v>
      </c>
      <c r="B148" s="17" t="s">
        <v>39</v>
      </c>
      <c r="C148" s="17">
        <v>3</v>
      </c>
      <c r="D148" s="17">
        <v>2</v>
      </c>
      <c r="E148" s="17">
        <v>4</v>
      </c>
    </row>
    <row r="149" spans="1:5" x14ac:dyDescent="0.3">
      <c r="A149" s="17" t="s">
        <v>2</v>
      </c>
      <c r="B149" s="17" t="s">
        <v>1897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2</v>
      </c>
      <c r="B150" s="17" t="s">
        <v>2075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1</v>
      </c>
      <c r="B151" s="17" t="s">
        <v>3083</v>
      </c>
      <c r="C151" s="17">
        <v>1</v>
      </c>
      <c r="D151" s="17">
        <v>1</v>
      </c>
      <c r="E151" s="17">
        <v>2</v>
      </c>
    </row>
    <row r="152" spans="1:5" x14ac:dyDescent="0.3">
      <c r="A152" s="17" t="s">
        <v>1</v>
      </c>
      <c r="B152" s="17" t="s">
        <v>243</v>
      </c>
      <c r="C152" s="17">
        <v>2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311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204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2091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392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507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206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580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1904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1369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384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792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613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615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855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705</v>
      </c>
      <c r="C167" s="17">
        <v>2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619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858</v>
      </c>
      <c r="C169" s="17">
        <v>2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621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582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2273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357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276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517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79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246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59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933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990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479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860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82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314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1314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40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462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213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264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88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435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480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1964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1256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216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1060</v>
      </c>
      <c r="C196" s="17">
        <v>2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1283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711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1269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640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641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767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41</v>
      </c>
      <c r="C203" s="17">
        <v>3</v>
      </c>
      <c r="D203" s="17">
        <v>1</v>
      </c>
      <c r="E203" s="17">
        <v>3</v>
      </c>
    </row>
    <row r="204" spans="1:5" x14ac:dyDescent="0.3">
      <c r="A204" s="17" t="s">
        <v>1</v>
      </c>
      <c r="B204" s="17" t="s">
        <v>438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60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95</v>
      </c>
      <c r="C206" s="17">
        <v>3</v>
      </c>
      <c r="D206" s="17">
        <v>1</v>
      </c>
      <c r="E206" s="17">
        <v>3</v>
      </c>
    </row>
    <row r="207" spans="1:5" x14ac:dyDescent="0.3">
      <c r="A207" s="17" t="s">
        <v>1</v>
      </c>
      <c r="B207" s="17" t="s">
        <v>2068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2329</v>
      </c>
      <c r="C208" s="17">
        <v>4</v>
      </c>
      <c r="D208" s="17">
        <v>1</v>
      </c>
      <c r="E208" s="17">
        <v>8</v>
      </c>
    </row>
    <row r="209" spans="1:5" x14ac:dyDescent="0.3">
      <c r="A209" s="17" t="s">
        <v>1</v>
      </c>
      <c r="B209" s="17" t="s">
        <v>2363</v>
      </c>
      <c r="C209" s="17">
        <v>3</v>
      </c>
      <c r="D209" s="17">
        <v>1</v>
      </c>
      <c r="E209" s="17">
        <v>3</v>
      </c>
    </row>
    <row r="210" spans="1:5" x14ac:dyDescent="0.3">
      <c r="A210" s="17" t="s">
        <v>1</v>
      </c>
      <c r="B210" s="17" t="s">
        <v>2400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2397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2616</v>
      </c>
      <c r="C212" s="17">
        <v>3</v>
      </c>
      <c r="D212" s="17">
        <v>1</v>
      </c>
      <c r="E212" s="17">
        <v>4</v>
      </c>
    </row>
    <row r="213" spans="1:5" x14ac:dyDescent="0.3">
      <c r="A213" s="17" t="s">
        <v>1</v>
      </c>
      <c r="B213" s="17" t="s">
        <v>713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400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2244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585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35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492</v>
      </c>
      <c r="C218" s="17">
        <v>3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945</v>
      </c>
      <c r="C219" s="17">
        <v>2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1479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714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2617</v>
      </c>
      <c r="C222" s="17">
        <v>1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1392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529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1275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160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284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1220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164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368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1259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837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1071</v>
      </c>
      <c r="C233" s="17">
        <v>1</v>
      </c>
      <c r="D233" s="17">
        <v>1</v>
      </c>
      <c r="E233" s="17">
        <v>2</v>
      </c>
    </row>
    <row r="234" spans="1:5" x14ac:dyDescent="0.3">
      <c r="A234" s="17" t="s">
        <v>1</v>
      </c>
      <c r="B234" s="17" t="s">
        <v>103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104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285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1522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106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2199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107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1107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947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2196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1684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1288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1698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1330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1443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646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647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1709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1551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50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1393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1</v>
      </c>
      <c r="B255" s="17" t="s">
        <v>110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1099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407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648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649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171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172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173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1797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533</v>
      </c>
      <c r="C264" s="17">
        <v>1</v>
      </c>
      <c r="D264" s="17">
        <v>1</v>
      </c>
      <c r="E264" s="17">
        <v>2</v>
      </c>
    </row>
    <row r="265" spans="1:5" x14ac:dyDescent="0.3">
      <c r="A265" s="17" t="s">
        <v>1</v>
      </c>
      <c r="B265" s="17" t="s">
        <v>1394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3084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606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1965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2223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1955</v>
      </c>
      <c r="C270" s="17">
        <v>1</v>
      </c>
      <c r="D270" s="17">
        <v>1</v>
      </c>
      <c r="E270" s="17">
        <v>3</v>
      </c>
    </row>
    <row r="271" spans="1:5" x14ac:dyDescent="0.3">
      <c r="A271" s="17" t="s">
        <v>1</v>
      </c>
      <c r="B271" s="17" t="s">
        <v>410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1004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3046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876</v>
      </c>
      <c r="C274" s="17">
        <v>4</v>
      </c>
      <c r="D274" s="17">
        <v>1</v>
      </c>
      <c r="E274" s="17">
        <v>4</v>
      </c>
    </row>
    <row r="275" spans="1:5" x14ac:dyDescent="0.3">
      <c r="A275" s="17" t="s">
        <v>1</v>
      </c>
      <c r="B275" s="17" t="s">
        <v>1228</v>
      </c>
      <c r="C275" s="17">
        <v>2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2235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1131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774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1526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1798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652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1527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540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115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1170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330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385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2356</v>
      </c>
      <c r="C288" s="17">
        <v>1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334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3085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1008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975</v>
      </c>
      <c r="C292" s="17">
        <v>2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1292</v>
      </c>
      <c r="C293" s="17">
        <v>2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2987</v>
      </c>
      <c r="C294" s="17">
        <v>1</v>
      </c>
      <c r="D294" s="17">
        <v>1</v>
      </c>
      <c r="E294" s="17">
        <v>2</v>
      </c>
    </row>
    <row r="295" spans="1:5" x14ac:dyDescent="0.3">
      <c r="A295" s="17" t="s">
        <v>1</v>
      </c>
      <c r="B295" s="17" t="s">
        <v>1231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1172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1448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655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337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886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1474</v>
      </c>
      <c r="C301" s="17">
        <v>1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1180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117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681</v>
      </c>
      <c r="C304" s="17">
        <v>2</v>
      </c>
      <c r="D304" s="17">
        <v>1</v>
      </c>
      <c r="E304" s="17">
        <v>3</v>
      </c>
    </row>
    <row r="305" spans="1:5" x14ac:dyDescent="0.3">
      <c r="A305" s="17" t="s">
        <v>1</v>
      </c>
      <c r="B305" s="17" t="s">
        <v>976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1189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1110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781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1844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416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2047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448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372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341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1411</v>
      </c>
      <c r="C315" s="17">
        <v>2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258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343</v>
      </c>
      <c r="C317" s="17">
        <v>1</v>
      </c>
      <c r="D317" s="17">
        <v>1</v>
      </c>
      <c r="E317" s="17">
        <v>3</v>
      </c>
    </row>
    <row r="318" spans="1:5" x14ac:dyDescent="0.3">
      <c r="A318" s="17" t="s">
        <v>1</v>
      </c>
      <c r="B318" s="17" t="s">
        <v>344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847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2198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2093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125</v>
      </c>
      <c r="C322" s="17">
        <v>1</v>
      </c>
      <c r="D322" s="17">
        <v>1</v>
      </c>
      <c r="E322" s="17">
        <v>3</v>
      </c>
    </row>
    <row r="323" spans="1:5" x14ac:dyDescent="0.3">
      <c r="A323" s="17" t="s">
        <v>1</v>
      </c>
      <c r="B323" s="17" t="s">
        <v>1435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890</v>
      </c>
      <c r="C324" s="17">
        <v>2</v>
      </c>
      <c r="D324" s="17">
        <v>1</v>
      </c>
      <c r="E324" s="17">
        <v>4</v>
      </c>
    </row>
    <row r="325" spans="1:5" x14ac:dyDescent="0.3">
      <c r="A325" s="17" t="s">
        <v>1</v>
      </c>
      <c r="B325" s="17" t="s">
        <v>1355</v>
      </c>
      <c r="C325" s="17">
        <v>1</v>
      </c>
      <c r="D325" s="17">
        <v>1</v>
      </c>
      <c r="E325" s="17">
        <v>3</v>
      </c>
    </row>
    <row r="326" spans="1:5" x14ac:dyDescent="0.3">
      <c r="A326" s="17" t="s">
        <v>1</v>
      </c>
      <c r="B326" s="17" t="s">
        <v>960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300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1114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2947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301</v>
      </c>
      <c r="C330" s="17">
        <v>1</v>
      </c>
      <c r="D330" s="17">
        <v>1</v>
      </c>
      <c r="E330" s="17">
        <v>2</v>
      </c>
    </row>
    <row r="331" spans="1:5" x14ac:dyDescent="0.3">
      <c r="A331" s="17" t="s">
        <v>1</v>
      </c>
      <c r="B331" s="17" t="s">
        <v>1513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895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557</v>
      </c>
      <c r="C333" s="17">
        <v>2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746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180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423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182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3086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666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472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1892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262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563</v>
      </c>
      <c r="C343" s="17">
        <v>1</v>
      </c>
      <c r="D343" s="17">
        <v>1</v>
      </c>
      <c r="E343" s="17">
        <v>2</v>
      </c>
    </row>
    <row r="344" spans="1:5" x14ac:dyDescent="0.3">
      <c r="A344" s="17" t="s">
        <v>1</v>
      </c>
      <c r="B344" s="17" t="s">
        <v>52</v>
      </c>
      <c r="C344" s="17">
        <v>2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823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1134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430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498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1437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499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826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566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899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1327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567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3087</v>
      </c>
      <c r="C356" s="17">
        <v>1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306</v>
      </c>
      <c r="C357" s="17">
        <v>2</v>
      </c>
      <c r="D357" s="17">
        <v>1</v>
      </c>
      <c r="E357" s="17">
        <v>3</v>
      </c>
    </row>
    <row r="358" spans="1:5" x14ac:dyDescent="0.3">
      <c r="A358" s="17" t="s">
        <v>1</v>
      </c>
      <c r="B358" s="17" t="s">
        <v>1596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1192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2455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137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195</v>
      </c>
      <c r="C362" s="17">
        <v>10</v>
      </c>
      <c r="D362" s="17">
        <v>1</v>
      </c>
      <c r="E362" s="17">
        <v>18</v>
      </c>
    </row>
    <row r="363" spans="1:5" x14ac:dyDescent="0.3">
      <c r="A363" s="17" t="s">
        <v>1</v>
      </c>
      <c r="B363" s="17" t="s">
        <v>55</v>
      </c>
      <c r="C363" s="17">
        <v>5</v>
      </c>
      <c r="D363" s="17">
        <v>1</v>
      </c>
      <c r="E363" s="17">
        <v>8</v>
      </c>
    </row>
    <row r="364" spans="1:5" x14ac:dyDescent="0.3">
      <c r="A364" s="17" t="s">
        <v>1</v>
      </c>
      <c r="B364" s="17" t="s">
        <v>56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1591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3088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3089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3090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456</v>
      </c>
      <c r="C369" s="17">
        <v>1</v>
      </c>
      <c r="D369" s="17">
        <v>1</v>
      </c>
      <c r="E369" s="17">
        <v>2</v>
      </c>
    </row>
    <row r="370" spans="1:5" x14ac:dyDescent="0.3">
      <c r="A370" s="17" t="s">
        <v>1</v>
      </c>
      <c r="B370" s="17" t="s">
        <v>1531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1765</v>
      </c>
      <c r="C371" s="17">
        <v>1</v>
      </c>
      <c r="D371" s="17">
        <v>1</v>
      </c>
      <c r="E371" s="17"/>
    </row>
    <row r="372" spans="1:5" x14ac:dyDescent="0.3">
      <c r="A372" s="17" t="s">
        <v>1</v>
      </c>
      <c r="B372" s="17" t="s">
        <v>1632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266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1</v>
      </c>
      <c r="B374" s="17" t="s">
        <v>2062</v>
      </c>
      <c r="C374" s="17">
        <v>1</v>
      </c>
      <c r="D374" s="17">
        <v>1</v>
      </c>
      <c r="E374" s="17">
        <v>3</v>
      </c>
    </row>
    <row r="375" spans="1:5" x14ac:dyDescent="0.3">
      <c r="A375" s="17" t="s">
        <v>1</v>
      </c>
      <c r="B375" s="17" t="s">
        <v>3091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3092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3093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3094</v>
      </c>
      <c r="C378" s="17">
        <v>1</v>
      </c>
      <c r="D378" s="17">
        <v>1</v>
      </c>
      <c r="E378" s="17"/>
    </row>
    <row r="379" spans="1:5" x14ac:dyDescent="0.3">
      <c r="A379" s="17" t="s">
        <v>1</v>
      </c>
      <c r="B379" s="17" t="s">
        <v>1404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1516</v>
      </c>
      <c r="C380" s="17">
        <v>1</v>
      </c>
      <c r="D380" s="17">
        <v>2</v>
      </c>
      <c r="E380" s="17"/>
    </row>
    <row r="381" spans="1:5" x14ac:dyDescent="0.3">
      <c r="A381" s="17" t="s">
        <v>1</v>
      </c>
      <c r="B381" s="17" t="s">
        <v>3095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3096</v>
      </c>
      <c r="C382" s="17">
        <v>1</v>
      </c>
      <c r="D382" s="17">
        <v>1</v>
      </c>
      <c r="E382" s="17"/>
    </row>
    <row r="383" spans="1:5" x14ac:dyDescent="0.3">
      <c r="A383" s="17" t="s">
        <v>1</v>
      </c>
      <c r="B383" s="17" t="s">
        <v>3097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3098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3099</v>
      </c>
      <c r="C385" s="17">
        <v>1</v>
      </c>
      <c r="D385" s="17">
        <v>1</v>
      </c>
      <c r="E385" s="17"/>
    </row>
    <row r="386" spans="1:5" x14ac:dyDescent="0.3">
      <c r="A386" s="17" t="s">
        <v>1</v>
      </c>
      <c r="B386" s="17" t="s">
        <v>3100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674</v>
      </c>
      <c r="C387" s="17">
        <v>1</v>
      </c>
      <c r="D387" s="17">
        <v>1</v>
      </c>
      <c r="E387" s="17"/>
    </row>
    <row r="388" spans="1:5" x14ac:dyDescent="0.3">
      <c r="A388" s="17" t="s">
        <v>1</v>
      </c>
      <c r="B388" s="17" t="s">
        <v>3101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2608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2773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3102</v>
      </c>
      <c r="C391" s="17">
        <v>1</v>
      </c>
      <c r="D391" s="17">
        <v>1</v>
      </c>
      <c r="E391" s="17"/>
    </row>
    <row r="392" spans="1:5" x14ac:dyDescent="0.3">
      <c r="A392" s="17" t="s">
        <v>1</v>
      </c>
      <c r="B392" s="17" t="s">
        <v>3103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3104</v>
      </c>
      <c r="C393" s="17">
        <v>1</v>
      </c>
      <c r="D393" s="17">
        <v>1</v>
      </c>
      <c r="E393" s="17"/>
    </row>
    <row r="394" spans="1:5" x14ac:dyDescent="0.3">
      <c r="A394" s="17" t="s">
        <v>1</v>
      </c>
      <c r="B394" s="17" t="s">
        <v>3105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573</v>
      </c>
      <c r="C395" s="17">
        <v>1</v>
      </c>
      <c r="D395" s="17">
        <v>1</v>
      </c>
      <c r="E395" s="17"/>
    </row>
    <row r="396" spans="1:5" x14ac:dyDescent="0.3">
      <c r="A396" s="17" t="s">
        <v>1</v>
      </c>
      <c r="B396" s="17" t="s">
        <v>3106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1302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3107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3108</v>
      </c>
      <c r="C399" s="17">
        <v>1</v>
      </c>
      <c r="D399" s="17">
        <v>1</v>
      </c>
      <c r="E399" s="17"/>
    </row>
    <row r="400" spans="1:5" x14ac:dyDescent="0.3">
      <c r="A400" s="17" t="s">
        <v>1</v>
      </c>
      <c r="B400" s="17" t="s">
        <v>1805</v>
      </c>
      <c r="C400" s="17">
        <v>1</v>
      </c>
      <c r="D400" s="17">
        <v>2</v>
      </c>
      <c r="E400" s="17"/>
    </row>
    <row r="401" spans="1:5" x14ac:dyDescent="0.3">
      <c r="A401" s="17" t="s">
        <v>1</v>
      </c>
      <c r="B401" s="17" t="s">
        <v>3109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832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485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1173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1</v>
      </c>
      <c r="B405" s="17" t="s">
        <v>925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3110</v>
      </c>
      <c r="C406" s="17">
        <v>1</v>
      </c>
      <c r="D406" s="17">
        <v>1</v>
      </c>
      <c r="E406" s="17"/>
    </row>
    <row r="407" spans="1:5" x14ac:dyDescent="0.3">
      <c r="A407" s="17" t="s">
        <v>1</v>
      </c>
      <c r="B407" s="17" t="s">
        <v>1718</v>
      </c>
      <c r="C407" s="17">
        <v>1</v>
      </c>
      <c r="D407" s="17">
        <v>1</v>
      </c>
      <c r="E407" s="17">
        <v>2</v>
      </c>
    </row>
    <row r="408" spans="1:5" x14ac:dyDescent="0.3">
      <c r="A408" s="17" t="s">
        <v>1</v>
      </c>
      <c r="B408" s="17" t="s">
        <v>1599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431</v>
      </c>
      <c r="C409" s="17">
        <v>1</v>
      </c>
      <c r="D409" s="17">
        <v>1</v>
      </c>
      <c r="E409" s="17"/>
    </row>
    <row r="410" spans="1:5" x14ac:dyDescent="0.3">
      <c r="A410" s="17" t="s">
        <v>1</v>
      </c>
      <c r="B410" s="17" t="s">
        <v>903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1</v>
      </c>
      <c r="B411" s="17" t="s">
        <v>1949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1213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504</v>
      </c>
      <c r="C413" s="17">
        <v>1</v>
      </c>
      <c r="D413" s="17">
        <v>1</v>
      </c>
      <c r="E413" s="17">
        <v>2</v>
      </c>
    </row>
    <row r="414" spans="1:5" x14ac:dyDescent="0.3">
      <c r="A414" s="17" t="s">
        <v>0</v>
      </c>
      <c r="B414" s="17" t="s">
        <v>270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73</v>
      </c>
      <c r="C415" s="17">
        <v>2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33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48</v>
      </c>
      <c r="C417" s="17">
        <v>2</v>
      </c>
      <c r="D417" s="17">
        <v>1</v>
      </c>
      <c r="E417" s="17">
        <v>2</v>
      </c>
    </row>
    <row r="418" spans="1:5" x14ac:dyDescent="0.3">
      <c r="A418" s="17" t="s">
        <v>0</v>
      </c>
      <c r="B418" s="17" t="s">
        <v>856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1157</v>
      </c>
      <c r="C419" s="17">
        <v>1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394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273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2059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835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146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1216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275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59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1314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279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86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397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360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584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280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480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634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1282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93</v>
      </c>
      <c r="C438" s="17">
        <v>2</v>
      </c>
      <c r="D438" s="17">
        <v>1</v>
      </c>
      <c r="E438" s="17">
        <v>3</v>
      </c>
    </row>
    <row r="439" spans="1:5" x14ac:dyDescent="0.3">
      <c r="A439" s="17" t="s">
        <v>0</v>
      </c>
      <c r="B439" s="17" t="s">
        <v>363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692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41</v>
      </c>
      <c r="C441" s="17">
        <v>2</v>
      </c>
      <c r="D441" s="17">
        <v>1</v>
      </c>
      <c r="E441" s="17">
        <v>2</v>
      </c>
    </row>
    <row r="442" spans="1:5" x14ac:dyDescent="0.3">
      <c r="A442" s="17" t="s">
        <v>0</v>
      </c>
      <c r="B442" s="17" t="s">
        <v>42</v>
      </c>
      <c r="C442" s="17">
        <v>2</v>
      </c>
      <c r="D442" s="17">
        <v>1</v>
      </c>
      <c r="E442" s="17">
        <v>2</v>
      </c>
    </row>
    <row r="443" spans="1:5" x14ac:dyDescent="0.3">
      <c r="A443" s="17" t="s">
        <v>0</v>
      </c>
      <c r="B443" s="17" t="s">
        <v>642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96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1518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1643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2362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2363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2428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49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283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1618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2139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1341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2257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265</v>
      </c>
      <c r="C456" s="17">
        <v>2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160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163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1259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165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106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321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107</v>
      </c>
      <c r="C464" s="17">
        <v>1</v>
      </c>
      <c r="D464" s="17">
        <v>1</v>
      </c>
      <c r="E464" s="17">
        <v>2</v>
      </c>
    </row>
    <row r="465" spans="1:5" x14ac:dyDescent="0.3">
      <c r="A465" s="17" t="s">
        <v>0</v>
      </c>
      <c r="B465" s="17" t="s">
        <v>645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3111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286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2038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1698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199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1551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110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650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113</v>
      </c>
      <c r="C474" s="17">
        <v>2</v>
      </c>
      <c r="D474" s="17">
        <v>1</v>
      </c>
      <c r="E474" s="17">
        <v>3</v>
      </c>
    </row>
    <row r="475" spans="1:5" x14ac:dyDescent="0.3">
      <c r="A475" s="17" t="s">
        <v>0</v>
      </c>
      <c r="B475" s="17" t="s">
        <v>872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2531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51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1680</v>
      </c>
      <c r="C478" s="17">
        <v>1</v>
      </c>
      <c r="D478" s="17">
        <v>1</v>
      </c>
      <c r="E478" s="17">
        <v>2</v>
      </c>
    </row>
    <row r="479" spans="1:5" x14ac:dyDescent="0.3">
      <c r="A479" s="17" t="s">
        <v>0</v>
      </c>
      <c r="B479" s="17" t="s">
        <v>2231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1675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721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256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2601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330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385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3112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776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1230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1291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3113</v>
      </c>
      <c r="C490" s="17">
        <v>1</v>
      </c>
      <c r="D490" s="17">
        <v>1</v>
      </c>
      <c r="E490" s="17">
        <v>2</v>
      </c>
    </row>
    <row r="491" spans="1:5" x14ac:dyDescent="0.3">
      <c r="A491" s="17" t="s">
        <v>0</v>
      </c>
      <c r="B491" s="17" t="s">
        <v>1738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1188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1672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495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888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958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123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1179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300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893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746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897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698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262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429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3038</v>
      </c>
      <c r="C506" s="17">
        <v>1</v>
      </c>
      <c r="D506" s="17">
        <v>1</v>
      </c>
      <c r="E506" s="17">
        <v>2</v>
      </c>
    </row>
    <row r="507" spans="1:5" x14ac:dyDescent="0.3">
      <c r="A507" s="17" t="s">
        <v>0</v>
      </c>
      <c r="B507" s="17" t="s">
        <v>130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1134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38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0</v>
      </c>
      <c r="B510" s="17" t="s">
        <v>566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305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966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1515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1025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672</v>
      </c>
      <c r="C515" s="17">
        <v>2</v>
      </c>
      <c r="D515" s="17">
        <v>1</v>
      </c>
      <c r="E515" s="17">
        <v>25</v>
      </c>
    </row>
    <row r="516" spans="1:5" x14ac:dyDescent="0.3">
      <c r="A516" s="17" t="s">
        <v>0</v>
      </c>
      <c r="B516" s="17" t="s">
        <v>138</v>
      </c>
      <c r="C516" s="17">
        <v>7</v>
      </c>
      <c r="D516" s="17">
        <v>1</v>
      </c>
      <c r="E516" s="17">
        <v>13</v>
      </c>
    </row>
    <row r="517" spans="1:5" x14ac:dyDescent="0.3">
      <c r="A517" s="17" t="s">
        <v>0</v>
      </c>
      <c r="B517" s="17" t="s">
        <v>1087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3114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3115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2015</v>
      </c>
      <c r="C520" s="17">
        <v>1</v>
      </c>
      <c r="D520" s="17">
        <v>1</v>
      </c>
      <c r="E520" s="17"/>
    </row>
    <row r="521" spans="1:5" x14ac:dyDescent="0.3">
      <c r="A521" s="17" t="s">
        <v>0</v>
      </c>
      <c r="B521" s="17" t="s">
        <v>3116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1138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3117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1599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2</v>
      </c>
      <c r="B525" s="17" t="s">
        <v>610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2</v>
      </c>
      <c r="B526" s="17" t="s">
        <v>394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2</v>
      </c>
      <c r="B527" s="17" t="s">
        <v>154</v>
      </c>
      <c r="C527" s="17">
        <v>1</v>
      </c>
      <c r="D527" s="17">
        <v>1</v>
      </c>
      <c r="E527" s="17">
        <v>2</v>
      </c>
    </row>
    <row r="528" spans="1:5" x14ac:dyDescent="0.3">
      <c r="A528" s="17" t="s">
        <v>2</v>
      </c>
      <c r="B528" s="17" t="s">
        <v>155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2</v>
      </c>
      <c r="B529" s="17" t="s">
        <v>365</v>
      </c>
      <c r="C529" s="17">
        <v>1</v>
      </c>
      <c r="D529" s="17">
        <v>1</v>
      </c>
      <c r="E529" s="17">
        <v>2</v>
      </c>
    </row>
    <row r="530" spans="1:5" x14ac:dyDescent="0.3">
      <c r="A530" s="17" t="s">
        <v>2</v>
      </c>
      <c r="B530" s="17" t="s">
        <v>60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2</v>
      </c>
      <c r="B531" s="17" t="s">
        <v>367</v>
      </c>
      <c r="C531" s="17">
        <v>1</v>
      </c>
      <c r="D531" s="17">
        <v>1</v>
      </c>
      <c r="E531" s="17">
        <v>2</v>
      </c>
    </row>
    <row r="532" spans="1:5" x14ac:dyDescent="0.3">
      <c r="A532" s="17" t="s">
        <v>2</v>
      </c>
      <c r="B532" s="17" t="s">
        <v>1927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1946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2363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2572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158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43</v>
      </c>
      <c r="C537" s="17">
        <v>1</v>
      </c>
      <c r="D537" s="17">
        <v>1</v>
      </c>
      <c r="E537" s="17">
        <v>2</v>
      </c>
    </row>
    <row r="538" spans="1:5" x14ac:dyDescent="0.3">
      <c r="A538" s="17" t="s">
        <v>2</v>
      </c>
      <c r="B538" s="17" t="s">
        <v>169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113</v>
      </c>
      <c r="C539" s="17">
        <v>1</v>
      </c>
      <c r="D539" s="17">
        <v>1</v>
      </c>
      <c r="E539" s="17">
        <v>2</v>
      </c>
    </row>
    <row r="540" spans="1:5" x14ac:dyDescent="0.3">
      <c r="A540" s="17" t="s">
        <v>2</v>
      </c>
      <c r="B540" s="17" t="s">
        <v>289</v>
      </c>
      <c r="C540" s="17">
        <v>1</v>
      </c>
      <c r="D540" s="17">
        <v>1</v>
      </c>
      <c r="E540" s="17">
        <v>5</v>
      </c>
    </row>
    <row r="541" spans="1:5" x14ac:dyDescent="0.3">
      <c r="A541" s="17" t="s">
        <v>2</v>
      </c>
      <c r="B541" s="17" t="s">
        <v>872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876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916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1196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890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1040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428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262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128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31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1327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1</v>
      </c>
      <c r="B552" s="17" t="s">
        <v>843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1782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203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244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3118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141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478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486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383</v>
      </c>
      <c r="C560" s="17">
        <v>1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57</v>
      </c>
      <c r="C561" s="17">
        <v>1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75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207</v>
      </c>
      <c r="C563" s="17">
        <v>3</v>
      </c>
      <c r="D563" s="17">
        <v>0</v>
      </c>
      <c r="E563" s="17">
        <v>3</v>
      </c>
    </row>
    <row r="564" spans="1:5" x14ac:dyDescent="0.3">
      <c r="A564" s="17" t="s">
        <v>1</v>
      </c>
      <c r="B564" s="17" t="s">
        <v>144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393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1313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76</v>
      </c>
      <c r="C567" s="17">
        <v>2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835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1254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906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80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359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278</v>
      </c>
      <c r="C573" s="17">
        <v>1</v>
      </c>
      <c r="D573" s="17">
        <v>0</v>
      </c>
      <c r="E573" s="17">
        <v>0</v>
      </c>
    </row>
    <row r="574" spans="1:5" x14ac:dyDescent="0.3">
      <c r="A574" s="17" t="s">
        <v>1</v>
      </c>
      <c r="B574" s="17" t="s">
        <v>2126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214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315</v>
      </c>
      <c r="C576" s="17">
        <v>2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1315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86</v>
      </c>
      <c r="C578" s="17">
        <v>1</v>
      </c>
      <c r="D578" s="17">
        <v>0</v>
      </c>
      <c r="E578" s="17">
        <v>0</v>
      </c>
    </row>
    <row r="579" spans="1:5" x14ac:dyDescent="0.3">
      <c r="A579" s="17" t="s">
        <v>1</v>
      </c>
      <c r="B579" s="17" t="s">
        <v>1414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632</v>
      </c>
      <c r="C580" s="17">
        <v>2</v>
      </c>
      <c r="D580" s="17">
        <v>0</v>
      </c>
      <c r="E580" s="17">
        <v>3</v>
      </c>
    </row>
    <row r="581" spans="1:5" x14ac:dyDescent="0.3">
      <c r="A581" s="17" t="s">
        <v>1</v>
      </c>
      <c r="B581" s="17" t="s">
        <v>362</v>
      </c>
      <c r="C581" s="17">
        <v>3</v>
      </c>
      <c r="D581" s="17">
        <v>0</v>
      </c>
      <c r="E581" s="17">
        <v>4</v>
      </c>
    </row>
    <row r="582" spans="1:5" x14ac:dyDescent="0.3">
      <c r="A582" s="17" t="s">
        <v>1</v>
      </c>
      <c r="B582" s="17" t="s">
        <v>633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317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972</v>
      </c>
      <c r="C584" s="17">
        <v>2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1426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248</v>
      </c>
      <c r="C586" s="17">
        <v>2</v>
      </c>
      <c r="D586" s="17">
        <v>0</v>
      </c>
      <c r="E586" s="17">
        <v>2</v>
      </c>
    </row>
    <row r="587" spans="1:5" x14ac:dyDescent="0.3">
      <c r="A587" s="17" t="s">
        <v>1</v>
      </c>
      <c r="B587" s="17" t="s">
        <v>1062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154</v>
      </c>
      <c r="C588" s="17">
        <v>2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157</v>
      </c>
      <c r="C589" s="17">
        <v>3</v>
      </c>
      <c r="D589" s="17">
        <v>0</v>
      </c>
      <c r="E589" s="17">
        <v>3</v>
      </c>
    </row>
    <row r="590" spans="1:5" x14ac:dyDescent="0.3">
      <c r="A590" s="17" t="s">
        <v>1</v>
      </c>
      <c r="B590" s="17" t="s">
        <v>224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251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686</v>
      </c>
      <c r="C592" s="17">
        <v>2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1518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1643</v>
      </c>
      <c r="C594" s="17">
        <v>2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1691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1711</v>
      </c>
      <c r="C596" s="17">
        <v>2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1816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1897</v>
      </c>
      <c r="C598" s="17">
        <v>2</v>
      </c>
      <c r="D598" s="17">
        <v>0</v>
      </c>
      <c r="E598" s="17">
        <v>4</v>
      </c>
    </row>
    <row r="599" spans="1:5" x14ac:dyDescent="0.3">
      <c r="A599" s="17" t="s">
        <v>1</v>
      </c>
      <c r="B599" s="17" t="s">
        <v>1906</v>
      </c>
      <c r="C599" s="17">
        <v>2</v>
      </c>
      <c r="D599" s="17">
        <v>0</v>
      </c>
      <c r="E599" s="17">
        <v>2</v>
      </c>
    </row>
    <row r="600" spans="1:5" x14ac:dyDescent="0.3">
      <c r="A600" s="17" t="s">
        <v>1</v>
      </c>
      <c r="B600" s="17" t="s">
        <v>1928</v>
      </c>
      <c r="C600" s="17">
        <v>2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2074</v>
      </c>
      <c r="C601" s="17">
        <v>2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2115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2334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2362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3065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2493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2468</v>
      </c>
      <c r="C607" s="17">
        <v>5</v>
      </c>
      <c r="D607" s="17">
        <v>0</v>
      </c>
      <c r="E607" s="17">
        <v>5</v>
      </c>
    </row>
    <row r="608" spans="1:5" x14ac:dyDescent="0.3">
      <c r="A608" s="17" t="s">
        <v>1</v>
      </c>
      <c r="B608" s="17" t="s">
        <v>3119</v>
      </c>
      <c r="C608" s="17">
        <v>0</v>
      </c>
      <c r="D608" s="17">
        <v>1</v>
      </c>
      <c r="E608" s="17"/>
    </row>
    <row r="609" spans="1:5" x14ac:dyDescent="0.3">
      <c r="A609" s="17" t="s">
        <v>1</v>
      </c>
      <c r="B609" s="17" t="s">
        <v>3120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2404</v>
      </c>
      <c r="C610" s="17">
        <v>4</v>
      </c>
      <c r="D610" s="17">
        <v>0</v>
      </c>
      <c r="E610" s="17">
        <v>3</v>
      </c>
    </row>
    <row r="611" spans="1:5" x14ac:dyDescent="0.3">
      <c r="A611" s="17" t="s">
        <v>1</v>
      </c>
      <c r="B611" s="17" t="s">
        <v>2398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2802</v>
      </c>
      <c r="C612" s="17">
        <v>3</v>
      </c>
      <c r="D612" s="17">
        <v>0</v>
      </c>
      <c r="E612" s="17">
        <v>3</v>
      </c>
    </row>
    <row r="613" spans="1:5" x14ac:dyDescent="0.3">
      <c r="A613" s="17" t="s">
        <v>1</v>
      </c>
      <c r="B613" s="17" t="s">
        <v>2429</v>
      </c>
      <c r="C613" s="17">
        <v>3</v>
      </c>
      <c r="D613" s="17">
        <v>0</v>
      </c>
      <c r="E613" s="17">
        <v>3</v>
      </c>
    </row>
    <row r="614" spans="1:5" x14ac:dyDescent="0.3">
      <c r="A614" s="17" t="s">
        <v>1</v>
      </c>
      <c r="B614" s="17" t="s">
        <v>2640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2705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524</v>
      </c>
      <c r="C616" s="17">
        <v>1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1806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1066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2969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1341</v>
      </c>
      <c r="C620" s="17">
        <v>2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1036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165</v>
      </c>
      <c r="C622" s="18">
        <v>2</v>
      </c>
      <c r="D622" s="18">
        <v>0</v>
      </c>
      <c r="E622" s="18">
        <v>2</v>
      </c>
    </row>
    <row r="623" spans="1:5" x14ac:dyDescent="0.3">
      <c r="A623" s="18" t="s">
        <v>1</v>
      </c>
      <c r="B623" s="18" t="s">
        <v>1460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3121</v>
      </c>
      <c r="C624" s="18">
        <v>1</v>
      </c>
      <c r="D624" s="18">
        <v>0</v>
      </c>
      <c r="E624" s="18">
        <v>4</v>
      </c>
    </row>
    <row r="625" spans="1:5" x14ac:dyDescent="0.3">
      <c r="A625" s="18" t="s">
        <v>1</v>
      </c>
      <c r="B625" s="18" t="s">
        <v>3067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3122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2200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3123</v>
      </c>
      <c r="C628" s="18">
        <v>1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442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1261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109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1541</v>
      </c>
      <c r="C632" s="18">
        <v>2</v>
      </c>
      <c r="D632" s="18">
        <v>0</v>
      </c>
      <c r="E632" s="18">
        <v>3</v>
      </c>
    </row>
    <row r="633" spans="1:5" x14ac:dyDescent="0.3">
      <c r="A633" s="18" t="s">
        <v>1</v>
      </c>
      <c r="B633" s="18" t="s">
        <v>593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1795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1570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2905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2210</v>
      </c>
      <c r="C637" s="18">
        <v>1</v>
      </c>
      <c r="D637" s="18">
        <v>0</v>
      </c>
      <c r="E637" s="18">
        <v>0</v>
      </c>
    </row>
    <row r="638" spans="1:5" x14ac:dyDescent="0.3">
      <c r="A638" s="18" t="s">
        <v>1</v>
      </c>
      <c r="B638" s="18" t="s">
        <v>1725</v>
      </c>
      <c r="C638" s="18">
        <v>1</v>
      </c>
      <c r="D638" s="18">
        <v>0</v>
      </c>
      <c r="E638" s="18">
        <v>3</v>
      </c>
    </row>
    <row r="639" spans="1:5" x14ac:dyDescent="0.3">
      <c r="A639" s="18" t="s">
        <v>1</v>
      </c>
      <c r="B639" s="18" t="s">
        <v>3124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1226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978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2283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877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721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1447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1583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2039</v>
      </c>
      <c r="C647" s="18">
        <v>1</v>
      </c>
      <c r="D647" s="18">
        <v>0</v>
      </c>
      <c r="E647" s="18">
        <v>2</v>
      </c>
    </row>
    <row r="648" spans="1:5" x14ac:dyDescent="0.3">
      <c r="A648" s="18" t="s">
        <v>1</v>
      </c>
      <c r="B648" s="18" t="s">
        <v>1075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1377</v>
      </c>
      <c r="C649" s="18">
        <v>2</v>
      </c>
      <c r="D649" s="18">
        <v>0</v>
      </c>
      <c r="E649" s="18">
        <v>2</v>
      </c>
    </row>
    <row r="650" spans="1:5" x14ac:dyDescent="0.3">
      <c r="A650" s="18" t="s">
        <v>1</v>
      </c>
      <c r="B650" s="18" t="s">
        <v>3049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728</v>
      </c>
      <c r="C651" s="18">
        <v>1</v>
      </c>
      <c r="D651" s="18">
        <v>0</v>
      </c>
      <c r="E651" s="18">
        <v>3</v>
      </c>
    </row>
    <row r="652" spans="1:5" x14ac:dyDescent="0.3">
      <c r="A652" s="18" t="s">
        <v>1</v>
      </c>
      <c r="B652" s="18" t="s">
        <v>3125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598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607</v>
      </c>
      <c r="C654" s="18">
        <v>1</v>
      </c>
      <c r="D654" s="18">
        <v>0</v>
      </c>
      <c r="E654" s="18">
        <v>0</v>
      </c>
    </row>
    <row r="655" spans="1:5" x14ac:dyDescent="0.3">
      <c r="A655" s="18" t="s">
        <v>1</v>
      </c>
      <c r="B655" s="18" t="s">
        <v>1528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3126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415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1080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176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733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495</v>
      </c>
      <c r="C661" s="18">
        <v>2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1264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1307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3127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662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122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1434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738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1014</v>
      </c>
      <c r="C669" s="18">
        <v>1</v>
      </c>
      <c r="D669" s="18">
        <v>0</v>
      </c>
      <c r="E669" s="18">
        <v>2</v>
      </c>
    </row>
    <row r="670" spans="1:5" x14ac:dyDescent="0.3">
      <c r="A670" s="18" t="s">
        <v>1</v>
      </c>
      <c r="B670" s="18" t="s">
        <v>419</v>
      </c>
      <c r="C670" s="18">
        <v>1</v>
      </c>
      <c r="D670" s="18">
        <v>0</v>
      </c>
      <c r="E670" s="18">
        <v>2</v>
      </c>
    </row>
    <row r="671" spans="1:5" x14ac:dyDescent="0.3">
      <c r="A671" s="18" t="s">
        <v>1</v>
      </c>
      <c r="B671" s="18" t="s">
        <v>1212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683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347</v>
      </c>
      <c r="C673" s="18">
        <v>1</v>
      </c>
      <c r="D673" s="18">
        <v>0</v>
      </c>
      <c r="E673" s="18">
        <v>2</v>
      </c>
    </row>
    <row r="674" spans="1:5" x14ac:dyDescent="0.3">
      <c r="A674" s="18" t="s">
        <v>1</v>
      </c>
      <c r="B674" s="18" t="s">
        <v>1747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664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961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3128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474</v>
      </c>
      <c r="C678" s="18">
        <v>2</v>
      </c>
      <c r="D678" s="18">
        <v>0</v>
      </c>
      <c r="E678" s="18">
        <v>2</v>
      </c>
    </row>
    <row r="679" spans="1:5" x14ac:dyDescent="0.3">
      <c r="A679" s="18" t="s">
        <v>1</v>
      </c>
      <c r="B679" s="18" t="s">
        <v>3129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1565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1208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668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752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787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1621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38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1096</v>
      </c>
      <c r="C687" s="18">
        <v>1</v>
      </c>
      <c r="D687" s="18">
        <v>0</v>
      </c>
      <c r="E687" s="18">
        <v>0</v>
      </c>
    </row>
    <row r="688" spans="1:5" x14ac:dyDescent="0.3">
      <c r="A688" s="18" t="s">
        <v>1</v>
      </c>
      <c r="B688" s="18" t="s">
        <v>788</v>
      </c>
      <c r="C688" s="18">
        <v>1</v>
      </c>
      <c r="D688" s="18">
        <v>0</v>
      </c>
      <c r="E688" s="18">
        <v>2</v>
      </c>
    </row>
    <row r="689" spans="1:5" x14ac:dyDescent="0.3">
      <c r="A689" s="18" t="s">
        <v>1</v>
      </c>
      <c r="B689" s="18" t="s">
        <v>234</v>
      </c>
      <c r="C689" s="18">
        <v>1</v>
      </c>
      <c r="D689" s="18">
        <v>0</v>
      </c>
      <c r="E689" s="18">
        <v>0</v>
      </c>
    </row>
    <row r="690" spans="1:5" x14ac:dyDescent="0.3">
      <c r="A690" s="18" t="s">
        <v>1</v>
      </c>
      <c r="B690" s="18" t="s">
        <v>842</v>
      </c>
      <c r="C690" s="18">
        <v>2</v>
      </c>
      <c r="D690" s="18">
        <v>0</v>
      </c>
      <c r="E690" s="18">
        <v>4</v>
      </c>
    </row>
    <row r="691" spans="1:5" x14ac:dyDescent="0.3">
      <c r="A691" s="18" t="s">
        <v>1</v>
      </c>
      <c r="B691" s="18" t="s">
        <v>966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235</v>
      </c>
      <c r="C692" s="18">
        <v>15</v>
      </c>
      <c r="D692" s="18">
        <v>0</v>
      </c>
      <c r="E692" s="18">
        <v>20</v>
      </c>
    </row>
    <row r="693" spans="1:5" x14ac:dyDescent="0.3">
      <c r="A693" s="18" t="s">
        <v>1</v>
      </c>
      <c r="B693" s="18" t="s">
        <v>381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236</v>
      </c>
      <c r="C694" s="18">
        <v>6</v>
      </c>
      <c r="D694" s="18">
        <v>0</v>
      </c>
      <c r="E694" s="18">
        <v>9</v>
      </c>
    </row>
    <row r="695" spans="1:5" x14ac:dyDescent="0.3">
      <c r="A695" s="18" t="s">
        <v>1</v>
      </c>
      <c r="B695" s="18" t="s">
        <v>196</v>
      </c>
      <c r="C695" s="18">
        <v>11</v>
      </c>
      <c r="D695" s="18">
        <v>0</v>
      </c>
      <c r="E695" s="18">
        <v>11</v>
      </c>
    </row>
    <row r="696" spans="1:5" x14ac:dyDescent="0.3">
      <c r="A696" s="18" t="s">
        <v>1</v>
      </c>
      <c r="B696" s="18" t="s">
        <v>237</v>
      </c>
      <c r="C696" s="18">
        <v>6</v>
      </c>
      <c r="D696" s="18">
        <v>0</v>
      </c>
      <c r="E696" s="18">
        <v>7</v>
      </c>
    </row>
    <row r="697" spans="1:5" x14ac:dyDescent="0.3">
      <c r="A697" s="18" t="s">
        <v>1</v>
      </c>
      <c r="B697" s="18" t="s">
        <v>54</v>
      </c>
      <c r="C697" s="18">
        <v>9</v>
      </c>
      <c r="D697" s="18">
        <v>0</v>
      </c>
      <c r="E697" s="18">
        <v>11</v>
      </c>
    </row>
    <row r="698" spans="1:5" x14ac:dyDescent="0.3">
      <c r="A698" s="18" t="s">
        <v>1</v>
      </c>
      <c r="B698" s="18" t="s">
        <v>238</v>
      </c>
      <c r="C698" s="18">
        <v>4</v>
      </c>
      <c r="D698" s="18">
        <v>0</v>
      </c>
      <c r="E698" s="18">
        <v>4</v>
      </c>
    </row>
    <row r="699" spans="1:5" x14ac:dyDescent="0.3">
      <c r="A699" s="18" t="s">
        <v>1</v>
      </c>
      <c r="B699" s="18" t="s">
        <v>239</v>
      </c>
      <c r="C699" s="18">
        <v>7</v>
      </c>
      <c r="D699" s="18">
        <v>0</v>
      </c>
      <c r="E699" s="18">
        <v>7</v>
      </c>
    </row>
    <row r="700" spans="1:5" x14ac:dyDescent="0.3">
      <c r="A700" s="18" t="s">
        <v>1</v>
      </c>
      <c r="B700" s="18" t="s">
        <v>672</v>
      </c>
      <c r="C700" s="18">
        <v>4</v>
      </c>
      <c r="D700" s="18">
        <v>0</v>
      </c>
      <c r="E700" s="18">
        <v>5</v>
      </c>
    </row>
    <row r="701" spans="1:5" x14ac:dyDescent="0.3">
      <c r="A701" s="18" t="s">
        <v>1</v>
      </c>
      <c r="B701" s="18" t="s">
        <v>240</v>
      </c>
      <c r="C701" s="18">
        <v>9</v>
      </c>
      <c r="D701" s="18">
        <v>0</v>
      </c>
      <c r="E701" s="18">
        <v>9</v>
      </c>
    </row>
    <row r="702" spans="1:5" x14ac:dyDescent="0.3">
      <c r="A702" s="18" t="s">
        <v>1</v>
      </c>
      <c r="B702" s="18" t="s">
        <v>673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382</v>
      </c>
      <c r="C703" s="18">
        <v>12</v>
      </c>
      <c r="D703" s="18">
        <v>0</v>
      </c>
      <c r="E703" s="18">
        <v>15</v>
      </c>
    </row>
    <row r="704" spans="1:5" x14ac:dyDescent="0.3">
      <c r="A704" s="18" t="s">
        <v>1</v>
      </c>
      <c r="B704" s="18" t="s">
        <v>377</v>
      </c>
      <c r="C704" s="18">
        <v>4</v>
      </c>
      <c r="D704" s="18">
        <v>0</v>
      </c>
      <c r="E704" s="18">
        <v>6</v>
      </c>
    </row>
    <row r="705" spans="1:5" x14ac:dyDescent="0.3">
      <c r="A705" s="18" t="s">
        <v>1</v>
      </c>
      <c r="B705" s="18" t="s">
        <v>1086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477</v>
      </c>
      <c r="C706" s="18">
        <v>5</v>
      </c>
      <c r="D706" s="18">
        <v>0</v>
      </c>
      <c r="E706" s="18">
        <v>5</v>
      </c>
    </row>
    <row r="707" spans="1:5" x14ac:dyDescent="0.3">
      <c r="A707" s="18" t="s">
        <v>1</v>
      </c>
      <c r="B707" s="18" t="s">
        <v>2057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260</v>
      </c>
      <c r="C708" s="18">
        <v>0</v>
      </c>
      <c r="D708" s="18">
        <v>1</v>
      </c>
    </row>
    <row r="709" spans="1:5" x14ac:dyDescent="0.3">
      <c r="A709" s="18" t="s">
        <v>1</v>
      </c>
      <c r="B709" s="18" t="s">
        <v>3130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2123</v>
      </c>
      <c r="C710" s="18">
        <v>0</v>
      </c>
      <c r="D710" s="18">
        <v>1</v>
      </c>
    </row>
    <row r="711" spans="1:5" x14ac:dyDescent="0.3">
      <c r="A711" s="18" t="s">
        <v>1</v>
      </c>
      <c r="B711" s="18" t="s">
        <v>3076</v>
      </c>
      <c r="C711" s="18">
        <v>0</v>
      </c>
      <c r="D711" s="18">
        <v>1</v>
      </c>
    </row>
    <row r="712" spans="1:5" x14ac:dyDescent="0.3">
      <c r="A712" s="18" t="s">
        <v>1</v>
      </c>
      <c r="B712" s="18" t="s">
        <v>3131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1597</v>
      </c>
      <c r="C713" s="18">
        <v>0</v>
      </c>
      <c r="D713" s="18">
        <v>2</v>
      </c>
    </row>
    <row r="714" spans="1:5" x14ac:dyDescent="0.3">
      <c r="A714" s="18" t="s">
        <v>1</v>
      </c>
      <c r="B714" s="18" t="s">
        <v>1532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759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3132</v>
      </c>
      <c r="C716" s="18">
        <v>1</v>
      </c>
      <c r="D716" s="18">
        <v>0</v>
      </c>
      <c r="E716" s="18">
        <v>2</v>
      </c>
    </row>
    <row r="717" spans="1:5" x14ac:dyDescent="0.3">
      <c r="A717" s="18" t="s">
        <v>1</v>
      </c>
      <c r="B717" s="18" t="s">
        <v>575</v>
      </c>
      <c r="C717" s="18">
        <v>0</v>
      </c>
      <c r="D717" s="18">
        <v>2</v>
      </c>
    </row>
    <row r="718" spans="1:5" x14ac:dyDescent="0.3">
      <c r="A718" s="18" t="s">
        <v>1</v>
      </c>
      <c r="B718" s="18" t="s">
        <v>2137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69</v>
      </c>
      <c r="C719" s="18">
        <v>2</v>
      </c>
      <c r="D719" s="18">
        <v>0</v>
      </c>
      <c r="E719" s="18">
        <v>3</v>
      </c>
    </row>
    <row r="720" spans="1:5" x14ac:dyDescent="0.3">
      <c r="A720" s="18" t="s">
        <v>1</v>
      </c>
      <c r="B720" s="18" t="s">
        <v>677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1031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208</v>
      </c>
      <c r="C722" s="18">
        <v>1</v>
      </c>
      <c r="D722" s="18">
        <v>0</v>
      </c>
      <c r="E722" s="18">
        <v>3</v>
      </c>
    </row>
    <row r="723" spans="1:5" x14ac:dyDescent="0.3">
      <c r="A723" s="18" t="s">
        <v>0</v>
      </c>
      <c r="B723" s="18" t="s">
        <v>433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210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0</v>
      </c>
      <c r="B725" s="18" t="s">
        <v>82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83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0</v>
      </c>
      <c r="B727" s="18" t="s">
        <v>217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153</v>
      </c>
      <c r="C728" s="18">
        <v>3</v>
      </c>
      <c r="D728" s="18">
        <v>0</v>
      </c>
      <c r="E728" s="18">
        <v>3</v>
      </c>
    </row>
    <row r="729" spans="1:5" x14ac:dyDescent="0.3">
      <c r="A729" s="18" t="s">
        <v>0</v>
      </c>
      <c r="B729" s="18" t="s">
        <v>1283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1274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638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436</v>
      </c>
      <c r="C732" s="18">
        <v>1</v>
      </c>
      <c r="D732" s="18">
        <v>0</v>
      </c>
      <c r="E732" s="18">
        <v>2</v>
      </c>
    </row>
    <row r="733" spans="1:5" x14ac:dyDescent="0.3">
      <c r="A733" s="18" t="s">
        <v>0</v>
      </c>
      <c r="B733" s="18" t="s">
        <v>1063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2461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2437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1064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865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95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1660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1775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1946</v>
      </c>
      <c r="C741" s="18">
        <v>1</v>
      </c>
      <c r="D741" s="18">
        <v>0</v>
      </c>
      <c r="E741" s="18">
        <v>2</v>
      </c>
    </row>
    <row r="742" spans="1:5" x14ac:dyDescent="0.3">
      <c r="A742" s="18" t="s">
        <v>0</v>
      </c>
      <c r="B742" s="18" t="s">
        <v>2115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0</v>
      </c>
      <c r="B743" s="18" t="s">
        <v>2439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2468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0</v>
      </c>
      <c r="B745" s="18" t="s">
        <v>2395</v>
      </c>
      <c r="C745" s="18">
        <v>2</v>
      </c>
      <c r="D745" s="18">
        <v>0</v>
      </c>
      <c r="E745" s="18">
        <v>5</v>
      </c>
    </row>
    <row r="746" spans="1:5" x14ac:dyDescent="0.3">
      <c r="A746" s="18" t="s">
        <v>0</v>
      </c>
      <c r="B746" s="18" t="s">
        <v>2396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2616</v>
      </c>
      <c r="C747" s="18">
        <v>2</v>
      </c>
      <c r="D747" s="18">
        <v>0</v>
      </c>
      <c r="E747" s="18">
        <v>2</v>
      </c>
    </row>
    <row r="748" spans="1:5" x14ac:dyDescent="0.3">
      <c r="A748" s="18" t="s">
        <v>0</v>
      </c>
      <c r="B748" s="18" t="s">
        <v>2789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646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0</v>
      </c>
      <c r="B750" s="18" t="s">
        <v>169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111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1344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3133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2188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607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339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124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695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1445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1813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697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0</v>
      </c>
      <c r="B762" s="18" t="s">
        <v>428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0</v>
      </c>
      <c r="B763" s="18" t="s">
        <v>1577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235</v>
      </c>
      <c r="C764" s="18">
        <v>5</v>
      </c>
      <c r="D764" s="18">
        <v>0</v>
      </c>
      <c r="E764" s="18">
        <v>9</v>
      </c>
    </row>
    <row r="765" spans="1:5" x14ac:dyDescent="0.3">
      <c r="A765" s="18" t="s">
        <v>0</v>
      </c>
      <c r="B765" s="18" t="s">
        <v>195</v>
      </c>
      <c r="C765" s="18">
        <v>1</v>
      </c>
      <c r="D765" s="18">
        <v>0</v>
      </c>
      <c r="E765" s="18">
        <v>2</v>
      </c>
    </row>
    <row r="766" spans="1:5" x14ac:dyDescent="0.3">
      <c r="A766" s="18" t="s">
        <v>0</v>
      </c>
      <c r="B766" s="18" t="s">
        <v>68</v>
      </c>
      <c r="C766" s="18">
        <v>1</v>
      </c>
      <c r="D766" s="18">
        <v>0</v>
      </c>
      <c r="E766" s="18">
        <v>3</v>
      </c>
    </row>
    <row r="767" spans="1:5" x14ac:dyDescent="0.3">
      <c r="A767" s="18" t="s">
        <v>0</v>
      </c>
      <c r="B767" s="18" t="s">
        <v>196</v>
      </c>
      <c r="C767" s="18">
        <v>4</v>
      </c>
      <c r="D767" s="18">
        <v>0</v>
      </c>
      <c r="E767" s="18">
        <v>5</v>
      </c>
    </row>
    <row r="768" spans="1:5" x14ac:dyDescent="0.3">
      <c r="A768" s="18" t="s">
        <v>0</v>
      </c>
      <c r="B768" s="18" t="s">
        <v>238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55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673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382</v>
      </c>
      <c r="C771" s="18">
        <v>2</v>
      </c>
      <c r="D771" s="18">
        <v>0</v>
      </c>
      <c r="E771" s="18">
        <v>3</v>
      </c>
    </row>
    <row r="772" spans="1:5" x14ac:dyDescent="0.3">
      <c r="A772" s="18" t="s">
        <v>0</v>
      </c>
      <c r="B772" s="18" t="s">
        <v>32</v>
      </c>
      <c r="C772" s="18">
        <v>3</v>
      </c>
      <c r="D772" s="18">
        <v>0</v>
      </c>
      <c r="E772" s="18">
        <v>5</v>
      </c>
    </row>
    <row r="773" spans="1:5" x14ac:dyDescent="0.3">
      <c r="A773" s="18" t="s">
        <v>2</v>
      </c>
      <c r="B773" s="18" t="s">
        <v>48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2</v>
      </c>
      <c r="B774" s="18" t="s">
        <v>2468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2</v>
      </c>
      <c r="B775" s="18" t="s">
        <v>2397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2</v>
      </c>
      <c r="B776" s="18" t="s">
        <v>2944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2</v>
      </c>
      <c r="B777" s="18" t="s">
        <v>403</v>
      </c>
      <c r="C777" s="18">
        <v>1</v>
      </c>
      <c r="D777" s="18">
        <v>0</v>
      </c>
      <c r="E777" s="18">
        <v>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78D76-0DBE-4ADF-BF57-87C33B7B48A4}">
  <sheetPr codeName="Sheet50"/>
  <dimension ref="A1:M773"/>
  <sheetViews>
    <sheetView workbookViewId="0">
      <selection activeCell="A2" sqref="A2:E77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2944</v>
      </c>
      <c r="C2" s="17">
        <v>55</v>
      </c>
      <c r="D2" s="17">
        <v>47</v>
      </c>
      <c r="E2" s="17">
        <v>63</v>
      </c>
    </row>
    <row r="3" spans="1:13" customFormat="1" x14ac:dyDescent="0.3">
      <c r="A3" s="17" t="s">
        <v>1</v>
      </c>
      <c r="B3" s="17" t="s">
        <v>138</v>
      </c>
      <c r="C3" s="17">
        <v>63</v>
      </c>
      <c r="D3" s="17">
        <v>46</v>
      </c>
      <c r="E3" s="17">
        <v>69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3036</v>
      </c>
      <c r="C4" s="17">
        <v>80</v>
      </c>
      <c r="D4" s="17">
        <v>39</v>
      </c>
      <c r="E4" s="17">
        <v>84</v>
      </c>
      <c r="G4" s="23" t="s">
        <v>8</v>
      </c>
      <c r="H4" s="19">
        <f>H13+H14</f>
        <v>1196</v>
      </c>
      <c r="I4" s="20">
        <f>H4/H$6</f>
        <v>0.74470734744707345</v>
      </c>
      <c r="J4" s="19">
        <f>I13+I14</f>
        <v>718</v>
      </c>
      <c r="K4" s="20">
        <f>J4/J$6</f>
        <v>0.68972142170989437</v>
      </c>
      <c r="L4" s="19">
        <f>J13+J14</f>
        <v>1365</v>
      </c>
      <c r="M4" s="29">
        <f>L4/L$6</f>
        <v>0.73426573426573427</v>
      </c>
    </row>
    <row r="5" spans="1:13" customFormat="1" x14ac:dyDescent="0.3">
      <c r="A5" s="17" t="s">
        <v>1</v>
      </c>
      <c r="B5" s="17" t="s">
        <v>30</v>
      </c>
      <c r="C5" s="17">
        <v>90</v>
      </c>
      <c r="D5" s="17">
        <v>28</v>
      </c>
      <c r="E5" s="17">
        <v>148</v>
      </c>
      <c r="G5" s="23" t="s">
        <v>10</v>
      </c>
      <c r="H5" s="19">
        <f>H15+H16</f>
        <v>410</v>
      </c>
      <c r="I5" s="20">
        <f>H5/H$6</f>
        <v>0.25529265255292655</v>
      </c>
      <c r="J5" s="19">
        <f>I15+I16</f>
        <v>323</v>
      </c>
      <c r="K5" s="20">
        <f>J5/J$6</f>
        <v>0.31027857829010569</v>
      </c>
      <c r="L5" s="19">
        <f>J15+J16</f>
        <v>494</v>
      </c>
      <c r="M5" s="29">
        <f>L5/L$6</f>
        <v>0.26573426573426573</v>
      </c>
    </row>
    <row r="6" spans="1:13" customFormat="1" ht="17.25" thickBot="1" x14ac:dyDescent="0.35">
      <c r="A6" s="17" t="s">
        <v>0</v>
      </c>
      <c r="B6" s="17" t="s">
        <v>29</v>
      </c>
      <c r="C6" s="17">
        <v>21</v>
      </c>
      <c r="D6" s="17">
        <v>21</v>
      </c>
      <c r="E6" s="17">
        <v>22</v>
      </c>
      <c r="G6" s="26"/>
      <c r="H6" s="30">
        <f>SUM(H4:H5)</f>
        <v>1606</v>
      </c>
      <c r="I6" s="31">
        <f>I4+I5</f>
        <v>1</v>
      </c>
      <c r="J6" s="30">
        <f>SUM(J4:J5)</f>
        <v>1041</v>
      </c>
      <c r="K6" s="31">
        <f>K4+K5</f>
        <v>1</v>
      </c>
      <c r="L6" s="30">
        <f>SUM(L4:L5)</f>
        <v>1859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15</v>
      </c>
      <c r="D7" s="17">
        <v>15</v>
      </c>
      <c r="E7" s="17">
        <v>17</v>
      </c>
    </row>
    <row r="8" spans="1:13" customFormat="1" x14ac:dyDescent="0.3">
      <c r="A8" s="17" t="s">
        <v>1</v>
      </c>
      <c r="B8" s="17" t="s">
        <v>51</v>
      </c>
      <c r="C8" s="17">
        <v>13</v>
      </c>
      <c r="D8" s="17">
        <v>11</v>
      </c>
      <c r="E8" s="17">
        <v>20</v>
      </c>
    </row>
    <row r="9" spans="1:13" customFormat="1" x14ac:dyDescent="0.3">
      <c r="A9" s="17" t="s">
        <v>1</v>
      </c>
      <c r="B9" s="17" t="s">
        <v>37</v>
      </c>
      <c r="C9" s="17">
        <v>14</v>
      </c>
      <c r="D9" s="17">
        <v>11</v>
      </c>
      <c r="E9" s="17">
        <v>17</v>
      </c>
    </row>
    <row r="10" spans="1:13" customFormat="1" ht="17.25" thickBot="1" x14ac:dyDescent="0.35">
      <c r="A10" s="17" t="s">
        <v>1</v>
      </c>
      <c r="B10" s="17" t="s">
        <v>365</v>
      </c>
      <c r="C10" s="17">
        <v>13</v>
      </c>
      <c r="D10" s="17">
        <v>10</v>
      </c>
      <c r="E10" s="17">
        <v>16</v>
      </c>
    </row>
    <row r="11" spans="1:13" x14ac:dyDescent="0.3">
      <c r="A11" s="17" t="s">
        <v>1</v>
      </c>
      <c r="B11" s="17" t="s">
        <v>2944</v>
      </c>
      <c r="C11" s="17">
        <v>19</v>
      </c>
      <c r="D11" s="17">
        <v>10</v>
      </c>
      <c r="E11" s="17">
        <v>20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2692</v>
      </c>
      <c r="C12" s="17">
        <v>18</v>
      </c>
      <c r="D12" s="17">
        <v>8</v>
      </c>
      <c r="E12" s="17">
        <v>19</v>
      </c>
      <c r="G12" s="23"/>
      <c r="H12" s="21">
        <f t="shared" ref="H12:J12" si="0">SUM(H13:H16)</f>
        <v>1606</v>
      </c>
      <c r="I12" s="21">
        <f t="shared" si="0"/>
        <v>1041</v>
      </c>
      <c r="J12" s="24">
        <f t="shared" si="0"/>
        <v>1859</v>
      </c>
    </row>
    <row r="13" spans="1:13" x14ac:dyDescent="0.3">
      <c r="A13" s="17" t="s">
        <v>0</v>
      </c>
      <c r="B13" s="17" t="s">
        <v>3036</v>
      </c>
      <c r="C13" s="17">
        <v>13</v>
      </c>
      <c r="D13" s="17">
        <v>8</v>
      </c>
      <c r="E13" s="17">
        <v>13</v>
      </c>
      <c r="G13" s="23" t="s">
        <v>7</v>
      </c>
      <c r="H13" s="22">
        <f t="shared" ref="H13:J16" si="1">SUMIF($A$2:$A$9999,$G13,C$2:C$9999)</f>
        <v>1196</v>
      </c>
      <c r="I13" s="22">
        <f t="shared" si="1"/>
        <v>718</v>
      </c>
      <c r="J13" s="25">
        <f t="shared" si="1"/>
        <v>1365</v>
      </c>
    </row>
    <row r="14" spans="1:13" x14ac:dyDescent="0.3">
      <c r="A14" s="17" t="s">
        <v>1</v>
      </c>
      <c r="B14" s="17" t="s">
        <v>152</v>
      </c>
      <c r="C14" s="17">
        <v>10</v>
      </c>
      <c r="D14" s="17">
        <v>7</v>
      </c>
      <c r="E14" s="17">
        <v>10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31</v>
      </c>
      <c r="C15" s="17">
        <v>7</v>
      </c>
      <c r="D15" s="17">
        <v>7</v>
      </c>
      <c r="E15" s="17">
        <v>7</v>
      </c>
      <c r="G15" s="23" t="s">
        <v>11</v>
      </c>
      <c r="H15" s="22">
        <f t="shared" si="1"/>
        <v>378</v>
      </c>
      <c r="I15" s="22">
        <f t="shared" si="1"/>
        <v>303</v>
      </c>
      <c r="J15" s="25">
        <f t="shared" si="1"/>
        <v>452</v>
      </c>
    </row>
    <row r="16" spans="1:13" ht="17.25" thickBot="1" x14ac:dyDescent="0.35">
      <c r="A16" s="17" t="s">
        <v>1</v>
      </c>
      <c r="B16" s="17" t="s">
        <v>376</v>
      </c>
      <c r="C16" s="17">
        <v>12</v>
      </c>
      <c r="D16" s="17">
        <v>7</v>
      </c>
      <c r="E16" s="17">
        <v>16</v>
      </c>
      <c r="G16" s="26" t="s">
        <v>12</v>
      </c>
      <c r="H16" s="27">
        <f t="shared" si="1"/>
        <v>32</v>
      </c>
      <c r="I16" s="27">
        <f t="shared" si="1"/>
        <v>20</v>
      </c>
      <c r="J16" s="28">
        <f t="shared" si="1"/>
        <v>42</v>
      </c>
    </row>
    <row r="17" spans="1:5" x14ac:dyDescent="0.3">
      <c r="A17" s="17" t="s">
        <v>0</v>
      </c>
      <c r="B17" s="17" t="s">
        <v>30</v>
      </c>
      <c r="C17" s="17">
        <v>14</v>
      </c>
      <c r="D17" s="17">
        <v>7</v>
      </c>
      <c r="E17" s="17">
        <v>24</v>
      </c>
    </row>
    <row r="18" spans="1:5" x14ac:dyDescent="0.3">
      <c r="A18" s="17" t="s">
        <v>0</v>
      </c>
      <c r="B18" s="17" t="s">
        <v>39</v>
      </c>
      <c r="C18" s="17">
        <v>8</v>
      </c>
      <c r="D18" s="17">
        <v>7</v>
      </c>
      <c r="E18" s="17">
        <v>12</v>
      </c>
    </row>
    <row r="19" spans="1:5" x14ac:dyDescent="0.3">
      <c r="A19" s="17" t="s">
        <v>1</v>
      </c>
      <c r="B19" s="17" t="s">
        <v>48</v>
      </c>
      <c r="C19" s="17">
        <v>9</v>
      </c>
      <c r="D19" s="17">
        <v>5</v>
      </c>
      <c r="E19" s="17">
        <v>13</v>
      </c>
    </row>
    <row r="20" spans="1:5" x14ac:dyDescent="0.3">
      <c r="A20" s="17" t="s">
        <v>1</v>
      </c>
      <c r="B20" s="17" t="s">
        <v>92</v>
      </c>
      <c r="C20" s="17">
        <v>7</v>
      </c>
      <c r="D20" s="17">
        <v>5</v>
      </c>
      <c r="E20" s="17">
        <v>8</v>
      </c>
    </row>
    <row r="21" spans="1:5" x14ac:dyDescent="0.3">
      <c r="A21" s="17" t="s">
        <v>1</v>
      </c>
      <c r="B21" s="17" t="s">
        <v>2075</v>
      </c>
      <c r="C21" s="17">
        <v>6</v>
      </c>
      <c r="D21" s="17">
        <v>5</v>
      </c>
      <c r="E21" s="17">
        <v>10</v>
      </c>
    </row>
    <row r="22" spans="1:5" x14ac:dyDescent="0.3">
      <c r="A22" s="17" t="s">
        <v>1</v>
      </c>
      <c r="B22" s="17" t="s">
        <v>29</v>
      </c>
      <c r="C22" s="17">
        <v>5</v>
      </c>
      <c r="D22" s="17">
        <v>5</v>
      </c>
      <c r="E22" s="17">
        <v>6</v>
      </c>
    </row>
    <row r="23" spans="1:5" x14ac:dyDescent="0.3">
      <c r="A23" s="17" t="s">
        <v>1</v>
      </c>
      <c r="B23" s="17" t="s">
        <v>113</v>
      </c>
      <c r="C23" s="17">
        <v>6</v>
      </c>
      <c r="D23" s="17">
        <v>5</v>
      </c>
      <c r="E23" s="17">
        <v>7</v>
      </c>
    </row>
    <row r="24" spans="1:5" x14ac:dyDescent="0.3">
      <c r="A24" s="17" t="s">
        <v>1</v>
      </c>
      <c r="B24" s="17" t="s">
        <v>32</v>
      </c>
      <c r="C24" s="17">
        <v>10</v>
      </c>
      <c r="D24" s="17">
        <v>5</v>
      </c>
      <c r="E24" s="17">
        <v>16</v>
      </c>
    </row>
    <row r="25" spans="1:5" x14ac:dyDescent="0.3">
      <c r="A25" s="17" t="s">
        <v>1</v>
      </c>
      <c r="B25" s="17" t="s">
        <v>34</v>
      </c>
      <c r="C25" s="17">
        <v>4</v>
      </c>
      <c r="D25" s="17">
        <v>4</v>
      </c>
      <c r="E25" s="17">
        <v>4</v>
      </c>
    </row>
    <row r="26" spans="1:5" x14ac:dyDescent="0.3">
      <c r="A26" s="17" t="s">
        <v>1</v>
      </c>
      <c r="B26" s="17" t="s">
        <v>281</v>
      </c>
      <c r="C26" s="17">
        <v>8</v>
      </c>
      <c r="D26" s="17">
        <v>4</v>
      </c>
      <c r="E26" s="17">
        <v>6</v>
      </c>
    </row>
    <row r="27" spans="1:5" x14ac:dyDescent="0.3">
      <c r="A27" s="17" t="s">
        <v>1</v>
      </c>
      <c r="B27" s="17" t="s">
        <v>155</v>
      </c>
      <c r="C27" s="17">
        <v>6</v>
      </c>
      <c r="D27" s="17">
        <v>4</v>
      </c>
      <c r="E27" s="17">
        <v>5</v>
      </c>
    </row>
    <row r="28" spans="1:5" x14ac:dyDescent="0.3">
      <c r="A28" s="17" t="s">
        <v>1</v>
      </c>
      <c r="B28" s="17" t="s">
        <v>492</v>
      </c>
      <c r="C28" s="17">
        <v>4</v>
      </c>
      <c r="D28" s="17">
        <v>4</v>
      </c>
      <c r="E28" s="17">
        <v>5</v>
      </c>
    </row>
    <row r="29" spans="1:5" x14ac:dyDescent="0.3">
      <c r="A29" s="17" t="s">
        <v>1</v>
      </c>
      <c r="B29" s="17" t="s">
        <v>107</v>
      </c>
      <c r="C29" s="17">
        <v>4</v>
      </c>
      <c r="D29" s="17">
        <v>4</v>
      </c>
      <c r="E29" s="17">
        <v>4</v>
      </c>
    </row>
    <row r="30" spans="1:5" x14ac:dyDescent="0.3">
      <c r="A30" s="17" t="s">
        <v>1</v>
      </c>
      <c r="B30" s="17" t="s">
        <v>200</v>
      </c>
      <c r="C30" s="17">
        <v>5</v>
      </c>
      <c r="D30" s="17">
        <v>4</v>
      </c>
      <c r="E30" s="17">
        <v>8</v>
      </c>
    </row>
    <row r="31" spans="1:5" x14ac:dyDescent="0.3">
      <c r="A31" s="17" t="s">
        <v>1</v>
      </c>
      <c r="B31" s="17" t="s">
        <v>124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126</v>
      </c>
      <c r="C32" s="17">
        <v>4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192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194</v>
      </c>
      <c r="C34" s="17">
        <v>5</v>
      </c>
      <c r="D34" s="17">
        <v>4</v>
      </c>
      <c r="E34" s="17">
        <v>5</v>
      </c>
    </row>
    <row r="35" spans="1:5" x14ac:dyDescent="0.3">
      <c r="A35" s="17" t="s">
        <v>0</v>
      </c>
      <c r="B35" s="17" t="s">
        <v>40</v>
      </c>
      <c r="C35" s="17">
        <v>5</v>
      </c>
      <c r="D35" s="17">
        <v>4</v>
      </c>
      <c r="E35" s="17">
        <v>5</v>
      </c>
    </row>
    <row r="36" spans="1:5" x14ac:dyDescent="0.3">
      <c r="A36" s="17" t="s">
        <v>0</v>
      </c>
      <c r="B36" s="17" t="s">
        <v>365</v>
      </c>
      <c r="C36" s="17">
        <v>4</v>
      </c>
      <c r="D36" s="17">
        <v>4</v>
      </c>
      <c r="E36" s="17">
        <v>4</v>
      </c>
    </row>
    <row r="37" spans="1:5" x14ac:dyDescent="0.3">
      <c r="A37" s="17" t="s">
        <v>0</v>
      </c>
      <c r="B37" s="17" t="s">
        <v>1927</v>
      </c>
      <c r="C37" s="17">
        <v>4</v>
      </c>
      <c r="D37" s="17">
        <v>4</v>
      </c>
      <c r="E37" s="17">
        <v>5</v>
      </c>
    </row>
    <row r="38" spans="1:5" x14ac:dyDescent="0.3">
      <c r="A38" s="17" t="s">
        <v>0</v>
      </c>
      <c r="B38" s="17" t="s">
        <v>2075</v>
      </c>
      <c r="C38" s="17">
        <v>4</v>
      </c>
      <c r="D38" s="17">
        <v>4</v>
      </c>
      <c r="E38" s="17">
        <v>4</v>
      </c>
    </row>
    <row r="39" spans="1:5" x14ac:dyDescent="0.3">
      <c r="A39" s="17" t="s">
        <v>0</v>
      </c>
      <c r="B39" s="17" t="s">
        <v>122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36</v>
      </c>
      <c r="C40" s="17">
        <v>3</v>
      </c>
      <c r="D40" s="17">
        <v>3</v>
      </c>
      <c r="E40" s="17">
        <v>5</v>
      </c>
    </row>
    <row r="41" spans="1:5" x14ac:dyDescent="0.3">
      <c r="A41" s="17" t="s">
        <v>1</v>
      </c>
      <c r="B41" s="17" t="s">
        <v>33</v>
      </c>
      <c r="C41" s="17">
        <v>3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213</v>
      </c>
      <c r="C42" s="17">
        <v>3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215</v>
      </c>
      <c r="C43" s="17">
        <v>3</v>
      </c>
      <c r="D43" s="17">
        <v>3</v>
      </c>
      <c r="E43" s="17">
        <v>4</v>
      </c>
    </row>
    <row r="44" spans="1:5" x14ac:dyDescent="0.3">
      <c r="A44" s="17" t="s">
        <v>1</v>
      </c>
      <c r="B44" s="17" t="s">
        <v>61</v>
      </c>
      <c r="C44" s="17">
        <v>4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1897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1927</v>
      </c>
      <c r="C46" s="17">
        <v>4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2572</v>
      </c>
      <c r="C47" s="17">
        <v>7</v>
      </c>
      <c r="D47" s="17">
        <v>3</v>
      </c>
      <c r="E47" s="17">
        <v>8</v>
      </c>
    </row>
    <row r="48" spans="1:5" x14ac:dyDescent="0.3">
      <c r="A48" s="17" t="s">
        <v>1</v>
      </c>
      <c r="B48" s="17" t="s">
        <v>265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403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111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746</v>
      </c>
      <c r="C51" s="17">
        <v>4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135</v>
      </c>
      <c r="C52" s="17">
        <v>6</v>
      </c>
      <c r="D52" s="17">
        <v>3</v>
      </c>
      <c r="E52" s="17">
        <v>9</v>
      </c>
    </row>
    <row r="53" spans="1:5" x14ac:dyDescent="0.3">
      <c r="A53" s="17" t="s">
        <v>1</v>
      </c>
      <c r="B53" s="17" t="s">
        <v>2104</v>
      </c>
      <c r="C53" s="17">
        <v>3</v>
      </c>
      <c r="D53" s="17">
        <v>6</v>
      </c>
      <c r="E53" s="17"/>
    </row>
    <row r="54" spans="1:5" x14ac:dyDescent="0.3">
      <c r="A54" s="17" t="s">
        <v>0</v>
      </c>
      <c r="B54" s="17" t="s">
        <v>34</v>
      </c>
      <c r="C54" s="17">
        <v>4</v>
      </c>
      <c r="D54" s="17">
        <v>3</v>
      </c>
      <c r="E54" s="17">
        <v>7</v>
      </c>
    </row>
    <row r="55" spans="1:5" x14ac:dyDescent="0.3">
      <c r="A55" s="17" t="s">
        <v>0</v>
      </c>
      <c r="B55" s="17" t="s">
        <v>61</v>
      </c>
      <c r="C55" s="17">
        <v>4</v>
      </c>
      <c r="D55" s="17">
        <v>3</v>
      </c>
      <c r="E55" s="17">
        <v>5</v>
      </c>
    </row>
    <row r="56" spans="1:5" x14ac:dyDescent="0.3">
      <c r="A56" s="17" t="s">
        <v>0</v>
      </c>
      <c r="B56" s="17" t="s">
        <v>2572</v>
      </c>
      <c r="C56" s="17">
        <v>5</v>
      </c>
      <c r="D56" s="17">
        <v>3</v>
      </c>
      <c r="E56" s="17">
        <v>7</v>
      </c>
    </row>
    <row r="57" spans="1:5" x14ac:dyDescent="0.3">
      <c r="A57" s="17" t="s">
        <v>0</v>
      </c>
      <c r="B57" s="17" t="s">
        <v>51</v>
      </c>
      <c r="C57" s="17">
        <v>3</v>
      </c>
      <c r="D57" s="17">
        <v>3</v>
      </c>
      <c r="E57" s="17">
        <v>3</v>
      </c>
    </row>
    <row r="58" spans="1:5" x14ac:dyDescent="0.3">
      <c r="A58" s="17" t="s">
        <v>0</v>
      </c>
      <c r="B58" s="17" t="s">
        <v>120</v>
      </c>
      <c r="C58" s="17">
        <v>3</v>
      </c>
      <c r="D58" s="17">
        <v>3</v>
      </c>
      <c r="E58" s="17">
        <v>4</v>
      </c>
    </row>
    <row r="59" spans="1:5" x14ac:dyDescent="0.3">
      <c r="A59" s="17" t="s">
        <v>0</v>
      </c>
      <c r="B59" s="17" t="s">
        <v>200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182</v>
      </c>
      <c r="C60" s="17">
        <v>3</v>
      </c>
      <c r="D60" s="17">
        <v>3</v>
      </c>
      <c r="E60" s="17">
        <v>4</v>
      </c>
    </row>
    <row r="61" spans="1:5" x14ac:dyDescent="0.3">
      <c r="A61" s="17" t="s">
        <v>2</v>
      </c>
      <c r="B61" s="17" t="s">
        <v>2075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144</v>
      </c>
      <c r="C62" s="17">
        <v>4</v>
      </c>
      <c r="D62" s="17">
        <v>2</v>
      </c>
      <c r="E62" s="17">
        <v>4</v>
      </c>
    </row>
    <row r="63" spans="1:5" x14ac:dyDescent="0.3">
      <c r="A63" s="17" t="s">
        <v>1</v>
      </c>
      <c r="B63" s="17" t="s">
        <v>273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79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40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83</v>
      </c>
      <c r="C66" s="17">
        <v>2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85</v>
      </c>
      <c r="C67" s="17">
        <v>8</v>
      </c>
      <c r="D67" s="17">
        <v>2</v>
      </c>
      <c r="E67" s="17">
        <v>10</v>
      </c>
    </row>
    <row r="68" spans="1:5" x14ac:dyDescent="0.3">
      <c r="A68" s="17" t="s">
        <v>1</v>
      </c>
      <c r="B68" s="17" t="s">
        <v>519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89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221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1854</v>
      </c>
      <c r="C71" s="17">
        <v>3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2395</v>
      </c>
      <c r="C72" s="17">
        <v>8</v>
      </c>
      <c r="D72" s="17">
        <v>2</v>
      </c>
      <c r="E72" s="17">
        <v>8</v>
      </c>
    </row>
    <row r="73" spans="1:5" x14ac:dyDescent="0.3">
      <c r="A73" s="17" t="s">
        <v>1</v>
      </c>
      <c r="B73" s="17" t="s">
        <v>2429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2616</v>
      </c>
      <c r="C74" s="17">
        <v>3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527</v>
      </c>
      <c r="C75" s="17">
        <v>2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165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168</v>
      </c>
      <c r="C77" s="17">
        <v>2</v>
      </c>
      <c r="D77" s="17">
        <v>2</v>
      </c>
      <c r="E77" s="17">
        <v>4</v>
      </c>
    </row>
    <row r="78" spans="1:5" x14ac:dyDescent="0.3">
      <c r="A78" s="17" t="s">
        <v>1</v>
      </c>
      <c r="B78" s="17" t="s">
        <v>1443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199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406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1393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649</v>
      </c>
      <c r="C82" s="17">
        <v>2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171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112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289</v>
      </c>
      <c r="C85" s="17">
        <v>2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291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326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328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539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115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297</v>
      </c>
      <c r="C91" s="17">
        <v>2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370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1292</v>
      </c>
      <c r="C93" s="17">
        <v>3</v>
      </c>
      <c r="D93" s="17">
        <v>2</v>
      </c>
      <c r="E93" s="17">
        <v>4</v>
      </c>
    </row>
    <row r="94" spans="1:5" x14ac:dyDescent="0.3">
      <c r="A94" s="17" t="s">
        <v>1</v>
      </c>
      <c r="B94" s="17" t="s">
        <v>116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176</v>
      </c>
      <c r="C95" s="17">
        <v>4</v>
      </c>
      <c r="D95" s="17">
        <v>2</v>
      </c>
      <c r="E95" s="17">
        <v>4</v>
      </c>
    </row>
    <row r="96" spans="1:5" x14ac:dyDescent="0.3">
      <c r="A96" s="17" t="s">
        <v>1</v>
      </c>
      <c r="B96" s="17" t="s">
        <v>120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662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123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890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63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1042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131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500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195</v>
      </c>
      <c r="C104" s="17">
        <v>7</v>
      </c>
      <c r="D104" s="17">
        <v>2</v>
      </c>
      <c r="E104" s="17">
        <v>8</v>
      </c>
    </row>
    <row r="105" spans="1:5" x14ac:dyDescent="0.3">
      <c r="A105" s="17" t="s">
        <v>1</v>
      </c>
      <c r="B105" s="17" t="s">
        <v>237</v>
      </c>
      <c r="C105" s="17">
        <v>4</v>
      </c>
      <c r="D105" s="17">
        <v>2</v>
      </c>
      <c r="E105" s="17">
        <v>8</v>
      </c>
    </row>
    <row r="106" spans="1:5" x14ac:dyDescent="0.3">
      <c r="A106" s="17" t="s">
        <v>1</v>
      </c>
      <c r="B106" s="17" t="s">
        <v>55</v>
      </c>
      <c r="C106" s="17">
        <v>5</v>
      </c>
      <c r="D106" s="17">
        <v>2</v>
      </c>
      <c r="E106" s="17">
        <v>7</v>
      </c>
    </row>
    <row r="107" spans="1:5" x14ac:dyDescent="0.3">
      <c r="A107" s="17" t="s">
        <v>1</v>
      </c>
      <c r="B107" s="17" t="s">
        <v>1276</v>
      </c>
      <c r="C107" s="17">
        <v>2</v>
      </c>
      <c r="D107" s="17">
        <v>4</v>
      </c>
      <c r="E107" s="17"/>
    </row>
    <row r="108" spans="1:5" x14ac:dyDescent="0.3">
      <c r="A108" s="17" t="s">
        <v>1</v>
      </c>
      <c r="B108" s="17" t="s">
        <v>1302</v>
      </c>
      <c r="C108" s="17">
        <v>2</v>
      </c>
      <c r="D108" s="17">
        <v>2</v>
      </c>
      <c r="E108" s="17">
        <v>9</v>
      </c>
    </row>
    <row r="109" spans="1:5" x14ac:dyDescent="0.3">
      <c r="A109" s="17" t="s">
        <v>0</v>
      </c>
      <c r="B109" s="17" t="s">
        <v>247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82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149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2396</v>
      </c>
      <c r="C112" s="17">
        <v>4</v>
      </c>
      <c r="D112" s="17">
        <v>2</v>
      </c>
      <c r="E112" s="17">
        <v>4</v>
      </c>
    </row>
    <row r="113" spans="1:5" x14ac:dyDescent="0.3">
      <c r="A113" s="17" t="s">
        <v>0</v>
      </c>
      <c r="B113" s="17" t="s">
        <v>35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265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0</v>
      </c>
      <c r="B115" s="17" t="s">
        <v>163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105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199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326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727</v>
      </c>
      <c r="C119" s="17">
        <v>2</v>
      </c>
      <c r="D119" s="17">
        <v>2</v>
      </c>
      <c r="E119" s="17">
        <v>3</v>
      </c>
    </row>
    <row r="120" spans="1:5" x14ac:dyDescent="0.3">
      <c r="A120" s="17" t="s">
        <v>0</v>
      </c>
      <c r="B120" s="17" t="s">
        <v>468</v>
      </c>
      <c r="C120" s="17">
        <v>2</v>
      </c>
      <c r="D120" s="17">
        <v>2</v>
      </c>
      <c r="E120" s="17">
        <v>3</v>
      </c>
    </row>
    <row r="121" spans="1:5" x14ac:dyDescent="0.3">
      <c r="A121" s="17" t="s">
        <v>0</v>
      </c>
      <c r="B121" s="17" t="s">
        <v>681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305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195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376</v>
      </c>
      <c r="C124" s="17">
        <v>3</v>
      </c>
      <c r="D124" s="17">
        <v>2</v>
      </c>
      <c r="E124" s="17">
        <v>3</v>
      </c>
    </row>
    <row r="125" spans="1:5" x14ac:dyDescent="0.3">
      <c r="A125" s="17" t="s">
        <v>0</v>
      </c>
      <c r="B125" s="17" t="s">
        <v>1213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1</v>
      </c>
      <c r="B126" s="17" t="s">
        <v>984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140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502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2084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243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311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2066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578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269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1333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704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764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613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383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3134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793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855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208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835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1387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78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461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147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517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1337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247</v>
      </c>
      <c r="C151" s="17">
        <v>3</v>
      </c>
      <c r="D151" s="17">
        <v>1</v>
      </c>
      <c r="E151" s="17">
        <v>3</v>
      </c>
    </row>
    <row r="152" spans="1:5" x14ac:dyDescent="0.3">
      <c r="A152" s="17" t="s">
        <v>1</v>
      </c>
      <c r="B152" s="17" t="s">
        <v>907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859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1051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82</v>
      </c>
      <c r="C155" s="17">
        <v>3</v>
      </c>
      <c r="D155" s="17">
        <v>1</v>
      </c>
      <c r="E155" s="17">
        <v>4</v>
      </c>
    </row>
    <row r="156" spans="1:5" x14ac:dyDescent="0.3">
      <c r="A156" s="17" t="s">
        <v>1</v>
      </c>
      <c r="B156" s="17" t="s">
        <v>1314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267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1982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708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315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279</v>
      </c>
      <c r="C161" s="17">
        <v>3</v>
      </c>
      <c r="D161" s="17">
        <v>1</v>
      </c>
      <c r="E161" s="17">
        <v>3</v>
      </c>
    </row>
    <row r="162" spans="1:5" x14ac:dyDescent="0.3">
      <c r="A162" s="17" t="s">
        <v>1</v>
      </c>
      <c r="B162" s="17" t="s">
        <v>86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1090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280</v>
      </c>
      <c r="C164" s="17">
        <v>3</v>
      </c>
      <c r="D164" s="17">
        <v>1</v>
      </c>
      <c r="E164" s="17">
        <v>3</v>
      </c>
    </row>
    <row r="165" spans="1:5" x14ac:dyDescent="0.3">
      <c r="A165" s="17" t="s">
        <v>1</v>
      </c>
      <c r="B165" s="17" t="s">
        <v>938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149</v>
      </c>
      <c r="C166" s="17">
        <v>1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1102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151</v>
      </c>
      <c r="C168" s="17">
        <v>2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480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1218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362</v>
      </c>
      <c r="C171" s="17">
        <v>2</v>
      </c>
      <c r="D171" s="17">
        <v>1</v>
      </c>
      <c r="E171" s="17">
        <v>3</v>
      </c>
    </row>
    <row r="172" spans="1:5" x14ac:dyDescent="0.3">
      <c r="A172" s="17" t="s">
        <v>1</v>
      </c>
      <c r="B172" s="17" t="s">
        <v>1317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219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1257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638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639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941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364</v>
      </c>
      <c r="C178" s="17">
        <v>2</v>
      </c>
      <c r="D178" s="17">
        <v>1</v>
      </c>
      <c r="E178" s="17">
        <v>3</v>
      </c>
    </row>
    <row r="179" spans="1:5" x14ac:dyDescent="0.3">
      <c r="A179" s="17" t="s">
        <v>1</v>
      </c>
      <c r="B179" s="17" t="s">
        <v>41</v>
      </c>
      <c r="C179" s="17">
        <v>2</v>
      </c>
      <c r="D179" s="17">
        <v>1</v>
      </c>
      <c r="E179" s="17">
        <v>3</v>
      </c>
    </row>
    <row r="180" spans="1:5" x14ac:dyDescent="0.3">
      <c r="A180" s="17" t="s">
        <v>1</v>
      </c>
      <c r="B180" s="17" t="s">
        <v>3135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802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157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95</v>
      </c>
      <c r="C183" s="17">
        <v>2</v>
      </c>
      <c r="D183" s="17">
        <v>1</v>
      </c>
      <c r="E183" s="17">
        <v>3</v>
      </c>
    </row>
    <row r="184" spans="1:5" x14ac:dyDescent="0.3">
      <c r="A184" s="17" t="s">
        <v>1</v>
      </c>
      <c r="B184" s="17" t="s">
        <v>96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487</v>
      </c>
      <c r="C185" s="17">
        <v>5</v>
      </c>
      <c r="D185" s="17">
        <v>1</v>
      </c>
      <c r="E185" s="17">
        <v>7</v>
      </c>
    </row>
    <row r="186" spans="1:5" x14ac:dyDescent="0.3">
      <c r="A186" s="17" t="s">
        <v>1</v>
      </c>
      <c r="B186" s="17" t="s">
        <v>1518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1773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1775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1946</v>
      </c>
      <c r="C189" s="17">
        <v>2</v>
      </c>
      <c r="D189" s="17">
        <v>1</v>
      </c>
      <c r="E189" s="17">
        <v>4</v>
      </c>
    </row>
    <row r="190" spans="1:5" x14ac:dyDescent="0.3">
      <c r="A190" s="17" t="s">
        <v>1</v>
      </c>
      <c r="B190" s="17" t="s">
        <v>2329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2493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2399</v>
      </c>
      <c r="C192" s="17">
        <v>5</v>
      </c>
      <c r="D192" s="17">
        <v>1</v>
      </c>
      <c r="E192" s="17">
        <v>4</v>
      </c>
    </row>
    <row r="193" spans="1:5" x14ac:dyDescent="0.3">
      <c r="A193" s="17" t="s">
        <v>1</v>
      </c>
      <c r="B193" s="17" t="s">
        <v>158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282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867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1428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526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2405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35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2138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945</v>
      </c>
      <c r="C201" s="17">
        <v>4</v>
      </c>
      <c r="D201" s="17">
        <v>1</v>
      </c>
      <c r="E201" s="17">
        <v>4</v>
      </c>
    </row>
    <row r="202" spans="1:5" x14ac:dyDescent="0.3">
      <c r="A202" s="17" t="s">
        <v>1</v>
      </c>
      <c r="B202" s="17" t="s">
        <v>1479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101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3136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840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911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352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1146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3137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105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1129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1372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1168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947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1182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2064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3138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1715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1130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1288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442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1698</v>
      </c>
      <c r="C222" s="17">
        <v>1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109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646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2809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3139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169</v>
      </c>
      <c r="C227" s="17">
        <v>3</v>
      </c>
      <c r="D227" s="17">
        <v>1</v>
      </c>
      <c r="E227" s="17">
        <v>2</v>
      </c>
    </row>
    <row r="228" spans="1:5" x14ac:dyDescent="0.3">
      <c r="A228" s="17" t="s">
        <v>1</v>
      </c>
      <c r="B228" s="17" t="s">
        <v>3140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226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407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3141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1580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1959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1074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409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2220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2223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2225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1680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1226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175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876</v>
      </c>
      <c r="C242" s="17">
        <v>2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3142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1602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3143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877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680</v>
      </c>
      <c r="C247" s="17">
        <v>1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1196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327</v>
      </c>
      <c r="C249" s="17">
        <v>1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45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1094</v>
      </c>
      <c r="C251" s="17">
        <v>1</v>
      </c>
      <c r="D251" s="17">
        <v>1</v>
      </c>
      <c r="E251" s="17">
        <v>4</v>
      </c>
    </row>
    <row r="252" spans="1:5" x14ac:dyDescent="0.3">
      <c r="A252" s="17" t="s">
        <v>1</v>
      </c>
      <c r="B252" s="17" t="s">
        <v>3144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330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292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331</v>
      </c>
      <c r="C255" s="17">
        <v>1</v>
      </c>
      <c r="D255" s="17">
        <v>1</v>
      </c>
      <c r="E255" s="17">
        <v>2</v>
      </c>
    </row>
    <row r="256" spans="1:5" x14ac:dyDescent="0.3">
      <c r="A256" s="17" t="s">
        <v>1</v>
      </c>
      <c r="B256" s="17" t="s">
        <v>726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727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3145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3146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1726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2747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334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336</v>
      </c>
      <c r="C263" s="17">
        <v>2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2390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810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117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681</v>
      </c>
      <c r="C267" s="17">
        <v>2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1188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1672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340</v>
      </c>
      <c r="C270" s="17">
        <v>2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1161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448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1095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342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2366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661</v>
      </c>
      <c r="C276" s="17">
        <v>2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343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122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695</v>
      </c>
      <c r="C279" s="17">
        <v>2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125</v>
      </c>
      <c r="C280" s="17">
        <v>1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178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1779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179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1767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556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1813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301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1265</v>
      </c>
      <c r="C288" s="17">
        <v>1</v>
      </c>
      <c r="D288" s="17">
        <v>1</v>
      </c>
      <c r="E288" s="17">
        <v>3</v>
      </c>
    </row>
    <row r="289" spans="1:5" x14ac:dyDescent="0.3">
      <c r="A289" s="17" t="s">
        <v>1</v>
      </c>
      <c r="B289" s="17" t="s">
        <v>703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664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1422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2383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1021</v>
      </c>
      <c r="C293" s="17">
        <v>2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748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897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749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348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561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185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1356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429</v>
      </c>
      <c r="C301" s="17">
        <v>2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233</v>
      </c>
      <c r="C302" s="17">
        <v>2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350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2897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2349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496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1604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2592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189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1577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201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752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133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453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920</v>
      </c>
      <c r="C315" s="17">
        <v>2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498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38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564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3147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3148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234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1238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842</v>
      </c>
      <c r="C323" s="17">
        <v>2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306</v>
      </c>
      <c r="C324" s="17">
        <v>2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3149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67</v>
      </c>
      <c r="C326" s="17">
        <v>3</v>
      </c>
      <c r="D326" s="17">
        <v>1</v>
      </c>
      <c r="E326" s="17">
        <v>7</v>
      </c>
    </row>
    <row r="327" spans="1:5" x14ac:dyDescent="0.3">
      <c r="A327" s="17" t="s">
        <v>1</v>
      </c>
      <c r="B327" s="17" t="s">
        <v>68</v>
      </c>
      <c r="C327" s="17">
        <v>4</v>
      </c>
      <c r="D327" s="17">
        <v>1</v>
      </c>
      <c r="E327" s="17">
        <v>8</v>
      </c>
    </row>
    <row r="328" spans="1:5" x14ac:dyDescent="0.3">
      <c r="A328" s="17" t="s">
        <v>1</v>
      </c>
      <c r="B328" s="17" t="s">
        <v>39</v>
      </c>
      <c r="C328" s="17">
        <v>6</v>
      </c>
      <c r="D328" s="17">
        <v>1</v>
      </c>
      <c r="E328" s="17">
        <v>15</v>
      </c>
    </row>
    <row r="329" spans="1:5" x14ac:dyDescent="0.3">
      <c r="A329" s="17" t="s">
        <v>1</v>
      </c>
      <c r="B329" s="17" t="s">
        <v>377</v>
      </c>
      <c r="C329" s="17">
        <v>4</v>
      </c>
      <c r="D329" s="17">
        <v>1</v>
      </c>
      <c r="E329" s="17">
        <v>4</v>
      </c>
    </row>
    <row r="330" spans="1:5" x14ac:dyDescent="0.3">
      <c r="A330" s="17" t="s">
        <v>1</v>
      </c>
      <c r="B330" s="17" t="s">
        <v>3150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3151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3152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3153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3154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3155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3156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3157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2385</v>
      </c>
      <c r="C338" s="17">
        <v>1</v>
      </c>
      <c r="D338" s="17">
        <v>1</v>
      </c>
      <c r="E338" s="17"/>
    </row>
    <row r="339" spans="1:5" x14ac:dyDescent="0.3">
      <c r="A339" s="17" t="s">
        <v>1</v>
      </c>
      <c r="B339" s="17" t="s">
        <v>3158</v>
      </c>
      <c r="C339" s="17">
        <v>1</v>
      </c>
      <c r="D339" s="17">
        <v>1</v>
      </c>
      <c r="E339" s="17"/>
    </row>
    <row r="340" spans="1:5" x14ac:dyDescent="0.3">
      <c r="A340" s="17" t="s">
        <v>1</v>
      </c>
      <c r="B340" s="17" t="s">
        <v>3159</v>
      </c>
      <c r="C340" s="17">
        <v>1</v>
      </c>
      <c r="D340" s="17">
        <v>1</v>
      </c>
      <c r="E340" s="17"/>
    </row>
    <row r="341" spans="1:5" x14ac:dyDescent="0.3">
      <c r="A341" s="17" t="s">
        <v>1</v>
      </c>
      <c r="B341" s="17" t="s">
        <v>3160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3161</v>
      </c>
      <c r="C342" s="17">
        <v>1</v>
      </c>
      <c r="D342" s="17">
        <v>1</v>
      </c>
      <c r="E342" s="17"/>
    </row>
    <row r="343" spans="1:5" x14ac:dyDescent="0.3">
      <c r="A343" s="17" t="s">
        <v>1</v>
      </c>
      <c r="B343" s="17" t="s">
        <v>3162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3163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3164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3165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3166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3167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3168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3169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3170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3171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2877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3089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3172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2057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3173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3174</v>
      </c>
      <c r="C358" s="17">
        <v>1</v>
      </c>
      <c r="D358" s="17">
        <v>1</v>
      </c>
      <c r="E358" s="17"/>
    </row>
    <row r="359" spans="1:5" x14ac:dyDescent="0.3">
      <c r="A359" s="17" t="s">
        <v>1</v>
      </c>
      <c r="B359" s="17" t="s">
        <v>266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3175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3176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3177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3178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3179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3180</v>
      </c>
      <c r="C365" s="17">
        <v>1</v>
      </c>
      <c r="D365" s="17">
        <v>1</v>
      </c>
      <c r="E365" s="17"/>
    </row>
    <row r="366" spans="1:5" x14ac:dyDescent="0.3">
      <c r="A366" s="17" t="s">
        <v>1</v>
      </c>
      <c r="B366" s="17" t="s">
        <v>3181</v>
      </c>
      <c r="C366" s="17">
        <v>1</v>
      </c>
      <c r="D366" s="17">
        <v>1</v>
      </c>
      <c r="E366" s="17"/>
    </row>
    <row r="367" spans="1:5" x14ac:dyDescent="0.3">
      <c r="A367" s="17" t="s">
        <v>1</v>
      </c>
      <c r="B367" s="17" t="s">
        <v>3182</v>
      </c>
      <c r="C367" s="17">
        <v>1</v>
      </c>
      <c r="D367" s="17">
        <v>1</v>
      </c>
      <c r="E367" s="17"/>
    </row>
    <row r="368" spans="1:5" x14ac:dyDescent="0.3">
      <c r="A368" s="17" t="s">
        <v>1</v>
      </c>
      <c r="B368" s="17" t="s">
        <v>3183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2607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3096</v>
      </c>
      <c r="C370" s="17">
        <v>1</v>
      </c>
      <c r="D370" s="17">
        <v>1</v>
      </c>
      <c r="E370" s="17"/>
    </row>
    <row r="371" spans="1:5" x14ac:dyDescent="0.3">
      <c r="A371" s="17" t="s">
        <v>1</v>
      </c>
      <c r="B371" s="17" t="s">
        <v>2027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3184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3185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3186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3098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3187</v>
      </c>
      <c r="C376" s="17">
        <v>1</v>
      </c>
      <c r="D376" s="17">
        <v>1</v>
      </c>
      <c r="E376" s="17"/>
    </row>
    <row r="377" spans="1:5" x14ac:dyDescent="0.3">
      <c r="A377" s="17" t="s">
        <v>1</v>
      </c>
      <c r="B377" s="17" t="s">
        <v>3188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1909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3189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3190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3191</v>
      </c>
      <c r="C381" s="17">
        <v>1</v>
      </c>
      <c r="D381" s="17">
        <v>1</v>
      </c>
      <c r="E381" s="17"/>
    </row>
    <row r="382" spans="1:5" x14ac:dyDescent="0.3">
      <c r="A382" s="17" t="s">
        <v>1</v>
      </c>
      <c r="B382" s="17" t="s">
        <v>3192</v>
      </c>
      <c r="C382" s="17">
        <v>1</v>
      </c>
      <c r="D382" s="17">
        <v>1</v>
      </c>
      <c r="E382" s="17"/>
    </row>
    <row r="383" spans="1:5" x14ac:dyDescent="0.3">
      <c r="A383" s="17" t="s">
        <v>1</v>
      </c>
      <c r="B383" s="17" t="s">
        <v>3193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3194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2304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674</v>
      </c>
      <c r="C386" s="17">
        <v>1</v>
      </c>
      <c r="D386" s="17">
        <v>2</v>
      </c>
      <c r="E386" s="17"/>
    </row>
    <row r="387" spans="1:5" x14ac:dyDescent="0.3">
      <c r="A387" s="17" t="s">
        <v>1</v>
      </c>
      <c r="B387" s="17" t="s">
        <v>3195</v>
      </c>
      <c r="C387" s="17">
        <v>1</v>
      </c>
      <c r="D387" s="17">
        <v>1</v>
      </c>
      <c r="E387" s="17"/>
    </row>
    <row r="388" spans="1:5" x14ac:dyDescent="0.3">
      <c r="A388" s="17" t="s">
        <v>1</v>
      </c>
      <c r="B388" s="17" t="s">
        <v>3196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3197</v>
      </c>
      <c r="C389" s="17">
        <v>1</v>
      </c>
      <c r="D389" s="17">
        <v>1</v>
      </c>
      <c r="E389" s="17"/>
    </row>
    <row r="390" spans="1:5" x14ac:dyDescent="0.3">
      <c r="A390" s="17" t="s">
        <v>1</v>
      </c>
      <c r="B390" s="17" t="s">
        <v>3198</v>
      </c>
      <c r="C390" s="17">
        <v>1</v>
      </c>
      <c r="D390" s="17">
        <v>1</v>
      </c>
      <c r="E390" s="17"/>
    </row>
    <row r="391" spans="1:5" x14ac:dyDescent="0.3">
      <c r="A391" s="17" t="s">
        <v>1</v>
      </c>
      <c r="B391" s="17" t="s">
        <v>3199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3200</v>
      </c>
      <c r="C392" s="17">
        <v>1</v>
      </c>
      <c r="D392" s="17">
        <v>1</v>
      </c>
      <c r="E392" s="17"/>
    </row>
    <row r="393" spans="1:5" x14ac:dyDescent="0.3">
      <c r="A393" s="17" t="s">
        <v>1</v>
      </c>
      <c r="B393" s="17" t="s">
        <v>3201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3202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3055</v>
      </c>
      <c r="C395" s="17">
        <v>1</v>
      </c>
      <c r="D395" s="17">
        <v>1</v>
      </c>
      <c r="E395" s="17"/>
    </row>
    <row r="396" spans="1:5" x14ac:dyDescent="0.3">
      <c r="A396" s="17" t="s">
        <v>1</v>
      </c>
      <c r="B396" s="17" t="s">
        <v>2352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3203</v>
      </c>
      <c r="C397" s="17">
        <v>1</v>
      </c>
      <c r="D397" s="17">
        <v>1</v>
      </c>
      <c r="E397" s="17"/>
    </row>
    <row r="398" spans="1:5" x14ac:dyDescent="0.3">
      <c r="A398" s="17" t="s">
        <v>1</v>
      </c>
      <c r="B398" s="17" t="s">
        <v>2164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3204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3205</v>
      </c>
      <c r="C400" s="17">
        <v>1</v>
      </c>
      <c r="D400" s="17">
        <v>1</v>
      </c>
      <c r="E400" s="17"/>
    </row>
    <row r="401" spans="1:5" x14ac:dyDescent="0.3">
      <c r="A401" s="17" t="s">
        <v>1</v>
      </c>
      <c r="B401" s="17" t="s">
        <v>3206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3207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3208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3209</v>
      </c>
      <c r="C404" s="17">
        <v>1</v>
      </c>
      <c r="D404" s="17">
        <v>1</v>
      </c>
      <c r="E404" s="17"/>
    </row>
    <row r="405" spans="1:5" x14ac:dyDescent="0.3">
      <c r="A405" s="17" t="s">
        <v>1</v>
      </c>
      <c r="B405" s="17" t="s">
        <v>1532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3210</v>
      </c>
      <c r="C406" s="17">
        <v>1</v>
      </c>
      <c r="D406" s="17">
        <v>1</v>
      </c>
      <c r="E406" s="17"/>
    </row>
    <row r="407" spans="1:5" x14ac:dyDescent="0.3">
      <c r="A407" s="17" t="s">
        <v>1</v>
      </c>
      <c r="B407" s="17" t="s">
        <v>3211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1</v>
      </c>
      <c r="B408" s="17" t="s">
        <v>3212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3213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1</v>
      </c>
      <c r="B410" s="17" t="s">
        <v>3214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1</v>
      </c>
      <c r="B411" s="17" t="s">
        <v>3215</v>
      </c>
      <c r="C411" s="17">
        <v>1</v>
      </c>
      <c r="D411" s="17">
        <v>1</v>
      </c>
      <c r="E411" s="17"/>
    </row>
    <row r="412" spans="1:5" x14ac:dyDescent="0.3">
      <c r="A412" s="17" t="s">
        <v>1</v>
      </c>
      <c r="B412" s="17" t="s">
        <v>3216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1</v>
      </c>
      <c r="B413" s="17" t="s">
        <v>3104</v>
      </c>
      <c r="C413" s="17">
        <v>1</v>
      </c>
      <c r="D413" s="17">
        <v>1</v>
      </c>
      <c r="E413" s="17"/>
    </row>
    <row r="414" spans="1:5" x14ac:dyDescent="0.3">
      <c r="A414" s="17" t="s">
        <v>1</v>
      </c>
      <c r="B414" s="17" t="s">
        <v>850</v>
      </c>
      <c r="C414" s="17">
        <v>2</v>
      </c>
      <c r="D414" s="17">
        <v>1</v>
      </c>
      <c r="E414" s="17">
        <v>3</v>
      </c>
    </row>
    <row r="415" spans="1:5" x14ac:dyDescent="0.3">
      <c r="A415" s="17" t="s">
        <v>1</v>
      </c>
      <c r="B415" s="17" t="s">
        <v>3105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1</v>
      </c>
      <c r="B416" s="17" t="s">
        <v>3217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1</v>
      </c>
      <c r="B417" s="17" t="s">
        <v>1913</v>
      </c>
      <c r="C417" s="17">
        <v>1</v>
      </c>
      <c r="D417" s="17">
        <v>2</v>
      </c>
      <c r="E417" s="17"/>
    </row>
    <row r="418" spans="1:5" x14ac:dyDescent="0.3">
      <c r="A418" s="17" t="s">
        <v>1</v>
      </c>
      <c r="B418" s="17" t="s">
        <v>3218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1</v>
      </c>
      <c r="B419" s="17" t="s">
        <v>3219</v>
      </c>
      <c r="C419" s="17">
        <v>1</v>
      </c>
      <c r="D419" s="17">
        <v>1</v>
      </c>
      <c r="E419" s="17"/>
    </row>
    <row r="420" spans="1:5" x14ac:dyDescent="0.3">
      <c r="A420" s="17" t="s">
        <v>1</v>
      </c>
      <c r="B420" s="17" t="s">
        <v>3220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1</v>
      </c>
      <c r="B421" s="17" t="s">
        <v>3221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1</v>
      </c>
      <c r="B422" s="17" t="s">
        <v>3222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1</v>
      </c>
      <c r="B423" s="17" t="s">
        <v>1138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1</v>
      </c>
      <c r="B424" s="17" t="s">
        <v>3223</v>
      </c>
      <c r="C424" s="17">
        <v>1</v>
      </c>
      <c r="D424" s="17">
        <v>1</v>
      </c>
      <c r="E424" s="17"/>
    </row>
    <row r="425" spans="1:5" x14ac:dyDescent="0.3">
      <c r="A425" s="17" t="s">
        <v>1</v>
      </c>
      <c r="B425" s="17" t="s">
        <v>3224</v>
      </c>
      <c r="C425" s="17">
        <v>1</v>
      </c>
      <c r="D425" s="17">
        <v>1</v>
      </c>
      <c r="E425" s="17"/>
    </row>
    <row r="426" spans="1:5" x14ac:dyDescent="0.3">
      <c r="A426" s="17" t="s">
        <v>1</v>
      </c>
      <c r="B426" s="17" t="s">
        <v>1598</v>
      </c>
      <c r="C426" s="17">
        <v>1</v>
      </c>
      <c r="D426" s="17">
        <v>1</v>
      </c>
      <c r="E426" s="17"/>
    </row>
    <row r="427" spans="1:5" x14ac:dyDescent="0.3">
      <c r="A427" s="17" t="s">
        <v>1</v>
      </c>
      <c r="B427" s="17" t="s">
        <v>3225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1</v>
      </c>
      <c r="B428" s="17" t="s">
        <v>3226</v>
      </c>
      <c r="C428" s="17">
        <v>1</v>
      </c>
      <c r="D428" s="17">
        <v>1</v>
      </c>
      <c r="E428" s="17"/>
    </row>
    <row r="429" spans="1:5" x14ac:dyDescent="0.3">
      <c r="A429" s="17" t="s">
        <v>1</v>
      </c>
      <c r="B429" s="17" t="s">
        <v>3227</v>
      </c>
      <c r="C429" s="17">
        <v>1</v>
      </c>
      <c r="D429" s="17">
        <v>1</v>
      </c>
      <c r="E429" s="17"/>
    </row>
    <row r="430" spans="1:5" x14ac:dyDescent="0.3">
      <c r="A430" s="17" t="s">
        <v>1</v>
      </c>
      <c r="B430" s="17" t="s">
        <v>1695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1</v>
      </c>
      <c r="B431" s="17" t="s">
        <v>3228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1</v>
      </c>
      <c r="B432" s="17" t="s">
        <v>3229</v>
      </c>
      <c r="C432" s="17">
        <v>1</v>
      </c>
      <c r="D432" s="17">
        <v>1</v>
      </c>
      <c r="E432" s="17"/>
    </row>
    <row r="433" spans="1:5" x14ac:dyDescent="0.3">
      <c r="A433" s="17" t="s">
        <v>1</v>
      </c>
      <c r="B433" s="17" t="s">
        <v>1874</v>
      </c>
      <c r="C433" s="17">
        <v>1</v>
      </c>
      <c r="D433" s="17">
        <v>1</v>
      </c>
      <c r="E433" s="17"/>
    </row>
    <row r="434" spans="1:5" x14ac:dyDescent="0.3">
      <c r="A434" s="17" t="s">
        <v>1</v>
      </c>
      <c r="B434" s="17" t="s">
        <v>1173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1</v>
      </c>
      <c r="B435" s="17" t="s">
        <v>2154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1</v>
      </c>
      <c r="B436" s="17" t="s">
        <v>3230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1</v>
      </c>
      <c r="B437" s="17" t="s">
        <v>3231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1</v>
      </c>
      <c r="B438" s="17" t="s">
        <v>3232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1</v>
      </c>
      <c r="B439" s="17" t="s">
        <v>2136</v>
      </c>
      <c r="C439" s="17">
        <v>1</v>
      </c>
      <c r="D439" s="17">
        <v>1</v>
      </c>
      <c r="E439" s="17"/>
    </row>
    <row r="440" spans="1:5" x14ac:dyDescent="0.3">
      <c r="A440" s="17" t="s">
        <v>1</v>
      </c>
      <c r="B440" s="17" t="s">
        <v>3233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1</v>
      </c>
      <c r="B441" s="17" t="s">
        <v>3234</v>
      </c>
      <c r="C441" s="17">
        <v>1</v>
      </c>
      <c r="D441" s="17">
        <v>1</v>
      </c>
      <c r="E441" s="17"/>
    </row>
    <row r="442" spans="1:5" x14ac:dyDescent="0.3">
      <c r="A442" s="17" t="s">
        <v>1</v>
      </c>
      <c r="B442" s="17" t="s">
        <v>3235</v>
      </c>
      <c r="C442" s="17">
        <v>1</v>
      </c>
      <c r="D442" s="17">
        <v>1</v>
      </c>
      <c r="E442" s="17"/>
    </row>
    <row r="443" spans="1:5" x14ac:dyDescent="0.3">
      <c r="A443" s="17" t="s">
        <v>1</v>
      </c>
      <c r="B443" s="17" t="s">
        <v>1031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242</v>
      </c>
      <c r="C444" s="17">
        <v>1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36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311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1562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355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75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1740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905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272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273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147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79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59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212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1702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213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83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315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1414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152</v>
      </c>
      <c r="C463" s="17">
        <v>1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362</v>
      </c>
      <c r="C464" s="17">
        <v>2</v>
      </c>
      <c r="D464" s="17">
        <v>1</v>
      </c>
      <c r="E464" s="17">
        <v>2</v>
      </c>
    </row>
    <row r="465" spans="1:5" x14ac:dyDescent="0.3">
      <c r="A465" s="17" t="s">
        <v>0</v>
      </c>
      <c r="B465" s="17" t="s">
        <v>634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219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221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1062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865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641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41</v>
      </c>
      <c r="C471" s="17">
        <v>2</v>
      </c>
      <c r="D471" s="17">
        <v>1</v>
      </c>
      <c r="E471" s="17">
        <v>2</v>
      </c>
    </row>
    <row r="472" spans="1:5" x14ac:dyDescent="0.3">
      <c r="A472" s="17" t="s">
        <v>0</v>
      </c>
      <c r="B472" s="17" t="s">
        <v>60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96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487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1897</v>
      </c>
      <c r="C475" s="17">
        <v>1</v>
      </c>
      <c r="D475" s="17">
        <v>1</v>
      </c>
      <c r="E475" s="17">
        <v>4</v>
      </c>
    </row>
    <row r="476" spans="1:5" x14ac:dyDescent="0.3">
      <c r="A476" s="17" t="s">
        <v>0</v>
      </c>
      <c r="B476" s="17" t="s">
        <v>2363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2395</v>
      </c>
      <c r="C477" s="17">
        <v>2</v>
      </c>
      <c r="D477" s="17">
        <v>1</v>
      </c>
      <c r="E477" s="17">
        <v>2</v>
      </c>
    </row>
    <row r="478" spans="1:5" x14ac:dyDescent="0.3">
      <c r="A478" s="17" t="s">
        <v>0</v>
      </c>
      <c r="B478" s="17" t="s">
        <v>2398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2429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2599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3236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440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1428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1103</v>
      </c>
      <c r="C484" s="17">
        <v>3</v>
      </c>
      <c r="D484" s="17">
        <v>1</v>
      </c>
      <c r="E484" s="17">
        <v>4</v>
      </c>
    </row>
    <row r="485" spans="1:5" x14ac:dyDescent="0.3">
      <c r="A485" s="17" t="s">
        <v>0</v>
      </c>
      <c r="B485" s="17" t="s">
        <v>526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528</v>
      </c>
      <c r="C486" s="17">
        <v>3</v>
      </c>
      <c r="D486" s="17">
        <v>1</v>
      </c>
      <c r="E486" s="17">
        <v>3</v>
      </c>
    </row>
    <row r="487" spans="1:5" x14ac:dyDescent="0.3">
      <c r="A487" s="17" t="s">
        <v>0</v>
      </c>
      <c r="B487" s="17" t="s">
        <v>1479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1958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1128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1538</v>
      </c>
      <c r="C490" s="17">
        <v>1</v>
      </c>
      <c r="D490" s="17">
        <v>1</v>
      </c>
      <c r="E490" s="17">
        <v>2</v>
      </c>
    </row>
    <row r="491" spans="1:5" x14ac:dyDescent="0.3">
      <c r="A491" s="17" t="s">
        <v>0</v>
      </c>
      <c r="B491" s="17" t="s">
        <v>1105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160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770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1625</v>
      </c>
      <c r="C494" s="17">
        <v>1</v>
      </c>
      <c r="D494" s="17">
        <v>1</v>
      </c>
      <c r="E494" s="17">
        <v>2</v>
      </c>
    </row>
    <row r="495" spans="1:5" x14ac:dyDescent="0.3">
      <c r="A495" s="17" t="s">
        <v>0</v>
      </c>
      <c r="B495" s="17" t="s">
        <v>404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1482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997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998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1612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165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107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43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914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1443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254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109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646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169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170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110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3237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773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1799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171</v>
      </c>
      <c r="C514" s="17">
        <v>1</v>
      </c>
      <c r="D514" s="17">
        <v>1</v>
      </c>
      <c r="E514" s="17">
        <v>2</v>
      </c>
    </row>
    <row r="515" spans="1:5" x14ac:dyDescent="0.3">
      <c r="A515" s="17" t="s">
        <v>0</v>
      </c>
      <c r="B515" s="17" t="s">
        <v>289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1215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174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536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1004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876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594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539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542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256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45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330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445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230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598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1231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117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1151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482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3238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62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123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0</v>
      </c>
      <c r="B537" s="17" t="s">
        <v>37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695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0</v>
      </c>
      <c r="B539" s="17" t="s">
        <v>178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0</v>
      </c>
      <c r="B540" s="17" t="s">
        <v>1745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0</v>
      </c>
      <c r="B541" s="17" t="s">
        <v>375</v>
      </c>
      <c r="C541" s="17">
        <v>1</v>
      </c>
      <c r="D541" s="17">
        <v>1</v>
      </c>
      <c r="E541" s="17">
        <v>2</v>
      </c>
    </row>
    <row r="542" spans="1:5" x14ac:dyDescent="0.3">
      <c r="A542" s="17" t="s">
        <v>0</v>
      </c>
      <c r="B542" s="17" t="s">
        <v>301</v>
      </c>
      <c r="C542" s="17">
        <v>1</v>
      </c>
      <c r="D542" s="17">
        <v>1</v>
      </c>
      <c r="E542" s="17">
        <v>2</v>
      </c>
    </row>
    <row r="543" spans="1:5" x14ac:dyDescent="0.3">
      <c r="A543" s="17" t="s">
        <v>0</v>
      </c>
      <c r="B543" s="17" t="s">
        <v>1559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0</v>
      </c>
      <c r="B544" s="17" t="s">
        <v>429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0</v>
      </c>
      <c r="B545" s="17" t="s">
        <v>128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0</v>
      </c>
      <c r="B546" s="17" t="s">
        <v>787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0</v>
      </c>
      <c r="B547" s="17" t="s">
        <v>1437</v>
      </c>
      <c r="C547" s="17">
        <v>1</v>
      </c>
      <c r="D547" s="17">
        <v>1</v>
      </c>
      <c r="E547" s="17">
        <v>2</v>
      </c>
    </row>
    <row r="548" spans="1:5" x14ac:dyDescent="0.3">
      <c r="A548" s="17" t="s">
        <v>0</v>
      </c>
      <c r="B548" s="17" t="s">
        <v>499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0</v>
      </c>
      <c r="B549" s="17" t="s">
        <v>234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0</v>
      </c>
      <c r="B550" s="17" t="s">
        <v>500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0</v>
      </c>
      <c r="B551" s="17" t="s">
        <v>1135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0</v>
      </c>
      <c r="B552" s="17" t="s">
        <v>193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0</v>
      </c>
      <c r="B553" s="17" t="s">
        <v>194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0</v>
      </c>
      <c r="B554" s="17" t="s">
        <v>67</v>
      </c>
      <c r="C554" s="17">
        <v>1</v>
      </c>
      <c r="D554" s="17">
        <v>1</v>
      </c>
      <c r="E554" s="17">
        <v>3</v>
      </c>
    </row>
    <row r="555" spans="1:5" x14ac:dyDescent="0.3">
      <c r="A555" s="17" t="s">
        <v>0</v>
      </c>
      <c r="B555" s="17" t="s">
        <v>68</v>
      </c>
      <c r="C555" s="17">
        <v>2</v>
      </c>
      <c r="D555" s="17">
        <v>1</v>
      </c>
      <c r="E555" s="17">
        <v>2</v>
      </c>
    </row>
    <row r="556" spans="1:5" x14ac:dyDescent="0.3">
      <c r="A556" s="17" t="s">
        <v>0</v>
      </c>
      <c r="B556" s="17" t="s">
        <v>54</v>
      </c>
      <c r="C556" s="17">
        <v>1</v>
      </c>
      <c r="D556" s="17">
        <v>1</v>
      </c>
      <c r="E556" s="17">
        <v>4</v>
      </c>
    </row>
    <row r="557" spans="1:5" x14ac:dyDescent="0.3">
      <c r="A557" s="17" t="s">
        <v>0</v>
      </c>
      <c r="B557" s="17" t="s">
        <v>1827</v>
      </c>
      <c r="C557" s="17">
        <v>1</v>
      </c>
      <c r="D557" s="17">
        <v>1</v>
      </c>
      <c r="E557" s="17">
        <v>1</v>
      </c>
    </row>
    <row r="558" spans="1:5" x14ac:dyDescent="0.3">
      <c r="A558" s="17" t="s">
        <v>0</v>
      </c>
      <c r="B558" s="17" t="s">
        <v>830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0</v>
      </c>
      <c r="B559" s="17" t="s">
        <v>1988</v>
      </c>
      <c r="C559" s="17">
        <v>1</v>
      </c>
      <c r="D559" s="17">
        <v>1</v>
      </c>
      <c r="E559" s="17">
        <v>1</v>
      </c>
    </row>
    <row r="560" spans="1:5" x14ac:dyDescent="0.3">
      <c r="A560" s="17" t="s">
        <v>0</v>
      </c>
      <c r="B560" s="17" t="s">
        <v>266</v>
      </c>
      <c r="C560" s="17">
        <v>2</v>
      </c>
      <c r="D560" s="17">
        <v>1</v>
      </c>
      <c r="E560" s="17">
        <v>2</v>
      </c>
    </row>
    <row r="561" spans="1:5" x14ac:dyDescent="0.3">
      <c r="A561" s="17" t="s">
        <v>0</v>
      </c>
      <c r="B561" s="17" t="s">
        <v>3055</v>
      </c>
      <c r="C561" s="17">
        <v>1</v>
      </c>
      <c r="D561" s="17">
        <v>1</v>
      </c>
      <c r="E561" s="17"/>
    </row>
    <row r="562" spans="1:5" x14ac:dyDescent="0.3">
      <c r="A562" s="17" t="s">
        <v>0</v>
      </c>
      <c r="B562" s="17" t="s">
        <v>832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0</v>
      </c>
      <c r="B563" s="17" t="s">
        <v>2083</v>
      </c>
      <c r="C563" s="17">
        <v>1</v>
      </c>
      <c r="D563" s="17">
        <v>1</v>
      </c>
      <c r="E563" s="17"/>
    </row>
    <row r="564" spans="1:5" x14ac:dyDescent="0.3">
      <c r="A564" s="17" t="s">
        <v>2</v>
      </c>
      <c r="B564" s="17" t="s">
        <v>490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3239</v>
      </c>
      <c r="C565" s="17">
        <v>1</v>
      </c>
      <c r="D565" s="17">
        <v>1</v>
      </c>
      <c r="E565" s="17">
        <v>2</v>
      </c>
    </row>
    <row r="566" spans="1:5" x14ac:dyDescent="0.3">
      <c r="A566" s="17" t="s">
        <v>2</v>
      </c>
      <c r="B566" s="17" t="s">
        <v>1165</v>
      </c>
      <c r="C566" s="17">
        <v>1</v>
      </c>
      <c r="D566" s="17">
        <v>1</v>
      </c>
      <c r="E566" s="17">
        <v>1</v>
      </c>
    </row>
    <row r="567" spans="1:5" x14ac:dyDescent="0.3">
      <c r="A567" s="17" t="s">
        <v>2</v>
      </c>
      <c r="B567" s="17" t="s">
        <v>155</v>
      </c>
      <c r="C567" s="17">
        <v>1</v>
      </c>
      <c r="D567" s="17">
        <v>1</v>
      </c>
      <c r="E567" s="17">
        <v>1</v>
      </c>
    </row>
    <row r="568" spans="1:5" x14ac:dyDescent="0.3">
      <c r="A568" s="17" t="s">
        <v>2</v>
      </c>
      <c r="B568" s="17" t="s">
        <v>365</v>
      </c>
      <c r="C568" s="17">
        <v>1</v>
      </c>
      <c r="D568" s="17">
        <v>1</v>
      </c>
      <c r="E568" s="17">
        <v>1</v>
      </c>
    </row>
    <row r="569" spans="1:5" x14ac:dyDescent="0.3">
      <c r="A569" s="17" t="s">
        <v>2</v>
      </c>
      <c r="B569" s="17" t="s">
        <v>1927</v>
      </c>
      <c r="C569" s="17">
        <v>1</v>
      </c>
      <c r="D569" s="17">
        <v>1</v>
      </c>
      <c r="E569" s="17">
        <v>1</v>
      </c>
    </row>
    <row r="570" spans="1:5" x14ac:dyDescent="0.3">
      <c r="A570" s="17" t="s">
        <v>2</v>
      </c>
      <c r="B570" s="17" t="s">
        <v>2944</v>
      </c>
      <c r="C570" s="17">
        <v>2</v>
      </c>
      <c r="D570" s="17">
        <v>1</v>
      </c>
      <c r="E570" s="17">
        <v>4</v>
      </c>
    </row>
    <row r="571" spans="1:5" x14ac:dyDescent="0.3">
      <c r="A571" s="17" t="s">
        <v>2</v>
      </c>
      <c r="B571" s="17" t="s">
        <v>525</v>
      </c>
      <c r="C571" s="17">
        <v>1</v>
      </c>
      <c r="D571" s="17">
        <v>1</v>
      </c>
      <c r="E571" s="17">
        <v>1</v>
      </c>
    </row>
    <row r="572" spans="1:5" x14ac:dyDescent="0.3">
      <c r="A572" s="17" t="s">
        <v>2</v>
      </c>
      <c r="B572" s="17" t="s">
        <v>169</v>
      </c>
      <c r="C572" s="17">
        <v>1</v>
      </c>
      <c r="D572" s="17">
        <v>1</v>
      </c>
      <c r="E572" s="17">
        <v>1</v>
      </c>
    </row>
    <row r="573" spans="1:5" x14ac:dyDescent="0.3">
      <c r="A573" s="17" t="s">
        <v>2</v>
      </c>
      <c r="B573" s="17" t="s">
        <v>1184</v>
      </c>
      <c r="C573" s="17">
        <v>1</v>
      </c>
      <c r="D573" s="17">
        <v>1</v>
      </c>
      <c r="E573" s="17">
        <v>1</v>
      </c>
    </row>
    <row r="574" spans="1:5" x14ac:dyDescent="0.3">
      <c r="A574" s="17" t="s">
        <v>2</v>
      </c>
      <c r="B574" s="17" t="s">
        <v>336</v>
      </c>
      <c r="C574" s="17">
        <v>1</v>
      </c>
      <c r="D574" s="17">
        <v>1</v>
      </c>
      <c r="E574" s="17">
        <v>1</v>
      </c>
    </row>
    <row r="575" spans="1:5" x14ac:dyDescent="0.3">
      <c r="A575" s="17" t="s">
        <v>2</v>
      </c>
      <c r="B575" s="17" t="s">
        <v>1556</v>
      </c>
      <c r="C575" s="17">
        <v>1</v>
      </c>
      <c r="D575" s="17">
        <v>1</v>
      </c>
      <c r="E575" s="17">
        <v>1</v>
      </c>
    </row>
    <row r="576" spans="1:5" x14ac:dyDescent="0.3">
      <c r="A576" s="17" t="s">
        <v>2</v>
      </c>
      <c r="B576" s="17" t="s">
        <v>1279</v>
      </c>
      <c r="C576" s="17">
        <v>1</v>
      </c>
      <c r="D576" s="17">
        <v>1</v>
      </c>
      <c r="E576" s="17">
        <v>1</v>
      </c>
    </row>
    <row r="577" spans="1:5" x14ac:dyDescent="0.3">
      <c r="A577" s="17" t="s">
        <v>2</v>
      </c>
      <c r="B577" s="17" t="s">
        <v>31</v>
      </c>
      <c r="C577" s="17">
        <v>1</v>
      </c>
      <c r="D577" s="17">
        <v>1</v>
      </c>
      <c r="E577" s="17">
        <v>1</v>
      </c>
    </row>
    <row r="578" spans="1:5" x14ac:dyDescent="0.3">
      <c r="A578" s="17" t="s">
        <v>2</v>
      </c>
      <c r="B578" s="17" t="s">
        <v>65</v>
      </c>
      <c r="C578" s="17">
        <v>1</v>
      </c>
      <c r="D578" s="17">
        <v>1</v>
      </c>
      <c r="E578" s="17">
        <v>1</v>
      </c>
    </row>
    <row r="579" spans="1:5" x14ac:dyDescent="0.3">
      <c r="A579" s="17" t="s">
        <v>2</v>
      </c>
      <c r="B579" s="17" t="s">
        <v>135</v>
      </c>
      <c r="C579" s="17">
        <v>1</v>
      </c>
      <c r="D579" s="17">
        <v>1</v>
      </c>
      <c r="E579" s="17">
        <v>1</v>
      </c>
    </row>
    <row r="580" spans="1:5" x14ac:dyDescent="0.3">
      <c r="A580" s="17" t="s">
        <v>2</v>
      </c>
      <c r="B580" s="17" t="s">
        <v>2525</v>
      </c>
      <c r="C580" s="17">
        <v>1</v>
      </c>
      <c r="D580" s="17">
        <v>1</v>
      </c>
      <c r="E580" s="17">
        <v>1</v>
      </c>
    </row>
    <row r="581" spans="1:5" x14ac:dyDescent="0.3">
      <c r="A581" s="17" t="s">
        <v>1</v>
      </c>
      <c r="B581" s="17" t="s">
        <v>853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3240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47</v>
      </c>
      <c r="C583" s="17">
        <v>1</v>
      </c>
      <c r="D583" s="17">
        <v>0</v>
      </c>
      <c r="E583" s="17">
        <v>0</v>
      </c>
    </row>
    <row r="584" spans="1:5" x14ac:dyDescent="0.3">
      <c r="A584" s="17" t="s">
        <v>1</v>
      </c>
      <c r="B584" s="17" t="s">
        <v>244</v>
      </c>
      <c r="C584" s="17">
        <v>2</v>
      </c>
      <c r="D584" s="17">
        <v>0</v>
      </c>
      <c r="E584" s="17">
        <v>2</v>
      </c>
    </row>
    <row r="585" spans="1:5" x14ac:dyDescent="0.3">
      <c r="A585" s="17" t="s">
        <v>1</v>
      </c>
      <c r="B585" s="17" t="s">
        <v>142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392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486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57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75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620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1254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210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707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358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396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861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2051</v>
      </c>
      <c r="C597" s="17">
        <v>1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148</v>
      </c>
      <c r="C598" s="17">
        <v>1</v>
      </c>
      <c r="D598" s="17">
        <v>0</v>
      </c>
      <c r="E598" s="17">
        <v>0</v>
      </c>
    </row>
    <row r="599" spans="1:5" x14ac:dyDescent="0.3">
      <c r="A599" s="17" t="s">
        <v>1</v>
      </c>
      <c r="B599" s="17" t="s">
        <v>2127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88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709</v>
      </c>
      <c r="C601" s="17">
        <v>1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435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1060</v>
      </c>
      <c r="C603" s="17">
        <v>2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91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635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153</v>
      </c>
      <c r="C606" s="17">
        <v>4</v>
      </c>
      <c r="D606" s="17">
        <v>0</v>
      </c>
      <c r="E606" s="17">
        <v>5</v>
      </c>
    </row>
    <row r="607" spans="1:5" x14ac:dyDescent="0.3">
      <c r="A607" s="17" t="s">
        <v>1</v>
      </c>
      <c r="B607" s="17" t="s">
        <v>2437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93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154</v>
      </c>
      <c r="C609" s="17">
        <v>3</v>
      </c>
      <c r="D609" s="17">
        <v>0</v>
      </c>
      <c r="E609" s="17">
        <v>3</v>
      </c>
    </row>
    <row r="610" spans="1:5" x14ac:dyDescent="0.3">
      <c r="A610" s="17" t="s">
        <v>1</v>
      </c>
      <c r="B610" s="17" t="s">
        <v>222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640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261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223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156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42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367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642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944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1143</v>
      </c>
      <c r="C619" s="17">
        <v>2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1643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1660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1711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1772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1911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1912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1983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2074</v>
      </c>
      <c r="C627" s="18">
        <v>2</v>
      </c>
      <c r="D627" s="18">
        <v>0</v>
      </c>
      <c r="E627" s="18">
        <v>2</v>
      </c>
    </row>
    <row r="628" spans="1:5" x14ac:dyDescent="0.3">
      <c r="A628" s="18" t="s">
        <v>1</v>
      </c>
      <c r="B628" s="18" t="s">
        <v>3065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2401</v>
      </c>
      <c r="C629" s="18">
        <v>2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2400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2440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2468</v>
      </c>
      <c r="C632" s="18">
        <v>2</v>
      </c>
      <c r="D632" s="18">
        <v>0</v>
      </c>
      <c r="E632" s="18">
        <v>4</v>
      </c>
    </row>
    <row r="633" spans="1:5" x14ac:dyDescent="0.3">
      <c r="A633" s="18" t="s">
        <v>1</v>
      </c>
      <c r="B633" s="18" t="s">
        <v>2404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2398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2443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2397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2396</v>
      </c>
      <c r="C637" s="18">
        <v>5</v>
      </c>
      <c r="D637" s="18">
        <v>0</v>
      </c>
      <c r="E637" s="18">
        <v>7</v>
      </c>
    </row>
    <row r="638" spans="1:5" x14ac:dyDescent="0.3">
      <c r="A638" s="18" t="s">
        <v>1</v>
      </c>
      <c r="B638" s="18" t="s">
        <v>2599</v>
      </c>
      <c r="C638" s="18">
        <v>4</v>
      </c>
      <c r="D638" s="18">
        <v>0</v>
      </c>
      <c r="E638" s="18">
        <v>4</v>
      </c>
    </row>
    <row r="639" spans="1:5" x14ac:dyDescent="0.3">
      <c r="A639" s="18" t="s">
        <v>1</v>
      </c>
      <c r="B639" s="18" t="s">
        <v>2705</v>
      </c>
      <c r="C639" s="18">
        <v>2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2789</v>
      </c>
      <c r="C640" s="18">
        <v>3</v>
      </c>
      <c r="D640" s="18">
        <v>0</v>
      </c>
      <c r="E640" s="18">
        <v>3</v>
      </c>
    </row>
    <row r="641" spans="1:5" x14ac:dyDescent="0.3">
      <c r="A641" s="18" t="s">
        <v>1</v>
      </c>
      <c r="B641" s="18" t="s">
        <v>2910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3236</v>
      </c>
      <c r="C642" s="18">
        <v>3</v>
      </c>
      <c r="D642" s="18">
        <v>0</v>
      </c>
      <c r="E642" s="18">
        <v>3</v>
      </c>
    </row>
    <row r="643" spans="1:5" x14ac:dyDescent="0.3">
      <c r="A643" s="18" t="s">
        <v>1</v>
      </c>
      <c r="B643" s="18" t="s">
        <v>524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866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97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225</v>
      </c>
      <c r="C646" s="18">
        <v>3</v>
      </c>
      <c r="D646" s="18">
        <v>0</v>
      </c>
      <c r="E646" s="18">
        <v>3</v>
      </c>
    </row>
    <row r="647" spans="1:5" x14ac:dyDescent="0.3">
      <c r="A647" s="18" t="s">
        <v>1</v>
      </c>
      <c r="B647" s="18" t="s">
        <v>402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1341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99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1600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995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1260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166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43</v>
      </c>
      <c r="C654" s="18">
        <v>1</v>
      </c>
      <c r="D654" s="18">
        <v>0</v>
      </c>
      <c r="E654" s="18">
        <v>0</v>
      </c>
    </row>
    <row r="655" spans="1:5" x14ac:dyDescent="0.3">
      <c r="A655" s="18" t="s">
        <v>1</v>
      </c>
      <c r="B655" s="18" t="s">
        <v>3067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806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286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1650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1261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1541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650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2265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3124</v>
      </c>
      <c r="C663" s="18">
        <v>1</v>
      </c>
      <c r="D663" s="18">
        <v>0</v>
      </c>
      <c r="E663" s="18">
        <v>2</v>
      </c>
    </row>
    <row r="664" spans="1:5" x14ac:dyDescent="0.3">
      <c r="A664" s="18" t="s">
        <v>1</v>
      </c>
      <c r="B664" s="18" t="s">
        <v>978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1228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1131</v>
      </c>
      <c r="C666" s="18">
        <v>1</v>
      </c>
      <c r="D666" s="18">
        <v>0</v>
      </c>
      <c r="E666" s="18">
        <v>0</v>
      </c>
    </row>
    <row r="667" spans="1:5" x14ac:dyDescent="0.3">
      <c r="A667" s="18" t="s">
        <v>1</v>
      </c>
      <c r="B667" s="18" t="s">
        <v>2532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881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595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3049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1197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546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839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729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598</v>
      </c>
      <c r="C675" s="18">
        <v>2</v>
      </c>
      <c r="D675" s="18">
        <v>0</v>
      </c>
      <c r="E675" s="18">
        <v>2</v>
      </c>
    </row>
    <row r="676" spans="1:5" x14ac:dyDescent="0.3">
      <c r="A676" s="18" t="s">
        <v>1</v>
      </c>
      <c r="B676" s="18" t="s">
        <v>1231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1187</v>
      </c>
      <c r="C677" s="18">
        <v>1</v>
      </c>
      <c r="D677" s="18">
        <v>0</v>
      </c>
      <c r="E677" s="18">
        <v>2</v>
      </c>
    </row>
    <row r="678" spans="1:5" x14ac:dyDescent="0.3">
      <c r="A678" s="18" t="s">
        <v>1</v>
      </c>
      <c r="B678" s="18" t="s">
        <v>1039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1801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1355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419</v>
      </c>
      <c r="C681" s="18">
        <v>1</v>
      </c>
      <c r="D681" s="18">
        <v>0</v>
      </c>
      <c r="E681" s="18">
        <v>0</v>
      </c>
    </row>
    <row r="682" spans="1:5" x14ac:dyDescent="0.3">
      <c r="A682" s="18" t="s">
        <v>1</v>
      </c>
      <c r="B682" s="18" t="s">
        <v>1308</v>
      </c>
      <c r="C682" s="18">
        <v>1</v>
      </c>
      <c r="D682" s="18">
        <v>0</v>
      </c>
      <c r="E682" s="18">
        <v>2</v>
      </c>
    </row>
    <row r="683" spans="1:5" x14ac:dyDescent="0.3">
      <c r="A683" s="18" t="s">
        <v>1</v>
      </c>
      <c r="B683" s="18" t="s">
        <v>960</v>
      </c>
      <c r="C683" s="18">
        <v>1</v>
      </c>
      <c r="D683" s="18">
        <v>0</v>
      </c>
      <c r="E683" s="18">
        <v>0</v>
      </c>
    </row>
    <row r="684" spans="1:5" x14ac:dyDescent="0.3">
      <c r="A684" s="18" t="s">
        <v>1</v>
      </c>
      <c r="B684" s="18" t="s">
        <v>1114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421</v>
      </c>
      <c r="C685" s="18">
        <v>1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347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744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820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472</v>
      </c>
      <c r="C689" s="18">
        <v>1</v>
      </c>
      <c r="D689" s="18">
        <v>0</v>
      </c>
      <c r="E689" s="18">
        <v>0</v>
      </c>
    </row>
    <row r="690" spans="1:5" x14ac:dyDescent="0.3">
      <c r="A690" s="18" t="s">
        <v>1</v>
      </c>
      <c r="B690" s="18" t="s">
        <v>52</v>
      </c>
      <c r="C690" s="18">
        <v>2</v>
      </c>
      <c r="D690" s="18">
        <v>0</v>
      </c>
      <c r="E690" s="18">
        <v>4</v>
      </c>
    </row>
    <row r="691" spans="1:5" x14ac:dyDescent="0.3">
      <c r="A691" s="18" t="s">
        <v>1</v>
      </c>
      <c r="B691" s="18" t="s">
        <v>785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824</v>
      </c>
      <c r="C692" s="18">
        <v>2</v>
      </c>
      <c r="D692" s="18">
        <v>0</v>
      </c>
      <c r="E692" s="18">
        <v>2</v>
      </c>
    </row>
    <row r="693" spans="1:5" x14ac:dyDescent="0.3">
      <c r="A693" s="18" t="s">
        <v>1</v>
      </c>
      <c r="B693" s="18" t="s">
        <v>3241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786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668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134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565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566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567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671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700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684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235</v>
      </c>
      <c r="C703" s="18">
        <v>6</v>
      </c>
      <c r="D703" s="18">
        <v>0</v>
      </c>
      <c r="E703" s="18">
        <v>12</v>
      </c>
    </row>
    <row r="704" spans="1:5" x14ac:dyDescent="0.3">
      <c r="A704" s="18" t="s">
        <v>1</v>
      </c>
      <c r="B704" s="18" t="s">
        <v>381</v>
      </c>
      <c r="C704" s="18">
        <v>1</v>
      </c>
      <c r="D704" s="18">
        <v>0</v>
      </c>
      <c r="E704" s="18">
        <v>3</v>
      </c>
    </row>
    <row r="705" spans="1:5" x14ac:dyDescent="0.3">
      <c r="A705" s="18" t="s">
        <v>1</v>
      </c>
      <c r="B705" s="18" t="s">
        <v>236</v>
      </c>
      <c r="C705" s="18">
        <v>5</v>
      </c>
      <c r="D705" s="18">
        <v>0</v>
      </c>
      <c r="E705" s="18">
        <v>13</v>
      </c>
    </row>
    <row r="706" spans="1:5" x14ac:dyDescent="0.3">
      <c r="A706" s="18" t="s">
        <v>1</v>
      </c>
      <c r="B706" s="18" t="s">
        <v>476</v>
      </c>
      <c r="C706" s="18">
        <v>3</v>
      </c>
      <c r="D706" s="18">
        <v>0</v>
      </c>
      <c r="E706" s="18">
        <v>3</v>
      </c>
    </row>
    <row r="707" spans="1:5" x14ac:dyDescent="0.3">
      <c r="A707" s="18" t="s">
        <v>1</v>
      </c>
      <c r="B707" s="18" t="s">
        <v>196</v>
      </c>
      <c r="C707" s="18">
        <v>6</v>
      </c>
      <c r="D707" s="18">
        <v>0</v>
      </c>
      <c r="E707" s="18">
        <v>9</v>
      </c>
    </row>
    <row r="708" spans="1:5" x14ac:dyDescent="0.3">
      <c r="A708" s="18" t="s">
        <v>1</v>
      </c>
      <c r="B708" s="18" t="s">
        <v>54</v>
      </c>
      <c r="C708" s="18">
        <v>5</v>
      </c>
      <c r="D708" s="18">
        <v>0</v>
      </c>
      <c r="E708" s="18">
        <v>7</v>
      </c>
    </row>
    <row r="709" spans="1:5" x14ac:dyDescent="0.3">
      <c r="A709" s="18" t="s">
        <v>1</v>
      </c>
      <c r="B709" s="18" t="s">
        <v>238</v>
      </c>
      <c r="C709" s="18">
        <v>2</v>
      </c>
      <c r="D709" s="18">
        <v>0</v>
      </c>
      <c r="E709" s="18">
        <v>2</v>
      </c>
    </row>
    <row r="710" spans="1:5" x14ac:dyDescent="0.3">
      <c r="A710" s="18" t="s">
        <v>1</v>
      </c>
      <c r="B710" s="18" t="s">
        <v>239</v>
      </c>
      <c r="C710" s="18">
        <v>3</v>
      </c>
      <c r="D710" s="18">
        <v>0</v>
      </c>
      <c r="E710" s="18">
        <v>3</v>
      </c>
    </row>
    <row r="711" spans="1:5" x14ac:dyDescent="0.3">
      <c r="A711" s="18" t="s">
        <v>1</v>
      </c>
      <c r="B711" s="18" t="s">
        <v>672</v>
      </c>
      <c r="C711" s="18">
        <v>2</v>
      </c>
      <c r="D711" s="18">
        <v>0</v>
      </c>
      <c r="E711" s="18">
        <v>3</v>
      </c>
    </row>
    <row r="712" spans="1:5" x14ac:dyDescent="0.3">
      <c r="A712" s="18" t="s">
        <v>1</v>
      </c>
      <c r="B712" s="18" t="s">
        <v>240</v>
      </c>
      <c r="C712" s="18">
        <v>8</v>
      </c>
      <c r="D712" s="18">
        <v>0</v>
      </c>
      <c r="E712" s="18">
        <v>13</v>
      </c>
    </row>
    <row r="713" spans="1:5" x14ac:dyDescent="0.3">
      <c r="A713" s="18" t="s">
        <v>1</v>
      </c>
      <c r="B713" s="18" t="s">
        <v>673</v>
      </c>
      <c r="C713" s="18">
        <v>5</v>
      </c>
      <c r="D713" s="18">
        <v>0</v>
      </c>
      <c r="E713" s="18">
        <v>6</v>
      </c>
    </row>
    <row r="714" spans="1:5" x14ac:dyDescent="0.3">
      <c r="A714" s="18" t="s">
        <v>1</v>
      </c>
      <c r="B714" s="18" t="s">
        <v>1451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382</v>
      </c>
      <c r="C715" s="18">
        <v>6</v>
      </c>
      <c r="D715" s="18">
        <v>0</v>
      </c>
      <c r="E715" s="18">
        <v>11</v>
      </c>
    </row>
    <row r="716" spans="1:5" x14ac:dyDescent="0.3">
      <c r="A716" s="18" t="s">
        <v>1</v>
      </c>
      <c r="B716" s="18" t="s">
        <v>477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2498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2781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2042</v>
      </c>
      <c r="C719" s="18">
        <v>0</v>
      </c>
      <c r="D719" s="18">
        <v>1</v>
      </c>
    </row>
    <row r="720" spans="1:5" x14ac:dyDescent="0.3">
      <c r="A720" s="18" t="s">
        <v>1</v>
      </c>
      <c r="B720" s="18" t="s">
        <v>1859</v>
      </c>
      <c r="C720" s="18">
        <v>0</v>
      </c>
      <c r="D720" s="18">
        <v>2</v>
      </c>
    </row>
    <row r="721" spans="1:5" x14ac:dyDescent="0.3">
      <c r="A721" s="18" t="s">
        <v>1</v>
      </c>
      <c r="B721" s="18" t="s">
        <v>762</v>
      </c>
      <c r="C721" s="18">
        <v>1</v>
      </c>
      <c r="D721" s="18">
        <v>0</v>
      </c>
      <c r="E721" s="18">
        <v>2</v>
      </c>
    </row>
    <row r="722" spans="1:5" x14ac:dyDescent="0.3">
      <c r="A722" s="18" t="s">
        <v>1</v>
      </c>
      <c r="B722" s="18" t="s">
        <v>2379</v>
      </c>
      <c r="C722" s="18">
        <v>1</v>
      </c>
      <c r="D722" s="18">
        <v>0</v>
      </c>
      <c r="E722" s="18">
        <v>0</v>
      </c>
    </row>
    <row r="723" spans="1:5" x14ac:dyDescent="0.3">
      <c r="A723" s="18" t="s">
        <v>1</v>
      </c>
      <c r="B723" s="18" t="s">
        <v>3242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2082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69</v>
      </c>
      <c r="C725" s="18">
        <v>2</v>
      </c>
      <c r="D725" s="18">
        <v>0</v>
      </c>
      <c r="E725" s="18">
        <v>2</v>
      </c>
    </row>
    <row r="726" spans="1:5" x14ac:dyDescent="0.3">
      <c r="A726" s="18" t="s">
        <v>1</v>
      </c>
      <c r="B726" s="18" t="s">
        <v>677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0</v>
      </c>
      <c r="B727" s="18" t="s">
        <v>48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208</v>
      </c>
      <c r="C728" s="18">
        <v>1</v>
      </c>
      <c r="D728" s="18">
        <v>0</v>
      </c>
      <c r="E728" s="18">
        <v>2</v>
      </c>
    </row>
    <row r="729" spans="1:5" x14ac:dyDescent="0.3">
      <c r="A729" s="18" t="s">
        <v>0</v>
      </c>
      <c r="B729" s="18" t="s">
        <v>394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397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151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153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437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155</v>
      </c>
      <c r="C734" s="18">
        <v>1</v>
      </c>
      <c r="D734" s="18">
        <v>0</v>
      </c>
      <c r="E734" s="18">
        <v>2</v>
      </c>
    </row>
    <row r="735" spans="1:5" x14ac:dyDescent="0.3">
      <c r="A735" s="18" t="s">
        <v>0</v>
      </c>
      <c r="B735" s="18" t="s">
        <v>156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1708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2468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2692</v>
      </c>
      <c r="C738" s="18">
        <v>2</v>
      </c>
      <c r="D738" s="18">
        <v>0</v>
      </c>
      <c r="E738" s="18">
        <v>2</v>
      </c>
    </row>
    <row r="739" spans="1:5" x14ac:dyDescent="0.3">
      <c r="A739" s="18" t="s">
        <v>0</v>
      </c>
      <c r="B739" s="18" t="s">
        <v>2397</v>
      </c>
      <c r="C739" s="18">
        <v>2</v>
      </c>
      <c r="D739" s="18">
        <v>0</v>
      </c>
      <c r="E739" s="18">
        <v>2</v>
      </c>
    </row>
    <row r="740" spans="1:5" x14ac:dyDescent="0.3">
      <c r="A740" s="18" t="s">
        <v>0</v>
      </c>
      <c r="B740" s="18" t="s">
        <v>99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1681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1628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0</v>
      </c>
      <c r="B743" s="18" t="s">
        <v>1160</v>
      </c>
      <c r="C743" s="18">
        <v>1</v>
      </c>
      <c r="D743" s="18">
        <v>0</v>
      </c>
      <c r="E743" s="18">
        <v>2</v>
      </c>
    </row>
    <row r="744" spans="1:5" x14ac:dyDescent="0.3">
      <c r="A744" s="18" t="s">
        <v>0</v>
      </c>
      <c r="B744" s="18" t="s">
        <v>595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0</v>
      </c>
      <c r="B745" s="18" t="s">
        <v>413</v>
      </c>
      <c r="C745" s="18">
        <v>1</v>
      </c>
      <c r="D745" s="18">
        <v>0</v>
      </c>
      <c r="E745" s="18">
        <v>2</v>
      </c>
    </row>
    <row r="746" spans="1:5" x14ac:dyDescent="0.3">
      <c r="A746" s="18" t="s">
        <v>0</v>
      </c>
      <c r="B746" s="18" t="s">
        <v>661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1813</v>
      </c>
      <c r="C747" s="18">
        <v>1</v>
      </c>
      <c r="D747" s="18">
        <v>0</v>
      </c>
      <c r="E747" s="18">
        <v>4</v>
      </c>
    </row>
    <row r="748" spans="1:5" x14ac:dyDescent="0.3">
      <c r="A748" s="18" t="s">
        <v>0</v>
      </c>
      <c r="B748" s="18" t="s">
        <v>783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697</v>
      </c>
      <c r="C749" s="18">
        <v>1</v>
      </c>
      <c r="D749" s="18">
        <v>0</v>
      </c>
      <c r="E749" s="18">
        <v>9</v>
      </c>
    </row>
    <row r="750" spans="1:5" x14ac:dyDescent="0.3">
      <c r="A750" s="18" t="s">
        <v>0</v>
      </c>
      <c r="B750" s="18" t="s">
        <v>428</v>
      </c>
      <c r="C750" s="18">
        <v>2</v>
      </c>
      <c r="D750" s="18">
        <v>0</v>
      </c>
      <c r="E750" s="18">
        <v>2</v>
      </c>
    </row>
    <row r="751" spans="1:5" x14ac:dyDescent="0.3">
      <c r="A751" s="18" t="s">
        <v>0</v>
      </c>
      <c r="B751" s="18" t="s">
        <v>235</v>
      </c>
      <c r="C751" s="18">
        <v>1</v>
      </c>
      <c r="D751" s="18">
        <v>0</v>
      </c>
      <c r="E751" s="18">
        <v>2</v>
      </c>
    </row>
    <row r="752" spans="1:5" x14ac:dyDescent="0.3">
      <c r="A752" s="18" t="s">
        <v>0</v>
      </c>
      <c r="B752" s="18" t="s">
        <v>196</v>
      </c>
      <c r="C752" s="18">
        <v>3</v>
      </c>
      <c r="D752" s="18">
        <v>0</v>
      </c>
      <c r="E752" s="18">
        <v>4</v>
      </c>
    </row>
    <row r="753" spans="1:5" x14ac:dyDescent="0.3">
      <c r="A753" s="18" t="s">
        <v>0</v>
      </c>
      <c r="B753" s="18" t="s">
        <v>239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55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382</v>
      </c>
      <c r="C755" s="18">
        <v>2</v>
      </c>
      <c r="D755" s="18">
        <v>0</v>
      </c>
      <c r="E755" s="18">
        <v>3</v>
      </c>
    </row>
    <row r="756" spans="1:5" x14ac:dyDescent="0.3">
      <c r="A756" s="18" t="s">
        <v>0</v>
      </c>
      <c r="B756" s="18" t="s">
        <v>138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456</v>
      </c>
      <c r="C757" s="18">
        <v>1</v>
      </c>
      <c r="D757" s="18">
        <v>0</v>
      </c>
      <c r="E757" s="18">
        <v>2</v>
      </c>
    </row>
    <row r="758" spans="1:5" x14ac:dyDescent="0.3">
      <c r="A758" s="18" t="s">
        <v>0</v>
      </c>
      <c r="B758" s="18" t="s">
        <v>1026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922</v>
      </c>
      <c r="C759" s="18">
        <v>0</v>
      </c>
      <c r="D759" s="18">
        <v>2</v>
      </c>
    </row>
    <row r="760" spans="1:5" x14ac:dyDescent="0.3">
      <c r="A760" s="18" t="s">
        <v>0</v>
      </c>
      <c r="B760" s="18" t="s">
        <v>1027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3243</v>
      </c>
      <c r="C761" s="18">
        <v>0</v>
      </c>
      <c r="D761" s="18">
        <v>1</v>
      </c>
    </row>
    <row r="762" spans="1:5" x14ac:dyDescent="0.3">
      <c r="A762" s="18" t="s">
        <v>0</v>
      </c>
      <c r="B762" s="18" t="s">
        <v>3244</v>
      </c>
      <c r="C762" s="18">
        <v>1</v>
      </c>
      <c r="D762" s="18">
        <v>0</v>
      </c>
      <c r="E762" s="18">
        <v>3</v>
      </c>
    </row>
    <row r="763" spans="1:5" x14ac:dyDescent="0.3">
      <c r="A763" s="18" t="s">
        <v>2</v>
      </c>
      <c r="B763" s="18" t="s">
        <v>30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2</v>
      </c>
      <c r="B764" s="18" t="s">
        <v>79</v>
      </c>
      <c r="C764" s="18">
        <v>1</v>
      </c>
      <c r="D764" s="18">
        <v>0</v>
      </c>
      <c r="E764" s="18">
        <v>0</v>
      </c>
    </row>
    <row r="765" spans="1:5" x14ac:dyDescent="0.3">
      <c r="A765" s="18" t="s">
        <v>2</v>
      </c>
      <c r="B765" s="18" t="s">
        <v>481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2</v>
      </c>
      <c r="B766" s="18" t="s">
        <v>221</v>
      </c>
      <c r="C766" s="18">
        <v>1</v>
      </c>
      <c r="D766" s="18">
        <v>0</v>
      </c>
      <c r="E766" s="18">
        <v>4</v>
      </c>
    </row>
    <row r="767" spans="1:5" x14ac:dyDescent="0.3">
      <c r="A767" s="18" t="s">
        <v>2</v>
      </c>
      <c r="B767" s="18" t="s">
        <v>2572</v>
      </c>
      <c r="C767" s="18">
        <v>1</v>
      </c>
      <c r="D767" s="18">
        <v>0</v>
      </c>
      <c r="E767" s="18">
        <v>2</v>
      </c>
    </row>
    <row r="768" spans="1:5" x14ac:dyDescent="0.3">
      <c r="A768" s="18" t="s">
        <v>2</v>
      </c>
      <c r="B768" s="18" t="s">
        <v>2616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2</v>
      </c>
      <c r="B769" s="18" t="s">
        <v>158</v>
      </c>
      <c r="C769" s="18">
        <v>1</v>
      </c>
      <c r="D769" s="18">
        <v>0</v>
      </c>
      <c r="E769" s="18">
        <v>2</v>
      </c>
    </row>
    <row r="770" spans="1:5" x14ac:dyDescent="0.3">
      <c r="A770" s="18" t="s">
        <v>2</v>
      </c>
      <c r="B770" s="18" t="s">
        <v>43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2</v>
      </c>
      <c r="B771" s="18" t="s">
        <v>113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2</v>
      </c>
      <c r="B772" s="18" t="s">
        <v>54</v>
      </c>
      <c r="C772" s="18">
        <v>1</v>
      </c>
      <c r="D772" s="18">
        <v>0</v>
      </c>
      <c r="E772" s="18">
        <v>3</v>
      </c>
    </row>
    <row r="773" spans="1:5" x14ac:dyDescent="0.3">
      <c r="A773" s="18" t="s">
        <v>2</v>
      </c>
      <c r="B773" s="18" t="s">
        <v>240</v>
      </c>
      <c r="C773" s="18">
        <v>1</v>
      </c>
      <c r="D773" s="18">
        <v>0</v>
      </c>
      <c r="E773" s="18">
        <v>2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03BA8-F8B3-45A8-8115-A930651D0383}">
  <sheetPr codeName="Sheet51"/>
  <dimension ref="A1:M620"/>
  <sheetViews>
    <sheetView workbookViewId="0">
      <selection activeCell="A2" sqref="A2:E37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52</v>
      </c>
      <c r="D2" s="17">
        <v>48</v>
      </c>
      <c r="E2" s="17">
        <v>54</v>
      </c>
    </row>
    <row r="3" spans="1:13" customFormat="1" x14ac:dyDescent="0.3">
      <c r="A3" s="17" t="s">
        <v>0</v>
      </c>
      <c r="B3" s="17" t="s">
        <v>2944</v>
      </c>
      <c r="C3" s="17">
        <v>42</v>
      </c>
      <c r="D3" s="17">
        <v>38</v>
      </c>
      <c r="E3" s="17">
        <v>46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21</v>
      </c>
      <c r="D4" s="17">
        <v>20</v>
      </c>
      <c r="E4" s="17">
        <v>24</v>
      </c>
      <c r="G4" s="23" t="s">
        <v>8</v>
      </c>
      <c r="H4" s="19">
        <f>H13+H14</f>
        <v>361</v>
      </c>
      <c r="I4" s="20">
        <f>H4/H$6</f>
        <v>0.51942446043165469</v>
      </c>
      <c r="J4" s="19">
        <f>I13+I14</f>
        <v>242</v>
      </c>
      <c r="K4" s="20">
        <f>J4/J$6</f>
        <v>0.4627151051625239</v>
      </c>
      <c r="L4" s="19">
        <f>J13+J14</f>
        <v>420</v>
      </c>
      <c r="M4" s="29">
        <f>L4/L$6</f>
        <v>0.52631578947368418</v>
      </c>
    </row>
    <row r="5" spans="1:13" customFormat="1" x14ac:dyDescent="0.3">
      <c r="A5" s="17" t="s">
        <v>0</v>
      </c>
      <c r="B5" s="17" t="s">
        <v>31</v>
      </c>
      <c r="C5" s="17">
        <v>20</v>
      </c>
      <c r="D5" s="17">
        <v>20</v>
      </c>
      <c r="E5" s="17">
        <v>20</v>
      </c>
      <c r="G5" s="23" t="s">
        <v>10</v>
      </c>
      <c r="H5" s="19">
        <f>H15+H16</f>
        <v>334</v>
      </c>
      <c r="I5" s="20">
        <f>H5/H$6</f>
        <v>0.48057553956834531</v>
      </c>
      <c r="J5" s="19">
        <f>I15+I16</f>
        <v>281</v>
      </c>
      <c r="K5" s="20">
        <f>J5/J$6</f>
        <v>0.5372848948374761</v>
      </c>
      <c r="L5" s="19">
        <f>J15+J16</f>
        <v>378</v>
      </c>
      <c r="M5" s="29">
        <f>L5/L$6</f>
        <v>0.47368421052631576</v>
      </c>
    </row>
    <row r="6" spans="1:13" customFormat="1" ht="17.25" thickBot="1" x14ac:dyDescent="0.35">
      <c r="A6" s="17" t="s">
        <v>0</v>
      </c>
      <c r="B6" s="17" t="s">
        <v>2075</v>
      </c>
      <c r="C6" s="17">
        <v>19</v>
      </c>
      <c r="D6" s="17">
        <v>18</v>
      </c>
      <c r="E6" s="17">
        <v>22</v>
      </c>
      <c r="G6" s="26"/>
      <c r="H6" s="30">
        <f>SUM(H4:H5)</f>
        <v>695</v>
      </c>
      <c r="I6" s="31">
        <f>I4+I5</f>
        <v>1</v>
      </c>
      <c r="J6" s="30">
        <f>SUM(J4:J5)</f>
        <v>523</v>
      </c>
      <c r="K6" s="31">
        <f>K4+K5</f>
        <v>1</v>
      </c>
      <c r="L6" s="30">
        <f>SUM(L4:L5)</f>
        <v>798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28</v>
      </c>
      <c r="D7" s="17">
        <v>14</v>
      </c>
      <c r="E7" s="17">
        <v>48</v>
      </c>
    </row>
    <row r="8" spans="1:13" customFormat="1" x14ac:dyDescent="0.3">
      <c r="A8" s="17" t="s">
        <v>0</v>
      </c>
      <c r="B8" s="17" t="s">
        <v>61</v>
      </c>
      <c r="C8" s="17">
        <v>7</v>
      </c>
      <c r="D8" s="17">
        <v>7</v>
      </c>
      <c r="E8" s="17">
        <v>7</v>
      </c>
    </row>
    <row r="9" spans="1:13" customFormat="1" x14ac:dyDescent="0.3">
      <c r="A9" s="17" t="s">
        <v>0</v>
      </c>
      <c r="B9" s="17" t="s">
        <v>30</v>
      </c>
      <c r="C9" s="17">
        <v>10</v>
      </c>
      <c r="D9" s="17">
        <v>6</v>
      </c>
      <c r="E9" s="17">
        <v>14</v>
      </c>
    </row>
    <row r="10" spans="1:13" customFormat="1" ht="17.25" thickBot="1" x14ac:dyDescent="0.35">
      <c r="A10" s="17" t="s">
        <v>1</v>
      </c>
      <c r="B10" s="17" t="s">
        <v>31</v>
      </c>
      <c r="C10" s="17">
        <v>5</v>
      </c>
      <c r="D10" s="17">
        <v>5</v>
      </c>
      <c r="E10" s="17">
        <v>5</v>
      </c>
    </row>
    <row r="11" spans="1:13" x14ac:dyDescent="0.3">
      <c r="A11" s="17" t="s">
        <v>1</v>
      </c>
      <c r="B11" s="17" t="s">
        <v>1927</v>
      </c>
      <c r="C11" s="17">
        <v>4</v>
      </c>
      <c r="D11" s="17">
        <v>4</v>
      </c>
      <c r="E11" s="17">
        <v>5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34</v>
      </c>
      <c r="C12" s="17">
        <v>4</v>
      </c>
      <c r="D12" s="17">
        <v>4</v>
      </c>
      <c r="E12" s="17">
        <v>4</v>
      </c>
      <c r="G12" s="23"/>
      <c r="H12" s="21">
        <f t="shared" ref="H12:J12" si="0">SUM(H13:H16)</f>
        <v>695</v>
      </c>
      <c r="I12" s="21">
        <f t="shared" si="0"/>
        <v>523</v>
      </c>
      <c r="J12" s="24">
        <f t="shared" si="0"/>
        <v>798</v>
      </c>
    </row>
    <row r="13" spans="1:13" x14ac:dyDescent="0.3">
      <c r="A13" s="17" t="s">
        <v>0</v>
      </c>
      <c r="B13" s="17" t="s">
        <v>267</v>
      </c>
      <c r="C13" s="17">
        <v>4</v>
      </c>
      <c r="D13" s="17">
        <v>4</v>
      </c>
      <c r="E13" s="17">
        <v>4</v>
      </c>
      <c r="G13" s="23" t="s">
        <v>7</v>
      </c>
      <c r="H13" s="22">
        <f t="shared" ref="H13:J16" si="1">SUMIF($A$2:$A$9999,$G13,C$2:C$9999)</f>
        <v>361</v>
      </c>
      <c r="I13" s="22">
        <f t="shared" si="1"/>
        <v>242</v>
      </c>
      <c r="J13" s="25">
        <f t="shared" si="1"/>
        <v>420</v>
      </c>
    </row>
    <row r="14" spans="1:13" x14ac:dyDescent="0.3">
      <c r="A14" s="17" t="s">
        <v>0</v>
      </c>
      <c r="B14" s="17" t="s">
        <v>51</v>
      </c>
      <c r="C14" s="17">
        <v>4</v>
      </c>
      <c r="D14" s="17">
        <v>4</v>
      </c>
      <c r="E14" s="17">
        <v>5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41</v>
      </c>
      <c r="C15" s="17">
        <v>3</v>
      </c>
      <c r="D15" s="17">
        <v>3</v>
      </c>
      <c r="E15" s="17">
        <v>3</v>
      </c>
      <c r="G15" s="23" t="s">
        <v>11</v>
      </c>
      <c r="H15" s="22">
        <f t="shared" si="1"/>
        <v>325</v>
      </c>
      <c r="I15" s="22">
        <f t="shared" si="1"/>
        <v>273</v>
      </c>
      <c r="J15" s="25">
        <f t="shared" si="1"/>
        <v>366</v>
      </c>
    </row>
    <row r="16" spans="1:13" ht="17.25" thickBot="1" x14ac:dyDescent="0.35">
      <c r="A16" s="17" t="s">
        <v>1</v>
      </c>
      <c r="B16" s="17" t="s">
        <v>365</v>
      </c>
      <c r="C16" s="17">
        <v>4</v>
      </c>
      <c r="D16" s="17">
        <v>3</v>
      </c>
      <c r="E16" s="17">
        <v>4</v>
      </c>
      <c r="G16" s="26" t="s">
        <v>12</v>
      </c>
      <c r="H16" s="27">
        <f t="shared" si="1"/>
        <v>9</v>
      </c>
      <c r="I16" s="27">
        <f t="shared" si="1"/>
        <v>8</v>
      </c>
      <c r="J16" s="28">
        <f t="shared" si="1"/>
        <v>12</v>
      </c>
    </row>
    <row r="17" spans="1:5" x14ac:dyDescent="0.3">
      <c r="A17" s="17" t="s">
        <v>1</v>
      </c>
      <c r="B17" s="17" t="s">
        <v>61</v>
      </c>
      <c r="C17" s="17">
        <v>3</v>
      </c>
      <c r="D17" s="17">
        <v>3</v>
      </c>
      <c r="E17" s="17">
        <v>3</v>
      </c>
    </row>
    <row r="18" spans="1:5" x14ac:dyDescent="0.3">
      <c r="A18" s="17" t="s">
        <v>1</v>
      </c>
      <c r="B18" s="17" t="s">
        <v>487</v>
      </c>
      <c r="C18" s="17">
        <v>6</v>
      </c>
      <c r="D18" s="17">
        <v>3</v>
      </c>
      <c r="E18" s="17">
        <v>5</v>
      </c>
    </row>
    <row r="19" spans="1:5" x14ac:dyDescent="0.3">
      <c r="A19" s="17" t="s">
        <v>1</v>
      </c>
      <c r="B19" s="17" t="s">
        <v>2572</v>
      </c>
      <c r="C19" s="17">
        <v>4</v>
      </c>
      <c r="D19" s="17">
        <v>3</v>
      </c>
      <c r="E19" s="17">
        <v>7</v>
      </c>
    </row>
    <row r="20" spans="1:5" x14ac:dyDescent="0.3">
      <c r="A20" s="17" t="s">
        <v>1</v>
      </c>
      <c r="B20" s="17" t="s">
        <v>2944</v>
      </c>
      <c r="C20" s="17">
        <v>3</v>
      </c>
      <c r="D20" s="17">
        <v>3</v>
      </c>
      <c r="E20" s="17">
        <v>4</v>
      </c>
    </row>
    <row r="21" spans="1:5" x14ac:dyDescent="0.3">
      <c r="A21" s="17" t="s">
        <v>1</v>
      </c>
      <c r="B21" s="17" t="s">
        <v>3036</v>
      </c>
      <c r="C21" s="17">
        <v>9</v>
      </c>
      <c r="D21" s="17">
        <v>3</v>
      </c>
      <c r="E21" s="17">
        <v>11</v>
      </c>
    </row>
    <row r="22" spans="1:5" x14ac:dyDescent="0.3">
      <c r="A22" s="17" t="s">
        <v>1</v>
      </c>
      <c r="B22" s="17" t="s">
        <v>526</v>
      </c>
      <c r="C22" s="17">
        <v>3</v>
      </c>
      <c r="D22" s="17">
        <v>3</v>
      </c>
      <c r="E22" s="17">
        <v>3</v>
      </c>
    </row>
    <row r="23" spans="1:5" x14ac:dyDescent="0.3">
      <c r="A23" s="17" t="s">
        <v>1</v>
      </c>
      <c r="B23" s="17" t="s">
        <v>29</v>
      </c>
      <c r="C23" s="17">
        <v>3</v>
      </c>
      <c r="D23" s="17">
        <v>3</v>
      </c>
      <c r="E23" s="17">
        <v>5</v>
      </c>
    </row>
    <row r="24" spans="1:5" x14ac:dyDescent="0.3">
      <c r="A24" s="17" t="s">
        <v>1</v>
      </c>
      <c r="B24" s="17" t="s">
        <v>120</v>
      </c>
      <c r="C24" s="17">
        <v>3</v>
      </c>
      <c r="D24" s="17">
        <v>3</v>
      </c>
      <c r="E24" s="17">
        <v>4</v>
      </c>
    </row>
    <row r="25" spans="1:5" x14ac:dyDescent="0.3">
      <c r="A25" s="17" t="s">
        <v>1</v>
      </c>
      <c r="B25" s="17" t="s">
        <v>32</v>
      </c>
      <c r="C25" s="17">
        <v>4</v>
      </c>
      <c r="D25" s="17">
        <v>3</v>
      </c>
      <c r="E25" s="17">
        <v>7</v>
      </c>
    </row>
    <row r="26" spans="1:5" x14ac:dyDescent="0.3">
      <c r="A26" s="17" t="s">
        <v>0</v>
      </c>
      <c r="B26" s="17" t="s">
        <v>490</v>
      </c>
      <c r="C26" s="17">
        <v>3</v>
      </c>
      <c r="D26" s="17">
        <v>3</v>
      </c>
      <c r="E26" s="17">
        <v>3</v>
      </c>
    </row>
    <row r="27" spans="1:5" x14ac:dyDescent="0.3">
      <c r="A27" s="17" t="s">
        <v>0</v>
      </c>
      <c r="B27" s="17" t="s">
        <v>60</v>
      </c>
      <c r="C27" s="17">
        <v>3</v>
      </c>
      <c r="D27" s="17">
        <v>3</v>
      </c>
      <c r="E27" s="17">
        <v>3</v>
      </c>
    </row>
    <row r="28" spans="1:5" x14ac:dyDescent="0.3">
      <c r="A28" s="17" t="s">
        <v>0</v>
      </c>
      <c r="B28" s="17" t="s">
        <v>1946</v>
      </c>
      <c r="C28" s="17">
        <v>4</v>
      </c>
      <c r="D28" s="17">
        <v>3</v>
      </c>
      <c r="E28" s="17">
        <v>4</v>
      </c>
    </row>
    <row r="29" spans="1:5" x14ac:dyDescent="0.3">
      <c r="A29" s="17" t="s">
        <v>0</v>
      </c>
      <c r="B29" s="17" t="s">
        <v>3036</v>
      </c>
      <c r="C29" s="17">
        <v>6</v>
      </c>
      <c r="D29" s="17">
        <v>3</v>
      </c>
      <c r="E29" s="17">
        <v>7</v>
      </c>
    </row>
    <row r="30" spans="1:5" x14ac:dyDescent="0.3">
      <c r="A30" s="17" t="s">
        <v>0</v>
      </c>
      <c r="B30" s="17" t="s">
        <v>695</v>
      </c>
      <c r="C30" s="17">
        <v>3</v>
      </c>
      <c r="D30" s="17">
        <v>3</v>
      </c>
      <c r="E30" s="17">
        <v>4</v>
      </c>
    </row>
    <row r="31" spans="1:5" x14ac:dyDescent="0.3">
      <c r="A31" s="17" t="s">
        <v>1</v>
      </c>
      <c r="B31" s="17" t="s">
        <v>140</v>
      </c>
      <c r="C31" s="17">
        <v>2</v>
      </c>
      <c r="D31" s="17">
        <v>2</v>
      </c>
      <c r="E31" s="17">
        <v>2</v>
      </c>
    </row>
    <row r="32" spans="1:5" x14ac:dyDescent="0.3">
      <c r="A32" s="17" t="s">
        <v>1</v>
      </c>
      <c r="B32" s="17" t="s">
        <v>33</v>
      </c>
      <c r="C32" s="17">
        <v>2</v>
      </c>
      <c r="D32" s="17">
        <v>2</v>
      </c>
      <c r="E32" s="17">
        <v>2</v>
      </c>
    </row>
    <row r="33" spans="1:5" x14ac:dyDescent="0.3">
      <c r="A33" s="17" t="s">
        <v>1</v>
      </c>
      <c r="B33" s="17" t="s">
        <v>48</v>
      </c>
      <c r="C33" s="17">
        <v>2</v>
      </c>
      <c r="D33" s="17">
        <v>2</v>
      </c>
      <c r="E33" s="17">
        <v>2</v>
      </c>
    </row>
    <row r="34" spans="1:5" x14ac:dyDescent="0.3">
      <c r="A34" s="17" t="s">
        <v>1</v>
      </c>
      <c r="B34" s="17" t="s">
        <v>151</v>
      </c>
      <c r="C34" s="17">
        <v>3</v>
      </c>
      <c r="D34" s="17">
        <v>2</v>
      </c>
      <c r="E34" s="17">
        <v>3</v>
      </c>
    </row>
    <row r="35" spans="1:5" x14ac:dyDescent="0.3">
      <c r="A35" s="17" t="s">
        <v>1</v>
      </c>
      <c r="B35" s="17" t="s">
        <v>152</v>
      </c>
      <c r="C35" s="17">
        <v>2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1428</v>
      </c>
      <c r="C36" s="17">
        <v>2</v>
      </c>
      <c r="D36" s="17">
        <v>2</v>
      </c>
      <c r="E36" s="17">
        <v>2</v>
      </c>
    </row>
    <row r="37" spans="1:5" x14ac:dyDescent="0.3">
      <c r="A37" s="17" t="s">
        <v>1</v>
      </c>
      <c r="B37" s="17" t="s">
        <v>103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51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695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300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746</v>
      </c>
      <c r="C41" s="17">
        <v>3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135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56</v>
      </c>
      <c r="C43" s="17">
        <v>2</v>
      </c>
      <c r="D43" s="17">
        <v>2</v>
      </c>
      <c r="E43" s="17">
        <v>2</v>
      </c>
    </row>
    <row r="44" spans="1:5" x14ac:dyDescent="0.3">
      <c r="A44" s="17" t="s">
        <v>0</v>
      </c>
      <c r="B44" s="17" t="s">
        <v>384</v>
      </c>
      <c r="C44" s="17">
        <v>2</v>
      </c>
      <c r="D44" s="17">
        <v>2</v>
      </c>
      <c r="E44" s="17">
        <v>2</v>
      </c>
    </row>
    <row r="45" spans="1:5" x14ac:dyDescent="0.3">
      <c r="A45" s="17" t="s">
        <v>0</v>
      </c>
      <c r="B45" s="17" t="s">
        <v>33</v>
      </c>
      <c r="C45" s="17">
        <v>2</v>
      </c>
      <c r="D45" s="17">
        <v>2</v>
      </c>
      <c r="E45" s="17">
        <v>2</v>
      </c>
    </row>
    <row r="46" spans="1:5" x14ac:dyDescent="0.3">
      <c r="A46" s="17" t="s">
        <v>0</v>
      </c>
      <c r="B46" s="17" t="s">
        <v>516</v>
      </c>
      <c r="C46" s="17">
        <v>2</v>
      </c>
      <c r="D46" s="17">
        <v>2</v>
      </c>
      <c r="E46" s="17">
        <v>2</v>
      </c>
    </row>
    <row r="47" spans="1:5" x14ac:dyDescent="0.3">
      <c r="A47" s="17" t="s">
        <v>0</v>
      </c>
      <c r="B47" s="17" t="s">
        <v>149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365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2396</v>
      </c>
      <c r="C49" s="17">
        <v>3</v>
      </c>
      <c r="D49" s="17">
        <v>2</v>
      </c>
      <c r="E49" s="17">
        <v>3</v>
      </c>
    </row>
    <row r="50" spans="1:5" x14ac:dyDescent="0.3">
      <c r="A50" s="17" t="s">
        <v>0</v>
      </c>
      <c r="B50" s="17" t="s">
        <v>35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163</v>
      </c>
      <c r="C51" s="17">
        <v>2</v>
      </c>
      <c r="D51" s="17">
        <v>2</v>
      </c>
      <c r="E51" s="17">
        <v>2</v>
      </c>
    </row>
    <row r="52" spans="1:5" x14ac:dyDescent="0.3">
      <c r="A52" s="17" t="s">
        <v>0</v>
      </c>
      <c r="B52" s="17" t="s">
        <v>107</v>
      </c>
      <c r="C52" s="17">
        <v>2</v>
      </c>
      <c r="D52" s="17">
        <v>2</v>
      </c>
      <c r="E52" s="17">
        <v>3</v>
      </c>
    </row>
    <row r="53" spans="1:5" x14ac:dyDescent="0.3">
      <c r="A53" s="17" t="s">
        <v>0</v>
      </c>
      <c r="B53" s="17" t="s">
        <v>168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110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226</v>
      </c>
      <c r="C55" s="17">
        <v>2</v>
      </c>
      <c r="D55" s="17">
        <v>2</v>
      </c>
      <c r="E55" s="17">
        <v>3</v>
      </c>
    </row>
    <row r="56" spans="1:5" x14ac:dyDescent="0.3">
      <c r="A56" s="17" t="s">
        <v>0</v>
      </c>
      <c r="B56" s="17" t="s">
        <v>123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46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132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38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39</v>
      </c>
      <c r="C60" s="17">
        <v>2</v>
      </c>
      <c r="D60" s="17">
        <v>2</v>
      </c>
      <c r="E60" s="17">
        <v>6</v>
      </c>
    </row>
    <row r="61" spans="1:5" x14ac:dyDescent="0.3">
      <c r="A61" s="17" t="s">
        <v>1</v>
      </c>
      <c r="B61" s="17" t="s">
        <v>3245</v>
      </c>
      <c r="C61" s="17">
        <v>1</v>
      </c>
      <c r="D61" s="17">
        <v>1</v>
      </c>
      <c r="E61" s="17">
        <v>1</v>
      </c>
    </row>
    <row r="62" spans="1:5" x14ac:dyDescent="0.3">
      <c r="A62" s="17" t="s">
        <v>1</v>
      </c>
      <c r="B62" s="17" t="s">
        <v>57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272</v>
      </c>
      <c r="C63" s="17">
        <v>1</v>
      </c>
      <c r="D63" s="17">
        <v>1</v>
      </c>
      <c r="E63" s="17">
        <v>1</v>
      </c>
    </row>
    <row r="64" spans="1:5" x14ac:dyDescent="0.3">
      <c r="A64" s="17" t="s">
        <v>1</v>
      </c>
      <c r="B64" s="17" t="s">
        <v>146</v>
      </c>
      <c r="C64" s="17">
        <v>1</v>
      </c>
      <c r="D64" s="17">
        <v>1</v>
      </c>
      <c r="E64" s="17">
        <v>1</v>
      </c>
    </row>
    <row r="65" spans="1:5" x14ac:dyDescent="0.3">
      <c r="A65" s="17" t="s">
        <v>1</v>
      </c>
      <c r="B65" s="17" t="s">
        <v>356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357</v>
      </c>
      <c r="C66" s="17">
        <v>1</v>
      </c>
      <c r="D66" s="17">
        <v>1</v>
      </c>
      <c r="E66" s="17">
        <v>1</v>
      </c>
    </row>
    <row r="67" spans="1:5" x14ac:dyDescent="0.3">
      <c r="A67" s="17" t="s">
        <v>1</v>
      </c>
      <c r="B67" s="17" t="s">
        <v>906</v>
      </c>
      <c r="C67" s="17">
        <v>1</v>
      </c>
      <c r="D67" s="17">
        <v>1</v>
      </c>
      <c r="E67" s="17">
        <v>2</v>
      </c>
    </row>
    <row r="68" spans="1:5" x14ac:dyDescent="0.3">
      <c r="A68" s="17" t="s">
        <v>1</v>
      </c>
      <c r="B68" s="17" t="s">
        <v>79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1054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1610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267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83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1338</v>
      </c>
      <c r="C73" s="17">
        <v>2</v>
      </c>
      <c r="D73" s="17">
        <v>1</v>
      </c>
      <c r="E73" s="17">
        <v>2</v>
      </c>
    </row>
    <row r="74" spans="1:5" x14ac:dyDescent="0.3">
      <c r="A74" s="17" t="s">
        <v>1</v>
      </c>
      <c r="B74" s="17" t="s">
        <v>85</v>
      </c>
      <c r="C74" s="17">
        <v>2</v>
      </c>
      <c r="D74" s="17">
        <v>1</v>
      </c>
      <c r="E74" s="17">
        <v>2</v>
      </c>
    </row>
    <row r="75" spans="1:5" x14ac:dyDescent="0.3">
      <c r="A75" s="17" t="s">
        <v>1</v>
      </c>
      <c r="B75" s="17" t="s">
        <v>2286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938</v>
      </c>
      <c r="C76" s="17">
        <v>2</v>
      </c>
      <c r="D76" s="17">
        <v>1</v>
      </c>
      <c r="E76" s="17">
        <v>2</v>
      </c>
    </row>
    <row r="77" spans="1:5" x14ac:dyDescent="0.3">
      <c r="A77" s="17" t="s">
        <v>1</v>
      </c>
      <c r="B77" s="17" t="s">
        <v>361</v>
      </c>
      <c r="C77" s="17">
        <v>2</v>
      </c>
      <c r="D77" s="17">
        <v>1</v>
      </c>
      <c r="E77" s="17">
        <v>2</v>
      </c>
    </row>
    <row r="78" spans="1:5" x14ac:dyDescent="0.3">
      <c r="A78" s="17" t="s">
        <v>1</v>
      </c>
      <c r="B78" s="17" t="s">
        <v>89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153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281</v>
      </c>
      <c r="C80" s="17">
        <v>2</v>
      </c>
      <c r="D80" s="17">
        <v>1</v>
      </c>
      <c r="E80" s="17">
        <v>2</v>
      </c>
    </row>
    <row r="81" spans="1:5" x14ac:dyDescent="0.3">
      <c r="A81" s="17" t="s">
        <v>1</v>
      </c>
      <c r="B81" s="17" t="s">
        <v>93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437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156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60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1613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96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2075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2292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2493</v>
      </c>
      <c r="C89" s="17">
        <v>1</v>
      </c>
      <c r="D89" s="17">
        <v>1</v>
      </c>
      <c r="E89" s="17">
        <v>2</v>
      </c>
    </row>
    <row r="90" spans="1:5" x14ac:dyDescent="0.3">
      <c r="A90" s="17" t="s">
        <v>1</v>
      </c>
      <c r="B90" s="17" t="s">
        <v>2395</v>
      </c>
      <c r="C90" s="17">
        <v>2</v>
      </c>
      <c r="D90" s="17">
        <v>1</v>
      </c>
      <c r="E90" s="17">
        <v>2</v>
      </c>
    </row>
    <row r="91" spans="1:5" x14ac:dyDescent="0.3">
      <c r="A91" s="17" t="s">
        <v>1</v>
      </c>
      <c r="B91" s="17" t="s">
        <v>2692</v>
      </c>
      <c r="C91" s="17">
        <v>4</v>
      </c>
      <c r="D91" s="17">
        <v>1</v>
      </c>
      <c r="E91" s="17">
        <v>4</v>
      </c>
    </row>
    <row r="92" spans="1:5" x14ac:dyDescent="0.3">
      <c r="A92" s="17" t="s">
        <v>1</v>
      </c>
      <c r="B92" s="17" t="s">
        <v>1035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400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1103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1219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715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1067</v>
      </c>
      <c r="C97" s="17">
        <v>1</v>
      </c>
      <c r="D97" s="17">
        <v>1</v>
      </c>
      <c r="E97" s="17">
        <v>2</v>
      </c>
    </row>
    <row r="98" spans="1:5" x14ac:dyDescent="0.3">
      <c r="A98" s="17" t="s">
        <v>1</v>
      </c>
      <c r="B98" s="17" t="s">
        <v>1898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995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163</v>
      </c>
      <c r="C100" s="17">
        <v>1</v>
      </c>
      <c r="D100" s="17">
        <v>1</v>
      </c>
      <c r="E100" s="17">
        <v>2</v>
      </c>
    </row>
    <row r="101" spans="1:5" x14ac:dyDescent="0.3">
      <c r="A101" s="17" t="s">
        <v>1</v>
      </c>
      <c r="B101" s="17" t="s">
        <v>28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1146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646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199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169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406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110</v>
      </c>
      <c r="C107" s="17">
        <v>1</v>
      </c>
      <c r="D107" s="17">
        <v>1</v>
      </c>
      <c r="E107" s="17">
        <v>2</v>
      </c>
    </row>
    <row r="108" spans="1:5" x14ac:dyDescent="0.3">
      <c r="A108" s="17" t="s">
        <v>1</v>
      </c>
      <c r="B108" s="17" t="s">
        <v>407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593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1799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111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171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650</v>
      </c>
      <c r="C113" s="17">
        <v>1</v>
      </c>
      <c r="D113" s="17">
        <v>1</v>
      </c>
      <c r="E113" s="17">
        <v>2</v>
      </c>
    </row>
    <row r="114" spans="1:5" x14ac:dyDescent="0.3">
      <c r="A114" s="17" t="s">
        <v>1</v>
      </c>
      <c r="B114" s="17" t="s">
        <v>289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1394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3246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594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1736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1345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539</v>
      </c>
      <c r="C120" s="17">
        <v>1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1037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1678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45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2105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953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607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1231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657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117</v>
      </c>
      <c r="C129" s="17">
        <v>2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1188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1110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176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342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662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122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663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125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418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1382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1265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1016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63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664</v>
      </c>
      <c r="C143" s="17">
        <v>1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126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2101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747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749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699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262</v>
      </c>
      <c r="C149" s="17">
        <v>2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1502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451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1400</v>
      </c>
      <c r="C152" s="17">
        <v>1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568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849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195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39</v>
      </c>
      <c r="C156" s="17">
        <v>5</v>
      </c>
      <c r="D156" s="17">
        <v>1</v>
      </c>
      <c r="E156" s="17">
        <v>8</v>
      </c>
    </row>
    <row r="157" spans="1:5" x14ac:dyDescent="0.3">
      <c r="A157" s="17" t="s">
        <v>1</v>
      </c>
      <c r="B157" s="17" t="s">
        <v>54</v>
      </c>
      <c r="C157" s="17">
        <v>2</v>
      </c>
      <c r="D157" s="17">
        <v>1</v>
      </c>
      <c r="E157" s="17">
        <v>4</v>
      </c>
    </row>
    <row r="158" spans="1:5" x14ac:dyDescent="0.3">
      <c r="A158" s="17" t="s">
        <v>1</v>
      </c>
      <c r="B158" s="17" t="s">
        <v>3247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2155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456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266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3095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674</v>
      </c>
      <c r="C163" s="17">
        <v>1</v>
      </c>
      <c r="D163" s="17">
        <v>1</v>
      </c>
      <c r="E163" s="17"/>
    </row>
    <row r="164" spans="1:5" x14ac:dyDescent="0.3">
      <c r="A164" s="17" t="s">
        <v>1</v>
      </c>
      <c r="B164" s="17" t="s">
        <v>3248</v>
      </c>
      <c r="C164" s="17">
        <v>1</v>
      </c>
      <c r="D164" s="17">
        <v>1</v>
      </c>
      <c r="E164" s="17"/>
    </row>
    <row r="165" spans="1:5" x14ac:dyDescent="0.3">
      <c r="A165" s="17" t="s">
        <v>1</v>
      </c>
      <c r="B165" s="17" t="s">
        <v>3249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1606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1794</v>
      </c>
      <c r="C167" s="17">
        <v>1</v>
      </c>
      <c r="D167" s="17">
        <v>1</v>
      </c>
      <c r="E167" s="17">
        <v>3</v>
      </c>
    </row>
    <row r="168" spans="1:5" x14ac:dyDescent="0.3">
      <c r="A168" s="17" t="s">
        <v>1</v>
      </c>
      <c r="B168" s="17" t="s">
        <v>1544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3250</v>
      </c>
      <c r="C169" s="17">
        <v>1</v>
      </c>
      <c r="D169" s="17">
        <v>1</v>
      </c>
      <c r="E169" s="17"/>
    </row>
    <row r="170" spans="1:5" x14ac:dyDescent="0.3">
      <c r="A170" s="17" t="s">
        <v>1</v>
      </c>
      <c r="B170" s="17" t="s">
        <v>431</v>
      </c>
      <c r="C170" s="17">
        <v>1</v>
      </c>
      <c r="D170" s="17">
        <v>1</v>
      </c>
      <c r="E170" s="17"/>
    </row>
    <row r="171" spans="1:5" x14ac:dyDescent="0.3">
      <c r="A171" s="17" t="s">
        <v>1</v>
      </c>
      <c r="B171" s="17" t="s">
        <v>2775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1213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2557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3251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242</v>
      </c>
      <c r="C175" s="17">
        <v>2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310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206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272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3252</v>
      </c>
      <c r="C179" s="17">
        <v>1</v>
      </c>
      <c r="D179" s="17">
        <v>1</v>
      </c>
      <c r="E179" s="17">
        <v>2</v>
      </c>
    </row>
    <row r="180" spans="1:5" x14ac:dyDescent="0.3">
      <c r="A180" s="17" t="s">
        <v>0</v>
      </c>
      <c r="B180" s="17" t="s">
        <v>79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40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1334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215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584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152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0</v>
      </c>
      <c r="B186" s="17" t="s">
        <v>89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219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93</v>
      </c>
      <c r="C188" s="17">
        <v>3</v>
      </c>
      <c r="D188" s="17">
        <v>1</v>
      </c>
      <c r="E188" s="17">
        <v>3</v>
      </c>
    </row>
    <row r="189" spans="1:5" x14ac:dyDescent="0.3">
      <c r="A189" s="17" t="s">
        <v>0</v>
      </c>
      <c r="B189" s="17" t="s">
        <v>437</v>
      </c>
      <c r="C189" s="17">
        <v>1</v>
      </c>
      <c r="D189" s="17">
        <v>1</v>
      </c>
      <c r="E189" s="17">
        <v>2</v>
      </c>
    </row>
    <row r="190" spans="1:5" x14ac:dyDescent="0.3">
      <c r="A190" s="17" t="s">
        <v>0</v>
      </c>
      <c r="B190" s="17" t="s">
        <v>678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0</v>
      </c>
      <c r="B191" s="17" t="s">
        <v>155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95</v>
      </c>
      <c r="C192" s="17">
        <v>1</v>
      </c>
      <c r="D192" s="17">
        <v>1</v>
      </c>
      <c r="E192" s="17">
        <v>2</v>
      </c>
    </row>
    <row r="193" spans="1:5" x14ac:dyDescent="0.3">
      <c r="A193" s="17" t="s">
        <v>0</v>
      </c>
      <c r="B193" s="17" t="s">
        <v>251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1912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2440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2572</v>
      </c>
      <c r="C196" s="17">
        <v>3</v>
      </c>
      <c r="D196" s="17">
        <v>1</v>
      </c>
      <c r="E196" s="17">
        <v>4</v>
      </c>
    </row>
    <row r="197" spans="1:5" x14ac:dyDescent="0.3">
      <c r="A197" s="17" t="s">
        <v>0</v>
      </c>
      <c r="B197" s="17" t="s">
        <v>2028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1479</v>
      </c>
      <c r="C198" s="17">
        <v>1</v>
      </c>
      <c r="D198" s="17">
        <v>1</v>
      </c>
      <c r="E198" s="17">
        <v>2</v>
      </c>
    </row>
    <row r="199" spans="1:5" x14ac:dyDescent="0.3">
      <c r="A199" s="17" t="s">
        <v>0</v>
      </c>
      <c r="B199" s="17" t="s">
        <v>99</v>
      </c>
      <c r="C199" s="17">
        <v>1</v>
      </c>
      <c r="D199" s="17">
        <v>1</v>
      </c>
      <c r="E199" s="17">
        <v>3</v>
      </c>
    </row>
    <row r="200" spans="1:5" x14ac:dyDescent="0.3">
      <c r="A200" s="17" t="s">
        <v>0</v>
      </c>
      <c r="B200" s="17" t="s">
        <v>3253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840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441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162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404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28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911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352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165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2046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1168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1107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947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1182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3254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442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199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592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169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406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593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111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114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2109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291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44</v>
      </c>
      <c r="C225" s="17">
        <v>1</v>
      </c>
      <c r="D225" s="17">
        <v>1</v>
      </c>
      <c r="E225" s="17">
        <v>2</v>
      </c>
    </row>
    <row r="226" spans="1:5" x14ac:dyDescent="0.3">
      <c r="A226" s="17" t="s">
        <v>0</v>
      </c>
      <c r="B226" s="17" t="s">
        <v>1005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228</v>
      </c>
      <c r="C227" s="17">
        <v>1</v>
      </c>
      <c r="D227" s="17">
        <v>1</v>
      </c>
      <c r="E227" s="17">
        <v>2</v>
      </c>
    </row>
    <row r="228" spans="1:5" x14ac:dyDescent="0.3">
      <c r="A228" s="17" t="s">
        <v>0</v>
      </c>
      <c r="B228" s="17" t="s">
        <v>256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45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331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882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597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295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445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117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3255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1584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176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1161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3256</v>
      </c>
      <c r="C240" s="17">
        <v>1</v>
      </c>
      <c r="D240" s="17">
        <v>1</v>
      </c>
      <c r="E240" s="17">
        <v>4</v>
      </c>
    </row>
    <row r="241" spans="1:5" x14ac:dyDescent="0.3">
      <c r="A241" s="17" t="s">
        <v>0</v>
      </c>
      <c r="B241" s="17" t="s">
        <v>388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258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2041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3257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200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662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62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600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37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1894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300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301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182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703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1199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698</v>
      </c>
      <c r="C256" s="17">
        <v>1</v>
      </c>
      <c r="D256" s="17">
        <v>1</v>
      </c>
      <c r="E256" s="17">
        <v>2</v>
      </c>
    </row>
    <row r="257" spans="1:5" x14ac:dyDescent="0.3">
      <c r="A257" s="17" t="s">
        <v>0</v>
      </c>
      <c r="B257" s="17" t="s">
        <v>821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429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128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3258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65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305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135</v>
      </c>
      <c r="C263" s="17">
        <v>2</v>
      </c>
      <c r="D263" s="17">
        <v>1</v>
      </c>
      <c r="E263" s="17">
        <v>2</v>
      </c>
    </row>
    <row r="264" spans="1:5" x14ac:dyDescent="0.3">
      <c r="A264" s="17" t="s">
        <v>0</v>
      </c>
      <c r="B264" s="17" t="s">
        <v>567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53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138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3259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922</v>
      </c>
      <c r="C268" s="17">
        <v>1</v>
      </c>
      <c r="D268" s="17">
        <v>1</v>
      </c>
      <c r="E268" s="17"/>
    </row>
    <row r="269" spans="1:5" x14ac:dyDescent="0.3">
      <c r="A269" s="17" t="s">
        <v>0</v>
      </c>
      <c r="B269" s="17" t="s">
        <v>1606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3116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3260</v>
      </c>
      <c r="C271" s="17">
        <v>1</v>
      </c>
      <c r="D271" s="17">
        <v>1</v>
      </c>
      <c r="E271" s="17"/>
    </row>
    <row r="272" spans="1:5" x14ac:dyDescent="0.3">
      <c r="A272" s="17" t="s">
        <v>0</v>
      </c>
      <c r="B272" s="17" t="s">
        <v>1544</v>
      </c>
      <c r="C272" s="17">
        <v>2</v>
      </c>
      <c r="D272" s="17">
        <v>1</v>
      </c>
      <c r="E272" s="17">
        <v>2</v>
      </c>
    </row>
    <row r="273" spans="1:5" x14ac:dyDescent="0.3">
      <c r="A273" s="17" t="s">
        <v>2</v>
      </c>
      <c r="B273" s="17" t="s">
        <v>479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2</v>
      </c>
      <c r="B274" s="17" t="s">
        <v>221</v>
      </c>
      <c r="C274" s="17">
        <v>1</v>
      </c>
      <c r="D274" s="17">
        <v>1</v>
      </c>
      <c r="E274" s="17">
        <v>3</v>
      </c>
    </row>
    <row r="275" spans="1:5" x14ac:dyDescent="0.3">
      <c r="A275" s="17" t="s">
        <v>2</v>
      </c>
      <c r="B275" s="17" t="s">
        <v>61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2</v>
      </c>
      <c r="B276" s="17" t="s">
        <v>2692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2</v>
      </c>
      <c r="B277" s="17" t="s">
        <v>2944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2</v>
      </c>
      <c r="B278" s="17" t="s">
        <v>681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2</v>
      </c>
      <c r="B279" s="17" t="s">
        <v>37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2</v>
      </c>
      <c r="B280" s="17" t="s">
        <v>1190</v>
      </c>
      <c r="C280" s="17">
        <v>1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489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47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457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204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1</v>
      </c>
      <c r="B285" s="17" t="s">
        <v>1100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1367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392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2649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855</v>
      </c>
      <c r="C289" s="17">
        <v>1</v>
      </c>
      <c r="D289" s="17">
        <v>0</v>
      </c>
      <c r="E289" s="17">
        <v>0</v>
      </c>
    </row>
    <row r="290" spans="1:5" x14ac:dyDescent="0.3">
      <c r="A290" s="17" t="s">
        <v>1</v>
      </c>
      <c r="B290" s="17" t="s">
        <v>433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1387</v>
      </c>
      <c r="C291" s="17">
        <v>1</v>
      </c>
      <c r="D291" s="17">
        <v>0</v>
      </c>
      <c r="E291" s="17">
        <v>5</v>
      </c>
    </row>
    <row r="292" spans="1:5" x14ac:dyDescent="0.3">
      <c r="A292" s="17" t="s">
        <v>1</v>
      </c>
      <c r="B292" s="17" t="s">
        <v>1609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708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86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1</v>
      </c>
      <c r="B295" s="17" t="s">
        <v>709</v>
      </c>
      <c r="C295" s="17">
        <v>1</v>
      </c>
      <c r="D295" s="17">
        <v>0</v>
      </c>
      <c r="E295" s="17">
        <v>4</v>
      </c>
    </row>
    <row r="296" spans="1:5" x14ac:dyDescent="0.3">
      <c r="A296" s="17" t="s">
        <v>1</v>
      </c>
      <c r="B296" s="17" t="s">
        <v>632</v>
      </c>
      <c r="C296" s="17">
        <v>1</v>
      </c>
      <c r="D296" s="17">
        <v>0</v>
      </c>
      <c r="E296" s="17">
        <v>0</v>
      </c>
    </row>
    <row r="297" spans="1:5" x14ac:dyDescent="0.3">
      <c r="A297" s="17" t="s">
        <v>1</v>
      </c>
      <c r="B297" s="17" t="s">
        <v>635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1283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2461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2437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261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157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1143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2468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2441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2442</v>
      </c>
      <c r="C306" s="17">
        <v>1</v>
      </c>
      <c r="D306" s="17">
        <v>0</v>
      </c>
      <c r="E306" s="17">
        <v>3</v>
      </c>
    </row>
    <row r="307" spans="1:5" x14ac:dyDescent="0.3">
      <c r="A307" s="17" t="s">
        <v>1</v>
      </c>
      <c r="B307" s="17" t="s">
        <v>2396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2616</v>
      </c>
      <c r="C308" s="17">
        <v>2</v>
      </c>
      <c r="D308" s="17">
        <v>0</v>
      </c>
      <c r="E308" s="17">
        <v>2</v>
      </c>
    </row>
    <row r="309" spans="1:5" x14ac:dyDescent="0.3">
      <c r="A309" s="17" t="s">
        <v>1</v>
      </c>
      <c r="B309" s="17" t="s">
        <v>321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168</v>
      </c>
      <c r="C310" s="17">
        <v>1</v>
      </c>
      <c r="D310" s="17">
        <v>0</v>
      </c>
      <c r="E310" s="17">
        <v>0</v>
      </c>
    </row>
    <row r="311" spans="1:5" x14ac:dyDescent="0.3">
      <c r="A311" s="17" t="s">
        <v>1</v>
      </c>
      <c r="B311" s="17" t="s">
        <v>113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949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727</v>
      </c>
      <c r="C313" s="17">
        <v>1</v>
      </c>
      <c r="D313" s="17">
        <v>0</v>
      </c>
      <c r="E313" s="17">
        <v>0</v>
      </c>
    </row>
    <row r="314" spans="1:5" x14ac:dyDescent="0.3">
      <c r="A314" s="17" t="s">
        <v>1</v>
      </c>
      <c r="B314" s="17" t="s">
        <v>1509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371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548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655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1420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470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200</v>
      </c>
      <c r="C320" s="17">
        <v>2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1746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2920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347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3261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3262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1021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2267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964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235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381</v>
      </c>
      <c r="C330" s="17">
        <v>2</v>
      </c>
      <c r="D330" s="17">
        <v>0</v>
      </c>
      <c r="E330" s="17">
        <v>2</v>
      </c>
    </row>
    <row r="331" spans="1:5" x14ac:dyDescent="0.3">
      <c r="A331" s="17" t="s">
        <v>1</v>
      </c>
      <c r="B331" s="17" t="s">
        <v>196</v>
      </c>
      <c r="C331" s="17">
        <v>6</v>
      </c>
      <c r="D331" s="17">
        <v>0</v>
      </c>
      <c r="E331" s="17">
        <v>7</v>
      </c>
    </row>
    <row r="332" spans="1:5" x14ac:dyDescent="0.3">
      <c r="A332" s="17" t="s">
        <v>1</v>
      </c>
      <c r="B332" s="17" t="s">
        <v>238</v>
      </c>
      <c r="C332" s="17">
        <v>2</v>
      </c>
      <c r="D332" s="17">
        <v>0</v>
      </c>
      <c r="E332" s="17">
        <v>5</v>
      </c>
    </row>
    <row r="333" spans="1:5" x14ac:dyDescent="0.3">
      <c r="A333" s="17" t="s">
        <v>1</v>
      </c>
      <c r="B333" s="17" t="s">
        <v>239</v>
      </c>
      <c r="C333" s="17">
        <v>2</v>
      </c>
      <c r="D333" s="17">
        <v>0</v>
      </c>
      <c r="E333" s="17">
        <v>2</v>
      </c>
    </row>
    <row r="334" spans="1:5" x14ac:dyDescent="0.3">
      <c r="A334" s="17" t="s">
        <v>1</v>
      </c>
      <c r="B334" s="17" t="s">
        <v>672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55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240</v>
      </c>
      <c r="C336" s="17">
        <v>1</v>
      </c>
      <c r="D336" s="17">
        <v>0</v>
      </c>
      <c r="E336" s="17">
        <v>3</v>
      </c>
    </row>
    <row r="337" spans="1:5" x14ac:dyDescent="0.3">
      <c r="A337" s="17" t="s">
        <v>1</v>
      </c>
      <c r="B337" s="17" t="s">
        <v>673</v>
      </c>
      <c r="C337" s="17">
        <v>1</v>
      </c>
      <c r="D337" s="17">
        <v>0</v>
      </c>
      <c r="E337" s="17">
        <v>6</v>
      </c>
    </row>
    <row r="338" spans="1:5" x14ac:dyDescent="0.3">
      <c r="A338" s="17" t="s">
        <v>1</v>
      </c>
      <c r="B338" s="17" t="s">
        <v>382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477</v>
      </c>
      <c r="C339" s="17">
        <v>2</v>
      </c>
      <c r="D339" s="17">
        <v>0</v>
      </c>
      <c r="E339" s="17">
        <v>2</v>
      </c>
    </row>
    <row r="340" spans="1:5" x14ac:dyDescent="0.3">
      <c r="A340" s="17" t="s">
        <v>0</v>
      </c>
      <c r="B340" s="17" t="s">
        <v>47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0</v>
      </c>
      <c r="B341" s="17" t="s">
        <v>615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459</v>
      </c>
      <c r="C342" s="17">
        <v>1</v>
      </c>
      <c r="D342" s="17">
        <v>0</v>
      </c>
      <c r="E342" s="17">
        <v>2</v>
      </c>
    </row>
    <row r="343" spans="1:5" x14ac:dyDescent="0.3">
      <c r="A343" s="17" t="s">
        <v>0</v>
      </c>
      <c r="B343" s="17" t="s">
        <v>48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0</v>
      </c>
      <c r="B344" s="17" t="s">
        <v>208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0</v>
      </c>
      <c r="B345" s="17" t="s">
        <v>247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0</v>
      </c>
      <c r="B346" s="17" t="s">
        <v>1967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0</v>
      </c>
      <c r="B347" s="17" t="s">
        <v>281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0</v>
      </c>
      <c r="B348" s="17" t="s">
        <v>1143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1662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0</v>
      </c>
      <c r="B350" s="17" t="s">
        <v>1661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0</v>
      </c>
      <c r="B351" s="17" t="s">
        <v>3065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0</v>
      </c>
      <c r="B352" s="17" t="s">
        <v>2441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2692</v>
      </c>
      <c r="C353" s="17">
        <v>2</v>
      </c>
      <c r="D353" s="17">
        <v>0</v>
      </c>
      <c r="E353" s="17">
        <v>3</v>
      </c>
    </row>
    <row r="354" spans="1:5" x14ac:dyDescent="0.3">
      <c r="A354" s="17" t="s">
        <v>0</v>
      </c>
      <c r="B354" s="17" t="s">
        <v>2599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0</v>
      </c>
      <c r="B355" s="17" t="s">
        <v>1103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0</v>
      </c>
      <c r="B356" s="17" t="s">
        <v>1221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2275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0</v>
      </c>
      <c r="B358" s="17" t="s">
        <v>1793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0</v>
      </c>
      <c r="B359" s="17" t="s">
        <v>727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0</v>
      </c>
      <c r="B360" s="17" t="s">
        <v>1362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0</v>
      </c>
      <c r="B361" s="17" t="s">
        <v>1839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0</v>
      </c>
      <c r="B362" s="17" t="s">
        <v>783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0</v>
      </c>
      <c r="B363" s="17" t="s">
        <v>697</v>
      </c>
      <c r="C363" s="17">
        <v>1</v>
      </c>
      <c r="D363" s="17">
        <v>0</v>
      </c>
      <c r="E363" s="17">
        <v>3</v>
      </c>
    </row>
    <row r="364" spans="1:5" x14ac:dyDescent="0.3">
      <c r="A364" s="17" t="s">
        <v>0</v>
      </c>
      <c r="B364" s="17" t="s">
        <v>235</v>
      </c>
      <c r="C364" s="17">
        <v>1</v>
      </c>
      <c r="D364" s="17">
        <v>0</v>
      </c>
      <c r="E364" s="17">
        <v>2</v>
      </c>
    </row>
    <row r="365" spans="1:5" x14ac:dyDescent="0.3">
      <c r="A365" s="17" t="s">
        <v>0</v>
      </c>
      <c r="B365" s="17" t="s">
        <v>54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0</v>
      </c>
      <c r="B366" s="17" t="s">
        <v>672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0</v>
      </c>
      <c r="B367" s="17" t="s">
        <v>55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0</v>
      </c>
      <c r="B368" s="17" t="s">
        <v>382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0</v>
      </c>
      <c r="B369" s="17" t="s">
        <v>2546</v>
      </c>
      <c r="C369" s="17">
        <v>0</v>
      </c>
      <c r="D369" s="17">
        <v>1</v>
      </c>
      <c r="E369" s="17"/>
    </row>
    <row r="370" spans="1:5" x14ac:dyDescent="0.3">
      <c r="A370" s="17" t="s">
        <v>0</v>
      </c>
      <c r="B370" s="17" t="s">
        <v>3263</v>
      </c>
      <c r="C370" s="17">
        <v>0</v>
      </c>
      <c r="D370" s="17">
        <v>2</v>
      </c>
      <c r="E370" s="17"/>
    </row>
    <row r="371" spans="1:5" x14ac:dyDescent="0.3">
      <c r="A371" s="17" t="s">
        <v>0</v>
      </c>
      <c r="B371" s="17" t="s">
        <v>1676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0</v>
      </c>
      <c r="B372" s="17" t="s">
        <v>32</v>
      </c>
      <c r="C372" s="17">
        <v>1</v>
      </c>
      <c r="D372" s="17">
        <v>0</v>
      </c>
      <c r="E372" s="17">
        <v>3</v>
      </c>
    </row>
    <row r="373" spans="1:5" x14ac:dyDescent="0.3">
      <c r="A373" s="17" t="s">
        <v>2</v>
      </c>
      <c r="B373" s="17" t="s">
        <v>107</v>
      </c>
      <c r="C373" s="17">
        <v>1</v>
      </c>
      <c r="D373" s="17">
        <v>0</v>
      </c>
      <c r="E373" s="17">
        <v>1</v>
      </c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357DB-3788-4B9A-A11A-3C56FC5E1677}">
  <sheetPr codeName="Sheet52"/>
  <dimension ref="A1:M620"/>
  <sheetViews>
    <sheetView workbookViewId="0">
      <selection activeCell="A2" sqref="A2:E40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50</v>
      </c>
      <c r="D2" s="17">
        <v>49</v>
      </c>
      <c r="E2" s="17">
        <v>52</v>
      </c>
    </row>
    <row r="3" spans="1:13" customFormat="1" x14ac:dyDescent="0.3">
      <c r="A3" s="17" t="s">
        <v>0</v>
      </c>
      <c r="B3" s="17" t="s">
        <v>29</v>
      </c>
      <c r="C3" s="17">
        <v>28</v>
      </c>
      <c r="D3" s="17">
        <v>27</v>
      </c>
      <c r="E3" s="17">
        <v>32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31</v>
      </c>
      <c r="C4" s="17">
        <v>21</v>
      </c>
      <c r="D4" s="17">
        <v>20</v>
      </c>
      <c r="E4" s="17">
        <v>24</v>
      </c>
      <c r="G4" s="23" t="s">
        <v>8</v>
      </c>
      <c r="H4" s="19">
        <f>H13+H14</f>
        <v>399</v>
      </c>
      <c r="I4" s="20">
        <f>H4/H$6</f>
        <v>0.55882352941176472</v>
      </c>
      <c r="J4" s="19">
        <f>I13+I14</f>
        <v>271</v>
      </c>
      <c r="K4" s="20">
        <f>J4/J$6</f>
        <v>0.51132075471698113</v>
      </c>
      <c r="L4" s="19">
        <f>J13+J14</f>
        <v>475</v>
      </c>
      <c r="M4" s="29">
        <f>L4/L$6</f>
        <v>0.57367149758454106</v>
      </c>
    </row>
    <row r="5" spans="1:13" customFormat="1" x14ac:dyDescent="0.3">
      <c r="A5" s="17" t="s">
        <v>1</v>
      </c>
      <c r="B5" s="17" t="s">
        <v>30</v>
      </c>
      <c r="C5" s="17">
        <v>23</v>
      </c>
      <c r="D5" s="17">
        <v>12</v>
      </c>
      <c r="E5" s="17">
        <v>40</v>
      </c>
      <c r="G5" s="23" t="s">
        <v>10</v>
      </c>
      <c r="H5" s="19">
        <f>H15+H16</f>
        <v>315</v>
      </c>
      <c r="I5" s="20">
        <f>H5/H$6</f>
        <v>0.44117647058823528</v>
      </c>
      <c r="J5" s="19">
        <f>I15+I16</f>
        <v>259</v>
      </c>
      <c r="K5" s="20">
        <f>J5/J$6</f>
        <v>0.48867924528301887</v>
      </c>
      <c r="L5" s="19">
        <f>J15+J16</f>
        <v>353</v>
      </c>
      <c r="M5" s="29">
        <f>L5/L$6</f>
        <v>0.42632850241545894</v>
      </c>
    </row>
    <row r="6" spans="1:13" customFormat="1" ht="17.25" thickBot="1" x14ac:dyDescent="0.35">
      <c r="A6" s="17" t="s">
        <v>0</v>
      </c>
      <c r="B6" s="17" t="s">
        <v>30</v>
      </c>
      <c r="C6" s="17">
        <v>13</v>
      </c>
      <c r="D6" s="17">
        <v>10</v>
      </c>
      <c r="E6" s="17">
        <v>18</v>
      </c>
      <c r="G6" s="26"/>
      <c r="H6" s="30">
        <f>SUM(H4:H5)</f>
        <v>714</v>
      </c>
      <c r="I6" s="31">
        <f>I4+I5</f>
        <v>1</v>
      </c>
      <c r="J6" s="30">
        <f>SUM(J4:J5)</f>
        <v>530</v>
      </c>
      <c r="K6" s="31">
        <f>K4+K5</f>
        <v>1</v>
      </c>
      <c r="L6" s="30">
        <f>SUM(L4:L5)</f>
        <v>828</v>
      </c>
      <c r="M6" s="32">
        <f>M4+M5</f>
        <v>1</v>
      </c>
    </row>
    <row r="7" spans="1:13" customFormat="1" x14ac:dyDescent="0.3">
      <c r="A7" s="17" t="s">
        <v>0</v>
      </c>
      <c r="B7" s="17" t="s">
        <v>61</v>
      </c>
      <c r="C7" s="17">
        <v>7</v>
      </c>
      <c r="D7" s="17">
        <v>7</v>
      </c>
      <c r="E7" s="17">
        <v>8</v>
      </c>
    </row>
    <row r="8" spans="1:13" customFormat="1" x14ac:dyDescent="0.3">
      <c r="A8" s="17" t="s">
        <v>0</v>
      </c>
      <c r="B8" s="17" t="s">
        <v>2572</v>
      </c>
      <c r="C8" s="17">
        <v>10</v>
      </c>
      <c r="D8" s="17">
        <v>7</v>
      </c>
      <c r="E8" s="17">
        <v>13</v>
      </c>
    </row>
    <row r="9" spans="1:13" customFormat="1" x14ac:dyDescent="0.3">
      <c r="A9" s="17" t="s">
        <v>0</v>
      </c>
      <c r="B9" s="17" t="s">
        <v>168</v>
      </c>
      <c r="C9" s="17">
        <v>7</v>
      </c>
      <c r="D9" s="17">
        <v>7</v>
      </c>
      <c r="E9" s="17">
        <v>7</v>
      </c>
    </row>
    <row r="10" spans="1:13" customFormat="1" ht="17.25" thickBot="1" x14ac:dyDescent="0.35">
      <c r="A10" s="17" t="s">
        <v>1</v>
      </c>
      <c r="B10" s="17" t="s">
        <v>365</v>
      </c>
      <c r="C10" s="17">
        <v>9</v>
      </c>
      <c r="D10" s="17">
        <v>6</v>
      </c>
      <c r="E10" s="17">
        <v>11</v>
      </c>
    </row>
    <row r="11" spans="1:13" x14ac:dyDescent="0.3">
      <c r="A11" s="17" t="s">
        <v>0</v>
      </c>
      <c r="B11" s="17" t="s">
        <v>2075</v>
      </c>
      <c r="C11" s="17">
        <v>6</v>
      </c>
      <c r="D11" s="17">
        <v>6</v>
      </c>
      <c r="E11" s="17">
        <v>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61</v>
      </c>
      <c r="C12" s="17">
        <v>5</v>
      </c>
      <c r="D12" s="17">
        <v>5</v>
      </c>
      <c r="E12" s="17">
        <v>5</v>
      </c>
      <c r="G12" s="23"/>
      <c r="H12" s="21">
        <f t="shared" ref="H12:J12" si="0">SUM(H13:H16)</f>
        <v>714</v>
      </c>
      <c r="I12" s="21">
        <f t="shared" si="0"/>
        <v>530</v>
      </c>
      <c r="J12" s="24">
        <f t="shared" si="0"/>
        <v>828</v>
      </c>
    </row>
    <row r="13" spans="1:13" x14ac:dyDescent="0.3">
      <c r="A13" s="17" t="s">
        <v>0</v>
      </c>
      <c r="B13" s="17" t="s">
        <v>60</v>
      </c>
      <c r="C13" s="17">
        <v>5</v>
      </c>
      <c r="D13" s="17">
        <v>5</v>
      </c>
      <c r="E13" s="17">
        <v>6</v>
      </c>
      <c r="G13" s="23" t="s">
        <v>7</v>
      </c>
      <c r="H13" s="22">
        <f t="shared" ref="H13:J16" si="1">SUMIF($A$2:$A$9999,$G13,C$2:C$9999)</f>
        <v>399</v>
      </c>
      <c r="I13" s="22">
        <f t="shared" si="1"/>
        <v>271</v>
      </c>
      <c r="J13" s="25">
        <f t="shared" si="1"/>
        <v>475</v>
      </c>
    </row>
    <row r="14" spans="1:13" x14ac:dyDescent="0.3">
      <c r="A14" s="17" t="s">
        <v>1</v>
      </c>
      <c r="B14" s="17" t="s">
        <v>1927</v>
      </c>
      <c r="C14" s="17">
        <v>6</v>
      </c>
      <c r="D14" s="17">
        <v>4</v>
      </c>
      <c r="E14" s="17">
        <v>7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32</v>
      </c>
      <c r="C15" s="17">
        <v>5</v>
      </c>
      <c r="D15" s="17">
        <v>4</v>
      </c>
      <c r="E15" s="17">
        <v>8</v>
      </c>
      <c r="G15" s="23" t="s">
        <v>11</v>
      </c>
      <c r="H15" s="22">
        <f t="shared" si="1"/>
        <v>308</v>
      </c>
      <c r="I15" s="22">
        <f t="shared" si="1"/>
        <v>252</v>
      </c>
      <c r="J15" s="25">
        <f t="shared" si="1"/>
        <v>345</v>
      </c>
    </row>
    <row r="16" spans="1:13" ht="17.25" thickBot="1" x14ac:dyDescent="0.35">
      <c r="A16" s="17" t="s">
        <v>0</v>
      </c>
      <c r="B16" s="17" t="s">
        <v>34</v>
      </c>
      <c r="C16" s="17">
        <v>5</v>
      </c>
      <c r="D16" s="17">
        <v>4</v>
      </c>
      <c r="E16" s="17">
        <v>8</v>
      </c>
      <c r="G16" s="26" t="s">
        <v>12</v>
      </c>
      <c r="H16" s="27">
        <f t="shared" si="1"/>
        <v>7</v>
      </c>
      <c r="I16" s="27">
        <f t="shared" si="1"/>
        <v>7</v>
      </c>
      <c r="J16" s="28">
        <f t="shared" si="1"/>
        <v>8</v>
      </c>
    </row>
    <row r="17" spans="1:5" x14ac:dyDescent="0.3">
      <c r="A17" s="17" t="s">
        <v>0</v>
      </c>
      <c r="B17" s="17" t="s">
        <v>35</v>
      </c>
      <c r="C17" s="17">
        <v>4</v>
      </c>
      <c r="D17" s="17">
        <v>4</v>
      </c>
      <c r="E17" s="17">
        <v>4</v>
      </c>
    </row>
    <row r="18" spans="1:5" x14ac:dyDescent="0.3">
      <c r="A18" s="17" t="s">
        <v>0</v>
      </c>
      <c r="B18" s="17" t="s">
        <v>163</v>
      </c>
      <c r="C18" s="17">
        <v>4</v>
      </c>
      <c r="D18" s="17">
        <v>4</v>
      </c>
      <c r="E18" s="17">
        <v>4</v>
      </c>
    </row>
    <row r="19" spans="1:5" x14ac:dyDescent="0.3">
      <c r="A19" s="17" t="s">
        <v>0</v>
      </c>
      <c r="B19" s="17" t="s">
        <v>37</v>
      </c>
      <c r="C19" s="17">
        <v>6</v>
      </c>
      <c r="D19" s="17">
        <v>4</v>
      </c>
      <c r="E19" s="17">
        <v>6</v>
      </c>
    </row>
    <row r="20" spans="1:5" x14ac:dyDescent="0.3">
      <c r="A20" s="17" t="s">
        <v>1</v>
      </c>
      <c r="B20" s="17" t="s">
        <v>33</v>
      </c>
      <c r="C20" s="17">
        <v>4</v>
      </c>
      <c r="D20" s="17">
        <v>3</v>
      </c>
      <c r="E20" s="17">
        <v>4</v>
      </c>
    </row>
    <row r="21" spans="1:5" x14ac:dyDescent="0.3">
      <c r="A21" s="17" t="s">
        <v>1</v>
      </c>
      <c r="B21" s="17" t="s">
        <v>51</v>
      </c>
      <c r="C21" s="17">
        <v>3</v>
      </c>
      <c r="D21" s="17">
        <v>3</v>
      </c>
      <c r="E21" s="17">
        <v>3</v>
      </c>
    </row>
    <row r="22" spans="1:5" x14ac:dyDescent="0.3">
      <c r="A22" s="17" t="s">
        <v>0</v>
      </c>
      <c r="B22" s="17" t="s">
        <v>365</v>
      </c>
      <c r="C22" s="17">
        <v>3</v>
      </c>
      <c r="D22" s="17">
        <v>3</v>
      </c>
      <c r="E22" s="17">
        <v>3</v>
      </c>
    </row>
    <row r="23" spans="1:5" x14ac:dyDescent="0.3">
      <c r="A23" s="17" t="s">
        <v>0</v>
      </c>
      <c r="B23" s="17" t="s">
        <v>113</v>
      </c>
      <c r="C23" s="17">
        <v>3</v>
      </c>
      <c r="D23" s="17">
        <v>3</v>
      </c>
      <c r="E23" s="17">
        <v>4</v>
      </c>
    </row>
    <row r="24" spans="1:5" x14ac:dyDescent="0.3">
      <c r="A24" s="17" t="s">
        <v>0</v>
      </c>
      <c r="B24" s="17" t="s">
        <v>51</v>
      </c>
      <c r="C24" s="17">
        <v>4</v>
      </c>
      <c r="D24" s="17">
        <v>3</v>
      </c>
      <c r="E24" s="17">
        <v>6</v>
      </c>
    </row>
    <row r="25" spans="1:5" x14ac:dyDescent="0.3">
      <c r="A25" s="17" t="s">
        <v>0</v>
      </c>
      <c r="B25" s="17" t="s">
        <v>128</v>
      </c>
      <c r="C25" s="17">
        <v>3</v>
      </c>
      <c r="D25" s="17">
        <v>3</v>
      </c>
      <c r="E25" s="17">
        <v>3</v>
      </c>
    </row>
    <row r="26" spans="1:5" x14ac:dyDescent="0.3">
      <c r="A26" s="17" t="s">
        <v>0</v>
      </c>
      <c r="B26" s="17" t="s">
        <v>39</v>
      </c>
      <c r="C26" s="17">
        <v>6</v>
      </c>
      <c r="D26" s="17">
        <v>3</v>
      </c>
      <c r="E26" s="17">
        <v>9</v>
      </c>
    </row>
    <row r="27" spans="1:5" x14ac:dyDescent="0.3">
      <c r="A27" s="17" t="s">
        <v>1</v>
      </c>
      <c r="B27" s="17" t="s">
        <v>273</v>
      </c>
      <c r="C27" s="17">
        <v>2</v>
      </c>
      <c r="D27" s="17">
        <v>2</v>
      </c>
      <c r="E27" s="17">
        <v>2</v>
      </c>
    </row>
    <row r="28" spans="1:5" x14ac:dyDescent="0.3">
      <c r="A28" s="17" t="s">
        <v>1</v>
      </c>
      <c r="B28" s="17" t="s">
        <v>34</v>
      </c>
      <c r="C28" s="17">
        <v>2</v>
      </c>
      <c r="D28" s="17">
        <v>2</v>
      </c>
      <c r="E28" s="17">
        <v>2</v>
      </c>
    </row>
    <row r="29" spans="1:5" x14ac:dyDescent="0.3">
      <c r="A29" s="17" t="s">
        <v>1</v>
      </c>
      <c r="B29" s="17" t="s">
        <v>860</v>
      </c>
      <c r="C29" s="17">
        <v>2</v>
      </c>
      <c r="D29" s="17">
        <v>2</v>
      </c>
      <c r="E29" s="17">
        <v>3</v>
      </c>
    </row>
    <row r="30" spans="1:5" x14ac:dyDescent="0.3">
      <c r="A30" s="17" t="s">
        <v>1</v>
      </c>
      <c r="B30" s="17" t="s">
        <v>1775</v>
      </c>
      <c r="C30" s="17">
        <v>2</v>
      </c>
      <c r="D30" s="17">
        <v>2</v>
      </c>
      <c r="E30" s="17">
        <v>2</v>
      </c>
    </row>
    <row r="31" spans="1:5" x14ac:dyDescent="0.3">
      <c r="A31" s="17" t="s">
        <v>1</v>
      </c>
      <c r="B31" s="17" t="s">
        <v>2075</v>
      </c>
      <c r="C31" s="17">
        <v>2</v>
      </c>
      <c r="D31" s="17">
        <v>2</v>
      </c>
      <c r="E31" s="17">
        <v>3</v>
      </c>
    </row>
    <row r="32" spans="1:5" x14ac:dyDescent="0.3">
      <c r="A32" s="17" t="s">
        <v>1</v>
      </c>
      <c r="B32" s="17" t="s">
        <v>2692</v>
      </c>
      <c r="C32" s="17">
        <v>4</v>
      </c>
      <c r="D32" s="17">
        <v>2</v>
      </c>
      <c r="E32" s="17">
        <v>4</v>
      </c>
    </row>
    <row r="33" spans="1:5" x14ac:dyDescent="0.3">
      <c r="A33" s="17" t="s">
        <v>1</v>
      </c>
      <c r="B33" s="17" t="s">
        <v>2944</v>
      </c>
      <c r="C33" s="17">
        <v>2</v>
      </c>
      <c r="D33" s="17">
        <v>2</v>
      </c>
      <c r="E33" s="17">
        <v>3</v>
      </c>
    </row>
    <row r="34" spans="1:5" x14ac:dyDescent="0.3">
      <c r="A34" s="17" t="s">
        <v>1</v>
      </c>
      <c r="B34" s="17" t="s">
        <v>265</v>
      </c>
      <c r="C34" s="17">
        <v>2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998</v>
      </c>
      <c r="C35" s="17">
        <v>2</v>
      </c>
      <c r="D35" s="17">
        <v>2</v>
      </c>
      <c r="E35" s="17">
        <v>3</v>
      </c>
    </row>
    <row r="36" spans="1:5" x14ac:dyDescent="0.3">
      <c r="A36" s="17" t="s">
        <v>1</v>
      </c>
      <c r="B36" s="17" t="s">
        <v>168</v>
      </c>
      <c r="C36" s="17">
        <v>3</v>
      </c>
      <c r="D36" s="17">
        <v>2</v>
      </c>
      <c r="E36" s="17">
        <v>4</v>
      </c>
    </row>
    <row r="37" spans="1:5" x14ac:dyDescent="0.3">
      <c r="A37" s="17" t="s">
        <v>1</v>
      </c>
      <c r="B37" s="17" t="s">
        <v>199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406</v>
      </c>
      <c r="C38" s="17">
        <v>2</v>
      </c>
      <c r="D38" s="17">
        <v>2</v>
      </c>
      <c r="E38" s="17">
        <v>4</v>
      </c>
    </row>
    <row r="39" spans="1:5" x14ac:dyDescent="0.3">
      <c r="A39" s="17" t="s">
        <v>1</v>
      </c>
      <c r="B39" s="17" t="s">
        <v>110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120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122</v>
      </c>
      <c r="C41" s="17">
        <v>3</v>
      </c>
      <c r="D41" s="17">
        <v>2</v>
      </c>
      <c r="E41" s="17">
        <v>3</v>
      </c>
    </row>
    <row r="42" spans="1:5" x14ac:dyDescent="0.3">
      <c r="A42" s="17" t="s">
        <v>1</v>
      </c>
      <c r="B42" s="17" t="s">
        <v>126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31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38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54</v>
      </c>
      <c r="C45" s="17">
        <v>3</v>
      </c>
      <c r="D45" s="17">
        <v>2</v>
      </c>
      <c r="E45" s="17">
        <v>3</v>
      </c>
    </row>
    <row r="46" spans="1:5" x14ac:dyDescent="0.3">
      <c r="A46" s="17" t="s">
        <v>0</v>
      </c>
      <c r="B46" s="17" t="s">
        <v>267</v>
      </c>
      <c r="C46" s="17">
        <v>2</v>
      </c>
      <c r="D46" s="17">
        <v>2</v>
      </c>
      <c r="E46" s="17">
        <v>3</v>
      </c>
    </row>
    <row r="47" spans="1:5" x14ac:dyDescent="0.3">
      <c r="A47" s="17" t="s">
        <v>0</v>
      </c>
      <c r="B47" s="17" t="s">
        <v>42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2399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3036</v>
      </c>
      <c r="C49" s="17">
        <v>3</v>
      </c>
      <c r="D49" s="17">
        <v>2</v>
      </c>
      <c r="E49" s="17">
        <v>3</v>
      </c>
    </row>
    <row r="50" spans="1:5" x14ac:dyDescent="0.3">
      <c r="A50" s="17" t="s">
        <v>0</v>
      </c>
      <c r="B50" s="17" t="s">
        <v>28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442</v>
      </c>
      <c r="C51" s="17">
        <v>2</v>
      </c>
      <c r="D51" s="17">
        <v>2</v>
      </c>
      <c r="E51" s="17">
        <v>2</v>
      </c>
    </row>
    <row r="52" spans="1:5" x14ac:dyDescent="0.3">
      <c r="A52" s="17" t="s">
        <v>0</v>
      </c>
      <c r="B52" s="17" t="s">
        <v>44</v>
      </c>
      <c r="C52" s="17">
        <v>2</v>
      </c>
      <c r="D52" s="17">
        <v>2</v>
      </c>
      <c r="E52" s="17">
        <v>3</v>
      </c>
    </row>
    <row r="53" spans="1:5" x14ac:dyDescent="0.3">
      <c r="A53" s="17" t="s">
        <v>0</v>
      </c>
      <c r="B53" s="17" t="s">
        <v>117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62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201</v>
      </c>
      <c r="C55" s="17">
        <v>3</v>
      </c>
      <c r="D55" s="17">
        <v>2</v>
      </c>
      <c r="E55" s="17">
        <v>3</v>
      </c>
    </row>
    <row r="56" spans="1:5" x14ac:dyDescent="0.3">
      <c r="A56" s="17" t="s">
        <v>0</v>
      </c>
      <c r="B56" s="17" t="s">
        <v>305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67</v>
      </c>
      <c r="C57" s="17">
        <v>3</v>
      </c>
      <c r="D57" s="17">
        <v>2</v>
      </c>
      <c r="E57" s="17">
        <v>4</v>
      </c>
    </row>
    <row r="58" spans="1:5" x14ac:dyDescent="0.3">
      <c r="A58" s="17" t="s">
        <v>2</v>
      </c>
      <c r="B58" s="17" t="s">
        <v>273</v>
      </c>
      <c r="C58" s="17">
        <v>2</v>
      </c>
      <c r="D58" s="17">
        <v>2</v>
      </c>
      <c r="E58" s="17">
        <v>3</v>
      </c>
    </row>
    <row r="59" spans="1:5" x14ac:dyDescent="0.3">
      <c r="A59" s="17" t="s">
        <v>1</v>
      </c>
      <c r="B59" s="17" t="s">
        <v>853</v>
      </c>
      <c r="C59" s="17">
        <v>1</v>
      </c>
      <c r="D59" s="17">
        <v>1</v>
      </c>
      <c r="E59" s="17">
        <v>1</v>
      </c>
    </row>
    <row r="60" spans="1:5" x14ac:dyDescent="0.3">
      <c r="A60" s="17" t="s">
        <v>1</v>
      </c>
      <c r="B60" s="17" t="s">
        <v>36</v>
      </c>
      <c r="C60" s="17">
        <v>1</v>
      </c>
      <c r="D60" s="17">
        <v>1</v>
      </c>
      <c r="E60" s="17">
        <v>1</v>
      </c>
    </row>
    <row r="61" spans="1:5" x14ac:dyDescent="0.3">
      <c r="A61" s="17" t="s">
        <v>1</v>
      </c>
      <c r="B61" s="17" t="s">
        <v>3264</v>
      </c>
      <c r="C61" s="17">
        <v>1</v>
      </c>
      <c r="D61" s="17">
        <v>1</v>
      </c>
      <c r="E61" s="17">
        <v>1</v>
      </c>
    </row>
    <row r="62" spans="1:5" x14ac:dyDescent="0.3">
      <c r="A62" s="17" t="s">
        <v>1</v>
      </c>
      <c r="B62" s="17" t="s">
        <v>705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905</v>
      </c>
      <c r="C63" s="17">
        <v>1</v>
      </c>
      <c r="D63" s="17">
        <v>1</v>
      </c>
      <c r="E63" s="17">
        <v>1</v>
      </c>
    </row>
    <row r="64" spans="1:5" x14ac:dyDescent="0.3">
      <c r="A64" s="17" t="s">
        <v>1</v>
      </c>
      <c r="B64" s="17" t="s">
        <v>356</v>
      </c>
      <c r="C64" s="17">
        <v>1</v>
      </c>
      <c r="D64" s="17">
        <v>1</v>
      </c>
      <c r="E64" s="17">
        <v>1</v>
      </c>
    </row>
    <row r="65" spans="1:5" x14ac:dyDescent="0.3">
      <c r="A65" s="17" t="s">
        <v>1</v>
      </c>
      <c r="B65" s="17" t="s">
        <v>3265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79</v>
      </c>
      <c r="C66" s="17">
        <v>2</v>
      </c>
      <c r="D66" s="17">
        <v>1</v>
      </c>
      <c r="E66" s="17">
        <v>2</v>
      </c>
    </row>
    <row r="67" spans="1:5" x14ac:dyDescent="0.3">
      <c r="A67" s="17" t="s">
        <v>1</v>
      </c>
      <c r="B67" s="17" t="s">
        <v>3266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3267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3268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3269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3270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3271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82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1314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267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765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1055</v>
      </c>
      <c r="C77" s="17">
        <v>2</v>
      </c>
      <c r="D77" s="17">
        <v>1</v>
      </c>
      <c r="E77" s="17">
        <v>2</v>
      </c>
    </row>
    <row r="78" spans="1:5" x14ac:dyDescent="0.3">
      <c r="A78" s="17" t="s">
        <v>1</v>
      </c>
      <c r="B78" s="17" t="s">
        <v>149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89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1060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217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3272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1426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218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153</v>
      </c>
      <c r="C85" s="17">
        <v>2</v>
      </c>
      <c r="D85" s="17">
        <v>1</v>
      </c>
      <c r="E85" s="17">
        <v>2</v>
      </c>
    </row>
    <row r="86" spans="1:5" x14ac:dyDescent="0.3">
      <c r="A86" s="17" t="s">
        <v>1</v>
      </c>
      <c r="B86" s="17" t="s">
        <v>219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281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1063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865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93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155</v>
      </c>
      <c r="C91" s="17">
        <v>2</v>
      </c>
      <c r="D91" s="17">
        <v>1</v>
      </c>
      <c r="E91" s="17">
        <v>2</v>
      </c>
    </row>
    <row r="92" spans="1:5" x14ac:dyDescent="0.3">
      <c r="A92" s="17" t="s">
        <v>1</v>
      </c>
      <c r="B92" s="17" t="s">
        <v>156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366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60</v>
      </c>
      <c r="C94" s="17">
        <v>1</v>
      </c>
      <c r="D94" s="17">
        <v>1</v>
      </c>
      <c r="E94" s="17">
        <v>3</v>
      </c>
    </row>
    <row r="95" spans="1:5" x14ac:dyDescent="0.3">
      <c r="A95" s="17" t="s">
        <v>1</v>
      </c>
      <c r="B95" s="17" t="s">
        <v>157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487</v>
      </c>
      <c r="C96" s="17">
        <v>4</v>
      </c>
      <c r="D96" s="17">
        <v>1</v>
      </c>
      <c r="E96" s="17">
        <v>5</v>
      </c>
    </row>
    <row r="97" spans="1:5" x14ac:dyDescent="0.3">
      <c r="A97" s="17" t="s">
        <v>1</v>
      </c>
      <c r="B97" s="17" t="s">
        <v>1643</v>
      </c>
      <c r="C97" s="17">
        <v>2</v>
      </c>
      <c r="D97" s="17">
        <v>1</v>
      </c>
      <c r="E97" s="17">
        <v>4</v>
      </c>
    </row>
    <row r="98" spans="1:5" x14ac:dyDescent="0.3">
      <c r="A98" s="17" t="s">
        <v>1</v>
      </c>
      <c r="B98" s="17" t="s">
        <v>1711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1983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2341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2395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2572</v>
      </c>
      <c r="C102" s="17">
        <v>4</v>
      </c>
      <c r="D102" s="17">
        <v>1</v>
      </c>
      <c r="E102" s="17">
        <v>4</v>
      </c>
    </row>
    <row r="103" spans="1:5" x14ac:dyDescent="0.3">
      <c r="A103" s="17" t="s">
        <v>1</v>
      </c>
      <c r="B103" s="17" t="s">
        <v>2705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282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401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1103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35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993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945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1479</v>
      </c>
      <c r="C110" s="17">
        <v>1</v>
      </c>
      <c r="D110" s="17">
        <v>1</v>
      </c>
      <c r="E110" s="17">
        <v>2</v>
      </c>
    </row>
    <row r="111" spans="1:5" x14ac:dyDescent="0.3">
      <c r="A111" s="17" t="s">
        <v>1</v>
      </c>
      <c r="B111" s="17" t="s">
        <v>163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165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1304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320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3273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107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166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2925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43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29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3274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3275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1443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649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1878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650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113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3084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538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594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539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542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595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953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336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371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2580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337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1110</v>
      </c>
      <c r="C139" s="17">
        <v>1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119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177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388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448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1455</v>
      </c>
      <c r="C144" s="17">
        <v>1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123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37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695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46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125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1435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890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179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3276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555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742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1265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63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558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664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1356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429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52</v>
      </c>
      <c r="C162" s="17">
        <v>2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128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1191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201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305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1209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53</v>
      </c>
      <c r="C168" s="17">
        <v>1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67</v>
      </c>
      <c r="C169" s="17">
        <v>1</v>
      </c>
      <c r="D169" s="17">
        <v>1</v>
      </c>
      <c r="E169" s="17">
        <v>6</v>
      </c>
    </row>
    <row r="170" spans="1:5" x14ac:dyDescent="0.3">
      <c r="A170" s="17" t="s">
        <v>1</v>
      </c>
      <c r="B170" s="17" t="s">
        <v>376</v>
      </c>
      <c r="C170" s="17">
        <v>3</v>
      </c>
      <c r="D170" s="17">
        <v>1</v>
      </c>
      <c r="E170" s="17">
        <v>3</v>
      </c>
    </row>
    <row r="171" spans="1:5" x14ac:dyDescent="0.3">
      <c r="A171" s="17" t="s">
        <v>1</v>
      </c>
      <c r="B171" s="17" t="s">
        <v>39</v>
      </c>
      <c r="C171" s="17">
        <v>6</v>
      </c>
      <c r="D171" s="17">
        <v>1</v>
      </c>
      <c r="E171" s="17">
        <v>24</v>
      </c>
    </row>
    <row r="172" spans="1:5" x14ac:dyDescent="0.3">
      <c r="A172" s="17" t="s">
        <v>1</v>
      </c>
      <c r="B172" s="17" t="s">
        <v>56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3277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3278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2434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571</v>
      </c>
      <c r="C176" s="17">
        <v>1</v>
      </c>
      <c r="D176" s="17">
        <v>3</v>
      </c>
      <c r="E176" s="17"/>
    </row>
    <row r="177" spans="1:5" x14ac:dyDescent="0.3">
      <c r="A177" s="17" t="s">
        <v>1</v>
      </c>
      <c r="B177" s="17" t="s">
        <v>1470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3279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3280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3281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139</v>
      </c>
      <c r="C181" s="17">
        <v>1</v>
      </c>
      <c r="D181" s="17">
        <v>1</v>
      </c>
      <c r="E181" s="17"/>
    </row>
    <row r="182" spans="1:5" x14ac:dyDescent="0.3">
      <c r="A182" s="17" t="s">
        <v>1</v>
      </c>
      <c r="B182" s="17" t="s">
        <v>3282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3283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3284</v>
      </c>
      <c r="C184" s="17">
        <v>1</v>
      </c>
      <c r="D184" s="17">
        <v>1</v>
      </c>
      <c r="E184" s="17"/>
    </row>
    <row r="185" spans="1:5" x14ac:dyDescent="0.3">
      <c r="A185" s="17" t="s">
        <v>1</v>
      </c>
      <c r="B185" s="17" t="s">
        <v>241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484</v>
      </c>
      <c r="C186" s="17">
        <v>1</v>
      </c>
      <c r="D186" s="17">
        <v>3</v>
      </c>
      <c r="E186" s="17"/>
    </row>
    <row r="187" spans="1:5" x14ac:dyDescent="0.3">
      <c r="A187" s="17" t="s">
        <v>1</v>
      </c>
      <c r="B187" s="17" t="s">
        <v>3285</v>
      </c>
      <c r="C187" s="17">
        <v>1</v>
      </c>
      <c r="D187" s="17">
        <v>1</v>
      </c>
      <c r="E187" s="17"/>
    </row>
    <row r="188" spans="1:5" x14ac:dyDescent="0.3">
      <c r="A188" s="17" t="s">
        <v>1</v>
      </c>
      <c r="B188" s="17" t="s">
        <v>3286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3287</v>
      </c>
      <c r="C189" s="17">
        <v>1</v>
      </c>
      <c r="D189" s="17">
        <v>1</v>
      </c>
      <c r="E189" s="17">
        <v>3</v>
      </c>
    </row>
    <row r="190" spans="1:5" x14ac:dyDescent="0.3">
      <c r="A190" s="17" t="s">
        <v>1</v>
      </c>
      <c r="B190" s="17" t="s">
        <v>761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1598</v>
      </c>
      <c r="C191" s="17">
        <v>1</v>
      </c>
      <c r="D191" s="17">
        <v>1</v>
      </c>
      <c r="E191" s="17"/>
    </row>
    <row r="192" spans="1:5" x14ac:dyDescent="0.3">
      <c r="A192" s="17" t="s">
        <v>1</v>
      </c>
      <c r="B192" s="17" t="s">
        <v>3288</v>
      </c>
      <c r="C192" s="17">
        <v>1</v>
      </c>
      <c r="D192" s="17">
        <v>1</v>
      </c>
      <c r="E192" s="17"/>
    </row>
    <row r="193" spans="1:5" x14ac:dyDescent="0.3">
      <c r="A193" s="17" t="s">
        <v>1</v>
      </c>
      <c r="B193" s="17" t="s">
        <v>2154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2328</v>
      </c>
      <c r="C194" s="17">
        <v>1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3289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1855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379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3264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142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143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510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905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514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490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357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3265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59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247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3266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3267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3268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3269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3270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3271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215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316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264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1281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151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481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635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1339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219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93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154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155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1518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1854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1927</v>
      </c>
      <c r="C229" s="17">
        <v>2</v>
      </c>
      <c r="D229" s="17">
        <v>1</v>
      </c>
      <c r="E229" s="17">
        <v>2</v>
      </c>
    </row>
    <row r="230" spans="1:5" x14ac:dyDescent="0.3">
      <c r="A230" s="17" t="s">
        <v>0</v>
      </c>
      <c r="B230" s="17" t="s">
        <v>1946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2442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2395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2692</v>
      </c>
      <c r="C233" s="17">
        <v>4</v>
      </c>
      <c r="D233" s="17">
        <v>1</v>
      </c>
      <c r="E233" s="17">
        <v>5</v>
      </c>
    </row>
    <row r="234" spans="1:5" x14ac:dyDescent="0.3">
      <c r="A234" s="17" t="s">
        <v>0</v>
      </c>
      <c r="B234" s="17" t="s">
        <v>2944</v>
      </c>
      <c r="C234" s="17">
        <v>2</v>
      </c>
      <c r="D234" s="17">
        <v>1</v>
      </c>
      <c r="E234" s="17">
        <v>2</v>
      </c>
    </row>
    <row r="235" spans="1:5" x14ac:dyDescent="0.3">
      <c r="A235" s="17" t="s">
        <v>0</v>
      </c>
      <c r="B235" s="17" t="s">
        <v>713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97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49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2028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526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0</v>
      </c>
      <c r="B240" s="17" t="s">
        <v>1416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492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1479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100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3253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803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586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1538</v>
      </c>
      <c r="C247" s="17">
        <v>1</v>
      </c>
      <c r="D247" s="17">
        <v>1</v>
      </c>
      <c r="E247" s="17">
        <v>2</v>
      </c>
    </row>
    <row r="248" spans="1:5" x14ac:dyDescent="0.3">
      <c r="A248" s="17" t="s">
        <v>0</v>
      </c>
      <c r="B248" s="17" t="s">
        <v>103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165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2922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1106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107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532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167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1461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1130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3274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3275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254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199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1551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2277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1406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110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2563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773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172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289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3290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2551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545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296</v>
      </c>
      <c r="C272" s="17">
        <v>1</v>
      </c>
      <c r="D272" s="17">
        <v>1</v>
      </c>
      <c r="E272" s="17">
        <v>2</v>
      </c>
    </row>
    <row r="273" spans="1:5" x14ac:dyDescent="0.3">
      <c r="A273" s="17" t="s">
        <v>0</v>
      </c>
      <c r="B273" s="17" t="s">
        <v>1819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371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337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1788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3291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388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120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200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1853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179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346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301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449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347</v>
      </c>
      <c r="C286" s="17">
        <v>3</v>
      </c>
      <c r="D286" s="17">
        <v>1</v>
      </c>
      <c r="E286" s="17">
        <v>3</v>
      </c>
    </row>
    <row r="287" spans="1:5" x14ac:dyDescent="0.3">
      <c r="A287" s="17" t="s">
        <v>0</v>
      </c>
      <c r="B287" s="17" t="s">
        <v>962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785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192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234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567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1827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456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266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3292</v>
      </c>
      <c r="C295" s="17">
        <v>1</v>
      </c>
      <c r="D295" s="17">
        <v>1</v>
      </c>
      <c r="E295" s="17"/>
    </row>
    <row r="296" spans="1:5" x14ac:dyDescent="0.3">
      <c r="A296" s="17" t="s">
        <v>0</v>
      </c>
      <c r="B296" s="17" t="s">
        <v>139</v>
      </c>
      <c r="C296" s="17">
        <v>1</v>
      </c>
      <c r="D296" s="17">
        <v>1</v>
      </c>
      <c r="E296" s="17"/>
    </row>
    <row r="297" spans="1:5" x14ac:dyDescent="0.3">
      <c r="A297" s="17" t="s">
        <v>0</v>
      </c>
      <c r="B297" s="17" t="s">
        <v>3293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760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3260</v>
      </c>
      <c r="C299" s="17">
        <v>1</v>
      </c>
      <c r="D299" s="17">
        <v>2</v>
      </c>
      <c r="E299" s="17"/>
    </row>
    <row r="300" spans="1:5" x14ac:dyDescent="0.3">
      <c r="A300" s="17" t="s">
        <v>2</v>
      </c>
      <c r="B300" s="17" t="s">
        <v>1897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2</v>
      </c>
      <c r="B301" s="17" t="s">
        <v>3294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2</v>
      </c>
      <c r="B302" s="17" t="s">
        <v>650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2</v>
      </c>
      <c r="B303" s="17" t="s">
        <v>1496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2</v>
      </c>
      <c r="B304" s="17" t="s">
        <v>31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843</v>
      </c>
      <c r="C305" s="17">
        <v>1</v>
      </c>
      <c r="D305" s="17">
        <v>0</v>
      </c>
      <c r="E305" s="17">
        <v>0</v>
      </c>
    </row>
    <row r="306" spans="1:5" x14ac:dyDescent="0.3">
      <c r="A306" s="17" t="s">
        <v>1</v>
      </c>
      <c r="B306" s="17" t="s">
        <v>383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48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622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1876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906</v>
      </c>
      <c r="C310" s="17">
        <v>1</v>
      </c>
      <c r="D310" s="17">
        <v>0</v>
      </c>
      <c r="E310" s="17">
        <v>0</v>
      </c>
    </row>
    <row r="311" spans="1:5" x14ac:dyDescent="0.3">
      <c r="A311" s="17" t="s">
        <v>1</v>
      </c>
      <c r="B311" s="17" t="s">
        <v>990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1703</v>
      </c>
      <c r="C312" s="17">
        <v>1</v>
      </c>
      <c r="D312" s="17">
        <v>0</v>
      </c>
      <c r="E312" s="17">
        <v>3</v>
      </c>
    </row>
    <row r="313" spans="1:5" x14ac:dyDescent="0.3">
      <c r="A313" s="17" t="s">
        <v>1</v>
      </c>
      <c r="B313" s="17" t="s">
        <v>863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85</v>
      </c>
      <c r="C314" s="17">
        <v>2</v>
      </c>
      <c r="D314" s="17">
        <v>0</v>
      </c>
      <c r="E314" s="17">
        <v>3</v>
      </c>
    </row>
    <row r="315" spans="1:5" x14ac:dyDescent="0.3">
      <c r="A315" s="17" t="s">
        <v>1</v>
      </c>
      <c r="B315" s="17" t="s">
        <v>2743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3295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1218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844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638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942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463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692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95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686</v>
      </c>
      <c r="C324" s="17">
        <v>4</v>
      </c>
      <c r="D324" s="17">
        <v>0</v>
      </c>
      <c r="E324" s="17">
        <v>7</v>
      </c>
    </row>
    <row r="325" spans="1:5" x14ac:dyDescent="0.3">
      <c r="A325" s="17" t="s">
        <v>1</v>
      </c>
      <c r="B325" s="17" t="s">
        <v>944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1518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1683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1911</v>
      </c>
      <c r="C328" s="17">
        <v>1</v>
      </c>
      <c r="D328" s="17">
        <v>0</v>
      </c>
      <c r="E328" s="17">
        <v>2</v>
      </c>
    </row>
    <row r="329" spans="1:5" x14ac:dyDescent="0.3">
      <c r="A329" s="17" t="s">
        <v>1</v>
      </c>
      <c r="B329" s="17" t="s">
        <v>1946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2099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2329</v>
      </c>
      <c r="C331" s="17">
        <v>2</v>
      </c>
      <c r="D331" s="17">
        <v>0</v>
      </c>
      <c r="E331" s="17">
        <v>2</v>
      </c>
    </row>
    <row r="332" spans="1:5" x14ac:dyDescent="0.3">
      <c r="A332" s="17" t="s">
        <v>1</v>
      </c>
      <c r="B332" s="17" t="s">
        <v>2401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2468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2711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2399</v>
      </c>
      <c r="C335" s="17">
        <v>3</v>
      </c>
      <c r="D335" s="17">
        <v>0</v>
      </c>
      <c r="E335" s="17">
        <v>3</v>
      </c>
    </row>
    <row r="336" spans="1:5" x14ac:dyDescent="0.3">
      <c r="A336" s="17" t="s">
        <v>1</v>
      </c>
      <c r="B336" s="17" t="s">
        <v>2398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2429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2397</v>
      </c>
      <c r="C338" s="17">
        <v>1</v>
      </c>
      <c r="D338" s="17">
        <v>0</v>
      </c>
      <c r="E338" s="17">
        <v>2</v>
      </c>
    </row>
    <row r="339" spans="1:5" x14ac:dyDescent="0.3">
      <c r="A339" s="17" t="s">
        <v>1</v>
      </c>
      <c r="B339" s="17" t="s">
        <v>2396</v>
      </c>
      <c r="C339" s="17">
        <v>4</v>
      </c>
      <c r="D339" s="17">
        <v>0</v>
      </c>
      <c r="E339" s="17">
        <v>4</v>
      </c>
    </row>
    <row r="340" spans="1:5" x14ac:dyDescent="0.3">
      <c r="A340" s="17" t="s">
        <v>1</v>
      </c>
      <c r="B340" s="17" t="s">
        <v>3036</v>
      </c>
      <c r="C340" s="17">
        <v>6</v>
      </c>
      <c r="D340" s="17">
        <v>0</v>
      </c>
      <c r="E340" s="17">
        <v>9</v>
      </c>
    </row>
    <row r="341" spans="1:5" x14ac:dyDescent="0.3">
      <c r="A341" s="17" t="s">
        <v>1</v>
      </c>
      <c r="B341" s="17" t="s">
        <v>403</v>
      </c>
      <c r="C341" s="17">
        <v>1</v>
      </c>
      <c r="D341" s="17">
        <v>0</v>
      </c>
      <c r="E341" s="17">
        <v>0</v>
      </c>
    </row>
    <row r="342" spans="1:5" x14ac:dyDescent="0.3">
      <c r="A342" s="17" t="s">
        <v>1</v>
      </c>
      <c r="B342" s="17" t="s">
        <v>169</v>
      </c>
      <c r="C342" s="17">
        <v>2</v>
      </c>
      <c r="D342" s="17">
        <v>0</v>
      </c>
      <c r="E342" s="17">
        <v>3</v>
      </c>
    </row>
    <row r="343" spans="1:5" x14ac:dyDescent="0.3">
      <c r="A343" s="17" t="s">
        <v>1</v>
      </c>
      <c r="B343" s="17" t="s">
        <v>2205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1</v>
      </c>
      <c r="B344" s="17" t="s">
        <v>1108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226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3296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2223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876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385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727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847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1594</v>
      </c>
      <c r="C352" s="17">
        <v>1</v>
      </c>
      <c r="D352" s="17">
        <v>0</v>
      </c>
      <c r="E352" s="17">
        <v>2</v>
      </c>
    </row>
    <row r="353" spans="1:5" x14ac:dyDescent="0.3">
      <c r="A353" s="17" t="s">
        <v>1</v>
      </c>
      <c r="B353" s="17" t="s">
        <v>2090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472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474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964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752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1083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842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2938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235</v>
      </c>
      <c r="C361" s="17">
        <v>3</v>
      </c>
      <c r="D361" s="17">
        <v>0</v>
      </c>
      <c r="E361" s="17">
        <v>3</v>
      </c>
    </row>
    <row r="362" spans="1:5" x14ac:dyDescent="0.3">
      <c r="A362" s="17" t="s">
        <v>1</v>
      </c>
      <c r="B362" s="17" t="s">
        <v>68</v>
      </c>
      <c r="C362" s="17">
        <v>3</v>
      </c>
      <c r="D362" s="17">
        <v>0</v>
      </c>
      <c r="E362" s="17">
        <v>4</v>
      </c>
    </row>
    <row r="363" spans="1:5" x14ac:dyDescent="0.3">
      <c r="A363" s="17" t="s">
        <v>1</v>
      </c>
      <c r="B363" s="17" t="s">
        <v>196</v>
      </c>
      <c r="C363" s="17">
        <v>2</v>
      </c>
      <c r="D363" s="17">
        <v>0</v>
      </c>
      <c r="E363" s="17">
        <v>2</v>
      </c>
    </row>
    <row r="364" spans="1:5" x14ac:dyDescent="0.3">
      <c r="A364" s="17" t="s">
        <v>1</v>
      </c>
      <c r="B364" s="17" t="s">
        <v>55</v>
      </c>
      <c r="C364" s="17">
        <v>2</v>
      </c>
      <c r="D364" s="17">
        <v>0</v>
      </c>
      <c r="E364" s="17">
        <v>2</v>
      </c>
    </row>
    <row r="365" spans="1:5" x14ac:dyDescent="0.3">
      <c r="A365" s="17" t="s">
        <v>1</v>
      </c>
      <c r="B365" s="17" t="s">
        <v>240</v>
      </c>
      <c r="C365" s="17">
        <v>3</v>
      </c>
      <c r="D365" s="17">
        <v>0</v>
      </c>
      <c r="E365" s="17">
        <v>4</v>
      </c>
    </row>
    <row r="366" spans="1:5" x14ac:dyDescent="0.3">
      <c r="A366" s="17" t="s">
        <v>1</v>
      </c>
      <c r="B366" s="17" t="s">
        <v>673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382</v>
      </c>
      <c r="C367" s="17">
        <v>2</v>
      </c>
      <c r="D367" s="17">
        <v>0</v>
      </c>
      <c r="E367" s="17">
        <v>2</v>
      </c>
    </row>
    <row r="368" spans="1:5" x14ac:dyDescent="0.3">
      <c r="A368" s="17" t="s">
        <v>1</v>
      </c>
      <c r="B368" s="17" t="s">
        <v>377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477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2143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1385</v>
      </c>
      <c r="C371" s="17">
        <v>0</v>
      </c>
      <c r="D371" s="17">
        <v>6</v>
      </c>
      <c r="E371" s="17"/>
    </row>
    <row r="372" spans="1:5" x14ac:dyDescent="0.3">
      <c r="A372" s="17" t="s">
        <v>1</v>
      </c>
      <c r="B372" s="17" t="s">
        <v>3297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850</v>
      </c>
      <c r="C373" s="17">
        <v>1</v>
      </c>
      <c r="D373" s="17">
        <v>0</v>
      </c>
      <c r="E373" s="17">
        <v>2</v>
      </c>
    </row>
    <row r="374" spans="1:5" x14ac:dyDescent="0.3">
      <c r="A374" s="17" t="s">
        <v>1</v>
      </c>
      <c r="B374" s="17" t="s">
        <v>2379</v>
      </c>
      <c r="C374" s="17">
        <v>1</v>
      </c>
      <c r="D374" s="17">
        <v>0</v>
      </c>
      <c r="E374" s="17">
        <v>2</v>
      </c>
    </row>
    <row r="375" spans="1:5" x14ac:dyDescent="0.3">
      <c r="A375" s="17" t="s">
        <v>0</v>
      </c>
      <c r="B375" s="17" t="s">
        <v>1050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0</v>
      </c>
      <c r="B376" s="17" t="s">
        <v>1413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0</v>
      </c>
      <c r="B377" s="17" t="s">
        <v>214</v>
      </c>
      <c r="C377" s="17">
        <v>1</v>
      </c>
      <c r="D377" s="17">
        <v>0</v>
      </c>
      <c r="E377" s="17">
        <v>2</v>
      </c>
    </row>
    <row r="378" spans="1:5" x14ac:dyDescent="0.3">
      <c r="A378" s="17" t="s">
        <v>0</v>
      </c>
      <c r="B378" s="17" t="s">
        <v>938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0</v>
      </c>
      <c r="B379" s="17" t="s">
        <v>152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0</v>
      </c>
      <c r="B380" s="17" t="s">
        <v>95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0</v>
      </c>
      <c r="B381" s="17" t="s">
        <v>224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0</v>
      </c>
      <c r="B382" s="17" t="s">
        <v>96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0</v>
      </c>
      <c r="B383" s="17" t="s">
        <v>909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0</v>
      </c>
      <c r="B384" s="17" t="s">
        <v>1711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0</v>
      </c>
      <c r="B385" s="17" t="s">
        <v>1708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0</v>
      </c>
      <c r="B386" s="17" t="s">
        <v>1897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0</v>
      </c>
      <c r="B387" s="17" t="s">
        <v>1906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0</v>
      </c>
      <c r="B388" s="17" t="s">
        <v>2493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0</v>
      </c>
      <c r="B389" s="17" t="s">
        <v>2443</v>
      </c>
      <c r="C389" s="17">
        <v>1</v>
      </c>
      <c r="D389" s="17">
        <v>0</v>
      </c>
      <c r="E389" s="17">
        <v>2</v>
      </c>
    </row>
    <row r="390" spans="1:5" x14ac:dyDescent="0.3">
      <c r="A390" s="17" t="s">
        <v>0</v>
      </c>
      <c r="B390" s="17" t="s">
        <v>2396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0</v>
      </c>
      <c r="B391" s="17" t="s">
        <v>3236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0</v>
      </c>
      <c r="B392" s="17" t="s">
        <v>169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0</v>
      </c>
      <c r="B393" s="17" t="s">
        <v>1225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0</v>
      </c>
      <c r="B394" s="17" t="s">
        <v>606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0</v>
      </c>
      <c r="B395" s="17" t="s">
        <v>1681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0</v>
      </c>
      <c r="B396" s="17" t="s">
        <v>331</v>
      </c>
      <c r="C396" s="17">
        <v>1</v>
      </c>
      <c r="D396" s="17">
        <v>0</v>
      </c>
      <c r="E396" s="17">
        <v>1</v>
      </c>
    </row>
    <row r="397" spans="1:5" x14ac:dyDescent="0.3">
      <c r="A397" s="17" t="s">
        <v>0</v>
      </c>
      <c r="B397" s="17" t="s">
        <v>1264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0</v>
      </c>
      <c r="B398" s="17" t="s">
        <v>342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0</v>
      </c>
      <c r="B399" s="17" t="s">
        <v>258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0</v>
      </c>
      <c r="B400" s="17" t="s">
        <v>46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0</v>
      </c>
      <c r="B401" s="17" t="s">
        <v>697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0</v>
      </c>
      <c r="B402" s="17" t="s">
        <v>751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0</v>
      </c>
      <c r="B403" s="17" t="s">
        <v>236</v>
      </c>
      <c r="C403" s="17">
        <v>1</v>
      </c>
      <c r="D403" s="17">
        <v>0</v>
      </c>
      <c r="E403" s="17">
        <v>4</v>
      </c>
    </row>
    <row r="404" spans="1:5" x14ac:dyDescent="0.3">
      <c r="A404" s="17" t="s">
        <v>0</v>
      </c>
      <c r="B404" s="17" t="s">
        <v>68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0</v>
      </c>
      <c r="B405" s="17" t="s">
        <v>238</v>
      </c>
      <c r="C405" s="17">
        <v>1</v>
      </c>
      <c r="D405" s="17">
        <v>0</v>
      </c>
      <c r="E405" s="17">
        <v>2</v>
      </c>
    </row>
    <row r="406" spans="1:5" x14ac:dyDescent="0.3">
      <c r="A406" s="17" t="s">
        <v>0</v>
      </c>
      <c r="B406" s="17" t="s">
        <v>382</v>
      </c>
      <c r="C406" s="17">
        <v>2</v>
      </c>
      <c r="D406" s="17">
        <v>0</v>
      </c>
      <c r="E406" s="17">
        <v>3</v>
      </c>
    </row>
    <row r="407" spans="1:5" x14ac:dyDescent="0.3">
      <c r="A407" s="17" t="s">
        <v>0</v>
      </c>
      <c r="B407" s="17" t="s">
        <v>763</v>
      </c>
      <c r="C407" s="17">
        <v>0</v>
      </c>
      <c r="D407" s="17">
        <v>3</v>
      </c>
      <c r="E407" s="17"/>
    </row>
    <row r="408" spans="1:5" x14ac:dyDescent="0.3">
      <c r="A408" s="17" t="s">
        <v>0</v>
      </c>
      <c r="B408" s="17" t="s">
        <v>32</v>
      </c>
      <c r="C408" s="17">
        <v>2</v>
      </c>
      <c r="D408" s="17">
        <v>0</v>
      </c>
      <c r="E408" s="17">
        <v>2</v>
      </c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50AC0-F0B8-4E7D-AB32-0E5C09F9211A}">
  <sheetPr codeName="Sheet53"/>
  <dimension ref="A1:M731"/>
  <sheetViews>
    <sheetView workbookViewId="0">
      <selection activeCell="A2" sqref="A2:E73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66</v>
      </c>
      <c r="D2" s="17">
        <v>50</v>
      </c>
      <c r="E2" s="17">
        <v>78</v>
      </c>
    </row>
    <row r="3" spans="1:13" customFormat="1" x14ac:dyDescent="0.3">
      <c r="A3" s="17" t="s">
        <v>1</v>
      </c>
      <c r="B3" s="17" t="s">
        <v>30</v>
      </c>
      <c r="C3" s="17">
        <v>97</v>
      </c>
      <c r="D3" s="17">
        <v>25</v>
      </c>
      <c r="E3" s="17">
        <v>199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37</v>
      </c>
      <c r="C4" s="17">
        <v>24</v>
      </c>
      <c r="D4" s="17">
        <v>16</v>
      </c>
      <c r="E4" s="17">
        <v>27</v>
      </c>
      <c r="G4" s="23" t="s">
        <v>8</v>
      </c>
      <c r="H4" s="19">
        <f>H13+H14</f>
        <v>1184</v>
      </c>
      <c r="I4" s="20">
        <f>H4/H$6</f>
        <v>0.77894736842105261</v>
      </c>
      <c r="J4" s="19">
        <f>I13+I14</f>
        <v>617</v>
      </c>
      <c r="K4" s="20">
        <f>J4/J$6</f>
        <v>0.70193401592718996</v>
      </c>
      <c r="L4" s="19">
        <f>J13+J14</f>
        <v>1461</v>
      </c>
      <c r="M4" s="29">
        <f>L4/L$6</f>
        <v>0.78253883235136579</v>
      </c>
    </row>
    <row r="5" spans="1:13" customFormat="1" x14ac:dyDescent="0.3">
      <c r="A5" s="17" t="s">
        <v>1</v>
      </c>
      <c r="B5" s="17" t="s">
        <v>3298</v>
      </c>
      <c r="C5" s="17">
        <v>28</v>
      </c>
      <c r="D5" s="17">
        <v>12</v>
      </c>
      <c r="E5" s="17">
        <v>31</v>
      </c>
      <c r="G5" s="23" t="s">
        <v>10</v>
      </c>
      <c r="H5" s="19">
        <f>H15+H16</f>
        <v>336</v>
      </c>
      <c r="I5" s="20">
        <f>H5/H$6</f>
        <v>0.22105263157894736</v>
      </c>
      <c r="J5" s="19">
        <f>I15+I16</f>
        <v>262</v>
      </c>
      <c r="K5" s="20">
        <f>J5/J$6</f>
        <v>0.29806598407280999</v>
      </c>
      <c r="L5" s="19">
        <f>J15+J16</f>
        <v>406</v>
      </c>
      <c r="M5" s="29">
        <f>L5/L$6</f>
        <v>0.21746116764863418</v>
      </c>
    </row>
    <row r="6" spans="1:13" customFormat="1" ht="17.25" thickBot="1" x14ac:dyDescent="0.35">
      <c r="A6" s="17" t="s">
        <v>1</v>
      </c>
      <c r="B6" s="17" t="s">
        <v>365</v>
      </c>
      <c r="C6" s="17">
        <v>15</v>
      </c>
      <c r="D6" s="17">
        <v>11</v>
      </c>
      <c r="E6" s="17">
        <v>15</v>
      </c>
      <c r="G6" s="26"/>
      <c r="H6" s="30">
        <f>SUM(H4:H5)</f>
        <v>1520</v>
      </c>
      <c r="I6" s="31">
        <f>I4+I5</f>
        <v>1</v>
      </c>
      <c r="J6" s="30">
        <f>SUM(J4:J5)</f>
        <v>879</v>
      </c>
      <c r="K6" s="31">
        <f>K4+K5</f>
        <v>1</v>
      </c>
      <c r="L6" s="30">
        <f>SUM(L4:L5)</f>
        <v>1867</v>
      </c>
      <c r="M6" s="32">
        <f>M4+M5</f>
        <v>1</v>
      </c>
    </row>
    <row r="7" spans="1:13" customFormat="1" x14ac:dyDescent="0.3">
      <c r="A7" s="17" t="s">
        <v>1</v>
      </c>
      <c r="B7" s="17" t="s">
        <v>1927</v>
      </c>
      <c r="C7" s="17">
        <v>18</v>
      </c>
      <c r="D7" s="17">
        <v>10</v>
      </c>
      <c r="E7" s="17">
        <v>24</v>
      </c>
    </row>
    <row r="8" spans="1:13" customFormat="1" x14ac:dyDescent="0.3">
      <c r="A8" s="17" t="s">
        <v>1</v>
      </c>
      <c r="B8" s="17" t="s">
        <v>33</v>
      </c>
      <c r="C8" s="17">
        <v>13</v>
      </c>
      <c r="D8" s="17">
        <v>9</v>
      </c>
      <c r="E8" s="17">
        <v>14</v>
      </c>
    </row>
    <row r="9" spans="1:13" customFormat="1" x14ac:dyDescent="0.3">
      <c r="A9" s="17" t="s">
        <v>1</v>
      </c>
      <c r="B9" s="17" t="s">
        <v>48</v>
      </c>
      <c r="C9" s="17">
        <v>12</v>
      </c>
      <c r="D9" s="17">
        <v>9</v>
      </c>
      <c r="E9" s="17">
        <v>13</v>
      </c>
    </row>
    <row r="10" spans="1:13" customFormat="1" ht="17.25" thickBot="1" x14ac:dyDescent="0.35">
      <c r="A10" s="17" t="s">
        <v>1</v>
      </c>
      <c r="B10" s="17" t="s">
        <v>31</v>
      </c>
      <c r="C10" s="17">
        <v>10</v>
      </c>
      <c r="D10" s="17">
        <v>9</v>
      </c>
      <c r="E10" s="17">
        <v>11</v>
      </c>
    </row>
    <row r="11" spans="1:13" x14ac:dyDescent="0.3">
      <c r="A11" s="17" t="s">
        <v>0</v>
      </c>
      <c r="B11" s="17" t="s">
        <v>29</v>
      </c>
      <c r="C11" s="17">
        <v>9</v>
      </c>
      <c r="D11" s="17">
        <v>8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3036</v>
      </c>
      <c r="C12" s="17">
        <v>19</v>
      </c>
      <c r="D12" s="17">
        <v>7</v>
      </c>
      <c r="E12" s="17">
        <v>20</v>
      </c>
      <c r="G12" s="23"/>
      <c r="H12" s="21">
        <f t="shared" ref="H12:J12" si="0">SUM(H13:H16)</f>
        <v>1520</v>
      </c>
      <c r="I12" s="21">
        <f t="shared" si="0"/>
        <v>879</v>
      </c>
      <c r="J12" s="24">
        <f t="shared" si="0"/>
        <v>1867</v>
      </c>
    </row>
    <row r="13" spans="1:13" x14ac:dyDescent="0.3">
      <c r="A13" s="17" t="s">
        <v>1</v>
      </c>
      <c r="B13" s="17" t="s">
        <v>135</v>
      </c>
      <c r="C13" s="17">
        <v>8</v>
      </c>
      <c r="D13" s="17">
        <v>7</v>
      </c>
      <c r="E13" s="17">
        <v>10</v>
      </c>
      <c r="G13" s="23" t="s">
        <v>7</v>
      </c>
      <c r="H13" s="22">
        <f t="shared" ref="H13:J16" si="1">SUMIF($A$2:$A$9999,$G13,C$2:C$9999)</f>
        <v>1184</v>
      </c>
      <c r="I13" s="22">
        <f t="shared" si="1"/>
        <v>617</v>
      </c>
      <c r="J13" s="25">
        <f t="shared" si="1"/>
        <v>1461</v>
      </c>
    </row>
    <row r="14" spans="1:13" x14ac:dyDescent="0.3">
      <c r="A14" s="17" t="s">
        <v>0</v>
      </c>
      <c r="B14" s="17" t="s">
        <v>490</v>
      </c>
      <c r="C14" s="17">
        <v>7</v>
      </c>
      <c r="D14" s="17">
        <v>7</v>
      </c>
      <c r="E14" s="17">
        <v>8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152</v>
      </c>
      <c r="C15" s="17">
        <v>9</v>
      </c>
      <c r="D15" s="17">
        <v>6</v>
      </c>
      <c r="E15" s="17">
        <v>18</v>
      </c>
      <c r="G15" s="23" t="s">
        <v>11</v>
      </c>
      <c r="H15" s="22">
        <f t="shared" si="1"/>
        <v>316</v>
      </c>
      <c r="I15" s="22">
        <f t="shared" si="1"/>
        <v>248</v>
      </c>
      <c r="J15" s="25">
        <f t="shared" si="1"/>
        <v>381</v>
      </c>
    </row>
    <row r="16" spans="1:13" ht="17.25" thickBot="1" x14ac:dyDescent="0.35">
      <c r="A16" s="17" t="s">
        <v>1</v>
      </c>
      <c r="B16" s="17" t="s">
        <v>281</v>
      </c>
      <c r="C16" s="17">
        <v>7</v>
      </c>
      <c r="D16" s="17">
        <v>6</v>
      </c>
      <c r="E16" s="17">
        <v>8</v>
      </c>
      <c r="G16" s="26" t="s">
        <v>12</v>
      </c>
      <c r="H16" s="27">
        <f t="shared" si="1"/>
        <v>20</v>
      </c>
      <c r="I16" s="27">
        <f t="shared" si="1"/>
        <v>14</v>
      </c>
      <c r="J16" s="28">
        <f t="shared" si="1"/>
        <v>25</v>
      </c>
    </row>
    <row r="17" spans="1:5" x14ac:dyDescent="0.3">
      <c r="A17" s="17" t="s">
        <v>1</v>
      </c>
      <c r="B17" s="17" t="s">
        <v>2075</v>
      </c>
      <c r="C17" s="17">
        <v>7</v>
      </c>
      <c r="D17" s="17">
        <v>6</v>
      </c>
      <c r="E17" s="17">
        <v>8</v>
      </c>
    </row>
    <row r="18" spans="1:5" x14ac:dyDescent="0.3">
      <c r="A18" s="17" t="s">
        <v>1</v>
      </c>
      <c r="B18" s="17" t="s">
        <v>51</v>
      </c>
      <c r="C18" s="17">
        <v>8</v>
      </c>
      <c r="D18" s="17">
        <v>6</v>
      </c>
      <c r="E18" s="17">
        <v>8</v>
      </c>
    </row>
    <row r="19" spans="1:5" x14ac:dyDescent="0.3">
      <c r="A19" s="17" t="s">
        <v>0</v>
      </c>
      <c r="B19" s="17" t="s">
        <v>31</v>
      </c>
      <c r="C19" s="17">
        <v>6</v>
      </c>
      <c r="D19" s="17">
        <v>6</v>
      </c>
      <c r="E19" s="17">
        <v>6</v>
      </c>
    </row>
    <row r="20" spans="1:5" x14ac:dyDescent="0.3">
      <c r="A20" s="17" t="s">
        <v>1</v>
      </c>
      <c r="B20" s="17" t="s">
        <v>151</v>
      </c>
      <c r="C20" s="17">
        <v>8</v>
      </c>
      <c r="D20" s="17">
        <v>5</v>
      </c>
      <c r="E20" s="17">
        <v>8</v>
      </c>
    </row>
    <row r="21" spans="1:5" x14ac:dyDescent="0.3">
      <c r="A21" s="17" t="s">
        <v>1</v>
      </c>
      <c r="B21" s="17" t="s">
        <v>61</v>
      </c>
      <c r="C21" s="17">
        <v>7</v>
      </c>
      <c r="D21" s="17">
        <v>5</v>
      </c>
      <c r="E21" s="17">
        <v>7</v>
      </c>
    </row>
    <row r="22" spans="1:5" x14ac:dyDescent="0.3">
      <c r="A22" s="17" t="s">
        <v>1</v>
      </c>
      <c r="B22" s="17" t="s">
        <v>2692</v>
      </c>
      <c r="C22" s="17">
        <v>15</v>
      </c>
      <c r="D22" s="17">
        <v>5</v>
      </c>
      <c r="E22" s="17">
        <v>20</v>
      </c>
    </row>
    <row r="23" spans="1:5" x14ac:dyDescent="0.3">
      <c r="A23" s="17" t="s">
        <v>1</v>
      </c>
      <c r="B23" s="17" t="s">
        <v>2396</v>
      </c>
      <c r="C23" s="17">
        <v>10</v>
      </c>
      <c r="D23" s="17">
        <v>5</v>
      </c>
      <c r="E23" s="17">
        <v>17</v>
      </c>
    </row>
    <row r="24" spans="1:5" x14ac:dyDescent="0.3">
      <c r="A24" s="17" t="s">
        <v>1</v>
      </c>
      <c r="B24" s="17" t="s">
        <v>376</v>
      </c>
      <c r="C24" s="17">
        <v>8</v>
      </c>
      <c r="D24" s="17">
        <v>5</v>
      </c>
      <c r="E24" s="17">
        <v>13</v>
      </c>
    </row>
    <row r="25" spans="1:5" x14ac:dyDescent="0.3">
      <c r="A25" s="17" t="s">
        <v>0</v>
      </c>
      <c r="B25" s="17" t="s">
        <v>35</v>
      </c>
      <c r="C25" s="17">
        <v>5</v>
      </c>
      <c r="D25" s="17">
        <v>5</v>
      </c>
      <c r="E25" s="17">
        <v>6</v>
      </c>
    </row>
    <row r="26" spans="1:5" x14ac:dyDescent="0.3">
      <c r="A26" s="17" t="s">
        <v>0</v>
      </c>
      <c r="B26" s="17" t="s">
        <v>1479</v>
      </c>
      <c r="C26" s="17">
        <v>5</v>
      </c>
      <c r="D26" s="17">
        <v>5</v>
      </c>
      <c r="E26" s="17">
        <v>5</v>
      </c>
    </row>
    <row r="27" spans="1:5" x14ac:dyDescent="0.3">
      <c r="A27" s="17" t="s">
        <v>0</v>
      </c>
      <c r="B27" s="17" t="s">
        <v>51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79</v>
      </c>
      <c r="C28" s="17">
        <v>4</v>
      </c>
      <c r="D28" s="17">
        <v>4</v>
      </c>
      <c r="E28" s="17">
        <v>4</v>
      </c>
    </row>
    <row r="29" spans="1:5" x14ac:dyDescent="0.3">
      <c r="A29" s="17" t="s">
        <v>1</v>
      </c>
      <c r="B29" s="17" t="s">
        <v>89</v>
      </c>
      <c r="C29" s="17">
        <v>4</v>
      </c>
      <c r="D29" s="17">
        <v>4</v>
      </c>
      <c r="E29" s="17">
        <v>5</v>
      </c>
    </row>
    <row r="30" spans="1:5" x14ac:dyDescent="0.3">
      <c r="A30" s="17" t="s">
        <v>1</v>
      </c>
      <c r="B30" s="17" t="s">
        <v>2572</v>
      </c>
      <c r="C30" s="17">
        <v>7</v>
      </c>
      <c r="D30" s="17">
        <v>4</v>
      </c>
      <c r="E30" s="17">
        <v>7</v>
      </c>
    </row>
    <row r="31" spans="1:5" x14ac:dyDescent="0.3">
      <c r="A31" s="17" t="s">
        <v>1</v>
      </c>
      <c r="B31" s="17" t="s">
        <v>29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289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291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45</v>
      </c>
      <c r="C34" s="17">
        <v>4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330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176</v>
      </c>
      <c r="C36" s="17">
        <v>5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122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194</v>
      </c>
      <c r="C38" s="17">
        <v>7</v>
      </c>
      <c r="D38" s="17">
        <v>4</v>
      </c>
      <c r="E38" s="17">
        <v>7</v>
      </c>
    </row>
    <row r="39" spans="1:5" x14ac:dyDescent="0.3">
      <c r="A39" s="17" t="s">
        <v>1</v>
      </c>
      <c r="B39" s="17" t="s">
        <v>67</v>
      </c>
      <c r="C39" s="17">
        <v>12</v>
      </c>
      <c r="D39" s="17">
        <v>4</v>
      </c>
      <c r="E39" s="17">
        <v>17</v>
      </c>
    </row>
    <row r="40" spans="1:5" x14ac:dyDescent="0.3">
      <c r="A40" s="17" t="s">
        <v>0</v>
      </c>
      <c r="B40" s="17" t="s">
        <v>365</v>
      </c>
      <c r="C40" s="17">
        <v>4</v>
      </c>
      <c r="D40" s="17">
        <v>4</v>
      </c>
      <c r="E40" s="17">
        <v>4</v>
      </c>
    </row>
    <row r="41" spans="1:5" x14ac:dyDescent="0.3">
      <c r="A41" s="17" t="s">
        <v>0</v>
      </c>
      <c r="B41" s="17" t="s">
        <v>61</v>
      </c>
      <c r="C41" s="17">
        <v>4</v>
      </c>
      <c r="D41" s="17">
        <v>4</v>
      </c>
      <c r="E41" s="17">
        <v>6</v>
      </c>
    </row>
    <row r="42" spans="1:5" x14ac:dyDescent="0.3">
      <c r="A42" s="17" t="s">
        <v>0</v>
      </c>
      <c r="B42" s="17" t="s">
        <v>2075</v>
      </c>
      <c r="C42" s="17">
        <v>4</v>
      </c>
      <c r="D42" s="17">
        <v>4</v>
      </c>
      <c r="E42" s="17">
        <v>4</v>
      </c>
    </row>
    <row r="43" spans="1:5" x14ac:dyDescent="0.3">
      <c r="A43" s="17" t="s">
        <v>0</v>
      </c>
      <c r="B43" s="17" t="s">
        <v>168</v>
      </c>
      <c r="C43" s="17">
        <v>4</v>
      </c>
      <c r="D43" s="17">
        <v>4</v>
      </c>
      <c r="E43" s="17">
        <v>5</v>
      </c>
    </row>
    <row r="44" spans="1:5" x14ac:dyDescent="0.3">
      <c r="A44" s="17" t="s">
        <v>1</v>
      </c>
      <c r="B44" s="17" t="s">
        <v>1428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492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168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199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421</v>
      </c>
      <c r="C48" s="17">
        <v>6</v>
      </c>
      <c r="D48" s="17">
        <v>3</v>
      </c>
      <c r="E48" s="17">
        <v>7</v>
      </c>
    </row>
    <row r="49" spans="1:5" x14ac:dyDescent="0.3">
      <c r="A49" s="17" t="s">
        <v>1</v>
      </c>
      <c r="B49" s="17" t="s">
        <v>126</v>
      </c>
      <c r="C49" s="17">
        <v>6</v>
      </c>
      <c r="D49" s="17">
        <v>3</v>
      </c>
      <c r="E49" s="17">
        <v>7</v>
      </c>
    </row>
    <row r="50" spans="1:5" x14ac:dyDescent="0.3">
      <c r="A50" s="17" t="s">
        <v>1</v>
      </c>
      <c r="B50" s="17" t="s">
        <v>129</v>
      </c>
      <c r="C50" s="17">
        <v>3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38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1519</v>
      </c>
      <c r="C52" s="17">
        <v>3</v>
      </c>
      <c r="D52" s="17">
        <v>6</v>
      </c>
      <c r="E52" s="17"/>
    </row>
    <row r="53" spans="1:5" x14ac:dyDescent="0.3">
      <c r="A53" s="17" t="s">
        <v>0</v>
      </c>
      <c r="B53" s="17" t="s">
        <v>30</v>
      </c>
      <c r="C53" s="17">
        <v>9</v>
      </c>
      <c r="D53" s="17">
        <v>3</v>
      </c>
      <c r="E53" s="17">
        <v>17</v>
      </c>
    </row>
    <row r="54" spans="1:5" x14ac:dyDescent="0.3">
      <c r="A54" s="17" t="s">
        <v>0</v>
      </c>
      <c r="B54" s="17" t="s">
        <v>48</v>
      </c>
      <c r="C54" s="17">
        <v>3</v>
      </c>
      <c r="D54" s="17">
        <v>3</v>
      </c>
      <c r="E54" s="17">
        <v>4</v>
      </c>
    </row>
    <row r="55" spans="1:5" x14ac:dyDescent="0.3">
      <c r="A55" s="17" t="s">
        <v>0</v>
      </c>
      <c r="B55" s="17" t="s">
        <v>173</v>
      </c>
      <c r="C55" s="17">
        <v>3</v>
      </c>
      <c r="D55" s="17">
        <v>3</v>
      </c>
      <c r="E55" s="17">
        <v>3</v>
      </c>
    </row>
    <row r="56" spans="1:5" x14ac:dyDescent="0.3">
      <c r="A56" s="17" t="s">
        <v>0</v>
      </c>
      <c r="B56" s="17" t="s">
        <v>122</v>
      </c>
      <c r="C56" s="17">
        <v>3</v>
      </c>
      <c r="D56" s="17">
        <v>3</v>
      </c>
      <c r="E56" s="17">
        <v>3</v>
      </c>
    </row>
    <row r="57" spans="1:5" x14ac:dyDescent="0.3">
      <c r="A57" s="17" t="s">
        <v>0</v>
      </c>
      <c r="B57" s="17" t="s">
        <v>39</v>
      </c>
      <c r="C57" s="17">
        <v>5</v>
      </c>
      <c r="D57" s="17">
        <v>3</v>
      </c>
      <c r="E57" s="17">
        <v>7</v>
      </c>
    </row>
    <row r="58" spans="1:5" x14ac:dyDescent="0.3">
      <c r="A58" s="17" t="s">
        <v>1</v>
      </c>
      <c r="B58" s="17" t="s">
        <v>47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144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394</v>
      </c>
      <c r="C60" s="17">
        <v>3</v>
      </c>
      <c r="D60" s="17">
        <v>2</v>
      </c>
      <c r="E60" s="17">
        <v>6</v>
      </c>
    </row>
    <row r="61" spans="1:5" x14ac:dyDescent="0.3">
      <c r="A61" s="17" t="s">
        <v>1</v>
      </c>
      <c r="B61" s="17" t="s">
        <v>461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515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247</v>
      </c>
      <c r="C63" s="17">
        <v>4</v>
      </c>
      <c r="D63" s="17">
        <v>2</v>
      </c>
      <c r="E63" s="17">
        <v>5</v>
      </c>
    </row>
    <row r="64" spans="1:5" x14ac:dyDescent="0.3">
      <c r="A64" s="17" t="s">
        <v>1</v>
      </c>
      <c r="B64" s="17" t="s">
        <v>860</v>
      </c>
      <c r="C64" s="17">
        <v>3</v>
      </c>
      <c r="D64" s="17">
        <v>2</v>
      </c>
      <c r="E64" s="17">
        <v>6</v>
      </c>
    </row>
    <row r="65" spans="1:5" x14ac:dyDescent="0.3">
      <c r="A65" s="17" t="s">
        <v>1</v>
      </c>
      <c r="B65" s="17" t="s">
        <v>841</v>
      </c>
      <c r="C65" s="17">
        <v>3</v>
      </c>
      <c r="D65" s="17">
        <v>2</v>
      </c>
      <c r="E65" s="17">
        <v>4</v>
      </c>
    </row>
    <row r="66" spans="1:5" x14ac:dyDescent="0.3">
      <c r="A66" s="17" t="s">
        <v>1</v>
      </c>
      <c r="B66" s="17" t="s">
        <v>83</v>
      </c>
      <c r="C66" s="17">
        <v>2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85</v>
      </c>
      <c r="C67" s="17">
        <v>4</v>
      </c>
      <c r="D67" s="17">
        <v>2</v>
      </c>
      <c r="E67" s="17">
        <v>5</v>
      </c>
    </row>
    <row r="68" spans="1:5" x14ac:dyDescent="0.3">
      <c r="A68" s="17" t="s">
        <v>1</v>
      </c>
      <c r="B68" s="17" t="s">
        <v>1060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92</v>
      </c>
      <c r="C69" s="17">
        <v>3</v>
      </c>
      <c r="D69" s="17">
        <v>2</v>
      </c>
      <c r="E69" s="17">
        <v>4</v>
      </c>
    </row>
    <row r="70" spans="1:5" x14ac:dyDescent="0.3">
      <c r="A70" s="17" t="s">
        <v>1</v>
      </c>
      <c r="B70" s="17" t="s">
        <v>155</v>
      </c>
      <c r="C70" s="17">
        <v>6</v>
      </c>
      <c r="D70" s="17">
        <v>2</v>
      </c>
      <c r="E70" s="17">
        <v>7</v>
      </c>
    </row>
    <row r="71" spans="1:5" x14ac:dyDescent="0.3">
      <c r="A71" s="17" t="s">
        <v>1</v>
      </c>
      <c r="B71" s="17" t="s">
        <v>41</v>
      </c>
      <c r="C71" s="17">
        <v>4</v>
      </c>
      <c r="D71" s="17">
        <v>2</v>
      </c>
      <c r="E71" s="17">
        <v>6</v>
      </c>
    </row>
    <row r="72" spans="1:5" x14ac:dyDescent="0.3">
      <c r="A72" s="17" t="s">
        <v>1</v>
      </c>
      <c r="B72" s="17" t="s">
        <v>42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95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1897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1912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2399</v>
      </c>
      <c r="C76" s="17">
        <v>5</v>
      </c>
      <c r="D76" s="17">
        <v>2</v>
      </c>
      <c r="E76" s="17">
        <v>5</v>
      </c>
    </row>
    <row r="77" spans="1:5" x14ac:dyDescent="0.3">
      <c r="A77" s="17" t="s">
        <v>1</v>
      </c>
      <c r="B77" s="17" t="s">
        <v>2395</v>
      </c>
      <c r="C77" s="17">
        <v>3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2944</v>
      </c>
      <c r="C78" s="17">
        <v>10</v>
      </c>
      <c r="D78" s="17">
        <v>2</v>
      </c>
      <c r="E78" s="17">
        <v>10</v>
      </c>
    </row>
    <row r="79" spans="1:5" x14ac:dyDescent="0.3">
      <c r="A79" s="17" t="s">
        <v>1</v>
      </c>
      <c r="B79" s="17" t="s">
        <v>524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866</v>
      </c>
      <c r="C80" s="17">
        <v>3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49</v>
      </c>
      <c r="C81" s="17">
        <v>2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546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681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120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200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123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125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696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301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63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134</v>
      </c>
      <c r="C91" s="17">
        <v>3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567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235</v>
      </c>
      <c r="C93" s="17">
        <v>16</v>
      </c>
      <c r="D93" s="17">
        <v>2</v>
      </c>
      <c r="E93" s="17">
        <v>28</v>
      </c>
    </row>
    <row r="94" spans="1:5" x14ac:dyDescent="0.3">
      <c r="A94" s="17" t="s">
        <v>1</v>
      </c>
      <c r="B94" s="17" t="s">
        <v>381</v>
      </c>
      <c r="C94" s="17">
        <v>2</v>
      </c>
      <c r="D94" s="17">
        <v>2</v>
      </c>
      <c r="E94" s="17">
        <v>4</v>
      </c>
    </row>
    <row r="95" spans="1:5" x14ac:dyDescent="0.3">
      <c r="A95" s="17" t="s">
        <v>1</v>
      </c>
      <c r="B95" s="17" t="s">
        <v>981</v>
      </c>
      <c r="C95" s="17">
        <v>2</v>
      </c>
      <c r="D95" s="17">
        <v>3</v>
      </c>
      <c r="E95" s="17"/>
    </row>
    <row r="96" spans="1:5" x14ac:dyDescent="0.3">
      <c r="A96" s="17" t="s">
        <v>1</v>
      </c>
      <c r="B96" s="17" t="s">
        <v>32</v>
      </c>
      <c r="C96" s="17">
        <v>6</v>
      </c>
      <c r="D96" s="17">
        <v>2</v>
      </c>
      <c r="E96" s="17">
        <v>9</v>
      </c>
    </row>
    <row r="97" spans="1:5" x14ac:dyDescent="0.3">
      <c r="A97" s="17" t="s">
        <v>0</v>
      </c>
      <c r="B97" s="17" t="s">
        <v>83</v>
      </c>
      <c r="C97" s="17">
        <v>2</v>
      </c>
      <c r="D97" s="17">
        <v>2</v>
      </c>
      <c r="E97" s="17">
        <v>2</v>
      </c>
    </row>
    <row r="98" spans="1:5" x14ac:dyDescent="0.3">
      <c r="A98" s="17" t="s">
        <v>0</v>
      </c>
      <c r="B98" s="17" t="s">
        <v>280</v>
      </c>
      <c r="C98" s="17">
        <v>2</v>
      </c>
      <c r="D98" s="17">
        <v>2</v>
      </c>
      <c r="E98" s="17">
        <v>2</v>
      </c>
    </row>
    <row r="99" spans="1:5" x14ac:dyDescent="0.3">
      <c r="A99" s="17" t="s">
        <v>0</v>
      </c>
      <c r="B99" s="17" t="s">
        <v>264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151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152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155</v>
      </c>
      <c r="C102" s="17">
        <v>4</v>
      </c>
      <c r="D102" s="17">
        <v>2</v>
      </c>
      <c r="E102" s="17">
        <v>4</v>
      </c>
    </row>
    <row r="103" spans="1:5" x14ac:dyDescent="0.3">
      <c r="A103" s="17" t="s">
        <v>0</v>
      </c>
      <c r="B103" s="17" t="s">
        <v>96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1927</v>
      </c>
      <c r="C104" s="17">
        <v>3</v>
      </c>
      <c r="D104" s="17">
        <v>2</v>
      </c>
      <c r="E104" s="17">
        <v>3</v>
      </c>
    </row>
    <row r="105" spans="1:5" x14ac:dyDescent="0.3">
      <c r="A105" s="17" t="s">
        <v>0</v>
      </c>
      <c r="B105" s="17" t="s">
        <v>2692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2396</v>
      </c>
      <c r="C106" s="17">
        <v>4</v>
      </c>
      <c r="D106" s="17">
        <v>2</v>
      </c>
      <c r="E106" s="17">
        <v>4</v>
      </c>
    </row>
    <row r="107" spans="1:5" x14ac:dyDescent="0.3">
      <c r="A107" s="17" t="s">
        <v>0</v>
      </c>
      <c r="B107" s="17" t="s">
        <v>2572</v>
      </c>
      <c r="C107" s="17">
        <v>5</v>
      </c>
      <c r="D107" s="17">
        <v>2</v>
      </c>
      <c r="E107" s="17">
        <v>6</v>
      </c>
    </row>
    <row r="108" spans="1:5" x14ac:dyDescent="0.3">
      <c r="A108" s="17" t="s">
        <v>0</v>
      </c>
      <c r="B108" s="17" t="s">
        <v>3036</v>
      </c>
      <c r="C108" s="17">
        <v>6</v>
      </c>
      <c r="D108" s="17">
        <v>2</v>
      </c>
      <c r="E108" s="17">
        <v>9</v>
      </c>
    </row>
    <row r="109" spans="1:5" x14ac:dyDescent="0.3">
      <c r="A109" s="17" t="s">
        <v>0</v>
      </c>
      <c r="B109" s="17" t="s">
        <v>159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28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107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1288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169</v>
      </c>
      <c r="C113" s="17">
        <v>2</v>
      </c>
      <c r="D113" s="17">
        <v>2</v>
      </c>
      <c r="E113" s="17">
        <v>4</v>
      </c>
    </row>
    <row r="114" spans="1:5" x14ac:dyDescent="0.3">
      <c r="A114" s="17" t="s">
        <v>0</v>
      </c>
      <c r="B114" s="17" t="s">
        <v>291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774</v>
      </c>
      <c r="C115" s="17">
        <v>2</v>
      </c>
      <c r="D115" s="17">
        <v>2</v>
      </c>
      <c r="E115" s="17">
        <v>4</v>
      </c>
    </row>
    <row r="116" spans="1:5" x14ac:dyDescent="0.3">
      <c r="A116" s="17" t="s">
        <v>0</v>
      </c>
      <c r="B116" s="17" t="s">
        <v>2314</v>
      </c>
      <c r="C116" s="17">
        <v>2</v>
      </c>
      <c r="D116" s="17">
        <v>2</v>
      </c>
      <c r="E116" s="17">
        <v>3</v>
      </c>
    </row>
    <row r="117" spans="1:5" x14ac:dyDescent="0.3">
      <c r="A117" s="17" t="s">
        <v>0</v>
      </c>
      <c r="B117" s="17" t="s">
        <v>45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295</v>
      </c>
      <c r="C118" s="17">
        <v>2</v>
      </c>
      <c r="D118" s="17">
        <v>2</v>
      </c>
      <c r="E118" s="17">
        <v>3</v>
      </c>
    </row>
    <row r="119" spans="1:5" x14ac:dyDescent="0.3">
      <c r="A119" s="17" t="s">
        <v>0</v>
      </c>
      <c r="B119" s="17" t="s">
        <v>200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347</v>
      </c>
      <c r="C120" s="17">
        <v>2</v>
      </c>
      <c r="D120" s="17">
        <v>2</v>
      </c>
      <c r="E120" s="17">
        <v>5</v>
      </c>
    </row>
    <row r="121" spans="1:5" x14ac:dyDescent="0.3">
      <c r="A121" s="17" t="s">
        <v>0</v>
      </c>
      <c r="B121" s="17" t="s">
        <v>483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192</v>
      </c>
      <c r="C122" s="17">
        <v>3</v>
      </c>
      <c r="D122" s="17">
        <v>2</v>
      </c>
      <c r="E122" s="17">
        <v>3</v>
      </c>
    </row>
    <row r="123" spans="1:5" x14ac:dyDescent="0.3">
      <c r="A123" s="17" t="s">
        <v>0</v>
      </c>
      <c r="B123" s="17" t="s">
        <v>376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266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2164</v>
      </c>
      <c r="C125" s="17">
        <v>2</v>
      </c>
      <c r="D125" s="17">
        <v>2</v>
      </c>
      <c r="E125" s="17">
        <v>4</v>
      </c>
    </row>
    <row r="126" spans="1:5" x14ac:dyDescent="0.3">
      <c r="A126" s="17" t="s">
        <v>1</v>
      </c>
      <c r="B126" s="17" t="s">
        <v>489</v>
      </c>
      <c r="C126" s="17">
        <v>2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984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140</v>
      </c>
      <c r="C128" s="17">
        <v>3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1488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36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504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243</v>
      </c>
      <c r="C132" s="17">
        <v>1</v>
      </c>
      <c r="D132" s="17">
        <v>1</v>
      </c>
      <c r="E132" s="17">
        <v>3</v>
      </c>
    </row>
    <row r="133" spans="1:5" x14ac:dyDescent="0.3">
      <c r="A133" s="17" t="s">
        <v>1</v>
      </c>
      <c r="B133" s="17" t="s">
        <v>1782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203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609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1249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432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392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507</v>
      </c>
      <c r="C139" s="17">
        <v>2</v>
      </c>
      <c r="D139" s="17">
        <v>1</v>
      </c>
      <c r="E139" s="17">
        <v>4</v>
      </c>
    </row>
    <row r="140" spans="1:5" x14ac:dyDescent="0.3">
      <c r="A140" s="17" t="s">
        <v>1</v>
      </c>
      <c r="B140" s="17" t="s">
        <v>1050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580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613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486</v>
      </c>
      <c r="C143" s="17">
        <v>3</v>
      </c>
      <c r="D143" s="17">
        <v>1</v>
      </c>
      <c r="E143" s="17">
        <v>3</v>
      </c>
    </row>
    <row r="144" spans="1:5" x14ac:dyDescent="0.3">
      <c r="A144" s="17" t="s">
        <v>1</v>
      </c>
      <c r="B144" s="17" t="s">
        <v>387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207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272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77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273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78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977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356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516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517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906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934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1054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212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82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278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2384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2374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708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315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148</v>
      </c>
      <c r="C164" s="17">
        <v>4</v>
      </c>
      <c r="D164" s="17">
        <v>1</v>
      </c>
      <c r="E164" s="17">
        <v>5</v>
      </c>
    </row>
    <row r="165" spans="1:5" x14ac:dyDescent="0.3">
      <c r="A165" s="17" t="s">
        <v>1</v>
      </c>
      <c r="B165" s="17" t="s">
        <v>630</v>
      </c>
      <c r="C165" s="17">
        <v>3</v>
      </c>
      <c r="D165" s="17">
        <v>1</v>
      </c>
      <c r="E165" s="17">
        <v>3</v>
      </c>
    </row>
    <row r="166" spans="1:5" x14ac:dyDescent="0.3">
      <c r="A166" s="17" t="s">
        <v>1</v>
      </c>
      <c r="B166" s="17" t="s">
        <v>280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264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149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1102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480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2650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219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2045</v>
      </c>
      <c r="C173" s="17">
        <v>2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221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154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364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692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96</v>
      </c>
      <c r="C178" s="17">
        <v>8</v>
      </c>
      <c r="D178" s="17">
        <v>1</v>
      </c>
      <c r="E178" s="17">
        <v>11</v>
      </c>
    </row>
    <row r="179" spans="1:5" x14ac:dyDescent="0.3">
      <c r="A179" s="17" t="s">
        <v>1</v>
      </c>
      <c r="B179" s="17" t="s">
        <v>686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1643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1646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1660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1683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1775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1835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1854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1946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1983</v>
      </c>
      <c r="C188" s="17">
        <v>1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2115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2441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2711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2599</v>
      </c>
      <c r="C192" s="17">
        <v>2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158</v>
      </c>
      <c r="C193" s="17">
        <v>2</v>
      </c>
      <c r="D193" s="17">
        <v>1</v>
      </c>
      <c r="E193" s="17">
        <v>6</v>
      </c>
    </row>
    <row r="194" spans="1:5" x14ac:dyDescent="0.3">
      <c r="A194" s="17" t="s">
        <v>1</v>
      </c>
      <c r="B194" s="17" t="s">
        <v>282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1167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525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159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252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440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526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945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714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2008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1104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99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100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101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840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403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995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1145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1371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997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1259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102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2128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103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165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106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322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166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1430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645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772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1182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3299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2174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647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1001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169</v>
      </c>
      <c r="C230" s="17">
        <v>4</v>
      </c>
      <c r="D230" s="17">
        <v>1</v>
      </c>
      <c r="E230" s="17">
        <v>5</v>
      </c>
    </row>
    <row r="231" spans="1:5" x14ac:dyDescent="0.3">
      <c r="A231" s="17" t="s">
        <v>1</v>
      </c>
      <c r="B231" s="17" t="s">
        <v>110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1099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648</v>
      </c>
      <c r="C233" s="17">
        <v>1</v>
      </c>
      <c r="D233" s="17">
        <v>1</v>
      </c>
      <c r="E233" s="17">
        <v>2</v>
      </c>
    </row>
    <row r="234" spans="1:5" x14ac:dyDescent="0.3">
      <c r="A234" s="17" t="s">
        <v>1</v>
      </c>
      <c r="B234" s="17" t="s">
        <v>649</v>
      </c>
      <c r="C234" s="17">
        <v>2</v>
      </c>
      <c r="D234" s="17">
        <v>1</v>
      </c>
      <c r="E234" s="17">
        <v>3</v>
      </c>
    </row>
    <row r="235" spans="1:5" x14ac:dyDescent="0.3">
      <c r="A235" s="17" t="s">
        <v>1</v>
      </c>
      <c r="B235" s="17" t="s">
        <v>111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1462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172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173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113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1571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1797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533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44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2224</v>
      </c>
      <c r="C244" s="17">
        <v>2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720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1409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594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2026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1526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1196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327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2187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539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2070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1812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1376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725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1377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2707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1706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385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596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597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776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3300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468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1292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1635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2040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2912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886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1474</v>
      </c>
      <c r="C272" s="17">
        <v>2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685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658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1180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338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2011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117</v>
      </c>
      <c r="C278" s="17">
        <v>4</v>
      </c>
      <c r="D278" s="17">
        <v>1</v>
      </c>
      <c r="E278" s="17">
        <v>4</v>
      </c>
    </row>
    <row r="279" spans="1:5" x14ac:dyDescent="0.3">
      <c r="A279" s="17" t="s">
        <v>1</v>
      </c>
      <c r="B279" s="17" t="s">
        <v>1189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1110</v>
      </c>
      <c r="C280" s="17">
        <v>1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814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781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2581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2254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495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3301</v>
      </c>
      <c r="C286" s="17">
        <v>1</v>
      </c>
      <c r="D286" s="17">
        <v>1</v>
      </c>
      <c r="E286" s="17"/>
    </row>
    <row r="287" spans="1:5" x14ac:dyDescent="0.3">
      <c r="A287" s="17" t="s">
        <v>1</v>
      </c>
      <c r="B287" s="17" t="s">
        <v>417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1244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2854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1411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735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2366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345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121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889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662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847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2012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695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959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3302</v>
      </c>
      <c r="C301" s="17">
        <v>1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179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555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1308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742</v>
      </c>
      <c r="C305" s="17">
        <v>2</v>
      </c>
      <c r="D305" s="17">
        <v>1</v>
      </c>
      <c r="E305" s="17">
        <v>2</v>
      </c>
    </row>
    <row r="306" spans="1:5" x14ac:dyDescent="0.3">
      <c r="A306" s="17" t="s">
        <v>1</v>
      </c>
      <c r="B306" s="17" t="s">
        <v>1206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347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1016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558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746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560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423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182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1986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698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483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427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428</v>
      </c>
      <c r="C318" s="17">
        <v>2</v>
      </c>
      <c r="D318" s="17">
        <v>1</v>
      </c>
      <c r="E318" s="17">
        <v>2</v>
      </c>
    </row>
    <row r="319" spans="1:5" x14ac:dyDescent="0.3">
      <c r="A319" s="17" t="s">
        <v>1</v>
      </c>
      <c r="B319" s="17" t="s">
        <v>699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561</v>
      </c>
      <c r="C320" s="17">
        <v>1</v>
      </c>
      <c r="D320" s="17">
        <v>1</v>
      </c>
      <c r="E320" s="17">
        <v>2</v>
      </c>
    </row>
    <row r="321" spans="1:5" x14ac:dyDescent="0.3">
      <c r="A321" s="17" t="s">
        <v>1</v>
      </c>
      <c r="B321" s="17" t="s">
        <v>3303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1236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186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1530</v>
      </c>
      <c r="C324" s="17">
        <v>2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822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52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823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1120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2103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201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1023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752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3304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825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1083</v>
      </c>
      <c r="C335" s="17">
        <v>2</v>
      </c>
      <c r="D335" s="17">
        <v>1</v>
      </c>
      <c r="E335" s="17">
        <v>3</v>
      </c>
    </row>
    <row r="336" spans="1:5" x14ac:dyDescent="0.3">
      <c r="A336" s="17" t="s">
        <v>1</v>
      </c>
      <c r="B336" s="17" t="s">
        <v>565</v>
      </c>
      <c r="C336" s="17">
        <v>2</v>
      </c>
      <c r="D336" s="17">
        <v>1</v>
      </c>
      <c r="E336" s="17">
        <v>2</v>
      </c>
    </row>
    <row r="337" spans="1:5" x14ac:dyDescent="0.3">
      <c r="A337" s="17" t="s">
        <v>1</v>
      </c>
      <c r="B337" s="17" t="s">
        <v>192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899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305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3305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306</v>
      </c>
      <c r="C341" s="17">
        <v>2</v>
      </c>
      <c r="D341" s="17">
        <v>1</v>
      </c>
      <c r="E341" s="17">
        <v>3</v>
      </c>
    </row>
    <row r="342" spans="1:5" x14ac:dyDescent="0.3">
      <c r="A342" s="17" t="s">
        <v>1</v>
      </c>
      <c r="B342" s="17" t="s">
        <v>137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195</v>
      </c>
      <c r="C343" s="17">
        <v>8</v>
      </c>
      <c r="D343" s="17">
        <v>1</v>
      </c>
      <c r="E343" s="17">
        <v>11</v>
      </c>
    </row>
    <row r="344" spans="1:5" x14ac:dyDescent="0.3">
      <c r="A344" s="17" t="s">
        <v>1</v>
      </c>
      <c r="B344" s="17" t="s">
        <v>39</v>
      </c>
      <c r="C344" s="17">
        <v>10</v>
      </c>
      <c r="D344" s="17">
        <v>1</v>
      </c>
      <c r="E344" s="17">
        <v>14</v>
      </c>
    </row>
    <row r="345" spans="1:5" x14ac:dyDescent="0.3">
      <c r="A345" s="17" t="s">
        <v>1</v>
      </c>
      <c r="B345" s="17" t="s">
        <v>830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1840</v>
      </c>
      <c r="C346" s="17">
        <v>1</v>
      </c>
      <c r="D346" s="17">
        <v>1</v>
      </c>
      <c r="E346" s="17"/>
    </row>
    <row r="347" spans="1:5" x14ac:dyDescent="0.3">
      <c r="A347" s="17" t="s">
        <v>1</v>
      </c>
      <c r="B347" s="17" t="s">
        <v>1531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266</v>
      </c>
      <c r="C348" s="17">
        <v>1</v>
      </c>
      <c r="D348" s="17">
        <v>1</v>
      </c>
      <c r="E348" s="17">
        <v>3</v>
      </c>
    </row>
    <row r="349" spans="1:5" x14ac:dyDescent="0.3">
      <c r="A349" s="17" t="s">
        <v>1</v>
      </c>
      <c r="B349" s="17" t="s">
        <v>922</v>
      </c>
      <c r="C349" s="17">
        <v>1</v>
      </c>
      <c r="D349" s="17">
        <v>1</v>
      </c>
      <c r="E349" s="17"/>
    </row>
    <row r="350" spans="1:5" x14ac:dyDescent="0.3">
      <c r="A350" s="17" t="s">
        <v>1</v>
      </c>
      <c r="B350" s="17" t="s">
        <v>2606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1547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3002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3306</v>
      </c>
      <c r="C353" s="17">
        <v>1</v>
      </c>
      <c r="D353" s="17">
        <v>1</v>
      </c>
      <c r="E353" s="17"/>
    </row>
    <row r="354" spans="1:5" x14ac:dyDescent="0.3">
      <c r="A354" s="17" t="s">
        <v>1</v>
      </c>
      <c r="B354" s="17" t="s">
        <v>3307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924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969</v>
      </c>
      <c r="C356" s="17">
        <v>1</v>
      </c>
      <c r="D356" s="17">
        <v>1</v>
      </c>
      <c r="E356" s="17"/>
    </row>
    <row r="357" spans="1:5" x14ac:dyDescent="0.3">
      <c r="A357" s="17" t="s">
        <v>1</v>
      </c>
      <c r="B357" s="17" t="s">
        <v>832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3308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1241</v>
      </c>
      <c r="C359" s="17">
        <v>1</v>
      </c>
      <c r="D359" s="17">
        <v>1</v>
      </c>
      <c r="E359" s="17"/>
    </row>
    <row r="360" spans="1:5" x14ac:dyDescent="0.3">
      <c r="A360" s="17" t="s">
        <v>1</v>
      </c>
      <c r="B360" s="17" t="s">
        <v>1695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1731</v>
      </c>
      <c r="C361" s="17">
        <v>1</v>
      </c>
      <c r="D361" s="17">
        <v>1</v>
      </c>
      <c r="E361" s="17"/>
    </row>
    <row r="362" spans="1:5" x14ac:dyDescent="0.3">
      <c r="A362" s="17" t="s">
        <v>1</v>
      </c>
      <c r="B362" s="17" t="s">
        <v>3309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927</v>
      </c>
      <c r="C363" s="17">
        <v>1</v>
      </c>
      <c r="D363" s="17">
        <v>1</v>
      </c>
      <c r="E363" s="17"/>
    </row>
    <row r="364" spans="1:5" x14ac:dyDescent="0.3">
      <c r="A364" s="17" t="s">
        <v>1</v>
      </c>
      <c r="B364" s="17" t="s">
        <v>1599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3310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1139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379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506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929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270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3311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1050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384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1623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57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856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272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795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273</v>
      </c>
      <c r="C379" s="17">
        <v>1</v>
      </c>
      <c r="D379" s="17">
        <v>1</v>
      </c>
      <c r="E379" s="17">
        <v>2</v>
      </c>
    </row>
    <row r="380" spans="1:5" x14ac:dyDescent="0.3">
      <c r="A380" s="17" t="s">
        <v>0</v>
      </c>
      <c r="B380" s="17" t="s">
        <v>147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516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79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247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583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267</v>
      </c>
      <c r="C385" s="17">
        <v>1</v>
      </c>
      <c r="D385" s="17">
        <v>1</v>
      </c>
      <c r="E385" s="17">
        <v>2</v>
      </c>
    </row>
    <row r="386" spans="1:5" x14ac:dyDescent="0.3">
      <c r="A386" s="17" t="s">
        <v>0</v>
      </c>
      <c r="B386" s="17" t="s">
        <v>1414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1203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1102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92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1062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93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154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640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641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95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1141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944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1643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0</v>
      </c>
      <c r="B399" s="17" t="s">
        <v>1711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2329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2341</v>
      </c>
      <c r="C401" s="17">
        <v>1</v>
      </c>
      <c r="D401" s="17">
        <v>1</v>
      </c>
      <c r="E401" s="17">
        <v>2</v>
      </c>
    </row>
    <row r="402" spans="1:5" x14ac:dyDescent="0.3">
      <c r="A402" s="17" t="s">
        <v>0</v>
      </c>
      <c r="B402" s="17" t="s">
        <v>2395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2429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2944</v>
      </c>
      <c r="C404" s="17">
        <v>2</v>
      </c>
      <c r="D404" s="17">
        <v>1</v>
      </c>
      <c r="E404" s="17">
        <v>2</v>
      </c>
    </row>
    <row r="405" spans="1:5" x14ac:dyDescent="0.3">
      <c r="A405" s="17" t="s">
        <v>0</v>
      </c>
      <c r="B405" s="17" t="s">
        <v>3298</v>
      </c>
      <c r="C405" s="17">
        <v>6</v>
      </c>
      <c r="D405" s="17">
        <v>1</v>
      </c>
      <c r="E405" s="17">
        <v>7</v>
      </c>
    </row>
    <row r="406" spans="1:5" x14ac:dyDescent="0.3">
      <c r="A406" s="17" t="s">
        <v>0</v>
      </c>
      <c r="B406" s="17" t="s">
        <v>1167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1391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98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100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162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163</v>
      </c>
      <c r="C411" s="17">
        <v>1</v>
      </c>
      <c r="D411" s="17">
        <v>1</v>
      </c>
      <c r="E411" s="17">
        <v>2</v>
      </c>
    </row>
    <row r="412" spans="1:5" x14ac:dyDescent="0.3">
      <c r="A412" s="17" t="s">
        <v>0</v>
      </c>
      <c r="B412" s="17" t="s">
        <v>102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103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352</v>
      </c>
      <c r="C414" s="17">
        <v>1</v>
      </c>
      <c r="D414" s="17">
        <v>1</v>
      </c>
      <c r="E414" s="17">
        <v>2</v>
      </c>
    </row>
    <row r="415" spans="1:5" x14ac:dyDescent="0.3">
      <c r="A415" s="17" t="s">
        <v>0</v>
      </c>
      <c r="B415" s="17" t="s">
        <v>1304</v>
      </c>
      <c r="C415" s="17">
        <v>1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913</v>
      </c>
      <c r="C416" s="17">
        <v>1</v>
      </c>
      <c r="D416" s="17">
        <v>1</v>
      </c>
      <c r="E416" s="17">
        <v>2</v>
      </c>
    </row>
    <row r="417" spans="1:5" x14ac:dyDescent="0.3">
      <c r="A417" s="17" t="s">
        <v>0</v>
      </c>
      <c r="B417" s="17" t="s">
        <v>321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1430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3312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645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2174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1130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108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442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3313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199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406</v>
      </c>
      <c r="C427" s="17">
        <v>1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226</v>
      </c>
      <c r="C428" s="17">
        <v>1</v>
      </c>
      <c r="D428" s="17">
        <v>1</v>
      </c>
      <c r="E428" s="17">
        <v>2</v>
      </c>
    </row>
    <row r="429" spans="1:5" x14ac:dyDescent="0.3">
      <c r="A429" s="17" t="s">
        <v>0</v>
      </c>
      <c r="B429" s="17" t="s">
        <v>1374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593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111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171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2410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172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113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872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290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534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44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2069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328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115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330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882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2577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445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1630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780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1110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176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1306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1161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888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1352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62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123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37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46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125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421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1667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1265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1235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558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604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750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428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472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262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784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496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453</v>
      </c>
      <c r="C472" s="17">
        <v>1</v>
      </c>
      <c r="D472" s="17">
        <v>1</v>
      </c>
      <c r="E472" s="17">
        <v>3</v>
      </c>
    </row>
    <row r="473" spans="1:5" x14ac:dyDescent="0.3">
      <c r="A473" s="17" t="s">
        <v>0</v>
      </c>
      <c r="B473" s="17" t="s">
        <v>1400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305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53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263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68</v>
      </c>
      <c r="C477" s="17">
        <v>1</v>
      </c>
      <c r="D477" s="17">
        <v>1</v>
      </c>
      <c r="E477" s="17">
        <v>3</v>
      </c>
    </row>
    <row r="478" spans="1:5" x14ac:dyDescent="0.3">
      <c r="A478" s="17" t="s">
        <v>0</v>
      </c>
      <c r="B478" s="17" t="s">
        <v>138</v>
      </c>
      <c r="C478" s="17">
        <v>2</v>
      </c>
      <c r="D478" s="17">
        <v>1</v>
      </c>
      <c r="E478" s="17">
        <v>3</v>
      </c>
    </row>
    <row r="479" spans="1:5" x14ac:dyDescent="0.3">
      <c r="A479" s="17" t="s">
        <v>0</v>
      </c>
      <c r="B479" s="17" t="s">
        <v>2819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2350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1531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2113</v>
      </c>
      <c r="C482" s="17">
        <v>1</v>
      </c>
      <c r="D482" s="17">
        <v>1</v>
      </c>
      <c r="E482" s="17"/>
    </row>
    <row r="483" spans="1:5" x14ac:dyDescent="0.3">
      <c r="A483" s="17" t="s">
        <v>0</v>
      </c>
      <c r="B483" s="17" t="s">
        <v>1592</v>
      </c>
      <c r="C483" s="17">
        <v>1</v>
      </c>
      <c r="D483" s="17">
        <v>1</v>
      </c>
      <c r="E483" s="17"/>
    </row>
    <row r="484" spans="1:5" x14ac:dyDescent="0.3">
      <c r="A484" s="17" t="s">
        <v>0</v>
      </c>
      <c r="B484" s="17" t="s">
        <v>1029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1503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1598</v>
      </c>
      <c r="C486" s="17">
        <v>1</v>
      </c>
      <c r="D486" s="17">
        <v>2</v>
      </c>
      <c r="E486" s="17"/>
    </row>
    <row r="487" spans="1:5" x14ac:dyDescent="0.3">
      <c r="A487" s="17" t="s">
        <v>0</v>
      </c>
      <c r="B487" s="17" t="s">
        <v>1241</v>
      </c>
      <c r="C487" s="17">
        <v>1</v>
      </c>
      <c r="D487" s="17">
        <v>1</v>
      </c>
      <c r="E487" s="17"/>
    </row>
    <row r="488" spans="1:5" x14ac:dyDescent="0.3">
      <c r="A488" s="17" t="s">
        <v>2</v>
      </c>
      <c r="B488" s="17" t="s">
        <v>1249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479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365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1927</v>
      </c>
      <c r="C491" s="17">
        <v>1</v>
      </c>
      <c r="D491" s="17">
        <v>1</v>
      </c>
      <c r="E491" s="17">
        <v>2</v>
      </c>
    </row>
    <row r="492" spans="1:5" x14ac:dyDescent="0.3">
      <c r="A492" s="17" t="s">
        <v>2</v>
      </c>
      <c r="B492" s="17" t="s">
        <v>1946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2572</v>
      </c>
      <c r="C493" s="17">
        <v>1</v>
      </c>
      <c r="D493" s="17">
        <v>1</v>
      </c>
      <c r="E493" s="17">
        <v>2</v>
      </c>
    </row>
    <row r="494" spans="1:5" x14ac:dyDescent="0.3">
      <c r="A494" s="17" t="s">
        <v>2</v>
      </c>
      <c r="B494" s="17" t="s">
        <v>2925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2</v>
      </c>
      <c r="B495" s="17" t="s">
        <v>29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1663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113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1077</v>
      </c>
      <c r="C498" s="17">
        <v>1</v>
      </c>
      <c r="D498" s="17">
        <v>1</v>
      </c>
      <c r="E498" s="17">
        <v>3</v>
      </c>
    </row>
    <row r="499" spans="1:5" x14ac:dyDescent="0.3">
      <c r="A499" s="17" t="s">
        <v>2</v>
      </c>
      <c r="B499" s="17" t="s">
        <v>446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46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305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1</v>
      </c>
      <c r="B502" s="17" t="s">
        <v>3314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503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379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244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929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1368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792</v>
      </c>
      <c r="C508" s="17">
        <v>2</v>
      </c>
      <c r="D508" s="17">
        <v>0</v>
      </c>
      <c r="E508" s="17">
        <v>2</v>
      </c>
    </row>
    <row r="509" spans="1:5" x14ac:dyDescent="0.3">
      <c r="A509" s="17" t="s">
        <v>1</v>
      </c>
      <c r="B509" s="17" t="s">
        <v>1623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383</v>
      </c>
      <c r="C510" s="17">
        <v>1</v>
      </c>
      <c r="D510" s="17">
        <v>0</v>
      </c>
      <c r="E510" s="17">
        <v>2</v>
      </c>
    </row>
    <row r="511" spans="1:5" x14ac:dyDescent="0.3">
      <c r="A511" s="17" t="s">
        <v>1</v>
      </c>
      <c r="B511" s="17" t="s">
        <v>615</v>
      </c>
      <c r="C511" s="17">
        <v>1</v>
      </c>
      <c r="D511" s="17">
        <v>0</v>
      </c>
      <c r="E511" s="17">
        <v>2</v>
      </c>
    </row>
    <row r="512" spans="1:5" x14ac:dyDescent="0.3">
      <c r="A512" s="17" t="s">
        <v>1</v>
      </c>
      <c r="B512" s="17" t="s">
        <v>75</v>
      </c>
      <c r="C512" s="17">
        <v>3</v>
      </c>
      <c r="D512" s="17">
        <v>0</v>
      </c>
      <c r="E512" s="17">
        <v>3</v>
      </c>
    </row>
    <row r="513" spans="1:5" x14ac:dyDescent="0.3">
      <c r="A513" s="17" t="s">
        <v>1</v>
      </c>
      <c r="B513" s="17" t="s">
        <v>705</v>
      </c>
      <c r="C513" s="17">
        <v>2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208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510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619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511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393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460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622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624</v>
      </c>
      <c r="C521" s="17">
        <v>1</v>
      </c>
      <c r="D521" s="17">
        <v>0</v>
      </c>
      <c r="E521" s="17">
        <v>2</v>
      </c>
    </row>
    <row r="522" spans="1:5" x14ac:dyDescent="0.3">
      <c r="A522" s="17" t="s">
        <v>1</v>
      </c>
      <c r="B522" s="17" t="s">
        <v>582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146</v>
      </c>
      <c r="C523" s="17">
        <v>1</v>
      </c>
      <c r="D523" s="17">
        <v>0</v>
      </c>
      <c r="E523" s="17">
        <v>2</v>
      </c>
    </row>
    <row r="524" spans="1:5" x14ac:dyDescent="0.3">
      <c r="A524" s="17" t="s">
        <v>1</v>
      </c>
      <c r="B524" s="17" t="s">
        <v>707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276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627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2006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59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211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358</v>
      </c>
      <c r="C530" s="17">
        <v>1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1624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359</v>
      </c>
      <c r="C532" s="17">
        <v>2</v>
      </c>
      <c r="D532" s="17">
        <v>0</v>
      </c>
      <c r="E532" s="17">
        <v>6</v>
      </c>
    </row>
    <row r="533" spans="1:5" x14ac:dyDescent="0.3">
      <c r="A533" s="17" t="s">
        <v>1</v>
      </c>
      <c r="B533" s="17" t="s">
        <v>583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799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1644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279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3315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1140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1090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1360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1964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362</v>
      </c>
      <c r="C542" s="17">
        <v>2</v>
      </c>
      <c r="D542" s="17">
        <v>0</v>
      </c>
      <c r="E542" s="17">
        <v>2</v>
      </c>
    </row>
    <row r="543" spans="1:5" x14ac:dyDescent="0.3">
      <c r="A543" s="17" t="s">
        <v>1</v>
      </c>
      <c r="B543" s="17" t="s">
        <v>634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91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153</v>
      </c>
      <c r="C545" s="17">
        <v>3</v>
      </c>
      <c r="D545" s="17">
        <v>0</v>
      </c>
      <c r="E545" s="17">
        <v>3</v>
      </c>
    </row>
    <row r="546" spans="1:5" x14ac:dyDescent="0.3">
      <c r="A546" s="17" t="s">
        <v>1</v>
      </c>
      <c r="B546" s="17" t="s">
        <v>248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636</v>
      </c>
      <c r="C547" s="17">
        <v>1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1257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711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638</v>
      </c>
      <c r="C550" s="17">
        <v>2</v>
      </c>
      <c r="D550" s="17">
        <v>0</v>
      </c>
      <c r="E550" s="17">
        <v>3</v>
      </c>
    </row>
    <row r="551" spans="1:5" x14ac:dyDescent="0.3">
      <c r="A551" s="17" t="s">
        <v>1</v>
      </c>
      <c r="B551" s="17" t="s">
        <v>1564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865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222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2152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156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3013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60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367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909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1143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1691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1711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1708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2074</v>
      </c>
      <c r="C564" s="17">
        <v>2</v>
      </c>
      <c r="D564" s="17">
        <v>0</v>
      </c>
      <c r="E564" s="17">
        <v>2</v>
      </c>
    </row>
    <row r="565" spans="1:5" x14ac:dyDescent="0.3">
      <c r="A565" s="17" t="s">
        <v>1</v>
      </c>
      <c r="B565" s="17" t="s">
        <v>2334</v>
      </c>
      <c r="C565" s="17">
        <v>2</v>
      </c>
      <c r="D565" s="17">
        <v>0</v>
      </c>
      <c r="E565" s="17">
        <v>2</v>
      </c>
    </row>
    <row r="566" spans="1:5" x14ac:dyDescent="0.3">
      <c r="A566" s="17" t="s">
        <v>1</v>
      </c>
      <c r="B566" s="17" t="s">
        <v>2329</v>
      </c>
      <c r="C566" s="17">
        <v>2</v>
      </c>
      <c r="D566" s="17">
        <v>0</v>
      </c>
      <c r="E566" s="17">
        <v>3</v>
      </c>
    </row>
    <row r="567" spans="1:5" x14ac:dyDescent="0.3">
      <c r="A567" s="17" t="s">
        <v>1</v>
      </c>
      <c r="B567" s="17" t="s">
        <v>2363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3065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2401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2468</v>
      </c>
      <c r="C570" s="17">
        <v>5</v>
      </c>
      <c r="D570" s="17">
        <v>0</v>
      </c>
      <c r="E570" s="17">
        <v>5</v>
      </c>
    </row>
    <row r="571" spans="1:5" x14ac:dyDescent="0.3">
      <c r="A571" s="17" t="s">
        <v>1</v>
      </c>
      <c r="B571" s="17" t="s">
        <v>2404</v>
      </c>
      <c r="C571" s="17">
        <v>2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2442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2428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2444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2429</v>
      </c>
      <c r="C575" s="17">
        <v>1</v>
      </c>
      <c r="D575" s="17">
        <v>0</v>
      </c>
      <c r="E575" s="17">
        <v>2</v>
      </c>
    </row>
    <row r="576" spans="1:5" x14ac:dyDescent="0.3">
      <c r="A576" s="17" t="s">
        <v>1</v>
      </c>
      <c r="B576" s="17" t="s">
        <v>2397</v>
      </c>
      <c r="C576" s="17">
        <v>2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3316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2616</v>
      </c>
      <c r="C578" s="17">
        <v>1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2789</v>
      </c>
      <c r="C579" s="17">
        <v>4</v>
      </c>
      <c r="D579" s="17">
        <v>0</v>
      </c>
      <c r="E579" s="17">
        <v>4</v>
      </c>
    </row>
    <row r="580" spans="1:5" x14ac:dyDescent="0.3">
      <c r="A580" s="17" t="s">
        <v>1</v>
      </c>
      <c r="B580" s="17" t="s">
        <v>3236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715</v>
      </c>
      <c r="C581" s="17">
        <v>2</v>
      </c>
      <c r="D581" s="17">
        <v>0</v>
      </c>
      <c r="E581" s="17">
        <v>6</v>
      </c>
    </row>
    <row r="582" spans="1:5" x14ac:dyDescent="0.3">
      <c r="A582" s="17" t="s">
        <v>1</v>
      </c>
      <c r="B582" s="17" t="s">
        <v>1105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160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996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716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1221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1361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3317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43</v>
      </c>
      <c r="C589" s="17">
        <v>1</v>
      </c>
      <c r="D589" s="17">
        <v>0</v>
      </c>
      <c r="E589" s="17">
        <v>0</v>
      </c>
    </row>
    <row r="590" spans="1:5" x14ac:dyDescent="0.3">
      <c r="A590" s="17" t="s">
        <v>1</v>
      </c>
      <c r="B590" s="17" t="s">
        <v>1789</v>
      </c>
      <c r="C590" s="17">
        <v>1</v>
      </c>
      <c r="D590" s="17">
        <v>0</v>
      </c>
      <c r="E590" s="17">
        <v>3</v>
      </c>
    </row>
    <row r="591" spans="1:5" x14ac:dyDescent="0.3">
      <c r="A591" s="17" t="s">
        <v>1</v>
      </c>
      <c r="B591" s="17" t="s">
        <v>1684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109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1073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406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1393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1183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915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175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807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876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774</v>
      </c>
      <c r="C601" s="17">
        <v>2</v>
      </c>
      <c r="D601" s="17">
        <v>0</v>
      </c>
      <c r="E601" s="17">
        <v>3</v>
      </c>
    </row>
    <row r="602" spans="1:5" x14ac:dyDescent="0.3">
      <c r="A602" s="17" t="s">
        <v>1</v>
      </c>
      <c r="B602" s="17" t="s">
        <v>1346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543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881</v>
      </c>
      <c r="C604" s="17">
        <v>1</v>
      </c>
      <c r="D604" s="17">
        <v>0</v>
      </c>
      <c r="E604" s="17">
        <v>3</v>
      </c>
    </row>
    <row r="605" spans="1:5" x14ac:dyDescent="0.3">
      <c r="A605" s="17" t="s">
        <v>1</v>
      </c>
      <c r="B605" s="17" t="s">
        <v>331</v>
      </c>
      <c r="C605" s="17">
        <v>2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545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297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413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371</v>
      </c>
      <c r="C609" s="17">
        <v>1</v>
      </c>
      <c r="D609" s="17">
        <v>0</v>
      </c>
      <c r="E609" s="17">
        <v>0</v>
      </c>
    </row>
    <row r="610" spans="1:5" x14ac:dyDescent="0.3">
      <c r="A610" s="17" t="s">
        <v>1</v>
      </c>
      <c r="B610" s="17" t="s">
        <v>1917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1172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2580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779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2053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3318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813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660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1418</v>
      </c>
      <c r="C618" s="17">
        <v>1</v>
      </c>
      <c r="D618" s="17">
        <v>0</v>
      </c>
      <c r="E618" s="17">
        <v>2</v>
      </c>
    </row>
    <row r="619" spans="1:5" x14ac:dyDescent="0.3">
      <c r="A619" s="17" t="s">
        <v>1</v>
      </c>
      <c r="B619" s="17" t="s">
        <v>416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177</v>
      </c>
      <c r="C620" s="17">
        <v>2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1352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448</v>
      </c>
      <c r="C622" s="18">
        <v>2</v>
      </c>
      <c r="D622" s="18">
        <v>0</v>
      </c>
      <c r="E622" s="18">
        <v>2</v>
      </c>
    </row>
    <row r="623" spans="1:5" x14ac:dyDescent="0.3">
      <c r="A623" s="18" t="s">
        <v>1</v>
      </c>
      <c r="B623" s="18" t="s">
        <v>1622</v>
      </c>
      <c r="C623" s="18">
        <v>1</v>
      </c>
      <c r="D623" s="18">
        <v>0</v>
      </c>
      <c r="E623" s="18">
        <v>3</v>
      </c>
    </row>
    <row r="624" spans="1:5" x14ac:dyDescent="0.3">
      <c r="A624" s="18" t="s">
        <v>1</v>
      </c>
      <c r="B624" s="18" t="s">
        <v>46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1435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2323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1179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2750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556</v>
      </c>
      <c r="C629" s="18">
        <v>1</v>
      </c>
      <c r="D629" s="18">
        <v>0</v>
      </c>
      <c r="E629" s="18">
        <v>0</v>
      </c>
    </row>
    <row r="630" spans="1:5" x14ac:dyDescent="0.3">
      <c r="A630" s="18" t="s">
        <v>1</v>
      </c>
      <c r="B630" s="18" t="s">
        <v>2310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3319</v>
      </c>
      <c r="C631" s="18">
        <v>1</v>
      </c>
      <c r="D631" s="18">
        <v>0</v>
      </c>
      <c r="E631" s="18">
        <v>0</v>
      </c>
    </row>
    <row r="632" spans="1:5" x14ac:dyDescent="0.3">
      <c r="A632" s="18" t="s">
        <v>1</v>
      </c>
      <c r="B632" s="18" t="s">
        <v>1155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180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664</v>
      </c>
      <c r="C634" s="18">
        <v>2</v>
      </c>
      <c r="D634" s="18">
        <v>0</v>
      </c>
      <c r="E634" s="18">
        <v>2</v>
      </c>
    </row>
    <row r="635" spans="1:5" x14ac:dyDescent="0.3">
      <c r="A635" s="18" t="s">
        <v>1</v>
      </c>
      <c r="B635" s="18" t="s">
        <v>1422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665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962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1021</v>
      </c>
      <c r="C638" s="18">
        <v>1</v>
      </c>
      <c r="D638" s="18">
        <v>0</v>
      </c>
      <c r="E638" s="18">
        <v>2</v>
      </c>
    </row>
    <row r="639" spans="1:5" x14ac:dyDescent="0.3">
      <c r="A639" s="18" t="s">
        <v>1</v>
      </c>
      <c r="B639" s="18" t="s">
        <v>749</v>
      </c>
      <c r="C639" s="18">
        <v>1</v>
      </c>
      <c r="D639" s="18">
        <v>0</v>
      </c>
      <c r="E639" s="18">
        <v>0</v>
      </c>
    </row>
    <row r="640" spans="1:5" x14ac:dyDescent="0.3">
      <c r="A640" s="18" t="s">
        <v>1</v>
      </c>
      <c r="B640" s="18" t="s">
        <v>2582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1952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473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474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2005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233</v>
      </c>
      <c r="C645" s="18">
        <v>4</v>
      </c>
      <c r="D645" s="18">
        <v>0</v>
      </c>
      <c r="E645" s="18">
        <v>4</v>
      </c>
    </row>
    <row r="646" spans="1:5" x14ac:dyDescent="0.3">
      <c r="A646" s="18" t="s">
        <v>1</v>
      </c>
      <c r="B646" s="18" t="s">
        <v>3320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497</v>
      </c>
      <c r="C647" s="18">
        <v>2</v>
      </c>
      <c r="D647" s="18">
        <v>0</v>
      </c>
      <c r="E647" s="18">
        <v>2</v>
      </c>
    </row>
    <row r="648" spans="1:5" x14ac:dyDescent="0.3">
      <c r="A648" s="18" t="s">
        <v>1</v>
      </c>
      <c r="B648" s="18" t="s">
        <v>786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1363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921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53</v>
      </c>
      <c r="C651" s="18">
        <v>1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1024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1596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1192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2483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700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684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236</v>
      </c>
      <c r="C658" s="18">
        <v>3</v>
      </c>
      <c r="D658" s="18">
        <v>0</v>
      </c>
      <c r="E658" s="18">
        <v>4</v>
      </c>
    </row>
    <row r="659" spans="1:5" x14ac:dyDescent="0.3">
      <c r="A659" s="18" t="s">
        <v>1</v>
      </c>
      <c r="B659" s="18" t="s">
        <v>476</v>
      </c>
      <c r="C659" s="18">
        <v>1</v>
      </c>
      <c r="D659" s="18">
        <v>0</v>
      </c>
      <c r="E659" s="18">
        <v>4</v>
      </c>
    </row>
    <row r="660" spans="1:5" x14ac:dyDescent="0.3">
      <c r="A660" s="18" t="s">
        <v>1</v>
      </c>
      <c r="B660" s="18" t="s">
        <v>68</v>
      </c>
      <c r="C660" s="18">
        <v>2</v>
      </c>
      <c r="D660" s="18">
        <v>0</v>
      </c>
      <c r="E660" s="18">
        <v>2</v>
      </c>
    </row>
    <row r="661" spans="1:5" x14ac:dyDescent="0.3">
      <c r="A661" s="18" t="s">
        <v>1</v>
      </c>
      <c r="B661" s="18" t="s">
        <v>196</v>
      </c>
      <c r="C661" s="18">
        <v>11</v>
      </c>
      <c r="D661" s="18">
        <v>0</v>
      </c>
      <c r="E661" s="18">
        <v>16</v>
      </c>
    </row>
    <row r="662" spans="1:5" x14ac:dyDescent="0.3">
      <c r="A662" s="18" t="s">
        <v>1</v>
      </c>
      <c r="B662" s="18" t="s">
        <v>237</v>
      </c>
      <c r="C662" s="18">
        <v>2</v>
      </c>
      <c r="D662" s="18">
        <v>0</v>
      </c>
      <c r="E662" s="18">
        <v>3</v>
      </c>
    </row>
    <row r="663" spans="1:5" x14ac:dyDescent="0.3">
      <c r="A663" s="18" t="s">
        <v>1</v>
      </c>
      <c r="B663" s="18" t="s">
        <v>54</v>
      </c>
      <c r="C663" s="18">
        <v>4</v>
      </c>
      <c r="D663" s="18">
        <v>0</v>
      </c>
      <c r="E663" s="18">
        <v>6</v>
      </c>
    </row>
    <row r="664" spans="1:5" x14ac:dyDescent="0.3">
      <c r="A664" s="18" t="s">
        <v>1</v>
      </c>
      <c r="B664" s="18" t="s">
        <v>238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1085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239</v>
      </c>
      <c r="C666" s="18">
        <v>6</v>
      </c>
      <c r="D666" s="18">
        <v>0</v>
      </c>
      <c r="E666" s="18">
        <v>6</v>
      </c>
    </row>
    <row r="667" spans="1:5" x14ac:dyDescent="0.3">
      <c r="A667" s="18" t="s">
        <v>1</v>
      </c>
      <c r="B667" s="18" t="s">
        <v>672</v>
      </c>
      <c r="C667" s="18">
        <v>2</v>
      </c>
      <c r="D667" s="18">
        <v>0</v>
      </c>
      <c r="E667" s="18">
        <v>3</v>
      </c>
    </row>
    <row r="668" spans="1:5" x14ac:dyDescent="0.3">
      <c r="A668" s="18" t="s">
        <v>1</v>
      </c>
      <c r="B668" s="18" t="s">
        <v>55</v>
      </c>
      <c r="C668" s="18">
        <v>7</v>
      </c>
      <c r="D668" s="18">
        <v>0</v>
      </c>
      <c r="E668" s="18">
        <v>7</v>
      </c>
    </row>
    <row r="669" spans="1:5" x14ac:dyDescent="0.3">
      <c r="A669" s="18" t="s">
        <v>1</v>
      </c>
      <c r="B669" s="18" t="s">
        <v>240</v>
      </c>
      <c r="C669" s="18">
        <v>11</v>
      </c>
      <c r="D669" s="18">
        <v>0</v>
      </c>
      <c r="E669" s="18">
        <v>18</v>
      </c>
    </row>
    <row r="670" spans="1:5" x14ac:dyDescent="0.3">
      <c r="A670" s="18" t="s">
        <v>1</v>
      </c>
      <c r="B670" s="18" t="s">
        <v>673</v>
      </c>
      <c r="C670" s="18">
        <v>5</v>
      </c>
      <c r="D670" s="18">
        <v>0</v>
      </c>
      <c r="E670" s="18">
        <v>6</v>
      </c>
    </row>
    <row r="671" spans="1:5" x14ac:dyDescent="0.3">
      <c r="A671" s="18" t="s">
        <v>1</v>
      </c>
      <c r="B671" s="18" t="s">
        <v>382</v>
      </c>
      <c r="C671" s="18">
        <v>8</v>
      </c>
      <c r="D671" s="18">
        <v>0</v>
      </c>
      <c r="E671" s="18">
        <v>10</v>
      </c>
    </row>
    <row r="672" spans="1:5" x14ac:dyDescent="0.3">
      <c r="A672" s="18" t="s">
        <v>1</v>
      </c>
      <c r="B672" s="18" t="s">
        <v>377</v>
      </c>
      <c r="C672" s="18">
        <v>4</v>
      </c>
      <c r="D672" s="18">
        <v>0</v>
      </c>
      <c r="E672" s="18">
        <v>7</v>
      </c>
    </row>
    <row r="673" spans="1:5" x14ac:dyDescent="0.3">
      <c r="A673" s="18" t="s">
        <v>1</v>
      </c>
      <c r="B673" s="18" t="s">
        <v>477</v>
      </c>
      <c r="C673" s="18">
        <v>3</v>
      </c>
      <c r="D673" s="18">
        <v>0</v>
      </c>
      <c r="E673" s="18">
        <v>4</v>
      </c>
    </row>
    <row r="674" spans="1:5" x14ac:dyDescent="0.3">
      <c r="A674" s="18" t="s">
        <v>1</v>
      </c>
      <c r="B674" s="18" t="s">
        <v>56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3321</v>
      </c>
      <c r="C675" s="18">
        <v>0</v>
      </c>
      <c r="D675" s="18">
        <v>2</v>
      </c>
    </row>
    <row r="676" spans="1:5" x14ac:dyDescent="0.3">
      <c r="A676" s="18" t="s">
        <v>1</v>
      </c>
      <c r="B676" s="18" t="s">
        <v>1125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756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456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1859</v>
      </c>
      <c r="C679" s="18">
        <v>0</v>
      </c>
      <c r="D679" s="18">
        <v>1</v>
      </c>
    </row>
    <row r="680" spans="1:5" x14ac:dyDescent="0.3">
      <c r="A680" s="18" t="s">
        <v>1</v>
      </c>
      <c r="B680" s="18" t="s">
        <v>3322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1</v>
      </c>
      <c r="B681" s="18" t="s">
        <v>1641</v>
      </c>
      <c r="C681" s="18">
        <v>1</v>
      </c>
      <c r="D681" s="18">
        <v>0</v>
      </c>
      <c r="E681" s="18">
        <v>3</v>
      </c>
    </row>
    <row r="682" spans="1:5" x14ac:dyDescent="0.3">
      <c r="A682" s="18" t="s">
        <v>1</v>
      </c>
      <c r="B682" s="18" t="s">
        <v>241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2324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3323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1808</v>
      </c>
      <c r="C685" s="18">
        <v>0</v>
      </c>
      <c r="D685" s="18">
        <v>1</v>
      </c>
    </row>
    <row r="686" spans="1:5" x14ac:dyDescent="0.3">
      <c r="A686" s="18" t="s">
        <v>1</v>
      </c>
      <c r="B686" s="18" t="s">
        <v>1598</v>
      </c>
      <c r="C686" s="18">
        <v>0</v>
      </c>
      <c r="D686" s="18">
        <v>2</v>
      </c>
    </row>
    <row r="687" spans="1:5" x14ac:dyDescent="0.3">
      <c r="A687" s="18" t="s">
        <v>1</v>
      </c>
      <c r="B687" s="18" t="s">
        <v>69</v>
      </c>
      <c r="C687" s="18">
        <v>2</v>
      </c>
      <c r="D687" s="18">
        <v>0</v>
      </c>
      <c r="E687" s="18">
        <v>2</v>
      </c>
    </row>
    <row r="688" spans="1:5" x14ac:dyDescent="0.3">
      <c r="A688" s="18" t="s">
        <v>0</v>
      </c>
      <c r="B688" s="18" t="s">
        <v>36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616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618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395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215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149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1060</v>
      </c>
      <c r="C694" s="18">
        <v>1</v>
      </c>
      <c r="D694" s="18">
        <v>0</v>
      </c>
      <c r="E694" s="18">
        <v>2</v>
      </c>
    </row>
    <row r="695" spans="1:5" x14ac:dyDescent="0.3">
      <c r="A695" s="18" t="s">
        <v>0</v>
      </c>
      <c r="B695" s="18" t="s">
        <v>217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1660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2074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2115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2439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2441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2599</v>
      </c>
      <c r="C701" s="18">
        <v>1</v>
      </c>
      <c r="D701" s="18">
        <v>0</v>
      </c>
      <c r="E701" s="18">
        <v>2</v>
      </c>
    </row>
    <row r="702" spans="1:5" x14ac:dyDescent="0.3">
      <c r="A702" s="18" t="s">
        <v>0</v>
      </c>
      <c r="B702" s="18" t="s">
        <v>1517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1480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716</v>
      </c>
      <c r="C704" s="18">
        <v>1</v>
      </c>
      <c r="D704" s="18">
        <v>0</v>
      </c>
      <c r="E704" s="18">
        <v>2</v>
      </c>
    </row>
    <row r="705" spans="1:5" x14ac:dyDescent="0.3">
      <c r="A705" s="18" t="s">
        <v>0</v>
      </c>
      <c r="B705" s="18" t="s">
        <v>1146</v>
      </c>
      <c r="C705" s="18">
        <v>1</v>
      </c>
      <c r="D705" s="18">
        <v>0</v>
      </c>
      <c r="E705" s="18">
        <v>8</v>
      </c>
    </row>
    <row r="706" spans="1:5" x14ac:dyDescent="0.3">
      <c r="A706" s="18" t="s">
        <v>0</v>
      </c>
      <c r="B706" s="18" t="s">
        <v>320</v>
      </c>
      <c r="C706" s="18">
        <v>1</v>
      </c>
      <c r="D706" s="18">
        <v>0</v>
      </c>
      <c r="E706" s="18">
        <v>4</v>
      </c>
    </row>
    <row r="707" spans="1:5" x14ac:dyDescent="0.3">
      <c r="A707" s="18" t="s">
        <v>0</v>
      </c>
      <c r="B707" s="18" t="s">
        <v>1657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0</v>
      </c>
      <c r="B708" s="18" t="s">
        <v>326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3324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3325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3326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697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747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348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824</v>
      </c>
      <c r="C715" s="18">
        <v>1</v>
      </c>
      <c r="D715" s="18">
        <v>0</v>
      </c>
      <c r="E715" s="18">
        <v>3</v>
      </c>
    </row>
    <row r="716" spans="1:5" x14ac:dyDescent="0.3">
      <c r="A716" s="18" t="s">
        <v>0</v>
      </c>
      <c r="B716" s="18" t="s">
        <v>786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565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0</v>
      </c>
      <c r="B718" s="18" t="s">
        <v>235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476</v>
      </c>
      <c r="C719" s="18">
        <v>1</v>
      </c>
      <c r="D719" s="18">
        <v>0</v>
      </c>
      <c r="E719" s="18">
        <v>2</v>
      </c>
    </row>
    <row r="720" spans="1:5" x14ac:dyDescent="0.3">
      <c r="A720" s="18" t="s">
        <v>0</v>
      </c>
      <c r="B720" s="18" t="s">
        <v>196</v>
      </c>
      <c r="C720" s="18">
        <v>3</v>
      </c>
      <c r="D720" s="18">
        <v>0</v>
      </c>
      <c r="E720" s="18">
        <v>7</v>
      </c>
    </row>
    <row r="721" spans="1:5" x14ac:dyDescent="0.3">
      <c r="A721" s="18" t="s">
        <v>0</v>
      </c>
      <c r="B721" s="18" t="s">
        <v>672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382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241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2172</v>
      </c>
      <c r="C724" s="18">
        <v>1</v>
      </c>
      <c r="D724" s="18">
        <v>0</v>
      </c>
      <c r="E724" s="18">
        <v>2</v>
      </c>
    </row>
    <row r="725" spans="1:5" x14ac:dyDescent="0.3">
      <c r="A725" s="18" t="s">
        <v>0</v>
      </c>
      <c r="B725" s="18" t="s">
        <v>32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2</v>
      </c>
      <c r="B726" s="18" t="s">
        <v>626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2</v>
      </c>
      <c r="B727" s="18" t="s">
        <v>275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2</v>
      </c>
      <c r="B728" s="18" t="s">
        <v>2616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2</v>
      </c>
      <c r="B729" s="18" t="s">
        <v>3246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2</v>
      </c>
      <c r="B730" s="18" t="s">
        <v>2314</v>
      </c>
      <c r="C730" s="18">
        <v>1</v>
      </c>
      <c r="D730" s="18">
        <v>0</v>
      </c>
      <c r="E730" s="18">
        <v>2</v>
      </c>
    </row>
    <row r="731" spans="1:5" x14ac:dyDescent="0.3">
      <c r="A731" s="18" t="s">
        <v>2</v>
      </c>
      <c r="B731" s="18" t="s">
        <v>1190</v>
      </c>
      <c r="C731" s="18">
        <v>1</v>
      </c>
      <c r="D731" s="18">
        <v>0</v>
      </c>
      <c r="E731" s="18">
        <v>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065F2-9006-4EAA-A097-90B76C4D29B0}">
  <sheetPr codeName="Sheet54"/>
  <dimension ref="A1:M678"/>
  <sheetViews>
    <sheetView workbookViewId="0">
      <selection activeCell="A2" sqref="A2:E67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367</v>
      </c>
      <c r="C2" s="17">
        <v>78</v>
      </c>
      <c r="D2" s="17">
        <v>78</v>
      </c>
      <c r="E2" s="17">
        <v>78</v>
      </c>
    </row>
    <row r="3" spans="1:13" customFormat="1" x14ac:dyDescent="0.3">
      <c r="A3" s="17" t="s">
        <v>1</v>
      </c>
      <c r="B3" s="17" t="s">
        <v>138</v>
      </c>
      <c r="C3" s="17">
        <v>64</v>
      </c>
      <c r="D3" s="17">
        <v>49</v>
      </c>
      <c r="E3" s="17">
        <v>66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85</v>
      </c>
      <c r="D4" s="17">
        <v>31</v>
      </c>
      <c r="E4" s="17">
        <v>161</v>
      </c>
      <c r="G4" s="23" t="s">
        <v>8</v>
      </c>
      <c r="H4" s="19">
        <f>H13+H14</f>
        <v>1077</v>
      </c>
      <c r="I4" s="20">
        <f>H4/H$6</f>
        <v>0.72525252525252526</v>
      </c>
      <c r="J4" s="19">
        <f>I13+I14</f>
        <v>617</v>
      </c>
      <c r="K4" s="20">
        <f>J4/J$6</f>
        <v>0.6407061266874351</v>
      </c>
      <c r="L4" s="19">
        <f>J13+J14</f>
        <v>1258</v>
      </c>
      <c r="M4" s="29">
        <f>L4/L$6</f>
        <v>0.73395565927654605</v>
      </c>
    </row>
    <row r="5" spans="1:13" customFormat="1" x14ac:dyDescent="0.3">
      <c r="A5" s="17" t="s">
        <v>1</v>
      </c>
      <c r="B5" s="17" t="s">
        <v>365</v>
      </c>
      <c r="C5" s="17">
        <v>24</v>
      </c>
      <c r="D5" s="17">
        <v>21</v>
      </c>
      <c r="E5" s="17">
        <v>24</v>
      </c>
      <c r="G5" s="23" t="s">
        <v>10</v>
      </c>
      <c r="H5" s="19">
        <f>H15+H16</f>
        <v>408</v>
      </c>
      <c r="I5" s="20">
        <f>H5/H$6</f>
        <v>0.27474747474747474</v>
      </c>
      <c r="J5" s="19">
        <f>I15+I16</f>
        <v>346</v>
      </c>
      <c r="K5" s="20">
        <f>J5/J$6</f>
        <v>0.3592938733125649</v>
      </c>
      <c r="L5" s="19">
        <f>J15+J16</f>
        <v>456</v>
      </c>
      <c r="M5" s="29">
        <f>L5/L$6</f>
        <v>0.2660443407234539</v>
      </c>
    </row>
    <row r="6" spans="1:13" customFormat="1" ht="17.25" thickBot="1" x14ac:dyDescent="0.35">
      <c r="A6" s="17" t="s">
        <v>1</v>
      </c>
      <c r="B6" s="17" t="s">
        <v>37</v>
      </c>
      <c r="C6" s="17">
        <v>21</v>
      </c>
      <c r="D6" s="17">
        <v>17</v>
      </c>
      <c r="E6" s="17">
        <v>22</v>
      </c>
      <c r="G6" s="26"/>
      <c r="H6" s="30">
        <f>SUM(H4:H5)</f>
        <v>1485</v>
      </c>
      <c r="I6" s="31">
        <f>I4+I5</f>
        <v>1</v>
      </c>
      <c r="J6" s="30">
        <f>SUM(J4:J5)</f>
        <v>963</v>
      </c>
      <c r="K6" s="31">
        <f>K4+K5</f>
        <v>1</v>
      </c>
      <c r="L6" s="30">
        <f>SUM(L4:L5)</f>
        <v>1714</v>
      </c>
      <c r="M6" s="32">
        <f>M4+M5</f>
        <v>1</v>
      </c>
    </row>
    <row r="7" spans="1:13" customFormat="1" x14ac:dyDescent="0.3">
      <c r="A7" s="17" t="s">
        <v>0</v>
      </c>
      <c r="B7" s="17" t="s">
        <v>29</v>
      </c>
      <c r="C7" s="17">
        <v>14</v>
      </c>
      <c r="D7" s="17">
        <v>13</v>
      </c>
      <c r="E7" s="17">
        <v>15</v>
      </c>
    </row>
    <row r="8" spans="1:13" customFormat="1" x14ac:dyDescent="0.3">
      <c r="A8" s="17" t="s">
        <v>1</v>
      </c>
      <c r="B8" s="17" t="s">
        <v>3298</v>
      </c>
      <c r="C8" s="17">
        <v>23</v>
      </c>
      <c r="D8" s="17">
        <v>12</v>
      </c>
      <c r="E8" s="17">
        <v>23</v>
      </c>
    </row>
    <row r="9" spans="1:13" customFormat="1" x14ac:dyDescent="0.3">
      <c r="A9" s="17" t="s">
        <v>0</v>
      </c>
      <c r="B9" s="17" t="s">
        <v>31</v>
      </c>
      <c r="C9" s="17">
        <v>10</v>
      </c>
      <c r="D9" s="17">
        <v>10</v>
      </c>
      <c r="E9" s="17">
        <v>10</v>
      </c>
    </row>
    <row r="10" spans="1:13" customFormat="1" ht="17.25" thickBot="1" x14ac:dyDescent="0.35">
      <c r="A10" s="17" t="s">
        <v>1</v>
      </c>
      <c r="B10" s="17" t="s">
        <v>31</v>
      </c>
      <c r="C10" s="17">
        <v>10</v>
      </c>
      <c r="D10" s="17">
        <v>9</v>
      </c>
      <c r="E10" s="17">
        <v>10</v>
      </c>
    </row>
    <row r="11" spans="1:13" x14ac:dyDescent="0.3">
      <c r="A11" s="17" t="s">
        <v>1</v>
      </c>
      <c r="B11" s="17" t="s">
        <v>48</v>
      </c>
      <c r="C11" s="17">
        <v>14</v>
      </c>
      <c r="D11" s="17">
        <v>8</v>
      </c>
      <c r="E11" s="17">
        <v>15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2692</v>
      </c>
      <c r="C12" s="17">
        <v>21</v>
      </c>
      <c r="D12" s="17">
        <v>7</v>
      </c>
      <c r="E12" s="17">
        <v>24</v>
      </c>
      <c r="G12" s="23"/>
      <c r="H12" s="21">
        <f t="shared" ref="H12:J12" si="0">SUM(H13:H16)</f>
        <v>1485</v>
      </c>
      <c r="I12" s="21">
        <f t="shared" si="0"/>
        <v>963</v>
      </c>
      <c r="J12" s="24">
        <f t="shared" si="0"/>
        <v>1714</v>
      </c>
    </row>
    <row r="13" spans="1:13" x14ac:dyDescent="0.3">
      <c r="A13" s="17" t="s">
        <v>1</v>
      </c>
      <c r="B13" s="17" t="s">
        <v>51</v>
      </c>
      <c r="C13" s="17">
        <v>9</v>
      </c>
      <c r="D13" s="17">
        <v>7</v>
      </c>
      <c r="E13" s="17">
        <v>12</v>
      </c>
      <c r="G13" s="23" t="s">
        <v>7</v>
      </c>
      <c r="H13" s="22">
        <f t="shared" ref="H13:J16" si="1">SUMIF($A$2:$A$9999,$G13,C$2:C$9999)</f>
        <v>1077</v>
      </c>
      <c r="I13" s="22">
        <f t="shared" si="1"/>
        <v>617</v>
      </c>
      <c r="J13" s="25">
        <f t="shared" si="1"/>
        <v>1258</v>
      </c>
    </row>
    <row r="14" spans="1:13" x14ac:dyDescent="0.3">
      <c r="A14" s="17" t="s">
        <v>1</v>
      </c>
      <c r="B14" s="17" t="s">
        <v>1927</v>
      </c>
      <c r="C14" s="17">
        <v>10</v>
      </c>
      <c r="D14" s="17">
        <v>6</v>
      </c>
      <c r="E14" s="17">
        <v>15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3327</v>
      </c>
      <c r="C15" s="17">
        <v>26</v>
      </c>
      <c r="D15" s="17">
        <v>6</v>
      </c>
      <c r="E15" s="17">
        <v>30</v>
      </c>
      <c r="G15" s="23" t="s">
        <v>11</v>
      </c>
      <c r="H15" s="22">
        <f t="shared" si="1"/>
        <v>396</v>
      </c>
      <c r="I15" s="22">
        <f t="shared" si="1"/>
        <v>335</v>
      </c>
      <c r="J15" s="25">
        <f t="shared" si="1"/>
        <v>440</v>
      </c>
    </row>
    <row r="16" spans="1:13" ht="17.25" thickBot="1" x14ac:dyDescent="0.35">
      <c r="A16" s="17" t="s">
        <v>0</v>
      </c>
      <c r="B16" s="17" t="s">
        <v>34</v>
      </c>
      <c r="C16" s="17">
        <v>6</v>
      </c>
      <c r="D16" s="17">
        <v>6</v>
      </c>
      <c r="E16" s="17">
        <v>6</v>
      </c>
      <c r="G16" s="26" t="s">
        <v>12</v>
      </c>
      <c r="H16" s="27">
        <f t="shared" si="1"/>
        <v>12</v>
      </c>
      <c r="I16" s="27">
        <f t="shared" si="1"/>
        <v>11</v>
      </c>
      <c r="J16" s="28">
        <f t="shared" si="1"/>
        <v>16</v>
      </c>
    </row>
    <row r="17" spans="1:5" x14ac:dyDescent="0.3">
      <c r="A17" s="17" t="s">
        <v>0</v>
      </c>
      <c r="B17" s="17" t="s">
        <v>2572</v>
      </c>
      <c r="C17" s="17">
        <v>8</v>
      </c>
      <c r="D17" s="17">
        <v>6</v>
      </c>
      <c r="E17" s="17">
        <v>7</v>
      </c>
    </row>
    <row r="18" spans="1:5" x14ac:dyDescent="0.3">
      <c r="A18" s="17" t="s">
        <v>0</v>
      </c>
      <c r="B18" s="17" t="s">
        <v>51</v>
      </c>
      <c r="C18" s="17">
        <v>6</v>
      </c>
      <c r="D18" s="17">
        <v>6</v>
      </c>
      <c r="E18" s="17">
        <v>6</v>
      </c>
    </row>
    <row r="19" spans="1:5" x14ac:dyDescent="0.3">
      <c r="A19" s="17" t="s">
        <v>0</v>
      </c>
      <c r="B19" s="17" t="s">
        <v>39</v>
      </c>
      <c r="C19" s="17">
        <v>6</v>
      </c>
      <c r="D19" s="17">
        <v>6</v>
      </c>
      <c r="E19" s="17">
        <v>6</v>
      </c>
    </row>
    <row r="20" spans="1:5" x14ac:dyDescent="0.3">
      <c r="A20" s="17" t="s">
        <v>1</v>
      </c>
      <c r="B20" s="17" t="s">
        <v>149</v>
      </c>
      <c r="C20" s="17">
        <v>5</v>
      </c>
      <c r="D20" s="17">
        <v>5</v>
      </c>
      <c r="E20" s="17">
        <v>5</v>
      </c>
    </row>
    <row r="21" spans="1:5" x14ac:dyDescent="0.3">
      <c r="A21" s="17" t="s">
        <v>1</v>
      </c>
      <c r="B21" s="17" t="s">
        <v>2075</v>
      </c>
      <c r="C21" s="17">
        <v>6</v>
      </c>
      <c r="D21" s="17">
        <v>5</v>
      </c>
      <c r="E21" s="17">
        <v>7</v>
      </c>
    </row>
    <row r="22" spans="1:5" x14ac:dyDescent="0.3">
      <c r="A22" s="17" t="s">
        <v>1</v>
      </c>
      <c r="B22" s="17" t="s">
        <v>29</v>
      </c>
      <c r="C22" s="17">
        <v>5</v>
      </c>
      <c r="D22" s="17">
        <v>5</v>
      </c>
      <c r="E22" s="17">
        <v>6</v>
      </c>
    </row>
    <row r="23" spans="1:5" x14ac:dyDescent="0.3">
      <c r="A23" s="17" t="s">
        <v>1</v>
      </c>
      <c r="B23" s="17" t="s">
        <v>376</v>
      </c>
      <c r="C23" s="17">
        <v>8</v>
      </c>
      <c r="D23" s="17">
        <v>5</v>
      </c>
      <c r="E23" s="17">
        <v>11</v>
      </c>
    </row>
    <row r="24" spans="1:5" x14ac:dyDescent="0.3">
      <c r="A24" s="17" t="s">
        <v>0</v>
      </c>
      <c r="B24" s="17" t="s">
        <v>61</v>
      </c>
      <c r="C24" s="17">
        <v>5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34</v>
      </c>
      <c r="C25" s="17">
        <v>4</v>
      </c>
      <c r="D25" s="17">
        <v>4</v>
      </c>
      <c r="E25" s="17">
        <v>4</v>
      </c>
    </row>
    <row r="26" spans="1:5" x14ac:dyDescent="0.3">
      <c r="A26" s="17" t="s">
        <v>1</v>
      </c>
      <c r="B26" s="17" t="s">
        <v>152</v>
      </c>
      <c r="C26" s="17">
        <v>7</v>
      </c>
      <c r="D26" s="17">
        <v>4</v>
      </c>
      <c r="E26" s="17">
        <v>10</v>
      </c>
    </row>
    <row r="27" spans="1:5" x14ac:dyDescent="0.3">
      <c r="A27" s="17" t="s">
        <v>1</v>
      </c>
      <c r="B27" s="17" t="s">
        <v>2599</v>
      </c>
      <c r="C27" s="17">
        <v>8</v>
      </c>
      <c r="D27" s="17">
        <v>4</v>
      </c>
      <c r="E27" s="17">
        <v>9</v>
      </c>
    </row>
    <row r="28" spans="1:5" x14ac:dyDescent="0.3">
      <c r="A28" s="17" t="s">
        <v>1</v>
      </c>
      <c r="B28" s="17" t="s">
        <v>3328</v>
      </c>
      <c r="C28" s="17">
        <v>9</v>
      </c>
      <c r="D28" s="17">
        <v>4</v>
      </c>
      <c r="E28" s="17">
        <v>13</v>
      </c>
    </row>
    <row r="29" spans="1:5" x14ac:dyDescent="0.3">
      <c r="A29" s="17" t="s">
        <v>1</v>
      </c>
      <c r="B29" s="17" t="s">
        <v>107</v>
      </c>
      <c r="C29" s="17">
        <v>4</v>
      </c>
      <c r="D29" s="17">
        <v>4</v>
      </c>
      <c r="E29" s="17">
        <v>4</v>
      </c>
    </row>
    <row r="30" spans="1:5" x14ac:dyDescent="0.3">
      <c r="A30" s="17" t="s">
        <v>1</v>
      </c>
      <c r="B30" s="17" t="s">
        <v>120</v>
      </c>
      <c r="C30" s="17">
        <v>4</v>
      </c>
      <c r="D30" s="17">
        <v>4</v>
      </c>
      <c r="E30" s="17">
        <v>4</v>
      </c>
    </row>
    <row r="31" spans="1:5" x14ac:dyDescent="0.3">
      <c r="A31" s="17" t="s">
        <v>1</v>
      </c>
      <c r="B31" s="17" t="s">
        <v>123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135</v>
      </c>
      <c r="C32" s="17">
        <v>4</v>
      </c>
      <c r="D32" s="17">
        <v>4</v>
      </c>
      <c r="E32" s="17">
        <v>6</v>
      </c>
    </row>
    <row r="33" spans="1:5" x14ac:dyDescent="0.3">
      <c r="A33" s="17" t="s">
        <v>1</v>
      </c>
      <c r="B33" s="17" t="s">
        <v>195</v>
      </c>
      <c r="C33" s="17">
        <v>10</v>
      </c>
      <c r="D33" s="17">
        <v>4</v>
      </c>
      <c r="E33" s="17">
        <v>11</v>
      </c>
    </row>
    <row r="34" spans="1:5" x14ac:dyDescent="0.3">
      <c r="A34" s="17" t="s">
        <v>1</v>
      </c>
      <c r="B34" s="17" t="s">
        <v>32</v>
      </c>
      <c r="C34" s="17">
        <v>9</v>
      </c>
      <c r="D34" s="17">
        <v>4</v>
      </c>
      <c r="E34" s="17">
        <v>15</v>
      </c>
    </row>
    <row r="35" spans="1:5" x14ac:dyDescent="0.3">
      <c r="A35" s="17" t="s">
        <v>0</v>
      </c>
      <c r="B35" s="17" t="s">
        <v>30</v>
      </c>
      <c r="C35" s="17">
        <v>11</v>
      </c>
      <c r="D35" s="17">
        <v>4</v>
      </c>
      <c r="E35" s="17">
        <v>26</v>
      </c>
    </row>
    <row r="36" spans="1:5" x14ac:dyDescent="0.3">
      <c r="A36" s="17" t="s">
        <v>0</v>
      </c>
      <c r="B36" s="17" t="s">
        <v>60</v>
      </c>
      <c r="C36" s="17">
        <v>4</v>
      </c>
      <c r="D36" s="17">
        <v>4</v>
      </c>
      <c r="E36" s="17">
        <v>4</v>
      </c>
    </row>
    <row r="37" spans="1:5" x14ac:dyDescent="0.3">
      <c r="A37" s="17" t="s">
        <v>0</v>
      </c>
      <c r="B37" s="17" t="s">
        <v>2075</v>
      </c>
      <c r="C37" s="17">
        <v>4</v>
      </c>
      <c r="D37" s="17">
        <v>4</v>
      </c>
      <c r="E37" s="17">
        <v>4</v>
      </c>
    </row>
    <row r="38" spans="1:5" x14ac:dyDescent="0.3">
      <c r="A38" s="17" t="s">
        <v>0</v>
      </c>
      <c r="B38" s="17" t="s">
        <v>37</v>
      </c>
      <c r="C38" s="17">
        <v>4</v>
      </c>
      <c r="D38" s="17">
        <v>4</v>
      </c>
      <c r="E38" s="17">
        <v>4</v>
      </c>
    </row>
    <row r="39" spans="1:5" x14ac:dyDescent="0.3">
      <c r="A39" s="17" t="s">
        <v>0</v>
      </c>
      <c r="B39" s="17" t="s">
        <v>350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79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280</v>
      </c>
      <c r="C41" s="17">
        <v>4</v>
      </c>
      <c r="D41" s="17">
        <v>3</v>
      </c>
      <c r="E41" s="17">
        <v>5</v>
      </c>
    </row>
    <row r="42" spans="1:5" x14ac:dyDescent="0.3">
      <c r="A42" s="17" t="s">
        <v>1</v>
      </c>
      <c r="B42" s="17" t="s">
        <v>281</v>
      </c>
      <c r="C42" s="17">
        <v>6</v>
      </c>
      <c r="D42" s="17">
        <v>3</v>
      </c>
      <c r="E42" s="17">
        <v>7</v>
      </c>
    </row>
    <row r="43" spans="1:5" x14ac:dyDescent="0.3">
      <c r="A43" s="17" t="s">
        <v>1</v>
      </c>
      <c r="B43" s="17" t="s">
        <v>93</v>
      </c>
      <c r="C43" s="17">
        <v>4</v>
      </c>
      <c r="D43" s="17">
        <v>3</v>
      </c>
      <c r="E43" s="17">
        <v>4</v>
      </c>
    </row>
    <row r="44" spans="1:5" x14ac:dyDescent="0.3">
      <c r="A44" s="17" t="s">
        <v>1</v>
      </c>
      <c r="B44" s="17" t="s">
        <v>41</v>
      </c>
      <c r="C44" s="17">
        <v>6</v>
      </c>
      <c r="D44" s="17">
        <v>3</v>
      </c>
      <c r="E44" s="17">
        <v>5</v>
      </c>
    </row>
    <row r="45" spans="1:5" x14ac:dyDescent="0.3">
      <c r="A45" s="17" t="s">
        <v>1</v>
      </c>
      <c r="B45" s="17" t="s">
        <v>367</v>
      </c>
      <c r="C45" s="17">
        <v>4</v>
      </c>
      <c r="D45" s="17">
        <v>3</v>
      </c>
      <c r="E45" s="17">
        <v>4</v>
      </c>
    </row>
    <row r="46" spans="1:5" x14ac:dyDescent="0.3">
      <c r="A46" s="17" t="s">
        <v>1</v>
      </c>
      <c r="B46" s="17" t="s">
        <v>61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2397</v>
      </c>
      <c r="C47" s="17">
        <v>6</v>
      </c>
      <c r="D47" s="17">
        <v>3</v>
      </c>
      <c r="E47" s="17">
        <v>7</v>
      </c>
    </row>
    <row r="48" spans="1:5" x14ac:dyDescent="0.3">
      <c r="A48" s="17" t="s">
        <v>1</v>
      </c>
      <c r="B48" s="17" t="s">
        <v>2396</v>
      </c>
      <c r="C48" s="17">
        <v>13</v>
      </c>
      <c r="D48" s="17">
        <v>3</v>
      </c>
      <c r="E48" s="17">
        <v>9</v>
      </c>
    </row>
    <row r="49" spans="1:5" x14ac:dyDescent="0.3">
      <c r="A49" s="17" t="s">
        <v>1</v>
      </c>
      <c r="B49" s="17" t="s">
        <v>199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326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539</v>
      </c>
      <c r="C51" s="17">
        <v>3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45</v>
      </c>
      <c r="C52" s="17">
        <v>3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117</v>
      </c>
      <c r="C53" s="17">
        <v>3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200</v>
      </c>
      <c r="C54" s="17">
        <v>4</v>
      </c>
      <c r="D54" s="17">
        <v>3</v>
      </c>
      <c r="E54" s="17">
        <v>6</v>
      </c>
    </row>
    <row r="55" spans="1:5" x14ac:dyDescent="0.3">
      <c r="A55" s="17" t="s">
        <v>1</v>
      </c>
      <c r="B55" s="17" t="s">
        <v>122</v>
      </c>
      <c r="C55" s="17">
        <v>5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63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67</v>
      </c>
      <c r="C57" s="17">
        <v>5</v>
      </c>
      <c r="D57" s="17">
        <v>3</v>
      </c>
      <c r="E57" s="17">
        <v>5</v>
      </c>
    </row>
    <row r="58" spans="1:5" x14ac:dyDescent="0.3">
      <c r="A58" s="17" t="s">
        <v>0</v>
      </c>
      <c r="B58" s="17" t="s">
        <v>92</v>
      </c>
      <c r="C58" s="17">
        <v>3</v>
      </c>
      <c r="D58" s="17">
        <v>3</v>
      </c>
      <c r="E58" s="17">
        <v>3</v>
      </c>
    </row>
    <row r="59" spans="1:5" x14ac:dyDescent="0.3">
      <c r="A59" s="17" t="s">
        <v>0</v>
      </c>
      <c r="B59" s="17" t="s">
        <v>41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42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35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123</v>
      </c>
      <c r="C62" s="17">
        <v>3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36</v>
      </c>
      <c r="C63" s="17">
        <v>2</v>
      </c>
      <c r="D63" s="17">
        <v>2</v>
      </c>
      <c r="E63" s="17">
        <v>3</v>
      </c>
    </row>
    <row r="64" spans="1:5" x14ac:dyDescent="0.3">
      <c r="A64" s="17" t="s">
        <v>1</v>
      </c>
      <c r="B64" s="17" t="s">
        <v>384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207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394</v>
      </c>
      <c r="C66" s="17">
        <v>3</v>
      </c>
      <c r="D66" s="17">
        <v>2</v>
      </c>
      <c r="E66" s="17">
        <v>4</v>
      </c>
    </row>
    <row r="67" spans="1:5" x14ac:dyDescent="0.3">
      <c r="A67" s="17" t="s">
        <v>1</v>
      </c>
      <c r="B67" s="17" t="s">
        <v>210</v>
      </c>
      <c r="C67" s="17">
        <v>3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267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89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154</v>
      </c>
      <c r="C70" s="17">
        <v>2</v>
      </c>
      <c r="D70" s="17">
        <v>2</v>
      </c>
      <c r="E70" s="17">
        <v>4</v>
      </c>
    </row>
    <row r="71" spans="1:5" x14ac:dyDescent="0.3">
      <c r="A71" s="17" t="s">
        <v>1</v>
      </c>
      <c r="B71" s="17" t="s">
        <v>96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487</v>
      </c>
      <c r="C72" s="17">
        <v>4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1775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1854</v>
      </c>
      <c r="C74" s="17">
        <v>3</v>
      </c>
      <c r="D74" s="17">
        <v>2</v>
      </c>
      <c r="E74" s="17">
        <v>4</v>
      </c>
    </row>
    <row r="75" spans="1:5" x14ac:dyDescent="0.3">
      <c r="A75" s="17" t="s">
        <v>1</v>
      </c>
      <c r="B75" s="17" t="s">
        <v>1946</v>
      </c>
      <c r="C75" s="17">
        <v>3</v>
      </c>
      <c r="D75" s="17">
        <v>2</v>
      </c>
      <c r="E75" s="17">
        <v>4</v>
      </c>
    </row>
    <row r="76" spans="1:5" x14ac:dyDescent="0.3">
      <c r="A76" s="17" t="s">
        <v>1</v>
      </c>
      <c r="B76" s="17" t="s">
        <v>2329</v>
      </c>
      <c r="C76" s="17">
        <v>3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2404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2572</v>
      </c>
      <c r="C78" s="17">
        <v>5</v>
      </c>
      <c r="D78" s="17">
        <v>2</v>
      </c>
      <c r="E78" s="17">
        <v>5</v>
      </c>
    </row>
    <row r="79" spans="1:5" x14ac:dyDescent="0.3">
      <c r="A79" s="17" t="s">
        <v>1</v>
      </c>
      <c r="B79" s="17" t="s">
        <v>945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1479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403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1304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110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3294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289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409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291</v>
      </c>
      <c r="C87" s="17">
        <v>3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44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1196</v>
      </c>
      <c r="C89" s="17">
        <v>3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331</v>
      </c>
      <c r="C90" s="17">
        <v>3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415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888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448</v>
      </c>
      <c r="C93" s="17">
        <v>3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735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662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124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347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703</v>
      </c>
      <c r="C98" s="17">
        <v>2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897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127</v>
      </c>
      <c r="C100" s="17">
        <v>3</v>
      </c>
      <c r="D100" s="17">
        <v>2</v>
      </c>
      <c r="E100" s="17">
        <v>3</v>
      </c>
    </row>
    <row r="101" spans="1:5" x14ac:dyDescent="0.3">
      <c r="A101" s="17" t="s">
        <v>1</v>
      </c>
      <c r="B101" s="17" t="s">
        <v>192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753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1327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1136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1276</v>
      </c>
      <c r="C105" s="17">
        <v>2</v>
      </c>
      <c r="D105" s="17">
        <v>2</v>
      </c>
      <c r="E105" s="17"/>
    </row>
    <row r="106" spans="1:5" x14ac:dyDescent="0.3">
      <c r="A106" s="17" t="s">
        <v>0</v>
      </c>
      <c r="B106" s="17" t="s">
        <v>36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73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48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0</v>
      </c>
      <c r="B109" s="17" t="s">
        <v>79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1317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365</v>
      </c>
      <c r="C111" s="17">
        <v>3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96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2692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0</v>
      </c>
      <c r="B114" s="17" t="s">
        <v>3328</v>
      </c>
      <c r="C114" s="17">
        <v>4</v>
      </c>
      <c r="D114" s="17">
        <v>2</v>
      </c>
      <c r="E114" s="17">
        <v>5</v>
      </c>
    </row>
    <row r="115" spans="1:5" x14ac:dyDescent="0.3">
      <c r="A115" s="17" t="s">
        <v>0</v>
      </c>
      <c r="B115" s="17" t="s">
        <v>1479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265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770</v>
      </c>
      <c r="C117" s="17">
        <v>1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162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2720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104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107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442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591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111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289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291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62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234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0</v>
      </c>
      <c r="B129" s="17" t="s">
        <v>67</v>
      </c>
      <c r="C129" s="17">
        <v>3</v>
      </c>
      <c r="D129" s="17">
        <v>2</v>
      </c>
      <c r="E129" s="17">
        <v>3</v>
      </c>
    </row>
    <row r="130" spans="1:5" x14ac:dyDescent="0.3">
      <c r="A130" s="17" t="s">
        <v>0</v>
      </c>
      <c r="B130" s="17" t="s">
        <v>376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1544</v>
      </c>
      <c r="C131" s="17">
        <v>2</v>
      </c>
      <c r="D131" s="17">
        <v>2</v>
      </c>
      <c r="E131" s="17">
        <v>3</v>
      </c>
    </row>
    <row r="132" spans="1:5" x14ac:dyDescent="0.3">
      <c r="A132" s="17" t="s">
        <v>2</v>
      </c>
      <c r="B132" s="17" t="s">
        <v>152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1</v>
      </c>
      <c r="B133" s="17" t="s">
        <v>489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1032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1412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243</v>
      </c>
      <c r="C136" s="17">
        <v>2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203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2466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1504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269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141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986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507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486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854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74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1783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33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75</v>
      </c>
      <c r="C149" s="17">
        <v>2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793</v>
      </c>
      <c r="C150" s="17">
        <v>1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144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622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273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582</v>
      </c>
      <c r="C154" s="17">
        <v>2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146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276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906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59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1507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1051</v>
      </c>
      <c r="C160" s="17">
        <v>1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860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1314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40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213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1982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83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215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1338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862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85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519</v>
      </c>
      <c r="C171" s="17">
        <v>1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2114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279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86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1281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151</v>
      </c>
      <c r="C176" s="17">
        <v>2</v>
      </c>
      <c r="D176" s="17">
        <v>1</v>
      </c>
      <c r="E176" s="17">
        <v>3</v>
      </c>
    </row>
    <row r="177" spans="1:5" x14ac:dyDescent="0.3">
      <c r="A177" s="17" t="s">
        <v>1</v>
      </c>
      <c r="B177" s="17" t="s">
        <v>480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362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864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1060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92</v>
      </c>
      <c r="C181" s="17">
        <v>3</v>
      </c>
      <c r="D181" s="17">
        <v>1</v>
      </c>
      <c r="E181" s="17">
        <v>3</v>
      </c>
    </row>
    <row r="182" spans="1:5" x14ac:dyDescent="0.3">
      <c r="A182" s="17" t="s">
        <v>1</v>
      </c>
      <c r="B182" s="17" t="s">
        <v>1283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638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155</v>
      </c>
      <c r="C184" s="17">
        <v>6</v>
      </c>
      <c r="D184" s="17">
        <v>1</v>
      </c>
      <c r="E184" s="17">
        <v>6</v>
      </c>
    </row>
    <row r="185" spans="1:5" x14ac:dyDescent="0.3">
      <c r="A185" s="17" t="s">
        <v>1</v>
      </c>
      <c r="B185" s="17" t="s">
        <v>94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2036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60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95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909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1518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1871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1983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2395</v>
      </c>
      <c r="C193" s="17">
        <v>3</v>
      </c>
      <c r="D193" s="17">
        <v>1</v>
      </c>
      <c r="E193" s="17">
        <v>6</v>
      </c>
    </row>
    <row r="194" spans="1:5" x14ac:dyDescent="0.3">
      <c r="A194" s="17" t="s">
        <v>1</v>
      </c>
      <c r="B194" s="17" t="s">
        <v>2429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2508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3036</v>
      </c>
      <c r="C196" s="17">
        <v>6</v>
      </c>
      <c r="D196" s="17">
        <v>1</v>
      </c>
      <c r="E196" s="17">
        <v>5</v>
      </c>
    </row>
    <row r="197" spans="1:5" x14ac:dyDescent="0.3">
      <c r="A197" s="17" t="s">
        <v>1</v>
      </c>
      <c r="B197" s="17" t="s">
        <v>866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525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159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1286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526</v>
      </c>
      <c r="C201" s="17">
        <v>2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35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993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1567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2655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100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1128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265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586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840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160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530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995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1145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996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352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104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105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1129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285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3329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1182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1649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167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3330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168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1709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169</v>
      </c>
      <c r="C228" s="17">
        <v>2</v>
      </c>
      <c r="D228" s="17">
        <v>1</v>
      </c>
      <c r="E228" s="17">
        <v>3</v>
      </c>
    </row>
    <row r="229" spans="1:5" x14ac:dyDescent="0.3">
      <c r="A229" s="17" t="s">
        <v>1</v>
      </c>
      <c r="B229" s="17" t="s">
        <v>406</v>
      </c>
      <c r="C229" s="17">
        <v>2</v>
      </c>
      <c r="D229" s="17">
        <v>1</v>
      </c>
      <c r="E229" s="17">
        <v>3</v>
      </c>
    </row>
    <row r="230" spans="1:5" x14ac:dyDescent="0.3">
      <c r="A230" s="17" t="s">
        <v>1</v>
      </c>
      <c r="B230" s="17" t="s">
        <v>226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407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111</v>
      </c>
      <c r="C232" s="17">
        <v>4</v>
      </c>
      <c r="D232" s="17">
        <v>1</v>
      </c>
      <c r="E232" s="17">
        <v>5</v>
      </c>
    </row>
    <row r="233" spans="1:5" x14ac:dyDescent="0.3">
      <c r="A233" s="17" t="s">
        <v>1</v>
      </c>
      <c r="B233" s="17" t="s">
        <v>171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172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488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1552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606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1884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411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1908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1526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1320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949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881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1170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330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1150</v>
      </c>
      <c r="C247" s="17">
        <v>1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294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776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295</v>
      </c>
      <c r="C250" s="17">
        <v>2</v>
      </c>
      <c r="D250" s="17">
        <v>1</v>
      </c>
      <c r="E250" s="17">
        <v>2</v>
      </c>
    </row>
    <row r="251" spans="1:5" x14ac:dyDescent="0.3">
      <c r="A251" s="17" t="s">
        <v>1</v>
      </c>
      <c r="B251" s="17" t="s">
        <v>729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1292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2987</v>
      </c>
      <c r="C253" s="17">
        <v>1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1231</v>
      </c>
      <c r="C254" s="17">
        <v>3</v>
      </c>
      <c r="D254" s="17">
        <v>1</v>
      </c>
      <c r="E254" s="17">
        <v>3</v>
      </c>
    </row>
    <row r="255" spans="1:5" x14ac:dyDescent="0.3">
      <c r="A255" s="17" t="s">
        <v>1</v>
      </c>
      <c r="B255" s="17" t="s">
        <v>886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1180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2011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3331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814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176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887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3332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1818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1433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1362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1353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956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957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373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1689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682</v>
      </c>
      <c r="C271" s="17">
        <v>2</v>
      </c>
      <c r="D271" s="17">
        <v>1</v>
      </c>
      <c r="E271" s="17">
        <v>2</v>
      </c>
    </row>
    <row r="272" spans="1:5" x14ac:dyDescent="0.3">
      <c r="A272" s="17" t="s">
        <v>1</v>
      </c>
      <c r="B272" s="17" t="s">
        <v>695</v>
      </c>
      <c r="C272" s="17">
        <v>2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2288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46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125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959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890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2989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1767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3333</v>
      </c>
      <c r="C280" s="17">
        <v>1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2183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602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1114</v>
      </c>
      <c r="C283" s="17">
        <v>1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3334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375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421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301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2169</v>
      </c>
      <c r="C288" s="17">
        <v>2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449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180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1298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181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1918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182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2289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1199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126</v>
      </c>
      <c r="C297" s="17">
        <v>3</v>
      </c>
      <c r="D297" s="17">
        <v>1</v>
      </c>
      <c r="E297" s="17">
        <v>3</v>
      </c>
    </row>
    <row r="298" spans="1:5" x14ac:dyDescent="0.3">
      <c r="A298" s="17" t="s">
        <v>1</v>
      </c>
      <c r="B298" s="17" t="s">
        <v>604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3335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2267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483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605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561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1892</v>
      </c>
      <c r="C304" s="17">
        <v>1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1118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1133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784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52</v>
      </c>
      <c r="C308" s="17">
        <v>2</v>
      </c>
      <c r="D308" s="17">
        <v>1</v>
      </c>
      <c r="E308" s="17">
        <v>2</v>
      </c>
    </row>
    <row r="309" spans="1:5" x14ac:dyDescent="0.3">
      <c r="A309" s="17" t="s">
        <v>1</v>
      </c>
      <c r="B309" s="17" t="s">
        <v>1502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1498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823</v>
      </c>
      <c r="C311" s="17">
        <v>2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496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501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1134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451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452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259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38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564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899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1730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848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1669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306</v>
      </c>
      <c r="C324" s="17">
        <v>2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568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53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849</v>
      </c>
      <c r="C327" s="17">
        <v>1</v>
      </c>
      <c r="D327" s="17">
        <v>1</v>
      </c>
      <c r="E327" s="17">
        <v>3</v>
      </c>
    </row>
    <row r="328" spans="1:5" x14ac:dyDescent="0.3">
      <c r="A328" s="17" t="s">
        <v>1</v>
      </c>
      <c r="B328" s="17" t="s">
        <v>194</v>
      </c>
      <c r="C328" s="17">
        <v>3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569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235</v>
      </c>
      <c r="C330" s="17">
        <v>6</v>
      </c>
      <c r="D330" s="17">
        <v>1</v>
      </c>
      <c r="E330" s="17">
        <v>10</v>
      </c>
    </row>
    <row r="331" spans="1:5" x14ac:dyDescent="0.3">
      <c r="A331" s="17" t="s">
        <v>1</v>
      </c>
      <c r="B331" s="17" t="s">
        <v>236</v>
      </c>
      <c r="C331" s="17">
        <v>3</v>
      </c>
      <c r="D331" s="17">
        <v>1</v>
      </c>
      <c r="E331" s="17">
        <v>3</v>
      </c>
    </row>
    <row r="332" spans="1:5" x14ac:dyDescent="0.3">
      <c r="A332" s="17" t="s">
        <v>1</v>
      </c>
      <c r="B332" s="17" t="s">
        <v>39</v>
      </c>
      <c r="C332" s="17">
        <v>11</v>
      </c>
      <c r="D332" s="17">
        <v>1</v>
      </c>
      <c r="E332" s="17">
        <v>23</v>
      </c>
    </row>
    <row r="333" spans="1:5" x14ac:dyDescent="0.3">
      <c r="A333" s="17" t="s">
        <v>1</v>
      </c>
      <c r="B333" s="17" t="s">
        <v>1085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1201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1266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3336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1403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2142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456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2422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3337</v>
      </c>
      <c r="C341" s="17">
        <v>1</v>
      </c>
      <c r="D341" s="17">
        <v>1</v>
      </c>
      <c r="E341" s="17"/>
    </row>
    <row r="342" spans="1:5" x14ac:dyDescent="0.3">
      <c r="A342" s="17" t="s">
        <v>1</v>
      </c>
      <c r="B342" s="17" t="s">
        <v>3338</v>
      </c>
      <c r="C342" s="17">
        <v>1</v>
      </c>
      <c r="D342" s="17">
        <v>1</v>
      </c>
      <c r="E342" s="17"/>
    </row>
    <row r="343" spans="1:5" x14ac:dyDescent="0.3">
      <c r="A343" s="17" t="s">
        <v>1</v>
      </c>
      <c r="B343" s="17" t="s">
        <v>3339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2086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3340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3097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2264</v>
      </c>
      <c r="C347" s="17">
        <v>1</v>
      </c>
      <c r="D347" s="17">
        <v>2</v>
      </c>
      <c r="E347" s="17"/>
    </row>
    <row r="348" spans="1:5" x14ac:dyDescent="0.3">
      <c r="A348" s="17" t="s">
        <v>1</v>
      </c>
      <c r="B348" s="17" t="s">
        <v>3341</v>
      </c>
      <c r="C348" s="17">
        <v>1</v>
      </c>
      <c r="D348" s="17">
        <v>1</v>
      </c>
      <c r="E348" s="17"/>
    </row>
    <row r="349" spans="1:5" x14ac:dyDescent="0.3">
      <c r="A349" s="17" t="s">
        <v>1</v>
      </c>
      <c r="B349" s="17" t="s">
        <v>3342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3343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3344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2544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3345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3346</v>
      </c>
      <c r="C354" s="17">
        <v>1</v>
      </c>
      <c r="D354" s="17">
        <v>1</v>
      </c>
      <c r="E354" s="17"/>
    </row>
    <row r="355" spans="1:5" x14ac:dyDescent="0.3">
      <c r="A355" s="17" t="s">
        <v>1</v>
      </c>
      <c r="B355" s="17" t="s">
        <v>759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3347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3348</v>
      </c>
      <c r="C357" s="17">
        <v>1</v>
      </c>
      <c r="D357" s="17">
        <v>1</v>
      </c>
      <c r="E357" s="17"/>
    </row>
    <row r="358" spans="1:5" x14ac:dyDescent="0.3">
      <c r="A358" s="17" t="s">
        <v>1</v>
      </c>
      <c r="B358" s="17" t="s">
        <v>850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2015</v>
      </c>
      <c r="C359" s="17">
        <v>1</v>
      </c>
      <c r="D359" s="17">
        <v>1</v>
      </c>
      <c r="E359" s="17"/>
    </row>
    <row r="360" spans="1:5" x14ac:dyDescent="0.3">
      <c r="A360" s="17" t="s">
        <v>1</v>
      </c>
      <c r="B360" s="17" t="s">
        <v>1302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3349</v>
      </c>
      <c r="C361" s="17">
        <v>1</v>
      </c>
      <c r="D361" s="17">
        <v>1</v>
      </c>
      <c r="E361" s="17"/>
    </row>
    <row r="362" spans="1:5" x14ac:dyDescent="0.3">
      <c r="A362" s="17" t="s">
        <v>1</v>
      </c>
      <c r="B362" s="17" t="s">
        <v>3350</v>
      </c>
      <c r="C362" s="17">
        <v>1</v>
      </c>
      <c r="D362" s="17">
        <v>1</v>
      </c>
      <c r="E362" s="17"/>
    </row>
    <row r="363" spans="1:5" x14ac:dyDescent="0.3">
      <c r="A363" s="17" t="s">
        <v>1</v>
      </c>
      <c r="B363" s="17" t="s">
        <v>3351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1548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3352</v>
      </c>
      <c r="C365" s="17">
        <v>1</v>
      </c>
      <c r="D365" s="17">
        <v>1</v>
      </c>
      <c r="E365" s="17"/>
    </row>
    <row r="366" spans="1:5" x14ac:dyDescent="0.3">
      <c r="A366" s="17" t="s">
        <v>1</v>
      </c>
      <c r="B366" s="17" t="s">
        <v>1731</v>
      </c>
      <c r="C366" s="17">
        <v>1</v>
      </c>
      <c r="D366" s="17">
        <v>1</v>
      </c>
      <c r="E366" s="17"/>
    </row>
    <row r="367" spans="1:5" x14ac:dyDescent="0.3">
      <c r="A367" s="17" t="s">
        <v>1</v>
      </c>
      <c r="B367" s="17" t="s">
        <v>3353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3354</v>
      </c>
      <c r="C368" s="17">
        <v>1</v>
      </c>
      <c r="D368" s="17">
        <v>1</v>
      </c>
      <c r="E368" s="17"/>
    </row>
    <row r="369" spans="1:5" x14ac:dyDescent="0.3">
      <c r="A369" s="17" t="s">
        <v>1</v>
      </c>
      <c r="B369" s="17" t="s">
        <v>1875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3081</v>
      </c>
      <c r="C370" s="17">
        <v>1</v>
      </c>
      <c r="D370" s="17">
        <v>1</v>
      </c>
      <c r="E370" s="17"/>
    </row>
    <row r="371" spans="1:5" x14ac:dyDescent="0.3">
      <c r="A371" s="17" t="s">
        <v>1</v>
      </c>
      <c r="B371" s="17" t="s">
        <v>576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3355</v>
      </c>
      <c r="C372" s="17">
        <v>1</v>
      </c>
      <c r="D372" s="17">
        <v>1</v>
      </c>
      <c r="E372" s="17"/>
    </row>
    <row r="373" spans="1:5" x14ac:dyDescent="0.3">
      <c r="A373" s="17" t="s">
        <v>1</v>
      </c>
      <c r="B373" s="17" t="s">
        <v>69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389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1032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0</v>
      </c>
      <c r="B376" s="17" t="s">
        <v>503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384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792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1866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143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272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2387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858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274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490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147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583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213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84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630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152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155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363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487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1643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1683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2429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2396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2599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3036</v>
      </c>
      <c r="C400" s="17">
        <v>2</v>
      </c>
      <c r="D400" s="17">
        <v>1</v>
      </c>
      <c r="E400" s="17">
        <v>5</v>
      </c>
    </row>
    <row r="401" spans="1:5" x14ac:dyDescent="0.3">
      <c r="A401" s="17" t="s">
        <v>0</v>
      </c>
      <c r="B401" s="17" t="s">
        <v>3327</v>
      </c>
      <c r="C401" s="17">
        <v>3</v>
      </c>
      <c r="D401" s="17">
        <v>1</v>
      </c>
      <c r="E401" s="17">
        <v>4</v>
      </c>
    </row>
    <row r="402" spans="1:5" x14ac:dyDescent="0.3">
      <c r="A402" s="17" t="s">
        <v>0</v>
      </c>
      <c r="B402" s="17" t="s">
        <v>1167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524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440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2862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2257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99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994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1275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403</v>
      </c>
      <c r="C410" s="17">
        <v>1</v>
      </c>
      <c r="D410" s="17">
        <v>1</v>
      </c>
      <c r="E410" s="17">
        <v>2</v>
      </c>
    </row>
    <row r="411" spans="1:5" x14ac:dyDescent="0.3">
      <c r="A411" s="17" t="s">
        <v>0</v>
      </c>
      <c r="B411" s="17" t="s">
        <v>1713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161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163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28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102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322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43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772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167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168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1614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2201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646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406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443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2204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1270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3356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171</v>
      </c>
      <c r="C429" s="17">
        <v>2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172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113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1004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1719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1344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595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294</v>
      </c>
      <c r="C436" s="17">
        <v>2</v>
      </c>
      <c r="D436" s="17">
        <v>1</v>
      </c>
      <c r="E436" s="17">
        <v>2</v>
      </c>
    </row>
    <row r="437" spans="1:5" x14ac:dyDescent="0.3">
      <c r="A437" s="17" t="s">
        <v>0</v>
      </c>
      <c r="B437" s="17" t="s">
        <v>2356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334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413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1172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3357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1510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846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733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957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122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695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1014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1779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179</v>
      </c>
      <c r="C450" s="17">
        <v>1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419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1894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3358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421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1265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1397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1296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182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126</v>
      </c>
      <c r="C459" s="17">
        <v>1</v>
      </c>
      <c r="D459" s="17">
        <v>1</v>
      </c>
      <c r="E459" s="17">
        <v>2</v>
      </c>
    </row>
    <row r="460" spans="1:5" x14ac:dyDescent="0.3">
      <c r="A460" s="17" t="s">
        <v>0</v>
      </c>
      <c r="B460" s="17" t="s">
        <v>3335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186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429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1760</v>
      </c>
      <c r="C463" s="17">
        <v>2</v>
      </c>
      <c r="D463" s="17">
        <v>1</v>
      </c>
      <c r="E463" s="17">
        <v>3</v>
      </c>
    </row>
    <row r="464" spans="1:5" x14ac:dyDescent="0.3">
      <c r="A464" s="17" t="s">
        <v>0</v>
      </c>
      <c r="B464" s="17" t="s">
        <v>496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751</v>
      </c>
      <c r="C465" s="17">
        <v>1</v>
      </c>
      <c r="D465" s="17">
        <v>1</v>
      </c>
      <c r="E465" s="17">
        <v>3</v>
      </c>
    </row>
    <row r="466" spans="1:5" x14ac:dyDescent="0.3">
      <c r="A466" s="17" t="s">
        <v>0</v>
      </c>
      <c r="B466" s="17" t="s">
        <v>132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65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192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135</v>
      </c>
      <c r="C469" s="17">
        <v>1</v>
      </c>
      <c r="D469" s="17">
        <v>1</v>
      </c>
      <c r="E469" s="17">
        <v>2</v>
      </c>
    </row>
    <row r="470" spans="1:5" x14ac:dyDescent="0.3">
      <c r="A470" s="17" t="s">
        <v>0</v>
      </c>
      <c r="B470" s="17" t="s">
        <v>306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2519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193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194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195</v>
      </c>
      <c r="C474" s="17">
        <v>2</v>
      </c>
      <c r="D474" s="17">
        <v>1</v>
      </c>
      <c r="E474" s="17">
        <v>4</v>
      </c>
    </row>
    <row r="475" spans="1:5" x14ac:dyDescent="0.3">
      <c r="A475" s="17" t="s">
        <v>0</v>
      </c>
      <c r="B475" s="17" t="s">
        <v>237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1804</v>
      </c>
      <c r="C476" s="17">
        <v>1</v>
      </c>
      <c r="D476" s="17">
        <v>1</v>
      </c>
      <c r="E476" s="17">
        <v>2</v>
      </c>
    </row>
    <row r="477" spans="1:5" x14ac:dyDescent="0.3">
      <c r="A477" s="17" t="s">
        <v>0</v>
      </c>
      <c r="B477" s="17" t="s">
        <v>3359</v>
      </c>
      <c r="C477" s="17">
        <v>1</v>
      </c>
      <c r="D477" s="17">
        <v>3</v>
      </c>
      <c r="E477" s="17"/>
    </row>
    <row r="478" spans="1:5" x14ac:dyDescent="0.3">
      <c r="A478" s="17" t="s">
        <v>0</v>
      </c>
      <c r="B478" s="17" t="s">
        <v>266</v>
      </c>
      <c r="C478" s="17">
        <v>2</v>
      </c>
      <c r="D478" s="17">
        <v>1</v>
      </c>
      <c r="E478" s="17">
        <v>4</v>
      </c>
    </row>
    <row r="479" spans="1:5" x14ac:dyDescent="0.3">
      <c r="A479" s="17" t="s">
        <v>0</v>
      </c>
      <c r="B479" s="17" t="s">
        <v>3292</v>
      </c>
      <c r="C479" s="17">
        <v>1</v>
      </c>
      <c r="D479" s="17">
        <v>2</v>
      </c>
      <c r="E479" s="17"/>
    </row>
    <row r="480" spans="1:5" x14ac:dyDescent="0.3">
      <c r="A480" s="17" t="s">
        <v>0</v>
      </c>
      <c r="B480" s="17" t="s">
        <v>3186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1606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2799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3260</v>
      </c>
      <c r="C483" s="17">
        <v>1</v>
      </c>
      <c r="D483" s="17">
        <v>1</v>
      </c>
      <c r="E483" s="17"/>
    </row>
    <row r="484" spans="1:5" x14ac:dyDescent="0.3">
      <c r="A484" s="17" t="s">
        <v>0</v>
      </c>
      <c r="B484" s="17" t="s">
        <v>2355</v>
      </c>
      <c r="C484" s="17">
        <v>1</v>
      </c>
      <c r="D484" s="17">
        <v>1</v>
      </c>
      <c r="E484" s="17">
        <v>3</v>
      </c>
    </row>
    <row r="485" spans="1:5" x14ac:dyDescent="0.3">
      <c r="A485" s="17" t="s">
        <v>2</v>
      </c>
      <c r="B485" s="17" t="s">
        <v>75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156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909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1927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2599</v>
      </c>
      <c r="C489" s="17">
        <v>1</v>
      </c>
      <c r="D489" s="17">
        <v>1</v>
      </c>
      <c r="E489" s="17">
        <v>2</v>
      </c>
    </row>
    <row r="490" spans="1:5" x14ac:dyDescent="0.3">
      <c r="A490" s="17" t="s">
        <v>2</v>
      </c>
      <c r="B490" s="17" t="s">
        <v>442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1215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446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959</v>
      </c>
      <c r="C493" s="17">
        <v>1</v>
      </c>
      <c r="D493" s="17">
        <v>1</v>
      </c>
      <c r="E493" s="17">
        <v>4</v>
      </c>
    </row>
    <row r="494" spans="1:5" x14ac:dyDescent="0.3">
      <c r="A494" s="17" t="s">
        <v>1</v>
      </c>
      <c r="B494" s="17" t="s">
        <v>202</v>
      </c>
      <c r="C494" s="17">
        <v>1</v>
      </c>
      <c r="D494" s="17">
        <v>0</v>
      </c>
      <c r="E494" s="17">
        <v>2</v>
      </c>
    </row>
    <row r="495" spans="1:5" x14ac:dyDescent="0.3">
      <c r="A495" s="17" t="s">
        <v>1</v>
      </c>
      <c r="B495" s="17" t="s">
        <v>929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792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705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58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208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3360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460</v>
      </c>
      <c r="C501" s="17">
        <v>2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433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1253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275</v>
      </c>
      <c r="C504" s="17">
        <v>2</v>
      </c>
      <c r="D504" s="17">
        <v>0</v>
      </c>
      <c r="E504" s="17">
        <v>2</v>
      </c>
    </row>
    <row r="505" spans="1:5" x14ac:dyDescent="0.3">
      <c r="A505" s="17" t="s">
        <v>1</v>
      </c>
      <c r="B505" s="17" t="s">
        <v>359</v>
      </c>
      <c r="C505" s="17">
        <v>2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82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861</v>
      </c>
      <c r="C507" s="17">
        <v>1</v>
      </c>
      <c r="D507" s="17">
        <v>0</v>
      </c>
      <c r="E507" s="17">
        <v>2</v>
      </c>
    </row>
    <row r="508" spans="1:5" x14ac:dyDescent="0.3">
      <c r="A508" s="17" t="s">
        <v>1</v>
      </c>
      <c r="B508" s="17" t="s">
        <v>908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841</v>
      </c>
      <c r="C509" s="17">
        <v>1</v>
      </c>
      <c r="D509" s="17">
        <v>0</v>
      </c>
      <c r="E509" s="17">
        <v>2</v>
      </c>
    </row>
    <row r="510" spans="1:5" x14ac:dyDescent="0.3">
      <c r="A510" s="17" t="s">
        <v>1</v>
      </c>
      <c r="B510" s="17" t="s">
        <v>630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1360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216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217</v>
      </c>
      <c r="C513" s="17">
        <v>1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153</v>
      </c>
      <c r="C514" s="17">
        <v>4</v>
      </c>
      <c r="D514" s="17">
        <v>0</v>
      </c>
      <c r="E514" s="17">
        <v>3</v>
      </c>
    </row>
    <row r="515" spans="1:5" x14ac:dyDescent="0.3">
      <c r="A515" s="17" t="s">
        <v>1</v>
      </c>
      <c r="B515" s="17" t="s">
        <v>219</v>
      </c>
      <c r="C515" s="17">
        <v>1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636</v>
      </c>
      <c r="C516" s="17">
        <v>1</v>
      </c>
      <c r="D516" s="17">
        <v>0</v>
      </c>
      <c r="E516" s="17">
        <v>0</v>
      </c>
    </row>
    <row r="517" spans="1:5" x14ac:dyDescent="0.3">
      <c r="A517" s="17" t="s">
        <v>1</v>
      </c>
      <c r="B517" s="17" t="s">
        <v>1274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1284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678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222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640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363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364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261</v>
      </c>
      <c r="C524" s="17">
        <v>1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438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1662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1897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1906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2334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2293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2440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2468</v>
      </c>
      <c r="C532" s="17">
        <v>2</v>
      </c>
      <c r="D532" s="17">
        <v>0</v>
      </c>
      <c r="E532" s="17">
        <v>4</v>
      </c>
    </row>
    <row r="533" spans="1:5" x14ac:dyDescent="0.3">
      <c r="A533" s="17" t="s">
        <v>1</v>
      </c>
      <c r="B533" s="17" t="s">
        <v>2711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2399</v>
      </c>
      <c r="C534" s="17">
        <v>1</v>
      </c>
      <c r="D534" s="17">
        <v>0</v>
      </c>
      <c r="E534" s="17">
        <v>2</v>
      </c>
    </row>
    <row r="535" spans="1:5" x14ac:dyDescent="0.3">
      <c r="A535" s="17" t="s">
        <v>1</v>
      </c>
      <c r="B535" s="17" t="s">
        <v>2398</v>
      </c>
      <c r="C535" s="17">
        <v>2</v>
      </c>
      <c r="D535" s="17">
        <v>0</v>
      </c>
      <c r="E535" s="17">
        <v>3</v>
      </c>
    </row>
    <row r="536" spans="1:5" x14ac:dyDescent="0.3">
      <c r="A536" s="17" t="s">
        <v>1</v>
      </c>
      <c r="B536" s="17" t="s">
        <v>2445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2509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2616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2705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2789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2944</v>
      </c>
      <c r="C541" s="17">
        <v>5</v>
      </c>
      <c r="D541" s="17">
        <v>0</v>
      </c>
      <c r="E541" s="17">
        <v>5</v>
      </c>
    </row>
    <row r="542" spans="1:5" x14ac:dyDescent="0.3">
      <c r="A542" s="17" t="s">
        <v>1</v>
      </c>
      <c r="B542" s="17" t="s">
        <v>3236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3361</v>
      </c>
      <c r="C543" s="17">
        <v>2</v>
      </c>
      <c r="D543" s="17">
        <v>0</v>
      </c>
      <c r="E543" s="17">
        <v>2</v>
      </c>
    </row>
    <row r="544" spans="1:5" x14ac:dyDescent="0.3">
      <c r="A544" s="17" t="s">
        <v>1</v>
      </c>
      <c r="B544" s="17" t="s">
        <v>715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1067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587</v>
      </c>
      <c r="C546" s="17">
        <v>1</v>
      </c>
      <c r="D546" s="17">
        <v>0</v>
      </c>
      <c r="E546" s="17">
        <v>2</v>
      </c>
    </row>
    <row r="547" spans="1:5" x14ac:dyDescent="0.3">
      <c r="A547" s="17" t="s">
        <v>1</v>
      </c>
      <c r="B547" s="17" t="s">
        <v>1811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1616</v>
      </c>
      <c r="C548" s="17">
        <v>1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1259</v>
      </c>
      <c r="C549" s="17">
        <v>1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1221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165</v>
      </c>
      <c r="C551" s="17">
        <v>2</v>
      </c>
      <c r="D551" s="17">
        <v>0</v>
      </c>
      <c r="E551" s="17">
        <v>3</v>
      </c>
    </row>
    <row r="552" spans="1:5" x14ac:dyDescent="0.3">
      <c r="A552" s="17" t="s">
        <v>1</v>
      </c>
      <c r="B552" s="17" t="s">
        <v>1372</v>
      </c>
      <c r="C552" s="17">
        <v>1</v>
      </c>
      <c r="D552" s="17">
        <v>0</v>
      </c>
      <c r="E552" s="17">
        <v>4</v>
      </c>
    </row>
    <row r="553" spans="1:5" x14ac:dyDescent="0.3">
      <c r="A553" s="17" t="s">
        <v>1</v>
      </c>
      <c r="B553" s="17" t="s">
        <v>2922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1836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3362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166</v>
      </c>
      <c r="C556" s="17">
        <v>1</v>
      </c>
      <c r="D556" s="17">
        <v>0</v>
      </c>
      <c r="E556" s="17">
        <v>2</v>
      </c>
    </row>
    <row r="557" spans="1:5" x14ac:dyDescent="0.3">
      <c r="A557" s="17" t="s">
        <v>1</v>
      </c>
      <c r="B557" s="17" t="s">
        <v>2196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3363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3138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442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1698</v>
      </c>
      <c r="C561" s="17">
        <v>1</v>
      </c>
      <c r="D561" s="17">
        <v>0</v>
      </c>
      <c r="E561" s="17">
        <v>0</v>
      </c>
    </row>
    <row r="562" spans="1:5" x14ac:dyDescent="0.3">
      <c r="A562" s="17" t="s">
        <v>1</v>
      </c>
      <c r="B562" s="17" t="s">
        <v>1001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1074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650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113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872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410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1409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774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3364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2039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597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884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2577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230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975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468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1078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1187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809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3365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339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1418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1844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343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1694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344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740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1179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742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1880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1206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1558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697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1758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559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664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961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348</v>
      </c>
      <c r="C599" s="17">
        <v>1</v>
      </c>
      <c r="D599" s="17">
        <v>0</v>
      </c>
      <c r="E599" s="17">
        <v>2</v>
      </c>
    </row>
    <row r="600" spans="1:5" x14ac:dyDescent="0.3">
      <c r="A600" s="17" t="s">
        <v>1</v>
      </c>
      <c r="B600" s="17" t="s">
        <v>821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2326</v>
      </c>
      <c r="C601" s="17">
        <v>1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1530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822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188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497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751</v>
      </c>
      <c r="C606" s="17">
        <v>2</v>
      </c>
      <c r="D606" s="17">
        <v>0</v>
      </c>
      <c r="E606" s="17">
        <v>2</v>
      </c>
    </row>
    <row r="607" spans="1:5" x14ac:dyDescent="0.3">
      <c r="A607" s="17" t="s">
        <v>1</v>
      </c>
      <c r="B607" s="17" t="s">
        <v>752</v>
      </c>
      <c r="C607" s="17">
        <v>1</v>
      </c>
      <c r="D607" s="17">
        <v>0</v>
      </c>
      <c r="E607" s="17">
        <v>0</v>
      </c>
    </row>
    <row r="608" spans="1:5" x14ac:dyDescent="0.3">
      <c r="A608" s="17" t="s">
        <v>1</v>
      </c>
      <c r="B608" s="17" t="s">
        <v>3366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565</v>
      </c>
      <c r="C609" s="17">
        <v>1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566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475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381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476</v>
      </c>
      <c r="C613" s="17">
        <v>2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68</v>
      </c>
      <c r="C614" s="17">
        <v>2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196</v>
      </c>
      <c r="C615" s="17">
        <v>13</v>
      </c>
      <c r="D615" s="17">
        <v>0</v>
      </c>
      <c r="E615" s="17">
        <v>26</v>
      </c>
    </row>
    <row r="616" spans="1:5" x14ac:dyDescent="0.3">
      <c r="A616" s="17" t="s">
        <v>1</v>
      </c>
      <c r="B616" s="17" t="s">
        <v>237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54</v>
      </c>
      <c r="C617" s="17">
        <v>2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238</v>
      </c>
      <c r="C618" s="17">
        <v>6</v>
      </c>
      <c r="D618" s="17">
        <v>0</v>
      </c>
      <c r="E618" s="17">
        <v>6</v>
      </c>
    </row>
    <row r="619" spans="1:5" x14ac:dyDescent="0.3">
      <c r="A619" s="17" t="s">
        <v>1</v>
      </c>
      <c r="B619" s="17" t="s">
        <v>239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672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55</v>
      </c>
      <c r="C621" s="18">
        <v>6</v>
      </c>
      <c r="D621" s="18">
        <v>0</v>
      </c>
      <c r="E621" s="18">
        <v>6</v>
      </c>
    </row>
    <row r="622" spans="1:5" x14ac:dyDescent="0.3">
      <c r="A622" s="18" t="s">
        <v>1</v>
      </c>
      <c r="B622" s="18" t="s">
        <v>240</v>
      </c>
      <c r="C622" s="18">
        <v>6</v>
      </c>
      <c r="D622" s="18">
        <v>0</v>
      </c>
      <c r="E622" s="18">
        <v>11</v>
      </c>
    </row>
    <row r="623" spans="1:5" x14ac:dyDescent="0.3">
      <c r="A623" s="18" t="s">
        <v>1</v>
      </c>
      <c r="B623" s="18" t="s">
        <v>673</v>
      </c>
      <c r="C623" s="18">
        <v>3</v>
      </c>
      <c r="D623" s="18">
        <v>0</v>
      </c>
      <c r="E623" s="18">
        <v>3</v>
      </c>
    </row>
    <row r="624" spans="1:5" x14ac:dyDescent="0.3">
      <c r="A624" s="18" t="s">
        <v>1</v>
      </c>
      <c r="B624" s="18" t="s">
        <v>1451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382</v>
      </c>
      <c r="C625" s="18">
        <v>5</v>
      </c>
      <c r="D625" s="18">
        <v>0</v>
      </c>
      <c r="E625" s="18">
        <v>6</v>
      </c>
    </row>
    <row r="626" spans="1:5" x14ac:dyDescent="0.3">
      <c r="A626" s="18" t="s">
        <v>1</v>
      </c>
      <c r="B626" s="18" t="s">
        <v>377</v>
      </c>
      <c r="C626" s="18">
        <v>4</v>
      </c>
      <c r="D626" s="18">
        <v>0</v>
      </c>
      <c r="E626" s="18">
        <v>4</v>
      </c>
    </row>
    <row r="627" spans="1:5" x14ac:dyDescent="0.3">
      <c r="A627" s="18" t="s">
        <v>1</v>
      </c>
      <c r="B627" s="18" t="s">
        <v>477</v>
      </c>
      <c r="C627" s="18">
        <v>4</v>
      </c>
      <c r="D627" s="18">
        <v>0</v>
      </c>
      <c r="E627" s="18">
        <v>7</v>
      </c>
    </row>
    <row r="628" spans="1:5" x14ac:dyDescent="0.3">
      <c r="A628" s="18" t="s">
        <v>1</v>
      </c>
      <c r="B628" s="18" t="s">
        <v>56</v>
      </c>
      <c r="C628" s="18">
        <v>1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3367</v>
      </c>
      <c r="C629" s="18">
        <v>1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1807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3368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1531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1980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1501</v>
      </c>
      <c r="C634" s="18">
        <v>0</v>
      </c>
      <c r="D634" s="18">
        <v>1</v>
      </c>
    </row>
    <row r="635" spans="1:5" x14ac:dyDescent="0.3">
      <c r="A635" s="18" t="s">
        <v>1</v>
      </c>
      <c r="B635" s="18" t="s">
        <v>1452</v>
      </c>
      <c r="C635" s="18">
        <v>0</v>
      </c>
      <c r="D635" s="18">
        <v>1</v>
      </c>
    </row>
    <row r="636" spans="1:5" x14ac:dyDescent="0.3">
      <c r="A636" s="18" t="s">
        <v>1</v>
      </c>
      <c r="B636" s="18" t="s">
        <v>677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3310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0</v>
      </c>
      <c r="B638" s="18" t="s">
        <v>1367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0</v>
      </c>
      <c r="B639" s="18" t="s">
        <v>1034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0</v>
      </c>
      <c r="B640" s="18" t="s">
        <v>3369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0</v>
      </c>
      <c r="B641" s="18" t="s">
        <v>247</v>
      </c>
      <c r="C641" s="18">
        <v>2</v>
      </c>
      <c r="D641" s="18">
        <v>0</v>
      </c>
      <c r="E641" s="18">
        <v>2</v>
      </c>
    </row>
    <row r="642" spans="1:5" x14ac:dyDescent="0.3">
      <c r="A642" s="18" t="s">
        <v>0</v>
      </c>
      <c r="B642" s="18" t="s">
        <v>153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0</v>
      </c>
      <c r="B643" s="18" t="s">
        <v>221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0</v>
      </c>
      <c r="B644" s="18" t="s">
        <v>154</v>
      </c>
      <c r="C644" s="18">
        <v>1</v>
      </c>
      <c r="D644" s="18">
        <v>0</v>
      </c>
      <c r="E644" s="18">
        <v>2</v>
      </c>
    </row>
    <row r="645" spans="1:5" x14ac:dyDescent="0.3">
      <c r="A645" s="18" t="s">
        <v>0</v>
      </c>
      <c r="B645" s="18" t="s">
        <v>1269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0</v>
      </c>
      <c r="B646" s="18" t="s">
        <v>156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0</v>
      </c>
      <c r="B647" s="18" t="s">
        <v>95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0</v>
      </c>
      <c r="B648" s="18" t="s">
        <v>2401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0</v>
      </c>
      <c r="B649" s="18" t="s">
        <v>2439</v>
      </c>
      <c r="C649" s="18">
        <v>2</v>
      </c>
      <c r="D649" s="18">
        <v>0</v>
      </c>
      <c r="E649" s="18">
        <v>2</v>
      </c>
    </row>
    <row r="650" spans="1:5" x14ac:dyDescent="0.3">
      <c r="A650" s="18" t="s">
        <v>0</v>
      </c>
      <c r="B650" s="18" t="s">
        <v>2468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0</v>
      </c>
      <c r="B651" s="18" t="s">
        <v>2789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0</v>
      </c>
      <c r="B652" s="18" t="s">
        <v>3298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0</v>
      </c>
      <c r="B653" s="18" t="s">
        <v>525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1193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1391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0</v>
      </c>
      <c r="B656" s="18" t="s">
        <v>1221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1569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1483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542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1075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0</v>
      </c>
      <c r="B661" s="18" t="s">
        <v>979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3370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0</v>
      </c>
      <c r="B663" s="18" t="s">
        <v>347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425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0</v>
      </c>
      <c r="B665" s="18" t="s">
        <v>232</v>
      </c>
      <c r="C665" s="18">
        <v>1</v>
      </c>
      <c r="D665" s="18">
        <v>0</v>
      </c>
      <c r="E665" s="18">
        <v>2</v>
      </c>
    </row>
    <row r="666" spans="1:5" x14ac:dyDescent="0.3">
      <c r="A666" s="18" t="s">
        <v>0</v>
      </c>
      <c r="B666" s="18" t="s">
        <v>53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670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235</v>
      </c>
      <c r="C668" s="18">
        <v>2</v>
      </c>
      <c r="D668" s="18">
        <v>0</v>
      </c>
      <c r="E668" s="18">
        <v>3</v>
      </c>
    </row>
    <row r="669" spans="1:5" x14ac:dyDescent="0.3">
      <c r="A669" s="18" t="s">
        <v>0</v>
      </c>
      <c r="B669" s="18" t="s">
        <v>68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196</v>
      </c>
      <c r="C670" s="18">
        <v>4</v>
      </c>
      <c r="D670" s="18">
        <v>0</v>
      </c>
      <c r="E670" s="18">
        <v>7</v>
      </c>
    </row>
    <row r="671" spans="1:5" x14ac:dyDescent="0.3">
      <c r="A671" s="18" t="s">
        <v>0</v>
      </c>
      <c r="B671" s="18" t="s">
        <v>54</v>
      </c>
      <c r="C671" s="18">
        <v>1</v>
      </c>
      <c r="D671" s="18">
        <v>0</v>
      </c>
      <c r="E671" s="18">
        <v>2</v>
      </c>
    </row>
    <row r="672" spans="1:5" x14ac:dyDescent="0.3">
      <c r="A672" s="18" t="s">
        <v>0</v>
      </c>
      <c r="B672" s="18" t="s">
        <v>673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382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1652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3371</v>
      </c>
      <c r="C675" s="18">
        <v>0</v>
      </c>
      <c r="D675" s="18">
        <v>4</v>
      </c>
    </row>
    <row r="676" spans="1:5" x14ac:dyDescent="0.3">
      <c r="A676" s="18" t="s">
        <v>0</v>
      </c>
      <c r="B676" s="18" t="s">
        <v>3372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0</v>
      </c>
      <c r="B677" s="18" t="s">
        <v>32</v>
      </c>
      <c r="C677" s="18">
        <v>1</v>
      </c>
      <c r="D677" s="18">
        <v>0</v>
      </c>
      <c r="E677" s="18">
        <v>3</v>
      </c>
    </row>
    <row r="678" spans="1:5" x14ac:dyDescent="0.3">
      <c r="A678" s="18" t="s">
        <v>2</v>
      </c>
      <c r="B678" s="18" t="s">
        <v>151</v>
      </c>
      <c r="C678" s="18">
        <v>1</v>
      </c>
      <c r="D678" s="18">
        <v>0</v>
      </c>
      <c r="E678" s="18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BDB0C-E9D9-4C2C-ACF4-E380695F8877}">
  <sheetPr codeName="Sheet55"/>
  <dimension ref="A1:M728"/>
  <sheetViews>
    <sheetView workbookViewId="0">
      <selection activeCell="A2" sqref="A2:E72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66</v>
      </c>
      <c r="D2" s="17">
        <v>48</v>
      </c>
      <c r="E2" s="17">
        <v>80</v>
      </c>
    </row>
    <row r="3" spans="1:13" customFormat="1" x14ac:dyDescent="0.3">
      <c r="A3" s="17" t="s">
        <v>1</v>
      </c>
      <c r="B3" s="17" t="s">
        <v>30</v>
      </c>
      <c r="C3" s="17">
        <v>99</v>
      </c>
      <c r="D3" s="17">
        <v>43</v>
      </c>
      <c r="E3" s="17">
        <v>169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3361</v>
      </c>
      <c r="C4" s="17">
        <v>54</v>
      </c>
      <c r="D4" s="17">
        <v>38</v>
      </c>
      <c r="E4" s="17">
        <v>58</v>
      </c>
      <c r="G4" s="23" t="s">
        <v>8</v>
      </c>
      <c r="H4" s="19">
        <f>H13+H14</f>
        <v>1173</v>
      </c>
      <c r="I4" s="20">
        <f>H4/H$6</f>
        <v>0.73129675810473815</v>
      </c>
      <c r="J4" s="19">
        <f>I13+I14</f>
        <v>618</v>
      </c>
      <c r="K4" s="20">
        <f>J4/J$6</f>
        <v>0.65189873417721522</v>
      </c>
      <c r="L4" s="19">
        <f>J13+J14</f>
        <v>1380</v>
      </c>
      <c r="M4" s="29">
        <f>L4/L$6</f>
        <v>0.73482428115015974</v>
      </c>
    </row>
    <row r="5" spans="1:13" customFormat="1" x14ac:dyDescent="0.3">
      <c r="A5" s="17" t="s">
        <v>0</v>
      </c>
      <c r="B5" s="17" t="s">
        <v>367</v>
      </c>
      <c r="C5" s="17">
        <v>23</v>
      </c>
      <c r="D5" s="17">
        <v>21</v>
      </c>
      <c r="E5" s="17">
        <v>23</v>
      </c>
      <c r="G5" s="23" t="s">
        <v>10</v>
      </c>
      <c r="H5" s="19">
        <f>H15+H16</f>
        <v>431</v>
      </c>
      <c r="I5" s="20">
        <f>H5/H$6</f>
        <v>0.26870324189526185</v>
      </c>
      <c r="J5" s="19">
        <f>I15+I16</f>
        <v>330</v>
      </c>
      <c r="K5" s="20">
        <f>J5/J$6</f>
        <v>0.34810126582278483</v>
      </c>
      <c r="L5" s="19">
        <f>J15+J16</f>
        <v>498</v>
      </c>
      <c r="M5" s="29">
        <f>L5/L$6</f>
        <v>0.26517571884984026</v>
      </c>
    </row>
    <row r="6" spans="1:13" customFormat="1" ht="17.25" thickBot="1" x14ac:dyDescent="0.35">
      <c r="A6" s="17" t="s">
        <v>1</v>
      </c>
      <c r="B6" s="17" t="s">
        <v>365</v>
      </c>
      <c r="C6" s="17">
        <v>22</v>
      </c>
      <c r="D6" s="17">
        <v>18</v>
      </c>
      <c r="E6" s="17">
        <v>27</v>
      </c>
      <c r="G6" s="26"/>
      <c r="H6" s="30">
        <f>SUM(H4:H5)</f>
        <v>1604</v>
      </c>
      <c r="I6" s="31">
        <f>I4+I5</f>
        <v>1</v>
      </c>
      <c r="J6" s="30">
        <f>SUM(J4:J5)</f>
        <v>948</v>
      </c>
      <c r="K6" s="31">
        <f>K4+K5</f>
        <v>1</v>
      </c>
      <c r="L6" s="30">
        <f>SUM(L4:L5)</f>
        <v>1878</v>
      </c>
      <c r="M6" s="32">
        <f>M4+M5</f>
        <v>1</v>
      </c>
    </row>
    <row r="7" spans="1:13" customFormat="1" x14ac:dyDescent="0.3">
      <c r="A7" s="17" t="s">
        <v>1</v>
      </c>
      <c r="B7" s="17" t="s">
        <v>3361</v>
      </c>
      <c r="C7" s="17">
        <v>33</v>
      </c>
      <c r="D7" s="17">
        <v>15</v>
      </c>
      <c r="E7" s="17">
        <v>41</v>
      </c>
    </row>
    <row r="8" spans="1:13" customFormat="1" x14ac:dyDescent="0.3">
      <c r="A8" s="17" t="s">
        <v>1</v>
      </c>
      <c r="B8" s="17" t="s">
        <v>37</v>
      </c>
      <c r="C8" s="17">
        <v>17</v>
      </c>
      <c r="D8" s="17">
        <v>13</v>
      </c>
      <c r="E8" s="17">
        <v>16</v>
      </c>
    </row>
    <row r="9" spans="1:13" customFormat="1" x14ac:dyDescent="0.3">
      <c r="A9" s="17" t="s">
        <v>1</v>
      </c>
      <c r="B9" s="17" t="s">
        <v>2599</v>
      </c>
      <c r="C9" s="17">
        <v>13</v>
      </c>
      <c r="D9" s="17">
        <v>12</v>
      </c>
      <c r="E9" s="17">
        <v>16</v>
      </c>
    </row>
    <row r="10" spans="1:13" customFormat="1" ht="17.25" thickBot="1" x14ac:dyDescent="0.35">
      <c r="A10" s="17" t="s">
        <v>1</v>
      </c>
      <c r="B10" s="17" t="s">
        <v>122</v>
      </c>
      <c r="C10" s="17">
        <v>12</v>
      </c>
      <c r="D10" s="17">
        <v>12</v>
      </c>
      <c r="E10" s="17">
        <v>12</v>
      </c>
    </row>
    <row r="11" spans="1:13" x14ac:dyDescent="0.3">
      <c r="A11" s="17" t="s">
        <v>1</v>
      </c>
      <c r="B11" s="17" t="s">
        <v>2572</v>
      </c>
      <c r="C11" s="17">
        <v>16</v>
      </c>
      <c r="D11" s="17">
        <v>11</v>
      </c>
      <c r="E11" s="17">
        <v>16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29</v>
      </c>
      <c r="C12" s="17">
        <v>10</v>
      </c>
      <c r="D12" s="17">
        <v>10</v>
      </c>
      <c r="E12" s="17">
        <v>10</v>
      </c>
      <c r="G12" s="23"/>
      <c r="H12" s="21">
        <f t="shared" ref="H12:J12" si="0">SUM(H13:H16)</f>
        <v>1604</v>
      </c>
      <c r="I12" s="21">
        <f t="shared" si="0"/>
        <v>948</v>
      </c>
      <c r="J12" s="24">
        <f t="shared" si="0"/>
        <v>1878</v>
      </c>
    </row>
    <row r="13" spans="1:13" x14ac:dyDescent="0.3">
      <c r="A13" s="17" t="s">
        <v>0</v>
      </c>
      <c r="B13" s="17" t="s">
        <v>1128</v>
      </c>
      <c r="C13" s="17">
        <v>9</v>
      </c>
      <c r="D13" s="17">
        <v>9</v>
      </c>
      <c r="E13" s="17">
        <v>9</v>
      </c>
      <c r="G13" s="23" t="s">
        <v>7</v>
      </c>
      <c r="H13" s="22">
        <f t="shared" ref="H13:J16" si="1">SUMIF($A$2:$A$9999,$G13,C$2:C$9999)</f>
        <v>1173</v>
      </c>
      <c r="I13" s="22">
        <f t="shared" si="1"/>
        <v>618</v>
      </c>
      <c r="J13" s="25">
        <f t="shared" si="1"/>
        <v>1380</v>
      </c>
    </row>
    <row r="14" spans="1:13" x14ac:dyDescent="0.3">
      <c r="A14" s="17" t="s">
        <v>0</v>
      </c>
      <c r="B14" s="17" t="s">
        <v>31</v>
      </c>
      <c r="C14" s="17">
        <v>8</v>
      </c>
      <c r="D14" s="17">
        <v>8</v>
      </c>
      <c r="E14" s="17">
        <v>8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48</v>
      </c>
      <c r="C15" s="17">
        <v>11</v>
      </c>
      <c r="D15" s="17">
        <v>6</v>
      </c>
      <c r="E15" s="17">
        <v>11</v>
      </c>
      <c r="G15" s="23" t="s">
        <v>11</v>
      </c>
      <c r="H15" s="22">
        <f t="shared" si="1"/>
        <v>421</v>
      </c>
      <c r="I15" s="22">
        <f t="shared" si="1"/>
        <v>321</v>
      </c>
      <c r="J15" s="25">
        <f t="shared" si="1"/>
        <v>487</v>
      </c>
    </row>
    <row r="16" spans="1:13" ht="17.25" thickBot="1" x14ac:dyDescent="0.35">
      <c r="A16" s="17" t="s">
        <v>0</v>
      </c>
      <c r="B16" s="17" t="s">
        <v>79</v>
      </c>
      <c r="C16" s="17">
        <v>6</v>
      </c>
      <c r="D16" s="17">
        <v>6</v>
      </c>
      <c r="E16" s="17">
        <v>6</v>
      </c>
      <c r="G16" s="26" t="s">
        <v>12</v>
      </c>
      <c r="H16" s="27">
        <f t="shared" si="1"/>
        <v>10</v>
      </c>
      <c r="I16" s="27">
        <f t="shared" si="1"/>
        <v>9</v>
      </c>
      <c r="J16" s="28">
        <f t="shared" si="1"/>
        <v>11</v>
      </c>
    </row>
    <row r="17" spans="1:5" x14ac:dyDescent="0.3">
      <c r="A17" s="17" t="s">
        <v>0</v>
      </c>
      <c r="B17" s="17" t="s">
        <v>35</v>
      </c>
      <c r="C17" s="17">
        <v>6</v>
      </c>
      <c r="D17" s="17">
        <v>6</v>
      </c>
      <c r="E17" s="17">
        <v>6</v>
      </c>
    </row>
    <row r="18" spans="1:5" x14ac:dyDescent="0.3">
      <c r="A18" s="17" t="s">
        <v>1</v>
      </c>
      <c r="B18" s="17" t="s">
        <v>33</v>
      </c>
      <c r="C18" s="17">
        <v>7</v>
      </c>
      <c r="D18" s="17">
        <v>5</v>
      </c>
      <c r="E18" s="17">
        <v>10</v>
      </c>
    </row>
    <row r="19" spans="1:5" x14ac:dyDescent="0.3">
      <c r="A19" s="17" t="s">
        <v>1</v>
      </c>
      <c r="B19" s="17" t="s">
        <v>152</v>
      </c>
      <c r="C19" s="17">
        <v>5</v>
      </c>
      <c r="D19" s="17">
        <v>5</v>
      </c>
      <c r="E19" s="17">
        <v>5</v>
      </c>
    </row>
    <row r="20" spans="1:5" x14ac:dyDescent="0.3">
      <c r="A20" s="17" t="s">
        <v>1</v>
      </c>
      <c r="B20" s="17" t="s">
        <v>60</v>
      </c>
      <c r="C20" s="17">
        <v>6</v>
      </c>
      <c r="D20" s="17">
        <v>5</v>
      </c>
      <c r="E20" s="17">
        <v>7</v>
      </c>
    </row>
    <row r="21" spans="1:5" x14ac:dyDescent="0.3">
      <c r="A21" s="17" t="s">
        <v>1</v>
      </c>
      <c r="B21" s="17" t="s">
        <v>2692</v>
      </c>
      <c r="C21" s="17">
        <v>18</v>
      </c>
      <c r="D21" s="17">
        <v>5</v>
      </c>
      <c r="E21" s="17">
        <v>21</v>
      </c>
    </row>
    <row r="22" spans="1:5" x14ac:dyDescent="0.3">
      <c r="A22" s="17" t="s">
        <v>1</v>
      </c>
      <c r="B22" s="17" t="s">
        <v>1128</v>
      </c>
      <c r="C22" s="17">
        <v>5</v>
      </c>
      <c r="D22" s="17">
        <v>5</v>
      </c>
      <c r="E22" s="17">
        <v>5</v>
      </c>
    </row>
    <row r="23" spans="1:5" x14ac:dyDescent="0.3">
      <c r="A23" s="17" t="s">
        <v>1</v>
      </c>
      <c r="B23" s="17" t="s">
        <v>168</v>
      </c>
      <c r="C23" s="17">
        <v>5</v>
      </c>
      <c r="D23" s="17">
        <v>5</v>
      </c>
      <c r="E23" s="17">
        <v>5</v>
      </c>
    </row>
    <row r="24" spans="1:5" x14ac:dyDescent="0.3">
      <c r="A24" s="17" t="s">
        <v>1</v>
      </c>
      <c r="B24" s="17" t="s">
        <v>51</v>
      </c>
      <c r="C24" s="17">
        <v>7</v>
      </c>
      <c r="D24" s="17">
        <v>5</v>
      </c>
      <c r="E24" s="17">
        <v>8</v>
      </c>
    </row>
    <row r="25" spans="1:5" x14ac:dyDescent="0.3">
      <c r="A25" s="17" t="s">
        <v>0</v>
      </c>
      <c r="B25" s="17" t="s">
        <v>2944</v>
      </c>
      <c r="C25" s="17">
        <v>6</v>
      </c>
      <c r="D25" s="17">
        <v>5</v>
      </c>
      <c r="E25" s="17">
        <v>7</v>
      </c>
    </row>
    <row r="26" spans="1:5" x14ac:dyDescent="0.3">
      <c r="A26" s="17" t="s">
        <v>1</v>
      </c>
      <c r="B26" s="17" t="s">
        <v>2329</v>
      </c>
      <c r="C26" s="17">
        <v>6</v>
      </c>
      <c r="D26" s="17">
        <v>4</v>
      </c>
      <c r="E26" s="17">
        <v>6</v>
      </c>
    </row>
    <row r="27" spans="1:5" x14ac:dyDescent="0.3">
      <c r="A27" s="17" t="s">
        <v>1</v>
      </c>
      <c r="B27" s="17" t="s">
        <v>3328</v>
      </c>
      <c r="C27" s="17">
        <v>11</v>
      </c>
      <c r="D27" s="17">
        <v>4</v>
      </c>
      <c r="E27" s="17">
        <v>18</v>
      </c>
    </row>
    <row r="28" spans="1:5" x14ac:dyDescent="0.3">
      <c r="A28" s="17" t="s">
        <v>1</v>
      </c>
      <c r="B28" s="17" t="s">
        <v>32</v>
      </c>
      <c r="C28" s="17">
        <v>8</v>
      </c>
      <c r="D28" s="17">
        <v>4</v>
      </c>
      <c r="E28" s="17">
        <v>15</v>
      </c>
    </row>
    <row r="29" spans="1:5" x14ac:dyDescent="0.3">
      <c r="A29" s="17" t="s">
        <v>0</v>
      </c>
      <c r="B29" s="17" t="s">
        <v>365</v>
      </c>
      <c r="C29" s="17">
        <v>5</v>
      </c>
      <c r="D29" s="17">
        <v>4</v>
      </c>
      <c r="E29" s="17">
        <v>6</v>
      </c>
    </row>
    <row r="30" spans="1:5" x14ac:dyDescent="0.3">
      <c r="A30" s="17" t="s">
        <v>0</v>
      </c>
      <c r="B30" s="17" t="s">
        <v>61</v>
      </c>
      <c r="C30" s="17">
        <v>4</v>
      </c>
      <c r="D30" s="17">
        <v>4</v>
      </c>
      <c r="E30" s="17">
        <v>5</v>
      </c>
    </row>
    <row r="31" spans="1:5" x14ac:dyDescent="0.3">
      <c r="A31" s="17" t="s">
        <v>0</v>
      </c>
      <c r="B31" s="17" t="s">
        <v>3328</v>
      </c>
      <c r="C31" s="17">
        <v>6</v>
      </c>
      <c r="D31" s="17">
        <v>4</v>
      </c>
      <c r="E31" s="17">
        <v>7</v>
      </c>
    </row>
    <row r="32" spans="1:5" x14ac:dyDescent="0.3">
      <c r="A32" s="17" t="s">
        <v>0</v>
      </c>
      <c r="B32" s="17" t="s">
        <v>168</v>
      </c>
      <c r="C32" s="17">
        <v>4</v>
      </c>
      <c r="D32" s="17">
        <v>4</v>
      </c>
      <c r="E32" s="17">
        <v>4</v>
      </c>
    </row>
    <row r="33" spans="1:5" x14ac:dyDescent="0.3">
      <c r="A33" s="17" t="s">
        <v>0</v>
      </c>
      <c r="B33" s="17" t="s">
        <v>51</v>
      </c>
      <c r="C33" s="17">
        <v>5</v>
      </c>
      <c r="D33" s="17">
        <v>4</v>
      </c>
      <c r="E33" s="17">
        <v>6</v>
      </c>
    </row>
    <row r="34" spans="1:5" x14ac:dyDescent="0.3">
      <c r="A34" s="17" t="s">
        <v>1</v>
      </c>
      <c r="B34" s="17" t="s">
        <v>389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36</v>
      </c>
      <c r="C35" s="17">
        <v>3</v>
      </c>
      <c r="D35" s="17">
        <v>3</v>
      </c>
      <c r="E35" s="17">
        <v>4</v>
      </c>
    </row>
    <row r="36" spans="1:5" x14ac:dyDescent="0.3">
      <c r="A36" s="17" t="s">
        <v>1</v>
      </c>
      <c r="B36" s="17" t="s">
        <v>34</v>
      </c>
      <c r="C36" s="17">
        <v>3</v>
      </c>
      <c r="D36" s="17">
        <v>3</v>
      </c>
      <c r="E36" s="17">
        <v>3</v>
      </c>
    </row>
    <row r="37" spans="1:5" x14ac:dyDescent="0.3">
      <c r="A37" s="17" t="s">
        <v>1</v>
      </c>
      <c r="B37" s="17" t="s">
        <v>85</v>
      </c>
      <c r="C37" s="17">
        <v>5</v>
      </c>
      <c r="D37" s="17">
        <v>3</v>
      </c>
      <c r="E37" s="17">
        <v>5</v>
      </c>
    </row>
    <row r="38" spans="1:5" x14ac:dyDescent="0.3">
      <c r="A38" s="17" t="s">
        <v>1</v>
      </c>
      <c r="B38" s="17" t="s">
        <v>89</v>
      </c>
      <c r="C38" s="17">
        <v>3</v>
      </c>
      <c r="D38" s="17">
        <v>3</v>
      </c>
      <c r="E38" s="17">
        <v>3</v>
      </c>
    </row>
    <row r="39" spans="1:5" x14ac:dyDescent="0.3">
      <c r="A39" s="17" t="s">
        <v>1</v>
      </c>
      <c r="B39" s="17" t="s">
        <v>281</v>
      </c>
      <c r="C39" s="17">
        <v>5</v>
      </c>
      <c r="D39" s="17">
        <v>3</v>
      </c>
      <c r="E39" s="17">
        <v>4</v>
      </c>
    </row>
    <row r="40" spans="1:5" x14ac:dyDescent="0.3">
      <c r="A40" s="17" t="s">
        <v>1</v>
      </c>
      <c r="B40" s="17" t="s">
        <v>155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1927</v>
      </c>
      <c r="C41" s="17">
        <v>6</v>
      </c>
      <c r="D41" s="17">
        <v>3</v>
      </c>
      <c r="E41" s="17">
        <v>7</v>
      </c>
    </row>
    <row r="42" spans="1:5" x14ac:dyDescent="0.3">
      <c r="A42" s="17" t="s">
        <v>1</v>
      </c>
      <c r="B42" s="17" t="s">
        <v>866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29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649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330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200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126</v>
      </c>
      <c r="C47" s="17">
        <v>4</v>
      </c>
      <c r="D47" s="17">
        <v>3</v>
      </c>
      <c r="E47" s="17">
        <v>4</v>
      </c>
    </row>
    <row r="48" spans="1:5" x14ac:dyDescent="0.3">
      <c r="A48" s="17" t="s">
        <v>1</v>
      </c>
      <c r="B48" s="17" t="s">
        <v>31</v>
      </c>
      <c r="C48" s="17">
        <v>5</v>
      </c>
      <c r="D48" s="17">
        <v>3</v>
      </c>
      <c r="E48" s="17">
        <v>5</v>
      </c>
    </row>
    <row r="49" spans="1:5" x14ac:dyDescent="0.3">
      <c r="A49" s="17" t="s">
        <v>1</v>
      </c>
      <c r="B49" s="17" t="s">
        <v>194</v>
      </c>
      <c r="C49" s="17">
        <v>6</v>
      </c>
      <c r="D49" s="17">
        <v>3</v>
      </c>
      <c r="E49" s="17">
        <v>6</v>
      </c>
    </row>
    <row r="50" spans="1:5" x14ac:dyDescent="0.3">
      <c r="A50" s="17" t="s">
        <v>1</v>
      </c>
      <c r="B50" s="17" t="s">
        <v>39</v>
      </c>
      <c r="C50" s="17">
        <v>16</v>
      </c>
      <c r="D50" s="17">
        <v>3</v>
      </c>
      <c r="E50" s="17">
        <v>21</v>
      </c>
    </row>
    <row r="51" spans="1:5" x14ac:dyDescent="0.3">
      <c r="A51" s="17" t="s">
        <v>1</v>
      </c>
      <c r="B51" s="17" t="s">
        <v>1519</v>
      </c>
      <c r="C51" s="17">
        <v>3</v>
      </c>
      <c r="D51" s="17">
        <v>7</v>
      </c>
      <c r="E51" s="17"/>
    </row>
    <row r="52" spans="1:5" x14ac:dyDescent="0.3">
      <c r="A52" s="17" t="s">
        <v>0</v>
      </c>
      <c r="B52" s="17" t="s">
        <v>34</v>
      </c>
      <c r="C52" s="17">
        <v>3</v>
      </c>
      <c r="D52" s="17">
        <v>3</v>
      </c>
      <c r="E52" s="17">
        <v>3</v>
      </c>
    </row>
    <row r="53" spans="1:5" x14ac:dyDescent="0.3">
      <c r="A53" s="17" t="s">
        <v>0</v>
      </c>
      <c r="B53" s="17" t="s">
        <v>60</v>
      </c>
      <c r="C53" s="17">
        <v>3</v>
      </c>
      <c r="D53" s="17">
        <v>3</v>
      </c>
      <c r="E53" s="17">
        <v>3</v>
      </c>
    </row>
    <row r="54" spans="1:5" x14ac:dyDescent="0.3">
      <c r="A54" s="17" t="s">
        <v>0</v>
      </c>
      <c r="B54" s="17" t="s">
        <v>2075</v>
      </c>
      <c r="C54" s="17">
        <v>3</v>
      </c>
      <c r="D54" s="17">
        <v>3</v>
      </c>
      <c r="E54" s="17">
        <v>4</v>
      </c>
    </row>
    <row r="55" spans="1:5" x14ac:dyDescent="0.3">
      <c r="A55" s="17" t="s">
        <v>0</v>
      </c>
      <c r="B55" s="17" t="s">
        <v>2572</v>
      </c>
      <c r="C55" s="17">
        <v>5</v>
      </c>
      <c r="D55" s="17">
        <v>3</v>
      </c>
      <c r="E55" s="17">
        <v>18</v>
      </c>
    </row>
    <row r="56" spans="1:5" x14ac:dyDescent="0.3">
      <c r="A56" s="17" t="s">
        <v>0</v>
      </c>
      <c r="B56" s="17" t="s">
        <v>1868</v>
      </c>
      <c r="C56" s="17">
        <v>3</v>
      </c>
      <c r="D56" s="17">
        <v>3</v>
      </c>
      <c r="E56" s="17">
        <v>3</v>
      </c>
    </row>
    <row r="57" spans="1:5" x14ac:dyDescent="0.3">
      <c r="A57" s="17" t="s">
        <v>0</v>
      </c>
      <c r="B57" s="17" t="s">
        <v>160</v>
      </c>
      <c r="C57" s="17">
        <v>3</v>
      </c>
      <c r="D57" s="17">
        <v>3</v>
      </c>
      <c r="E57" s="17">
        <v>3</v>
      </c>
    </row>
    <row r="58" spans="1:5" x14ac:dyDescent="0.3">
      <c r="A58" s="17" t="s">
        <v>0</v>
      </c>
      <c r="B58" s="17" t="s">
        <v>169</v>
      </c>
      <c r="C58" s="17">
        <v>3</v>
      </c>
      <c r="D58" s="17">
        <v>3</v>
      </c>
      <c r="E58" s="17">
        <v>3</v>
      </c>
    </row>
    <row r="59" spans="1:5" x14ac:dyDescent="0.3">
      <c r="A59" s="17" t="s">
        <v>0</v>
      </c>
      <c r="B59" s="17" t="s">
        <v>289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596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2191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122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37</v>
      </c>
      <c r="C63" s="17">
        <v>3</v>
      </c>
      <c r="D63" s="17">
        <v>3</v>
      </c>
      <c r="E63" s="17">
        <v>4</v>
      </c>
    </row>
    <row r="64" spans="1:5" x14ac:dyDescent="0.3">
      <c r="A64" s="17" t="s">
        <v>0</v>
      </c>
      <c r="B64" s="17" t="s">
        <v>350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609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613</v>
      </c>
      <c r="C66" s="17">
        <v>3</v>
      </c>
      <c r="D66" s="17">
        <v>2</v>
      </c>
      <c r="E66" s="17">
        <v>4</v>
      </c>
    </row>
    <row r="67" spans="1:5" x14ac:dyDescent="0.3">
      <c r="A67" s="17" t="s">
        <v>1</v>
      </c>
      <c r="B67" s="17" t="s">
        <v>144</v>
      </c>
      <c r="C67" s="17">
        <v>3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977</v>
      </c>
      <c r="C68" s="17">
        <v>2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1051</v>
      </c>
      <c r="C69" s="17">
        <v>3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278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267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148</v>
      </c>
      <c r="C72" s="17">
        <v>3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280</v>
      </c>
      <c r="C73" s="17">
        <v>3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149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88</v>
      </c>
      <c r="C75" s="17">
        <v>3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151</v>
      </c>
      <c r="C76" s="17">
        <v>4</v>
      </c>
      <c r="D76" s="17">
        <v>2</v>
      </c>
      <c r="E76" s="17">
        <v>4</v>
      </c>
    </row>
    <row r="77" spans="1:5" x14ac:dyDescent="0.3">
      <c r="A77" s="17" t="s">
        <v>1</v>
      </c>
      <c r="B77" s="17" t="s">
        <v>480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41</v>
      </c>
      <c r="C78" s="17">
        <v>3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156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61</v>
      </c>
      <c r="C80" s="17">
        <v>6</v>
      </c>
      <c r="D80" s="17">
        <v>2</v>
      </c>
      <c r="E80" s="17">
        <v>6</v>
      </c>
    </row>
    <row r="81" spans="1:5" x14ac:dyDescent="0.3">
      <c r="A81" s="17" t="s">
        <v>1</v>
      </c>
      <c r="B81" s="17" t="s">
        <v>1854</v>
      </c>
      <c r="C81" s="17">
        <v>2</v>
      </c>
      <c r="D81" s="17">
        <v>2</v>
      </c>
      <c r="E81" s="17">
        <v>4</v>
      </c>
    </row>
    <row r="82" spans="1:5" x14ac:dyDescent="0.3">
      <c r="A82" s="17" t="s">
        <v>1</v>
      </c>
      <c r="B82" s="17" t="s">
        <v>1897</v>
      </c>
      <c r="C82" s="17">
        <v>3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1946</v>
      </c>
      <c r="C83" s="17">
        <v>4</v>
      </c>
      <c r="D83" s="17">
        <v>2</v>
      </c>
      <c r="E83" s="17">
        <v>4</v>
      </c>
    </row>
    <row r="84" spans="1:5" x14ac:dyDescent="0.3">
      <c r="A84" s="17" t="s">
        <v>1</v>
      </c>
      <c r="B84" s="17" t="s">
        <v>2075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2399</v>
      </c>
      <c r="C85" s="17">
        <v>3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2944</v>
      </c>
      <c r="C86" s="17">
        <v>5</v>
      </c>
      <c r="D86" s="17">
        <v>2</v>
      </c>
      <c r="E86" s="17">
        <v>6</v>
      </c>
    </row>
    <row r="87" spans="1:5" x14ac:dyDescent="0.3">
      <c r="A87" s="17" t="s">
        <v>1</v>
      </c>
      <c r="B87" s="17" t="s">
        <v>163</v>
      </c>
      <c r="C87" s="17">
        <v>2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998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103</v>
      </c>
      <c r="C89" s="17">
        <v>4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165</v>
      </c>
      <c r="C90" s="17">
        <v>4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199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110</v>
      </c>
      <c r="C92" s="17">
        <v>3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112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113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326</v>
      </c>
      <c r="C95" s="17">
        <v>2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295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2132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448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123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746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897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605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429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188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38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305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135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1327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500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195</v>
      </c>
      <c r="C110" s="17">
        <v>7</v>
      </c>
      <c r="D110" s="17">
        <v>2</v>
      </c>
      <c r="E110" s="17">
        <v>13</v>
      </c>
    </row>
    <row r="111" spans="1:5" x14ac:dyDescent="0.3">
      <c r="A111" s="17" t="s">
        <v>1</v>
      </c>
      <c r="B111" s="17" t="s">
        <v>376</v>
      </c>
      <c r="C111" s="17">
        <v>5</v>
      </c>
      <c r="D111" s="17">
        <v>2</v>
      </c>
      <c r="E111" s="17">
        <v>8</v>
      </c>
    </row>
    <row r="112" spans="1:5" x14ac:dyDescent="0.3">
      <c r="A112" s="17" t="s">
        <v>1</v>
      </c>
      <c r="B112" s="17" t="s">
        <v>56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266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1741</v>
      </c>
      <c r="C114" s="17">
        <v>2</v>
      </c>
      <c r="D114" s="17">
        <v>2</v>
      </c>
      <c r="E114" s="17"/>
    </row>
    <row r="115" spans="1:5" x14ac:dyDescent="0.3">
      <c r="A115" s="17" t="s">
        <v>1</v>
      </c>
      <c r="B115" s="17" t="s">
        <v>759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1213</v>
      </c>
      <c r="C116" s="17">
        <v>2</v>
      </c>
      <c r="D116" s="17">
        <v>2</v>
      </c>
      <c r="E116" s="17">
        <v>5</v>
      </c>
    </row>
    <row r="117" spans="1:5" x14ac:dyDescent="0.3">
      <c r="A117" s="17" t="s">
        <v>0</v>
      </c>
      <c r="B117" s="17" t="s">
        <v>30</v>
      </c>
      <c r="C117" s="17">
        <v>12</v>
      </c>
      <c r="D117" s="17">
        <v>2</v>
      </c>
      <c r="E117" s="17">
        <v>26</v>
      </c>
    </row>
    <row r="118" spans="1:5" x14ac:dyDescent="0.3">
      <c r="A118" s="17" t="s">
        <v>0</v>
      </c>
      <c r="B118" s="17" t="s">
        <v>242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82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711</v>
      </c>
      <c r="C120" s="17">
        <v>2</v>
      </c>
      <c r="D120" s="17">
        <v>2</v>
      </c>
      <c r="E120" s="17">
        <v>3</v>
      </c>
    </row>
    <row r="121" spans="1:5" x14ac:dyDescent="0.3">
      <c r="A121" s="17" t="s">
        <v>0</v>
      </c>
      <c r="B121" s="17" t="s">
        <v>42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1946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1103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1479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352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326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182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262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1023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65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39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1</v>
      </c>
      <c r="B132" s="17" t="s">
        <v>243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268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47</v>
      </c>
      <c r="C134" s="17">
        <v>2</v>
      </c>
      <c r="D134" s="17">
        <v>1</v>
      </c>
      <c r="E134" s="17">
        <v>4</v>
      </c>
    </row>
    <row r="135" spans="1:5" x14ac:dyDescent="0.3">
      <c r="A135" s="17" t="s">
        <v>1</v>
      </c>
      <c r="B135" s="17" t="s">
        <v>203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505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929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1333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2339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507</v>
      </c>
      <c r="C140" s="17">
        <v>2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270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206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1915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612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73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57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207</v>
      </c>
      <c r="C147" s="17">
        <v>1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705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2272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460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858</v>
      </c>
      <c r="C151" s="17">
        <v>2</v>
      </c>
      <c r="D151" s="17">
        <v>1</v>
      </c>
      <c r="E151" s="17">
        <v>2</v>
      </c>
    </row>
    <row r="152" spans="1:5" x14ac:dyDescent="0.3">
      <c r="A152" s="17" t="s">
        <v>1</v>
      </c>
      <c r="B152" s="17" t="s">
        <v>622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394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273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78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147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2067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356</v>
      </c>
      <c r="C158" s="17">
        <v>2</v>
      </c>
      <c r="D158" s="17">
        <v>1</v>
      </c>
      <c r="E158" s="17">
        <v>3</v>
      </c>
    </row>
    <row r="159" spans="1:5" x14ac:dyDescent="0.3">
      <c r="A159" s="17" t="s">
        <v>1</v>
      </c>
      <c r="B159" s="17" t="s">
        <v>1336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275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3373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79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247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860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82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396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1314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908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841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315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84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862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86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264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1203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362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92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221</v>
      </c>
      <c r="C178" s="17">
        <v>3</v>
      </c>
      <c r="D178" s="17">
        <v>1</v>
      </c>
      <c r="E178" s="17">
        <v>3</v>
      </c>
    </row>
    <row r="179" spans="1:5" x14ac:dyDescent="0.3">
      <c r="A179" s="17" t="s">
        <v>1</v>
      </c>
      <c r="B179" s="17" t="s">
        <v>1062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93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154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437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712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42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367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157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95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96</v>
      </c>
      <c r="C188" s="17">
        <v>4</v>
      </c>
      <c r="D188" s="17">
        <v>1</v>
      </c>
      <c r="E188" s="17">
        <v>5</v>
      </c>
    </row>
    <row r="189" spans="1:5" x14ac:dyDescent="0.3">
      <c r="A189" s="17" t="s">
        <v>1</v>
      </c>
      <c r="B189" s="17" t="s">
        <v>944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909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1143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1581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1643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1775</v>
      </c>
      <c r="C194" s="17">
        <v>1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1912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1941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1983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2363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2439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2440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3374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2441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2404</v>
      </c>
      <c r="C203" s="17">
        <v>3</v>
      </c>
      <c r="D203" s="17">
        <v>1</v>
      </c>
      <c r="E203" s="17">
        <v>3</v>
      </c>
    </row>
    <row r="204" spans="1:5" x14ac:dyDescent="0.3">
      <c r="A204" s="17" t="s">
        <v>1</v>
      </c>
      <c r="B204" s="17" t="s">
        <v>2442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2395</v>
      </c>
      <c r="C205" s="17">
        <v>6</v>
      </c>
      <c r="D205" s="17">
        <v>1</v>
      </c>
      <c r="E205" s="17">
        <v>6</v>
      </c>
    </row>
    <row r="206" spans="1:5" x14ac:dyDescent="0.3">
      <c r="A206" s="17" t="s">
        <v>1</v>
      </c>
      <c r="B206" s="17" t="s">
        <v>2443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2396</v>
      </c>
      <c r="C207" s="17">
        <v>5</v>
      </c>
      <c r="D207" s="17">
        <v>1</v>
      </c>
      <c r="E207" s="17">
        <v>3</v>
      </c>
    </row>
    <row r="208" spans="1:5" x14ac:dyDescent="0.3">
      <c r="A208" s="17" t="s">
        <v>1</v>
      </c>
      <c r="B208" s="17" t="s">
        <v>3036</v>
      </c>
      <c r="C208" s="17">
        <v>7</v>
      </c>
      <c r="D208" s="17">
        <v>1</v>
      </c>
      <c r="E208" s="17">
        <v>10</v>
      </c>
    </row>
    <row r="209" spans="1:5" x14ac:dyDescent="0.3">
      <c r="A209" s="17" t="s">
        <v>1</v>
      </c>
      <c r="B209" s="17" t="s">
        <v>400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1193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1428</v>
      </c>
      <c r="C211" s="17">
        <v>1</v>
      </c>
      <c r="D211" s="17">
        <v>1</v>
      </c>
      <c r="E211" s="17">
        <v>3</v>
      </c>
    </row>
    <row r="212" spans="1:5" x14ac:dyDescent="0.3">
      <c r="A212" s="17" t="s">
        <v>1</v>
      </c>
      <c r="B212" s="17" t="s">
        <v>35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1219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492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945</v>
      </c>
      <c r="C215" s="17">
        <v>3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946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715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265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160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995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1670</v>
      </c>
      <c r="C221" s="17">
        <v>1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352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106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107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166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43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1789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1684</v>
      </c>
      <c r="C228" s="17">
        <v>2</v>
      </c>
      <c r="D228" s="17">
        <v>1</v>
      </c>
      <c r="E228" s="17">
        <v>3</v>
      </c>
    </row>
    <row r="229" spans="1:5" x14ac:dyDescent="0.3">
      <c r="A229" s="17" t="s">
        <v>1</v>
      </c>
      <c r="B229" s="17" t="s">
        <v>999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1568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442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1169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2013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1550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2166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1099</v>
      </c>
      <c r="C236" s="17">
        <v>1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593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111</v>
      </c>
      <c r="C238" s="17">
        <v>2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1580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173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289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915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1464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290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534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174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594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1196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328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539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725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775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1075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1589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467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294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727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1378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883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950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884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296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653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336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1879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885</v>
      </c>
      <c r="C266" s="17">
        <v>1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1231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1172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1448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809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1180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681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1010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1350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231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176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299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495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1869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344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345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1801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662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2110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1778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695</v>
      </c>
      <c r="C286" s="17">
        <v>2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1014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890</v>
      </c>
      <c r="C288" s="17">
        <v>2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178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179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2989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471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346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742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300</v>
      </c>
      <c r="C295" s="17">
        <v>3</v>
      </c>
      <c r="D295" s="17">
        <v>1</v>
      </c>
      <c r="E295" s="17">
        <v>4</v>
      </c>
    </row>
    <row r="296" spans="1:5" x14ac:dyDescent="0.3">
      <c r="A296" s="17" t="s">
        <v>1</v>
      </c>
      <c r="B296" s="17" t="s">
        <v>301</v>
      </c>
      <c r="C296" s="17">
        <v>2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422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449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63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450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303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425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2337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1042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1279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1043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821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186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822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128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131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2592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1134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451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132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453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1437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564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1247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565</v>
      </c>
      <c r="C320" s="17">
        <v>2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1122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842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1588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306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53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1515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828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235</v>
      </c>
      <c r="C328" s="17">
        <v>11</v>
      </c>
      <c r="D328" s="17">
        <v>1</v>
      </c>
      <c r="E328" s="17">
        <v>19</v>
      </c>
    </row>
    <row r="329" spans="1:5" x14ac:dyDescent="0.3">
      <c r="A329" s="17" t="s">
        <v>1</v>
      </c>
      <c r="B329" s="17" t="s">
        <v>67</v>
      </c>
      <c r="C329" s="17">
        <v>2</v>
      </c>
      <c r="D329" s="17">
        <v>1</v>
      </c>
      <c r="E329" s="17">
        <v>4</v>
      </c>
    </row>
    <row r="330" spans="1:5" x14ac:dyDescent="0.3">
      <c r="A330" s="17" t="s">
        <v>1</v>
      </c>
      <c r="B330" s="17" t="s">
        <v>68</v>
      </c>
      <c r="C330" s="17">
        <v>3</v>
      </c>
      <c r="D330" s="17">
        <v>1</v>
      </c>
      <c r="E330" s="17">
        <v>5</v>
      </c>
    </row>
    <row r="331" spans="1:5" x14ac:dyDescent="0.3">
      <c r="A331" s="17" t="s">
        <v>1</v>
      </c>
      <c r="B331" s="17" t="s">
        <v>54</v>
      </c>
      <c r="C331" s="17">
        <v>9</v>
      </c>
      <c r="D331" s="17">
        <v>1</v>
      </c>
      <c r="E331" s="17">
        <v>10</v>
      </c>
    </row>
    <row r="332" spans="1:5" x14ac:dyDescent="0.3">
      <c r="A332" s="17" t="s">
        <v>1</v>
      </c>
      <c r="B332" s="17" t="s">
        <v>1045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1239</v>
      </c>
      <c r="C333" s="17">
        <v>1</v>
      </c>
      <c r="D333" s="17">
        <v>2</v>
      </c>
      <c r="E333" s="17"/>
    </row>
    <row r="334" spans="1:5" x14ac:dyDescent="0.3">
      <c r="A334" s="17" t="s">
        <v>1</v>
      </c>
      <c r="B334" s="17" t="s">
        <v>1652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1126</v>
      </c>
      <c r="C335" s="17">
        <v>1</v>
      </c>
      <c r="D335" s="17">
        <v>1</v>
      </c>
      <c r="E335" s="17">
        <v>2</v>
      </c>
    </row>
    <row r="336" spans="1:5" x14ac:dyDescent="0.3">
      <c r="A336" s="17" t="s">
        <v>1</v>
      </c>
      <c r="B336" s="17" t="s">
        <v>900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2369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2179</v>
      </c>
      <c r="C338" s="17">
        <v>1</v>
      </c>
      <c r="D338" s="17">
        <v>2</v>
      </c>
      <c r="E338" s="17"/>
    </row>
    <row r="339" spans="1:5" x14ac:dyDescent="0.3">
      <c r="A339" s="17" t="s">
        <v>1</v>
      </c>
      <c r="B339" s="17" t="s">
        <v>3017</v>
      </c>
      <c r="C339" s="17">
        <v>1</v>
      </c>
      <c r="D339" s="17">
        <v>1</v>
      </c>
      <c r="E339" s="17"/>
    </row>
    <row r="340" spans="1:5" x14ac:dyDescent="0.3">
      <c r="A340" s="17" t="s">
        <v>1</v>
      </c>
      <c r="B340" s="17" t="s">
        <v>3053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1637</v>
      </c>
      <c r="C341" s="17">
        <v>1</v>
      </c>
      <c r="D341" s="17">
        <v>1</v>
      </c>
      <c r="E341" s="17"/>
    </row>
    <row r="342" spans="1:5" x14ac:dyDescent="0.3">
      <c r="A342" s="17" t="s">
        <v>1</v>
      </c>
      <c r="B342" s="17" t="s">
        <v>3375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1597</v>
      </c>
      <c r="C343" s="17">
        <v>1</v>
      </c>
      <c r="D343" s="17">
        <v>2</v>
      </c>
      <c r="E343" s="17"/>
    </row>
    <row r="344" spans="1:5" x14ac:dyDescent="0.3">
      <c r="A344" s="17" t="s">
        <v>1</v>
      </c>
      <c r="B344" s="17" t="s">
        <v>1358</v>
      </c>
      <c r="C344" s="17">
        <v>1</v>
      </c>
      <c r="D344" s="17">
        <v>2</v>
      </c>
      <c r="E344" s="17"/>
    </row>
    <row r="345" spans="1:5" x14ac:dyDescent="0.3">
      <c r="A345" s="17" t="s">
        <v>1</v>
      </c>
      <c r="B345" s="17" t="s">
        <v>2489</v>
      </c>
      <c r="C345" s="17">
        <v>1</v>
      </c>
      <c r="D345" s="17">
        <v>1</v>
      </c>
      <c r="E345" s="17"/>
    </row>
    <row r="346" spans="1:5" x14ac:dyDescent="0.3">
      <c r="A346" s="17" t="s">
        <v>1</v>
      </c>
      <c r="B346" s="17" t="s">
        <v>2171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675</v>
      </c>
      <c r="C347" s="17">
        <v>1</v>
      </c>
      <c r="D347" s="17">
        <v>1</v>
      </c>
      <c r="E347" s="17"/>
    </row>
    <row r="348" spans="1:5" x14ac:dyDescent="0.3">
      <c r="A348" s="17" t="s">
        <v>1</v>
      </c>
      <c r="B348" s="17" t="s">
        <v>850</v>
      </c>
      <c r="C348" s="17">
        <v>2</v>
      </c>
      <c r="D348" s="17">
        <v>1</v>
      </c>
      <c r="E348" s="17">
        <v>3</v>
      </c>
    </row>
    <row r="349" spans="1:5" x14ac:dyDescent="0.3">
      <c r="A349" s="17" t="s">
        <v>1</v>
      </c>
      <c r="B349" s="17" t="s">
        <v>2372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3376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1998</v>
      </c>
      <c r="C351" s="17">
        <v>1</v>
      </c>
      <c r="D351" s="17">
        <v>1</v>
      </c>
      <c r="E351" s="17"/>
    </row>
    <row r="352" spans="1:5" x14ac:dyDescent="0.3">
      <c r="A352" s="17" t="s">
        <v>1</v>
      </c>
      <c r="B352" s="17" t="s">
        <v>1849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431</v>
      </c>
      <c r="C353" s="17">
        <v>1</v>
      </c>
      <c r="D353" s="17">
        <v>1</v>
      </c>
      <c r="E353" s="17"/>
    </row>
    <row r="354" spans="1:5" x14ac:dyDescent="0.3">
      <c r="A354" s="17" t="s">
        <v>1</v>
      </c>
      <c r="B354" s="17" t="s">
        <v>1031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311</v>
      </c>
      <c r="C355" s="17">
        <v>1</v>
      </c>
      <c r="D355" s="17">
        <v>1</v>
      </c>
      <c r="E355" s="17">
        <v>3</v>
      </c>
    </row>
    <row r="356" spans="1:5" x14ac:dyDescent="0.3">
      <c r="A356" s="17" t="s">
        <v>0</v>
      </c>
      <c r="B356" s="17" t="s">
        <v>269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33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48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78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247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1610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1314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908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267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519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1057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87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149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1203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480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1964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362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92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0</v>
      </c>
      <c r="B374" s="17" t="s">
        <v>1062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437</v>
      </c>
      <c r="C375" s="17">
        <v>2</v>
      </c>
      <c r="D375" s="17">
        <v>1</v>
      </c>
      <c r="E375" s="17">
        <v>2</v>
      </c>
    </row>
    <row r="376" spans="1:5" x14ac:dyDescent="0.3">
      <c r="A376" s="17" t="s">
        <v>0</v>
      </c>
      <c r="B376" s="17" t="s">
        <v>155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692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41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95</v>
      </c>
      <c r="C379" s="17">
        <v>1</v>
      </c>
      <c r="D379" s="17">
        <v>1</v>
      </c>
      <c r="E379" s="17">
        <v>2</v>
      </c>
    </row>
    <row r="380" spans="1:5" x14ac:dyDescent="0.3">
      <c r="A380" s="17" t="s">
        <v>0</v>
      </c>
      <c r="B380" s="17" t="s">
        <v>96</v>
      </c>
      <c r="C380" s="17">
        <v>2</v>
      </c>
      <c r="D380" s="17">
        <v>1</v>
      </c>
      <c r="E380" s="17">
        <v>2</v>
      </c>
    </row>
    <row r="381" spans="1:5" x14ac:dyDescent="0.3">
      <c r="A381" s="17" t="s">
        <v>0</v>
      </c>
      <c r="B381" s="17" t="s">
        <v>1643</v>
      </c>
      <c r="C381" s="17">
        <v>1</v>
      </c>
      <c r="D381" s="17">
        <v>1</v>
      </c>
      <c r="E381" s="17">
        <v>2</v>
      </c>
    </row>
    <row r="382" spans="1:5" x14ac:dyDescent="0.3">
      <c r="A382" s="17" t="s">
        <v>0</v>
      </c>
      <c r="B382" s="17" t="s">
        <v>2441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3327</v>
      </c>
      <c r="C383" s="17">
        <v>2</v>
      </c>
      <c r="D383" s="17">
        <v>1</v>
      </c>
      <c r="E383" s="17">
        <v>2</v>
      </c>
    </row>
    <row r="384" spans="1:5" x14ac:dyDescent="0.3">
      <c r="A384" s="17" t="s">
        <v>0</v>
      </c>
      <c r="B384" s="17" t="s">
        <v>158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1167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866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1390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49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1478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945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527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99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100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163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997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1259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28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104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1304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913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2971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1372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1714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322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107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2473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1568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1130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442</v>
      </c>
      <c r="C409" s="17">
        <v>1</v>
      </c>
      <c r="D409" s="17">
        <v>1</v>
      </c>
      <c r="E409" s="17">
        <v>2</v>
      </c>
    </row>
    <row r="410" spans="1:5" x14ac:dyDescent="0.3">
      <c r="A410" s="17" t="s">
        <v>0</v>
      </c>
      <c r="B410" s="17" t="s">
        <v>1790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199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226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593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2016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172</v>
      </c>
      <c r="C415" s="17">
        <v>2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113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1464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2214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1552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44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1905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411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774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916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2236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1037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45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292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597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334</v>
      </c>
      <c r="C430" s="17">
        <v>2</v>
      </c>
      <c r="D430" s="17">
        <v>1</v>
      </c>
      <c r="E430" s="17">
        <v>2</v>
      </c>
    </row>
    <row r="431" spans="1:5" x14ac:dyDescent="0.3">
      <c r="A431" s="17" t="s">
        <v>0</v>
      </c>
      <c r="B431" s="17" t="s">
        <v>1899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337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338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339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231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176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119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495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2047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735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342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343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120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2003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345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123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695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1512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890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1206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603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375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1397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63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126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303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3377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349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1117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185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186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474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2326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1465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1134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134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499</v>
      </c>
      <c r="C467" s="17">
        <v>2</v>
      </c>
      <c r="D467" s="17">
        <v>1</v>
      </c>
      <c r="E467" s="17">
        <v>2</v>
      </c>
    </row>
    <row r="468" spans="1:5" x14ac:dyDescent="0.3">
      <c r="A468" s="17" t="s">
        <v>0</v>
      </c>
      <c r="B468" s="17" t="s">
        <v>3378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842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67</v>
      </c>
      <c r="C470" s="17">
        <v>3</v>
      </c>
      <c r="D470" s="17">
        <v>1</v>
      </c>
      <c r="E470" s="17">
        <v>3</v>
      </c>
    </row>
    <row r="471" spans="1:5" x14ac:dyDescent="0.3">
      <c r="A471" s="17" t="s">
        <v>0</v>
      </c>
      <c r="B471" s="17" t="s">
        <v>376</v>
      </c>
      <c r="C471" s="17">
        <v>2</v>
      </c>
      <c r="D471" s="17">
        <v>1</v>
      </c>
      <c r="E471" s="17">
        <v>2</v>
      </c>
    </row>
    <row r="472" spans="1:5" x14ac:dyDescent="0.3">
      <c r="A472" s="17" t="s">
        <v>0</v>
      </c>
      <c r="B472" s="17" t="s">
        <v>55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240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1248</v>
      </c>
      <c r="C474" s="17">
        <v>1</v>
      </c>
      <c r="D474" s="17">
        <v>1</v>
      </c>
      <c r="E474" s="17"/>
    </row>
    <row r="475" spans="1:5" x14ac:dyDescent="0.3">
      <c r="A475" s="17" t="s">
        <v>0</v>
      </c>
      <c r="B475" s="17" t="s">
        <v>2124</v>
      </c>
      <c r="C475" s="17">
        <v>1</v>
      </c>
      <c r="D475" s="17">
        <v>1</v>
      </c>
      <c r="E475" s="17"/>
    </row>
    <row r="476" spans="1:5" x14ac:dyDescent="0.3">
      <c r="A476" s="17" t="s">
        <v>0</v>
      </c>
      <c r="B476" s="17" t="s">
        <v>2570</v>
      </c>
      <c r="C476" s="17">
        <v>1</v>
      </c>
      <c r="D476" s="17">
        <v>1</v>
      </c>
      <c r="E476" s="17">
        <v>2</v>
      </c>
    </row>
    <row r="477" spans="1:5" x14ac:dyDescent="0.3">
      <c r="A477" s="17" t="s">
        <v>0</v>
      </c>
      <c r="B477" s="17" t="s">
        <v>1500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674</v>
      </c>
      <c r="C478" s="17">
        <v>1</v>
      </c>
      <c r="D478" s="17">
        <v>1</v>
      </c>
      <c r="E478" s="17"/>
    </row>
    <row r="479" spans="1:5" x14ac:dyDescent="0.3">
      <c r="A479" s="17" t="s">
        <v>0</v>
      </c>
      <c r="B479" s="17" t="s">
        <v>760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69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2</v>
      </c>
      <c r="B481" s="17" t="s">
        <v>2445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3361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526</v>
      </c>
      <c r="C483" s="17">
        <v>1</v>
      </c>
      <c r="D483" s="17">
        <v>1</v>
      </c>
      <c r="E483" s="17">
        <v>2</v>
      </c>
    </row>
    <row r="484" spans="1:5" x14ac:dyDescent="0.3">
      <c r="A484" s="17" t="s">
        <v>2</v>
      </c>
      <c r="B484" s="17" t="s">
        <v>1128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2</v>
      </c>
      <c r="B485" s="17" t="s">
        <v>29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62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695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179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31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1</v>
      </c>
      <c r="B490" s="17" t="s">
        <v>202</v>
      </c>
      <c r="C490" s="17">
        <v>2</v>
      </c>
      <c r="D490" s="17">
        <v>0</v>
      </c>
      <c r="E490" s="17">
        <v>2</v>
      </c>
    </row>
    <row r="491" spans="1:5" x14ac:dyDescent="0.3">
      <c r="A491" s="17" t="s">
        <v>1</v>
      </c>
      <c r="B491" s="17" t="s">
        <v>503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1504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3379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141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312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579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704</v>
      </c>
      <c r="C497" s="17">
        <v>2</v>
      </c>
      <c r="D497" s="17">
        <v>0</v>
      </c>
      <c r="E497" s="17">
        <v>2</v>
      </c>
    </row>
    <row r="498" spans="1:5" x14ac:dyDescent="0.3">
      <c r="A498" s="17" t="s">
        <v>1</v>
      </c>
      <c r="B498" s="17" t="s">
        <v>1050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458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486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383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1413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617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208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1312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393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3380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76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433</v>
      </c>
      <c r="C509" s="17">
        <v>1</v>
      </c>
      <c r="D509" s="17">
        <v>0</v>
      </c>
      <c r="E509" s="17">
        <v>0</v>
      </c>
    </row>
    <row r="510" spans="1:5" x14ac:dyDescent="0.3">
      <c r="A510" s="17" t="s">
        <v>1</v>
      </c>
      <c r="B510" s="17" t="s">
        <v>146</v>
      </c>
      <c r="C510" s="17">
        <v>1</v>
      </c>
      <c r="D510" s="17">
        <v>0</v>
      </c>
      <c r="E510" s="17">
        <v>0</v>
      </c>
    </row>
    <row r="511" spans="1:5" x14ac:dyDescent="0.3">
      <c r="A511" s="17" t="s">
        <v>1</v>
      </c>
      <c r="B511" s="17" t="s">
        <v>461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932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516</v>
      </c>
      <c r="C513" s="17">
        <v>2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627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906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359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1054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380</v>
      </c>
      <c r="C518" s="17">
        <v>1</v>
      </c>
      <c r="D518" s="17">
        <v>0</v>
      </c>
      <c r="E518" s="17">
        <v>2</v>
      </c>
    </row>
    <row r="519" spans="1:5" x14ac:dyDescent="0.3">
      <c r="A519" s="17" t="s">
        <v>1</v>
      </c>
      <c r="B519" s="17" t="s">
        <v>314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518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215</v>
      </c>
      <c r="C521" s="17">
        <v>2</v>
      </c>
      <c r="D521" s="17">
        <v>0</v>
      </c>
      <c r="E521" s="17">
        <v>2</v>
      </c>
    </row>
    <row r="522" spans="1:5" x14ac:dyDescent="0.3">
      <c r="A522" s="17" t="s">
        <v>1</v>
      </c>
      <c r="B522" s="17" t="s">
        <v>800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279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435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1059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634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635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217</v>
      </c>
      <c r="C528" s="17">
        <v>1</v>
      </c>
      <c r="D528" s="17">
        <v>0</v>
      </c>
      <c r="E528" s="17">
        <v>0</v>
      </c>
    </row>
    <row r="529" spans="1:5" x14ac:dyDescent="0.3">
      <c r="A529" s="17" t="s">
        <v>1</v>
      </c>
      <c r="B529" s="17" t="s">
        <v>218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153</v>
      </c>
      <c r="C530" s="17">
        <v>2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219</v>
      </c>
      <c r="C531" s="17">
        <v>4</v>
      </c>
      <c r="D531" s="17">
        <v>0</v>
      </c>
      <c r="E531" s="17">
        <v>4</v>
      </c>
    </row>
    <row r="532" spans="1:5" x14ac:dyDescent="0.3">
      <c r="A532" s="17" t="s">
        <v>1</v>
      </c>
      <c r="B532" s="17" t="s">
        <v>3381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865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364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223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692</v>
      </c>
      <c r="C536" s="17">
        <v>2</v>
      </c>
      <c r="D536" s="17">
        <v>0</v>
      </c>
      <c r="E536" s="17">
        <v>2</v>
      </c>
    </row>
    <row r="537" spans="1:5" x14ac:dyDescent="0.3">
      <c r="A537" s="17" t="s">
        <v>1</v>
      </c>
      <c r="B537" s="17" t="s">
        <v>686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943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1691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1708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1906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1940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1937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2334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3065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2493</v>
      </c>
      <c r="C546" s="17">
        <v>1</v>
      </c>
      <c r="D546" s="17">
        <v>0</v>
      </c>
      <c r="E546" s="17">
        <v>0</v>
      </c>
    </row>
    <row r="547" spans="1:5" x14ac:dyDescent="0.3">
      <c r="A547" s="17" t="s">
        <v>1</v>
      </c>
      <c r="B547" s="17" t="s">
        <v>2468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2398</v>
      </c>
      <c r="C548" s="17">
        <v>3</v>
      </c>
      <c r="D548" s="17">
        <v>0</v>
      </c>
      <c r="E548" s="17">
        <v>7</v>
      </c>
    </row>
    <row r="549" spans="1:5" x14ac:dyDescent="0.3">
      <c r="A549" s="17" t="s">
        <v>1</v>
      </c>
      <c r="B549" s="17" t="s">
        <v>2428</v>
      </c>
      <c r="C549" s="17">
        <v>2</v>
      </c>
      <c r="D549" s="17">
        <v>0</v>
      </c>
      <c r="E549" s="17">
        <v>3</v>
      </c>
    </row>
    <row r="550" spans="1:5" x14ac:dyDescent="0.3">
      <c r="A550" s="17" t="s">
        <v>1</v>
      </c>
      <c r="B550" s="17" t="s">
        <v>2429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2445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2397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2616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2705</v>
      </c>
      <c r="C554" s="17">
        <v>2</v>
      </c>
      <c r="D554" s="17">
        <v>0</v>
      </c>
      <c r="E554" s="17">
        <v>3</v>
      </c>
    </row>
    <row r="555" spans="1:5" x14ac:dyDescent="0.3">
      <c r="A555" s="17" t="s">
        <v>1</v>
      </c>
      <c r="B555" s="17" t="s">
        <v>2789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2910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3236</v>
      </c>
      <c r="C557" s="17">
        <v>2</v>
      </c>
      <c r="D557" s="17">
        <v>0</v>
      </c>
      <c r="E557" s="17">
        <v>2</v>
      </c>
    </row>
    <row r="558" spans="1:5" x14ac:dyDescent="0.3">
      <c r="A558" s="17" t="s">
        <v>1</v>
      </c>
      <c r="B558" s="17" t="s">
        <v>3298</v>
      </c>
      <c r="C558" s="17">
        <v>5</v>
      </c>
      <c r="D558" s="17">
        <v>0</v>
      </c>
      <c r="E558" s="17">
        <v>4</v>
      </c>
    </row>
    <row r="559" spans="1:5" x14ac:dyDescent="0.3">
      <c r="A559" s="17" t="s">
        <v>1</v>
      </c>
      <c r="B559" s="17" t="s">
        <v>3327</v>
      </c>
      <c r="C559" s="17">
        <v>10</v>
      </c>
      <c r="D559" s="17">
        <v>0</v>
      </c>
      <c r="E559" s="17">
        <v>11</v>
      </c>
    </row>
    <row r="560" spans="1:5" x14ac:dyDescent="0.3">
      <c r="A560" s="17" t="s">
        <v>1</v>
      </c>
      <c r="B560" s="17" t="s">
        <v>3382</v>
      </c>
      <c r="C560" s="17">
        <v>13</v>
      </c>
      <c r="D560" s="17">
        <v>0</v>
      </c>
      <c r="E560" s="17">
        <v>15</v>
      </c>
    </row>
    <row r="561" spans="1:5" x14ac:dyDescent="0.3">
      <c r="A561" s="17" t="s">
        <v>1</v>
      </c>
      <c r="B561" s="17" t="s">
        <v>524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525</v>
      </c>
      <c r="C562" s="17">
        <v>1</v>
      </c>
      <c r="D562" s="17">
        <v>0</v>
      </c>
      <c r="E562" s="17">
        <v>0</v>
      </c>
    </row>
    <row r="563" spans="1:5" x14ac:dyDescent="0.3">
      <c r="A563" s="17" t="s">
        <v>1</v>
      </c>
      <c r="B563" s="17" t="s">
        <v>252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585</v>
      </c>
      <c r="C564" s="17">
        <v>1</v>
      </c>
      <c r="D564" s="17">
        <v>0</v>
      </c>
      <c r="E564" s="17">
        <v>2</v>
      </c>
    </row>
    <row r="565" spans="1:5" x14ac:dyDescent="0.3">
      <c r="A565" s="17" t="s">
        <v>1</v>
      </c>
      <c r="B565" s="17" t="s">
        <v>2017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993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1066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283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2862</v>
      </c>
      <c r="C569" s="17">
        <v>1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99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441</v>
      </c>
      <c r="C571" s="17">
        <v>2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2375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403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164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3383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2957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405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1836</v>
      </c>
      <c r="C578" s="17">
        <v>1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2722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1842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1723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3044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1790</v>
      </c>
      <c r="C583" s="17">
        <v>1</v>
      </c>
      <c r="D583" s="17">
        <v>0</v>
      </c>
      <c r="E583" s="17">
        <v>2</v>
      </c>
    </row>
    <row r="584" spans="1:5" x14ac:dyDescent="0.3">
      <c r="A584" s="17" t="s">
        <v>1</v>
      </c>
      <c r="B584" s="17" t="s">
        <v>3384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2208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288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1463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1797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291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1716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1407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1226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978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3385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2131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493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2259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876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465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327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2185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2532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1229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331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1150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1509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2747</v>
      </c>
      <c r="C607" s="17">
        <v>1</v>
      </c>
      <c r="D607" s="17">
        <v>0</v>
      </c>
      <c r="E607" s="17">
        <v>2</v>
      </c>
    </row>
    <row r="608" spans="1:5" x14ac:dyDescent="0.3">
      <c r="A608" s="17" t="s">
        <v>1</v>
      </c>
      <c r="B608" s="17" t="s">
        <v>446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598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730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731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2987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1187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117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3386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416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469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735</v>
      </c>
      <c r="C618" s="17">
        <v>1</v>
      </c>
      <c r="D618" s="17">
        <v>0</v>
      </c>
      <c r="E618" s="17">
        <v>2</v>
      </c>
    </row>
    <row r="619" spans="1:5" x14ac:dyDescent="0.3">
      <c r="A619" s="17" t="s">
        <v>1</v>
      </c>
      <c r="B619" s="17" t="s">
        <v>258</v>
      </c>
      <c r="C619" s="17">
        <v>2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1694</v>
      </c>
      <c r="C620" s="17">
        <v>1</v>
      </c>
      <c r="D620" s="17">
        <v>0</v>
      </c>
      <c r="E620" s="17">
        <v>0</v>
      </c>
    </row>
    <row r="621" spans="1:5" x14ac:dyDescent="0.3">
      <c r="A621" s="18" t="s">
        <v>1</v>
      </c>
      <c r="B621" s="18" t="s">
        <v>3387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3388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124</v>
      </c>
      <c r="C623" s="18">
        <v>2</v>
      </c>
      <c r="D623" s="18">
        <v>0</v>
      </c>
      <c r="E623" s="18">
        <v>3</v>
      </c>
    </row>
    <row r="624" spans="1:5" x14ac:dyDescent="0.3">
      <c r="A624" s="18" t="s">
        <v>1</v>
      </c>
      <c r="B624" s="18" t="s">
        <v>738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555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740</v>
      </c>
      <c r="C626" s="18">
        <v>1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741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1558</v>
      </c>
      <c r="C628" s="18">
        <v>1</v>
      </c>
      <c r="D628" s="18">
        <v>0</v>
      </c>
      <c r="E628" s="18">
        <v>0</v>
      </c>
    </row>
    <row r="629" spans="1:5" x14ac:dyDescent="0.3">
      <c r="A629" s="18" t="s">
        <v>1</v>
      </c>
      <c r="B629" s="18" t="s">
        <v>1294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1114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1585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703</v>
      </c>
      <c r="C632" s="18">
        <v>1</v>
      </c>
      <c r="D632" s="18">
        <v>0</v>
      </c>
      <c r="E632" s="18">
        <v>0</v>
      </c>
    </row>
    <row r="633" spans="1:5" x14ac:dyDescent="0.3">
      <c r="A633" s="18" t="s">
        <v>1</v>
      </c>
      <c r="B633" s="18" t="s">
        <v>2582</v>
      </c>
      <c r="C633" s="18">
        <v>1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699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472</v>
      </c>
      <c r="C635" s="18">
        <v>1</v>
      </c>
      <c r="D635" s="18">
        <v>0</v>
      </c>
      <c r="E635" s="18">
        <v>3</v>
      </c>
    </row>
    <row r="636" spans="1:5" x14ac:dyDescent="0.3">
      <c r="A636" s="18" t="s">
        <v>1</v>
      </c>
      <c r="B636" s="18" t="s">
        <v>1236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1356</v>
      </c>
      <c r="C637" s="18">
        <v>1</v>
      </c>
      <c r="D637" s="18">
        <v>0</v>
      </c>
      <c r="E637" s="18">
        <v>2</v>
      </c>
    </row>
    <row r="638" spans="1:5" x14ac:dyDescent="0.3">
      <c r="A638" s="18" t="s">
        <v>1</v>
      </c>
      <c r="B638" s="18" t="s">
        <v>919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127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52</v>
      </c>
      <c r="C640" s="18">
        <v>2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129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1120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496</v>
      </c>
      <c r="C643" s="18">
        <v>1</v>
      </c>
      <c r="D643" s="18">
        <v>0</v>
      </c>
      <c r="E643" s="18">
        <v>2</v>
      </c>
    </row>
    <row r="644" spans="1:5" x14ac:dyDescent="0.3">
      <c r="A644" s="18" t="s">
        <v>1</v>
      </c>
      <c r="B644" s="18" t="s">
        <v>192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1476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849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2483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236</v>
      </c>
      <c r="C648" s="18">
        <v>3</v>
      </c>
      <c r="D648" s="18">
        <v>0</v>
      </c>
      <c r="E648" s="18">
        <v>7</v>
      </c>
    </row>
    <row r="649" spans="1:5" x14ac:dyDescent="0.3">
      <c r="A649" s="18" t="s">
        <v>1</v>
      </c>
      <c r="B649" s="18" t="s">
        <v>476</v>
      </c>
      <c r="C649" s="18">
        <v>1</v>
      </c>
      <c r="D649" s="18">
        <v>0</v>
      </c>
      <c r="E649" s="18">
        <v>3</v>
      </c>
    </row>
    <row r="650" spans="1:5" x14ac:dyDescent="0.3">
      <c r="A650" s="18" t="s">
        <v>1</v>
      </c>
      <c r="B650" s="18" t="s">
        <v>196</v>
      </c>
      <c r="C650" s="18">
        <v>14</v>
      </c>
      <c r="D650" s="18">
        <v>0</v>
      </c>
      <c r="E650" s="18">
        <v>25</v>
      </c>
    </row>
    <row r="651" spans="1:5" x14ac:dyDescent="0.3">
      <c r="A651" s="18" t="s">
        <v>1</v>
      </c>
      <c r="B651" s="18" t="s">
        <v>238</v>
      </c>
      <c r="C651" s="18">
        <v>4</v>
      </c>
      <c r="D651" s="18">
        <v>0</v>
      </c>
      <c r="E651" s="18">
        <v>4</v>
      </c>
    </row>
    <row r="652" spans="1:5" x14ac:dyDescent="0.3">
      <c r="A652" s="18" t="s">
        <v>1</v>
      </c>
      <c r="B652" s="18" t="s">
        <v>239</v>
      </c>
      <c r="C652" s="18">
        <v>6</v>
      </c>
      <c r="D652" s="18">
        <v>0</v>
      </c>
      <c r="E652" s="18">
        <v>7</v>
      </c>
    </row>
    <row r="653" spans="1:5" x14ac:dyDescent="0.3">
      <c r="A653" s="18" t="s">
        <v>1</v>
      </c>
      <c r="B653" s="18" t="s">
        <v>672</v>
      </c>
      <c r="C653" s="18">
        <v>3</v>
      </c>
      <c r="D653" s="18">
        <v>0</v>
      </c>
      <c r="E653" s="18">
        <v>3</v>
      </c>
    </row>
    <row r="654" spans="1:5" x14ac:dyDescent="0.3">
      <c r="A654" s="18" t="s">
        <v>1</v>
      </c>
      <c r="B654" s="18" t="s">
        <v>55</v>
      </c>
      <c r="C654" s="18">
        <v>13</v>
      </c>
      <c r="D654" s="18">
        <v>0</v>
      </c>
      <c r="E654" s="18">
        <v>15</v>
      </c>
    </row>
    <row r="655" spans="1:5" x14ac:dyDescent="0.3">
      <c r="A655" s="18" t="s">
        <v>1</v>
      </c>
      <c r="B655" s="18" t="s">
        <v>240</v>
      </c>
      <c r="C655" s="18">
        <v>12</v>
      </c>
      <c r="D655" s="18">
        <v>0</v>
      </c>
      <c r="E655" s="18">
        <v>17</v>
      </c>
    </row>
    <row r="656" spans="1:5" x14ac:dyDescent="0.3">
      <c r="A656" s="18" t="s">
        <v>1</v>
      </c>
      <c r="B656" s="18" t="s">
        <v>673</v>
      </c>
      <c r="C656" s="18">
        <v>5</v>
      </c>
      <c r="D656" s="18">
        <v>0</v>
      </c>
      <c r="E656" s="18">
        <v>6</v>
      </c>
    </row>
    <row r="657" spans="1:5" x14ac:dyDescent="0.3">
      <c r="A657" s="18" t="s">
        <v>1</v>
      </c>
      <c r="B657" s="18" t="s">
        <v>382</v>
      </c>
      <c r="C657" s="18">
        <v>6</v>
      </c>
      <c r="D657" s="18">
        <v>0</v>
      </c>
      <c r="E657" s="18">
        <v>8</v>
      </c>
    </row>
    <row r="658" spans="1:5" x14ac:dyDescent="0.3">
      <c r="A658" s="18" t="s">
        <v>1</v>
      </c>
      <c r="B658" s="18" t="s">
        <v>377</v>
      </c>
      <c r="C658" s="18">
        <v>6</v>
      </c>
      <c r="D658" s="18">
        <v>0</v>
      </c>
      <c r="E658" s="18">
        <v>7</v>
      </c>
    </row>
    <row r="659" spans="1:5" x14ac:dyDescent="0.3">
      <c r="A659" s="18" t="s">
        <v>1</v>
      </c>
      <c r="B659" s="18" t="s">
        <v>1086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477</v>
      </c>
      <c r="C660" s="18">
        <v>4</v>
      </c>
      <c r="D660" s="18">
        <v>0</v>
      </c>
      <c r="E660" s="18">
        <v>6</v>
      </c>
    </row>
    <row r="661" spans="1:5" x14ac:dyDescent="0.3">
      <c r="A661" s="18" t="s">
        <v>1</v>
      </c>
      <c r="B661" s="18" t="s">
        <v>1207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1477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3172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3389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1804</v>
      </c>
      <c r="C665" s="18">
        <v>2</v>
      </c>
      <c r="D665" s="18">
        <v>0</v>
      </c>
      <c r="E665" s="18">
        <v>2</v>
      </c>
    </row>
    <row r="666" spans="1:5" x14ac:dyDescent="0.3">
      <c r="A666" s="18" t="s">
        <v>1</v>
      </c>
      <c r="B666" s="18" t="s">
        <v>3390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1248</v>
      </c>
      <c r="C667" s="18">
        <v>0</v>
      </c>
      <c r="D667" s="18">
        <v>1</v>
      </c>
    </row>
    <row r="668" spans="1:5" x14ac:dyDescent="0.3">
      <c r="A668" s="18" t="s">
        <v>1</v>
      </c>
      <c r="B668" s="18" t="s">
        <v>2570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3391</v>
      </c>
      <c r="C669" s="18">
        <v>1</v>
      </c>
      <c r="D669" s="18">
        <v>0</v>
      </c>
      <c r="E669" s="18">
        <v>3</v>
      </c>
    </row>
    <row r="670" spans="1:5" x14ac:dyDescent="0.3">
      <c r="A670" s="18" t="s">
        <v>1</v>
      </c>
      <c r="B670" s="18" t="s">
        <v>3392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1501</v>
      </c>
      <c r="C671" s="18">
        <v>0</v>
      </c>
      <c r="D671" s="18">
        <v>1</v>
      </c>
    </row>
    <row r="672" spans="1:5" x14ac:dyDescent="0.3">
      <c r="A672" s="18" t="s">
        <v>1</v>
      </c>
      <c r="B672" s="18" t="s">
        <v>2587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2379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3393</v>
      </c>
      <c r="C674" s="18">
        <v>0</v>
      </c>
      <c r="D674" s="18">
        <v>1</v>
      </c>
    </row>
    <row r="675" spans="1:5" x14ac:dyDescent="0.3">
      <c r="A675" s="18" t="s">
        <v>1</v>
      </c>
      <c r="B675" s="18" t="s">
        <v>3394</v>
      </c>
      <c r="C675" s="18">
        <v>0</v>
      </c>
      <c r="D675" s="18">
        <v>1</v>
      </c>
    </row>
    <row r="676" spans="1:5" x14ac:dyDescent="0.3">
      <c r="A676" s="18" t="s">
        <v>1</v>
      </c>
      <c r="B676" s="18" t="s">
        <v>69</v>
      </c>
      <c r="C676" s="18">
        <v>2</v>
      </c>
      <c r="D676" s="18">
        <v>0</v>
      </c>
      <c r="E676" s="18">
        <v>3</v>
      </c>
    </row>
    <row r="677" spans="1:5" x14ac:dyDescent="0.3">
      <c r="A677" s="18" t="s">
        <v>0</v>
      </c>
      <c r="B677" s="18" t="s">
        <v>3395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270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616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933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0</v>
      </c>
      <c r="B681" s="18" t="s">
        <v>1055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630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766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634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156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0</v>
      </c>
      <c r="B686" s="18" t="s">
        <v>251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1711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2404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2692</v>
      </c>
      <c r="C689" s="18">
        <v>2</v>
      </c>
      <c r="D689" s="18">
        <v>0</v>
      </c>
      <c r="E689" s="18">
        <v>2</v>
      </c>
    </row>
    <row r="690" spans="1:5" x14ac:dyDescent="0.3">
      <c r="A690" s="18" t="s">
        <v>0</v>
      </c>
      <c r="B690" s="18" t="s">
        <v>2599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2789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3036</v>
      </c>
      <c r="C692" s="18">
        <v>1</v>
      </c>
      <c r="D692" s="18">
        <v>0</v>
      </c>
      <c r="E692" s="18">
        <v>4</v>
      </c>
    </row>
    <row r="693" spans="1:5" x14ac:dyDescent="0.3">
      <c r="A693" s="18" t="s">
        <v>0</v>
      </c>
      <c r="B693" s="18" t="s">
        <v>3236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3382</v>
      </c>
      <c r="C694" s="18">
        <v>3</v>
      </c>
      <c r="D694" s="18">
        <v>0</v>
      </c>
      <c r="E694" s="18">
        <v>3</v>
      </c>
    </row>
    <row r="695" spans="1:5" x14ac:dyDescent="0.3">
      <c r="A695" s="18" t="s">
        <v>0</v>
      </c>
      <c r="B695" s="18" t="s">
        <v>1105</v>
      </c>
      <c r="C695" s="18">
        <v>2</v>
      </c>
      <c r="D695" s="18">
        <v>0</v>
      </c>
      <c r="E695" s="18">
        <v>2</v>
      </c>
    </row>
    <row r="696" spans="1:5" x14ac:dyDescent="0.3">
      <c r="A696" s="18" t="s">
        <v>0</v>
      </c>
      <c r="B696" s="18" t="s">
        <v>1275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1221</v>
      </c>
      <c r="C697" s="18">
        <v>1</v>
      </c>
      <c r="D697" s="18">
        <v>0</v>
      </c>
      <c r="E697" s="18">
        <v>3</v>
      </c>
    </row>
    <row r="698" spans="1:5" x14ac:dyDescent="0.3">
      <c r="A698" s="18" t="s">
        <v>0</v>
      </c>
      <c r="B698" s="18" t="s">
        <v>1665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592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648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2232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876</v>
      </c>
      <c r="C702" s="18">
        <v>1</v>
      </c>
      <c r="D702" s="18">
        <v>0</v>
      </c>
      <c r="E702" s="18">
        <v>2</v>
      </c>
    </row>
    <row r="703" spans="1:5" x14ac:dyDescent="0.3">
      <c r="A703" s="18" t="s">
        <v>0</v>
      </c>
      <c r="B703" s="18" t="s">
        <v>1449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1162</v>
      </c>
      <c r="C704" s="18">
        <v>1</v>
      </c>
      <c r="D704" s="18">
        <v>0</v>
      </c>
      <c r="E704" s="18">
        <v>2</v>
      </c>
    </row>
    <row r="705" spans="1:5" x14ac:dyDescent="0.3">
      <c r="A705" s="18" t="s">
        <v>0</v>
      </c>
      <c r="B705" s="18" t="s">
        <v>177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0</v>
      </c>
      <c r="B706" s="18" t="s">
        <v>1152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956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0</v>
      </c>
      <c r="B708" s="18" t="s">
        <v>421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347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697</v>
      </c>
      <c r="C710" s="18">
        <v>1</v>
      </c>
      <c r="D710" s="18">
        <v>0</v>
      </c>
      <c r="E710" s="18">
        <v>2</v>
      </c>
    </row>
    <row r="711" spans="1:5" x14ac:dyDescent="0.3">
      <c r="A711" s="18" t="s">
        <v>0</v>
      </c>
      <c r="B711" s="18" t="s">
        <v>920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191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700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195</v>
      </c>
      <c r="C714" s="18">
        <v>1</v>
      </c>
      <c r="D714" s="18">
        <v>0</v>
      </c>
      <c r="E714" s="18">
        <v>2</v>
      </c>
    </row>
    <row r="715" spans="1:5" x14ac:dyDescent="0.3">
      <c r="A715" s="18" t="s">
        <v>0</v>
      </c>
      <c r="B715" s="18" t="s">
        <v>236</v>
      </c>
      <c r="C715" s="18">
        <v>1</v>
      </c>
      <c r="D715" s="18">
        <v>0</v>
      </c>
      <c r="E715" s="18">
        <v>6</v>
      </c>
    </row>
    <row r="716" spans="1:5" x14ac:dyDescent="0.3">
      <c r="A716" s="18" t="s">
        <v>0</v>
      </c>
      <c r="B716" s="18" t="s">
        <v>196</v>
      </c>
      <c r="C716" s="18">
        <v>5</v>
      </c>
      <c r="D716" s="18">
        <v>0</v>
      </c>
      <c r="E716" s="18">
        <v>8</v>
      </c>
    </row>
    <row r="717" spans="1:5" x14ac:dyDescent="0.3">
      <c r="A717" s="18" t="s">
        <v>0</v>
      </c>
      <c r="B717" s="18" t="s">
        <v>54</v>
      </c>
      <c r="C717" s="18">
        <v>2</v>
      </c>
      <c r="D717" s="18">
        <v>0</v>
      </c>
      <c r="E717" s="18">
        <v>2</v>
      </c>
    </row>
    <row r="718" spans="1:5" x14ac:dyDescent="0.3">
      <c r="A718" s="18" t="s">
        <v>0</v>
      </c>
      <c r="B718" s="18" t="s">
        <v>755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3396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0</v>
      </c>
      <c r="B720" s="18" t="s">
        <v>266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0</v>
      </c>
      <c r="B721" s="18" t="s">
        <v>2167</v>
      </c>
      <c r="C721" s="18">
        <v>1</v>
      </c>
      <c r="D721" s="18">
        <v>0</v>
      </c>
      <c r="E721" s="18">
        <v>2</v>
      </c>
    </row>
    <row r="722" spans="1:5" x14ac:dyDescent="0.3">
      <c r="A722" s="18" t="s">
        <v>0</v>
      </c>
      <c r="B722" s="18" t="s">
        <v>1936</v>
      </c>
      <c r="C722" s="18">
        <v>0</v>
      </c>
      <c r="D722" s="18">
        <v>1</v>
      </c>
    </row>
    <row r="723" spans="1:5" x14ac:dyDescent="0.3">
      <c r="A723" s="18" t="s">
        <v>0</v>
      </c>
      <c r="B723" s="18" t="s">
        <v>2135</v>
      </c>
      <c r="C723" s="18">
        <v>1</v>
      </c>
      <c r="D723" s="18">
        <v>0</v>
      </c>
      <c r="E723" s="18">
        <v>2</v>
      </c>
    </row>
    <row r="724" spans="1:5" x14ac:dyDescent="0.3">
      <c r="A724" s="18" t="s">
        <v>0</v>
      </c>
      <c r="B724" s="18" t="s">
        <v>2023</v>
      </c>
      <c r="C724" s="18">
        <v>1</v>
      </c>
      <c r="D724" s="18">
        <v>0</v>
      </c>
      <c r="E724" s="18">
        <v>2</v>
      </c>
    </row>
    <row r="725" spans="1:5" x14ac:dyDescent="0.3">
      <c r="A725" s="18" t="s">
        <v>0</v>
      </c>
      <c r="B725" s="18" t="s">
        <v>378</v>
      </c>
      <c r="C725" s="18">
        <v>2</v>
      </c>
      <c r="D725" s="18">
        <v>0</v>
      </c>
      <c r="E725" s="18">
        <v>4</v>
      </c>
    </row>
    <row r="726" spans="1:5" x14ac:dyDescent="0.3">
      <c r="A726" s="18" t="s">
        <v>0</v>
      </c>
      <c r="B726" s="18" t="s">
        <v>2587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0</v>
      </c>
      <c r="B727" s="18" t="s">
        <v>1241</v>
      </c>
      <c r="C727" s="18">
        <v>0</v>
      </c>
      <c r="D727" s="18">
        <v>2</v>
      </c>
    </row>
    <row r="728" spans="1:5" x14ac:dyDescent="0.3">
      <c r="A728" s="18" t="s">
        <v>2</v>
      </c>
      <c r="B728" s="18" t="s">
        <v>273</v>
      </c>
      <c r="C728" s="18">
        <v>1</v>
      </c>
      <c r="D728" s="18">
        <v>0</v>
      </c>
      <c r="E728" s="18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8CC8C-AB28-4B7B-B91D-99CDFF9EB65A}">
  <sheetPr codeName="Sheet56"/>
  <dimension ref="A1:M643"/>
  <sheetViews>
    <sheetView workbookViewId="0">
      <selection activeCell="A2" sqref="A2:E64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3361</v>
      </c>
      <c r="C2" s="17">
        <v>82</v>
      </c>
      <c r="D2" s="17">
        <v>62</v>
      </c>
      <c r="E2" s="17">
        <v>91</v>
      </c>
    </row>
    <row r="3" spans="1:13" customFormat="1" x14ac:dyDescent="0.3">
      <c r="A3" s="17" t="s">
        <v>1</v>
      </c>
      <c r="B3" s="17" t="s">
        <v>138</v>
      </c>
      <c r="C3" s="17">
        <v>63</v>
      </c>
      <c r="D3" s="17">
        <v>47</v>
      </c>
      <c r="E3" s="17">
        <v>67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94</v>
      </c>
      <c r="D4" s="17">
        <v>35</v>
      </c>
      <c r="E4" s="17">
        <v>157</v>
      </c>
      <c r="G4" s="23" t="s">
        <v>8</v>
      </c>
      <c r="H4" s="19">
        <f>H13+H14</f>
        <v>1127</v>
      </c>
      <c r="I4" s="20">
        <f>H4/H$6</f>
        <v>0.73563968668407309</v>
      </c>
      <c r="J4" s="19">
        <f>I13+I14</f>
        <v>603</v>
      </c>
      <c r="K4" s="20">
        <f>J4/J$6</f>
        <v>0.65118790496760259</v>
      </c>
      <c r="L4" s="19">
        <f>J13+J14</f>
        <v>1355</v>
      </c>
      <c r="M4" s="29">
        <f>L4/L$6</f>
        <v>0.73801742919389979</v>
      </c>
    </row>
    <row r="5" spans="1:13" customFormat="1" x14ac:dyDescent="0.3">
      <c r="A5" s="17" t="s">
        <v>0</v>
      </c>
      <c r="B5" s="17" t="s">
        <v>3397</v>
      </c>
      <c r="C5" s="17">
        <v>25</v>
      </c>
      <c r="D5" s="17">
        <v>18</v>
      </c>
      <c r="E5" s="17">
        <v>32</v>
      </c>
      <c r="G5" s="23" t="s">
        <v>10</v>
      </c>
      <c r="H5" s="19">
        <f>H15+H16</f>
        <v>405</v>
      </c>
      <c r="I5" s="20">
        <f>H5/H$6</f>
        <v>0.26436031331592691</v>
      </c>
      <c r="J5" s="19">
        <f>I15+I16</f>
        <v>323</v>
      </c>
      <c r="K5" s="20">
        <f>J5/J$6</f>
        <v>0.34881209503239741</v>
      </c>
      <c r="L5" s="19">
        <f>J15+J16</f>
        <v>481</v>
      </c>
      <c r="M5" s="29">
        <f>L5/L$6</f>
        <v>0.26198257080610021</v>
      </c>
    </row>
    <row r="6" spans="1:13" customFormat="1" ht="17.25" thickBot="1" x14ac:dyDescent="0.35">
      <c r="A6" s="17" t="s">
        <v>1</v>
      </c>
      <c r="B6" s="17" t="s">
        <v>37</v>
      </c>
      <c r="C6" s="17">
        <v>21</v>
      </c>
      <c r="D6" s="17">
        <v>17</v>
      </c>
      <c r="E6" s="17">
        <v>21</v>
      </c>
      <c r="G6" s="26"/>
      <c r="H6" s="30">
        <f>SUM(H4:H5)</f>
        <v>1532</v>
      </c>
      <c r="I6" s="31">
        <f>I4+I5</f>
        <v>1</v>
      </c>
      <c r="J6" s="30">
        <f>SUM(J4:J5)</f>
        <v>926</v>
      </c>
      <c r="K6" s="31">
        <f>K4+K5</f>
        <v>1</v>
      </c>
      <c r="L6" s="30">
        <f>SUM(L4:L5)</f>
        <v>1836</v>
      </c>
      <c r="M6" s="32">
        <f>M4+M5</f>
        <v>1</v>
      </c>
    </row>
    <row r="7" spans="1:13" customFormat="1" x14ac:dyDescent="0.3">
      <c r="A7" s="17" t="s">
        <v>0</v>
      </c>
      <c r="B7" s="17" t="s">
        <v>29</v>
      </c>
      <c r="C7" s="17">
        <v>18</v>
      </c>
      <c r="D7" s="17">
        <v>16</v>
      </c>
      <c r="E7" s="17">
        <v>24</v>
      </c>
    </row>
    <row r="8" spans="1:13" customFormat="1" x14ac:dyDescent="0.3">
      <c r="A8" s="17" t="s">
        <v>1</v>
      </c>
      <c r="B8" s="17" t="s">
        <v>365</v>
      </c>
      <c r="C8" s="17">
        <v>19</v>
      </c>
      <c r="D8" s="17">
        <v>14</v>
      </c>
      <c r="E8" s="17">
        <v>20</v>
      </c>
    </row>
    <row r="9" spans="1:13" customFormat="1" x14ac:dyDescent="0.3">
      <c r="A9" s="17" t="s">
        <v>0</v>
      </c>
      <c r="B9" s="17" t="s">
        <v>31</v>
      </c>
      <c r="C9" s="17">
        <v>11</v>
      </c>
      <c r="D9" s="17">
        <v>11</v>
      </c>
      <c r="E9" s="17">
        <v>11</v>
      </c>
    </row>
    <row r="10" spans="1:13" customFormat="1" ht="17.25" thickBot="1" x14ac:dyDescent="0.35">
      <c r="A10" s="17" t="s">
        <v>1</v>
      </c>
      <c r="B10" s="17" t="s">
        <v>51</v>
      </c>
      <c r="C10" s="17">
        <v>10</v>
      </c>
      <c r="D10" s="17">
        <v>10</v>
      </c>
      <c r="E10" s="17">
        <v>14</v>
      </c>
    </row>
    <row r="11" spans="1:13" x14ac:dyDescent="0.3">
      <c r="A11" s="17" t="s">
        <v>1</v>
      </c>
      <c r="B11" s="17" t="s">
        <v>2572</v>
      </c>
      <c r="C11" s="17">
        <v>13</v>
      </c>
      <c r="D11" s="17">
        <v>8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13</v>
      </c>
      <c r="D12" s="17">
        <v>8</v>
      </c>
      <c r="E12" s="17">
        <v>23</v>
      </c>
      <c r="G12" s="23"/>
      <c r="H12" s="21">
        <f t="shared" ref="H12:J12" si="0">SUM(H13:H16)</f>
        <v>1532</v>
      </c>
      <c r="I12" s="21">
        <f t="shared" si="0"/>
        <v>926</v>
      </c>
      <c r="J12" s="24">
        <f t="shared" si="0"/>
        <v>1836</v>
      </c>
    </row>
    <row r="13" spans="1:13" x14ac:dyDescent="0.3">
      <c r="A13" s="17" t="s">
        <v>1</v>
      </c>
      <c r="B13" s="17" t="s">
        <v>3397</v>
      </c>
      <c r="C13" s="17">
        <v>17</v>
      </c>
      <c r="D13" s="17">
        <v>7</v>
      </c>
      <c r="E13" s="17">
        <v>30</v>
      </c>
      <c r="G13" s="23" t="s">
        <v>7</v>
      </c>
      <c r="H13" s="22">
        <f t="shared" ref="H13:J16" si="1">SUMIF($A$2:$A$9999,$G13,C$2:C$9999)</f>
        <v>1127</v>
      </c>
      <c r="I13" s="22">
        <f t="shared" si="1"/>
        <v>603</v>
      </c>
      <c r="J13" s="25">
        <f t="shared" si="1"/>
        <v>1355</v>
      </c>
    </row>
    <row r="14" spans="1:13" x14ac:dyDescent="0.3">
      <c r="A14" s="17" t="s">
        <v>1</v>
      </c>
      <c r="B14" s="17" t="s">
        <v>31</v>
      </c>
      <c r="C14" s="17">
        <v>7</v>
      </c>
      <c r="D14" s="17">
        <v>7</v>
      </c>
      <c r="E14" s="17">
        <v>7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55</v>
      </c>
      <c r="C15" s="17">
        <v>17</v>
      </c>
      <c r="D15" s="17">
        <v>7</v>
      </c>
      <c r="E15" s="17">
        <v>16</v>
      </c>
      <c r="G15" s="23" t="s">
        <v>11</v>
      </c>
      <c r="H15" s="22">
        <f t="shared" si="1"/>
        <v>388</v>
      </c>
      <c r="I15" s="22">
        <f t="shared" si="1"/>
        <v>313</v>
      </c>
      <c r="J15" s="25">
        <f t="shared" si="1"/>
        <v>462</v>
      </c>
    </row>
    <row r="16" spans="1:13" ht="17.25" thickBot="1" x14ac:dyDescent="0.35">
      <c r="A16" s="17" t="s">
        <v>1</v>
      </c>
      <c r="B16" s="17" t="s">
        <v>33</v>
      </c>
      <c r="C16" s="17">
        <v>9</v>
      </c>
      <c r="D16" s="17">
        <v>6</v>
      </c>
      <c r="E16" s="17">
        <v>9</v>
      </c>
      <c r="G16" s="26" t="s">
        <v>12</v>
      </c>
      <c r="H16" s="27">
        <f t="shared" si="1"/>
        <v>17</v>
      </c>
      <c r="I16" s="27">
        <f t="shared" si="1"/>
        <v>10</v>
      </c>
      <c r="J16" s="28">
        <f t="shared" si="1"/>
        <v>19</v>
      </c>
    </row>
    <row r="17" spans="1:5" x14ac:dyDescent="0.3">
      <c r="A17" s="17" t="s">
        <v>1</v>
      </c>
      <c r="B17" s="17" t="s">
        <v>152</v>
      </c>
      <c r="C17" s="17">
        <v>7</v>
      </c>
      <c r="D17" s="17">
        <v>6</v>
      </c>
      <c r="E17" s="17">
        <v>7</v>
      </c>
    </row>
    <row r="18" spans="1:5" x14ac:dyDescent="0.3">
      <c r="A18" s="17" t="s">
        <v>1</v>
      </c>
      <c r="B18" s="17" t="s">
        <v>3382</v>
      </c>
      <c r="C18" s="17">
        <v>15</v>
      </c>
      <c r="D18" s="17">
        <v>6</v>
      </c>
      <c r="E18" s="17">
        <v>16</v>
      </c>
    </row>
    <row r="19" spans="1:5" x14ac:dyDescent="0.3">
      <c r="A19" s="17" t="s">
        <v>1</v>
      </c>
      <c r="B19" s="17" t="s">
        <v>200</v>
      </c>
      <c r="C19" s="17">
        <v>6</v>
      </c>
      <c r="D19" s="17">
        <v>6</v>
      </c>
      <c r="E19" s="17">
        <v>7</v>
      </c>
    </row>
    <row r="20" spans="1:5" x14ac:dyDescent="0.3">
      <c r="A20" s="17" t="s">
        <v>1</v>
      </c>
      <c r="B20" s="17" t="s">
        <v>54</v>
      </c>
      <c r="C20" s="17">
        <v>15</v>
      </c>
      <c r="D20" s="17">
        <v>6</v>
      </c>
      <c r="E20" s="17">
        <v>13</v>
      </c>
    </row>
    <row r="21" spans="1:5" x14ac:dyDescent="0.3">
      <c r="A21" s="17" t="s">
        <v>0</v>
      </c>
      <c r="B21" s="17" t="s">
        <v>61</v>
      </c>
      <c r="C21" s="17">
        <v>6</v>
      </c>
      <c r="D21" s="17">
        <v>6</v>
      </c>
      <c r="E21" s="17">
        <v>6</v>
      </c>
    </row>
    <row r="22" spans="1:5" x14ac:dyDescent="0.3">
      <c r="A22" s="17" t="s">
        <v>0</v>
      </c>
      <c r="B22" s="17" t="s">
        <v>51</v>
      </c>
      <c r="C22" s="17">
        <v>6</v>
      </c>
      <c r="D22" s="17">
        <v>6</v>
      </c>
      <c r="E22" s="17">
        <v>6</v>
      </c>
    </row>
    <row r="23" spans="1:5" x14ac:dyDescent="0.3">
      <c r="A23" s="17" t="s">
        <v>1</v>
      </c>
      <c r="B23" s="17" t="s">
        <v>48</v>
      </c>
      <c r="C23" s="17">
        <v>10</v>
      </c>
      <c r="D23" s="17">
        <v>5</v>
      </c>
      <c r="E23" s="17">
        <v>10</v>
      </c>
    </row>
    <row r="24" spans="1:5" x14ac:dyDescent="0.3">
      <c r="A24" s="17" t="s">
        <v>1</v>
      </c>
      <c r="B24" s="17" t="s">
        <v>89</v>
      </c>
      <c r="C24" s="17">
        <v>5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61</v>
      </c>
      <c r="C25" s="17">
        <v>8</v>
      </c>
      <c r="D25" s="17">
        <v>5</v>
      </c>
      <c r="E25" s="17">
        <v>8</v>
      </c>
    </row>
    <row r="26" spans="1:5" x14ac:dyDescent="0.3">
      <c r="A26" s="17" t="s">
        <v>1</v>
      </c>
      <c r="B26" s="17" t="s">
        <v>1927</v>
      </c>
      <c r="C26" s="17">
        <v>9</v>
      </c>
      <c r="D26" s="17">
        <v>5</v>
      </c>
      <c r="E26" s="17">
        <v>9</v>
      </c>
    </row>
    <row r="27" spans="1:5" x14ac:dyDescent="0.3">
      <c r="A27" s="17" t="s">
        <v>1</v>
      </c>
      <c r="B27" s="17" t="s">
        <v>2692</v>
      </c>
      <c r="C27" s="17">
        <v>16</v>
      </c>
      <c r="D27" s="17">
        <v>5</v>
      </c>
      <c r="E27" s="17">
        <v>19</v>
      </c>
    </row>
    <row r="28" spans="1:5" x14ac:dyDescent="0.3">
      <c r="A28" s="17" t="s">
        <v>1</v>
      </c>
      <c r="B28" s="17" t="s">
        <v>3361</v>
      </c>
      <c r="C28" s="17">
        <v>19</v>
      </c>
      <c r="D28" s="17">
        <v>5</v>
      </c>
      <c r="E28" s="17">
        <v>28</v>
      </c>
    </row>
    <row r="29" spans="1:5" x14ac:dyDescent="0.3">
      <c r="A29" s="17" t="s">
        <v>1</v>
      </c>
      <c r="B29" s="17" t="s">
        <v>289</v>
      </c>
      <c r="C29" s="17">
        <v>5</v>
      </c>
      <c r="D29" s="17">
        <v>5</v>
      </c>
      <c r="E29" s="17">
        <v>5</v>
      </c>
    </row>
    <row r="30" spans="1:5" x14ac:dyDescent="0.3">
      <c r="A30" s="17" t="s">
        <v>1</v>
      </c>
      <c r="B30" s="17" t="s">
        <v>122</v>
      </c>
      <c r="C30" s="17">
        <v>5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32</v>
      </c>
      <c r="C31" s="17">
        <v>12</v>
      </c>
      <c r="D31" s="17">
        <v>5</v>
      </c>
      <c r="E31" s="17">
        <v>19</v>
      </c>
    </row>
    <row r="32" spans="1:5" x14ac:dyDescent="0.3">
      <c r="A32" s="17" t="s">
        <v>1</v>
      </c>
      <c r="B32" s="17" t="s">
        <v>367</v>
      </c>
      <c r="C32" s="17">
        <v>4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103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106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168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29</v>
      </c>
      <c r="C36" s="17">
        <v>5</v>
      </c>
      <c r="D36" s="17">
        <v>4</v>
      </c>
      <c r="E36" s="17">
        <v>6</v>
      </c>
    </row>
    <row r="37" spans="1:5" x14ac:dyDescent="0.3">
      <c r="A37" s="17" t="s">
        <v>0</v>
      </c>
      <c r="B37" s="17" t="s">
        <v>34</v>
      </c>
      <c r="C37" s="17">
        <v>4</v>
      </c>
      <c r="D37" s="17">
        <v>4</v>
      </c>
      <c r="E37" s="17">
        <v>5</v>
      </c>
    </row>
    <row r="38" spans="1:5" x14ac:dyDescent="0.3">
      <c r="A38" s="17" t="s">
        <v>0</v>
      </c>
      <c r="B38" s="17" t="s">
        <v>122</v>
      </c>
      <c r="C38" s="17">
        <v>4</v>
      </c>
      <c r="D38" s="17">
        <v>4</v>
      </c>
      <c r="E38" s="17">
        <v>4</v>
      </c>
    </row>
    <row r="39" spans="1:5" x14ac:dyDescent="0.3">
      <c r="A39" s="17" t="s">
        <v>0</v>
      </c>
      <c r="B39" s="17" t="s">
        <v>39</v>
      </c>
      <c r="C39" s="17">
        <v>5</v>
      </c>
      <c r="D39" s="17">
        <v>4</v>
      </c>
      <c r="E39" s="17">
        <v>7</v>
      </c>
    </row>
    <row r="40" spans="1:5" x14ac:dyDescent="0.3">
      <c r="A40" s="17" t="s">
        <v>1</v>
      </c>
      <c r="B40" s="17" t="s">
        <v>79</v>
      </c>
      <c r="C40" s="17">
        <v>4</v>
      </c>
      <c r="D40" s="17">
        <v>3</v>
      </c>
      <c r="E40" s="17">
        <v>4</v>
      </c>
    </row>
    <row r="41" spans="1:5" x14ac:dyDescent="0.3">
      <c r="A41" s="17" t="s">
        <v>1</v>
      </c>
      <c r="B41" s="17" t="s">
        <v>34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155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3036</v>
      </c>
      <c r="C43" s="17">
        <v>12</v>
      </c>
      <c r="D43" s="17">
        <v>3</v>
      </c>
      <c r="E43" s="17">
        <v>18</v>
      </c>
    </row>
    <row r="44" spans="1:5" x14ac:dyDescent="0.3">
      <c r="A44" s="17" t="s">
        <v>1</v>
      </c>
      <c r="B44" s="17" t="s">
        <v>101</v>
      </c>
      <c r="C44" s="17">
        <v>5</v>
      </c>
      <c r="D44" s="17">
        <v>3</v>
      </c>
      <c r="E44" s="17">
        <v>8</v>
      </c>
    </row>
    <row r="45" spans="1:5" x14ac:dyDescent="0.3">
      <c r="A45" s="17" t="s">
        <v>1</v>
      </c>
      <c r="B45" s="17" t="s">
        <v>1128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165</v>
      </c>
      <c r="C46" s="17">
        <v>6</v>
      </c>
      <c r="D46" s="17">
        <v>3</v>
      </c>
      <c r="E46" s="17">
        <v>7</v>
      </c>
    </row>
    <row r="47" spans="1:5" x14ac:dyDescent="0.3">
      <c r="A47" s="17" t="s">
        <v>1</v>
      </c>
      <c r="B47" s="17" t="s">
        <v>330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448</v>
      </c>
      <c r="C48" s="17">
        <v>3</v>
      </c>
      <c r="D48" s="17">
        <v>3</v>
      </c>
      <c r="E48" s="17">
        <v>5</v>
      </c>
    </row>
    <row r="49" spans="1:5" x14ac:dyDescent="0.3">
      <c r="A49" s="17" t="s">
        <v>1</v>
      </c>
      <c r="B49" s="17" t="s">
        <v>63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135</v>
      </c>
      <c r="C50" s="17">
        <v>3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2073</v>
      </c>
      <c r="C51" s="17">
        <v>3</v>
      </c>
      <c r="D51" s="17">
        <v>4</v>
      </c>
      <c r="E51" s="17"/>
    </row>
    <row r="52" spans="1:5" x14ac:dyDescent="0.3">
      <c r="A52" s="17" t="s">
        <v>0</v>
      </c>
      <c r="B52" s="17" t="s">
        <v>48</v>
      </c>
      <c r="C52" s="17">
        <v>3</v>
      </c>
      <c r="D52" s="17">
        <v>3</v>
      </c>
      <c r="E52" s="17">
        <v>3</v>
      </c>
    </row>
    <row r="53" spans="1:5" x14ac:dyDescent="0.3">
      <c r="A53" s="17" t="s">
        <v>0</v>
      </c>
      <c r="B53" s="17" t="s">
        <v>2572</v>
      </c>
      <c r="C53" s="17">
        <v>4</v>
      </c>
      <c r="D53" s="17">
        <v>3</v>
      </c>
      <c r="E53" s="17">
        <v>5</v>
      </c>
    </row>
    <row r="54" spans="1:5" x14ac:dyDescent="0.3">
      <c r="A54" s="17" t="s">
        <v>0</v>
      </c>
      <c r="B54" s="17" t="s">
        <v>168</v>
      </c>
      <c r="C54" s="17">
        <v>3</v>
      </c>
      <c r="D54" s="17">
        <v>3</v>
      </c>
      <c r="E54" s="17">
        <v>4</v>
      </c>
    </row>
    <row r="55" spans="1:5" x14ac:dyDescent="0.3">
      <c r="A55" s="17" t="s">
        <v>0</v>
      </c>
      <c r="B55" s="17" t="s">
        <v>37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389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36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243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47</v>
      </c>
      <c r="C59" s="17">
        <v>3</v>
      </c>
      <c r="D59" s="17">
        <v>2</v>
      </c>
      <c r="E59" s="17">
        <v>3</v>
      </c>
    </row>
    <row r="60" spans="1:5" x14ac:dyDescent="0.3">
      <c r="A60" s="17" t="s">
        <v>1</v>
      </c>
      <c r="B60" s="17" t="s">
        <v>151</v>
      </c>
      <c r="C60" s="17">
        <v>4</v>
      </c>
      <c r="D60" s="17">
        <v>2</v>
      </c>
      <c r="E60" s="17">
        <v>5</v>
      </c>
    </row>
    <row r="61" spans="1:5" x14ac:dyDescent="0.3">
      <c r="A61" s="17" t="s">
        <v>1</v>
      </c>
      <c r="B61" s="17" t="s">
        <v>281</v>
      </c>
      <c r="C61" s="17">
        <v>5</v>
      </c>
      <c r="D61" s="17">
        <v>2</v>
      </c>
      <c r="E61" s="17">
        <v>5</v>
      </c>
    </row>
    <row r="62" spans="1:5" x14ac:dyDescent="0.3">
      <c r="A62" s="17" t="s">
        <v>1</v>
      </c>
      <c r="B62" s="17" t="s">
        <v>60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251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1775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1946</v>
      </c>
      <c r="C65" s="17">
        <v>5</v>
      </c>
      <c r="D65" s="17">
        <v>2</v>
      </c>
      <c r="E65" s="17">
        <v>5</v>
      </c>
    </row>
    <row r="66" spans="1:5" x14ac:dyDescent="0.3">
      <c r="A66" s="17" t="s">
        <v>1</v>
      </c>
      <c r="B66" s="17" t="s">
        <v>1983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2329</v>
      </c>
      <c r="C67" s="17">
        <v>4</v>
      </c>
      <c r="D67" s="17">
        <v>2</v>
      </c>
      <c r="E67" s="17">
        <v>6</v>
      </c>
    </row>
    <row r="68" spans="1:5" x14ac:dyDescent="0.3">
      <c r="A68" s="17" t="s">
        <v>1</v>
      </c>
      <c r="B68" s="17" t="s">
        <v>2399</v>
      </c>
      <c r="C68" s="17">
        <v>3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2395</v>
      </c>
      <c r="C69" s="17">
        <v>8</v>
      </c>
      <c r="D69" s="17">
        <v>2</v>
      </c>
      <c r="E69" s="17">
        <v>10</v>
      </c>
    </row>
    <row r="70" spans="1:5" x14ac:dyDescent="0.3">
      <c r="A70" s="17" t="s">
        <v>1</v>
      </c>
      <c r="B70" s="17" t="s">
        <v>2429</v>
      </c>
      <c r="C70" s="17">
        <v>5</v>
      </c>
      <c r="D70" s="17">
        <v>2</v>
      </c>
      <c r="E70" s="17">
        <v>5</v>
      </c>
    </row>
    <row r="71" spans="1:5" x14ac:dyDescent="0.3">
      <c r="A71" s="17" t="s">
        <v>1</v>
      </c>
      <c r="B71" s="17" t="s">
        <v>2510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2396</v>
      </c>
      <c r="C72" s="17">
        <v>6</v>
      </c>
      <c r="D72" s="17">
        <v>2</v>
      </c>
      <c r="E72" s="17">
        <v>8</v>
      </c>
    </row>
    <row r="73" spans="1:5" x14ac:dyDescent="0.3">
      <c r="A73" s="17" t="s">
        <v>1</v>
      </c>
      <c r="B73" s="17" t="s">
        <v>2789</v>
      </c>
      <c r="C73" s="17">
        <v>5</v>
      </c>
      <c r="D73" s="17">
        <v>2</v>
      </c>
      <c r="E73" s="17">
        <v>7</v>
      </c>
    </row>
    <row r="74" spans="1:5" x14ac:dyDescent="0.3">
      <c r="A74" s="17" t="s">
        <v>1</v>
      </c>
      <c r="B74" s="17" t="s">
        <v>2944</v>
      </c>
      <c r="C74" s="17">
        <v>7</v>
      </c>
      <c r="D74" s="17">
        <v>2</v>
      </c>
      <c r="E74" s="17">
        <v>7</v>
      </c>
    </row>
    <row r="75" spans="1:5" x14ac:dyDescent="0.3">
      <c r="A75" s="17" t="s">
        <v>1</v>
      </c>
      <c r="B75" s="17" t="s">
        <v>3328</v>
      </c>
      <c r="C75" s="17">
        <v>5</v>
      </c>
      <c r="D75" s="17">
        <v>2</v>
      </c>
      <c r="E75" s="17">
        <v>6</v>
      </c>
    </row>
    <row r="76" spans="1:5" x14ac:dyDescent="0.3">
      <c r="A76" s="17" t="s">
        <v>1</v>
      </c>
      <c r="B76" s="17" t="s">
        <v>3327</v>
      </c>
      <c r="C76" s="17">
        <v>10</v>
      </c>
      <c r="D76" s="17">
        <v>2</v>
      </c>
      <c r="E76" s="17">
        <v>15</v>
      </c>
    </row>
    <row r="77" spans="1:5" x14ac:dyDescent="0.3">
      <c r="A77" s="17" t="s">
        <v>1</v>
      </c>
      <c r="B77" s="17" t="s">
        <v>1868</v>
      </c>
      <c r="C77" s="17">
        <v>3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97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527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1479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104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1261</v>
      </c>
      <c r="C82" s="17">
        <v>2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647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407</v>
      </c>
      <c r="C84" s="17">
        <v>2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111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113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174</v>
      </c>
      <c r="C87" s="17">
        <v>2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594</v>
      </c>
      <c r="C88" s="17">
        <v>2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385</v>
      </c>
      <c r="C89" s="17">
        <v>3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413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607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3398</v>
      </c>
      <c r="C92" s="17">
        <v>2</v>
      </c>
      <c r="D92" s="17">
        <v>2</v>
      </c>
      <c r="E92" s="17">
        <v>4</v>
      </c>
    </row>
    <row r="93" spans="1:5" x14ac:dyDescent="0.3">
      <c r="A93" s="17" t="s">
        <v>1</v>
      </c>
      <c r="B93" s="17" t="s">
        <v>549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681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346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422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1191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38</v>
      </c>
      <c r="C98" s="17">
        <v>4</v>
      </c>
      <c r="D98" s="17">
        <v>2</v>
      </c>
      <c r="E98" s="17">
        <v>4</v>
      </c>
    </row>
    <row r="99" spans="1:5" x14ac:dyDescent="0.3">
      <c r="A99" s="17" t="s">
        <v>1</v>
      </c>
      <c r="B99" s="17" t="s">
        <v>65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53</v>
      </c>
      <c r="C100" s="17">
        <v>3</v>
      </c>
      <c r="D100" s="17">
        <v>2</v>
      </c>
      <c r="E100" s="17">
        <v>3</v>
      </c>
    </row>
    <row r="101" spans="1:5" x14ac:dyDescent="0.3">
      <c r="A101" s="17" t="s">
        <v>1</v>
      </c>
      <c r="B101" s="17" t="s">
        <v>195</v>
      </c>
      <c r="C101" s="17">
        <v>15</v>
      </c>
      <c r="D101" s="17">
        <v>2</v>
      </c>
      <c r="E101" s="17">
        <v>23</v>
      </c>
    </row>
    <row r="102" spans="1:5" x14ac:dyDescent="0.3">
      <c r="A102" s="17" t="s">
        <v>1</v>
      </c>
      <c r="B102" s="17" t="s">
        <v>39</v>
      </c>
      <c r="C102" s="17">
        <v>14</v>
      </c>
      <c r="D102" s="17">
        <v>2</v>
      </c>
      <c r="E102" s="17">
        <v>43</v>
      </c>
    </row>
    <row r="103" spans="1:5" x14ac:dyDescent="0.3">
      <c r="A103" s="17" t="s">
        <v>1</v>
      </c>
      <c r="B103" s="17" t="s">
        <v>382</v>
      </c>
      <c r="C103" s="17">
        <v>9</v>
      </c>
      <c r="D103" s="17">
        <v>2</v>
      </c>
      <c r="E103" s="17">
        <v>9</v>
      </c>
    </row>
    <row r="104" spans="1:5" x14ac:dyDescent="0.3">
      <c r="A104" s="17" t="s">
        <v>1</v>
      </c>
      <c r="B104" s="17" t="s">
        <v>56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266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0</v>
      </c>
      <c r="B106" s="17" t="s">
        <v>272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394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79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151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365</v>
      </c>
      <c r="C110" s="17">
        <v>3</v>
      </c>
      <c r="D110" s="17">
        <v>2</v>
      </c>
      <c r="E110" s="17">
        <v>5</v>
      </c>
    </row>
    <row r="111" spans="1:5" x14ac:dyDescent="0.3">
      <c r="A111" s="17" t="s">
        <v>0</v>
      </c>
      <c r="B111" s="17" t="s">
        <v>1927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2075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3382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0</v>
      </c>
      <c r="B114" s="17" t="s">
        <v>35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265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163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165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1972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199</v>
      </c>
      <c r="C119" s="17">
        <v>4</v>
      </c>
      <c r="D119" s="17">
        <v>2</v>
      </c>
      <c r="E119" s="17">
        <v>6</v>
      </c>
    </row>
    <row r="120" spans="1:5" x14ac:dyDescent="0.3">
      <c r="A120" s="17" t="s">
        <v>0</v>
      </c>
      <c r="B120" s="17" t="s">
        <v>110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62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703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1023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192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928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1488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242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503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244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579</v>
      </c>
      <c r="C130" s="17">
        <v>1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507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486</v>
      </c>
      <c r="C132" s="17">
        <v>2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73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207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705</v>
      </c>
      <c r="C135" s="17">
        <v>2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144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208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272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622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394</v>
      </c>
      <c r="C140" s="17">
        <v>2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145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490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356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275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276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627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906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246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1051</v>
      </c>
      <c r="C149" s="17">
        <v>2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479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1743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583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797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82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396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1314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702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908</v>
      </c>
      <c r="C158" s="17">
        <v>2</v>
      </c>
      <c r="D158" s="17">
        <v>1</v>
      </c>
      <c r="E158" s="17">
        <v>3</v>
      </c>
    </row>
    <row r="159" spans="1:5" x14ac:dyDescent="0.3">
      <c r="A159" s="17" t="s">
        <v>1</v>
      </c>
      <c r="B159" s="17" t="s">
        <v>267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1703</v>
      </c>
      <c r="C160" s="17">
        <v>1</v>
      </c>
      <c r="D160" s="17">
        <v>1</v>
      </c>
      <c r="E160" s="17">
        <v>3</v>
      </c>
    </row>
    <row r="161" spans="1:5" x14ac:dyDescent="0.3">
      <c r="A161" s="17" t="s">
        <v>1</v>
      </c>
      <c r="B161" s="17" t="s">
        <v>1280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213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315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862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765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86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584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1281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87</v>
      </c>
      <c r="C169" s="17">
        <v>1</v>
      </c>
      <c r="D169" s="17">
        <v>1</v>
      </c>
      <c r="E169" s="17">
        <v>3</v>
      </c>
    </row>
    <row r="170" spans="1:5" x14ac:dyDescent="0.3">
      <c r="A170" s="17" t="s">
        <v>1</v>
      </c>
      <c r="B170" s="17" t="s">
        <v>149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88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480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844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1317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91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219</v>
      </c>
      <c r="C176" s="17">
        <v>3</v>
      </c>
      <c r="D176" s="17">
        <v>1</v>
      </c>
      <c r="E176" s="17">
        <v>4</v>
      </c>
    </row>
    <row r="177" spans="1:5" x14ac:dyDescent="0.3">
      <c r="A177" s="17" t="s">
        <v>1</v>
      </c>
      <c r="B177" s="17" t="s">
        <v>636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221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154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692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41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712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42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95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96</v>
      </c>
      <c r="C185" s="17">
        <v>3</v>
      </c>
      <c r="D185" s="17">
        <v>1</v>
      </c>
      <c r="E185" s="17">
        <v>4</v>
      </c>
    </row>
    <row r="186" spans="1:5" x14ac:dyDescent="0.3">
      <c r="A186" s="17" t="s">
        <v>1</v>
      </c>
      <c r="B186" s="17" t="s">
        <v>487</v>
      </c>
      <c r="C186" s="17">
        <v>4</v>
      </c>
      <c r="D186" s="17">
        <v>1</v>
      </c>
      <c r="E186" s="17">
        <v>4</v>
      </c>
    </row>
    <row r="187" spans="1:5" x14ac:dyDescent="0.3">
      <c r="A187" s="17" t="s">
        <v>1</v>
      </c>
      <c r="B187" s="17" t="s">
        <v>686</v>
      </c>
      <c r="C187" s="17">
        <v>5</v>
      </c>
      <c r="D187" s="17">
        <v>1</v>
      </c>
      <c r="E187" s="17">
        <v>7</v>
      </c>
    </row>
    <row r="188" spans="1:5" x14ac:dyDescent="0.3">
      <c r="A188" s="17" t="s">
        <v>1</v>
      </c>
      <c r="B188" s="17" t="s">
        <v>1854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1911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2493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3399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2428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2599</v>
      </c>
      <c r="C193" s="17">
        <v>4</v>
      </c>
      <c r="D193" s="17">
        <v>1</v>
      </c>
      <c r="E193" s="17">
        <v>4</v>
      </c>
    </row>
    <row r="194" spans="1:5" x14ac:dyDescent="0.3">
      <c r="A194" s="17" t="s">
        <v>1</v>
      </c>
      <c r="B194" s="17" t="s">
        <v>2705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3298</v>
      </c>
      <c r="C195" s="17">
        <v>7</v>
      </c>
      <c r="D195" s="17">
        <v>1</v>
      </c>
      <c r="E195" s="17">
        <v>9</v>
      </c>
    </row>
    <row r="196" spans="1:5" x14ac:dyDescent="0.3">
      <c r="A196" s="17" t="s">
        <v>1</v>
      </c>
      <c r="B196" s="17" t="s">
        <v>713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524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1035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225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585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49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1286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526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993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1219</v>
      </c>
      <c r="C205" s="17">
        <v>1</v>
      </c>
      <c r="D205" s="17">
        <v>1</v>
      </c>
      <c r="E205" s="17">
        <v>3</v>
      </c>
    </row>
    <row r="206" spans="1:5" x14ac:dyDescent="0.3">
      <c r="A206" s="17" t="s">
        <v>1</v>
      </c>
      <c r="B206" s="17" t="s">
        <v>283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945</v>
      </c>
      <c r="C207" s="17">
        <v>2</v>
      </c>
      <c r="D207" s="17">
        <v>1</v>
      </c>
      <c r="E207" s="17">
        <v>5</v>
      </c>
    </row>
    <row r="208" spans="1:5" x14ac:dyDescent="0.3">
      <c r="A208" s="17" t="s">
        <v>1</v>
      </c>
      <c r="B208" s="17" t="s">
        <v>1920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1144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528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265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587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1713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589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1129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1539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322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107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2342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1147</v>
      </c>
      <c r="C220" s="17">
        <v>2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1972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591</v>
      </c>
      <c r="C222" s="17">
        <v>1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1443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109</v>
      </c>
      <c r="C224" s="17">
        <v>2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199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592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110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1099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1270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649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1489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1002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650</v>
      </c>
      <c r="C233" s="17">
        <v>2</v>
      </c>
      <c r="D233" s="17">
        <v>1</v>
      </c>
      <c r="E233" s="17">
        <v>2</v>
      </c>
    </row>
    <row r="234" spans="1:5" x14ac:dyDescent="0.3">
      <c r="A234" s="17" t="s">
        <v>1</v>
      </c>
      <c r="B234" s="17" t="s">
        <v>1797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291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410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537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175</v>
      </c>
      <c r="C238" s="17">
        <v>2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326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916</v>
      </c>
      <c r="C240" s="17">
        <v>2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1196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45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2601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293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467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1379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776</v>
      </c>
      <c r="C247" s="17">
        <v>1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297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839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1555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1291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2987</v>
      </c>
      <c r="C252" s="17">
        <v>2</v>
      </c>
      <c r="D252" s="17">
        <v>1</v>
      </c>
      <c r="E252" s="17">
        <v>2</v>
      </c>
    </row>
    <row r="253" spans="1:5" x14ac:dyDescent="0.3">
      <c r="A253" s="17" t="s">
        <v>1</v>
      </c>
      <c r="B253" s="17" t="s">
        <v>1934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809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1803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1180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338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339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659</v>
      </c>
      <c r="C259" s="17">
        <v>1</v>
      </c>
      <c r="D259" s="17">
        <v>1</v>
      </c>
      <c r="E259" s="17">
        <v>2</v>
      </c>
    </row>
    <row r="260" spans="1:5" x14ac:dyDescent="0.3">
      <c r="A260" s="17" t="s">
        <v>1</v>
      </c>
      <c r="B260" s="17" t="s">
        <v>1395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660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176</v>
      </c>
      <c r="C262" s="17">
        <v>2</v>
      </c>
      <c r="D262" s="17">
        <v>1</v>
      </c>
      <c r="E262" s="17">
        <v>2</v>
      </c>
    </row>
    <row r="263" spans="1:5" x14ac:dyDescent="0.3">
      <c r="A263" s="17" t="s">
        <v>1</v>
      </c>
      <c r="B263" s="17" t="s">
        <v>3400</v>
      </c>
      <c r="C263" s="17">
        <v>1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1111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119</v>
      </c>
      <c r="C265" s="17">
        <v>1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299</v>
      </c>
      <c r="C266" s="17">
        <v>2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416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495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888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1433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1362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120</v>
      </c>
      <c r="C272" s="17">
        <v>2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662</v>
      </c>
      <c r="C273" s="17">
        <v>2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663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62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2012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1778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124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695</v>
      </c>
      <c r="C279" s="17">
        <v>1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125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419</v>
      </c>
      <c r="C281" s="17">
        <v>1</v>
      </c>
      <c r="D281" s="17">
        <v>1</v>
      </c>
      <c r="E281" s="17">
        <v>3</v>
      </c>
    </row>
    <row r="282" spans="1:5" x14ac:dyDescent="0.3">
      <c r="A282" s="17" t="s">
        <v>1</v>
      </c>
      <c r="B282" s="17" t="s">
        <v>1179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895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347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697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703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126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666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426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604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897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304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428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127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52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823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131</v>
      </c>
      <c r="C297" s="17">
        <v>2</v>
      </c>
      <c r="D297" s="17">
        <v>1</v>
      </c>
      <c r="E297" s="17">
        <v>2</v>
      </c>
    </row>
    <row r="298" spans="1:5" x14ac:dyDescent="0.3">
      <c r="A298" s="17" t="s">
        <v>1</v>
      </c>
      <c r="B298" s="17" t="s">
        <v>2262</v>
      </c>
      <c r="C298" s="17">
        <v>2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824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751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1134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132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201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134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1083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565</v>
      </c>
      <c r="C306" s="17">
        <v>4</v>
      </c>
      <c r="D306" s="17">
        <v>1</v>
      </c>
      <c r="E306" s="17">
        <v>4</v>
      </c>
    </row>
    <row r="307" spans="1:5" x14ac:dyDescent="0.3">
      <c r="A307" s="17" t="s">
        <v>1</v>
      </c>
      <c r="B307" s="17" t="s">
        <v>899</v>
      </c>
      <c r="C307" s="17">
        <v>1</v>
      </c>
      <c r="D307" s="17">
        <v>1</v>
      </c>
      <c r="E307" s="17">
        <v>2</v>
      </c>
    </row>
    <row r="308" spans="1:5" x14ac:dyDescent="0.3">
      <c r="A308" s="17" t="s">
        <v>1</v>
      </c>
      <c r="B308" s="17" t="s">
        <v>567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306</v>
      </c>
      <c r="C309" s="17">
        <v>2</v>
      </c>
      <c r="D309" s="17">
        <v>1</v>
      </c>
      <c r="E309" s="17">
        <v>2</v>
      </c>
    </row>
    <row r="310" spans="1:5" x14ac:dyDescent="0.3">
      <c r="A310" s="17" t="s">
        <v>1</v>
      </c>
      <c r="B310" s="17" t="s">
        <v>194</v>
      </c>
      <c r="C310" s="17">
        <v>6</v>
      </c>
      <c r="D310" s="17">
        <v>1</v>
      </c>
      <c r="E310" s="17">
        <v>6</v>
      </c>
    </row>
    <row r="311" spans="1:5" x14ac:dyDescent="0.3">
      <c r="A311" s="17" t="s">
        <v>1</v>
      </c>
      <c r="B311" s="17" t="s">
        <v>1560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67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376</v>
      </c>
      <c r="C313" s="17">
        <v>3</v>
      </c>
      <c r="D313" s="17">
        <v>1</v>
      </c>
      <c r="E313" s="17">
        <v>8</v>
      </c>
    </row>
    <row r="314" spans="1:5" x14ac:dyDescent="0.3">
      <c r="A314" s="17" t="s">
        <v>1</v>
      </c>
      <c r="B314" s="17" t="s">
        <v>2315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1840</v>
      </c>
      <c r="C315" s="17">
        <v>1</v>
      </c>
      <c r="D315" s="17">
        <v>2</v>
      </c>
      <c r="E315" s="17"/>
    </row>
    <row r="316" spans="1:5" x14ac:dyDescent="0.3">
      <c r="A316" s="17" t="s">
        <v>1</v>
      </c>
      <c r="B316" s="17" t="s">
        <v>1519</v>
      </c>
      <c r="C316" s="17">
        <v>1</v>
      </c>
      <c r="D316" s="17">
        <v>4</v>
      </c>
      <c r="E316" s="17"/>
    </row>
    <row r="317" spans="1:5" x14ac:dyDescent="0.3">
      <c r="A317" s="17" t="s">
        <v>1</v>
      </c>
      <c r="B317" s="17" t="s">
        <v>1765</v>
      </c>
      <c r="C317" s="17">
        <v>1</v>
      </c>
      <c r="D317" s="17">
        <v>1</v>
      </c>
      <c r="E317" s="17"/>
    </row>
    <row r="318" spans="1:5" x14ac:dyDescent="0.3">
      <c r="A318" s="17" t="s">
        <v>1</v>
      </c>
      <c r="B318" s="17" t="s">
        <v>922</v>
      </c>
      <c r="C318" s="17">
        <v>1</v>
      </c>
      <c r="D318" s="17">
        <v>1</v>
      </c>
      <c r="E318" s="17"/>
    </row>
    <row r="319" spans="1:5" x14ac:dyDescent="0.3">
      <c r="A319" s="17" t="s">
        <v>1</v>
      </c>
      <c r="B319" s="17" t="s">
        <v>1248</v>
      </c>
      <c r="C319" s="17">
        <v>1</v>
      </c>
      <c r="D319" s="17">
        <v>1</v>
      </c>
      <c r="E319" s="17"/>
    </row>
    <row r="320" spans="1:5" x14ac:dyDescent="0.3">
      <c r="A320" s="17" t="s">
        <v>1</v>
      </c>
      <c r="B320" s="17" t="s">
        <v>1028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1945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139</v>
      </c>
      <c r="C322" s="17">
        <v>1</v>
      </c>
      <c r="D322" s="17">
        <v>1</v>
      </c>
      <c r="E322" s="17"/>
    </row>
    <row r="323" spans="1:5" x14ac:dyDescent="0.3">
      <c r="A323" s="17" t="s">
        <v>1</v>
      </c>
      <c r="B323" s="17" t="s">
        <v>2488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1896</v>
      </c>
      <c r="C324" s="17">
        <v>1</v>
      </c>
      <c r="D324" s="17">
        <v>1</v>
      </c>
      <c r="E324" s="17"/>
    </row>
    <row r="325" spans="1:5" x14ac:dyDescent="0.3">
      <c r="A325" s="17" t="s">
        <v>1</v>
      </c>
      <c r="B325" s="17" t="s">
        <v>759</v>
      </c>
      <c r="C325" s="17">
        <v>1</v>
      </c>
      <c r="D325" s="17">
        <v>1</v>
      </c>
      <c r="E325" s="17">
        <v>2</v>
      </c>
    </row>
    <row r="326" spans="1:5" x14ac:dyDescent="0.3">
      <c r="A326" s="17" t="s">
        <v>1</v>
      </c>
      <c r="B326" s="17" t="s">
        <v>760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3401</v>
      </c>
      <c r="C327" s="17">
        <v>1</v>
      </c>
      <c r="D327" s="17">
        <v>1</v>
      </c>
      <c r="E327" s="17"/>
    </row>
    <row r="328" spans="1:5" x14ac:dyDescent="0.3">
      <c r="A328" s="17" t="s">
        <v>1</v>
      </c>
      <c r="B328" s="17" t="s">
        <v>3402</v>
      </c>
      <c r="C328" s="17">
        <v>1</v>
      </c>
      <c r="D328" s="17">
        <v>2</v>
      </c>
      <c r="E328" s="17"/>
    </row>
    <row r="329" spans="1:5" x14ac:dyDescent="0.3">
      <c r="A329" s="17" t="s">
        <v>1</v>
      </c>
      <c r="B329" s="17" t="s">
        <v>3106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3403</v>
      </c>
      <c r="C330" s="17">
        <v>1</v>
      </c>
      <c r="D330" s="17">
        <v>1</v>
      </c>
      <c r="E330" s="17"/>
    </row>
    <row r="331" spans="1:5" x14ac:dyDescent="0.3">
      <c r="A331" s="17" t="s">
        <v>1</v>
      </c>
      <c r="B331" s="17" t="s">
        <v>927</v>
      </c>
      <c r="C331" s="17">
        <v>1</v>
      </c>
      <c r="D331" s="17">
        <v>1</v>
      </c>
      <c r="E331" s="17"/>
    </row>
    <row r="332" spans="1:5" x14ac:dyDescent="0.3">
      <c r="A332" s="17" t="s">
        <v>1</v>
      </c>
      <c r="B332" s="17" t="s">
        <v>1599</v>
      </c>
      <c r="C332" s="17">
        <v>2</v>
      </c>
      <c r="D332" s="17">
        <v>1</v>
      </c>
      <c r="E332" s="17">
        <v>2</v>
      </c>
    </row>
    <row r="333" spans="1:5" x14ac:dyDescent="0.3">
      <c r="A333" s="17" t="s">
        <v>0</v>
      </c>
      <c r="B333" s="17" t="s">
        <v>1214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312</v>
      </c>
      <c r="C334" s="17">
        <v>1</v>
      </c>
      <c r="D334" s="17">
        <v>1</v>
      </c>
      <c r="E334" s="17">
        <v>2</v>
      </c>
    </row>
    <row r="335" spans="1:5" x14ac:dyDescent="0.3">
      <c r="A335" s="17" t="s">
        <v>0</v>
      </c>
      <c r="B335" s="17" t="s">
        <v>579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384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858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490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2067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246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797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82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396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702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1702</v>
      </c>
      <c r="C345" s="17">
        <v>1</v>
      </c>
      <c r="D345" s="17">
        <v>1</v>
      </c>
      <c r="E345" s="17">
        <v>3</v>
      </c>
    </row>
    <row r="346" spans="1:5" x14ac:dyDescent="0.3">
      <c r="A346" s="17" t="s">
        <v>0</v>
      </c>
      <c r="B346" s="17" t="s">
        <v>267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215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85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86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766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1414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480</v>
      </c>
      <c r="C352" s="17">
        <v>1</v>
      </c>
      <c r="D352" s="17">
        <v>1</v>
      </c>
      <c r="E352" s="17">
        <v>2</v>
      </c>
    </row>
    <row r="353" spans="1:5" x14ac:dyDescent="0.3">
      <c r="A353" s="17" t="s">
        <v>0</v>
      </c>
      <c r="B353" s="17" t="s">
        <v>152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89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93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3404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639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41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96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487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1518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1643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1662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1928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2444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2616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2705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2944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1167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1868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0</v>
      </c>
      <c r="B371" s="17" t="s">
        <v>97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585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49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0</v>
      </c>
      <c r="B374" s="17" t="s">
        <v>1103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1479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1128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803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995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1145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102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1971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167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1130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1288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1838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1663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288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649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1092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113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291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2228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325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1526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327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227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228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45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1978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2974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1666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596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445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413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1292</v>
      </c>
      <c r="C405" s="17">
        <v>1</v>
      </c>
      <c r="D405" s="17">
        <v>1</v>
      </c>
      <c r="E405" s="17">
        <v>2</v>
      </c>
    </row>
    <row r="406" spans="1:5" x14ac:dyDescent="0.3">
      <c r="A406" s="17" t="s">
        <v>0</v>
      </c>
      <c r="B406" s="17" t="s">
        <v>731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2987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1231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1187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1635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780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814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601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124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695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46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178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421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347</v>
      </c>
      <c r="C419" s="17">
        <v>2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1265</v>
      </c>
      <c r="C420" s="17">
        <v>1</v>
      </c>
      <c r="D420" s="17">
        <v>1</v>
      </c>
      <c r="E420" s="17">
        <v>2</v>
      </c>
    </row>
    <row r="421" spans="1:5" x14ac:dyDescent="0.3">
      <c r="A421" s="17" t="s">
        <v>0</v>
      </c>
      <c r="B421" s="17" t="s">
        <v>181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182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664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126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698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350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3038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127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132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259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564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499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65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305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234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53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967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376</v>
      </c>
      <c r="C438" s="17">
        <v>1</v>
      </c>
      <c r="D438" s="17">
        <v>1</v>
      </c>
      <c r="E438" s="17">
        <v>3</v>
      </c>
    </row>
    <row r="439" spans="1:5" x14ac:dyDescent="0.3">
      <c r="A439" s="17" t="s">
        <v>0</v>
      </c>
      <c r="B439" s="17" t="s">
        <v>571</v>
      </c>
      <c r="C439" s="17">
        <v>1</v>
      </c>
      <c r="D439" s="17">
        <v>2</v>
      </c>
      <c r="E439" s="17"/>
    </row>
    <row r="440" spans="1:5" x14ac:dyDescent="0.3">
      <c r="A440" s="17" t="s">
        <v>0</v>
      </c>
      <c r="B440" s="17" t="s">
        <v>922</v>
      </c>
      <c r="C440" s="17">
        <v>1</v>
      </c>
      <c r="D440" s="17">
        <v>1</v>
      </c>
      <c r="E440" s="17"/>
    </row>
    <row r="441" spans="1:5" x14ac:dyDescent="0.3">
      <c r="A441" s="17" t="s">
        <v>0</v>
      </c>
      <c r="B441" s="17" t="s">
        <v>3180</v>
      </c>
      <c r="C441" s="17">
        <v>1</v>
      </c>
      <c r="D441" s="17">
        <v>1</v>
      </c>
      <c r="E441" s="17"/>
    </row>
    <row r="442" spans="1:5" x14ac:dyDescent="0.3">
      <c r="A442" s="17" t="s">
        <v>0</v>
      </c>
      <c r="B442" s="17" t="s">
        <v>1945</v>
      </c>
      <c r="C442" s="17">
        <v>1</v>
      </c>
      <c r="D442" s="17">
        <v>1</v>
      </c>
      <c r="E442" s="17">
        <v>3</v>
      </c>
    </row>
    <row r="443" spans="1:5" x14ac:dyDescent="0.3">
      <c r="A443" s="17" t="s">
        <v>0</v>
      </c>
      <c r="B443" s="17" t="s">
        <v>2354</v>
      </c>
      <c r="C443" s="17">
        <v>1</v>
      </c>
      <c r="D443" s="17">
        <v>1</v>
      </c>
      <c r="E443" s="17">
        <v>2</v>
      </c>
    </row>
    <row r="444" spans="1:5" x14ac:dyDescent="0.3">
      <c r="A444" s="17" t="s">
        <v>0</v>
      </c>
      <c r="B444" s="17" t="s">
        <v>1701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3405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676</v>
      </c>
      <c r="C446" s="17">
        <v>1</v>
      </c>
      <c r="D446" s="17">
        <v>1</v>
      </c>
      <c r="E446" s="17"/>
    </row>
    <row r="447" spans="1:5" x14ac:dyDescent="0.3">
      <c r="A447" s="17" t="s">
        <v>0</v>
      </c>
      <c r="B447" s="17" t="s">
        <v>2044</v>
      </c>
      <c r="C447" s="17">
        <v>1</v>
      </c>
      <c r="D447" s="17">
        <v>2</v>
      </c>
      <c r="E447" s="17"/>
    </row>
    <row r="448" spans="1:5" x14ac:dyDescent="0.3">
      <c r="A448" s="17" t="s">
        <v>0</v>
      </c>
      <c r="B448" s="17" t="s">
        <v>1770</v>
      </c>
      <c r="C448" s="17">
        <v>1</v>
      </c>
      <c r="D448" s="17">
        <v>1</v>
      </c>
      <c r="E448" s="17"/>
    </row>
    <row r="449" spans="1:5" x14ac:dyDescent="0.3">
      <c r="A449" s="17" t="s">
        <v>0</v>
      </c>
      <c r="B449" s="17" t="s">
        <v>1302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761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1481</v>
      </c>
      <c r="C451" s="17">
        <v>1</v>
      </c>
      <c r="D451" s="17">
        <v>1</v>
      </c>
      <c r="E451" s="17"/>
    </row>
    <row r="452" spans="1:5" x14ac:dyDescent="0.3">
      <c r="A452" s="17" t="s">
        <v>0</v>
      </c>
      <c r="B452" s="17" t="s">
        <v>834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1544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2</v>
      </c>
      <c r="B454" s="17" t="s">
        <v>619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2</v>
      </c>
      <c r="B455" s="17" t="s">
        <v>398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2</v>
      </c>
      <c r="B456" s="17" t="s">
        <v>60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2</v>
      </c>
      <c r="B457" s="17" t="s">
        <v>1927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2</v>
      </c>
      <c r="B458" s="17" t="s">
        <v>1480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2</v>
      </c>
      <c r="B459" s="17" t="s">
        <v>169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2</v>
      </c>
      <c r="B460" s="17" t="s">
        <v>289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2</v>
      </c>
      <c r="B461" s="17" t="s">
        <v>594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2</v>
      </c>
      <c r="B462" s="17" t="s">
        <v>555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2</v>
      </c>
      <c r="B463" s="17" t="s">
        <v>31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1</v>
      </c>
      <c r="B464" s="17" t="s">
        <v>140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203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985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269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704</v>
      </c>
      <c r="C468" s="17">
        <v>2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1050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792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613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1413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459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619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1253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395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1175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3373</v>
      </c>
      <c r="C478" s="17">
        <v>1</v>
      </c>
      <c r="D478" s="17">
        <v>0</v>
      </c>
      <c r="E478" s="17">
        <v>0</v>
      </c>
    </row>
    <row r="479" spans="1:5" x14ac:dyDescent="0.3">
      <c r="A479" s="17" t="s">
        <v>1</v>
      </c>
      <c r="B479" s="17" t="s">
        <v>59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247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359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841</v>
      </c>
      <c r="C482" s="17">
        <v>1</v>
      </c>
      <c r="D482" s="17">
        <v>0</v>
      </c>
      <c r="E482" s="17">
        <v>0</v>
      </c>
    </row>
    <row r="483" spans="1:5" x14ac:dyDescent="0.3">
      <c r="A483" s="17" t="s">
        <v>1</v>
      </c>
      <c r="B483" s="17" t="s">
        <v>83</v>
      </c>
      <c r="C483" s="17">
        <v>2</v>
      </c>
      <c r="D483" s="17">
        <v>0</v>
      </c>
      <c r="E483" s="17">
        <v>2</v>
      </c>
    </row>
    <row r="484" spans="1:5" x14ac:dyDescent="0.3">
      <c r="A484" s="17" t="s">
        <v>1</v>
      </c>
      <c r="B484" s="17" t="s">
        <v>148</v>
      </c>
      <c r="C484" s="17">
        <v>1</v>
      </c>
      <c r="D484" s="17">
        <v>0</v>
      </c>
      <c r="E484" s="17">
        <v>2</v>
      </c>
    </row>
    <row r="485" spans="1:5" x14ac:dyDescent="0.3">
      <c r="A485" s="17" t="s">
        <v>1</v>
      </c>
      <c r="B485" s="17" t="s">
        <v>85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279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1732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360</v>
      </c>
      <c r="C488" s="17">
        <v>2</v>
      </c>
      <c r="D488" s="17">
        <v>0</v>
      </c>
      <c r="E488" s="17">
        <v>2</v>
      </c>
    </row>
    <row r="489" spans="1:5" x14ac:dyDescent="0.3">
      <c r="A489" s="17" t="s">
        <v>1</v>
      </c>
      <c r="B489" s="17" t="s">
        <v>1360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634</v>
      </c>
      <c r="C490" s="17">
        <v>2</v>
      </c>
      <c r="D490" s="17">
        <v>0</v>
      </c>
      <c r="E490" s="17">
        <v>2</v>
      </c>
    </row>
    <row r="491" spans="1:5" x14ac:dyDescent="0.3">
      <c r="A491" s="17" t="s">
        <v>1</v>
      </c>
      <c r="B491" s="17" t="s">
        <v>972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1060</v>
      </c>
      <c r="C492" s="17">
        <v>2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153</v>
      </c>
      <c r="C493" s="17">
        <v>2</v>
      </c>
      <c r="D493" s="17">
        <v>0</v>
      </c>
      <c r="E493" s="17">
        <v>2</v>
      </c>
    </row>
    <row r="494" spans="1:5" x14ac:dyDescent="0.3">
      <c r="A494" s="17" t="s">
        <v>1</v>
      </c>
      <c r="B494" s="17" t="s">
        <v>639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463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364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157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944</v>
      </c>
      <c r="C498" s="17">
        <v>2</v>
      </c>
      <c r="D498" s="17">
        <v>0</v>
      </c>
      <c r="E498" s="17">
        <v>4</v>
      </c>
    </row>
    <row r="499" spans="1:5" x14ac:dyDescent="0.3">
      <c r="A499" s="17" t="s">
        <v>1</v>
      </c>
      <c r="B499" s="17" t="s">
        <v>1143</v>
      </c>
      <c r="C499" s="17">
        <v>2</v>
      </c>
      <c r="D499" s="17">
        <v>0</v>
      </c>
      <c r="E499" s="17">
        <v>2</v>
      </c>
    </row>
    <row r="500" spans="1:5" x14ac:dyDescent="0.3">
      <c r="A500" s="17" t="s">
        <v>1</v>
      </c>
      <c r="B500" s="17" t="s">
        <v>1660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1662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1708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1871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1897</v>
      </c>
      <c r="C504" s="17">
        <v>1</v>
      </c>
      <c r="D504" s="17">
        <v>0</v>
      </c>
      <c r="E504" s="17">
        <v>0</v>
      </c>
    </row>
    <row r="505" spans="1:5" x14ac:dyDescent="0.3">
      <c r="A505" s="17" t="s">
        <v>1</v>
      </c>
      <c r="B505" s="17" t="s">
        <v>1912</v>
      </c>
      <c r="C505" s="17">
        <v>2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1928</v>
      </c>
      <c r="C506" s="17">
        <v>1</v>
      </c>
      <c r="D506" s="17">
        <v>0</v>
      </c>
      <c r="E506" s="17">
        <v>2</v>
      </c>
    </row>
    <row r="507" spans="1:5" x14ac:dyDescent="0.3">
      <c r="A507" s="17" t="s">
        <v>1</v>
      </c>
      <c r="B507" s="17" t="s">
        <v>2115</v>
      </c>
      <c r="C507" s="17">
        <v>2</v>
      </c>
      <c r="D507" s="17">
        <v>0</v>
      </c>
      <c r="E507" s="17">
        <v>2</v>
      </c>
    </row>
    <row r="508" spans="1:5" x14ac:dyDescent="0.3">
      <c r="A508" s="17" t="s">
        <v>1</v>
      </c>
      <c r="B508" s="17" t="s">
        <v>2334</v>
      </c>
      <c r="C508" s="17">
        <v>2</v>
      </c>
      <c r="D508" s="17">
        <v>0</v>
      </c>
      <c r="E508" s="17">
        <v>2</v>
      </c>
    </row>
    <row r="509" spans="1:5" x14ac:dyDescent="0.3">
      <c r="A509" s="17" t="s">
        <v>1</v>
      </c>
      <c r="B509" s="17" t="s">
        <v>2362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2400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2468</v>
      </c>
      <c r="C511" s="17">
        <v>3</v>
      </c>
      <c r="D511" s="17">
        <v>0</v>
      </c>
      <c r="E511" s="17">
        <v>3</v>
      </c>
    </row>
    <row r="512" spans="1:5" x14ac:dyDescent="0.3">
      <c r="A512" s="17" t="s">
        <v>1</v>
      </c>
      <c r="B512" s="17" t="s">
        <v>2441</v>
      </c>
      <c r="C512" s="17">
        <v>2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2404</v>
      </c>
      <c r="C513" s="17">
        <v>2</v>
      </c>
      <c r="D513" s="17">
        <v>0</v>
      </c>
      <c r="E513" s="17">
        <v>3</v>
      </c>
    </row>
    <row r="514" spans="1:5" x14ac:dyDescent="0.3">
      <c r="A514" s="17" t="s">
        <v>1</v>
      </c>
      <c r="B514" s="17" t="s">
        <v>2442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2398</v>
      </c>
      <c r="C515" s="17">
        <v>4</v>
      </c>
      <c r="D515" s="17">
        <v>0</v>
      </c>
      <c r="E515" s="17">
        <v>4</v>
      </c>
    </row>
    <row r="516" spans="1:5" x14ac:dyDescent="0.3">
      <c r="A516" s="17" t="s">
        <v>1</v>
      </c>
      <c r="B516" s="17" t="s">
        <v>2443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2397</v>
      </c>
      <c r="C517" s="17">
        <v>2</v>
      </c>
      <c r="D517" s="17">
        <v>0</v>
      </c>
      <c r="E517" s="17">
        <v>4</v>
      </c>
    </row>
    <row r="518" spans="1:5" x14ac:dyDescent="0.3">
      <c r="A518" s="17" t="s">
        <v>1</v>
      </c>
      <c r="B518" s="17" t="s">
        <v>2616</v>
      </c>
      <c r="C518" s="17">
        <v>2</v>
      </c>
      <c r="D518" s="17">
        <v>0</v>
      </c>
      <c r="E518" s="17">
        <v>2</v>
      </c>
    </row>
    <row r="519" spans="1:5" x14ac:dyDescent="0.3">
      <c r="A519" s="17" t="s">
        <v>1</v>
      </c>
      <c r="B519" s="17" t="s">
        <v>2641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3406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1428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3407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491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1341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946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715</v>
      </c>
      <c r="C526" s="17">
        <v>1</v>
      </c>
      <c r="D526" s="17">
        <v>0</v>
      </c>
      <c r="E526" s="17">
        <v>0</v>
      </c>
    </row>
    <row r="527" spans="1:5" x14ac:dyDescent="0.3">
      <c r="A527" s="17" t="s">
        <v>1</v>
      </c>
      <c r="B527" s="17" t="s">
        <v>840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1821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1619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1754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1789</v>
      </c>
      <c r="C531" s="17">
        <v>1</v>
      </c>
      <c r="D531" s="17">
        <v>0</v>
      </c>
      <c r="E531" s="17">
        <v>0</v>
      </c>
    </row>
    <row r="532" spans="1:5" x14ac:dyDescent="0.3">
      <c r="A532" s="17" t="s">
        <v>1</v>
      </c>
      <c r="B532" s="17" t="s">
        <v>169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172</v>
      </c>
      <c r="C533" s="17">
        <v>2</v>
      </c>
      <c r="D533" s="17">
        <v>0</v>
      </c>
      <c r="E533" s="17">
        <v>2</v>
      </c>
    </row>
    <row r="534" spans="1:5" x14ac:dyDescent="0.3">
      <c r="A534" s="17" t="s">
        <v>1</v>
      </c>
      <c r="B534" s="17" t="s">
        <v>871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1463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872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1464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1828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535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2131</v>
      </c>
      <c r="C540" s="17">
        <v>1</v>
      </c>
      <c r="D540" s="17">
        <v>0</v>
      </c>
      <c r="E540" s="17">
        <v>0</v>
      </c>
    </row>
    <row r="541" spans="1:5" x14ac:dyDescent="0.3">
      <c r="A541" s="17" t="s">
        <v>1</v>
      </c>
      <c r="B541" s="17" t="s">
        <v>493</v>
      </c>
      <c r="C541" s="17">
        <v>1</v>
      </c>
      <c r="D541" s="17">
        <v>0</v>
      </c>
      <c r="E541" s="17">
        <v>0</v>
      </c>
    </row>
    <row r="542" spans="1:5" x14ac:dyDescent="0.3">
      <c r="A542" s="17" t="s">
        <v>1</v>
      </c>
      <c r="B542" s="17" t="s">
        <v>1409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807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876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1263</v>
      </c>
      <c r="C545" s="17">
        <v>1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1320</v>
      </c>
      <c r="C546" s="17">
        <v>1</v>
      </c>
      <c r="D546" s="17">
        <v>0</v>
      </c>
      <c r="E546" s="17">
        <v>0</v>
      </c>
    </row>
    <row r="547" spans="1:5" x14ac:dyDescent="0.3">
      <c r="A547" s="17" t="s">
        <v>1</v>
      </c>
      <c r="B547" s="17" t="s">
        <v>2478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1509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2345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2132</v>
      </c>
      <c r="C550" s="17">
        <v>1</v>
      </c>
      <c r="D550" s="17">
        <v>0</v>
      </c>
      <c r="E550" s="17">
        <v>0</v>
      </c>
    </row>
    <row r="551" spans="1:5" x14ac:dyDescent="0.3">
      <c r="A551" s="17" t="s">
        <v>1</v>
      </c>
      <c r="B551" s="17" t="s">
        <v>1187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657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658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810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116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117</v>
      </c>
      <c r="C556" s="17">
        <v>2</v>
      </c>
      <c r="D556" s="17">
        <v>0</v>
      </c>
      <c r="E556" s="17">
        <v>3</v>
      </c>
    </row>
    <row r="557" spans="1:5" x14ac:dyDescent="0.3">
      <c r="A557" s="17" t="s">
        <v>1</v>
      </c>
      <c r="B557" s="17" t="s">
        <v>2321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1039</v>
      </c>
      <c r="C558" s="17">
        <v>1</v>
      </c>
      <c r="D558" s="17">
        <v>0</v>
      </c>
      <c r="E558" s="17">
        <v>2</v>
      </c>
    </row>
    <row r="559" spans="1:5" x14ac:dyDescent="0.3">
      <c r="A559" s="17" t="s">
        <v>1</v>
      </c>
      <c r="B559" s="17" t="s">
        <v>469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734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372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374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178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2989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2318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1154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2002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2183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1114</v>
      </c>
      <c r="C569" s="17">
        <v>1</v>
      </c>
      <c r="D569" s="17">
        <v>0</v>
      </c>
      <c r="E569" s="17">
        <v>0</v>
      </c>
    </row>
    <row r="570" spans="1:5" x14ac:dyDescent="0.3">
      <c r="A570" s="17" t="s">
        <v>1</v>
      </c>
      <c r="B570" s="17" t="s">
        <v>1040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1297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3408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2090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749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188</v>
      </c>
      <c r="C575" s="17">
        <v>2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2055</v>
      </c>
      <c r="C576" s="17">
        <v>1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129</v>
      </c>
      <c r="C577" s="17">
        <v>1</v>
      </c>
      <c r="D577" s="17">
        <v>0</v>
      </c>
      <c r="E577" s="17">
        <v>2</v>
      </c>
    </row>
    <row r="578" spans="1:5" x14ac:dyDescent="0.3">
      <c r="A578" s="17" t="s">
        <v>1</v>
      </c>
      <c r="B578" s="17" t="s">
        <v>564</v>
      </c>
      <c r="C578" s="17">
        <v>2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842</v>
      </c>
      <c r="C579" s="17">
        <v>1</v>
      </c>
      <c r="D579" s="17">
        <v>0</v>
      </c>
      <c r="E579" s="17">
        <v>0</v>
      </c>
    </row>
    <row r="580" spans="1:5" x14ac:dyDescent="0.3">
      <c r="A580" s="17" t="s">
        <v>1</v>
      </c>
      <c r="B580" s="17" t="s">
        <v>1210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500</v>
      </c>
      <c r="C581" s="17">
        <v>1</v>
      </c>
      <c r="D581" s="17">
        <v>0</v>
      </c>
      <c r="E581" s="17">
        <v>0</v>
      </c>
    </row>
    <row r="582" spans="1:5" x14ac:dyDescent="0.3">
      <c r="A582" s="17" t="s">
        <v>1</v>
      </c>
      <c r="B582" s="17" t="s">
        <v>568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1024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235</v>
      </c>
      <c r="C584" s="17">
        <v>11</v>
      </c>
      <c r="D584" s="17">
        <v>0</v>
      </c>
      <c r="E584" s="17">
        <v>16</v>
      </c>
    </row>
    <row r="585" spans="1:5" x14ac:dyDescent="0.3">
      <c r="A585" s="17" t="s">
        <v>1</v>
      </c>
      <c r="B585" s="17" t="s">
        <v>236</v>
      </c>
      <c r="C585" s="17">
        <v>3</v>
      </c>
      <c r="D585" s="17">
        <v>0</v>
      </c>
      <c r="E585" s="17">
        <v>3</v>
      </c>
    </row>
    <row r="586" spans="1:5" x14ac:dyDescent="0.3">
      <c r="A586" s="17" t="s">
        <v>1</v>
      </c>
      <c r="B586" s="17" t="s">
        <v>196</v>
      </c>
      <c r="C586" s="17">
        <v>12</v>
      </c>
      <c r="D586" s="17">
        <v>0</v>
      </c>
      <c r="E586" s="17">
        <v>23</v>
      </c>
    </row>
    <row r="587" spans="1:5" x14ac:dyDescent="0.3">
      <c r="A587" s="17" t="s">
        <v>1</v>
      </c>
      <c r="B587" s="17" t="s">
        <v>237</v>
      </c>
      <c r="C587" s="17">
        <v>1</v>
      </c>
      <c r="D587" s="17">
        <v>0</v>
      </c>
      <c r="E587" s="17">
        <v>3</v>
      </c>
    </row>
    <row r="588" spans="1:5" x14ac:dyDescent="0.3">
      <c r="A588" s="17" t="s">
        <v>1</v>
      </c>
      <c r="B588" s="17" t="s">
        <v>238</v>
      </c>
      <c r="C588" s="17">
        <v>6</v>
      </c>
      <c r="D588" s="17">
        <v>0</v>
      </c>
      <c r="E588" s="17">
        <v>6</v>
      </c>
    </row>
    <row r="589" spans="1:5" x14ac:dyDescent="0.3">
      <c r="A589" s="17" t="s">
        <v>1</v>
      </c>
      <c r="B589" s="17" t="s">
        <v>239</v>
      </c>
      <c r="C589" s="17">
        <v>3</v>
      </c>
      <c r="D589" s="17">
        <v>0</v>
      </c>
      <c r="E589" s="17">
        <v>8</v>
      </c>
    </row>
    <row r="590" spans="1:5" x14ac:dyDescent="0.3">
      <c r="A590" s="17" t="s">
        <v>1</v>
      </c>
      <c r="B590" s="17" t="s">
        <v>672</v>
      </c>
      <c r="C590" s="17">
        <v>1</v>
      </c>
      <c r="D590" s="17">
        <v>0</v>
      </c>
      <c r="E590" s="17">
        <v>2</v>
      </c>
    </row>
    <row r="591" spans="1:5" x14ac:dyDescent="0.3">
      <c r="A591" s="17" t="s">
        <v>1</v>
      </c>
      <c r="B591" s="17" t="s">
        <v>240</v>
      </c>
      <c r="C591" s="17">
        <v>6</v>
      </c>
      <c r="D591" s="17">
        <v>0</v>
      </c>
      <c r="E591" s="17">
        <v>16</v>
      </c>
    </row>
    <row r="592" spans="1:5" x14ac:dyDescent="0.3">
      <c r="A592" s="17" t="s">
        <v>1</v>
      </c>
      <c r="B592" s="17" t="s">
        <v>673</v>
      </c>
      <c r="C592" s="17">
        <v>3</v>
      </c>
      <c r="D592" s="17">
        <v>0</v>
      </c>
      <c r="E592" s="17">
        <v>4</v>
      </c>
    </row>
    <row r="593" spans="1:5" x14ac:dyDescent="0.3">
      <c r="A593" s="17" t="s">
        <v>1</v>
      </c>
      <c r="B593" s="17" t="s">
        <v>377</v>
      </c>
      <c r="C593" s="17">
        <v>2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477</v>
      </c>
      <c r="C594" s="17">
        <v>5</v>
      </c>
      <c r="D594" s="17">
        <v>0</v>
      </c>
      <c r="E594" s="17">
        <v>5</v>
      </c>
    </row>
    <row r="595" spans="1:5" x14ac:dyDescent="0.3">
      <c r="A595" s="17" t="s">
        <v>1</v>
      </c>
      <c r="B595" s="17" t="s">
        <v>1207</v>
      </c>
      <c r="C595" s="17">
        <v>1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1239</v>
      </c>
      <c r="C596" s="17">
        <v>0</v>
      </c>
      <c r="D596" s="17">
        <v>1</v>
      </c>
      <c r="E596" s="17"/>
    </row>
    <row r="597" spans="1:5" x14ac:dyDescent="0.3">
      <c r="A597" s="17" t="s">
        <v>1</v>
      </c>
      <c r="B597" s="17" t="s">
        <v>571</v>
      </c>
      <c r="C597" s="17">
        <v>0</v>
      </c>
      <c r="D597" s="17">
        <v>1</v>
      </c>
      <c r="E597" s="17"/>
    </row>
    <row r="598" spans="1:5" x14ac:dyDescent="0.3">
      <c r="A598" s="17" t="s">
        <v>1</v>
      </c>
      <c r="B598" s="17" t="s">
        <v>1804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2179</v>
      </c>
      <c r="C599" s="17">
        <v>0</v>
      </c>
      <c r="D599" s="17">
        <v>0</v>
      </c>
      <c r="E599" s="17"/>
    </row>
    <row r="600" spans="1:5" x14ac:dyDescent="0.3">
      <c r="A600" s="17" t="s">
        <v>1</v>
      </c>
      <c r="B600" s="17" t="s">
        <v>831</v>
      </c>
      <c r="C600" s="17">
        <v>0</v>
      </c>
      <c r="D600" s="17">
        <v>2</v>
      </c>
      <c r="E600" s="17"/>
    </row>
    <row r="601" spans="1:5" x14ac:dyDescent="0.3">
      <c r="A601" s="17" t="s">
        <v>1</v>
      </c>
      <c r="B601" s="17" t="s">
        <v>3409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850</v>
      </c>
      <c r="C602" s="17">
        <v>2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969</v>
      </c>
      <c r="C603" s="17">
        <v>0</v>
      </c>
      <c r="D603" s="17">
        <v>1</v>
      </c>
      <c r="E603" s="17"/>
    </row>
    <row r="604" spans="1:5" x14ac:dyDescent="0.3">
      <c r="A604" s="17" t="s">
        <v>1</v>
      </c>
      <c r="B604" s="17" t="s">
        <v>1030</v>
      </c>
      <c r="C604" s="17">
        <v>0</v>
      </c>
      <c r="D604" s="17">
        <v>1</v>
      </c>
      <c r="E604" s="17"/>
    </row>
    <row r="605" spans="1:5" x14ac:dyDescent="0.3">
      <c r="A605" s="17" t="s">
        <v>1</v>
      </c>
      <c r="B605" s="17" t="s">
        <v>1459</v>
      </c>
      <c r="C605" s="17">
        <v>1</v>
      </c>
      <c r="D605" s="17">
        <v>0</v>
      </c>
      <c r="E605" s="17">
        <v>2</v>
      </c>
    </row>
    <row r="606" spans="1:5" x14ac:dyDescent="0.3">
      <c r="A606" s="17" t="s">
        <v>0</v>
      </c>
      <c r="B606" s="17" t="s">
        <v>242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0</v>
      </c>
      <c r="B607" s="17" t="s">
        <v>269</v>
      </c>
      <c r="C607" s="17">
        <v>1</v>
      </c>
      <c r="D607" s="17">
        <v>0</v>
      </c>
      <c r="E607" s="17">
        <v>5</v>
      </c>
    </row>
    <row r="608" spans="1:5" x14ac:dyDescent="0.3">
      <c r="A608" s="17" t="s">
        <v>0</v>
      </c>
      <c r="B608" s="17" t="s">
        <v>479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0</v>
      </c>
      <c r="B609" s="17" t="s">
        <v>908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0</v>
      </c>
      <c r="B610" s="17" t="s">
        <v>279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0</v>
      </c>
      <c r="B611" s="17" t="s">
        <v>155</v>
      </c>
      <c r="C611" s="17">
        <v>1</v>
      </c>
      <c r="D611" s="17">
        <v>0</v>
      </c>
      <c r="E611" s="17">
        <v>2</v>
      </c>
    </row>
    <row r="612" spans="1:5" x14ac:dyDescent="0.3">
      <c r="A612" s="17" t="s">
        <v>0</v>
      </c>
      <c r="B612" s="17" t="s">
        <v>2074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0</v>
      </c>
      <c r="B613" s="17" t="s">
        <v>2692</v>
      </c>
      <c r="C613" s="17">
        <v>2</v>
      </c>
      <c r="D613" s="17">
        <v>0</v>
      </c>
      <c r="E613" s="17">
        <v>2</v>
      </c>
    </row>
    <row r="614" spans="1:5" x14ac:dyDescent="0.3">
      <c r="A614" s="17" t="s">
        <v>0</v>
      </c>
      <c r="B614" s="17" t="s">
        <v>2396</v>
      </c>
      <c r="C614" s="17">
        <v>2</v>
      </c>
      <c r="D614" s="17">
        <v>0</v>
      </c>
      <c r="E614" s="17">
        <v>2</v>
      </c>
    </row>
    <row r="615" spans="1:5" x14ac:dyDescent="0.3">
      <c r="A615" s="17" t="s">
        <v>0</v>
      </c>
      <c r="B615" s="17" t="s">
        <v>3036</v>
      </c>
      <c r="C615" s="17">
        <v>1</v>
      </c>
      <c r="D615" s="17">
        <v>0</v>
      </c>
      <c r="E615" s="17">
        <v>2</v>
      </c>
    </row>
    <row r="616" spans="1:5" x14ac:dyDescent="0.3">
      <c r="A616" s="17" t="s">
        <v>0</v>
      </c>
      <c r="B616" s="17" t="s">
        <v>3328</v>
      </c>
      <c r="C616" s="17">
        <v>2</v>
      </c>
      <c r="D616" s="17">
        <v>0</v>
      </c>
      <c r="E616" s="17">
        <v>6</v>
      </c>
    </row>
    <row r="617" spans="1:5" x14ac:dyDescent="0.3">
      <c r="A617" s="17" t="s">
        <v>0</v>
      </c>
      <c r="B617" s="17" t="s">
        <v>3327</v>
      </c>
      <c r="C617" s="17">
        <v>3</v>
      </c>
      <c r="D617" s="17">
        <v>0</v>
      </c>
      <c r="E617" s="17">
        <v>7</v>
      </c>
    </row>
    <row r="618" spans="1:5" x14ac:dyDescent="0.3">
      <c r="A618" s="17" t="s">
        <v>0</v>
      </c>
      <c r="B618" s="17" t="s">
        <v>1221</v>
      </c>
      <c r="C618" s="17">
        <v>1</v>
      </c>
      <c r="D618" s="17">
        <v>0</v>
      </c>
      <c r="E618" s="17">
        <v>2</v>
      </c>
    </row>
    <row r="619" spans="1:5" x14ac:dyDescent="0.3">
      <c r="A619" s="17" t="s">
        <v>0</v>
      </c>
      <c r="B619" s="17" t="s">
        <v>1168</v>
      </c>
      <c r="C619" s="17">
        <v>1</v>
      </c>
      <c r="D619" s="17">
        <v>0</v>
      </c>
      <c r="E619" s="17">
        <v>2</v>
      </c>
    </row>
    <row r="620" spans="1:5" x14ac:dyDescent="0.3">
      <c r="A620" s="17" t="s">
        <v>0</v>
      </c>
      <c r="B620" s="17" t="s">
        <v>542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0</v>
      </c>
      <c r="B621" s="18" t="s">
        <v>1432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0</v>
      </c>
      <c r="B622" s="18" t="s">
        <v>603</v>
      </c>
      <c r="C622" s="18">
        <v>1</v>
      </c>
      <c r="D622" s="18">
        <v>0</v>
      </c>
      <c r="E622" s="18">
        <v>0</v>
      </c>
    </row>
    <row r="623" spans="1:5" x14ac:dyDescent="0.3">
      <c r="A623" s="18" t="s">
        <v>0</v>
      </c>
      <c r="B623" s="18" t="s">
        <v>697</v>
      </c>
      <c r="C623" s="18">
        <v>1</v>
      </c>
      <c r="D623" s="18">
        <v>0</v>
      </c>
      <c r="E623" s="18">
        <v>5</v>
      </c>
    </row>
    <row r="624" spans="1:5" x14ac:dyDescent="0.3">
      <c r="A624" s="18" t="s">
        <v>0</v>
      </c>
      <c r="B624" s="18" t="s">
        <v>2090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0</v>
      </c>
      <c r="B625" s="18" t="s">
        <v>1900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0</v>
      </c>
      <c r="B626" s="18" t="s">
        <v>235</v>
      </c>
      <c r="C626" s="18">
        <v>2</v>
      </c>
      <c r="D626" s="18">
        <v>0</v>
      </c>
      <c r="E626" s="18">
        <v>3</v>
      </c>
    </row>
    <row r="627" spans="1:5" x14ac:dyDescent="0.3">
      <c r="A627" s="18" t="s">
        <v>0</v>
      </c>
      <c r="B627" s="18" t="s">
        <v>195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0</v>
      </c>
      <c r="B628" s="18" t="s">
        <v>476</v>
      </c>
      <c r="C628" s="18">
        <v>1</v>
      </c>
      <c r="D628" s="18">
        <v>0</v>
      </c>
      <c r="E628" s="18">
        <v>2</v>
      </c>
    </row>
    <row r="629" spans="1:5" x14ac:dyDescent="0.3">
      <c r="A629" s="18" t="s">
        <v>0</v>
      </c>
      <c r="B629" s="18" t="s">
        <v>196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0</v>
      </c>
      <c r="B630" s="18" t="s">
        <v>237</v>
      </c>
      <c r="C630" s="18">
        <v>1</v>
      </c>
      <c r="D630" s="18">
        <v>0</v>
      </c>
      <c r="E630" s="18">
        <v>5</v>
      </c>
    </row>
    <row r="631" spans="1:5" x14ac:dyDescent="0.3">
      <c r="A631" s="18" t="s">
        <v>0</v>
      </c>
      <c r="B631" s="18" t="s">
        <v>54</v>
      </c>
      <c r="C631" s="18">
        <v>1</v>
      </c>
      <c r="D631" s="18">
        <v>0</v>
      </c>
      <c r="E631" s="18">
        <v>2</v>
      </c>
    </row>
    <row r="632" spans="1:5" x14ac:dyDescent="0.3">
      <c r="A632" s="18" t="s">
        <v>0</v>
      </c>
      <c r="B632" s="18" t="s">
        <v>55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0</v>
      </c>
      <c r="B633" s="18" t="s">
        <v>382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0</v>
      </c>
      <c r="B634" s="18" t="s">
        <v>3410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0</v>
      </c>
      <c r="B635" s="18" t="s">
        <v>1516</v>
      </c>
      <c r="C635" s="18">
        <v>0</v>
      </c>
      <c r="D635" s="18">
        <v>1</v>
      </c>
    </row>
    <row r="636" spans="1:5" x14ac:dyDescent="0.3">
      <c r="A636" s="18" t="s">
        <v>0</v>
      </c>
      <c r="B636" s="18" t="s">
        <v>32</v>
      </c>
      <c r="C636" s="18">
        <v>2</v>
      </c>
      <c r="D636" s="18">
        <v>0</v>
      </c>
      <c r="E636" s="18">
        <v>3</v>
      </c>
    </row>
    <row r="637" spans="1:5" x14ac:dyDescent="0.3">
      <c r="A637" s="18" t="s">
        <v>2</v>
      </c>
      <c r="B637" s="18" t="s">
        <v>393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2</v>
      </c>
      <c r="B638" s="18" t="s">
        <v>2401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2</v>
      </c>
      <c r="B639" s="18" t="s">
        <v>3361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2</v>
      </c>
      <c r="B640" s="18" t="s">
        <v>3397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2</v>
      </c>
      <c r="B641" s="18" t="s">
        <v>2987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2</v>
      </c>
      <c r="B642" s="18" t="s">
        <v>196</v>
      </c>
      <c r="C642" s="18">
        <v>1</v>
      </c>
      <c r="D642" s="18">
        <v>0</v>
      </c>
      <c r="E642" s="18">
        <v>3</v>
      </c>
    </row>
    <row r="643" spans="1:5" x14ac:dyDescent="0.3">
      <c r="A643" s="18" t="s">
        <v>2</v>
      </c>
      <c r="B643" s="18" t="s">
        <v>138</v>
      </c>
      <c r="C643" s="18">
        <v>1</v>
      </c>
      <c r="D643" s="18">
        <v>0</v>
      </c>
      <c r="E643" s="18">
        <v>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B5050-8FA9-419F-AC1F-3E4157252F5E}">
  <sheetPr codeName="Sheet57"/>
  <dimension ref="A1:M620"/>
  <sheetViews>
    <sheetView workbookViewId="0">
      <selection activeCell="A2" sqref="A2:E53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59</v>
      </c>
      <c r="D2" s="17">
        <v>48</v>
      </c>
      <c r="E2" s="17">
        <v>59</v>
      </c>
    </row>
    <row r="3" spans="1:13" customFormat="1" x14ac:dyDescent="0.3">
      <c r="A3" s="17" t="s">
        <v>0</v>
      </c>
      <c r="B3" s="17" t="s">
        <v>3361</v>
      </c>
      <c r="C3" s="17">
        <v>52</v>
      </c>
      <c r="D3" s="17">
        <v>40</v>
      </c>
      <c r="E3" s="17">
        <v>53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3397</v>
      </c>
      <c r="C4" s="17">
        <v>38</v>
      </c>
      <c r="D4" s="17">
        <v>30</v>
      </c>
      <c r="E4" s="17">
        <v>41</v>
      </c>
      <c r="G4" s="23" t="s">
        <v>8</v>
      </c>
      <c r="H4" s="19">
        <f>H13+H14</f>
        <v>790</v>
      </c>
      <c r="I4" s="20">
        <f>H4/H$6</f>
        <v>0.67062818336162988</v>
      </c>
      <c r="J4" s="19">
        <f>I13+I14</f>
        <v>469</v>
      </c>
      <c r="K4" s="20">
        <f>J4/J$6</f>
        <v>0.5982142857142857</v>
      </c>
      <c r="L4" s="19">
        <f>J13+J14</f>
        <v>857</v>
      </c>
      <c r="M4" s="29">
        <f>L4/L$6</f>
        <v>0.66434108527131785</v>
      </c>
    </row>
    <row r="5" spans="1:13" customFormat="1" x14ac:dyDescent="0.3">
      <c r="A5" s="17" t="s">
        <v>1</v>
      </c>
      <c r="B5" s="17" t="s">
        <v>30</v>
      </c>
      <c r="C5" s="17">
        <v>53</v>
      </c>
      <c r="D5" s="17">
        <v>22</v>
      </c>
      <c r="E5" s="17">
        <v>85</v>
      </c>
      <c r="G5" s="23" t="s">
        <v>10</v>
      </c>
      <c r="H5" s="19">
        <f>H15+H16</f>
        <v>388</v>
      </c>
      <c r="I5" s="20">
        <f>H5/H$6</f>
        <v>0.32937181663837012</v>
      </c>
      <c r="J5" s="19">
        <f>I15+I16</f>
        <v>315</v>
      </c>
      <c r="K5" s="20">
        <f>J5/J$6</f>
        <v>0.4017857142857143</v>
      </c>
      <c r="L5" s="19">
        <f>J15+J16</f>
        <v>433</v>
      </c>
      <c r="M5" s="29">
        <f>L5/L$6</f>
        <v>0.33565891472868215</v>
      </c>
    </row>
    <row r="6" spans="1:13" customFormat="1" ht="17.25" thickBot="1" x14ac:dyDescent="0.35">
      <c r="A6" s="17" t="s">
        <v>0</v>
      </c>
      <c r="B6" s="17" t="s">
        <v>29</v>
      </c>
      <c r="C6" s="17">
        <v>21</v>
      </c>
      <c r="D6" s="17">
        <v>21</v>
      </c>
      <c r="E6" s="17">
        <v>22</v>
      </c>
      <c r="G6" s="26"/>
      <c r="H6" s="30">
        <f>SUM(H4:H5)</f>
        <v>1178</v>
      </c>
      <c r="I6" s="31">
        <f>I4+I5</f>
        <v>1</v>
      </c>
      <c r="J6" s="30">
        <f>SUM(J4:J5)</f>
        <v>784</v>
      </c>
      <c r="K6" s="31">
        <f>K4+K5</f>
        <v>1</v>
      </c>
      <c r="L6" s="30">
        <f>SUM(L4:L5)</f>
        <v>1290</v>
      </c>
      <c r="M6" s="32">
        <f>M4+M5</f>
        <v>1</v>
      </c>
    </row>
    <row r="7" spans="1:13" customFormat="1" x14ac:dyDescent="0.3">
      <c r="A7" s="17" t="s">
        <v>1</v>
      </c>
      <c r="B7" s="17" t="s">
        <v>365</v>
      </c>
      <c r="C7" s="17">
        <v>17</v>
      </c>
      <c r="D7" s="17">
        <v>14</v>
      </c>
      <c r="E7" s="17">
        <v>20</v>
      </c>
    </row>
    <row r="8" spans="1:13" customFormat="1" x14ac:dyDescent="0.3">
      <c r="A8" s="17" t="s">
        <v>1</v>
      </c>
      <c r="B8" s="17" t="s">
        <v>37</v>
      </c>
      <c r="C8" s="17">
        <v>16</v>
      </c>
      <c r="D8" s="17">
        <v>14</v>
      </c>
      <c r="E8" s="17">
        <v>16</v>
      </c>
    </row>
    <row r="9" spans="1:13" customFormat="1" x14ac:dyDescent="0.3">
      <c r="A9" s="17" t="s">
        <v>0</v>
      </c>
      <c r="B9" s="17" t="s">
        <v>31</v>
      </c>
      <c r="C9" s="17">
        <v>14</v>
      </c>
      <c r="D9" s="17">
        <v>14</v>
      </c>
      <c r="E9" s="17">
        <v>15</v>
      </c>
    </row>
    <row r="10" spans="1:13" customFormat="1" ht="17.25" thickBot="1" x14ac:dyDescent="0.35">
      <c r="A10" s="17" t="s">
        <v>1</v>
      </c>
      <c r="B10" s="17" t="s">
        <v>2572</v>
      </c>
      <c r="C10" s="17">
        <v>11</v>
      </c>
      <c r="D10" s="17">
        <v>7</v>
      </c>
      <c r="E10" s="17">
        <v>11</v>
      </c>
    </row>
    <row r="11" spans="1:13" x14ac:dyDescent="0.3">
      <c r="A11" s="17" t="s">
        <v>1</v>
      </c>
      <c r="B11" s="17" t="s">
        <v>29</v>
      </c>
      <c r="C11" s="17">
        <v>7</v>
      </c>
      <c r="D11" s="17">
        <v>7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31</v>
      </c>
      <c r="C12" s="17">
        <v>7</v>
      </c>
      <c r="D12" s="17">
        <v>7</v>
      </c>
      <c r="E12" s="17">
        <v>7</v>
      </c>
      <c r="G12" s="23"/>
      <c r="H12" s="21">
        <f t="shared" ref="H12:J12" si="0">SUM(H13:H16)</f>
        <v>1178</v>
      </c>
      <c r="I12" s="21">
        <f t="shared" si="0"/>
        <v>784</v>
      </c>
      <c r="J12" s="24">
        <f t="shared" si="0"/>
        <v>1290</v>
      </c>
    </row>
    <row r="13" spans="1:13" x14ac:dyDescent="0.3">
      <c r="A13" s="17" t="s">
        <v>1</v>
      </c>
      <c r="B13" s="17" t="s">
        <v>61</v>
      </c>
      <c r="C13" s="17">
        <v>6</v>
      </c>
      <c r="D13" s="17">
        <v>6</v>
      </c>
      <c r="E13" s="17">
        <v>6</v>
      </c>
      <c r="G13" s="23" t="s">
        <v>7</v>
      </c>
      <c r="H13" s="22">
        <f t="shared" ref="H13:J16" si="1">SUMIF($A$2:$A$9999,$G13,C$2:C$9999)</f>
        <v>790</v>
      </c>
      <c r="I13" s="22">
        <f t="shared" si="1"/>
        <v>469</v>
      </c>
      <c r="J13" s="25">
        <f t="shared" si="1"/>
        <v>857</v>
      </c>
    </row>
    <row r="14" spans="1:13" x14ac:dyDescent="0.3">
      <c r="A14" s="17" t="s">
        <v>1</v>
      </c>
      <c r="B14" s="17" t="s">
        <v>1927</v>
      </c>
      <c r="C14" s="17">
        <v>7</v>
      </c>
      <c r="D14" s="17">
        <v>6</v>
      </c>
      <c r="E14" s="17">
        <v>8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2075</v>
      </c>
      <c r="C15" s="17">
        <v>7</v>
      </c>
      <c r="D15" s="17">
        <v>6</v>
      </c>
      <c r="E15" s="17">
        <v>8</v>
      </c>
      <c r="G15" s="23" t="s">
        <v>11</v>
      </c>
      <c r="H15" s="22">
        <f t="shared" si="1"/>
        <v>378</v>
      </c>
      <c r="I15" s="22">
        <f t="shared" si="1"/>
        <v>308</v>
      </c>
      <c r="J15" s="25">
        <f t="shared" si="1"/>
        <v>422</v>
      </c>
    </row>
    <row r="16" spans="1:13" ht="17.25" thickBot="1" x14ac:dyDescent="0.35">
      <c r="A16" s="17" t="s">
        <v>1</v>
      </c>
      <c r="B16" s="17" t="s">
        <v>113</v>
      </c>
      <c r="C16" s="17">
        <v>7</v>
      </c>
      <c r="D16" s="17">
        <v>6</v>
      </c>
      <c r="E16" s="17">
        <v>7</v>
      </c>
      <c r="G16" s="26" t="s">
        <v>12</v>
      </c>
      <c r="H16" s="27">
        <f t="shared" si="1"/>
        <v>10</v>
      </c>
      <c r="I16" s="27">
        <f t="shared" si="1"/>
        <v>7</v>
      </c>
      <c r="J16" s="28">
        <f t="shared" si="1"/>
        <v>11</v>
      </c>
    </row>
    <row r="17" spans="1:5" x14ac:dyDescent="0.3">
      <c r="A17" s="17" t="s">
        <v>1</v>
      </c>
      <c r="B17" s="17" t="s">
        <v>51</v>
      </c>
      <c r="C17" s="17">
        <v>6</v>
      </c>
      <c r="D17" s="17">
        <v>6</v>
      </c>
      <c r="E17" s="17">
        <v>8</v>
      </c>
    </row>
    <row r="18" spans="1:5" x14ac:dyDescent="0.3">
      <c r="A18" s="17" t="s">
        <v>0</v>
      </c>
      <c r="B18" s="17" t="s">
        <v>365</v>
      </c>
      <c r="C18" s="17">
        <v>8</v>
      </c>
      <c r="D18" s="17">
        <v>6</v>
      </c>
      <c r="E18" s="17">
        <v>8</v>
      </c>
    </row>
    <row r="19" spans="1:5" x14ac:dyDescent="0.3">
      <c r="A19" s="17" t="s">
        <v>0</v>
      </c>
      <c r="B19" s="17" t="s">
        <v>122</v>
      </c>
      <c r="C19" s="17">
        <v>6</v>
      </c>
      <c r="D19" s="17">
        <v>6</v>
      </c>
      <c r="E19" s="17">
        <v>6</v>
      </c>
    </row>
    <row r="20" spans="1:5" x14ac:dyDescent="0.3">
      <c r="A20" s="17" t="s">
        <v>0</v>
      </c>
      <c r="B20" s="17" t="s">
        <v>52</v>
      </c>
      <c r="C20" s="17">
        <v>6</v>
      </c>
      <c r="D20" s="17">
        <v>6</v>
      </c>
      <c r="E20" s="17">
        <v>8</v>
      </c>
    </row>
    <row r="21" spans="1:5" x14ac:dyDescent="0.3">
      <c r="A21" s="17" t="s">
        <v>1</v>
      </c>
      <c r="B21" s="17" t="s">
        <v>1946</v>
      </c>
      <c r="C21" s="17">
        <v>9</v>
      </c>
      <c r="D21" s="17">
        <v>5</v>
      </c>
      <c r="E21" s="17">
        <v>10</v>
      </c>
    </row>
    <row r="22" spans="1:5" x14ac:dyDescent="0.3">
      <c r="A22" s="17" t="s">
        <v>0</v>
      </c>
      <c r="B22" s="17" t="s">
        <v>30</v>
      </c>
      <c r="C22" s="17">
        <v>11</v>
      </c>
      <c r="D22" s="17">
        <v>5</v>
      </c>
      <c r="E22" s="17">
        <v>24</v>
      </c>
    </row>
    <row r="23" spans="1:5" x14ac:dyDescent="0.3">
      <c r="A23" s="17" t="s">
        <v>1</v>
      </c>
      <c r="B23" s="17" t="s">
        <v>48</v>
      </c>
      <c r="C23" s="17">
        <v>9</v>
      </c>
      <c r="D23" s="17">
        <v>4</v>
      </c>
      <c r="E23" s="17">
        <v>9</v>
      </c>
    </row>
    <row r="24" spans="1:5" x14ac:dyDescent="0.3">
      <c r="A24" s="17" t="s">
        <v>1</v>
      </c>
      <c r="B24" s="17" t="s">
        <v>79</v>
      </c>
      <c r="C24" s="17">
        <v>5</v>
      </c>
      <c r="D24" s="17">
        <v>4</v>
      </c>
      <c r="E24" s="17">
        <v>4</v>
      </c>
    </row>
    <row r="25" spans="1:5" x14ac:dyDescent="0.3">
      <c r="A25" s="17" t="s">
        <v>1</v>
      </c>
      <c r="B25" s="17" t="s">
        <v>247</v>
      </c>
      <c r="C25" s="17">
        <v>7</v>
      </c>
      <c r="D25" s="17">
        <v>4</v>
      </c>
      <c r="E25" s="17">
        <v>9</v>
      </c>
    </row>
    <row r="26" spans="1:5" x14ac:dyDescent="0.3">
      <c r="A26" s="17" t="s">
        <v>1</v>
      </c>
      <c r="B26" s="17" t="s">
        <v>1314</v>
      </c>
      <c r="C26" s="17">
        <v>5</v>
      </c>
      <c r="D26" s="17">
        <v>4</v>
      </c>
      <c r="E26" s="17">
        <v>5</v>
      </c>
    </row>
    <row r="27" spans="1:5" x14ac:dyDescent="0.3">
      <c r="A27" s="17" t="s">
        <v>1</v>
      </c>
      <c r="B27" s="17" t="s">
        <v>281</v>
      </c>
      <c r="C27" s="17">
        <v>7</v>
      </c>
      <c r="D27" s="17">
        <v>4</v>
      </c>
      <c r="E27" s="17">
        <v>8</v>
      </c>
    </row>
    <row r="28" spans="1:5" x14ac:dyDescent="0.3">
      <c r="A28" s="17" t="s">
        <v>1</v>
      </c>
      <c r="B28" s="17" t="s">
        <v>96</v>
      </c>
      <c r="C28" s="17">
        <v>5</v>
      </c>
      <c r="D28" s="17">
        <v>4</v>
      </c>
      <c r="E28" s="17">
        <v>6</v>
      </c>
    </row>
    <row r="29" spans="1:5" x14ac:dyDescent="0.3">
      <c r="A29" s="17" t="s">
        <v>1</v>
      </c>
      <c r="B29" s="17" t="s">
        <v>2692</v>
      </c>
      <c r="C29" s="17">
        <v>10</v>
      </c>
      <c r="D29" s="17">
        <v>4</v>
      </c>
      <c r="E29" s="17">
        <v>12</v>
      </c>
    </row>
    <row r="30" spans="1:5" x14ac:dyDescent="0.3">
      <c r="A30" s="17" t="s">
        <v>1</v>
      </c>
      <c r="B30" s="17" t="s">
        <v>3361</v>
      </c>
      <c r="C30" s="17">
        <v>7</v>
      </c>
      <c r="D30" s="17">
        <v>4</v>
      </c>
      <c r="E30" s="17">
        <v>8</v>
      </c>
    </row>
    <row r="31" spans="1:5" x14ac:dyDescent="0.3">
      <c r="A31" s="17" t="s">
        <v>1</v>
      </c>
      <c r="B31" s="17" t="s">
        <v>103</v>
      </c>
      <c r="C31" s="17">
        <v>6</v>
      </c>
      <c r="D31" s="17">
        <v>4</v>
      </c>
      <c r="E31" s="17">
        <v>7</v>
      </c>
    </row>
    <row r="32" spans="1:5" x14ac:dyDescent="0.3">
      <c r="A32" s="17" t="s">
        <v>1</v>
      </c>
      <c r="B32" s="17" t="s">
        <v>591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200</v>
      </c>
      <c r="C33" s="17">
        <v>5</v>
      </c>
      <c r="D33" s="17">
        <v>4</v>
      </c>
      <c r="E33" s="17">
        <v>7</v>
      </c>
    </row>
    <row r="34" spans="1:5" x14ac:dyDescent="0.3">
      <c r="A34" s="17" t="s">
        <v>1</v>
      </c>
      <c r="B34" s="17" t="s">
        <v>126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195</v>
      </c>
      <c r="C35" s="17">
        <v>9</v>
      </c>
      <c r="D35" s="17">
        <v>4</v>
      </c>
      <c r="E35" s="17">
        <v>10</v>
      </c>
    </row>
    <row r="36" spans="1:5" x14ac:dyDescent="0.3">
      <c r="A36" s="17" t="s">
        <v>0</v>
      </c>
      <c r="B36" s="17" t="s">
        <v>79</v>
      </c>
      <c r="C36" s="17">
        <v>4</v>
      </c>
      <c r="D36" s="17">
        <v>4</v>
      </c>
      <c r="E36" s="17">
        <v>4</v>
      </c>
    </row>
    <row r="37" spans="1:5" x14ac:dyDescent="0.3">
      <c r="A37" s="17" t="s">
        <v>0</v>
      </c>
      <c r="B37" s="17" t="s">
        <v>60</v>
      </c>
      <c r="C37" s="17">
        <v>4</v>
      </c>
      <c r="D37" s="17">
        <v>4</v>
      </c>
      <c r="E37" s="17">
        <v>4</v>
      </c>
    </row>
    <row r="38" spans="1:5" x14ac:dyDescent="0.3">
      <c r="A38" s="17" t="s">
        <v>0</v>
      </c>
      <c r="B38" s="17" t="s">
        <v>61</v>
      </c>
      <c r="C38" s="17">
        <v>4</v>
      </c>
      <c r="D38" s="17">
        <v>4</v>
      </c>
      <c r="E38" s="17">
        <v>5</v>
      </c>
    </row>
    <row r="39" spans="1:5" x14ac:dyDescent="0.3">
      <c r="A39" s="17" t="s">
        <v>0</v>
      </c>
      <c r="B39" s="17" t="s">
        <v>96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389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2944</v>
      </c>
      <c r="C41" s="17">
        <v>5</v>
      </c>
      <c r="D41" s="17">
        <v>3</v>
      </c>
      <c r="E41" s="17">
        <v>5</v>
      </c>
    </row>
    <row r="42" spans="1:5" x14ac:dyDescent="0.3">
      <c r="A42" s="17" t="s">
        <v>1</v>
      </c>
      <c r="B42" s="17" t="s">
        <v>526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168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291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115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345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32</v>
      </c>
      <c r="C47" s="17">
        <v>4</v>
      </c>
      <c r="D47" s="17">
        <v>3</v>
      </c>
      <c r="E47" s="17">
        <v>7</v>
      </c>
    </row>
    <row r="48" spans="1:5" x14ac:dyDescent="0.3">
      <c r="A48" s="17" t="s">
        <v>0</v>
      </c>
      <c r="B48" s="17" t="s">
        <v>34</v>
      </c>
      <c r="C48" s="17">
        <v>3</v>
      </c>
      <c r="D48" s="17">
        <v>3</v>
      </c>
      <c r="E48" s="17">
        <v>3</v>
      </c>
    </row>
    <row r="49" spans="1:5" x14ac:dyDescent="0.3">
      <c r="A49" s="17" t="s">
        <v>0</v>
      </c>
      <c r="B49" s="17" t="s">
        <v>35</v>
      </c>
      <c r="C49" s="17">
        <v>3</v>
      </c>
      <c r="D49" s="17">
        <v>3</v>
      </c>
      <c r="E49" s="17">
        <v>3</v>
      </c>
    </row>
    <row r="50" spans="1:5" x14ac:dyDescent="0.3">
      <c r="A50" s="17" t="s">
        <v>0</v>
      </c>
      <c r="B50" s="17" t="s">
        <v>1479</v>
      </c>
      <c r="C50" s="17">
        <v>3</v>
      </c>
      <c r="D50" s="17">
        <v>3</v>
      </c>
      <c r="E50" s="17">
        <v>3</v>
      </c>
    </row>
    <row r="51" spans="1:5" x14ac:dyDescent="0.3">
      <c r="A51" s="17" t="s">
        <v>0</v>
      </c>
      <c r="B51" s="17" t="s">
        <v>199</v>
      </c>
      <c r="C51" s="17">
        <v>5</v>
      </c>
      <c r="D51" s="17">
        <v>3</v>
      </c>
      <c r="E51" s="17">
        <v>5</v>
      </c>
    </row>
    <row r="52" spans="1:5" x14ac:dyDescent="0.3">
      <c r="A52" s="17" t="s">
        <v>0</v>
      </c>
      <c r="B52" s="17" t="s">
        <v>597</v>
      </c>
      <c r="C52" s="17">
        <v>3</v>
      </c>
      <c r="D52" s="17">
        <v>3</v>
      </c>
      <c r="E52" s="17">
        <v>3</v>
      </c>
    </row>
    <row r="53" spans="1:5" x14ac:dyDescent="0.3">
      <c r="A53" s="17" t="s">
        <v>0</v>
      </c>
      <c r="B53" s="17" t="s">
        <v>305</v>
      </c>
      <c r="C53" s="17">
        <v>3</v>
      </c>
      <c r="D53" s="17">
        <v>3</v>
      </c>
      <c r="E53" s="17">
        <v>3</v>
      </c>
    </row>
    <row r="54" spans="1:5" x14ac:dyDescent="0.3">
      <c r="A54" s="17" t="s">
        <v>0</v>
      </c>
      <c r="B54" s="17" t="s">
        <v>39</v>
      </c>
      <c r="C54" s="17">
        <v>4</v>
      </c>
      <c r="D54" s="17">
        <v>3</v>
      </c>
      <c r="E54" s="17">
        <v>7</v>
      </c>
    </row>
    <row r="55" spans="1:5" x14ac:dyDescent="0.3">
      <c r="A55" s="17" t="s">
        <v>1</v>
      </c>
      <c r="B55" s="17" t="s">
        <v>503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33</v>
      </c>
      <c r="C56" s="17">
        <v>8</v>
      </c>
      <c r="D56" s="17">
        <v>2</v>
      </c>
      <c r="E56" s="17">
        <v>6</v>
      </c>
    </row>
    <row r="57" spans="1:5" x14ac:dyDescent="0.3">
      <c r="A57" s="17" t="s">
        <v>1</v>
      </c>
      <c r="B57" s="17" t="s">
        <v>273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83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151</v>
      </c>
      <c r="C59" s="17">
        <v>3</v>
      </c>
      <c r="D59" s="17">
        <v>2</v>
      </c>
      <c r="E59" s="17">
        <v>3</v>
      </c>
    </row>
    <row r="60" spans="1:5" x14ac:dyDescent="0.3">
      <c r="A60" s="17" t="s">
        <v>1</v>
      </c>
      <c r="B60" s="17" t="s">
        <v>93</v>
      </c>
      <c r="C60" s="17">
        <v>2</v>
      </c>
      <c r="D60" s="17">
        <v>2</v>
      </c>
      <c r="E60" s="17">
        <v>3</v>
      </c>
    </row>
    <row r="61" spans="1:5" x14ac:dyDescent="0.3">
      <c r="A61" s="17" t="s">
        <v>1</v>
      </c>
      <c r="B61" s="17" t="s">
        <v>155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251</v>
      </c>
      <c r="C62" s="17">
        <v>3</v>
      </c>
      <c r="D62" s="17">
        <v>2</v>
      </c>
      <c r="E62" s="17">
        <v>3</v>
      </c>
    </row>
    <row r="63" spans="1:5" x14ac:dyDescent="0.3">
      <c r="A63" s="17" t="s">
        <v>1</v>
      </c>
      <c r="B63" s="17" t="s">
        <v>3036</v>
      </c>
      <c r="C63" s="17">
        <v>7</v>
      </c>
      <c r="D63" s="17">
        <v>2</v>
      </c>
      <c r="E63" s="17">
        <v>11</v>
      </c>
    </row>
    <row r="64" spans="1:5" x14ac:dyDescent="0.3">
      <c r="A64" s="17" t="s">
        <v>1</v>
      </c>
      <c r="B64" s="17" t="s">
        <v>3328</v>
      </c>
      <c r="C64" s="17">
        <v>3</v>
      </c>
      <c r="D64" s="17">
        <v>2</v>
      </c>
      <c r="E64" s="17">
        <v>3</v>
      </c>
    </row>
    <row r="65" spans="1:5" x14ac:dyDescent="0.3">
      <c r="A65" s="17" t="s">
        <v>1</v>
      </c>
      <c r="B65" s="17" t="s">
        <v>3382</v>
      </c>
      <c r="C65" s="17">
        <v>4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97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107</v>
      </c>
      <c r="C67" s="17">
        <v>2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172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289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541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331</v>
      </c>
      <c r="C71" s="17">
        <v>2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413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414</v>
      </c>
      <c r="C73" s="17">
        <v>3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176</v>
      </c>
      <c r="C74" s="17">
        <v>3</v>
      </c>
      <c r="D74" s="17">
        <v>2</v>
      </c>
      <c r="E74" s="17">
        <v>5</v>
      </c>
    </row>
    <row r="75" spans="1:5" x14ac:dyDescent="0.3">
      <c r="A75" s="17" t="s">
        <v>1</v>
      </c>
      <c r="B75" s="17" t="s">
        <v>1352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662</v>
      </c>
      <c r="C76" s="17">
        <v>3</v>
      </c>
      <c r="D76" s="17">
        <v>2</v>
      </c>
      <c r="E76" s="17">
        <v>4</v>
      </c>
    </row>
    <row r="77" spans="1:5" x14ac:dyDescent="0.3">
      <c r="A77" s="17" t="s">
        <v>1</v>
      </c>
      <c r="B77" s="17" t="s">
        <v>122</v>
      </c>
      <c r="C77" s="17">
        <v>3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471</v>
      </c>
      <c r="C78" s="17">
        <v>2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474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52</v>
      </c>
      <c r="C80" s="17">
        <v>3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376</v>
      </c>
      <c r="C81" s="17">
        <v>4</v>
      </c>
      <c r="D81" s="17">
        <v>2</v>
      </c>
      <c r="E81" s="17">
        <v>7</v>
      </c>
    </row>
    <row r="82" spans="1:5" x14ac:dyDescent="0.3">
      <c r="A82" s="17" t="s">
        <v>1</v>
      </c>
      <c r="B82" s="17" t="s">
        <v>55</v>
      </c>
      <c r="C82" s="17">
        <v>6</v>
      </c>
      <c r="D82" s="17">
        <v>2</v>
      </c>
      <c r="E82" s="17">
        <v>9</v>
      </c>
    </row>
    <row r="83" spans="1:5" x14ac:dyDescent="0.3">
      <c r="A83" s="17" t="s">
        <v>1</v>
      </c>
      <c r="B83" s="17" t="s">
        <v>56</v>
      </c>
      <c r="C83" s="17">
        <v>2</v>
      </c>
      <c r="D83" s="17">
        <v>2</v>
      </c>
      <c r="E83" s="17">
        <v>2</v>
      </c>
    </row>
    <row r="84" spans="1:5" x14ac:dyDescent="0.3">
      <c r="A84" s="17" t="s">
        <v>0</v>
      </c>
      <c r="B84" s="17" t="s">
        <v>33</v>
      </c>
      <c r="C84" s="17">
        <v>2</v>
      </c>
      <c r="D84" s="17">
        <v>2</v>
      </c>
      <c r="E84" s="17">
        <v>2</v>
      </c>
    </row>
    <row r="85" spans="1:5" x14ac:dyDescent="0.3">
      <c r="A85" s="17" t="s">
        <v>0</v>
      </c>
      <c r="B85" s="17" t="s">
        <v>48</v>
      </c>
      <c r="C85" s="17">
        <v>2</v>
      </c>
      <c r="D85" s="17">
        <v>2</v>
      </c>
      <c r="E85" s="17">
        <v>2</v>
      </c>
    </row>
    <row r="86" spans="1:5" x14ac:dyDescent="0.3">
      <c r="A86" s="17" t="s">
        <v>0</v>
      </c>
      <c r="B86" s="17" t="s">
        <v>149</v>
      </c>
      <c r="C86" s="17">
        <v>2</v>
      </c>
      <c r="D86" s="17">
        <v>2</v>
      </c>
      <c r="E86" s="17">
        <v>2</v>
      </c>
    </row>
    <row r="87" spans="1:5" x14ac:dyDescent="0.3">
      <c r="A87" s="17" t="s">
        <v>0</v>
      </c>
      <c r="B87" s="17" t="s">
        <v>41</v>
      </c>
      <c r="C87" s="17">
        <v>2</v>
      </c>
      <c r="D87" s="17">
        <v>2</v>
      </c>
      <c r="E87" s="17">
        <v>3</v>
      </c>
    </row>
    <row r="88" spans="1:5" x14ac:dyDescent="0.3">
      <c r="A88" s="17" t="s">
        <v>0</v>
      </c>
      <c r="B88" s="17" t="s">
        <v>1927</v>
      </c>
      <c r="C88" s="17">
        <v>2</v>
      </c>
      <c r="D88" s="17">
        <v>2</v>
      </c>
      <c r="E88" s="17">
        <v>4</v>
      </c>
    </row>
    <row r="89" spans="1:5" x14ac:dyDescent="0.3">
      <c r="A89" s="17" t="s">
        <v>0</v>
      </c>
      <c r="B89" s="17" t="s">
        <v>1946</v>
      </c>
      <c r="C89" s="17">
        <v>3</v>
      </c>
      <c r="D89" s="17">
        <v>2</v>
      </c>
      <c r="E89" s="17">
        <v>3</v>
      </c>
    </row>
    <row r="90" spans="1:5" x14ac:dyDescent="0.3">
      <c r="A90" s="17" t="s">
        <v>0</v>
      </c>
      <c r="B90" s="17" t="s">
        <v>2075</v>
      </c>
      <c r="C90" s="17">
        <v>2</v>
      </c>
      <c r="D90" s="17">
        <v>2</v>
      </c>
      <c r="E90" s="17">
        <v>2</v>
      </c>
    </row>
    <row r="91" spans="1:5" x14ac:dyDescent="0.3">
      <c r="A91" s="17" t="s">
        <v>0</v>
      </c>
      <c r="B91" s="17" t="s">
        <v>3036</v>
      </c>
      <c r="C91" s="17">
        <v>3</v>
      </c>
      <c r="D91" s="17">
        <v>2</v>
      </c>
      <c r="E91" s="17">
        <v>5</v>
      </c>
    </row>
    <row r="92" spans="1:5" x14ac:dyDescent="0.3">
      <c r="A92" s="17" t="s">
        <v>0</v>
      </c>
      <c r="B92" s="17" t="s">
        <v>1167</v>
      </c>
      <c r="C92" s="17">
        <v>2</v>
      </c>
      <c r="D92" s="17">
        <v>2</v>
      </c>
      <c r="E92" s="17">
        <v>2</v>
      </c>
    </row>
    <row r="93" spans="1:5" x14ac:dyDescent="0.3">
      <c r="A93" s="17" t="s">
        <v>0</v>
      </c>
      <c r="B93" s="17" t="s">
        <v>1868</v>
      </c>
      <c r="C93" s="17">
        <v>2</v>
      </c>
      <c r="D93" s="17">
        <v>2</v>
      </c>
      <c r="E93" s="17">
        <v>2</v>
      </c>
    </row>
    <row r="94" spans="1:5" x14ac:dyDescent="0.3">
      <c r="A94" s="17" t="s">
        <v>0</v>
      </c>
      <c r="B94" s="17" t="s">
        <v>51</v>
      </c>
      <c r="C94" s="17">
        <v>2</v>
      </c>
      <c r="D94" s="17">
        <v>2</v>
      </c>
      <c r="E94" s="17">
        <v>2</v>
      </c>
    </row>
    <row r="95" spans="1:5" x14ac:dyDescent="0.3">
      <c r="A95" s="17" t="s">
        <v>0</v>
      </c>
      <c r="B95" s="17" t="s">
        <v>548</v>
      </c>
      <c r="C95" s="17">
        <v>2</v>
      </c>
      <c r="D95" s="17">
        <v>2</v>
      </c>
      <c r="E95" s="17">
        <v>2</v>
      </c>
    </row>
    <row r="96" spans="1:5" x14ac:dyDescent="0.3">
      <c r="A96" s="17" t="s">
        <v>0</v>
      </c>
      <c r="B96" s="17" t="s">
        <v>62</v>
      </c>
      <c r="C96" s="17">
        <v>2</v>
      </c>
      <c r="D96" s="17">
        <v>2</v>
      </c>
      <c r="E96" s="17">
        <v>2</v>
      </c>
    </row>
    <row r="97" spans="1:5" x14ac:dyDescent="0.3">
      <c r="A97" s="17" t="s">
        <v>0</v>
      </c>
      <c r="B97" s="17" t="s">
        <v>37</v>
      </c>
      <c r="C97" s="17">
        <v>2</v>
      </c>
      <c r="D97" s="17">
        <v>2</v>
      </c>
      <c r="E97" s="17">
        <v>2</v>
      </c>
    </row>
    <row r="98" spans="1:5" x14ac:dyDescent="0.3">
      <c r="A98" s="17" t="s">
        <v>0</v>
      </c>
      <c r="B98" s="17" t="s">
        <v>350</v>
      </c>
      <c r="C98" s="17">
        <v>2</v>
      </c>
      <c r="D98" s="17">
        <v>2</v>
      </c>
      <c r="E98" s="17">
        <v>2</v>
      </c>
    </row>
    <row r="99" spans="1:5" x14ac:dyDescent="0.3">
      <c r="A99" s="17" t="s">
        <v>0</v>
      </c>
      <c r="B99" s="17" t="s">
        <v>1237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259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195</v>
      </c>
      <c r="C101" s="17">
        <v>3</v>
      </c>
      <c r="D101" s="17">
        <v>2</v>
      </c>
      <c r="E101" s="17">
        <v>3</v>
      </c>
    </row>
    <row r="102" spans="1:5" x14ac:dyDescent="0.3">
      <c r="A102" s="17" t="s">
        <v>0</v>
      </c>
      <c r="B102" s="17" t="s">
        <v>196</v>
      </c>
      <c r="C102" s="17">
        <v>3</v>
      </c>
      <c r="D102" s="17">
        <v>2</v>
      </c>
      <c r="E102" s="17">
        <v>3</v>
      </c>
    </row>
    <row r="103" spans="1:5" x14ac:dyDescent="0.3">
      <c r="A103" s="17" t="s">
        <v>1</v>
      </c>
      <c r="B103" s="17" t="s">
        <v>983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1214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984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1488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36</v>
      </c>
      <c r="C107" s="17">
        <v>3</v>
      </c>
      <c r="D107" s="17">
        <v>1</v>
      </c>
      <c r="E107" s="17">
        <v>3</v>
      </c>
    </row>
    <row r="108" spans="1:5" x14ac:dyDescent="0.3">
      <c r="A108" s="17" t="s">
        <v>1</v>
      </c>
      <c r="B108" s="17" t="s">
        <v>1250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142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987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581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57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387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855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144</v>
      </c>
      <c r="C115" s="17">
        <v>2</v>
      </c>
      <c r="D115" s="17">
        <v>1</v>
      </c>
      <c r="E115" s="17">
        <v>2</v>
      </c>
    </row>
    <row r="116" spans="1:5" x14ac:dyDescent="0.3">
      <c r="A116" s="17" t="s">
        <v>1</v>
      </c>
      <c r="B116" s="17" t="s">
        <v>512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858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1253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145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210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146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78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977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246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1337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34</v>
      </c>
      <c r="C126" s="17">
        <v>2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212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860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1702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908</v>
      </c>
      <c r="C130" s="17">
        <v>3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267</v>
      </c>
      <c r="C131" s="17">
        <v>1</v>
      </c>
      <c r="D131" s="17">
        <v>1</v>
      </c>
      <c r="E131" s="17">
        <v>4</v>
      </c>
    </row>
    <row r="132" spans="1:5" x14ac:dyDescent="0.3">
      <c r="A132" s="17" t="s">
        <v>1</v>
      </c>
      <c r="B132" s="17" t="s">
        <v>213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1334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315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85</v>
      </c>
      <c r="C135" s="17">
        <v>3</v>
      </c>
      <c r="D135" s="17">
        <v>1</v>
      </c>
      <c r="E135" s="17">
        <v>3</v>
      </c>
    </row>
    <row r="136" spans="1:5" x14ac:dyDescent="0.3">
      <c r="A136" s="17" t="s">
        <v>1</v>
      </c>
      <c r="B136" s="17" t="s">
        <v>280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1203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152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362</v>
      </c>
      <c r="C139" s="17">
        <v>4</v>
      </c>
      <c r="D139" s="17">
        <v>1</v>
      </c>
      <c r="E139" s="17">
        <v>4</v>
      </c>
    </row>
    <row r="140" spans="1:5" x14ac:dyDescent="0.3">
      <c r="A140" s="17" t="s">
        <v>1</v>
      </c>
      <c r="B140" s="17" t="s">
        <v>89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216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153</v>
      </c>
      <c r="C142" s="17">
        <v>2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154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692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60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42</v>
      </c>
      <c r="C146" s="17">
        <v>3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367</v>
      </c>
      <c r="C147" s="17">
        <v>1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95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487</v>
      </c>
      <c r="C149" s="17">
        <v>3</v>
      </c>
      <c r="D149" s="17">
        <v>1</v>
      </c>
      <c r="E149" s="17">
        <v>3</v>
      </c>
    </row>
    <row r="150" spans="1:5" x14ac:dyDescent="0.3">
      <c r="A150" s="17" t="s">
        <v>1</v>
      </c>
      <c r="B150" s="17" t="s">
        <v>1662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1912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2329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2400</v>
      </c>
      <c r="C153" s="17">
        <v>1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2395</v>
      </c>
      <c r="C154" s="17">
        <v>3</v>
      </c>
      <c r="D154" s="17">
        <v>1</v>
      </c>
      <c r="E154" s="17">
        <v>3</v>
      </c>
    </row>
    <row r="155" spans="1:5" x14ac:dyDescent="0.3">
      <c r="A155" s="17" t="s">
        <v>1</v>
      </c>
      <c r="B155" s="17" t="s">
        <v>2398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2397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2396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3327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3397</v>
      </c>
      <c r="C159" s="17">
        <v>7</v>
      </c>
      <c r="D159" s="17">
        <v>1</v>
      </c>
      <c r="E159" s="17">
        <v>10</v>
      </c>
    </row>
    <row r="160" spans="1:5" x14ac:dyDescent="0.3">
      <c r="A160" s="17" t="s">
        <v>1</v>
      </c>
      <c r="B160" s="17" t="s">
        <v>158</v>
      </c>
      <c r="C160" s="17">
        <v>2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524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1035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1868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525</v>
      </c>
      <c r="C164" s="17">
        <v>3</v>
      </c>
      <c r="D164" s="17">
        <v>1</v>
      </c>
      <c r="E164" s="17">
        <v>3</v>
      </c>
    </row>
    <row r="165" spans="1:5" x14ac:dyDescent="0.3">
      <c r="A165" s="17" t="s">
        <v>1</v>
      </c>
      <c r="B165" s="17" t="s">
        <v>159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1841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440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49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1278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1065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492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1479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715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265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1105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160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403</v>
      </c>
      <c r="C177" s="17">
        <v>1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2765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368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1036</v>
      </c>
      <c r="C180" s="17">
        <v>1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2567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997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104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165</v>
      </c>
      <c r="C184" s="17">
        <v>1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106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2808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166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772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2275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167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1972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3411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914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287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647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199</v>
      </c>
      <c r="C196" s="17">
        <v>1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169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1099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407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593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288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111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2549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1693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44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1736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326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328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2187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539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1075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330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726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294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3412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776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2449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777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598</v>
      </c>
      <c r="C219" s="17">
        <v>3</v>
      </c>
      <c r="D219" s="17">
        <v>1</v>
      </c>
      <c r="E219" s="17">
        <v>3</v>
      </c>
    </row>
    <row r="220" spans="1:5" x14ac:dyDescent="0.3">
      <c r="A220" s="17" t="s">
        <v>1</v>
      </c>
      <c r="B220" s="17" t="s">
        <v>2132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607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371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2987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548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1079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549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2308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116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681</v>
      </c>
      <c r="C229" s="17">
        <v>2</v>
      </c>
      <c r="D229" s="17">
        <v>1</v>
      </c>
      <c r="E229" s="17">
        <v>2</v>
      </c>
    </row>
    <row r="230" spans="1:5" x14ac:dyDescent="0.3">
      <c r="A230" s="17" t="s">
        <v>1</v>
      </c>
      <c r="B230" s="17" t="s">
        <v>416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495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1411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782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121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125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890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1114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852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697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63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1296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1115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746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2261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703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303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3413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183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184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699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185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1892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1356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563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822</v>
      </c>
      <c r="C255" s="17">
        <v>3</v>
      </c>
      <c r="D255" s="17">
        <v>1</v>
      </c>
      <c r="E255" s="17">
        <v>2</v>
      </c>
    </row>
    <row r="256" spans="1:5" x14ac:dyDescent="0.3">
      <c r="A256" s="17" t="s">
        <v>1</v>
      </c>
      <c r="B256" s="17" t="s">
        <v>188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785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920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259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38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499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65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1730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39</v>
      </c>
      <c r="C264" s="17">
        <v>7</v>
      </c>
      <c r="D264" s="17">
        <v>1</v>
      </c>
      <c r="E264" s="17">
        <v>7</v>
      </c>
    </row>
    <row r="265" spans="1:5" x14ac:dyDescent="0.3">
      <c r="A265" s="17" t="s">
        <v>1</v>
      </c>
      <c r="B265" s="17" t="s">
        <v>54</v>
      </c>
      <c r="C265" s="17">
        <v>7</v>
      </c>
      <c r="D265" s="17">
        <v>1</v>
      </c>
      <c r="E265" s="17">
        <v>8</v>
      </c>
    </row>
    <row r="266" spans="1:5" x14ac:dyDescent="0.3">
      <c r="A266" s="17" t="s">
        <v>1</v>
      </c>
      <c r="B266" s="17" t="s">
        <v>2418</v>
      </c>
      <c r="C266" s="17">
        <v>1</v>
      </c>
      <c r="D266" s="17">
        <v>1</v>
      </c>
      <c r="E266" s="17"/>
    </row>
    <row r="267" spans="1:5" x14ac:dyDescent="0.3">
      <c r="A267" s="17" t="s">
        <v>1</v>
      </c>
      <c r="B267" s="17" t="s">
        <v>1766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3414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3415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1637</v>
      </c>
      <c r="C270" s="17">
        <v>1</v>
      </c>
      <c r="D270" s="17">
        <v>1</v>
      </c>
      <c r="E270" s="17"/>
    </row>
    <row r="271" spans="1:5" x14ac:dyDescent="0.3">
      <c r="A271" s="17" t="s">
        <v>1</v>
      </c>
      <c r="B271" s="17" t="s">
        <v>3002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1597</v>
      </c>
      <c r="C272" s="17">
        <v>1</v>
      </c>
      <c r="D272" s="17">
        <v>2</v>
      </c>
      <c r="E272" s="17"/>
    </row>
    <row r="273" spans="1:5" x14ac:dyDescent="0.3">
      <c r="A273" s="17" t="s">
        <v>1</v>
      </c>
      <c r="B273" s="17" t="s">
        <v>3416</v>
      </c>
      <c r="C273" s="17">
        <v>1</v>
      </c>
      <c r="D273" s="17">
        <v>1</v>
      </c>
      <c r="E273" s="17"/>
    </row>
    <row r="274" spans="1:5" x14ac:dyDescent="0.3">
      <c r="A274" s="17" t="s">
        <v>1</v>
      </c>
      <c r="B274" s="17" t="s">
        <v>2307</v>
      </c>
      <c r="C274" s="17">
        <v>3</v>
      </c>
      <c r="D274" s="17">
        <v>1</v>
      </c>
      <c r="E274" s="17">
        <v>3</v>
      </c>
    </row>
    <row r="275" spans="1:5" x14ac:dyDescent="0.3">
      <c r="A275" s="17" t="s">
        <v>1</v>
      </c>
      <c r="B275" s="17" t="s">
        <v>1532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759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1049</v>
      </c>
      <c r="C277" s="17">
        <v>1</v>
      </c>
      <c r="D277" s="17">
        <v>1</v>
      </c>
      <c r="E277" s="17"/>
    </row>
    <row r="278" spans="1:5" x14ac:dyDescent="0.3">
      <c r="A278" s="17" t="s">
        <v>1</v>
      </c>
      <c r="B278" s="17" t="s">
        <v>1302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969</v>
      </c>
      <c r="C279" s="17">
        <v>1</v>
      </c>
      <c r="D279" s="17">
        <v>1</v>
      </c>
      <c r="E279" s="17"/>
    </row>
    <row r="280" spans="1:5" x14ac:dyDescent="0.3">
      <c r="A280" s="17" t="s">
        <v>1</v>
      </c>
      <c r="B280" s="17" t="s">
        <v>3403</v>
      </c>
      <c r="C280" s="17">
        <v>1</v>
      </c>
      <c r="D280" s="17">
        <v>1</v>
      </c>
      <c r="E280" s="17"/>
    </row>
    <row r="281" spans="1:5" x14ac:dyDescent="0.3">
      <c r="A281" s="17" t="s">
        <v>1</v>
      </c>
      <c r="B281" s="17" t="s">
        <v>2137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431</v>
      </c>
      <c r="C282" s="17">
        <v>1</v>
      </c>
      <c r="D282" s="17">
        <v>1</v>
      </c>
      <c r="E282" s="17"/>
    </row>
    <row r="283" spans="1:5" x14ac:dyDescent="0.3">
      <c r="A283" s="17" t="s">
        <v>0</v>
      </c>
      <c r="B283" s="17" t="s">
        <v>47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311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1332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611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930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460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146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2273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516</v>
      </c>
      <c r="C291" s="17">
        <v>2</v>
      </c>
      <c r="D291" s="17">
        <v>1</v>
      </c>
      <c r="E291" s="17">
        <v>5</v>
      </c>
    </row>
    <row r="292" spans="1:5" x14ac:dyDescent="0.3">
      <c r="A292" s="17" t="s">
        <v>0</v>
      </c>
      <c r="B292" s="17" t="s">
        <v>59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247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583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908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267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397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1414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151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248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154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641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261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42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642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909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1983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2493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2396</v>
      </c>
      <c r="C309" s="17">
        <v>2</v>
      </c>
      <c r="D309" s="17">
        <v>1</v>
      </c>
      <c r="E309" s="17">
        <v>2</v>
      </c>
    </row>
    <row r="310" spans="1:5" x14ac:dyDescent="0.3">
      <c r="A310" s="17" t="s">
        <v>0</v>
      </c>
      <c r="B310" s="17" t="s">
        <v>2572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3327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3382</v>
      </c>
      <c r="C312" s="17">
        <v>2</v>
      </c>
      <c r="D312" s="17">
        <v>1</v>
      </c>
      <c r="E312" s="17">
        <v>2</v>
      </c>
    </row>
    <row r="313" spans="1:5" x14ac:dyDescent="0.3">
      <c r="A313" s="17" t="s">
        <v>0</v>
      </c>
      <c r="B313" s="17" t="s">
        <v>3406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713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0</v>
      </c>
      <c r="B315" s="17" t="s">
        <v>1861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2017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0</v>
      </c>
      <c r="B317" s="17" t="s">
        <v>1567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0</v>
      </c>
      <c r="B318" s="17" t="s">
        <v>492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403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161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404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28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165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771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0</v>
      </c>
      <c r="B325" s="17" t="s">
        <v>1442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405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107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167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1130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168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1288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1000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442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914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50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443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2207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172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173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1463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113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1828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291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1573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0</v>
      </c>
      <c r="B345" s="17" t="s">
        <v>1527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115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333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335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1819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607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731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1172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117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681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887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1307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200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695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179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301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449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347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63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181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182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3417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128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132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499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192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966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194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376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68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572</v>
      </c>
      <c r="C375" s="17">
        <v>1</v>
      </c>
      <c r="D375" s="17">
        <v>1</v>
      </c>
      <c r="E375" s="17"/>
    </row>
    <row r="376" spans="1:5" x14ac:dyDescent="0.3">
      <c r="A376" s="17" t="s">
        <v>0</v>
      </c>
      <c r="B376" s="17" t="s">
        <v>1766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2270</v>
      </c>
      <c r="C377" s="17">
        <v>1</v>
      </c>
      <c r="D377" s="17">
        <v>1</v>
      </c>
      <c r="E377" s="17"/>
    </row>
    <row r="378" spans="1:5" x14ac:dyDescent="0.3">
      <c r="A378" s="17" t="s">
        <v>0</v>
      </c>
      <c r="B378" s="17" t="s">
        <v>3039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1532</v>
      </c>
      <c r="C379" s="17">
        <v>1</v>
      </c>
      <c r="D379" s="17">
        <v>1</v>
      </c>
      <c r="E379" s="17">
        <v>2</v>
      </c>
    </row>
    <row r="380" spans="1:5" x14ac:dyDescent="0.3">
      <c r="A380" s="17" t="s">
        <v>0</v>
      </c>
      <c r="B380" s="17" t="s">
        <v>760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2355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1138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2735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1875</v>
      </c>
      <c r="C384" s="17">
        <v>1</v>
      </c>
      <c r="D384" s="17">
        <v>1</v>
      </c>
      <c r="E384" s="17">
        <v>2</v>
      </c>
    </row>
    <row r="385" spans="1:5" x14ac:dyDescent="0.3">
      <c r="A385" s="17" t="s">
        <v>0</v>
      </c>
      <c r="B385" s="17" t="s">
        <v>3418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2</v>
      </c>
      <c r="B386" s="17" t="s">
        <v>208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2</v>
      </c>
      <c r="B387" s="17" t="s">
        <v>34</v>
      </c>
      <c r="C387" s="17">
        <v>1</v>
      </c>
      <c r="D387" s="17">
        <v>1</v>
      </c>
      <c r="E387" s="17">
        <v>2</v>
      </c>
    </row>
    <row r="388" spans="1:5" x14ac:dyDescent="0.3">
      <c r="A388" s="17" t="s">
        <v>2</v>
      </c>
      <c r="B388" s="17" t="s">
        <v>711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2</v>
      </c>
      <c r="B389" s="17" t="s">
        <v>3397</v>
      </c>
      <c r="C389" s="17">
        <v>3</v>
      </c>
      <c r="D389" s="17">
        <v>1</v>
      </c>
      <c r="E389" s="17">
        <v>3</v>
      </c>
    </row>
    <row r="390" spans="1:5" x14ac:dyDescent="0.3">
      <c r="A390" s="17" t="s">
        <v>2</v>
      </c>
      <c r="B390" s="17" t="s">
        <v>265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2</v>
      </c>
      <c r="B391" s="17" t="s">
        <v>43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2</v>
      </c>
      <c r="B392" s="17" t="s">
        <v>44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140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1</v>
      </c>
      <c r="B394" s="17" t="s">
        <v>243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1505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1</v>
      </c>
      <c r="B396" s="17" t="s">
        <v>613</v>
      </c>
      <c r="C396" s="17">
        <v>1</v>
      </c>
      <c r="D396" s="17">
        <v>0</v>
      </c>
      <c r="E396" s="17">
        <v>0</v>
      </c>
    </row>
    <row r="397" spans="1:5" x14ac:dyDescent="0.3">
      <c r="A397" s="17" t="s">
        <v>1</v>
      </c>
      <c r="B397" s="17" t="s">
        <v>486</v>
      </c>
      <c r="C397" s="17">
        <v>1</v>
      </c>
      <c r="D397" s="17">
        <v>0</v>
      </c>
      <c r="E397" s="17">
        <v>0</v>
      </c>
    </row>
    <row r="398" spans="1:5" x14ac:dyDescent="0.3">
      <c r="A398" s="17" t="s">
        <v>1</v>
      </c>
      <c r="B398" s="17" t="s">
        <v>208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1</v>
      </c>
      <c r="B399" s="17" t="s">
        <v>274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1</v>
      </c>
      <c r="B400" s="17" t="s">
        <v>276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1</v>
      </c>
      <c r="B401" s="17" t="s">
        <v>211</v>
      </c>
      <c r="C401" s="17">
        <v>1</v>
      </c>
      <c r="D401" s="17">
        <v>0</v>
      </c>
      <c r="E401" s="17">
        <v>0</v>
      </c>
    </row>
    <row r="402" spans="1:5" x14ac:dyDescent="0.3">
      <c r="A402" s="17" t="s">
        <v>1</v>
      </c>
      <c r="B402" s="17" t="s">
        <v>1051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1</v>
      </c>
      <c r="B403" s="17" t="s">
        <v>359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1</v>
      </c>
      <c r="B404" s="17" t="s">
        <v>148</v>
      </c>
      <c r="C404" s="17">
        <v>1</v>
      </c>
      <c r="D404" s="17">
        <v>0</v>
      </c>
      <c r="E404" s="17">
        <v>0</v>
      </c>
    </row>
    <row r="405" spans="1:5" x14ac:dyDescent="0.3">
      <c r="A405" s="17" t="s">
        <v>1</v>
      </c>
      <c r="B405" s="17" t="s">
        <v>938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1</v>
      </c>
      <c r="B406" s="17" t="s">
        <v>149</v>
      </c>
      <c r="C406" s="17">
        <v>2</v>
      </c>
      <c r="D406" s="17">
        <v>0</v>
      </c>
      <c r="E406" s="17">
        <v>2</v>
      </c>
    </row>
    <row r="407" spans="1:5" x14ac:dyDescent="0.3">
      <c r="A407" s="17" t="s">
        <v>1</v>
      </c>
      <c r="B407" s="17" t="s">
        <v>88</v>
      </c>
      <c r="C407" s="17">
        <v>1</v>
      </c>
      <c r="D407" s="17">
        <v>0</v>
      </c>
      <c r="E407" s="17">
        <v>0</v>
      </c>
    </row>
    <row r="408" spans="1:5" x14ac:dyDescent="0.3">
      <c r="A408" s="17" t="s">
        <v>1</v>
      </c>
      <c r="B408" s="17" t="s">
        <v>634</v>
      </c>
      <c r="C408" s="17">
        <v>2</v>
      </c>
      <c r="D408" s="17">
        <v>0</v>
      </c>
      <c r="E408" s="17">
        <v>0</v>
      </c>
    </row>
    <row r="409" spans="1:5" x14ac:dyDescent="0.3">
      <c r="A409" s="17" t="s">
        <v>1</v>
      </c>
      <c r="B409" s="17" t="s">
        <v>217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1</v>
      </c>
      <c r="B410" s="17" t="s">
        <v>218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1</v>
      </c>
      <c r="B411" s="17" t="s">
        <v>92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640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1</v>
      </c>
      <c r="B413" s="17" t="s">
        <v>941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1</v>
      </c>
      <c r="B414" s="17" t="s">
        <v>261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1</v>
      </c>
      <c r="B415" s="17" t="s">
        <v>41</v>
      </c>
      <c r="C415" s="17">
        <v>2</v>
      </c>
      <c r="D415" s="17">
        <v>0</v>
      </c>
      <c r="E415" s="17">
        <v>2</v>
      </c>
    </row>
    <row r="416" spans="1:5" x14ac:dyDescent="0.3">
      <c r="A416" s="17" t="s">
        <v>1</v>
      </c>
      <c r="B416" s="17" t="s">
        <v>712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686</v>
      </c>
      <c r="C417" s="17">
        <v>2</v>
      </c>
      <c r="D417" s="17">
        <v>0</v>
      </c>
      <c r="E417" s="17">
        <v>2</v>
      </c>
    </row>
    <row r="418" spans="1:5" x14ac:dyDescent="0.3">
      <c r="A418" s="17" t="s">
        <v>1</v>
      </c>
      <c r="B418" s="17" t="s">
        <v>1691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1</v>
      </c>
      <c r="B419" s="17" t="s">
        <v>1711</v>
      </c>
      <c r="C419" s="17">
        <v>2</v>
      </c>
      <c r="D419" s="17">
        <v>0</v>
      </c>
      <c r="E419" s="17">
        <v>2</v>
      </c>
    </row>
    <row r="420" spans="1:5" x14ac:dyDescent="0.3">
      <c r="A420" s="17" t="s">
        <v>1</v>
      </c>
      <c r="B420" s="17" t="s">
        <v>1854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1</v>
      </c>
      <c r="B421" s="17" t="s">
        <v>1928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1</v>
      </c>
      <c r="B422" s="17" t="s">
        <v>2441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2404</v>
      </c>
      <c r="C423" s="17">
        <v>2</v>
      </c>
      <c r="D423" s="17">
        <v>0</v>
      </c>
      <c r="E423" s="17">
        <v>2</v>
      </c>
    </row>
    <row r="424" spans="1:5" x14ac:dyDescent="0.3">
      <c r="A424" s="17" t="s">
        <v>1</v>
      </c>
      <c r="B424" s="17" t="s">
        <v>2399</v>
      </c>
      <c r="C424" s="17">
        <v>3</v>
      </c>
      <c r="D424" s="17">
        <v>0</v>
      </c>
      <c r="E424" s="17">
        <v>3</v>
      </c>
    </row>
    <row r="425" spans="1:5" x14ac:dyDescent="0.3">
      <c r="A425" s="17" t="s">
        <v>1</v>
      </c>
      <c r="B425" s="17" t="s">
        <v>2429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1</v>
      </c>
      <c r="B426" s="17" t="s">
        <v>2599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2641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1</v>
      </c>
      <c r="B428" s="17" t="s">
        <v>3298</v>
      </c>
      <c r="C428" s="17">
        <v>2</v>
      </c>
      <c r="D428" s="17">
        <v>0</v>
      </c>
      <c r="E428" s="17">
        <v>2</v>
      </c>
    </row>
    <row r="429" spans="1:5" x14ac:dyDescent="0.3">
      <c r="A429" s="17" t="s">
        <v>1</v>
      </c>
      <c r="B429" s="17" t="s">
        <v>946</v>
      </c>
      <c r="C429" s="17">
        <v>2</v>
      </c>
      <c r="D429" s="17">
        <v>0</v>
      </c>
      <c r="E429" s="17">
        <v>3</v>
      </c>
    </row>
    <row r="430" spans="1:5" x14ac:dyDescent="0.3">
      <c r="A430" s="17" t="s">
        <v>1</v>
      </c>
      <c r="B430" s="17" t="s">
        <v>994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1</v>
      </c>
      <c r="B431" s="17" t="s">
        <v>530</v>
      </c>
      <c r="C431" s="17">
        <v>2</v>
      </c>
      <c r="D431" s="17">
        <v>0</v>
      </c>
      <c r="E431" s="17">
        <v>2</v>
      </c>
    </row>
    <row r="432" spans="1:5" x14ac:dyDescent="0.3">
      <c r="A432" s="17" t="s">
        <v>1</v>
      </c>
      <c r="B432" s="17" t="s">
        <v>837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3312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1</v>
      </c>
      <c r="B434" s="17" t="s">
        <v>1508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1222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1</v>
      </c>
      <c r="B436" s="17" t="s">
        <v>2029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1</v>
      </c>
      <c r="B437" s="17" t="s">
        <v>1288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1</v>
      </c>
      <c r="B438" s="17" t="s">
        <v>109</v>
      </c>
      <c r="C438" s="17">
        <v>1</v>
      </c>
      <c r="D438" s="17">
        <v>0</v>
      </c>
      <c r="E438" s="17">
        <v>2</v>
      </c>
    </row>
    <row r="439" spans="1:5" x14ac:dyDescent="0.3">
      <c r="A439" s="17" t="s">
        <v>1</v>
      </c>
      <c r="B439" s="17" t="s">
        <v>646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3419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1464</v>
      </c>
      <c r="C441" s="17">
        <v>1</v>
      </c>
      <c r="D441" s="17">
        <v>0</v>
      </c>
      <c r="E441" s="17">
        <v>0</v>
      </c>
    </row>
    <row r="442" spans="1:5" x14ac:dyDescent="0.3">
      <c r="A442" s="17" t="s">
        <v>1</v>
      </c>
      <c r="B442" s="17" t="s">
        <v>1226</v>
      </c>
      <c r="C442" s="17">
        <v>2</v>
      </c>
      <c r="D442" s="17">
        <v>0</v>
      </c>
      <c r="E442" s="17">
        <v>2</v>
      </c>
    </row>
    <row r="443" spans="1:5" x14ac:dyDescent="0.3">
      <c r="A443" s="17" t="s">
        <v>1</v>
      </c>
      <c r="B443" s="17" t="s">
        <v>876</v>
      </c>
      <c r="C443" s="17">
        <v>1</v>
      </c>
      <c r="D443" s="17">
        <v>0</v>
      </c>
      <c r="E443" s="17">
        <v>0</v>
      </c>
    </row>
    <row r="444" spans="1:5" x14ac:dyDescent="0.3">
      <c r="A444" s="17" t="s">
        <v>1</v>
      </c>
      <c r="B444" s="17" t="s">
        <v>538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1737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1</v>
      </c>
      <c r="B446" s="17" t="s">
        <v>881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1</v>
      </c>
      <c r="B447" s="17" t="s">
        <v>1231</v>
      </c>
      <c r="C447" s="17">
        <v>1</v>
      </c>
      <c r="D447" s="17">
        <v>0</v>
      </c>
      <c r="E447" s="17">
        <v>0</v>
      </c>
    </row>
    <row r="448" spans="1:5" x14ac:dyDescent="0.3">
      <c r="A448" s="17" t="s">
        <v>1</v>
      </c>
      <c r="B448" s="17" t="s">
        <v>1187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1</v>
      </c>
      <c r="B449" s="17" t="s">
        <v>177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469</v>
      </c>
      <c r="C450" s="17">
        <v>1</v>
      </c>
      <c r="D450" s="17">
        <v>0</v>
      </c>
      <c r="E450" s="17">
        <v>0</v>
      </c>
    </row>
    <row r="451" spans="1:5" x14ac:dyDescent="0.3">
      <c r="A451" s="17" t="s">
        <v>1</v>
      </c>
      <c r="B451" s="17" t="s">
        <v>417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372</v>
      </c>
      <c r="C452" s="17">
        <v>1</v>
      </c>
      <c r="D452" s="17">
        <v>0</v>
      </c>
      <c r="E452" s="17">
        <v>0</v>
      </c>
    </row>
    <row r="453" spans="1:5" x14ac:dyDescent="0.3">
      <c r="A453" s="17" t="s">
        <v>1</v>
      </c>
      <c r="B453" s="17" t="s">
        <v>740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2002</v>
      </c>
      <c r="C454" s="17">
        <v>1</v>
      </c>
      <c r="D454" s="17">
        <v>0</v>
      </c>
      <c r="E454" s="17">
        <v>0</v>
      </c>
    </row>
    <row r="455" spans="1:5" x14ac:dyDescent="0.3">
      <c r="A455" s="17" t="s">
        <v>1</v>
      </c>
      <c r="B455" s="17" t="s">
        <v>1594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895</v>
      </c>
      <c r="C456" s="17">
        <v>1</v>
      </c>
      <c r="D456" s="17">
        <v>0</v>
      </c>
      <c r="E456" s="17">
        <v>0</v>
      </c>
    </row>
    <row r="457" spans="1:5" x14ac:dyDescent="0.3">
      <c r="A457" s="17" t="s">
        <v>1</v>
      </c>
      <c r="B457" s="17" t="s">
        <v>1017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1</v>
      </c>
      <c r="B458" s="17" t="s">
        <v>3420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186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1</v>
      </c>
      <c r="B460" s="17" t="s">
        <v>1133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1</v>
      </c>
      <c r="B461" s="17" t="s">
        <v>127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1</v>
      </c>
      <c r="B462" s="17" t="s">
        <v>129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497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565</v>
      </c>
      <c r="C464" s="17">
        <v>1</v>
      </c>
      <c r="D464" s="17">
        <v>0</v>
      </c>
      <c r="E464" s="17">
        <v>2</v>
      </c>
    </row>
    <row r="465" spans="1:5" x14ac:dyDescent="0.3">
      <c r="A465" s="17" t="s">
        <v>1</v>
      </c>
      <c r="B465" s="17" t="s">
        <v>899</v>
      </c>
      <c r="C465" s="17">
        <v>1</v>
      </c>
      <c r="D465" s="17">
        <v>0</v>
      </c>
      <c r="E465" s="17">
        <v>0</v>
      </c>
    </row>
    <row r="466" spans="1:5" x14ac:dyDescent="0.3">
      <c r="A466" s="17" t="s">
        <v>1</v>
      </c>
      <c r="B466" s="17" t="s">
        <v>135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1123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500</v>
      </c>
      <c r="C468" s="17">
        <v>1</v>
      </c>
      <c r="D468" s="17">
        <v>0</v>
      </c>
      <c r="E468" s="17">
        <v>0</v>
      </c>
    </row>
    <row r="469" spans="1:5" x14ac:dyDescent="0.3">
      <c r="A469" s="17" t="s">
        <v>1</v>
      </c>
      <c r="B469" s="17" t="s">
        <v>53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1515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194</v>
      </c>
      <c r="C471" s="17">
        <v>2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1136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235</v>
      </c>
      <c r="C473" s="17">
        <v>6</v>
      </c>
      <c r="D473" s="17">
        <v>0</v>
      </c>
      <c r="E473" s="17">
        <v>8</v>
      </c>
    </row>
    <row r="474" spans="1:5" x14ac:dyDescent="0.3">
      <c r="A474" s="17" t="s">
        <v>1</v>
      </c>
      <c r="B474" s="17" t="s">
        <v>381</v>
      </c>
      <c r="C474" s="17">
        <v>2</v>
      </c>
      <c r="D474" s="17">
        <v>0</v>
      </c>
      <c r="E474" s="17">
        <v>3</v>
      </c>
    </row>
    <row r="475" spans="1:5" x14ac:dyDescent="0.3">
      <c r="A475" s="17" t="s">
        <v>1</v>
      </c>
      <c r="B475" s="17" t="s">
        <v>67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236</v>
      </c>
      <c r="C476" s="17">
        <v>2</v>
      </c>
      <c r="D476" s="17">
        <v>0</v>
      </c>
      <c r="E476" s="17">
        <v>2</v>
      </c>
    </row>
    <row r="477" spans="1:5" x14ac:dyDescent="0.3">
      <c r="A477" s="17" t="s">
        <v>1</v>
      </c>
      <c r="B477" s="17" t="s">
        <v>196</v>
      </c>
      <c r="C477" s="17">
        <v>5</v>
      </c>
      <c r="D477" s="17">
        <v>0</v>
      </c>
      <c r="E477" s="17">
        <v>5</v>
      </c>
    </row>
    <row r="478" spans="1:5" x14ac:dyDescent="0.3">
      <c r="A478" s="17" t="s">
        <v>1</v>
      </c>
      <c r="B478" s="17" t="s">
        <v>237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238</v>
      </c>
      <c r="C479" s="17">
        <v>4</v>
      </c>
      <c r="D479" s="17">
        <v>0</v>
      </c>
      <c r="E479" s="17">
        <v>5</v>
      </c>
    </row>
    <row r="480" spans="1:5" x14ac:dyDescent="0.3">
      <c r="A480" s="17" t="s">
        <v>1</v>
      </c>
      <c r="B480" s="17" t="s">
        <v>239</v>
      </c>
      <c r="C480" s="17">
        <v>3</v>
      </c>
      <c r="D480" s="17">
        <v>0</v>
      </c>
      <c r="E480" s="17">
        <v>5</v>
      </c>
    </row>
    <row r="481" spans="1:5" x14ac:dyDescent="0.3">
      <c r="A481" s="17" t="s">
        <v>1</v>
      </c>
      <c r="B481" s="17" t="s">
        <v>672</v>
      </c>
      <c r="C481" s="17">
        <v>2</v>
      </c>
      <c r="D481" s="17">
        <v>0</v>
      </c>
      <c r="E481" s="17">
        <v>2</v>
      </c>
    </row>
    <row r="482" spans="1:5" x14ac:dyDescent="0.3">
      <c r="A482" s="17" t="s">
        <v>1</v>
      </c>
      <c r="B482" s="17" t="s">
        <v>240</v>
      </c>
      <c r="C482" s="17">
        <v>5</v>
      </c>
      <c r="D482" s="17">
        <v>0</v>
      </c>
      <c r="E482" s="17">
        <v>6</v>
      </c>
    </row>
    <row r="483" spans="1:5" x14ac:dyDescent="0.3">
      <c r="A483" s="17" t="s">
        <v>1</v>
      </c>
      <c r="B483" s="17" t="s">
        <v>673</v>
      </c>
      <c r="C483" s="17">
        <v>3</v>
      </c>
      <c r="D483" s="17">
        <v>0</v>
      </c>
      <c r="E483" s="17">
        <v>3</v>
      </c>
    </row>
    <row r="484" spans="1:5" x14ac:dyDescent="0.3">
      <c r="A484" s="17" t="s">
        <v>1</v>
      </c>
      <c r="B484" s="17" t="s">
        <v>382</v>
      </c>
      <c r="C484" s="17">
        <v>5</v>
      </c>
      <c r="D484" s="17">
        <v>0</v>
      </c>
      <c r="E484" s="17">
        <v>4</v>
      </c>
    </row>
    <row r="485" spans="1:5" x14ac:dyDescent="0.3">
      <c r="A485" s="17" t="s">
        <v>1</v>
      </c>
      <c r="B485" s="17" t="s">
        <v>377</v>
      </c>
      <c r="C485" s="17">
        <v>3</v>
      </c>
      <c r="D485" s="17">
        <v>0</v>
      </c>
      <c r="E485" s="17">
        <v>4</v>
      </c>
    </row>
    <row r="486" spans="1:5" x14ac:dyDescent="0.3">
      <c r="A486" s="17" t="s">
        <v>1</v>
      </c>
      <c r="B486" s="17" t="s">
        <v>477</v>
      </c>
      <c r="C486" s="17">
        <v>3</v>
      </c>
      <c r="D486" s="17">
        <v>0</v>
      </c>
      <c r="E486" s="17">
        <v>3</v>
      </c>
    </row>
    <row r="487" spans="1:5" x14ac:dyDescent="0.3">
      <c r="A487" s="17" t="s">
        <v>1</v>
      </c>
      <c r="B487" s="17" t="s">
        <v>2312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2071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266</v>
      </c>
      <c r="C489" s="17">
        <v>1</v>
      </c>
      <c r="D489" s="17">
        <v>0</v>
      </c>
      <c r="E489" s="17">
        <v>2</v>
      </c>
    </row>
    <row r="490" spans="1:5" x14ac:dyDescent="0.3">
      <c r="A490" s="17" t="s">
        <v>1</v>
      </c>
      <c r="B490" s="17" t="s">
        <v>1470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1248</v>
      </c>
      <c r="C491" s="17">
        <v>0</v>
      </c>
      <c r="D491" s="17">
        <v>0</v>
      </c>
      <c r="E491" s="17"/>
    </row>
    <row r="492" spans="1:5" x14ac:dyDescent="0.3">
      <c r="A492" s="17" t="s">
        <v>1</v>
      </c>
      <c r="B492" s="17" t="s">
        <v>1945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2652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2488</v>
      </c>
      <c r="C494" s="17">
        <v>1</v>
      </c>
      <c r="D494" s="17">
        <v>0</v>
      </c>
      <c r="E494" s="17">
        <v>0</v>
      </c>
    </row>
    <row r="495" spans="1:5" x14ac:dyDescent="0.3">
      <c r="A495" s="17" t="s">
        <v>1</v>
      </c>
      <c r="B495" s="17" t="s">
        <v>3233</v>
      </c>
      <c r="C495" s="17">
        <v>1</v>
      </c>
      <c r="D495" s="17">
        <v>0</v>
      </c>
      <c r="E495" s="17">
        <v>2</v>
      </c>
    </row>
    <row r="496" spans="1:5" x14ac:dyDescent="0.3">
      <c r="A496" s="17" t="s">
        <v>1</v>
      </c>
      <c r="B496" s="17" t="s">
        <v>3421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69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677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3422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0</v>
      </c>
      <c r="B500" s="17" t="s">
        <v>269</v>
      </c>
      <c r="C500" s="17">
        <v>1</v>
      </c>
      <c r="D500" s="17">
        <v>0</v>
      </c>
      <c r="E500" s="17">
        <v>6</v>
      </c>
    </row>
    <row r="501" spans="1:5" x14ac:dyDescent="0.3">
      <c r="A501" s="17" t="s">
        <v>0</v>
      </c>
      <c r="B501" s="17" t="s">
        <v>384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0</v>
      </c>
      <c r="B502" s="17" t="s">
        <v>459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0</v>
      </c>
      <c r="B503" s="17" t="s">
        <v>3360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0</v>
      </c>
      <c r="B504" s="17" t="s">
        <v>1702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0</v>
      </c>
      <c r="B505" s="17" t="s">
        <v>217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0</v>
      </c>
      <c r="B506" s="17" t="s">
        <v>93</v>
      </c>
      <c r="C506" s="17">
        <v>1</v>
      </c>
      <c r="D506" s="17">
        <v>0</v>
      </c>
      <c r="E506" s="17">
        <v>2</v>
      </c>
    </row>
    <row r="507" spans="1:5" x14ac:dyDescent="0.3">
      <c r="A507" s="17" t="s">
        <v>0</v>
      </c>
      <c r="B507" s="17" t="s">
        <v>95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0</v>
      </c>
      <c r="B508" s="17" t="s">
        <v>2692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0</v>
      </c>
      <c r="B509" s="17" t="s">
        <v>2910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0</v>
      </c>
      <c r="B510" s="17" t="s">
        <v>3328</v>
      </c>
      <c r="C510" s="17">
        <v>2</v>
      </c>
      <c r="D510" s="17">
        <v>0</v>
      </c>
      <c r="E510" s="17">
        <v>2</v>
      </c>
    </row>
    <row r="511" spans="1:5" x14ac:dyDescent="0.3">
      <c r="A511" s="17" t="s">
        <v>0</v>
      </c>
      <c r="B511" s="17" t="s">
        <v>2706</v>
      </c>
      <c r="C511" s="17">
        <v>1</v>
      </c>
      <c r="D511" s="17">
        <v>0</v>
      </c>
      <c r="E511" s="17">
        <v>2</v>
      </c>
    </row>
    <row r="512" spans="1:5" x14ac:dyDescent="0.3">
      <c r="A512" s="17" t="s">
        <v>0</v>
      </c>
      <c r="B512" s="17" t="s">
        <v>99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0</v>
      </c>
      <c r="B513" s="17" t="s">
        <v>288</v>
      </c>
      <c r="C513" s="17">
        <v>1</v>
      </c>
      <c r="D513" s="17">
        <v>0</v>
      </c>
      <c r="E513" s="17">
        <v>2</v>
      </c>
    </row>
    <row r="514" spans="1:5" x14ac:dyDescent="0.3">
      <c r="A514" s="17" t="s">
        <v>0</v>
      </c>
      <c r="B514" s="17" t="s">
        <v>1901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0</v>
      </c>
      <c r="B515" s="17" t="s">
        <v>325</v>
      </c>
      <c r="C515" s="17">
        <v>1</v>
      </c>
      <c r="D515" s="17">
        <v>0</v>
      </c>
      <c r="E515" s="17">
        <v>0</v>
      </c>
    </row>
    <row r="516" spans="1:5" x14ac:dyDescent="0.3">
      <c r="A516" s="17" t="s">
        <v>0</v>
      </c>
      <c r="B516" s="17" t="s">
        <v>877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0</v>
      </c>
      <c r="B517" s="17" t="s">
        <v>1628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0</v>
      </c>
      <c r="B518" s="17" t="s">
        <v>1377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0</v>
      </c>
      <c r="B519" s="17" t="s">
        <v>1774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0</v>
      </c>
      <c r="B520" s="17" t="s">
        <v>495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0</v>
      </c>
      <c r="B521" s="17" t="s">
        <v>696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0</v>
      </c>
      <c r="B522" s="17" t="s">
        <v>697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0</v>
      </c>
      <c r="B523" s="17" t="s">
        <v>496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0</v>
      </c>
      <c r="B524" s="17" t="s">
        <v>234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0</v>
      </c>
      <c r="B525" s="17" t="s">
        <v>53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0</v>
      </c>
      <c r="B526" s="17" t="s">
        <v>2268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0</v>
      </c>
      <c r="B527" s="17" t="s">
        <v>237</v>
      </c>
      <c r="C527" s="17">
        <v>1</v>
      </c>
      <c r="D527" s="17">
        <v>0</v>
      </c>
      <c r="E527" s="17">
        <v>3</v>
      </c>
    </row>
    <row r="528" spans="1:5" x14ac:dyDescent="0.3">
      <c r="A528" s="17" t="s">
        <v>0</v>
      </c>
      <c r="B528" s="17" t="s">
        <v>239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0</v>
      </c>
      <c r="B529" s="17" t="s">
        <v>377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0</v>
      </c>
      <c r="B530" s="17" t="s">
        <v>138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0</v>
      </c>
      <c r="B531" s="17" t="s">
        <v>1749</v>
      </c>
      <c r="C531" s="17">
        <v>0</v>
      </c>
      <c r="D531" s="17">
        <v>1</v>
      </c>
      <c r="E531" s="17"/>
    </row>
    <row r="532" spans="1:5" x14ac:dyDescent="0.3">
      <c r="A532" s="17" t="s">
        <v>0</v>
      </c>
      <c r="B532" s="17" t="s">
        <v>1098</v>
      </c>
      <c r="C532" s="17">
        <v>0</v>
      </c>
      <c r="D532" s="17">
        <v>1</v>
      </c>
      <c r="E532" s="17"/>
    </row>
    <row r="533" spans="1:5" x14ac:dyDescent="0.3">
      <c r="A533" s="17" t="s">
        <v>0</v>
      </c>
      <c r="B533" s="17" t="s">
        <v>1701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0</v>
      </c>
      <c r="B534" s="17" t="s">
        <v>32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2</v>
      </c>
      <c r="B535" s="17" t="s">
        <v>2398</v>
      </c>
      <c r="C535" s="17">
        <v>1</v>
      </c>
      <c r="D535" s="17">
        <v>0</v>
      </c>
      <c r="E535" s="17">
        <v>1</v>
      </c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23AD1-D352-4E0B-A5A0-05A6CDCEE952}">
  <sheetPr codeName="Sheet58"/>
  <dimension ref="A1:M620"/>
  <sheetViews>
    <sheetView workbookViewId="0">
      <selection activeCell="A2" sqref="A2:E34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52</v>
      </c>
      <c r="D2" s="17">
        <v>47</v>
      </c>
      <c r="E2" s="17">
        <v>54</v>
      </c>
    </row>
    <row r="3" spans="1:13" customFormat="1" x14ac:dyDescent="0.3">
      <c r="A3" s="17" t="s">
        <v>0</v>
      </c>
      <c r="B3" s="17" t="s">
        <v>3361</v>
      </c>
      <c r="C3" s="17">
        <v>35</v>
      </c>
      <c r="D3" s="17">
        <v>30</v>
      </c>
      <c r="E3" s="17">
        <v>39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3397</v>
      </c>
      <c r="C4" s="17">
        <v>32</v>
      </c>
      <c r="D4" s="17">
        <v>28</v>
      </c>
      <c r="E4" s="17">
        <v>33</v>
      </c>
      <c r="G4" s="23" t="s">
        <v>8</v>
      </c>
      <c r="H4" s="19">
        <f>H13+H14</f>
        <v>280</v>
      </c>
      <c r="I4" s="20">
        <f>H4/H$6</f>
        <v>0.43613707165109034</v>
      </c>
      <c r="J4" s="19">
        <f>I13+I14</f>
        <v>186</v>
      </c>
      <c r="K4" s="20">
        <f>J4/J$6</f>
        <v>0.40259740259740262</v>
      </c>
      <c r="L4" s="19">
        <f>J13+J14</f>
        <v>301</v>
      </c>
      <c r="M4" s="29">
        <f>L4/L$6</f>
        <v>0.4029451137884873</v>
      </c>
    </row>
    <row r="5" spans="1:13" customFormat="1" x14ac:dyDescent="0.3">
      <c r="A5" s="17" t="s">
        <v>0</v>
      </c>
      <c r="B5" s="17" t="s">
        <v>29</v>
      </c>
      <c r="C5" s="17">
        <v>22</v>
      </c>
      <c r="D5" s="17">
        <v>22</v>
      </c>
      <c r="E5" s="17">
        <v>25</v>
      </c>
      <c r="G5" s="23" t="s">
        <v>10</v>
      </c>
      <c r="H5" s="19">
        <f>H15+H16</f>
        <v>362</v>
      </c>
      <c r="I5" s="20">
        <f>H5/H$6</f>
        <v>0.56386292834890961</v>
      </c>
      <c r="J5" s="19">
        <f>I15+I16</f>
        <v>276</v>
      </c>
      <c r="K5" s="20">
        <f>J5/J$6</f>
        <v>0.59740259740259738</v>
      </c>
      <c r="L5" s="19">
        <f>J15+J16</f>
        <v>446</v>
      </c>
      <c r="M5" s="29">
        <f>L5/L$6</f>
        <v>0.5970548862115127</v>
      </c>
    </row>
    <row r="6" spans="1:13" customFormat="1" ht="17.25" thickBot="1" x14ac:dyDescent="0.35">
      <c r="A6" s="17" t="s">
        <v>0</v>
      </c>
      <c r="B6" s="17" t="s">
        <v>31</v>
      </c>
      <c r="C6" s="17">
        <v>19</v>
      </c>
      <c r="D6" s="17">
        <v>18</v>
      </c>
      <c r="E6" s="17">
        <v>19</v>
      </c>
      <c r="G6" s="26"/>
      <c r="H6" s="30">
        <f>SUM(H4:H5)</f>
        <v>642</v>
      </c>
      <c r="I6" s="31">
        <f>I4+I5</f>
        <v>1</v>
      </c>
      <c r="J6" s="30">
        <f>SUM(J4:J5)</f>
        <v>462</v>
      </c>
      <c r="K6" s="31">
        <f>K4+K5</f>
        <v>1</v>
      </c>
      <c r="L6" s="30">
        <f>SUM(L4:L5)</f>
        <v>747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23</v>
      </c>
      <c r="D7" s="17">
        <v>15</v>
      </c>
      <c r="E7" s="17">
        <v>24</v>
      </c>
    </row>
    <row r="8" spans="1:13" customFormat="1" x14ac:dyDescent="0.3">
      <c r="A8" s="17" t="s">
        <v>1</v>
      </c>
      <c r="B8" s="17" t="s">
        <v>122</v>
      </c>
      <c r="C8" s="17">
        <v>7</v>
      </c>
      <c r="D8" s="17">
        <v>7</v>
      </c>
      <c r="E8" s="17">
        <v>7</v>
      </c>
    </row>
    <row r="9" spans="1:13" customFormat="1" x14ac:dyDescent="0.3">
      <c r="A9" s="17" t="s">
        <v>1</v>
      </c>
      <c r="B9" s="17" t="s">
        <v>32</v>
      </c>
      <c r="C9" s="17">
        <v>6</v>
      </c>
      <c r="D9" s="17">
        <v>6</v>
      </c>
      <c r="E9" s="17">
        <v>9</v>
      </c>
    </row>
    <row r="10" spans="1:13" customFormat="1" ht="17.25" thickBot="1" x14ac:dyDescent="0.35">
      <c r="A10" s="17" t="s">
        <v>0</v>
      </c>
      <c r="B10" s="17" t="s">
        <v>30</v>
      </c>
      <c r="C10" s="17">
        <v>11</v>
      </c>
      <c r="D10" s="17">
        <v>6</v>
      </c>
      <c r="E10" s="17">
        <v>25</v>
      </c>
    </row>
    <row r="11" spans="1:13" x14ac:dyDescent="0.3">
      <c r="A11" s="17" t="s">
        <v>0</v>
      </c>
      <c r="B11" s="17" t="s">
        <v>96</v>
      </c>
      <c r="C11" s="17">
        <v>6</v>
      </c>
      <c r="D11" s="17">
        <v>6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113</v>
      </c>
      <c r="C12" s="17">
        <v>5</v>
      </c>
      <c r="D12" s="17">
        <v>4</v>
      </c>
      <c r="E12" s="17">
        <v>5</v>
      </c>
      <c r="G12" s="23"/>
      <c r="H12" s="21">
        <f t="shared" ref="H12:J12" si="0">SUM(H13:H16)</f>
        <v>642</v>
      </c>
      <c r="I12" s="21">
        <f t="shared" si="0"/>
        <v>462</v>
      </c>
      <c r="J12" s="24">
        <f t="shared" si="0"/>
        <v>747</v>
      </c>
    </row>
    <row r="13" spans="1:13" x14ac:dyDescent="0.3">
      <c r="A13" s="17" t="s">
        <v>0</v>
      </c>
      <c r="B13" s="17" t="s">
        <v>365</v>
      </c>
      <c r="C13" s="17">
        <v>6</v>
      </c>
      <c r="D13" s="17">
        <v>4</v>
      </c>
      <c r="E13" s="17">
        <v>7</v>
      </c>
      <c r="G13" s="23" t="s">
        <v>7</v>
      </c>
      <c r="H13" s="22">
        <f t="shared" ref="H13:J16" si="1">SUMIF($A$2:$A$9999,$G13,C$2:C$9999)</f>
        <v>280</v>
      </c>
      <c r="I13" s="22">
        <f t="shared" si="1"/>
        <v>186</v>
      </c>
      <c r="J13" s="25">
        <f t="shared" si="1"/>
        <v>301</v>
      </c>
    </row>
    <row r="14" spans="1:13" x14ac:dyDescent="0.3">
      <c r="A14" s="17" t="s">
        <v>0</v>
      </c>
      <c r="B14" s="17" t="s">
        <v>2075</v>
      </c>
      <c r="C14" s="17">
        <v>4</v>
      </c>
      <c r="D14" s="17">
        <v>4</v>
      </c>
      <c r="E14" s="17">
        <v>4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122</v>
      </c>
      <c r="C15" s="17">
        <v>4</v>
      </c>
      <c r="D15" s="17">
        <v>4</v>
      </c>
      <c r="E15" s="17">
        <v>4</v>
      </c>
      <c r="G15" s="23" t="s">
        <v>11</v>
      </c>
      <c r="H15" s="22">
        <f t="shared" si="1"/>
        <v>352</v>
      </c>
      <c r="I15" s="22">
        <f t="shared" si="1"/>
        <v>269</v>
      </c>
      <c r="J15" s="25">
        <f t="shared" si="1"/>
        <v>435</v>
      </c>
    </row>
    <row r="16" spans="1:13" ht="17.25" thickBot="1" x14ac:dyDescent="0.35">
      <c r="A16" s="17" t="s">
        <v>0</v>
      </c>
      <c r="B16" s="17" t="s">
        <v>163</v>
      </c>
      <c r="C16" s="17">
        <v>3</v>
      </c>
      <c r="D16" s="17">
        <v>3</v>
      </c>
      <c r="E16" s="17">
        <v>3</v>
      </c>
      <c r="G16" s="26" t="s">
        <v>12</v>
      </c>
      <c r="H16" s="27">
        <f t="shared" si="1"/>
        <v>10</v>
      </c>
      <c r="I16" s="27">
        <f t="shared" si="1"/>
        <v>7</v>
      </c>
      <c r="J16" s="28">
        <f t="shared" si="1"/>
        <v>11</v>
      </c>
    </row>
    <row r="17" spans="1:5" x14ac:dyDescent="0.3">
      <c r="A17" s="17" t="s">
        <v>0</v>
      </c>
      <c r="B17" s="17" t="s">
        <v>103</v>
      </c>
      <c r="C17" s="17">
        <v>3</v>
      </c>
      <c r="D17" s="17">
        <v>3</v>
      </c>
      <c r="E17" s="17">
        <v>3</v>
      </c>
    </row>
    <row r="18" spans="1:5" x14ac:dyDescent="0.3">
      <c r="A18" s="17" t="s">
        <v>0</v>
      </c>
      <c r="B18" s="17" t="s">
        <v>168</v>
      </c>
      <c r="C18" s="17">
        <v>3</v>
      </c>
      <c r="D18" s="17">
        <v>3</v>
      </c>
      <c r="E18" s="17">
        <v>3</v>
      </c>
    </row>
    <row r="19" spans="1:5" x14ac:dyDescent="0.3">
      <c r="A19" s="17" t="s">
        <v>0</v>
      </c>
      <c r="B19" s="17" t="s">
        <v>546</v>
      </c>
      <c r="C19" s="17">
        <v>3</v>
      </c>
      <c r="D19" s="17">
        <v>3</v>
      </c>
      <c r="E19" s="17">
        <v>3</v>
      </c>
    </row>
    <row r="20" spans="1:5" x14ac:dyDescent="0.3">
      <c r="A20" s="17" t="s">
        <v>0</v>
      </c>
      <c r="B20" s="17" t="s">
        <v>123</v>
      </c>
      <c r="C20" s="17">
        <v>3</v>
      </c>
      <c r="D20" s="17">
        <v>3</v>
      </c>
      <c r="E20" s="17">
        <v>4</v>
      </c>
    </row>
    <row r="21" spans="1:5" x14ac:dyDescent="0.3">
      <c r="A21" s="17" t="s">
        <v>1</v>
      </c>
      <c r="B21" s="17" t="s">
        <v>79</v>
      </c>
      <c r="C21" s="17">
        <v>2</v>
      </c>
      <c r="D21" s="17">
        <v>2</v>
      </c>
      <c r="E21" s="17">
        <v>2</v>
      </c>
    </row>
    <row r="22" spans="1:5" x14ac:dyDescent="0.3">
      <c r="A22" s="17" t="s">
        <v>1</v>
      </c>
      <c r="B22" s="17" t="s">
        <v>365</v>
      </c>
      <c r="C22" s="17">
        <v>4</v>
      </c>
      <c r="D22" s="17">
        <v>2</v>
      </c>
      <c r="E22" s="17">
        <v>4</v>
      </c>
    </row>
    <row r="23" spans="1:5" x14ac:dyDescent="0.3">
      <c r="A23" s="17" t="s">
        <v>1</v>
      </c>
      <c r="B23" s="17" t="s">
        <v>2075</v>
      </c>
      <c r="C23" s="17">
        <v>3</v>
      </c>
      <c r="D23" s="17">
        <v>2</v>
      </c>
      <c r="E23" s="17">
        <v>3</v>
      </c>
    </row>
    <row r="24" spans="1:5" x14ac:dyDescent="0.3">
      <c r="A24" s="17" t="s">
        <v>1</v>
      </c>
      <c r="B24" s="17" t="s">
        <v>1868</v>
      </c>
      <c r="C24" s="17">
        <v>2</v>
      </c>
      <c r="D24" s="17">
        <v>2</v>
      </c>
      <c r="E24" s="17">
        <v>2</v>
      </c>
    </row>
    <row r="25" spans="1:5" x14ac:dyDescent="0.3">
      <c r="A25" s="17" t="s">
        <v>1</v>
      </c>
      <c r="B25" s="17" t="s">
        <v>168</v>
      </c>
      <c r="C25" s="17">
        <v>2</v>
      </c>
      <c r="D25" s="17">
        <v>2</v>
      </c>
      <c r="E25" s="17">
        <v>2</v>
      </c>
    </row>
    <row r="26" spans="1:5" x14ac:dyDescent="0.3">
      <c r="A26" s="17" t="s">
        <v>1</v>
      </c>
      <c r="B26" s="17" t="s">
        <v>29</v>
      </c>
      <c r="C26" s="17">
        <v>2</v>
      </c>
      <c r="D26" s="17">
        <v>2</v>
      </c>
      <c r="E26" s="17">
        <v>2</v>
      </c>
    </row>
    <row r="27" spans="1:5" x14ac:dyDescent="0.3">
      <c r="A27" s="17" t="s">
        <v>1</v>
      </c>
      <c r="B27" s="17" t="s">
        <v>199</v>
      </c>
      <c r="C27" s="17">
        <v>2</v>
      </c>
      <c r="D27" s="17">
        <v>2</v>
      </c>
      <c r="E27" s="17">
        <v>2</v>
      </c>
    </row>
    <row r="28" spans="1:5" x14ac:dyDescent="0.3">
      <c r="A28" s="17" t="s">
        <v>1</v>
      </c>
      <c r="B28" s="17" t="s">
        <v>289</v>
      </c>
      <c r="C28" s="17">
        <v>2</v>
      </c>
      <c r="D28" s="17">
        <v>2</v>
      </c>
      <c r="E28" s="17">
        <v>2</v>
      </c>
    </row>
    <row r="29" spans="1:5" x14ac:dyDescent="0.3">
      <c r="A29" s="17" t="s">
        <v>1</v>
      </c>
      <c r="B29" s="17" t="s">
        <v>291</v>
      </c>
      <c r="C29" s="17">
        <v>2</v>
      </c>
      <c r="D29" s="17">
        <v>2</v>
      </c>
      <c r="E29" s="17">
        <v>3</v>
      </c>
    </row>
    <row r="30" spans="1:5" x14ac:dyDescent="0.3">
      <c r="A30" s="17" t="s">
        <v>0</v>
      </c>
      <c r="B30" s="17" t="s">
        <v>267</v>
      </c>
      <c r="C30" s="17">
        <v>2</v>
      </c>
      <c r="D30" s="17">
        <v>2</v>
      </c>
      <c r="E30" s="17">
        <v>3</v>
      </c>
    </row>
    <row r="31" spans="1:5" x14ac:dyDescent="0.3">
      <c r="A31" s="17" t="s">
        <v>0</v>
      </c>
      <c r="B31" s="17" t="s">
        <v>1281</v>
      </c>
      <c r="C31" s="17">
        <v>2</v>
      </c>
      <c r="D31" s="17">
        <v>2</v>
      </c>
      <c r="E31" s="17">
        <v>2</v>
      </c>
    </row>
    <row r="32" spans="1:5" x14ac:dyDescent="0.3">
      <c r="A32" s="17" t="s">
        <v>0</v>
      </c>
      <c r="B32" s="17" t="s">
        <v>149</v>
      </c>
      <c r="C32" s="17">
        <v>2</v>
      </c>
      <c r="D32" s="17">
        <v>2</v>
      </c>
      <c r="E32" s="17">
        <v>2</v>
      </c>
    </row>
    <row r="33" spans="1:5" x14ac:dyDescent="0.3">
      <c r="A33" s="17" t="s">
        <v>0</v>
      </c>
      <c r="B33" s="17" t="s">
        <v>155</v>
      </c>
      <c r="C33" s="17">
        <v>2</v>
      </c>
      <c r="D33" s="17">
        <v>2</v>
      </c>
      <c r="E33" s="17">
        <v>2</v>
      </c>
    </row>
    <row r="34" spans="1:5" x14ac:dyDescent="0.3">
      <c r="A34" s="17" t="s">
        <v>0</v>
      </c>
      <c r="B34" s="17" t="s">
        <v>60</v>
      </c>
      <c r="C34" s="17">
        <v>2</v>
      </c>
      <c r="D34" s="17">
        <v>2</v>
      </c>
      <c r="E34" s="17">
        <v>2</v>
      </c>
    </row>
    <row r="35" spans="1:5" x14ac:dyDescent="0.3">
      <c r="A35" s="17" t="s">
        <v>0</v>
      </c>
      <c r="B35" s="17" t="s">
        <v>61</v>
      </c>
      <c r="C35" s="17">
        <v>2</v>
      </c>
      <c r="D35" s="17">
        <v>2</v>
      </c>
      <c r="E35" s="17">
        <v>2</v>
      </c>
    </row>
    <row r="36" spans="1:5" x14ac:dyDescent="0.3">
      <c r="A36" s="17" t="s">
        <v>0</v>
      </c>
      <c r="B36" s="17" t="s">
        <v>2572</v>
      </c>
      <c r="C36" s="17">
        <v>3</v>
      </c>
      <c r="D36" s="17">
        <v>2</v>
      </c>
      <c r="E36" s="17">
        <v>3</v>
      </c>
    </row>
    <row r="37" spans="1:5" x14ac:dyDescent="0.3">
      <c r="A37" s="17" t="s">
        <v>0</v>
      </c>
      <c r="B37" s="17" t="s">
        <v>3406</v>
      </c>
      <c r="C37" s="17">
        <v>2</v>
      </c>
      <c r="D37" s="17">
        <v>2</v>
      </c>
      <c r="E37" s="17">
        <v>2</v>
      </c>
    </row>
    <row r="38" spans="1:5" x14ac:dyDescent="0.3">
      <c r="A38" s="17" t="s">
        <v>0</v>
      </c>
      <c r="B38" s="17" t="s">
        <v>1479</v>
      </c>
      <c r="C38" s="17">
        <v>2</v>
      </c>
      <c r="D38" s="17">
        <v>2</v>
      </c>
      <c r="E38" s="17">
        <v>3</v>
      </c>
    </row>
    <row r="39" spans="1:5" x14ac:dyDescent="0.3">
      <c r="A39" s="17" t="s">
        <v>0</v>
      </c>
      <c r="B39" s="17" t="s">
        <v>1128</v>
      </c>
      <c r="C39" s="17">
        <v>2</v>
      </c>
      <c r="D39" s="17">
        <v>2</v>
      </c>
      <c r="E39" s="17">
        <v>2</v>
      </c>
    </row>
    <row r="40" spans="1:5" x14ac:dyDescent="0.3">
      <c r="A40" s="17" t="s">
        <v>0</v>
      </c>
      <c r="B40" s="17" t="s">
        <v>171</v>
      </c>
      <c r="C40" s="17">
        <v>2</v>
      </c>
      <c r="D40" s="17">
        <v>2</v>
      </c>
      <c r="E40" s="17">
        <v>2</v>
      </c>
    </row>
    <row r="41" spans="1:5" x14ac:dyDescent="0.3">
      <c r="A41" s="17" t="s">
        <v>0</v>
      </c>
      <c r="B41" s="17" t="s">
        <v>172</v>
      </c>
      <c r="C41" s="17">
        <v>2</v>
      </c>
      <c r="D41" s="17">
        <v>2</v>
      </c>
      <c r="E41" s="17">
        <v>2</v>
      </c>
    </row>
    <row r="42" spans="1:5" x14ac:dyDescent="0.3">
      <c r="A42" s="17" t="s">
        <v>0</v>
      </c>
      <c r="B42" s="17" t="s">
        <v>51</v>
      </c>
      <c r="C42" s="17">
        <v>3</v>
      </c>
      <c r="D42" s="17">
        <v>2</v>
      </c>
      <c r="E42" s="17">
        <v>3</v>
      </c>
    </row>
    <row r="43" spans="1:5" x14ac:dyDescent="0.3">
      <c r="A43" s="17" t="s">
        <v>0</v>
      </c>
      <c r="B43" s="17" t="s">
        <v>294</v>
      </c>
      <c r="C43" s="17">
        <v>2</v>
      </c>
      <c r="D43" s="17">
        <v>2</v>
      </c>
      <c r="E43" s="17">
        <v>2</v>
      </c>
    </row>
    <row r="44" spans="1:5" x14ac:dyDescent="0.3">
      <c r="A44" s="17" t="s">
        <v>0</v>
      </c>
      <c r="B44" s="17" t="s">
        <v>62</v>
      </c>
      <c r="C44" s="17">
        <v>2</v>
      </c>
      <c r="D44" s="17">
        <v>2</v>
      </c>
      <c r="E44" s="17">
        <v>2</v>
      </c>
    </row>
    <row r="45" spans="1:5" x14ac:dyDescent="0.3">
      <c r="A45" s="17" t="s">
        <v>0</v>
      </c>
      <c r="B45" s="17" t="s">
        <v>37</v>
      </c>
      <c r="C45" s="17">
        <v>2</v>
      </c>
      <c r="D45" s="17">
        <v>2</v>
      </c>
      <c r="E45" s="17">
        <v>2</v>
      </c>
    </row>
    <row r="46" spans="1:5" x14ac:dyDescent="0.3">
      <c r="A46" s="17" t="s">
        <v>0</v>
      </c>
      <c r="B46" s="17" t="s">
        <v>695</v>
      </c>
      <c r="C46" s="17">
        <v>2</v>
      </c>
      <c r="D46" s="17">
        <v>2</v>
      </c>
      <c r="E46" s="17">
        <v>2</v>
      </c>
    </row>
    <row r="47" spans="1:5" x14ac:dyDescent="0.3">
      <c r="A47" s="17" t="s">
        <v>0</v>
      </c>
      <c r="B47" s="17" t="s">
        <v>63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182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67</v>
      </c>
      <c r="C49" s="17">
        <v>3</v>
      </c>
      <c r="D49" s="17">
        <v>2</v>
      </c>
      <c r="E49" s="17">
        <v>4</v>
      </c>
    </row>
    <row r="50" spans="1:5" x14ac:dyDescent="0.3">
      <c r="A50" s="17" t="s">
        <v>2</v>
      </c>
      <c r="B50" s="17" t="s">
        <v>3361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36</v>
      </c>
      <c r="C51" s="17">
        <v>1</v>
      </c>
      <c r="D51" s="17">
        <v>1</v>
      </c>
      <c r="E51" s="17">
        <v>1</v>
      </c>
    </row>
    <row r="52" spans="1:5" x14ac:dyDescent="0.3">
      <c r="A52" s="17" t="s">
        <v>1</v>
      </c>
      <c r="B52" s="17" t="s">
        <v>390</v>
      </c>
      <c r="C52" s="17">
        <v>1</v>
      </c>
      <c r="D52" s="17">
        <v>1</v>
      </c>
      <c r="E52" s="17">
        <v>2</v>
      </c>
    </row>
    <row r="53" spans="1:5" x14ac:dyDescent="0.3">
      <c r="A53" s="17" t="s">
        <v>1</v>
      </c>
      <c r="B53" s="17" t="s">
        <v>33</v>
      </c>
      <c r="C53" s="17">
        <v>2</v>
      </c>
      <c r="D53" s="17">
        <v>1</v>
      </c>
      <c r="E53" s="17">
        <v>3</v>
      </c>
    </row>
    <row r="54" spans="1:5" x14ac:dyDescent="0.3">
      <c r="A54" s="17" t="s">
        <v>1</v>
      </c>
      <c r="B54" s="17" t="s">
        <v>48</v>
      </c>
      <c r="C54" s="17">
        <v>1</v>
      </c>
      <c r="D54" s="17">
        <v>1</v>
      </c>
      <c r="E54" s="17">
        <v>1</v>
      </c>
    </row>
    <row r="55" spans="1:5" x14ac:dyDescent="0.3">
      <c r="A55" s="17" t="s">
        <v>1</v>
      </c>
      <c r="B55" s="17" t="s">
        <v>490</v>
      </c>
      <c r="C55" s="17">
        <v>1</v>
      </c>
      <c r="D55" s="17">
        <v>1</v>
      </c>
      <c r="E55" s="17">
        <v>1</v>
      </c>
    </row>
    <row r="56" spans="1:5" x14ac:dyDescent="0.3">
      <c r="A56" s="17" t="s">
        <v>1</v>
      </c>
      <c r="B56" s="17" t="s">
        <v>275</v>
      </c>
      <c r="C56" s="17">
        <v>1</v>
      </c>
      <c r="D56" s="17">
        <v>1</v>
      </c>
      <c r="E56" s="17">
        <v>1</v>
      </c>
    </row>
    <row r="57" spans="1:5" x14ac:dyDescent="0.3">
      <c r="A57" s="17" t="s">
        <v>1</v>
      </c>
      <c r="B57" s="17" t="s">
        <v>583</v>
      </c>
      <c r="C57" s="17">
        <v>1</v>
      </c>
      <c r="D57" s="17">
        <v>1</v>
      </c>
      <c r="E57" s="17">
        <v>1</v>
      </c>
    </row>
    <row r="58" spans="1:5" x14ac:dyDescent="0.3">
      <c r="A58" s="17" t="s">
        <v>1</v>
      </c>
      <c r="B58" s="17" t="s">
        <v>1314</v>
      </c>
      <c r="C58" s="17">
        <v>1</v>
      </c>
      <c r="D58" s="17">
        <v>1</v>
      </c>
      <c r="E58" s="17">
        <v>1</v>
      </c>
    </row>
    <row r="59" spans="1:5" x14ac:dyDescent="0.3">
      <c r="A59" s="17" t="s">
        <v>1</v>
      </c>
      <c r="B59" s="17" t="s">
        <v>908</v>
      </c>
      <c r="C59" s="17">
        <v>1</v>
      </c>
      <c r="D59" s="17">
        <v>1</v>
      </c>
      <c r="E59" s="17">
        <v>1</v>
      </c>
    </row>
    <row r="60" spans="1:5" x14ac:dyDescent="0.3">
      <c r="A60" s="17" t="s">
        <v>1</v>
      </c>
      <c r="B60" s="17" t="s">
        <v>85</v>
      </c>
      <c r="C60" s="17">
        <v>1</v>
      </c>
      <c r="D60" s="17">
        <v>1</v>
      </c>
      <c r="E60" s="17">
        <v>1</v>
      </c>
    </row>
    <row r="61" spans="1:5" x14ac:dyDescent="0.3">
      <c r="A61" s="17" t="s">
        <v>1</v>
      </c>
      <c r="B61" s="17" t="s">
        <v>1535</v>
      </c>
      <c r="C61" s="17">
        <v>1</v>
      </c>
      <c r="D61" s="17">
        <v>1</v>
      </c>
      <c r="E61" s="17">
        <v>2</v>
      </c>
    </row>
    <row r="62" spans="1:5" x14ac:dyDescent="0.3">
      <c r="A62" s="17" t="s">
        <v>1</v>
      </c>
      <c r="B62" s="17" t="s">
        <v>397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149</v>
      </c>
      <c r="C63" s="17">
        <v>1</v>
      </c>
      <c r="D63" s="17">
        <v>1</v>
      </c>
      <c r="E63" s="17">
        <v>1</v>
      </c>
    </row>
    <row r="64" spans="1:5" x14ac:dyDescent="0.3">
      <c r="A64" s="17" t="s">
        <v>1</v>
      </c>
      <c r="B64" s="17" t="s">
        <v>2761</v>
      </c>
      <c r="C64" s="17">
        <v>1</v>
      </c>
      <c r="D64" s="17">
        <v>1</v>
      </c>
      <c r="E64" s="17">
        <v>1</v>
      </c>
    </row>
    <row r="65" spans="1:5" x14ac:dyDescent="0.3">
      <c r="A65" s="17" t="s">
        <v>1</v>
      </c>
      <c r="B65" s="17" t="s">
        <v>89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281</v>
      </c>
      <c r="C66" s="17">
        <v>2</v>
      </c>
      <c r="D66" s="17">
        <v>1</v>
      </c>
      <c r="E66" s="17">
        <v>3</v>
      </c>
    </row>
    <row r="67" spans="1:5" x14ac:dyDescent="0.3">
      <c r="A67" s="17" t="s">
        <v>1</v>
      </c>
      <c r="B67" s="17" t="s">
        <v>641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95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1775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1897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2329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2395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2398</v>
      </c>
      <c r="C73" s="17">
        <v>2</v>
      </c>
      <c r="D73" s="17">
        <v>1</v>
      </c>
      <c r="E73" s="17">
        <v>2</v>
      </c>
    </row>
    <row r="74" spans="1:5" x14ac:dyDescent="0.3">
      <c r="A74" s="17" t="s">
        <v>1</v>
      </c>
      <c r="B74" s="17" t="s">
        <v>2445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2572</v>
      </c>
      <c r="C75" s="17">
        <v>5</v>
      </c>
      <c r="D75" s="17">
        <v>1</v>
      </c>
      <c r="E75" s="17">
        <v>4</v>
      </c>
    </row>
    <row r="76" spans="1:5" x14ac:dyDescent="0.3">
      <c r="A76" s="17" t="s">
        <v>1</v>
      </c>
      <c r="B76" s="17" t="s">
        <v>3423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3424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3425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1340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318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49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1103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527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99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265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586</v>
      </c>
      <c r="C86" s="17">
        <v>1</v>
      </c>
      <c r="D86" s="17">
        <v>1</v>
      </c>
      <c r="E86" s="17">
        <v>2</v>
      </c>
    </row>
    <row r="87" spans="1:5" x14ac:dyDescent="0.3">
      <c r="A87" s="17" t="s">
        <v>1</v>
      </c>
      <c r="B87" s="17" t="s">
        <v>163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28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352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104</v>
      </c>
      <c r="C90" s="17">
        <v>2</v>
      </c>
      <c r="D90" s="17">
        <v>1</v>
      </c>
      <c r="E90" s="17">
        <v>2</v>
      </c>
    </row>
    <row r="91" spans="1:5" x14ac:dyDescent="0.3">
      <c r="A91" s="17" t="s">
        <v>1</v>
      </c>
      <c r="B91" s="17" t="s">
        <v>405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322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107</v>
      </c>
      <c r="C93" s="17">
        <v>1</v>
      </c>
      <c r="D93" s="17">
        <v>1</v>
      </c>
      <c r="E93" s="17">
        <v>2</v>
      </c>
    </row>
    <row r="94" spans="1:5" x14ac:dyDescent="0.3">
      <c r="A94" s="17" t="s">
        <v>1</v>
      </c>
      <c r="B94" s="17" t="s">
        <v>1430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286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2065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1092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112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51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1527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115</v>
      </c>
      <c r="C101" s="17">
        <v>2</v>
      </c>
      <c r="D101" s="17">
        <v>1</v>
      </c>
      <c r="E101" s="17">
        <v>2</v>
      </c>
    </row>
    <row r="102" spans="1:5" x14ac:dyDescent="0.3">
      <c r="A102" s="17" t="s">
        <v>1</v>
      </c>
      <c r="B102" s="17" t="s">
        <v>2119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2260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45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3412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1852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776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917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546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297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413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607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414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119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662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123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124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695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890</v>
      </c>
      <c r="C119" s="17">
        <v>1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1445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703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128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132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135</v>
      </c>
      <c r="C124" s="17">
        <v>2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842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194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235</v>
      </c>
      <c r="C127" s="17">
        <v>3</v>
      </c>
      <c r="D127" s="17">
        <v>1</v>
      </c>
      <c r="E127" s="17">
        <v>6</v>
      </c>
    </row>
    <row r="128" spans="1:5" x14ac:dyDescent="0.3">
      <c r="A128" s="17" t="s">
        <v>1</v>
      </c>
      <c r="B128" s="17" t="s">
        <v>54</v>
      </c>
      <c r="C128" s="17">
        <v>4</v>
      </c>
      <c r="D128" s="17">
        <v>1</v>
      </c>
      <c r="E128" s="17">
        <v>6</v>
      </c>
    </row>
    <row r="129" spans="1:5" x14ac:dyDescent="0.3">
      <c r="A129" s="17" t="s">
        <v>1</v>
      </c>
      <c r="B129" s="17" t="s">
        <v>55</v>
      </c>
      <c r="C129" s="17">
        <v>3</v>
      </c>
      <c r="D129" s="17">
        <v>1</v>
      </c>
      <c r="E129" s="17">
        <v>4</v>
      </c>
    </row>
    <row r="130" spans="1:5" x14ac:dyDescent="0.3">
      <c r="A130" s="17" t="s">
        <v>1</v>
      </c>
      <c r="B130" s="17" t="s">
        <v>1201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456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266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3426</v>
      </c>
      <c r="C133" s="17">
        <v>1</v>
      </c>
      <c r="D133" s="17">
        <v>1</v>
      </c>
      <c r="E133" s="17"/>
    </row>
    <row r="134" spans="1:5" x14ac:dyDescent="0.3">
      <c r="A134" s="17" t="s">
        <v>1</v>
      </c>
      <c r="B134" s="17" t="s">
        <v>1637</v>
      </c>
      <c r="C134" s="17">
        <v>1</v>
      </c>
      <c r="D134" s="17">
        <v>1</v>
      </c>
      <c r="E134" s="17"/>
    </row>
    <row r="135" spans="1:5" x14ac:dyDescent="0.3">
      <c r="A135" s="17" t="s">
        <v>1</v>
      </c>
      <c r="B135" s="17" t="s">
        <v>1936</v>
      </c>
      <c r="C135" s="17">
        <v>1</v>
      </c>
      <c r="D135" s="17">
        <v>1</v>
      </c>
      <c r="E135" s="17"/>
    </row>
    <row r="136" spans="1:5" x14ac:dyDescent="0.3">
      <c r="A136" s="17" t="s">
        <v>1</v>
      </c>
      <c r="B136" s="17" t="s">
        <v>2355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832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1599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677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0</v>
      </c>
      <c r="B140" s="17" t="s">
        <v>1311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0</v>
      </c>
      <c r="B141" s="17" t="s">
        <v>140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0</v>
      </c>
      <c r="B142" s="17" t="s">
        <v>242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0</v>
      </c>
      <c r="B143" s="17" t="s">
        <v>36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0</v>
      </c>
      <c r="B144" s="17" t="s">
        <v>3427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0</v>
      </c>
      <c r="B145" s="17" t="s">
        <v>490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0</v>
      </c>
      <c r="B146" s="17" t="s">
        <v>356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0</v>
      </c>
      <c r="B147" s="17" t="s">
        <v>79</v>
      </c>
      <c r="C147" s="17">
        <v>2</v>
      </c>
      <c r="D147" s="17">
        <v>1</v>
      </c>
      <c r="E147" s="17">
        <v>3</v>
      </c>
    </row>
    <row r="148" spans="1:5" x14ac:dyDescent="0.3">
      <c r="A148" s="17" t="s">
        <v>0</v>
      </c>
      <c r="B148" s="17" t="s">
        <v>2006</v>
      </c>
      <c r="C148" s="17">
        <v>1</v>
      </c>
      <c r="D148" s="17">
        <v>1</v>
      </c>
      <c r="E148" s="17">
        <v>3</v>
      </c>
    </row>
    <row r="149" spans="1:5" x14ac:dyDescent="0.3">
      <c r="A149" s="17" t="s">
        <v>0</v>
      </c>
      <c r="B149" s="17" t="s">
        <v>1702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0</v>
      </c>
      <c r="B150" s="17" t="s">
        <v>908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0</v>
      </c>
      <c r="B151" s="17" t="s">
        <v>711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0</v>
      </c>
      <c r="B152" s="17" t="s">
        <v>95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0</v>
      </c>
      <c r="B153" s="17" t="s">
        <v>487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0</v>
      </c>
      <c r="B154" s="17" t="s">
        <v>1643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0</v>
      </c>
      <c r="B155" s="17" t="s">
        <v>1897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0</v>
      </c>
      <c r="B156" s="17" t="s">
        <v>1912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0</v>
      </c>
      <c r="B157" s="17" t="s">
        <v>1927</v>
      </c>
      <c r="C157" s="17">
        <v>2</v>
      </c>
      <c r="D157" s="17">
        <v>1</v>
      </c>
      <c r="E157" s="17">
        <v>2</v>
      </c>
    </row>
    <row r="158" spans="1:5" x14ac:dyDescent="0.3">
      <c r="A158" s="17" t="s">
        <v>0</v>
      </c>
      <c r="B158" s="17" t="s">
        <v>2068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0</v>
      </c>
      <c r="B159" s="17" t="s">
        <v>2439</v>
      </c>
      <c r="C159" s="17">
        <v>2</v>
      </c>
      <c r="D159" s="17">
        <v>1</v>
      </c>
      <c r="E159" s="17">
        <v>3</v>
      </c>
    </row>
    <row r="160" spans="1:5" x14ac:dyDescent="0.3">
      <c r="A160" s="17" t="s">
        <v>0</v>
      </c>
      <c r="B160" s="17" t="s">
        <v>2395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0</v>
      </c>
      <c r="B161" s="17" t="s">
        <v>3328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0</v>
      </c>
      <c r="B162" s="17" t="s">
        <v>3327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0</v>
      </c>
      <c r="B163" s="17" t="s">
        <v>158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0</v>
      </c>
      <c r="B164" s="17" t="s">
        <v>713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0</v>
      </c>
      <c r="B165" s="17" t="s">
        <v>439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1868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440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0</v>
      </c>
      <c r="B168" s="17" t="s">
        <v>401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0</v>
      </c>
      <c r="B169" s="17" t="s">
        <v>35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1521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100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586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1105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160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319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161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995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2656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998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2446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1921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107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3428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1685</v>
      </c>
      <c r="C184" s="17">
        <v>1</v>
      </c>
      <c r="D184" s="17">
        <v>1</v>
      </c>
      <c r="E184" s="17">
        <v>3</v>
      </c>
    </row>
    <row r="185" spans="1:5" x14ac:dyDescent="0.3">
      <c r="A185" s="17" t="s">
        <v>0</v>
      </c>
      <c r="B185" s="17" t="s">
        <v>169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593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111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113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1797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533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534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291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44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3084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1674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1004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2097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1791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227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45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1410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597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951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336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179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3429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749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698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232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821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262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128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0</v>
      </c>
      <c r="B213" s="17" t="s">
        <v>452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132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201</v>
      </c>
      <c r="C215" s="17">
        <v>1</v>
      </c>
      <c r="D215" s="17">
        <v>1</v>
      </c>
      <c r="E215" s="17">
        <v>2</v>
      </c>
    </row>
    <row r="216" spans="1:5" x14ac:dyDescent="0.3">
      <c r="A216" s="17" t="s">
        <v>0</v>
      </c>
      <c r="B216" s="17" t="s">
        <v>192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1192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68</v>
      </c>
      <c r="C218" s="17">
        <v>5</v>
      </c>
      <c r="D218" s="17">
        <v>1</v>
      </c>
      <c r="E218" s="17">
        <v>23</v>
      </c>
    </row>
    <row r="219" spans="1:5" x14ac:dyDescent="0.3">
      <c r="A219" s="17" t="s">
        <v>0</v>
      </c>
      <c r="B219" s="17" t="s">
        <v>572</v>
      </c>
      <c r="C219" s="17">
        <v>1</v>
      </c>
      <c r="D219" s="17">
        <v>1</v>
      </c>
      <c r="E219" s="17"/>
    </row>
    <row r="220" spans="1:5" x14ac:dyDescent="0.3">
      <c r="A220" s="17" t="s">
        <v>0</v>
      </c>
      <c r="B220" s="17" t="s">
        <v>922</v>
      </c>
      <c r="C220" s="17">
        <v>1</v>
      </c>
      <c r="D220" s="17">
        <v>1</v>
      </c>
      <c r="E220" s="17"/>
    </row>
    <row r="221" spans="1:5" x14ac:dyDescent="0.3">
      <c r="A221" s="17" t="s">
        <v>0</v>
      </c>
      <c r="B221" s="17" t="s">
        <v>2086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760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1606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1138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3430</v>
      </c>
      <c r="C225" s="17">
        <v>1</v>
      </c>
      <c r="D225" s="17">
        <v>3</v>
      </c>
      <c r="E225" s="17"/>
    </row>
    <row r="226" spans="1:5" x14ac:dyDescent="0.3">
      <c r="A226" s="17" t="s">
        <v>0</v>
      </c>
      <c r="B226" s="17" t="s">
        <v>1599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0</v>
      </c>
      <c r="B227" s="17" t="s">
        <v>69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2</v>
      </c>
      <c r="B228" s="17" t="s">
        <v>2692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2</v>
      </c>
      <c r="B229" s="17" t="s">
        <v>3397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2</v>
      </c>
      <c r="B230" s="17" t="s">
        <v>45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2</v>
      </c>
      <c r="B231" s="17" t="s">
        <v>388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2</v>
      </c>
      <c r="B232" s="17" t="s">
        <v>376</v>
      </c>
      <c r="C232" s="17">
        <v>1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269</v>
      </c>
      <c r="C233" s="17">
        <v>2</v>
      </c>
      <c r="D233" s="17">
        <v>0</v>
      </c>
      <c r="E233" s="17">
        <v>1</v>
      </c>
    </row>
    <row r="234" spans="1:5" x14ac:dyDescent="0.3">
      <c r="A234" s="17" t="s">
        <v>1</v>
      </c>
      <c r="B234" s="17" t="s">
        <v>1089</v>
      </c>
      <c r="C234" s="17">
        <v>1</v>
      </c>
      <c r="D234" s="17">
        <v>0</v>
      </c>
      <c r="E234" s="17">
        <v>1</v>
      </c>
    </row>
    <row r="235" spans="1:5" x14ac:dyDescent="0.3">
      <c r="A235" s="17" t="s">
        <v>1</v>
      </c>
      <c r="B235" s="17" t="s">
        <v>208</v>
      </c>
      <c r="C235" s="17">
        <v>1</v>
      </c>
      <c r="D235" s="17">
        <v>0</v>
      </c>
      <c r="E235" s="17">
        <v>1</v>
      </c>
    </row>
    <row r="236" spans="1:5" x14ac:dyDescent="0.3">
      <c r="A236" s="17" t="s">
        <v>1</v>
      </c>
      <c r="B236" s="17" t="s">
        <v>213</v>
      </c>
      <c r="C236" s="17">
        <v>1</v>
      </c>
      <c r="D236" s="17">
        <v>0</v>
      </c>
      <c r="E236" s="17">
        <v>1</v>
      </c>
    </row>
    <row r="237" spans="1:5" x14ac:dyDescent="0.3">
      <c r="A237" s="17" t="s">
        <v>1</v>
      </c>
      <c r="B237" s="17" t="s">
        <v>800</v>
      </c>
      <c r="C237" s="17">
        <v>1</v>
      </c>
      <c r="D237" s="17">
        <v>0</v>
      </c>
      <c r="E237" s="17">
        <v>1</v>
      </c>
    </row>
    <row r="238" spans="1:5" x14ac:dyDescent="0.3">
      <c r="A238" s="17" t="s">
        <v>1</v>
      </c>
      <c r="B238" s="17" t="s">
        <v>316</v>
      </c>
      <c r="C238" s="17">
        <v>2</v>
      </c>
      <c r="D238" s="17">
        <v>0</v>
      </c>
      <c r="E238" s="17">
        <v>2</v>
      </c>
    </row>
    <row r="239" spans="1:5" x14ac:dyDescent="0.3">
      <c r="A239" s="17" t="s">
        <v>1</v>
      </c>
      <c r="B239" s="17" t="s">
        <v>1102</v>
      </c>
      <c r="C239" s="17">
        <v>1</v>
      </c>
      <c r="D239" s="17">
        <v>0</v>
      </c>
      <c r="E239" s="17">
        <v>1</v>
      </c>
    </row>
    <row r="240" spans="1:5" x14ac:dyDescent="0.3">
      <c r="A240" s="17" t="s">
        <v>1</v>
      </c>
      <c r="B240" s="17" t="s">
        <v>636</v>
      </c>
      <c r="C240" s="17">
        <v>1</v>
      </c>
      <c r="D240" s="17">
        <v>0</v>
      </c>
      <c r="E240" s="17">
        <v>2</v>
      </c>
    </row>
    <row r="241" spans="1:5" x14ac:dyDescent="0.3">
      <c r="A241" s="17" t="s">
        <v>1</v>
      </c>
      <c r="B241" s="17" t="s">
        <v>637</v>
      </c>
      <c r="C241" s="17">
        <v>1</v>
      </c>
      <c r="D241" s="17">
        <v>0</v>
      </c>
      <c r="E241" s="17">
        <v>1</v>
      </c>
    </row>
    <row r="242" spans="1:5" x14ac:dyDescent="0.3">
      <c r="A242" s="17" t="s">
        <v>1</v>
      </c>
      <c r="B242" s="17" t="s">
        <v>711</v>
      </c>
      <c r="C242" s="17">
        <v>1</v>
      </c>
      <c r="D242" s="17">
        <v>0</v>
      </c>
      <c r="E242" s="17">
        <v>1</v>
      </c>
    </row>
    <row r="243" spans="1:5" x14ac:dyDescent="0.3">
      <c r="A243" s="17" t="s">
        <v>1</v>
      </c>
      <c r="B243" s="17" t="s">
        <v>686</v>
      </c>
      <c r="C243" s="17">
        <v>1</v>
      </c>
      <c r="D243" s="17">
        <v>0</v>
      </c>
      <c r="E243" s="17">
        <v>0</v>
      </c>
    </row>
    <row r="244" spans="1:5" x14ac:dyDescent="0.3">
      <c r="A244" s="17" t="s">
        <v>1</v>
      </c>
      <c r="B244" s="17" t="s">
        <v>1143</v>
      </c>
      <c r="C244" s="17">
        <v>1</v>
      </c>
      <c r="D244" s="17">
        <v>0</v>
      </c>
      <c r="E244" s="17">
        <v>1</v>
      </c>
    </row>
    <row r="245" spans="1:5" x14ac:dyDescent="0.3">
      <c r="A245" s="17" t="s">
        <v>1</v>
      </c>
      <c r="B245" s="17" t="s">
        <v>1946</v>
      </c>
      <c r="C245" s="17">
        <v>1</v>
      </c>
      <c r="D245" s="17">
        <v>0</v>
      </c>
      <c r="E245" s="17">
        <v>1</v>
      </c>
    </row>
    <row r="246" spans="1:5" x14ac:dyDescent="0.3">
      <c r="A246" s="17" t="s">
        <v>1</v>
      </c>
      <c r="B246" s="17" t="s">
        <v>2441</v>
      </c>
      <c r="C246" s="17">
        <v>1</v>
      </c>
      <c r="D246" s="17">
        <v>0</v>
      </c>
      <c r="E246" s="17">
        <v>1</v>
      </c>
    </row>
    <row r="247" spans="1:5" x14ac:dyDescent="0.3">
      <c r="A247" s="17" t="s">
        <v>1</v>
      </c>
      <c r="B247" s="17" t="s">
        <v>2397</v>
      </c>
      <c r="C247" s="17">
        <v>1</v>
      </c>
      <c r="D247" s="17">
        <v>0</v>
      </c>
      <c r="E247" s="17">
        <v>1</v>
      </c>
    </row>
    <row r="248" spans="1:5" x14ac:dyDescent="0.3">
      <c r="A248" s="17" t="s">
        <v>1</v>
      </c>
      <c r="B248" s="17" t="s">
        <v>2599</v>
      </c>
      <c r="C248" s="17">
        <v>1</v>
      </c>
      <c r="D248" s="17">
        <v>0</v>
      </c>
      <c r="E248" s="17">
        <v>1</v>
      </c>
    </row>
    <row r="249" spans="1:5" x14ac:dyDescent="0.3">
      <c r="A249" s="17" t="s">
        <v>1</v>
      </c>
      <c r="B249" s="17" t="s">
        <v>2705</v>
      </c>
      <c r="C249" s="17">
        <v>1</v>
      </c>
      <c r="D249" s="17">
        <v>0</v>
      </c>
      <c r="E249" s="17">
        <v>1</v>
      </c>
    </row>
    <row r="250" spans="1:5" x14ac:dyDescent="0.3">
      <c r="A250" s="17" t="s">
        <v>1</v>
      </c>
      <c r="B250" s="17" t="s">
        <v>3328</v>
      </c>
      <c r="C250" s="17">
        <v>1</v>
      </c>
      <c r="D250" s="17">
        <v>0</v>
      </c>
      <c r="E250" s="17">
        <v>1</v>
      </c>
    </row>
    <row r="251" spans="1:5" x14ac:dyDescent="0.3">
      <c r="A251" s="17" t="s">
        <v>1</v>
      </c>
      <c r="B251" s="17" t="s">
        <v>3361</v>
      </c>
      <c r="C251" s="17">
        <v>1</v>
      </c>
      <c r="D251" s="17">
        <v>0</v>
      </c>
      <c r="E251" s="17">
        <v>2</v>
      </c>
    </row>
    <row r="252" spans="1:5" x14ac:dyDescent="0.3">
      <c r="A252" s="17" t="s">
        <v>1</v>
      </c>
      <c r="B252" s="17" t="s">
        <v>3382</v>
      </c>
      <c r="C252" s="17">
        <v>2</v>
      </c>
      <c r="D252" s="17">
        <v>0</v>
      </c>
      <c r="E252" s="17">
        <v>3</v>
      </c>
    </row>
    <row r="253" spans="1:5" x14ac:dyDescent="0.3">
      <c r="A253" s="17" t="s">
        <v>1</v>
      </c>
      <c r="B253" s="17" t="s">
        <v>3397</v>
      </c>
      <c r="C253" s="17">
        <v>2</v>
      </c>
      <c r="D253" s="17">
        <v>0</v>
      </c>
      <c r="E253" s="17">
        <v>3</v>
      </c>
    </row>
    <row r="254" spans="1:5" x14ac:dyDescent="0.3">
      <c r="A254" s="17" t="s">
        <v>1</v>
      </c>
      <c r="B254" s="17" t="s">
        <v>3431</v>
      </c>
      <c r="C254" s="17">
        <v>1</v>
      </c>
      <c r="D254" s="17">
        <v>0</v>
      </c>
      <c r="E254" s="17">
        <v>1</v>
      </c>
    </row>
    <row r="255" spans="1:5" x14ac:dyDescent="0.3">
      <c r="A255" s="17" t="s">
        <v>1</v>
      </c>
      <c r="B255" s="17" t="s">
        <v>1205</v>
      </c>
      <c r="C255" s="17">
        <v>1</v>
      </c>
      <c r="D255" s="17">
        <v>0</v>
      </c>
      <c r="E255" s="17">
        <v>1</v>
      </c>
    </row>
    <row r="256" spans="1:5" x14ac:dyDescent="0.3">
      <c r="A256" s="17" t="s">
        <v>1</v>
      </c>
      <c r="B256" s="17" t="s">
        <v>50</v>
      </c>
      <c r="C256" s="17">
        <v>1</v>
      </c>
      <c r="D256" s="17">
        <v>0</v>
      </c>
      <c r="E256" s="17">
        <v>1</v>
      </c>
    </row>
    <row r="257" spans="1:5" x14ac:dyDescent="0.3">
      <c r="A257" s="17" t="s">
        <v>1</v>
      </c>
      <c r="B257" s="17" t="s">
        <v>406</v>
      </c>
      <c r="C257" s="17">
        <v>1</v>
      </c>
      <c r="D257" s="17">
        <v>0</v>
      </c>
      <c r="E257" s="17">
        <v>1</v>
      </c>
    </row>
    <row r="258" spans="1:5" x14ac:dyDescent="0.3">
      <c r="A258" s="17" t="s">
        <v>1</v>
      </c>
      <c r="B258" s="17" t="s">
        <v>1225</v>
      </c>
      <c r="C258" s="17">
        <v>1</v>
      </c>
      <c r="D258" s="17">
        <v>0</v>
      </c>
      <c r="E258" s="17">
        <v>1</v>
      </c>
    </row>
    <row r="259" spans="1:5" x14ac:dyDescent="0.3">
      <c r="A259" s="17" t="s">
        <v>1</v>
      </c>
      <c r="B259" s="17" t="s">
        <v>1483</v>
      </c>
      <c r="C259" s="17">
        <v>1</v>
      </c>
      <c r="D259" s="17">
        <v>0</v>
      </c>
      <c r="E259" s="17">
        <v>1</v>
      </c>
    </row>
    <row r="260" spans="1:5" x14ac:dyDescent="0.3">
      <c r="A260" s="17" t="s">
        <v>1</v>
      </c>
      <c r="B260" s="17" t="s">
        <v>1466</v>
      </c>
      <c r="C260" s="17">
        <v>1</v>
      </c>
      <c r="D260" s="17">
        <v>0</v>
      </c>
      <c r="E260" s="17">
        <v>1</v>
      </c>
    </row>
    <row r="261" spans="1:5" x14ac:dyDescent="0.3">
      <c r="A261" s="17" t="s">
        <v>1</v>
      </c>
      <c r="B261" s="17" t="s">
        <v>535</v>
      </c>
      <c r="C261" s="17">
        <v>1</v>
      </c>
      <c r="D261" s="17">
        <v>0</v>
      </c>
      <c r="E261" s="17">
        <v>0</v>
      </c>
    </row>
    <row r="262" spans="1:5" x14ac:dyDescent="0.3">
      <c r="A262" s="17" t="s">
        <v>1</v>
      </c>
      <c r="B262" s="17" t="s">
        <v>175</v>
      </c>
      <c r="C262" s="17">
        <v>1</v>
      </c>
      <c r="D262" s="17">
        <v>0</v>
      </c>
      <c r="E262" s="17">
        <v>1</v>
      </c>
    </row>
    <row r="263" spans="1:5" x14ac:dyDescent="0.3">
      <c r="A263" s="17" t="s">
        <v>1</v>
      </c>
      <c r="B263" s="17" t="s">
        <v>720</v>
      </c>
      <c r="C263" s="17">
        <v>1</v>
      </c>
      <c r="D263" s="17">
        <v>0</v>
      </c>
      <c r="E263" s="17">
        <v>1</v>
      </c>
    </row>
    <row r="264" spans="1:5" x14ac:dyDescent="0.3">
      <c r="A264" s="17" t="s">
        <v>1</v>
      </c>
      <c r="B264" s="17" t="s">
        <v>2600</v>
      </c>
      <c r="C264" s="17">
        <v>1</v>
      </c>
      <c r="D264" s="17">
        <v>0</v>
      </c>
      <c r="E264" s="17">
        <v>1</v>
      </c>
    </row>
    <row r="265" spans="1:5" x14ac:dyDescent="0.3">
      <c r="A265" s="17" t="s">
        <v>1</v>
      </c>
      <c r="B265" s="17" t="s">
        <v>543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2987</v>
      </c>
      <c r="C266" s="17">
        <v>1</v>
      </c>
      <c r="D266" s="17">
        <v>0</v>
      </c>
      <c r="E266" s="17">
        <v>1</v>
      </c>
    </row>
    <row r="267" spans="1:5" x14ac:dyDescent="0.3">
      <c r="A267" s="17" t="s">
        <v>1</v>
      </c>
      <c r="B267" s="17" t="s">
        <v>200</v>
      </c>
      <c r="C267" s="17">
        <v>1</v>
      </c>
      <c r="D267" s="17">
        <v>0</v>
      </c>
      <c r="E267" s="17">
        <v>1</v>
      </c>
    </row>
    <row r="268" spans="1:5" x14ac:dyDescent="0.3">
      <c r="A268" s="17" t="s">
        <v>1</v>
      </c>
      <c r="B268" s="17" t="s">
        <v>37</v>
      </c>
      <c r="C268" s="17">
        <v>2</v>
      </c>
      <c r="D268" s="17">
        <v>0</v>
      </c>
      <c r="E268" s="17">
        <v>1</v>
      </c>
    </row>
    <row r="269" spans="1:5" x14ac:dyDescent="0.3">
      <c r="A269" s="17" t="s">
        <v>1</v>
      </c>
      <c r="B269" s="17" t="s">
        <v>746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822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1</v>
      </c>
      <c r="B271" s="17" t="s">
        <v>381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1</v>
      </c>
      <c r="B272" s="17" t="s">
        <v>195</v>
      </c>
      <c r="C272" s="17">
        <v>3</v>
      </c>
      <c r="D272" s="17">
        <v>0</v>
      </c>
      <c r="E272" s="17">
        <v>4</v>
      </c>
    </row>
    <row r="273" spans="1:5" x14ac:dyDescent="0.3">
      <c r="A273" s="17" t="s">
        <v>1</v>
      </c>
      <c r="B273" s="17" t="s">
        <v>236</v>
      </c>
      <c r="C273" s="17">
        <v>1</v>
      </c>
      <c r="D273" s="17">
        <v>0</v>
      </c>
      <c r="E273" s="17">
        <v>4</v>
      </c>
    </row>
    <row r="274" spans="1:5" x14ac:dyDescent="0.3">
      <c r="A274" s="17" t="s">
        <v>1</v>
      </c>
      <c r="B274" s="17" t="s">
        <v>196</v>
      </c>
      <c r="C274" s="17">
        <v>2</v>
      </c>
      <c r="D274" s="17">
        <v>0</v>
      </c>
      <c r="E274" s="17">
        <v>2</v>
      </c>
    </row>
    <row r="275" spans="1:5" x14ac:dyDescent="0.3">
      <c r="A275" s="17" t="s">
        <v>1</v>
      </c>
      <c r="B275" s="17" t="s">
        <v>39</v>
      </c>
      <c r="C275" s="17">
        <v>2</v>
      </c>
      <c r="D275" s="17">
        <v>0</v>
      </c>
      <c r="E275" s="17">
        <v>3</v>
      </c>
    </row>
    <row r="276" spans="1:5" x14ac:dyDescent="0.3">
      <c r="A276" s="17" t="s">
        <v>1</v>
      </c>
      <c r="B276" s="17" t="s">
        <v>239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1</v>
      </c>
      <c r="B277" s="17" t="s">
        <v>240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673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382</v>
      </c>
      <c r="C279" s="17">
        <v>2</v>
      </c>
      <c r="D279" s="17">
        <v>0</v>
      </c>
      <c r="E279" s="17">
        <v>3</v>
      </c>
    </row>
    <row r="280" spans="1:5" x14ac:dyDescent="0.3">
      <c r="A280" s="17" t="s">
        <v>1</v>
      </c>
      <c r="B280" s="17" t="s">
        <v>477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2820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2393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0</v>
      </c>
      <c r="B283" s="17" t="s">
        <v>47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0</v>
      </c>
      <c r="B284" s="17" t="s">
        <v>33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0</v>
      </c>
      <c r="B285" s="17" t="s">
        <v>3432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0</v>
      </c>
      <c r="B286" s="17" t="s">
        <v>1177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0</v>
      </c>
      <c r="B287" s="17" t="s">
        <v>148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0</v>
      </c>
      <c r="B288" s="17" t="s">
        <v>1057</v>
      </c>
      <c r="C288" s="17">
        <v>1</v>
      </c>
      <c r="D288" s="17">
        <v>0</v>
      </c>
      <c r="E288" s="17">
        <v>2</v>
      </c>
    </row>
    <row r="289" spans="1:5" x14ac:dyDescent="0.3">
      <c r="A289" s="17" t="s">
        <v>0</v>
      </c>
      <c r="B289" s="17" t="s">
        <v>151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0</v>
      </c>
      <c r="B290" s="17" t="s">
        <v>152</v>
      </c>
      <c r="C290" s="17">
        <v>1</v>
      </c>
      <c r="D290" s="17">
        <v>0</v>
      </c>
      <c r="E290" s="17">
        <v>3</v>
      </c>
    </row>
    <row r="291" spans="1:5" x14ac:dyDescent="0.3">
      <c r="A291" s="17" t="s">
        <v>0</v>
      </c>
      <c r="B291" s="17" t="s">
        <v>281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0</v>
      </c>
      <c r="B292" s="17" t="s">
        <v>1257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0</v>
      </c>
      <c r="B293" s="17" t="s">
        <v>851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0</v>
      </c>
      <c r="B294" s="17" t="s">
        <v>93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0</v>
      </c>
      <c r="B295" s="17" t="s">
        <v>641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0</v>
      </c>
      <c r="B296" s="17" t="s">
        <v>942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0</v>
      </c>
      <c r="B297" s="17" t="s">
        <v>1581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0</v>
      </c>
      <c r="B298" s="17" t="s">
        <v>1661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0</v>
      </c>
      <c r="B299" s="17" t="s">
        <v>1708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0</v>
      </c>
      <c r="B300" s="17" t="s">
        <v>1772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0</v>
      </c>
      <c r="B301" s="17" t="s">
        <v>1860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0</v>
      </c>
      <c r="B302" s="17" t="s">
        <v>2362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0</v>
      </c>
      <c r="B303" s="17" t="s">
        <v>2440</v>
      </c>
      <c r="C303" s="17">
        <v>1</v>
      </c>
      <c r="D303" s="17">
        <v>0</v>
      </c>
      <c r="E303" s="17">
        <v>2</v>
      </c>
    </row>
    <row r="304" spans="1:5" x14ac:dyDescent="0.3">
      <c r="A304" s="17" t="s">
        <v>0</v>
      </c>
      <c r="B304" s="17" t="s">
        <v>2506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0</v>
      </c>
      <c r="B305" s="17" t="s">
        <v>2692</v>
      </c>
      <c r="C305" s="17">
        <v>1</v>
      </c>
      <c r="D305" s="17">
        <v>0</v>
      </c>
      <c r="E305" s="17">
        <v>3</v>
      </c>
    </row>
    <row r="306" spans="1:5" x14ac:dyDescent="0.3">
      <c r="A306" s="17" t="s">
        <v>0</v>
      </c>
      <c r="B306" s="17" t="s">
        <v>2396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0</v>
      </c>
      <c r="B307" s="17" t="s">
        <v>2616</v>
      </c>
      <c r="C307" s="17">
        <v>1</v>
      </c>
      <c r="D307" s="17">
        <v>0</v>
      </c>
      <c r="E307" s="17">
        <v>5</v>
      </c>
    </row>
    <row r="308" spans="1:5" x14ac:dyDescent="0.3">
      <c r="A308" s="17" t="s">
        <v>0</v>
      </c>
      <c r="B308" s="17" t="s">
        <v>3036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0</v>
      </c>
      <c r="B309" s="17" t="s">
        <v>3236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0</v>
      </c>
      <c r="B310" s="17" t="s">
        <v>3382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0</v>
      </c>
      <c r="B311" s="17" t="s">
        <v>867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0</v>
      </c>
      <c r="B312" s="17" t="s">
        <v>3253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0</v>
      </c>
      <c r="B313" s="17" t="s">
        <v>874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0</v>
      </c>
      <c r="B314" s="17" t="s">
        <v>1627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0</v>
      </c>
      <c r="B315" s="17" t="s">
        <v>3433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0</v>
      </c>
      <c r="B316" s="17" t="s">
        <v>2431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0</v>
      </c>
      <c r="B317" s="17" t="s">
        <v>735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0</v>
      </c>
      <c r="B318" s="17" t="s">
        <v>2093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0</v>
      </c>
      <c r="B319" s="17" t="s">
        <v>46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0</v>
      </c>
      <c r="B320" s="17" t="s">
        <v>1894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0</v>
      </c>
      <c r="B321" s="17" t="s">
        <v>697</v>
      </c>
      <c r="C321" s="17">
        <v>1</v>
      </c>
      <c r="D321" s="17">
        <v>0</v>
      </c>
      <c r="E321" s="17">
        <v>6</v>
      </c>
    </row>
    <row r="322" spans="1:5" x14ac:dyDescent="0.3">
      <c r="A322" s="17" t="s">
        <v>0</v>
      </c>
      <c r="B322" s="17" t="s">
        <v>3434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0</v>
      </c>
      <c r="B323" s="17" t="s">
        <v>2604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0</v>
      </c>
      <c r="B324" s="17" t="s">
        <v>1565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0</v>
      </c>
      <c r="B325" s="17" t="s">
        <v>3435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0</v>
      </c>
      <c r="B326" s="17" t="s">
        <v>455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0</v>
      </c>
      <c r="B327" s="17" t="s">
        <v>1135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0</v>
      </c>
      <c r="B328" s="17" t="s">
        <v>235</v>
      </c>
      <c r="C328" s="17">
        <v>2</v>
      </c>
      <c r="D328" s="17">
        <v>0</v>
      </c>
      <c r="E328" s="17">
        <v>2</v>
      </c>
    </row>
    <row r="329" spans="1:5" x14ac:dyDescent="0.3">
      <c r="A329" s="17" t="s">
        <v>0</v>
      </c>
      <c r="B329" s="17" t="s">
        <v>196</v>
      </c>
      <c r="C329" s="17">
        <v>2</v>
      </c>
      <c r="D329" s="17">
        <v>0</v>
      </c>
      <c r="E329" s="17">
        <v>4</v>
      </c>
    </row>
    <row r="330" spans="1:5" x14ac:dyDescent="0.3">
      <c r="A330" s="17" t="s">
        <v>0</v>
      </c>
      <c r="B330" s="17" t="s">
        <v>39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0</v>
      </c>
      <c r="B331" s="17" t="s">
        <v>377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0</v>
      </c>
      <c r="B332" s="17" t="s">
        <v>477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0</v>
      </c>
      <c r="B333" s="17" t="s">
        <v>1299</v>
      </c>
      <c r="C333" s="17">
        <v>1</v>
      </c>
      <c r="D333" s="17">
        <v>0</v>
      </c>
      <c r="E333" s="17">
        <v>2</v>
      </c>
    </row>
    <row r="334" spans="1:5" x14ac:dyDescent="0.3">
      <c r="A334" s="17" t="s">
        <v>0</v>
      </c>
      <c r="B334" s="17" t="s">
        <v>1026</v>
      </c>
      <c r="C334" s="17">
        <v>1</v>
      </c>
      <c r="D334" s="17">
        <v>0</v>
      </c>
      <c r="E334" s="17">
        <v>13</v>
      </c>
    </row>
    <row r="335" spans="1:5" x14ac:dyDescent="0.3">
      <c r="A335" s="17" t="s">
        <v>0</v>
      </c>
      <c r="B335" s="17" t="s">
        <v>3436</v>
      </c>
      <c r="C335" s="17">
        <v>0</v>
      </c>
      <c r="D335" s="17">
        <v>1</v>
      </c>
      <c r="E335" s="17"/>
    </row>
    <row r="336" spans="1:5" x14ac:dyDescent="0.3">
      <c r="A336" s="17" t="s">
        <v>0</v>
      </c>
      <c r="B336" s="17" t="s">
        <v>2954</v>
      </c>
      <c r="C336" s="17">
        <v>0</v>
      </c>
      <c r="D336" s="17">
        <v>1</v>
      </c>
      <c r="E336" s="17"/>
    </row>
    <row r="337" spans="1:5" x14ac:dyDescent="0.3">
      <c r="A337" s="17" t="s">
        <v>0</v>
      </c>
      <c r="B337" s="17" t="s">
        <v>1701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0</v>
      </c>
      <c r="B338" s="17" t="s">
        <v>32</v>
      </c>
      <c r="C338" s="17">
        <v>3</v>
      </c>
      <c r="D338" s="17">
        <v>0</v>
      </c>
      <c r="E338" s="17">
        <v>5</v>
      </c>
    </row>
    <row r="339" spans="1:5" x14ac:dyDescent="0.3">
      <c r="A339" s="17" t="s">
        <v>2</v>
      </c>
      <c r="B339" s="17" t="s">
        <v>973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2</v>
      </c>
      <c r="B340" s="17" t="s">
        <v>196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2</v>
      </c>
      <c r="B341" s="17" t="s">
        <v>39</v>
      </c>
      <c r="C341" s="17">
        <v>1</v>
      </c>
      <c r="D341" s="17">
        <v>0</v>
      </c>
      <c r="E341" s="17">
        <v>1</v>
      </c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914CA-20A8-46DF-8BD5-43F18FFA8A66}">
  <sheetPr codeName="Sheet59"/>
  <dimension ref="A1:M620"/>
  <sheetViews>
    <sheetView workbookViewId="0">
      <selection activeCell="A2" sqref="A2:E312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51</v>
      </c>
      <c r="D2" s="17">
        <v>48</v>
      </c>
      <c r="E2" s="17">
        <v>55</v>
      </c>
    </row>
    <row r="3" spans="1:13" customFormat="1" x14ac:dyDescent="0.3">
      <c r="A3" s="17" t="s">
        <v>0</v>
      </c>
      <c r="B3" s="17" t="s">
        <v>3397</v>
      </c>
      <c r="C3" s="17">
        <v>44</v>
      </c>
      <c r="D3" s="17">
        <v>36</v>
      </c>
      <c r="E3" s="17">
        <v>49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3361</v>
      </c>
      <c r="C4" s="17">
        <v>37</v>
      </c>
      <c r="D4" s="17">
        <v>31</v>
      </c>
      <c r="E4" s="17">
        <v>38</v>
      </c>
      <c r="G4" s="23" t="s">
        <v>8</v>
      </c>
      <c r="H4" s="19">
        <f>H13+H14</f>
        <v>290</v>
      </c>
      <c r="I4" s="20">
        <f>H4/H$6</f>
        <v>0.44891640866873067</v>
      </c>
      <c r="J4" s="19">
        <f>I13+I14</f>
        <v>224</v>
      </c>
      <c r="K4" s="20">
        <f>J4/J$6</f>
        <v>0.43159922928709055</v>
      </c>
      <c r="L4" s="19">
        <f>J13+J14</f>
        <v>320</v>
      </c>
      <c r="M4" s="29">
        <f>L4/L$6</f>
        <v>0.43360433604336046</v>
      </c>
    </row>
    <row r="5" spans="1:13" customFormat="1" x14ac:dyDescent="0.3">
      <c r="A5" s="17" t="s">
        <v>0</v>
      </c>
      <c r="B5" s="17" t="s">
        <v>29</v>
      </c>
      <c r="C5" s="17">
        <v>19</v>
      </c>
      <c r="D5" s="17">
        <v>19</v>
      </c>
      <c r="E5" s="17">
        <v>24</v>
      </c>
      <c r="G5" s="23" t="s">
        <v>10</v>
      </c>
      <c r="H5" s="19">
        <f>H15+H16</f>
        <v>356</v>
      </c>
      <c r="I5" s="20">
        <f>H5/H$6</f>
        <v>0.55108359133126938</v>
      </c>
      <c r="J5" s="19">
        <f>I15+I16</f>
        <v>295</v>
      </c>
      <c r="K5" s="20">
        <f>J5/J$6</f>
        <v>0.5684007707129094</v>
      </c>
      <c r="L5" s="19">
        <f>J15+J16</f>
        <v>418</v>
      </c>
      <c r="M5" s="29">
        <f>L5/L$6</f>
        <v>0.56639566395663954</v>
      </c>
    </row>
    <row r="6" spans="1:13" customFormat="1" ht="17.25" thickBot="1" x14ac:dyDescent="0.35">
      <c r="A6" s="17" t="s">
        <v>0</v>
      </c>
      <c r="B6" s="17" t="s">
        <v>31</v>
      </c>
      <c r="C6" s="17">
        <v>19</v>
      </c>
      <c r="D6" s="17">
        <v>19</v>
      </c>
      <c r="E6" s="17">
        <v>27</v>
      </c>
      <c r="G6" s="26"/>
      <c r="H6" s="30">
        <f>SUM(H4:H5)</f>
        <v>646</v>
      </c>
      <c r="I6" s="31">
        <f>I4+I5</f>
        <v>1</v>
      </c>
      <c r="J6" s="30">
        <f>SUM(J4:J5)</f>
        <v>519</v>
      </c>
      <c r="K6" s="31">
        <f>K4+K5</f>
        <v>1</v>
      </c>
      <c r="L6" s="30">
        <f>SUM(L4:L5)</f>
        <v>738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18</v>
      </c>
      <c r="D7" s="17">
        <v>10</v>
      </c>
      <c r="E7" s="17">
        <v>21</v>
      </c>
    </row>
    <row r="8" spans="1:13" customFormat="1" x14ac:dyDescent="0.3">
      <c r="A8" s="17" t="s">
        <v>1</v>
      </c>
      <c r="B8" s="17" t="s">
        <v>122</v>
      </c>
      <c r="C8" s="17">
        <v>10</v>
      </c>
      <c r="D8" s="17">
        <v>9</v>
      </c>
      <c r="E8" s="17">
        <v>12</v>
      </c>
    </row>
    <row r="9" spans="1:13" customFormat="1" x14ac:dyDescent="0.3">
      <c r="A9" s="17" t="s">
        <v>0</v>
      </c>
      <c r="B9" s="17" t="s">
        <v>30</v>
      </c>
      <c r="C9" s="17">
        <v>11</v>
      </c>
      <c r="D9" s="17">
        <v>8</v>
      </c>
      <c r="E9" s="17">
        <v>18</v>
      </c>
    </row>
    <row r="10" spans="1:13" customFormat="1" ht="17.25" thickBot="1" x14ac:dyDescent="0.35">
      <c r="A10" s="17" t="s">
        <v>0</v>
      </c>
      <c r="B10" s="17" t="s">
        <v>34</v>
      </c>
      <c r="C10" s="17">
        <v>8</v>
      </c>
      <c r="D10" s="17">
        <v>8</v>
      </c>
      <c r="E10" s="17">
        <v>9</v>
      </c>
    </row>
    <row r="11" spans="1:13" x14ac:dyDescent="0.3">
      <c r="A11" s="17" t="s">
        <v>0</v>
      </c>
      <c r="B11" s="17" t="s">
        <v>398</v>
      </c>
      <c r="C11" s="17">
        <v>7</v>
      </c>
      <c r="D11" s="17">
        <v>7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2075</v>
      </c>
      <c r="C12" s="17">
        <v>6</v>
      </c>
      <c r="D12" s="17">
        <v>6</v>
      </c>
      <c r="E12" s="17">
        <v>6</v>
      </c>
      <c r="G12" s="23"/>
      <c r="H12" s="21">
        <f t="shared" ref="H12:J12" si="0">SUM(H13:H16)</f>
        <v>646</v>
      </c>
      <c r="I12" s="21">
        <f t="shared" si="0"/>
        <v>519</v>
      </c>
      <c r="J12" s="24">
        <f t="shared" si="0"/>
        <v>738</v>
      </c>
    </row>
    <row r="13" spans="1:13" x14ac:dyDescent="0.3">
      <c r="A13" s="17" t="s">
        <v>1</v>
      </c>
      <c r="B13" s="17" t="s">
        <v>48</v>
      </c>
      <c r="C13" s="17">
        <v>5</v>
      </c>
      <c r="D13" s="17">
        <v>5</v>
      </c>
      <c r="E13" s="17">
        <v>5</v>
      </c>
      <c r="G13" s="23" t="s">
        <v>7</v>
      </c>
      <c r="H13" s="22">
        <f t="shared" ref="H13:J16" si="1">SUMIF($A$2:$A$9999,$G13,C$2:C$9999)</f>
        <v>290</v>
      </c>
      <c r="I13" s="22">
        <f t="shared" si="1"/>
        <v>224</v>
      </c>
      <c r="J13" s="25">
        <f t="shared" si="1"/>
        <v>320</v>
      </c>
    </row>
    <row r="14" spans="1:13" x14ac:dyDescent="0.3">
      <c r="A14" s="17" t="s">
        <v>0</v>
      </c>
      <c r="B14" s="17" t="s">
        <v>2572</v>
      </c>
      <c r="C14" s="17">
        <v>6</v>
      </c>
      <c r="D14" s="17">
        <v>5</v>
      </c>
      <c r="E14" s="17">
        <v>6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365</v>
      </c>
      <c r="C15" s="17">
        <v>6</v>
      </c>
      <c r="D15" s="17">
        <v>4</v>
      </c>
      <c r="E15" s="17">
        <v>7</v>
      </c>
      <c r="G15" s="23" t="s">
        <v>11</v>
      </c>
      <c r="H15" s="22">
        <f t="shared" si="1"/>
        <v>352</v>
      </c>
      <c r="I15" s="22">
        <f t="shared" si="1"/>
        <v>291</v>
      </c>
      <c r="J15" s="25">
        <f t="shared" si="1"/>
        <v>414</v>
      </c>
    </row>
    <row r="16" spans="1:13" ht="17.25" thickBot="1" x14ac:dyDescent="0.35">
      <c r="A16" s="17" t="s">
        <v>1</v>
      </c>
      <c r="B16" s="17" t="s">
        <v>2572</v>
      </c>
      <c r="C16" s="17">
        <v>4</v>
      </c>
      <c r="D16" s="17">
        <v>4</v>
      </c>
      <c r="E16" s="17">
        <v>4</v>
      </c>
      <c r="G16" s="26" t="s">
        <v>12</v>
      </c>
      <c r="H16" s="27">
        <f t="shared" si="1"/>
        <v>4</v>
      </c>
      <c r="I16" s="27">
        <f t="shared" si="1"/>
        <v>4</v>
      </c>
      <c r="J16" s="28">
        <f t="shared" si="1"/>
        <v>4</v>
      </c>
    </row>
    <row r="17" spans="1:5" x14ac:dyDescent="0.3">
      <c r="A17" s="17" t="s">
        <v>0</v>
      </c>
      <c r="B17" s="17" t="s">
        <v>60</v>
      </c>
      <c r="C17" s="17">
        <v>5</v>
      </c>
      <c r="D17" s="17">
        <v>4</v>
      </c>
      <c r="E17" s="17">
        <v>6</v>
      </c>
    </row>
    <row r="18" spans="1:5" x14ac:dyDescent="0.3">
      <c r="A18" s="17" t="s">
        <v>0</v>
      </c>
      <c r="B18" s="17" t="s">
        <v>96</v>
      </c>
      <c r="C18" s="17">
        <v>5</v>
      </c>
      <c r="D18" s="17">
        <v>4</v>
      </c>
      <c r="E18" s="17">
        <v>5</v>
      </c>
    </row>
    <row r="19" spans="1:5" x14ac:dyDescent="0.3">
      <c r="A19" s="17" t="s">
        <v>0</v>
      </c>
      <c r="B19" s="17" t="s">
        <v>1479</v>
      </c>
      <c r="C19" s="17">
        <v>4</v>
      </c>
      <c r="D19" s="17">
        <v>4</v>
      </c>
      <c r="E19" s="17">
        <v>5</v>
      </c>
    </row>
    <row r="20" spans="1:5" x14ac:dyDescent="0.3">
      <c r="A20" s="17" t="s">
        <v>0</v>
      </c>
      <c r="B20" s="17" t="s">
        <v>168</v>
      </c>
      <c r="C20" s="17">
        <v>5</v>
      </c>
      <c r="D20" s="17">
        <v>4</v>
      </c>
      <c r="E20" s="17">
        <v>4</v>
      </c>
    </row>
    <row r="21" spans="1:5" x14ac:dyDescent="0.3">
      <c r="A21" s="17" t="s">
        <v>0</v>
      </c>
      <c r="B21" s="17" t="s">
        <v>1225</v>
      </c>
      <c r="C21" s="17">
        <v>4</v>
      </c>
      <c r="D21" s="17">
        <v>4</v>
      </c>
      <c r="E21" s="17">
        <v>4</v>
      </c>
    </row>
    <row r="22" spans="1:5" x14ac:dyDescent="0.3">
      <c r="A22" s="17" t="s">
        <v>0</v>
      </c>
      <c r="B22" s="17" t="s">
        <v>1075</v>
      </c>
      <c r="C22" s="17">
        <v>4</v>
      </c>
      <c r="D22" s="17">
        <v>4</v>
      </c>
      <c r="E22" s="17">
        <v>4</v>
      </c>
    </row>
    <row r="23" spans="1:5" x14ac:dyDescent="0.3">
      <c r="A23" s="17" t="s">
        <v>1</v>
      </c>
      <c r="B23" s="17" t="s">
        <v>34</v>
      </c>
      <c r="C23" s="17">
        <v>3</v>
      </c>
      <c r="D23" s="17">
        <v>3</v>
      </c>
      <c r="E23" s="17">
        <v>3</v>
      </c>
    </row>
    <row r="24" spans="1:5" x14ac:dyDescent="0.3">
      <c r="A24" s="17" t="s">
        <v>1</v>
      </c>
      <c r="B24" s="17" t="s">
        <v>149</v>
      </c>
      <c r="C24" s="17">
        <v>3</v>
      </c>
      <c r="D24" s="17">
        <v>3</v>
      </c>
      <c r="E24" s="17">
        <v>3</v>
      </c>
    </row>
    <row r="25" spans="1:5" x14ac:dyDescent="0.3">
      <c r="A25" s="17" t="s">
        <v>1</v>
      </c>
      <c r="B25" s="17" t="s">
        <v>3361</v>
      </c>
      <c r="C25" s="17">
        <v>4</v>
      </c>
      <c r="D25" s="17">
        <v>3</v>
      </c>
      <c r="E25" s="17">
        <v>4</v>
      </c>
    </row>
    <row r="26" spans="1:5" x14ac:dyDescent="0.3">
      <c r="A26" s="17" t="s">
        <v>1</v>
      </c>
      <c r="B26" s="17" t="s">
        <v>29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32</v>
      </c>
      <c r="C27" s="17">
        <v>4</v>
      </c>
      <c r="D27" s="17">
        <v>3</v>
      </c>
      <c r="E27" s="17">
        <v>7</v>
      </c>
    </row>
    <row r="28" spans="1:5" x14ac:dyDescent="0.3">
      <c r="A28" s="17" t="s">
        <v>0</v>
      </c>
      <c r="B28" s="17" t="s">
        <v>151</v>
      </c>
      <c r="C28" s="17">
        <v>3</v>
      </c>
      <c r="D28" s="17">
        <v>3</v>
      </c>
      <c r="E28" s="17">
        <v>3</v>
      </c>
    </row>
    <row r="29" spans="1:5" x14ac:dyDescent="0.3">
      <c r="A29" s="17" t="s">
        <v>0</v>
      </c>
      <c r="B29" s="17" t="s">
        <v>365</v>
      </c>
      <c r="C29" s="17">
        <v>3</v>
      </c>
      <c r="D29" s="17">
        <v>3</v>
      </c>
      <c r="E29" s="17">
        <v>3</v>
      </c>
    </row>
    <row r="30" spans="1:5" x14ac:dyDescent="0.3">
      <c r="A30" s="17" t="s">
        <v>0</v>
      </c>
      <c r="B30" s="17" t="s">
        <v>1927</v>
      </c>
      <c r="C30" s="17">
        <v>3</v>
      </c>
      <c r="D30" s="17">
        <v>3</v>
      </c>
      <c r="E30" s="17">
        <v>4</v>
      </c>
    </row>
    <row r="31" spans="1:5" x14ac:dyDescent="0.3">
      <c r="A31" s="17" t="s">
        <v>0</v>
      </c>
      <c r="B31" s="17" t="s">
        <v>2396</v>
      </c>
      <c r="C31" s="17">
        <v>3</v>
      </c>
      <c r="D31" s="17">
        <v>3</v>
      </c>
      <c r="E31" s="17">
        <v>3</v>
      </c>
    </row>
    <row r="32" spans="1:5" x14ac:dyDescent="0.3">
      <c r="A32" s="17" t="s">
        <v>0</v>
      </c>
      <c r="B32" s="17" t="s">
        <v>107</v>
      </c>
      <c r="C32" s="17">
        <v>3</v>
      </c>
      <c r="D32" s="17">
        <v>3</v>
      </c>
      <c r="E32" s="17">
        <v>3</v>
      </c>
    </row>
    <row r="33" spans="1:5" x14ac:dyDescent="0.3">
      <c r="A33" s="17" t="s">
        <v>0</v>
      </c>
      <c r="B33" s="17" t="s">
        <v>199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2227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36</v>
      </c>
      <c r="C35" s="17">
        <v>2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267</v>
      </c>
      <c r="C36" s="17">
        <v>2</v>
      </c>
      <c r="D36" s="17">
        <v>2</v>
      </c>
      <c r="E36" s="17">
        <v>2</v>
      </c>
    </row>
    <row r="37" spans="1:5" x14ac:dyDescent="0.3">
      <c r="A37" s="17" t="s">
        <v>1</v>
      </c>
      <c r="B37" s="17" t="s">
        <v>89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634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61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1927</v>
      </c>
      <c r="C40" s="17">
        <v>3</v>
      </c>
      <c r="D40" s="17">
        <v>2</v>
      </c>
      <c r="E40" s="17">
        <v>4</v>
      </c>
    </row>
    <row r="41" spans="1:5" x14ac:dyDescent="0.3">
      <c r="A41" s="17" t="s">
        <v>1</v>
      </c>
      <c r="B41" s="17" t="s">
        <v>3397</v>
      </c>
      <c r="C41" s="17">
        <v>3</v>
      </c>
      <c r="D41" s="17">
        <v>2</v>
      </c>
      <c r="E41" s="17">
        <v>3</v>
      </c>
    </row>
    <row r="42" spans="1:5" x14ac:dyDescent="0.3">
      <c r="A42" s="17" t="s">
        <v>1</v>
      </c>
      <c r="B42" s="17" t="s">
        <v>265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168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1443</v>
      </c>
      <c r="C44" s="17">
        <v>2</v>
      </c>
      <c r="D44" s="17">
        <v>2</v>
      </c>
      <c r="E44" s="17">
        <v>3</v>
      </c>
    </row>
    <row r="45" spans="1:5" x14ac:dyDescent="0.3">
      <c r="A45" s="17" t="s">
        <v>1</v>
      </c>
      <c r="B45" s="17" t="s">
        <v>199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200</v>
      </c>
      <c r="C46" s="17">
        <v>2</v>
      </c>
      <c r="D46" s="17">
        <v>2</v>
      </c>
      <c r="E46" s="17">
        <v>3</v>
      </c>
    </row>
    <row r="47" spans="1:5" x14ac:dyDescent="0.3">
      <c r="A47" s="17" t="s">
        <v>1</v>
      </c>
      <c r="B47" s="17" t="s">
        <v>37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31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54</v>
      </c>
      <c r="C49" s="17">
        <v>3</v>
      </c>
      <c r="D49" s="17">
        <v>2</v>
      </c>
      <c r="E49" s="17">
        <v>3</v>
      </c>
    </row>
    <row r="50" spans="1:5" x14ac:dyDescent="0.3">
      <c r="A50" s="17" t="s">
        <v>0</v>
      </c>
      <c r="B50" s="17" t="s">
        <v>40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1643</v>
      </c>
      <c r="C51" s="17">
        <v>2</v>
      </c>
      <c r="D51" s="17">
        <v>2</v>
      </c>
      <c r="E51" s="17">
        <v>2</v>
      </c>
    </row>
    <row r="52" spans="1:5" x14ac:dyDescent="0.3">
      <c r="A52" s="17" t="s">
        <v>0</v>
      </c>
      <c r="B52" s="17" t="s">
        <v>2075</v>
      </c>
      <c r="C52" s="17">
        <v>2</v>
      </c>
      <c r="D52" s="17">
        <v>2</v>
      </c>
      <c r="E52" s="17">
        <v>2</v>
      </c>
    </row>
    <row r="53" spans="1:5" x14ac:dyDescent="0.3">
      <c r="A53" s="17" t="s">
        <v>0</v>
      </c>
      <c r="B53" s="17" t="s">
        <v>3036</v>
      </c>
      <c r="C53" s="17">
        <v>3</v>
      </c>
      <c r="D53" s="17">
        <v>2</v>
      </c>
      <c r="E53" s="17">
        <v>3</v>
      </c>
    </row>
    <row r="54" spans="1:5" x14ac:dyDescent="0.3">
      <c r="A54" s="17" t="s">
        <v>0</v>
      </c>
      <c r="B54" s="17" t="s">
        <v>526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995</v>
      </c>
      <c r="C55" s="17">
        <v>2</v>
      </c>
      <c r="D55" s="17">
        <v>2</v>
      </c>
      <c r="E55" s="17">
        <v>2</v>
      </c>
    </row>
    <row r="56" spans="1:5" x14ac:dyDescent="0.3">
      <c r="A56" s="17" t="s">
        <v>0</v>
      </c>
      <c r="B56" s="17" t="s">
        <v>593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1557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662</v>
      </c>
      <c r="C58" s="17">
        <v>2</v>
      </c>
      <c r="D58" s="17">
        <v>2</v>
      </c>
      <c r="E58" s="17">
        <v>3</v>
      </c>
    </row>
    <row r="59" spans="1:5" x14ac:dyDescent="0.3">
      <c r="A59" s="17" t="s">
        <v>0</v>
      </c>
      <c r="B59" s="17" t="s">
        <v>122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123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37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695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1246</v>
      </c>
      <c r="C63" s="17">
        <v>2</v>
      </c>
      <c r="D63" s="17">
        <v>2</v>
      </c>
      <c r="E63" s="17">
        <v>3</v>
      </c>
    </row>
    <row r="64" spans="1:5" x14ac:dyDescent="0.3">
      <c r="A64" s="17" t="s">
        <v>1</v>
      </c>
      <c r="B64" s="17" t="s">
        <v>1032</v>
      </c>
      <c r="C64" s="17">
        <v>1</v>
      </c>
      <c r="D64" s="17">
        <v>1</v>
      </c>
      <c r="E64" s="17">
        <v>1</v>
      </c>
    </row>
    <row r="65" spans="1:5" x14ac:dyDescent="0.3">
      <c r="A65" s="17" t="s">
        <v>1</v>
      </c>
      <c r="B65" s="17" t="s">
        <v>242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1796</v>
      </c>
      <c r="C66" s="17">
        <v>1</v>
      </c>
      <c r="D66" s="17">
        <v>1</v>
      </c>
      <c r="E66" s="17">
        <v>2</v>
      </c>
    </row>
    <row r="67" spans="1:5" x14ac:dyDescent="0.3">
      <c r="A67" s="17" t="s">
        <v>1</v>
      </c>
      <c r="B67" s="17" t="s">
        <v>579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458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33</v>
      </c>
      <c r="C69" s="17">
        <v>2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75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460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209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394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79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1314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862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152</v>
      </c>
      <c r="C77" s="17">
        <v>2</v>
      </c>
      <c r="D77" s="17">
        <v>1</v>
      </c>
      <c r="E77" s="17">
        <v>2</v>
      </c>
    </row>
    <row r="78" spans="1:5" x14ac:dyDescent="0.3">
      <c r="A78" s="17" t="s">
        <v>1</v>
      </c>
      <c r="B78" s="17" t="s">
        <v>92</v>
      </c>
      <c r="C78" s="17">
        <v>1</v>
      </c>
      <c r="D78" s="17">
        <v>1</v>
      </c>
      <c r="E78" s="17">
        <v>2</v>
      </c>
    </row>
    <row r="79" spans="1:5" x14ac:dyDescent="0.3">
      <c r="A79" s="17" t="s">
        <v>1</v>
      </c>
      <c r="B79" s="17" t="s">
        <v>154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641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41</v>
      </c>
      <c r="C81" s="17">
        <v>2</v>
      </c>
      <c r="D81" s="17">
        <v>1</v>
      </c>
      <c r="E81" s="17">
        <v>2</v>
      </c>
    </row>
    <row r="82" spans="1:5" x14ac:dyDescent="0.3">
      <c r="A82" s="17" t="s">
        <v>1</v>
      </c>
      <c r="B82" s="17" t="s">
        <v>60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157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96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1643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1662</v>
      </c>
      <c r="C86" s="17">
        <v>1</v>
      </c>
      <c r="D86" s="17">
        <v>1</v>
      </c>
      <c r="E86" s="17">
        <v>2</v>
      </c>
    </row>
    <row r="87" spans="1:5" x14ac:dyDescent="0.3">
      <c r="A87" s="17" t="s">
        <v>1</v>
      </c>
      <c r="B87" s="17" t="s">
        <v>1711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1946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2399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2692</v>
      </c>
      <c r="C90" s="17">
        <v>2</v>
      </c>
      <c r="D90" s="17">
        <v>1</v>
      </c>
      <c r="E90" s="17">
        <v>2</v>
      </c>
    </row>
    <row r="91" spans="1:5" x14ac:dyDescent="0.3">
      <c r="A91" s="17" t="s">
        <v>1</v>
      </c>
      <c r="B91" s="17" t="s">
        <v>2397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2616</v>
      </c>
      <c r="C92" s="17">
        <v>1</v>
      </c>
      <c r="D92" s="17">
        <v>1</v>
      </c>
      <c r="E92" s="17">
        <v>2</v>
      </c>
    </row>
    <row r="93" spans="1:5" x14ac:dyDescent="0.3">
      <c r="A93" s="17" t="s">
        <v>1</v>
      </c>
      <c r="B93" s="17" t="s">
        <v>159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526</v>
      </c>
      <c r="C94" s="17">
        <v>2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993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98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1479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714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1342</v>
      </c>
      <c r="C99" s="17">
        <v>1</v>
      </c>
      <c r="D99" s="17">
        <v>1</v>
      </c>
      <c r="E99" s="17">
        <v>2</v>
      </c>
    </row>
    <row r="100" spans="1:5" x14ac:dyDescent="0.3">
      <c r="A100" s="17" t="s">
        <v>1</v>
      </c>
      <c r="B100" s="17" t="s">
        <v>104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1106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322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1288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1545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1099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3294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1489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3437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1225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2197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113</v>
      </c>
      <c r="C111" s="17">
        <v>2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51</v>
      </c>
      <c r="C112" s="17">
        <v>2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291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44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875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1004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115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724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2496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596</v>
      </c>
      <c r="C120" s="17">
        <v>2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468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607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731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809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337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886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415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780</v>
      </c>
      <c r="C128" s="17">
        <v>1</v>
      </c>
      <c r="D128" s="17">
        <v>1</v>
      </c>
      <c r="E128" s="17">
        <v>2</v>
      </c>
    </row>
    <row r="129" spans="1:5" x14ac:dyDescent="0.3">
      <c r="A129" s="17" t="s">
        <v>1</v>
      </c>
      <c r="B129" s="17" t="s">
        <v>814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888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342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3257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373</v>
      </c>
      <c r="C133" s="17">
        <v>1</v>
      </c>
      <c r="D133" s="17">
        <v>1</v>
      </c>
      <c r="E133" s="17">
        <v>2</v>
      </c>
    </row>
    <row r="134" spans="1:5" x14ac:dyDescent="0.3">
      <c r="A134" s="17" t="s">
        <v>1</v>
      </c>
      <c r="B134" s="17" t="s">
        <v>662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695</v>
      </c>
      <c r="C135" s="17">
        <v>1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125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742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1199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349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429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188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1134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201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259</v>
      </c>
      <c r="C144" s="17">
        <v>2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1326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842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1893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39</v>
      </c>
      <c r="C148" s="17">
        <v>3</v>
      </c>
      <c r="D148" s="17">
        <v>1</v>
      </c>
      <c r="E148" s="17">
        <v>3</v>
      </c>
    </row>
    <row r="149" spans="1:5" x14ac:dyDescent="0.3">
      <c r="A149" s="17" t="s">
        <v>1</v>
      </c>
      <c r="B149" s="17" t="s">
        <v>55</v>
      </c>
      <c r="C149" s="17">
        <v>4</v>
      </c>
      <c r="D149" s="17">
        <v>1</v>
      </c>
      <c r="E149" s="17">
        <v>5</v>
      </c>
    </row>
    <row r="150" spans="1:5" x14ac:dyDescent="0.3">
      <c r="A150" s="17" t="s">
        <v>1</v>
      </c>
      <c r="B150" s="17" t="s">
        <v>1451</v>
      </c>
      <c r="C150" s="17">
        <v>1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56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572</v>
      </c>
      <c r="C152" s="17">
        <v>1</v>
      </c>
      <c r="D152" s="17">
        <v>1</v>
      </c>
      <c r="E152" s="17"/>
    </row>
    <row r="153" spans="1:5" x14ac:dyDescent="0.3">
      <c r="A153" s="17" t="s">
        <v>1</v>
      </c>
      <c r="B153" s="17" t="s">
        <v>3306</v>
      </c>
      <c r="C153" s="17">
        <v>1</v>
      </c>
      <c r="D153" s="17">
        <v>2</v>
      </c>
      <c r="E153" s="17"/>
    </row>
    <row r="154" spans="1:5" x14ac:dyDescent="0.3">
      <c r="A154" s="17" t="s">
        <v>1</v>
      </c>
      <c r="B154" s="17" t="s">
        <v>1329</v>
      </c>
      <c r="C154" s="17">
        <v>1</v>
      </c>
      <c r="D154" s="17">
        <v>1</v>
      </c>
      <c r="E154" s="17"/>
    </row>
    <row r="155" spans="1:5" x14ac:dyDescent="0.3">
      <c r="A155" s="17" t="s">
        <v>0</v>
      </c>
      <c r="B155" s="17" t="s">
        <v>354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0</v>
      </c>
      <c r="B156" s="17" t="s">
        <v>310</v>
      </c>
      <c r="C156" s="17">
        <v>1</v>
      </c>
      <c r="D156" s="17">
        <v>1</v>
      </c>
      <c r="E156" s="17">
        <v>2</v>
      </c>
    </row>
    <row r="157" spans="1:5" x14ac:dyDescent="0.3">
      <c r="A157" s="17" t="s">
        <v>0</v>
      </c>
      <c r="B157" s="17" t="s">
        <v>929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0</v>
      </c>
      <c r="B158" s="17" t="s">
        <v>48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0</v>
      </c>
      <c r="B159" s="17" t="s">
        <v>490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0</v>
      </c>
      <c r="B160" s="17" t="s">
        <v>356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0</v>
      </c>
      <c r="B161" s="17" t="s">
        <v>79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0</v>
      </c>
      <c r="B162" s="17" t="s">
        <v>212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0</v>
      </c>
      <c r="B163" s="17" t="s">
        <v>860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0</v>
      </c>
      <c r="B164" s="17" t="s">
        <v>82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0</v>
      </c>
      <c r="B165" s="17" t="s">
        <v>267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148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149</v>
      </c>
      <c r="C167" s="17">
        <v>2</v>
      </c>
      <c r="D167" s="17">
        <v>1</v>
      </c>
      <c r="E167" s="17">
        <v>4</v>
      </c>
    </row>
    <row r="168" spans="1:5" x14ac:dyDescent="0.3">
      <c r="A168" s="17" t="s">
        <v>0</v>
      </c>
      <c r="B168" s="17" t="s">
        <v>150</v>
      </c>
      <c r="C168" s="17">
        <v>1</v>
      </c>
      <c r="D168" s="17">
        <v>1</v>
      </c>
      <c r="E168" s="17">
        <v>2</v>
      </c>
    </row>
    <row r="169" spans="1:5" x14ac:dyDescent="0.3">
      <c r="A169" s="17" t="s">
        <v>0</v>
      </c>
      <c r="B169" s="17" t="s">
        <v>89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636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93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154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437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155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61</v>
      </c>
      <c r="C175" s="17">
        <v>1</v>
      </c>
      <c r="D175" s="17">
        <v>1</v>
      </c>
      <c r="E175" s="17">
        <v>2</v>
      </c>
    </row>
    <row r="176" spans="1:5" x14ac:dyDescent="0.3">
      <c r="A176" s="17" t="s">
        <v>0</v>
      </c>
      <c r="B176" s="17" t="s">
        <v>487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909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1518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1662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3406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713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440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35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840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160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403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163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589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998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28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103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2250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1508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1181</v>
      </c>
      <c r="C194" s="17">
        <v>1</v>
      </c>
      <c r="D194" s="17">
        <v>1</v>
      </c>
      <c r="E194" s="17">
        <v>2</v>
      </c>
    </row>
    <row r="195" spans="1:5" x14ac:dyDescent="0.3">
      <c r="A195" s="17" t="s">
        <v>0</v>
      </c>
      <c r="B195" s="17" t="s">
        <v>645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3438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1288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109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1551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169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407</v>
      </c>
      <c r="C201" s="17">
        <v>2</v>
      </c>
      <c r="D201" s="17">
        <v>1</v>
      </c>
      <c r="E201" s="17">
        <v>2</v>
      </c>
    </row>
    <row r="202" spans="1:5" x14ac:dyDescent="0.3">
      <c r="A202" s="17" t="s">
        <v>0</v>
      </c>
      <c r="B202" s="17" t="s">
        <v>1270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0</v>
      </c>
      <c r="B203" s="17" t="s">
        <v>1092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172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113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0</v>
      </c>
      <c r="B206" s="17" t="s">
        <v>289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51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174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539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543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45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3439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0</v>
      </c>
      <c r="B213" s="17" t="s">
        <v>544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1348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2577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731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1110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62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179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2169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63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183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3440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262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350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52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823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2898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497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132</v>
      </c>
      <c r="C230" s="17">
        <v>2</v>
      </c>
      <c r="D230" s="17">
        <v>1</v>
      </c>
      <c r="E230" s="17">
        <v>2</v>
      </c>
    </row>
    <row r="231" spans="1:5" x14ac:dyDescent="0.3">
      <c r="A231" s="17" t="s">
        <v>0</v>
      </c>
      <c r="B231" s="17" t="s">
        <v>1900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67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39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266</v>
      </c>
      <c r="C234" s="17">
        <v>1</v>
      </c>
      <c r="D234" s="17">
        <v>1</v>
      </c>
      <c r="E234" s="17">
        <v>6</v>
      </c>
    </row>
    <row r="235" spans="1:5" x14ac:dyDescent="0.3">
      <c r="A235" s="17" t="s">
        <v>0</v>
      </c>
      <c r="B235" s="17" t="s">
        <v>922</v>
      </c>
      <c r="C235" s="17">
        <v>1</v>
      </c>
      <c r="D235" s="17">
        <v>1</v>
      </c>
      <c r="E235" s="17"/>
    </row>
    <row r="236" spans="1:5" x14ac:dyDescent="0.3">
      <c r="A236" s="17" t="s">
        <v>0</v>
      </c>
      <c r="B236" s="17" t="s">
        <v>3441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431</v>
      </c>
      <c r="C237" s="17">
        <v>1</v>
      </c>
      <c r="D237" s="17">
        <v>1</v>
      </c>
      <c r="E237" s="17"/>
    </row>
    <row r="238" spans="1:5" x14ac:dyDescent="0.3">
      <c r="A238" s="17" t="s">
        <v>2</v>
      </c>
      <c r="B238" s="17" t="s">
        <v>34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2</v>
      </c>
      <c r="B239" s="17" t="s">
        <v>2572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2</v>
      </c>
      <c r="B240" s="17" t="s">
        <v>3361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2</v>
      </c>
      <c r="B241" s="17" t="s">
        <v>200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432</v>
      </c>
      <c r="C242" s="17">
        <v>1</v>
      </c>
      <c r="D242" s="17">
        <v>0</v>
      </c>
      <c r="E242" s="17">
        <v>1</v>
      </c>
    </row>
    <row r="243" spans="1:5" x14ac:dyDescent="0.3">
      <c r="A243" s="17" t="s">
        <v>1</v>
      </c>
      <c r="B243" s="17" t="s">
        <v>624</v>
      </c>
      <c r="C243" s="17">
        <v>1</v>
      </c>
      <c r="D243" s="17">
        <v>0</v>
      </c>
      <c r="E243" s="17">
        <v>1</v>
      </c>
    </row>
    <row r="244" spans="1:5" x14ac:dyDescent="0.3">
      <c r="A244" s="17" t="s">
        <v>1</v>
      </c>
      <c r="B244" s="17" t="s">
        <v>315</v>
      </c>
      <c r="C244" s="17">
        <v>1</v>
      </c>
      <c r="D244" s="17">
        <v>0</v>
      </c>
      <c r="E244" s="17">
        <v>1</v>
      </c>
    </row>
    <row r="245" spans="1:5" x14ac:dyDescent="0.3">
      <c r="A245" s="17" t="s">
        <v>1</v>
      </c>
      <c r="B245" s="17" t="s">
        <v>360</v>
      </c>
      <c r="C245" s="17">
        <v>1</v>
      </c>
      <c r="D245" s="17">
        <v>0</v>
      </c>
      <c r="E245" s="17">
        <v>1</v>
      </c>
    </row>
    <row r="246" spans="1:5" x14ac:dyDescent="0.3">
      <c r="A246" s="17" t="s">
        <v>1</v>
      </c>
      <c r="B246" s="17" t="s">
        <v>584</v>
      </c>
      <c r="C246" s="17">
        <v>1</v>
      </c>
      <c r="D246" s="17">
        <v>0</v>
      </c>
      <c r="E246" s="17">
        <v>1</v>
      </c>
    </row>
    <row r="247" spans="1:5" x14ac:dyDescent="0.3">
      <c r="A247" s="17" t="s">
        <v>1</v>
      </c>
      <c r="B247" s="17" t="s">
        <v>635</v>
      </c>
      <c r="C247" s="17">
        <v>1</v>
      </c>
      <c r="D247" s="17">
        <v>0</v>
      </c>
      <c r="E247" s="17">
        <v>1</v>
      </c>
    </row>
    <row r="248" spans="1:5" x14ac:dyDescent="0.3">
      <c r="A248" s="17" t="s">
        <v>1</v>
      </c>
      <c r="B248" s="17" t="s">
        <v>1613</v>
      </c>
      <c r="C248" s="17">
        <v>1</v>
      </c>
      <c r="D248" s="17">
        <v>0</v>
      </c>
      <c r="E248" s="17">
        <v>1</v>
      </c>
    </row>
    <row r="249" spans="1:5" x14ac:dyDescent="0.3">
      <c r="A249" s="17" t="s">
        <v>1</v>
      </c>
      <c r="B249" s="17" t="s">
        <v>1691</v>
      </c>
      <c r="C249" s="17">
        <v>1</v>
      </c>
      <c r="D249" s="17">
        <v>0</v>
      </c>
      <c r="E249" s="17">
        <v>1</v>
      </c>
    </row>
    <row r="250" spans="1:5" x14ac:dyDescent="0.3">
      <c r="A250" s="17" t="s">
        <v>1</v>
      </c>
      <c r="B250" s="17" t="s">
        <v>2398</v>
      </c>
      <c r="C250" s="17">
        <v>1</v>
      </c>
      <c r="D250" s="17">
        <v>0</v>
      </c>
      <c r="E250" s="17">
        <v>1</v>
      </c>
    </row>
    <row r="251" spans="1:5" x14ac:dyDescent="0.3">
      <c r="A251" s="17" t="s">
        <v>1</v>
      </c>
      <c r="B251" s="17" t="s">
        <v>2944</v>
      </c>
      <c r="C251" s="17">
        <v>1</v>
      </c>
      <c r="D251" s="17">
        <v>0</v>
      </c>
      <c r="E251" s="17">
        <v>1</v>
      </c>
    </row>
    <row r="252" spans="1:5" x14ac:dyDescent="0.3">
      <c r="A252" s="17" t="s">
        <v>1</v>
      </c>
      <c r="B252" s="17" t="s">
        <v>3327</v>
      </c>
      <c r="C252" s="17">
        <v>1</v>
      </c>
      <c r="D252" s="17">
        <v>0</v>
      </c>
      <c r="E252" s="17">
        <v>2</v>
      </c>
    </row>
    <row r="253" spans="1:5" x14ac:dyDescent="0.3">
      <c r="A253" s="17" t="s">
        <v>1</v>
      </c>
      <c r="B253" s="17" t="s">
        <v>3382</v>
      </c>
      <c r="C253" s="17">
        <v>2</v>
      </c>
      <c r="D253" s="17">
        <v>0</v>
      </c>
      <c r="E253" s="17">
        <v>3</v>
      </c>
    </row>
    <row r="254" spans="1:5" x14ac:dyDescent="0.3">
      <c r="A254" s="17" t="s">
        <v>1</v>
      </c>
      <c r="B254" s="17" t="s">
        <v>2405</v>
      </c>
      <c r="C254" s="17">
        <v>1</v>
      </c>
      <c r="D254" s="17">
        <v>0</v>
      </c>
      <c r="E254" s="17">
        <v>1</v>
      </c>
    </row>
    <row r="255" spans="1:5" x14ac:dyDescent="0.3">
      <c r="A255" s="17" t="s">
        <v>1</v>
      </c>
      <c r="B255" s="17" t="s">
        <v>2033</v>
      </c>
      <c r="C255" s="17">
        <v>1</v>
      </c>
      <c r="D255" s="17">
        <v>0</v>
      </c>
      <c r="E255" s="17">
        <v>1</v>
      </c>
    </row>
    <row r="256" spans="1:5" x14ac:dyDescent="0.3">
      <c r="A256" s="17" t="s">
        <v>1</v>
      </c>
      <c r="B256" s="17" t="s">
        <v>1181</v>
      </c>
      <c r="C256" s="17">
        <v>1</v>
      </c>
      <c r="D256" s="17">
        <v>0</v>
      </c>
      <c r="E256" s="17">
        <v>1</v>
      </c>
    </row>
    <row r="257" spans="1:5" x14ac:dyDescent="0.3">
      <c r="A257" s="17" t="s">
        <v>1</v>
      </c>
      <c r="B257" s="17" t="s">
        <v>1000</v>
      </c>
      <c r="C257" s="17">
        <v>1</v>
      </c>
      <c r="D257" s="17">
        <v>0</v>
      </c>
      <c r="E257" s="17">
        <v>1</v>
      </c>
    </row>
    <row r="258" spans="1:5" x14ac:dyDescent="0.3">
      <c r="A258" s="17" t="s">
        <v>1</v>
      </c>
      <c r="B258" s="17" t="s">
        <v>111</v>
      </c>
      <c r="C258" s="17">
        <v>1</v>
      </c>
      <c r="D258" s="17">
        <v>0</v>
      </c>
      <c r="E258" s="17">
        <v>1</v>
      </c>
    </row>
    <row r="259" spans="1:5" x14ac:dyDescent="0.3">
      <c r="A259" s="17" t="s">
        <v>1</v>
      </c>
      <c r="B259" s="17" t="s">
        <v>1901</v>
      </c>
      <c r="C259" s="17">
        <v>1</v>
      </c>
      <c r="D259" s="17">
        <v>0</v>
      </c>
      <c r="E259" s="17">
        <v>2</v>
      </c>
    </row>
    <row r="260" spans="1:5" x14ac:dyDescent="0.3">
      <c r="A260" s="17" t="s">
        <v>1</v>
      </c>
      <c r="B260" s="17" t="s">
        <v>1858</v>
      </c>
      <c r="C260" s="17">
        <v>1</v>
      </c>
      <c r="D260" s="17">
        <v>0</v>
      </c>
      <c r="E260" s="17">
        <v>1</v>
      </c>
    </row>
    <row r="261" spans="1:5" x14ac:dyDescent="0.3">
      <c r="A261" s="17" t="s">
        <v>1</v>
      </c>
      <c r="B261" s="17" t="s">
        <v>1418</v>
      </c>
      <c r="C261" s="17">
        <v>1</v>
      </c>
      <c r="D261" s="17">
        <v>0</v>
      </c>
      <c r="E261" s="17">
        <v>1</v>
      </c>
    </row>
    <row r="262" spans="1:5" x14ac:dyDescent="0.3">
      <c r="A262" s="17" t="s">
        <v>1</v>
      </c>
      <c r="B262" s="17" t="s">
        <v>1865</v>
      </c>
      <c r="C262" s="17">
        <v>1</v>
      </c>
      <c r="D262" s="17">
        <v>0</v>
      </c>
      <c r="E262" s="17">
        <v>4</v>
      </c>
    </row>
    <row r="263" spans="1:5" x14ac:dyDescent="0.3">
      <c r="A263" s="17" t="s">
        <v>1</v>
      </c>
      <c r="B263" s="17" t="s">
        <v>1233</v>
      </c>
      <c r="C263" s="17">
        <v>1</v>
      </c>
      <c r="D263" s="17">
        <v>0</v>
      </c>
      <c r="E263" s="17">
        <v>1</v>
      </c>
    </row>
    <row r="264" spans="1:5" x14ac:dyDescent="0.3">
      <c r="A264" s="17" t="s">
        <v>1</v>
      </c>
      <c r="B264" s="17" t="s">
        <v>135</v>
      </c>
      <c r="C264" s="17">
        <v>1</v>
      </c>
      <c r="D264" s="17">
        <v>0</v>
      </c>
      <c r="E264" s="17">
        <v>1</v>
      </c>
    </row>
    <row r="265" spans="1:5" x14ac:dyDescent="0.3">
      <c r="A265" s="17" t="s">
        <v>1</v>
      </c>
      <c r="B265" s="17" t="s">
        <v>684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235</v>
      </c>
      <c r="C266" s="17">
        <v>2</v>
      </c>
      <c r="D266" s="17">
        <v>0</v>
      </c>
      <c r="E266" s="17">
        <v>2</v>
      </c>
    </row>
    <row r="267" spans="1:5" x14ac:dyDescent="0.3">
      <c r="A267" s="17" t="s">
        <v>1</v>
      </c>
      <c r="B267" s="17" t="s">
        <v>195</v>
      </c>
      <c r="C267" s="17">
        <v>1</v>
      </c>
      <c r="D267" s="17">
        <v>0</v>
      </c>
      <c r="E267" s="17">
        <v>1</v>
      </c>
    </row>
    <row r="268" spans="1:5" x14ac:dyDescent="0.3">
      <c r="A268" s="17" t="s">
        <v>1</v>
      </c>
      <c r="B268" s="17" t="s">
        <v>239</v>
      </c>
      <c r="C268" s="17">
        <v>1</v>
      </c>
      <c r="D268" s="17">
        <v>0</v>
      </c>
      <c r="E268" s="17">
        <v>5</v>
      </c>
    </row>
    <row r="269" spans="1:5" x14ac:dyDescent="0.3">
      <c r="A269" s="17" t="s">
        <v>1</v>
      </c>
      <c r="B269" s="17" t="s">
        <v>240</v>
      </c>
      <c r="C269" s="17">
        <v>1</v>
      </c>
      <c r="D269" s="17">
        <v>0</v>
      </c>
      <c r="E269" s="17">
        <v>2</v>
      </c>
    </row>
    <row r="270" spans="1:5" x14ac:dyDescent="0.3">
      <c r="A270" s="17" t="s">
        <v>1</v>
      </c>
      <c r="B270" s="17" t="s">
        <v>673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1</v>
      </c>
      <c r="B271" s="17" t="s">
        <v>382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1</v>
      </c>
      <c r="B272" s="17" t="s">
        <v>377</v>
      </c>
      <c r="C272" s="17">
        <v>1</v>
      </c>
      <c r="D272" s="17">
        <v>0</v>
      </c>
      <c r="E272" s="17">
        <v>1</v>
      </c>
    </row>
    <row r="273" spans="1:5" x14ac:dyDescent="0.3">
      <c r="A273" s="17" t="s">
        <v>1</v>
      </c>
      <c r="B273" s="17" t="s">
        <v>477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3337</v>
      </c>
      <c r="C274" s="17">
        <v>0</v>
      </c>
      <c r="D274" s="17">
        <v>1</v>
      </c>
      <c r="E274" s="17"/>
    </row>
    <row r="275" spans="1:5" x14ac:dyDescent="0.3">
      <c r="A275" s="17" t="s">
        <v>1</v>
      </c>
      <c r="B275" s="17" t="s">
        <v>69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0</v>
      </c>
      <c r="B276" s="17" t="s">
        <v>36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0</v>
      </c>
      <c r="B277" s="17" t="s">
        <v>47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0</v>
      </c>
      <c r="B278" s="17" t="s">
        <v>432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0</v>
      </c>
      <c r="B279" s="17" t="s">
        <v>933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0</v>
      </c>
      <c r="B280" s="17" t="s">
        <v>83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0</v>
      </c>
      <c r="B281" s="17" t="s">
        <v>360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0</v>
      </c>
      <c r="B282" s="17" t="s">
        <v>2442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0</v>
      </c>
      <c r="B283" s="17" t="s">
        <v>2398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0</v>
      </c>
      <c r="B284" s="17" t="s">
        <v>2616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0</v>
      </c>
      <c r="B285" s="17" t="s">
        <v>2944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0</v>
      </c>
      <c r="B286" s="17" t="s">
        <v>1221</v>
      </c>
      <c r="C286" s="17">
        <v>1</v>
      </c>
      <c r="D286" s="17">
        <v>0</v>
      </c>
      <c r="E286" s="17">
        <v>2</v>
      </c>
    </row>
    <row r="287" spans="1:5" x14ac:dyDescent="0.3">
      <c r="A287" s="17" t="s">
        <v>0</v>
      </c>
      <c r="B287" s="17" t="s">
        <v>405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0</v>
      </c>
      <c r="B288" s="17" t="s">
        <v>1099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0</v>
      </c>
      <c r="B289" s="17" t="s">
        <v>648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0</v>
      </c>
      <c r="B290" s="17" t="s">
        <v>1160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0</v>
      </c>
      <c r="B291" s="17" t="s">
        <v>1961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0</v>
      </c>
      <c r="B292" s="17" t="s">
        <v>1574</v>
      </c>
      <c r="C292" s="17">
        <v>1</v>
      </c>
      <c r="D292" s="17">
        <v>0</v>
      </c>
      <c r="E292" s="17">
        <v>2</v>
      </c>
    </row>
    <row r="293" spans="1:5" x14ac:dyDescent="0.3">
      <c r="A293" s="17" t="s">
        <v>0</v>
      </c>
      <c r="B293" s="17" t="s">
        <v>116</v>
      </c>
      <c r="C293" s="17">
        <v>1</v>
      </c>
      <c r="D293" s="17">
        <v>0</v>
      </c>
      <c r="E293" s="17">
        <v>2</v>
      </c>
    </row>
    <row r="294" spans="1:5" x14ac:dyDescent="0.3">
      <c r="A294" s="17" t="s">
        <v>0</v>
      </c>
      <c r="B294" s="17" t="s">
        <v>603</v>
      </c>
      <c r="C294" s="17">
        <v>1</v>
      </c>
      <c r="D294" s="17">
        <v>0</v>
      </c>
      <c r="E294" s="17">
        <v>2</v>
      </c>
    </row>
    <row r="295" spans="1:5" x14ac:dyDescent="0.3">
      <c r="A295" s="17" t="s">
        <v>0</v>
      </c>
      <c r="B295" s="17" t="s">
        <v>697</v>
      </c>
      <c r="C295" s="17">
        <v>1</v>
      </c>
      <c r="D295" s="17">
        <v>0</v>
      </c>
      <c r="E295" s="17">
        <v>6</v>
      </c>
    </row>
    <row r="296" spans="1:5" x14ac:dyDescent="0.3">
      <c r="A296" s="17" t="s">
        <v>0</v>
      </c>
      <c r="B296" s="17" t="s">
        <v>698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0</v>
      </c>
      <c r="B297" s="17" t="s">
        <v>1192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0</v>
      </c>
      <c r="B298" s="17" t="s">
        <v>700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0</v>
      </c>
      <c r="B299" s="17" t="s">
        <v>195</v>
      </c>
      <c r="C299" s="17">
        <v>2</v>
      </c>
      <c r="D299" s="17">
        <v>0</v>
      </c>
      <c r="E299" s="17">
        <v>2</v>
      </c>
    </row>
    <row r="300" spans="1:5" x14ac:dyDescent="0.3">
      <c r="A300" s="17" t="s">
        <v>0</v>
      </c>
      <c r="B300" s="17" t="s">
        <v>236</v>
      </c>
      <c r="C300" s="17">
        <v>2</v>
      </c>
      <c r="D300" s="17">
        <v>0</v>
      </c>
      <c r="E300" s="17">
        <v>2</v>
      </c>
    </row>
    <row r="301" spans="1:5" x14ac:dyDescent="0.3">
      <c r="A301" s="17" t="s">
        <v>0</v>
      </c>
      <c r="B301" s="17" t="s">
        <v>68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0</v>
      </c>
      <c r="B302" s="17" t="s">
        <v>238</v>
      </c>
      <c r="C302" s="17">
        <v>1</v>
      </c>
      <c r="D302" s="17">
        <v>0</v>
      </c>
      <c r="E302" s="17">
        <v>2</v>
      </c>
    </row>
    <row r="303" spans="1:5" x14ac:dyDescent="0.3">
      <c r="A303" s="17" t="s">
        <v>0</v>
      </c>
      <c r="B303" s="17" t="s">
        <v>55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0</v>
      </c>
      <c r="B304" s="17" t="s">
        <v>240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0</v>
      </c>
      <c r="B305" s="17" t="s">
        <v>138</v>
      </c>
      <c r="C305" s="17">
        <v>1</v>
      </c>
      <c r="D305" s="17">
        <v>0</v>
      </c>
      <c r="E305" s="17">
        <v>2</v>
      </c>
    </row>
    <row r="306" spans="1:5" x14ac:dyDescent="0.3">
      <c r="A306" s="17" t="s">
        <v>0</v>
      </c>
      <c r="B306" s="17" t="s">
        <v>3442</v>
      </c>
      <c r="C306" s="17">
        <v>1</v>
      </c>
      <c r="D306" s="17">
        <v>0</v>
      </c>
      <c r="E306" s="17">
        <v>5</v>
      </c>
    </row>
    <row r="307" spans="1:5" x14ac:dyDescent="0.3">
      <c r="A307" s="17" t="s">
        <v>0</v>
      </c>
      <c r="B307" s="17" t="s">
        <v>759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0</v>
      </c>
      <c r="B308" s="17" t="s">
        <v>676</v>
      </c>
      <c r="C308" s="17">
        <v>0</v>
      </c>
      <c r="D308" s="17">
        <v>1</v>
      </c>
      <c r="E308" s="17"/>
    </row>
    <row r="309" spans="1:5" x14ac:dyDescent="0.3">
      <c r="A309" s="17" t="s">
        <v>0</v>
      </c>
      <c r="B309" s="17" t="s">
        <v>574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0</v>
      </c>
      <c r="B310" s="17" t="s">
        <v>2087</v>
      </c>
      <c r="C310" s="17">
        <v>0</v>
      </c>
      <c r="D310" s="17">
        <v>1</v>
      </c>
      <c r="E310" s="17"/>
    </row>
    <row r="311" spans="1:5" x14ac:dyDescent="0.3">
      <c r="A311" s="17" t="s">
        <v>0</v>
      </c>
      <c r="B311" s="17" t="s">
        <v>3418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0</v>
      </c>
      <c r="B312" s="17" t="s">
        <v>32</v>
      </c>
      <c r="C312" s="17">
        <v>2</v>
      </c>
      <c r="D312" s="17">
        <v>0</v>
      </c>
      <c r="E312" s="17">
        <v>3</v>
      </c>
    </row>
    <row r="313" spans="1:5" x14ac:dyDescent="0.3">
      <c r="A313" s="17"/>
      <c r="B313" s="17"/>
      <c r="C313" s="17"/>
      <c r="D313" s="17"/>
      <c r="E313" s="17"/>
    </row>
    <row r="314" spans="1:5" x14ac:dyDescent="0.3">
      <c r="A314" s="17"/>
      <c r="B314" s="17"/>
      <c r="C314" s="17"/>
      <c r="D314" s="17"/>
      <c r="E314" s="17"/>
    </row>
    <row r="315" spans="1:5" x14ac:dyDescent="0.3">
      <c r="A315" s="17"/>
      <c r="B315" s="17"/>
      <c r="C315" s="17"/>
      <c r="D315" s="17"/>
      <c r="E315" s="17"/>
    </row>
    <row r="316" spans="1:5" x14ac:dyDescent="0.3">
      <c r="A316" s="17"/>
      <c r="B316" s="17"/>
      <c r="C316" s="17"/>
      <c r="D316" s="17"/>
      <c r="E316" s="17"/>
    </row>
    <row r="317" spans="1:5" x14ac:dyDescent="0.3">
      <c r="A317" s="17"/>
      <c r="B317" s="17"/>
      <c r="C317" s="17"/>
      <c r="D317" s="17"/>
      <c r="E317" s="17"/>
    </row>
    <row r="318" spans="1:5" x14ac:dyDescent="0.3">
      <c r="A318" s="17"/>
      <c r="B318" s="17"/>
      <c r="C318" s="17"/>
      <c r="D318" s="17"/>
      <c r="E318" s="17"/>
    </row>
    <row r="319" spans="1:5" x14ac:dyDescent="0.3">
      <c r="A319" s="17"/>
      <c r="B319" s="17"/>
      <c r="C319" s="17"/>
      <c r="D319" s="17"/>
      <c r="E319" s="17"/>
    </row>
    <row r="320" spans="1:5" x14ac:dyDescent="0.3">
      <c r="A320" s="17"/>
      <c r="B320" s="17"/>
      <c r="C320" s="17"/>
      <c r="D320" s="17"/>
      <c r="E320" s="17"/>
    </row>
    <row r="321" spans="1:5" x14ac:dyDescent="0.3">
      <c r="A321" s="17"/>
      <c r="B321" s="17"/>
      <c r="C321" s="17"/>
      <c r="D321" s="17"/>
      <c r="E321" s="17"/>
    </row>
    <row r="322" spans="1:5" x14ac:dyDescent="0.3">
      <c r="A322" s="17"/>
      <c r="B322" s="17"/>
      <c r="C322" s="17"/>
      <c r="D322" s="17"/>
      <c r="E322" s="17"/>
    </row>
    <row r="323" spans="1:5" x14ac:dyDescent="0.3">
      <c r="A323" s="17"/>
      <c r="B323" s="17"/>
      <c r="C323" s="17"/>
      <c r="D323" s="17"/>
      <c r="E323" s="17"/>
    </row>
    <row r="324" spans="1:5" x14ac:dyDescent="0.3">
      <c r="A324" s="17"/>
      <c r="B324" s="17"/>
      <c r="C324" s="17"/>
      <c r="D324" s="17"/>
      <c r="E324" s="17"/>
    </row>
    <row r="325" spans="1:5" x14ac:dyDescent="0.3">
      <c r="A325" s="17"/>
      <c r="B325" s="17"/>
      <c r="C325" s="17"/>
      <c r="D325" s="17"/>
      <c r="E325" s="17"/>
    </row>
    <row r="326" spans="1:5" x14ac:dyDescent="0.3">
      <c r="A326" s="17"/>
      <c r="B326" s="17"/>
      <c r="C326" s="17"/>
      <c r="D326" s="17"/>
      <c r="E326" s="17"/>
    </row>
    <row r="327" spans="1:5" x14ac:dyDescent="0.3">
      <c r="A327" s="17"/>
      <c r="B327" s="17"/>
      <c r="C327" s="17"/>
      <c r="D327" s="17"/>
      <c r="E327" s="17"/>
    </row>
    <row r="328" spans="1:5" x14ac:dyDescent="0.3">
      <c r="A328" s="17"/>
      <c r="B328" s="17"/>
      <c r="C328" s="17"/>
      <c r="D328" s="17"/>
      <c r="E328" s="17"/>
    </row>
    <row r="329" spans="1:5" x14ac:dyDescent="0.3">
      <c r="A329" s="17"/>
      <c r="B329" s="17"/>
      <c r="C329" s="17"/>
      <c r="D329" s="17"/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81645-4033-48B0-BFFC-774C0ACD6F25}">
  <sheetPr codeName="Sheet60"/>
  <dimension ref="A1:M635"/>
  <sheetViews>
    <sheetView workbookViewId="0">
      <selection activeCell="A2" sqref="A2:E63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62</v>
      </c>
      <c r="D2" s="17">
        <v>46</v>
      </c>
      <c r="E2" s="17">
        <v>69</v>
      </c>
    </row>
    <row r="3" spans="1:13" customFormat="1" x14ac:dyDescent="0.3">
      <c r="A3" s="17" t="s">
        <v>1</v>
      </c>
      <c r="B3" s="17" t="s">
        <v>30</v>
      </c>
      <c r="C3" s="17">
        <v>88</v>
      </c>
      <c r="D3" s="17">
        <v>43</v>
      </c>
      <c r="E3" s="17">
        <v>149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3397</v>
      </c>
      <c r="C4" s="17">
        <v>36</v>
      </c>
      <c r="D4" s="17">
        <v>32</v>
      </c>
      <c r="E4" s="17">
        <v>38</v>
      </c>
      <c r="G4" s="23" t="s">
        <v>8</v>
      </c>
      <c r="H4" s="19">
        <f>H13+H14</f>
        <v>987</v>
      </c>
      <c r="I4" s="20">
        <f>H4/H$6</f>
        <v>0.74886191198786034</v>
      </c>
      <c r="J4" s="19">
        <f>I13+I14</f>
        <v>529</v>
      </c>
      <c r="K4" s="20">
        <f>J4/J$6</f>
        <v>0.65632754342431765</v>
      </c>
      <c r="L4" s="19">
        <f>J13+J14</f>
        <v>1175</v>
      </c>
      <c r="M4" s="29">
        <f>L4/L$6</f>
        <v>0.75417201540436452</v>
      </c>
    </row>
    <row r="5" spans="1:13" customFormat="1" x14ac:dyDescent="0.3">
      <c r="A5" s="17" t="s">
        <v>0</v>
      </c>
      <c r="B5" s="17" t="s">
        <v>29</v>
      </c>
      <c r="C5" s="17">
        <v>18</v>
      </c>
      <c r="D5" s="17">
        <v>18</v>
      </c>
      <c r="E5" s="17">
        <v>20</v>
      </c>
      <c r="G5" s="23" t="s">
        <v>10</v>
      </c>
      <c r="H5" s="19">
        <f>H15+H16</f>
        <v>331</v>
      </c>
      <c r="I5" s="20">
        <f>H5/H$6</f>
        <v>0.2511380880121396</v>
      </c>
      <c r="J5" s="19">
        <f>I15+I16</f>
        <v>277</v>
      </c>
      <c r="K5" s="20">
        <f>J5/J$6</f>
        <v>0.34367245657568241</v>
      </c>
      <c r="L5" s="19">
        <f>J15+J16</f>
        <v>383</v>
      </c>
      <c r="M5" s="29">
        <f>L5/L$6</f>
        <v>0.24582798459563543</v>
      </c>
    </row>
    <row r="6" spans="1:13" customFormat="1" ht="17.25" thickBot="1" x14ac:dyDescent="0.35">
      <c r="A6" s="17" t="s">
        <v>1</v>
      </c>
      <c r="B6" s="17" t="s">
        <v>37</v>
      </c>
      <c r="C6" s="17">
        <v>19</v>
      </c>
      <c r="D6" s="17">
        <v>17</v>
      </c>
      <c r="E6" s="17">
        <v>21</v>
      </c>
      <c r="G6" s="26"/>
      <c r="H6" s="30">
        <f>SUM(H4:H5)</f>
        <v>1318</v>
      </c>
      <c r="I6" s="31">
        <f>I4+I5</f>
        <v>1</v>
      </c>
      <c r="J6" s="30">
        <f>SUM(J4:J5)</f>
        <v>806</v>
      </c>
      <c r="K6" s="31">
        <f>K4+K5</f>
        <v>1</v>
      </c>
      <c r="L6" s="30">
        <f>SUM(L4:L5)</f>
        <v>1558</v>
      </c>
      <c r="M6" s="32">
        <f>M4+M5</f>
        <v>1</v>
      </c>
    </row>
    <row r="7" spans="1:13" customFormat="1" x14ac:dyDescent="0.3">
      <c r="A7" s="17" t="s">
        <v>1</v>
      </c>
      <c r="B7" s="17" t="s">
        <v>365</v>
      </c>
      <c r="C7" s="17">
        <v>18</v>
      </c>
      <c r="D7" s="17">
        <v>11</v>
      </c>
      <c r="E7" s="17">
        <v>16</v>
      </c>
    </row>
    <row r="8" spans="1:13" customFormat="1" x14ac:dyDescent="0.3">
      <c r="A8" s="17" t="s">
        <v>0</v>
      </c>
      <c r="B8" s="17" t="s">
        <v>31</v>
      </c>
      <c r="C8" s="17">
        <v>11</v>
      </c>
      <c r="D8" s="17">
        <v>9</v>
      </c>
      <c r="E8" s="17">
        <v>13</v>
      </c>
    </row>
    <row r="9" spans="1:13" customFormat="1" x14ac:dyDescent="0.3">
      <c r="A9" s="17" t="s">
        <v>1</v>
      </c>
      <c r="B9" s="17" t="s">
        <v>1927</v>
      </c>
      <c r="C9" s="17">
        <v>11</v>
      </c>
      <c r="D9" s="17">
        <v>8</v>
      </c>
      <c r="E9" s="17">
        <v>10</v>
      </c>
    </row>
    <row r="10" spans="1:13" customFormat="1" ht="17.25" thickBot="1" x14ac:dyDescent="0.35">
      <c r="A10" s="17" t="s">
        <v>0</v>
      </c>
      <c r="B10" s="17" t="s">
        <v>61</v>
      </c>
      <c r="C10" s="17">
        <v>8</v>
      </c>
      <c r="D10" s="17">
        <v>8</v>
      </c>
      <c r="E10" s="17">
        <v>8</v>
      </c>
    </row>
    <row r="11" spans="1:13" x14ac:dyDescent="0.3">
      <c r="A11" s="17" t="s">
        <v>1</v>
      </c>
      <c r="B11" s="17" t="s">
        <v>48</v>
      </c>
      <c r="C11" s="17">
        <v>7</v>
      </c>
      <c r="D11" s="17">
        <v>7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155</v>
      </c>
      <c r="C12" s="17">
        <v>8</v>
      </c>
      <c r="D12" s="17">
        <v>7</v>
      </c>
      <c r="E12" s="17">
        <v>10</v>
      </c>
      <c r="G12" s="23"/>
      <c r="H12" s="21">
        <f t="shared" ref="H12:J12" si="0">SUM(H13:H16)</f>
        <v>1318</v>
      </c>
      <c r="I12" s="21">
        <f t="shared" si="0"/>
        <v>806</v>
      </c>
      <c r="J12" s="24">
        <f t="shared" si="0"/>
        <v>1558</v>
      </c>
    </row>
    <row r="13" spans="1:13" x14ac:dyDescent="0.3">
      <c r="A13" s="17" t="s">
        <v>1</v>
      </c>
      <c r="B13" s="17" t="s">
        <v>2572</v>
      </c>
      <c r="C13" s="17">
        <v>11</v>
      </c>
      <c r="D13" s="17">
        <v>7</v>
      </c>
      <c r="E13" s="17">
        <v>11</v>
      </c>
      <c r="G13" s="23" t="s">
        <v>7</v>
      </c>
      <c r="H13" s="22">
        <f t="shared" ref="H13:J16" si="1">SUMIF($A$2:$A$9999,$G13,C$2:C$9999)</f>
        <v>987</v>
      </c>
      <c r="I13" s="22">
        <f t="shared" si="1"/>
        <v>529</v>
      </c>
      <c r="J13" s="25">
        <f t="shared" si="1"/>
        <v>1175</v>
      </c>
    </row>
    <row r="14" spans="1:13" x14ac:dyDescent="0.3">
      <c r="A14" s="17" t="s">
        <v>1</v>
      </c>
      <c r="B14" s="17" t="s">
        <v>29</v>
      </c>
      <c r="C14" s="17">
        <v>7</v>
      </c>
      <c r="D14" s="17">
        <v>6</v>
      </c>
      <c r="E14" s="17">
        <v>7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0</v>
      </c>
      <c r="B15" s="17" t="s">
        <v>30</v>
      </c>
      <c r="C15" s="17">
        <v>9</v>
      </c>
      <c r="D15" s="17">
        <v>6</v>
      </c>
      <c r="E15" s="17">
        <v>15</v>
      </c>
      <c r="G15" s="23" t="s">
        <v>11</v>
      </c>
      <c r="H15" s="22">
        <f t="shared" si="1"/>
        <v>324</v>
      </c>
      <c r="I15" s="22">
        <f t="shared" si="1"/>
        <v>270</v>
      </c>
      <c r="J15" s="25">
        <f t="shared" si="1"/>
        <v>376</v>
      </c>
    </row>
    <row r="16" spans="1:13" ht="17.25" thickBot="1" x14ac:dyDescent="0.35">
      <c r="A16" s="17" t="s">
        <v>1</v>
      </c>
      <c r="B16" s="17" t="s">
        <v>3397</v>
      </c>
      <c r="C16" s="17">
        <v>14</v>
      </c>
      <c r="D16" s="17">
        <v>5</v>
      </c>
      <c r="E16" s="17">
        <v>18</v>
      </c>
      <c r="G16" s="26" t="s">
        <v>12</v>
      </c>
      <c r="H16" s="27">
        <f t="shared" si="1"/>
        <v>7</v>
      </c>
      <c r="I16" s="27">
        <f t="shared" si="1"/>
        <v>7</v>
      </c>
      <c r="J16" s="28">
        <f t="shared" si="1"/>
        <v>7</v>
      </c>
    </row>
    <row r="17" spans="1:5" x14ac:dyDescent="0.3">
      <c r="A17" s="17" t="s">
        <v>0</v>
      </c>
      <c r="B17" s="17" t="s">
        <v>79</v>
      </c>
      <c r="C17" s="17">
        <v>5</v>
      </c>
      <c r="D17" s="17">
        <v>5</v>
      </c>
      <c r="E17" s="17">
        <v>5</v>
      </c>
    </row>
    <row r="18" spans="1:5" x14ac:dyDescent="0.3">
      <c r="A18" s="17" t="s">
        <v>1</v>
      </c>
      <c r="B18" s="17" t="s">
        <v>33</v>
      </c>
      <c r="C18" s="17">
        <v>5</v>
      </c>
      <c r="D18" s="17">
        <v>4</v>
      </c>
      <c r="E18" s="17">
        <v>6</v>
      </c>
    </row>
    <row r="19" spans="1:5" x14ac:dyDescent="0.3">
      <c r="A19" s="17" t="s">
        <v>1</v>
      </c>
      <c r="B19" s="17" t="s">
        <v>61</v>
      </c>
      <c r="C19" s="17">
        <v>4</v>
      </c>
      <c r="D19" s="17">
        <v>4</v>
      </c>
      <c r="E19" s="17">
        <v>4</v>
      </c>
    </row>
    <row r="20" spans="1:5" x14ac:dyDescent="0.3">
      <c r="A20" s="17" t="s">
        <v>1</v>
      </c>
      <c r="B20" s="17" t="s">
        <v>96</v>
      </c>
      <c r="C20" s="17">
        <v>8</v>
      </c>
      <c r="D20" s="17">
        <v>4</v>
      </c>
      <c r="E20" s="17">
        <v>9</v>
      </c>
    </row>
    <row r="21" spans="1:5" x14ac:dyDescent="0.3">
      <c r="A21" s="17" t="s">
        <v>1</v>
      </c>
      <c r="B21" s="17" t="s">
        <v>2692</v>
      </c>
      <c r="C21" s="17">
        <v>10</v>
      </c>
      <c r="D21" s="17">
        <v>4</v>
      </c>
      <c r="E21" s="17">
        <v>9</v>
      </c>
    </row>
    <row r="22" spans="1:5" x14ac:dyDescent="0.3">
      <c r="A22" s="17" t="s">
        <v>1</v>
      </c>
      <c r="B22" s="17" t="s">
        <v>3036</v>
      </c>
      <c r="C22" s="17">
        <v>6</v>
      </c>
      <c r="D22" s="17">
        <v>4</v>
      </c>
      <c r="E22" s="17">
        <v>6</v>
      </c>
    </row>
    <row r="23" spans="1:5" x14ac:dyDescent="0.3">
      <c r="A23" s="17" t="s">
        <v>1</v>
      </c>
      <c r="B23" s="17" t="s">
        <v>291</v>
      </c>
      <c r="C23" s="17">
        <v>4</v>
      </c>
      <c r="D23" s="17">
        <v>4</v>
      </c>
      <c r="E23" s="17">
        <v>4</v>
      </c>
    </row>
    <row r="24" spans="1:5" x14ac:dyDescent="0.3">
      <c r="A24" s="17" t="s">
        <v>1</v>
      </c>
      <c r="B24" s="17" t="s">
        <v>32</v>
      </c>
      <c r="C24" s="17">
        <v>9</v>
      </c>
      <c r="D24" s="17">
        <v>4</v>
      </c>
      <c r="E24" s="17">
        <v>28</v>
      </c>
    </row>
    <row r="25" spans="1:5" x14ac:dyDescent="0.3">
      <c r="A25" s="17" t="s">
        <v>0</v>
      </c>
      <c r="B25" s="17" t="s">
        <v>490</v>
      </c>
      <c r="C25" s="17">
        <v>4</v>
      </c>
      <c r="D25" s="17">
        <v>4</v>
      </c>
      <c r="E25" s="17">
        <v>6</v>
      </c>
    </row>
    <row r="26" spans="1:5" x14ac:dyDescent="0.3">
      <c r="A26" s="17" t="s">
        <v>0</v>
      </c>
      <c r="B26" s="17" t="s">
        <v>281</v>
      </c>
      <c r="C26" s="17">
        <v>4</v>
      </c>
      <c r="D26" s="17">
        <v>4</v>
      </c>
      <c r="E26" s="17">
        <v>5</v>
      </c>
    </row>
    <row r="27" spans="1:5" x14ac:dyDescent="0.3">
      <c r="A27" s="17" t="s">
        <v>0</v>
      </c>
      <c r="B27" s="17" t="s">
        <v>365</v>
      </c>
      <c r="C27" s="17">
        <v>4</v>
      </c>
      <c r="D27" s="17">
        <v>4</v>
      </c>
      <c r="E27" s="17">
        <v>4</v>
      </c>
    </row>
    <row r="28" spans="1:5" x14ac:dyDescent="0.3">
      <c r="A28" s="17" t="s">
        <v>0</v>
      </c>
      <c r="B28" s="17" t="s">
        <v>96</v>
      </c>
      <c r="C28" s="17">
        <v>4</v>
      </c>
      <c r="D28" s="17">
        <v>4</v>
      </c>
      <c r="E28" s="17">
        <v>4</v>
      </c>
    </row>
    <row r="29" spans="1:5" x14ac:dyDescent="0.3">
      <c r="A29" s="17" t="s">
        <v>0</v>
      </c>
      <c r="B29" s="17" t="s">
        <v>172</v>
      </c>
      <c r="C29" s="17">
        <v>4</v>
      </c>
      <c r="D29" s="17">
        <v>4</v>
      </c>
      <c r="E29" s="17">
        <v>4</v>
      </c>
    </row>
    <row r="30" spans="1:5" x14ac:dyDescent="0.3">
      <c r="A30" s="17" t="s">
        <v>0</v>
      </c>
      <c r="B30" s="17" t="s">
        <v>51</v>
      </c>
      <c r="C30" s="17">
        <v>4</v>
      </c>
      <c r="D30" s="17">
        <v>4</v>
      </c>
      <c r="E30" s="17">
        <v>8</v>
      </c>
    </row>
    <row r="31" spans="1:5" x14ac:dyDescent="0.3">
      <c r="A31" s="17" t="s">
        <v>0</v>
      </c>
      <c r="B31" s="17" t="s">
        <v>122</v>
      </c>
      <c r="C31" s="17">
        <v>5</v>
      </c>
      <c r="D31" s="17">
        <v>4</v>
      </c>
      <c r="E31" s="17">
        <v>6</v>
      </c>
    </row>
    <row r="32" spans="1:5" x14ac:dyDescent="0.3">
      <c r="A32" s="17" t="s">
        <v>0</v>
      </c>
      <c r="B32" s="17" t="s">
        <v>39</v>
      </c>
      <c r="C32" s="17">
        <v>5</v>
      </c>
      <c r="D32" s="17">
        <v>4</v>
      </c>
      <c r="E32" s="17">
        <v>8</v>
      </c>
    </row>
    <row r="33" spans="1:5" x14ac:dyDescent="0.3">
      <c r="A33" s="17" t="s">
        <v>1</v>
      </c>
      <c r="B33" s="17" t="s">
        <v>75</v>
      </c>
      <c r="C33" s="17">
        <v>3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34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860</v>
      </c>
      <c r="C35" s="17">
        <v>3</v>
      </c>
      <c r="D35" s="17">
        <v>3</v>
      </c>
      <c r="E35" s="17">
        <v>5</v>
      </c>
    </row>
    <row r="36" spans="1:5" x14ac:dyDescent="0.3">
      <c r="A36" s="17" t="s">
        <v>1</v>
      </c>
      <c r="B36" s="17" t="s">
        <v>151</v>
      </c>
      <c r="C36" s="17">
        <v>4</v>
      </c>
      <c r="D36" s="17">
        <v>3</v>
      </c>
      <c r="E36" s="17">
        <v>4</v>
      </c>
    </row>
    <row r="37" spans="1:5" x14ac:dyDescent="0.3">
      <c r="A37" s="17" t="s">
        <v>1</v>
      </c>
      <c r="B37" s="17" t="s">
        <v>281</v>
      </c>
      <c r="C37" s="17">
        <v>4</v>
      </c>
      <c r="D37" s="17">
        <v>3</v>
      </c>
      <c r="E37" s="17">
        <v>4</v>
      </c>
    </row>
    <row r="38" spans="1:5" x14ac:dyDescent="0.3">
      <c r="A38" s="17" t="s">
        <v>1</v>
      </c>
      <c r="B38" s="17" t="s">
        <v>1946</v>
      </c>
      <c r="C38" s="17">
        <v>6</v>
      </c>
      <c r="D38" s="17">
        <v>3</v>
      </c>
      <c r="E38" s="17">
        <v>11</v>
      </c>
    </row>
    <row r="39" spans="1:5" x14ac:dyDescent="0.3">
      <c r="A39" s="17" t="s">
        <v>1</v>
      </c>
      <c r="B39" s="17" t="s">
        <v>3443</v>
      </c>
      <c r="C39" s="17">
        <v>19</v>
      </c>
      <c r="D39" s="17">
        <v>3</v>
      </c>
      <c r="E39" s="17">
        <v>21</v>
      </c>
    </row>
    <row r="40" spans="1:5" x14ac:dyDescent="0.3">
      <c r="A40" s="17" t="s">
        <v>1</v>
      </c>
      <c r="B40" s="17" t="s">
        <v>103</v>
      </c>
      <c r="C40" s="17">
        <v>4</v>
      </c>
      <c r="D40" s="17">
        <v>3</v>
      </c>
      <c r="E40" s="17">
        <v>5</v>
      </c>
    </row>
    <row r="41" spans="1:5" x14ac:dyDescent="0.3">
      <c r="A41" s="17" t="s">
        <v>1</v>
      </c>
      <c r="B41" s="17" t="s">
        <v>1225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200</v>
      </c>
      <c r="C42" s="17">
        <v>4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662</v>
      </c>
      <c r="C43" s="17">
        <v>4</v>
      </c>
      <c r="D43" s="17">
        <v>3</v>
      </c>
      <c r="E43" s="17">
        <v>4</v>
      </c>
    </row>
    <row r="44" spans="1:5" x14ac:dyDescent="0.3">
      <c r="A44" s="17" t="s">
        <v>1</v>
      </c>
      <c r="B44" s="17" t="s">
        <v>135</v>
      </c>
      <c r="C44" s="17">
        <v>7</v>
      </c>
      <c r="D44" s="17">
        <v>3</v>
      </c>
      <c r="E44" s="17">
        <v>7</v>
      </c>
    </row>
    <row r="45" spans="1:5" x14ac:dyDescent="0.3">
      <c r="A45" s="17" t="s">
        <v>0</v>
      </c>
      <c r="B45" s="17" t="s">
        <v>34</v>
      </c>
      <c r="C45" s="17">
        <v>3</v>
      </c>
      <c r="D45" s="17">
        <v>3</v>
      </c>
      <c r="E45" s="17">
        <v>3</v>
      </c>
    </row>
    <row r="46" spans="1:5" x14ac:dyDescent="0.3">
      <c r="A46" s="17" t="s">
        <v>0</v>
      </c>
      <c r="B46" s="17" t="s">
        <v>83</v>
      </c>
      <c r="C46" s="17">
        <v>3</v>
      </c>
      <c r="D46" s="17">
        <v>3</v>
      </c>
      <c r="E46" s="17">
        <v>3</v>
      </c>
    </row>
    <row r="47" spans="1:5" x14ac:dyDescent="0.3">
      <c r="A47" s="17" t="s">
        <v>0</v>
      </c>
      <c r="B47" s="17" t="s">
        <v>1897</v>
      </c>
      <c r="C47" s="17">
        <v>3</v>
      </c>
      <c r="D47" s="17">
        <v>3</v>
      </c>
      <c r="E47" s="17">
        <v>3</v>
      </c>
    </row>
    <row r="48" spans="1:5" x14ac:dyDescent="0.3">
      <c r="A48" s="17" t="s">
        <v>0</v>
      </c>
      <c r="B48" s="17" t="s">
        <v>1946</v>
      </c>
      <c r="C48" s="17">
        <v>3</v>
      </c>
      <c r="D48" s="17">
        <v>3</v>
      </c>
      <c r="E48" s="17">
        <v>3</v>
      </c>
    </row>
    <row r="49" spans="1:5" x14ac:dyDescent="0.3">
      <c r="A49" s="17" t="s">
        <v>0</v>
      </c>
      <c r="B49" s="17" t="s">
        <v>37</v>
      </c>
      <c r="C49" s="17">
        <v>3</v>
      </c>
      <c r="D49" s="17">
        <v>3</v>
      </c>
      <c r="E49" s="17">
        <v>3</v>
      </c>
    </row>
    <row r="50" spans="1:5" x14ac:dyDescent="0.3">
      <c r="A50" s="17" t="s">
        <v>0</v>
      </c>
      <c r="B50" s="17" t="s">
        <v>63</v>
      </c>
      <c r="C50" s="17">
        <v>3</v>
      </c>
      <c r="D50" s="17">
        <v>3</v>
      </c>
      <c r="E50" s="17">
        <v>3</v>
      </c>
    </row>
    <row r="51" spans="1:5" x14ac:dyDescent="0.3">
      <c r="A51" s="17" t="s">
        <v>0</v>
      </c>
      <c r="B51" s="17" t="s">
        <v>350</v>
      </c>
      <c r="C51" s="17">
        <v>3</v>
      </c>
      <c r="D51" s="17">
        <v>3</v>
      </c>
      <c r="E51" s="17">
        <v>3</v>
      </c>
    </row>
    <row r="52" spans="1:5" x14ac:dyDescent="0.3">
      <c r="A52" s="17" t="s">
        <v>0</v>
      </c>
      <c r="B52" s="17" t="s">
        <v>306</v>
      </c>
      <c r="C52" s="17">
        <v>3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140</v>
      </c>
      <c r="C53" s="17">
        <v>2</v>
      </c>
      <c r="D53" s="17">
        <v>2</v>
      </c>
      <c r="E53" s="17">
        <v>3</v>
      </c>
    </row>
    <row r="54" spans="1:5" x14ac:dyDescent="0.3">
      <c r="A54" s="17" t="s">
        <v>1</v>
      </c>
      <c r="B54" s="17" t="s">
        <v>47</v>
      </c>
      <c r="C54" s="17">
        <v>2</v>
      </c>
      <c r="D54" s="17">
        <v>2</v>
      </c>
      <c r="E54" s="17">
        <v>3</v>
      </c>
    </row>
    <row r="55" spans="1:5" x14ac:dyDescent="0.3">
      <c r="A55" s="17" t="s">
        <v>1</v>
      </c>
      <c r="B55" s="17" t="s">
        <v>613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356</v>
      </c>
      <c r="C56" s="17">
        <v>4</v>
      </c>
      <c r="D56" s="17">
        <v>2</v>
      </c>
      <c r="E56" s="17">
        <v>4</v>
      </c>
    </row>
    <row r="57" spans="1:5" x14ac:dyDescent="0.3">
      <c r="A57" s="17" t="s">
        <v>1</v>
      </c>
      <c r="B57" s="17" t="s">
        <v>83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86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628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219</v>
      </c>
      <c r="C60" s="17">
        <v>3</v>
      </c>
      <c r="D60" s="17">
        <v>2</v>
      </c>
      <c r="E60" s="17">
        <v>3</v>
      </c>
    </row>
    <row r="61" spans="1:5" x14ac:dyDescent="0.3">
      <c r="A61" s="17" t="s">
        <v>1</v>
      </c>
      <c r="B61" s="17" t="s">
        <v>156</v>
      </c>
      <c r="C61" s="17">
        <v>4</v>
      </c>
      <c r="D61" s="17">
        <v>2</v>
      </c>
      <c r="E61" s="17">
        <v>5</v>
      </c>
    </row>
    <row r="62" spans="1:5" x14ac:dyDescent="0.3">
      <c r="A62" s="17" t="s">
        <v>1</v>
      </c>
      <c r="B62" s="17" t="s">
        <v>95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1897</v>
      </c>
      <c r="C63" s="17">
        <v>4</v>
      </c>
      <c r="D63" s="17">
        <v>2</v>
      </c>
      <c r="E63" s="17">
        <v>5</v>
      </c>
    </row>
    <row r="64" spans="1:5" x14ac:dyDescent="0.3">
      <c r="A64" s="17" t="s">
        <v>1</v>
      </c>
      <c r="B64" s="17" t="s">
        <v>2395</v>
      </c>
      <c r="C64" s="17">
        <v>5</v>
      </c>
      <c r="D64" s="17">
        <v>2</v>
      </c>
      <c r="E64" s="17">
        <v>8</v>
      </c>
    </row>
    <row r="65" spans="1:5" x14ac:dyDescent="0.3">
      <c r="A65" s="17" t="s">
        <v>1</v>
      </c>
      <c r="B65" s="17" t="s">
        <v>2705</v>
      </c>
      <c r="C65" s="17">
        <v>5</v>
      </c>
      <c r="D65" s="17">
        <v>2</v>
      </c>
      <c r="E65" s="17">
        <v>7</v>
      </c>
    </row>
    <row r="66" spans="1:5" x14ac:dyDescent="0.3">
      <c r="A66" s="17" t="s">
        <v>1</v>
      </c>
      <c r="B66" s="17" t="s">
        <v>3361</v>
      </c>
      <c r="C66" s="17">
        <v>8</v>
      </c>
      <c r="D66" s="17">
        <v>2</v>
      </c>
      <c r="E66" s="17">
        <v>9</v>
      </c>
    </row>
    <row r="67" spans="1:5" x14ac:dyDescent="0.3">
      <c r="A67" s="17" t="s">
        <v>1</v>
      </c>
      <c r="B67" s="17" t="s">
        <v>492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1479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165</v>
      </c>
      <c r="C69" s="17">
        <v>3</v>
      </c>
      <c r="D69" s="17">
        <v>2</v>
      </c>
      <c r="E69" s="17">
        <v>4</v>
      </c>
    </row>
    <row r="70" spans="1:5" x14ac:dyDescent="0.3">
      <c r="A70" s="17" t="s">
        <v>1</v>
      </c>
      <c r="B70" s="17" t="s">
        <v>405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199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650</v>
      </c>
      <c r="C72" s="17">
        <v>2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694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1196</v>
      </c>
      <c r="C74" s="17">
        <v>2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45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548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1744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122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123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791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182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429</v>
      </c>
      <c r="C82" s="17">
        <v>2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201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31</v>
      </c>
      <c r="C84" s="17">
        <v>4</v>
      </c>
      <c r="D84" s="17">
        <v>2</v>
      </c>
      <c r="E84" s="17">
        <v>4</v>
      </c>
    </row>
    <row r="85" spans="1:5" x14ac:dyDescent="0.3">
      <c r="A85" s="17" t="s">
        <v>1</v>
      </c>
      <c r="B85" s="17" t="s">
        <v>67</v>
      </c>
      <c r="C85" s="17">
        <v>5</v>
      </c>
      <c r="D85" s="17">
        <v>2</v>
      </c>
      <c r="E85" s="17">
        <v>8</v>
      </c>
    </row>
    <row r="86" spans="1:5" x14ac:dyDescent="0.3">
      <c r="A86" s="17" t="s">
        <v>1</v>
      </c>
      <c r="B86" s="17" t="s">
        <v>39</v>
      </c>
      <c r="C86" s="17">
        <v>15</v>
      </c>
      <c r="D86" s="17">
        <v>2</v>
      </c>
      <c r="E86" s="17">
        <v>22</v>
      </c>
    </row>
    <row r="87" spans="1:5" x14ac:dyDescent="0.3">
      <c r="A87" s="17" t="s">
        <v>1</v>
      </c>
      <c r="B87" s="17" t="s">
        <v>456</v>
      </c>
      <c r="C87" s="17">
        <v>2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3444</v>
      </c>
      <c r="C88" s="17">
        <v>2</v>
      </c>
      <c r="D88" s="17">
        <v>2</v>
      </c>
      <c r="E88" s="17"/>
    </row>
    <row r="89" spans="1:5" x14ac:dyDescent="0.3">
      <c r="A89" s="17" t="s">
        <v>1</v>
      </c>
      <c r="B89" s="17" t="s">
        <v>2073</v>
      </c>
      <c r="C89" s="17">
        <v>2</v>
      </c>
      <c r="D89" s="17">
        <v>3</v>
      </c>
      <c r="E89" s="17"/>
    </row>
    <row r="90" spans="1:5" x14ac:dyDescent="0.3">
      <c r="A90" s="17" t="s">
        <v>0</v>
      </c>
      <c r="B90" s="17" t="s">
        <v>140</v>
      </c>
      <c r="C90" s="17">
        <v>2</v>
      </c>
      <c r="D90" s="17">
        <v>2</v>
      </c>
      <c r="E90" s="17">
        <v>2</v>
      </c>
    </row>
    <row r="91" spans="1:5" x14ac:dyDescent="0.3">
      <c r="A91" s="17" t="s">
        <v>0</v>
      </c>
      <c r="B91" s="17" t="s">
        <v>48</v>
      </c>
      <c r="C91" s="17">
        <v>2</v>
      </c>
      <c r="D91" s="17">
        <v>2</v>
      </c>
      <c r="E91" s="17">
        <v>2</v>
      </c>
    </row>
    <row r="92" spans="1:5" x14ac:dyDescent="0.3">
      <c r="A92" s="17" t="s">
        <v>0</v>
      </c>
      <c r="B92" s="17" t="s">
        <v>398</v>
      </c>
      <c r="C92" s="17">
        <v>2</v>
      </c>
      <c r="D92" s="17">
        <v>2</v>
      </c>
      <c r="E92" s="17">
        <v>2</v>
      </c>
    </row>
    <row r="93" spans="1:5" x14ac:dyDescent="0.3">
      <c r="A93" s="17" t="s">
        <v>0</v>
      </c>
      <c r="B93" s="17" t="s">
        <v>149</v>
      </c>
      <c r="C93" s="17">
        <v>2</v>
      </c>
      <c r="D93" s="17">
        <v>2</v>
      </c>
      <c r="E93" s="17">
        <v>2</v>
      </c>
    </row>
    <row r="94" spans="1:5" x14ac:dyDescent="0.3">
      <c r="A94" s="17" t="s">
        <v>0</v>
      </c>
      <c r="B94" s="17" t="s">
        <v>60</v>
      </c>
      <c r="C94" s="17">
        <v>3</v>
      </c>
      <c r="D94" s="17">
        <v>2</v>
      </c>
      <c r="E94" s="17">
        <v>4</v>
      </c>
    </row>
    <row r="95" spans="1:5" x14ac:dyDescent="0.3">
      <c r="A95" s="17" t="s">
        <v>0</v>
      </c>
      <c r="B95" s="17" t="s">
        <v>2075</v>
      </c>
      <c r="C95" s="17">
        <v>2</v>
      </c>
      <c r="D95" s="17">
        <v>2</v>
      </c>
      <c r="E95" s="17">
        <v>2</v>
      </c>
    </row>
    <row r="96" spans="1:5" x14ac:dyDescent="0.3">
      <c r="A96" s="17" t="s">
        <v>0</v>
      </c>
      <c r="B96" s="17" t="s">
        <v>2572</v>
      </c>
      <c r="C96" s="17">
        <v>2</v>
      </c>
      <c r="D96" s="17">
        <v>2</v>
      </c>
      <c r="E96" s="17">
        <v>2</v>
      </c>
    </row>
    <row r="97" spans="1:5" x14ac:dyDescent="0.3">
      <c r="A97" s="17" t="s">
        <v>0</v>
      </c>
      <c r="B97" s="17" t="s">
        <v>3361</v>
      </c>
      <c r="C97" s="17">
        <v>4</v>
      </c>
      <c r="D97" s="17">
        <v>2</v>
      </c>
      <c r="E97" s="17">
        <v>4</v>
      </c>
    </row>
    <row r="98" spans="1:5" x14ac:dyDescent="0.3">
      <c r="A98" s="17" t="s">
        <v>0</v>
      </c>
      <c r="B98" s="17" t="s">
        <v>3443</v>
      </c>
      <c r="C98" s="17">
        <v>5</v>
      </c>
      <c r="D98" s="17">
        <v>2</v>
      </c>
      <c r="E98" s="17">
        <v>6</v>
      </c>
    </row>
    <row r="99" spans="1:5" x14ac:dyDescent="0.3">
      <c r="A99" s="17" t="s">
        <v>0</v>
      </c>
      <c r="B99" s="17" t="s">
        <v>1128</v>
      </c>
      <c r="C99" s="17">
        <v>2</v>
      </c>
      <c r="D99" s="17">
        <v>2</v>
      </c>
      <c r="E99" s="17">
        <v>3</v>
      </c>
    </row>
    <row r="100" spans="1:5" x14ac:dyDescent="0.3">
      <c r="A100" s="17" t="s">
        <v>0</v>
      </c>
      <c r="B100" s="17" t="s">
        <v>404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103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108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111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113</v>
      </c>
      <c r="C104" s="17">
        <v>3</v>
      </c>
      <c r="D104" s="17">
        <v>2</v>
      </c>
      <c r="E104" s="17">
        <v>4</v>
      </c>
    </row>
    <row r="105" spans="1:5" x14ac:dyDescent="0.3">
      <c r="A105" s="17" t="s">
        <v>0</v>
      </c>
      <c r="B105" s="17" t="s">
        <v>495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67</v>
      </c>
      <c r="C106" s="17">
        <v>2</v>
      </c>
      <c r="D106" s="17">
        <v>2</v>
      </c>
      <c r="E106" s="17">
        <v>5</v>
      </c>
    </row>
    <row r="107" spans="1:5" x14ac:dyDescent="0.3">
      <c r="A107" s="17" t="s">
        <v>0</v>
      </c>
      <c r="B107" s="17" t="s">
        <v>68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1488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1032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242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36</v>
      </c>
      <c r="C111" s="17">
        <v>2</v>
      </c>
      <c r="D111" s="17">
        <v>1</v>
      </c>
      <c r="E111" s="17">
        <v>2</v>
      </c>
    </row>
    <row r="112" spans="1:5" x14ac:dyDescent="0.3">
      <c r="A112" s="17" t="s">
        <v>1</v>
      </c>
      <c r="B112" s="17" t="s">
        <v>243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1664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203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311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355</v>
      </c>
      <c r="C116" s="17">
        <v>1</v>
      </c>
      <c r="D116" s="17">
        <v>1</v>
      </c>
      <c r="E116" s="17">
        <v>3</v>
      </c>
    </row>
    <row r="117" spans="1:5" x14ac:dyDescent="0.3">
      <c r="A117" s="17" t="s">
        <v>1</v>
      </c>
      <c r="B117" s="17" t="s">
        <v>578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269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506</v>
      </c>
      <c r="C119" s="17">
        <v>2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611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987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73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144</v>
      </c>
      <c r="C123" s="17">
        <v>2</v>
      </c>
      <c r="D123" s="17">
        <v>1</v>
      </c>
      <c r="E123" s="17">
        <v>2</v>
      </c>
    </row>
    <row r="124" spans="1:5" x14ac:dyDescent="0.3">
      <c r="A124" s="17" t="s">
        <v>1</v>
      </c>
      <c r="B124" s="17" t="s">
        <v>433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1253</v>
      </c>
      <c r="C125" s="17">
        <v>2</v>
      </c>
      <c r="D125" s="17">
        <v>1</v>
      </c>
      <c r="E125" s="17">
        <v>2</v>
      </c>
    </row>
    <row r="126" spans="1:5" x14ac:dyDescent="0.3">
      <c r="A126" s="17" t="s">
        <v>1</v>
      </c>
      <c r="B126" s="17" t="s">
        <v>273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274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210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146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461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515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1175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2067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2000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275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276</v>
      </c>
      <c r="C136" s="17">
        <v>3</v>
      </c>
      <c r="D136" s="17">
        <v>1</v>
      </c>
      <c r="E136" s="17">
        <v>3</v>
      </c>
    </row>
    <row r="137" spans="1:5" x14ac:dyDescent="0.3">
      <c r="A137" s="17" t="s">
        <v>1</v>
      </c>
      <c r="B137" s="17" t="s">
        <v>79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59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358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1337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479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1314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841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213</v>
      </c>
      <c r="C144" s="17">
        <v>2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2051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584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316</v>
      </c>
      <c r="C147" s="17">
        <v>2</v>
      </c>
      <c r="D147" s="17">
        <v>1</v>
      </c>
      <c r="E147" s="17">
        <v>3</v>
      </c>
    </row>
    <row r="148" spans="1:5" x14ac:dyDescent="0.3">
      <c r="A148" s="17" t="s">
        <v>1</v>
      </c>
      <c r="B148" s="17" t="s">
        <v>149</v>
      </c>
      <c r="C148" s="17">
        <v>3</v>
      </c>
      <c r="D148" s="17">
        <v>1</v>
      </c>
      <c r="E148" s="17">
        <v>3</v>
      </c>
    </row>
    <row r="149" spans="1:5" x14ac:dyDescent="0.3">
      <c r="A149" s="17" t="s">
        <v>1</v>
      </c>
      <c r="B149" s="17" t="s">
        <v>88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631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152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89</v>
      </c>
      <c r="C152" s="17">
        <v>2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634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90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91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481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992</v>
      </c>
      <c r="C157" s="17">
        <v>1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636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261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692</v>
      </c>
      <c r="C160" s="17">
        <v>2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224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487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1643</v>
      </c>
      <c r="C163" s="17">
        <v>3</v>
      </c>
      <c r="D163" s="17">
        <v>1</v>
      </c>
      <c r="E163" s="17">
        <v>4</v>
      </c>
    </row>
    <row r="164" spans="1:5" x14ac:dyDescent="0.3">
      <c r="A164" s="17" t="s">
        <v>1</v>
      </c>
      <c r="B164" s="17" t="s">
        <v>1660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1673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1773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1775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1941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2329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2399</v>
      </c>
      <c r="C170" s="17">
        <v>4</v>
      </c>
      <c r="D170" s="17">
        <v>1</v>
      </c>
      <c r="E170" s="17">
        <v>4</v>
      </c>
    </row>
    <row r="171" spans="1:5" x14ac:dyDescent="0.3">
      <c r="A171" s="17" t="s">
        <v>1</v>
      </c>
      <c r="B171" s="17" t="s">
        <v>2443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2429</v>
      </c>
      <c r="C172" s="17">
        <v>3</v>
      </c>
      <c r="D172" s="17">
        <v>1</v>
      </c>
      <c r="E172" s="17">
        <v>4</v>
      </c>
    </row>
    <row r="173" spans="1:5" x14ac:dyDescent="0.3">
      <c r="A173" s="17" t="s">
        <v>1</v>
      </c>
      <c r="B173" s="17" t="s">
        <v>2397</v>
      </c>
      <c r="C173" s="17">
        <v>2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2396</v>
      </c>
      <c r="C174" s="17">
        <v>4</v>
      </c>
      <c r="D174" s="17">
        <v>1</v>
      </c>
      <c r="E174" s="17">
        <v>4</v>
      </c>
    </row>
    <row r="175" spans="1:5" x14ac:dyDescent="0.3">
      <c r="A175" s="17" t="s">
        <v>1</v>
      </c>
      <c r="B175" s="17" t="s">
        <v>2944</v>
      </c>
      <c r="C175" s="17">
        <v>4</v>
      </c>
      <c r="D175" s="17">
        <v>1</v>
      </c>
      <c r="E175" s="17">
        <v>5</v>
      </c>
    </row>
    <row r="176" spans="1:5" x14ac:dyDescent="0.3">
      <c r="A176" s="17" t="s">
        <v>1</v>
      </c>
      <c r="B176" s="17" t="s">
        <v>3328</v>
      </c>
      <c r="C176" s="17">
        <v>4</v>
      </c>
      <c r="D176" s="17">
        <v>1</v>
      </c>
      <c r="E176" s="17">
        <v>4</v>
      </c>
    </row>
    <row r="177" spans="1:5" x14ac:dyDescent="0.3">
      <c r="A177" s="17" t="s">
        <v>1</v>
      </c>
      <c r="B177" s="17" t="s">
        <v>3327</v>
      </c>
      <c r="C177" s="17">
        <v>8</v>
      </c>
      <c r="D177" s="17">
        <v>1</v>
      </c>
      <c r="E177" s="17">
        <v>8</v>
      </c>
    </row>
    <row r="178" spans="1:5" x14ac:dyDescent="0.3">
      <c r="A178" s="17" t="s">
        <v>1</v>
      </c>
      <c r="B178" s="17" t="s">
        <v>3382</v>
      </c>
      <c r="C178" s="17">
        <v>6</v>
      </c>
      <c r="D178" s="17">
        <v>1</v>
      </c>
      <c r="E178" s="17">
        <v>6</v>
      </c>
    </row>
    <row r="179" spans="1:5" x14ac:dyDescent="0.3">
      <c r="A179" s="17" t="s">
        <v>1</v>
      </c>
      <c r="B179" s="17" t="s">
        <v>713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866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525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159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1340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97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49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526</v>
      </c>
      <c r="C186" s="17">
        <v>4</v>
      </c>
      <c r="D186" s="17">
        <v>1</v>
      </c>
      <c r="E186" s="17">
        <v>4</v>
      </c>
    </row>
    <row r="187" spans="1:5" x14ac:dyDescent="0.3">
      <c r="A187" s="17" t="s">
        <v>1</v>
      </c>
      <c r="B187" s="17" t="s">
        <v>946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265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588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995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1145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1220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589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1549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716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104</v>
      </c>
      <c r="C196" s="17">
        <v>2</v>
      </c>
      <c r="D196" s="17">
        <v>1</v>
      </c>
      <c r="E196" s="17">
        <v>3</v>
      </c>
    </row>
    <row r="197" spans="1:5" x14ac:dyDescent="0.3">
      <c r="A197" s="17" t="s">
        <v>1</v>
      </c>
      <c r="B197" s="17" t="s">
        <v>771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1802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106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1106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107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3445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1147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167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2473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1130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168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1261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914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718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2193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1787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169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406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1224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2206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111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113</v>
      </c>
      <c r="C218" s="17">
        <v>2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289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409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51</v>
      </c>
      <c r="C221" s="17">
        <v>3</v>
      </c>
      <c r="D221" s="17">
        <v>1</v>
      </c>
      <c r="E221" s="17">
        <v>3</v>
      </c>
    </row>
    <row r="222" spans="1:5" x14ac:dyDescent="0.3">
      <c r="A222" s="17" t="s">
        <v>1</v>
      </c>
      <c r="B222" s="17" t="s">
        <v>44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606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174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410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594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444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1526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327</v>
      </c>
      <c r="C229" s="17">
        <v>2</v>
      </c>
      <c r="D229" s="17">
        <v>1</v>
      </c>
      <c r="E229" s="17">
        <v>4</v>
      </c>
    </row>
    <row r="230" spans="1:5" x14ac:dyDescent="0.3">
      <c r="A230" s="17" t="s">
        <v>1</v>
      </c>
      <c r="B230" s="17" t="s">
        <v>115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1826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1038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1094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1076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331</v>
      </c>
      <c r="C235" s="17">
        <v>2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3446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3447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1554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917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295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413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371</v>
      </c>
      <c r="C242" s="17">
        <v>1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1590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3448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656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658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1180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415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1511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339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1189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814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176</v>
      </c>
      <c r="C253" s="17">
        <v>2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1111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494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1354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1307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736</v>
      </c>
      <c r="C258" s="17">
        <v>1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1475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345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739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418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1445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783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422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449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1016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63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558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746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181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3449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703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2094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664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1700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126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1436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1042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304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2004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1603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750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428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262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52</v>
      </c>
      <c r="C286" s="17">
        <v>3</v>
      </c>
      <c r="D286" s="17">
        <v>1</v>
      </c>
      <c r="E286" s="17">
        <v>4</v>
      </c>
    </row>
    <row r="287" spans="1:5" x14ac:dyDescent="0.3">
      <c r="A287" s="17" t="s">
        <v>1</v>
      </c>
      <c r="B287" s="17" t="s">
        <v>823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3450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134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259</v>
      </c>
      <c r="C290" s="17">
        <v>2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1621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565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848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1486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753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842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567</v>
      </c>
      <c r="C297" s="17">
        <v>2</v>
      </c>
      <c r="D297" s="17">
        <v>1</v>
      </c>
      <c r="E297" s="17">
        <v>2</v>
      </c>
    </row>
    <row r="298" spans="1:5" x14ac:dyDescent="0.3">
      <c r="A298" s="17" t="s">
        <v>1</v>
      </c>
      <c r="B298" s="17" t="s">
        <v>53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849</v>
      </c>
      <c r="C299" s="17">
        <v>1</v>
      </c>
      <c r="D299" s="17">
        <v>1</v>
      </c>
      <c r="E299" s="17">
        <v>4</v>
      </c>
    </row>
    <row r="300" spans="1:5" x14ac:dyDescent="0.3">
      <c r="A300" s="17" t="s">
        <v>1</v>
      </c>
      <c r="B300" s="17" t="s">
        <v>376</v>
      </c>
      <c r="C300" s="17">
        <v>2</v>
      </c>
      <c r="D300" s="17">
        <v>1</v>
      </c>
      <c r="E300" s="17">
        <v>2</v>
      </c>
    </row>
    <row r="301" spans="1:5" x14ac:dyDescent="0.3">
      <c r="A301" s="17" t="s">
        <v>1</v>
      </c>
      <c r="B301" s="17" t="s">
        <v>236</v>
      </c>
      <c r="C301" s="17">
        <v>4</v>
      </c>
      <c r="D301" s="17">
        <v>1</v>
      </c>
      <c r="E301" s="17">
        <v>8</v>
      </c>
    </row>
    <row r="302" spans="1:5" x14ac:dyDescent="0.3">
      <c r="A302" s="17" t="s">
        <v>1</v>
      </c>
      <c r="B302" s="17" t="s">
        <v>68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382</v>
      </c>
      <c r="C303" s="17">
        <v>5</v>
      </c>
      <c r="D303" s="17">
        <v>1</v>
      </c>
      <c r="E303" s="17">
        <v>8</v>
      </c>
    </row>
    <row r="304" spans="1:5" x14ac:dyDescent="0.3">
      <c r="A304" s="17" t="s">
        <v>1</v>
      </c>
      <c r="B304" s="17" t="s">
        <v>56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1201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1045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571</v>
      </c>
      <c r="C307" s="17">
        <v>1</v>
      </c>
      <c r="D307" s="17">
        <v>1</v>
      </c>
      <c r="E307" s="17"/>
    </row>
    <row r="308" spans="1:5" x14ac:dyDescent="0.3">
      <c r="A308" s="17" t="s">
        <v>1</v>
      </c>
      <c r="B308" s="17" t="s">
        <v>572</v>
      </c>
      <c r="C308" s="17">
        <v>1</v>
      </c>
      <c r="D308" s="17">
        <v>1</v>
      </c>
      <c r="E308" s="17"/>
    </row>
    <row r="309" spans="1:5" x14ac:dyDescent="0.3">
      <c r="A309" s="17" t="s">
        <v>1</v>
      </c>
      <c r="B309" s="17" t="s">
        <v>1385</v>
      </c>
      <c r="C309" s="17">
        <v>1</v>
      </c>
      <c r="D309" s="17">
        <v>2</v>
      </c>
      <c r="E309" s="17"/>
    </row>
    <row r="310" spans="1:5" x14ac:dyDescent="0.3">
      <c r="A310" s="17" t="s">
        <v>1</v>
      </c>
      <c r="B310" s="17" t="s">
        <v>1404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1592</v>
      </c>
      <c r="C311" s="17">
        <v>1</v>
      </c>
      <c r="D311" s="17">
        <v>1</v>
      </c>
      <c r="E311" s="17"/>
    </row>
    <row r="312" spans="1:5" x14ac:dyDescent="0.3">
      <c r="A312" s="17" t="s">
        <v>1</v>
      </c>
      <c r="B312" s="17" t="s">
        <v>1029</v>
      </c>
      <c r="C312" s="17">
        <v>2</v>
      </c>
      <c r="D312" s="17">
        <v>1</v>
      </c>
      <c r="E312" s="17">
        <v>3</v>
      </c>
    </row>
    <row r="313" spans="1:5" x14ac:dyDescent="0.3">
      <c r="A313" s="17" t="s">
        <v>1</v>
      </c>
      <c r="B313" s="17" t="s">
        <v>1597</v>
      </c>
      <c r="C313" s="17">
        <v>1</v>
      </c>
      <c r="D313" s="17">
        <v>1</v>
      </c>
      <c r="E313" s="17"/>
    </row>
    <row r="314" spans="1:5" x14ac:dyDescent="0.3">
      <c r="A314" s="17" t="s">
        <v>1</v>
      </c>
      <c r="B314" s="17" t="s">
        <v>760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1267</v>
      </c>
      <c r="C315" s="17">
        <v>1</v>
      </c>
      <c r="D315" s="17">
        <v>2</v>
      </c>
      <c r="E315" s="17"/>
    </row>
    <row r="316" spans="1:5" x14ac:dyDescent="0.3">
      <c r="A316" s="17" t="s">
        <v>1</v>
      </c>
      <c r="B316" s="17" t="s">
        <v>850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573</v>
      </c>
      <c r="C317" s="17">
        <v>1</v>
      </c>
      <c r="D317" s="17">
        <v>2</v>
      </c>
      <c r="E317" s="17"/>
    </row>
    <row r="318" spans="1:5" x14ac:dyDescent="0.3">
      <c r="A318" s="17" t="s">
        <v>1</v>
      </c>
      <c r="B318" s="17" t="s">
        <v>1561</v>
      </c>
      <c r="C318" s="17">
        <v>1</v>
      </c>
      <c r="D318" s="17">
        <v>1</v>
      </c>
      <c r="E318" s="17"/>
    </row>
    <row r="319" spans="1:5" x14ac:dyDescent="0.3">
      <c r="A319" s="17" t="s">
        <v>1</v>
      </c>
      <c r="B319" s="17" t="s">
        <v>2784</v>
      </c>
      <c r="C319" s="17">
        <v>1</v>
      </c>
      <c r="D319" s="17">
        <v>1</v>
      </c>
      <c r="E319" s="17">
        <v>2</v>
      </c>
    </row>
    <row r="320" spans="1:5" x14ac:dyDescent="0.3">
      <c r="A320" s="17" t="s">
        <v>1</v>
      </c>
      <c r="B320" s="17" t="s">
        <v>3451</v>
      </c>
      <c r="C320" s="17">
        <v>1</v>
      </c>
      <c r="D320" s="17">
        <v>1</v>
      </c>
      <c r="E320" s="17"/>
    </row>
    <row r="321" spans="1:5" x14ac:dyDescent="0.3">
      <c r="A321" s="17" t="s">
        <v>1</v>
      </c>
      <c r="B321" s="17" t="s">
        <v>3452</v>
      </c>
      <c r="C321" s="17">
        <v>1</v>
      </c>
      <c r="D321" s="17">
        <v>1</v>
      </c>
      <c r="E321" s="17"/>
    </row>
    <row r="322" spans="1:5" x14ac:dyDescent="0.3">
      <c r="A322" s="17" t="s">
        <v>1</v>
      </c>
      <c r="B322" s="17" t="s">
        <v>1548</v>
      </c>
      <c r="C322" s="17">
        <v>1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1241</v>
      </c>
      <c r="C323" s="17">
        <v>1</v>
      </c>
      <c r="D323" s="17">
        <v>1</v>
      </c>
      <c r="E323" s="17"/>
    </row>
    <row r="324" spans="1:5" x14ac:dyDescent="0.3">
      <c r="A324" s="17" t="s">
        <v>1</v>
      </c>
      <c r="B324" s="17" t="s">
        <v>763</v>
      </c>
      <c r="C324" s="17">
        <v>1</v>
      </c>
      <c r="D324" s="17">
        <v>2</v>
      </c>
      <c r="E324" s="17"/>
    </row>
    <row r="325" spans="1:5" x14ac:dyDescent="0.3">
      <c r="A325" s="17" t="s">
        <v>1</v>
      </c>
      <c r="B325" s="17" t="s">
        <v>3453</v>
      </c>
      <c r="C325" s="17">
        <v>1</v>
      </c>
      <c r="D325" s="17">
        <v>1</v>
      </c>
      <c r="E325" s="17"/>
    </row>
    <row r="326" spans="1:5" x14ac:dyDescent="0.3">
      <c r="A326" s="17" t="s">
        <v>1</v>
      </c>
      <c r="B326" s="17" t="s">
        <v>834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1364</v>
      </c>
      <c r="C327" s="17">
        <v>1</v>
      </c>
      <c r="D327" s="17">
        <v>1</v>
      </c>
      <c r="E327" s="17">
        <v>3</v>
      </c>
    </row>
    <row r="328" spans="1:5" x14ac:dyDescent="0.3">
      <c r="A328" s="17" t="s">
        <v>1</v>
      </c>
      <c r="B328" s="17" t="s">
        <v>3454</v>
      </c>
      <c r="C328" s="17">
        <v>1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1213</v>
      </c>
      <c r="C329" s="17">
        <v>1</v>
      </c>
      <c r="D329" s="17">
        <v>1</v>
      </c>
      <c r="E329" s="17">
        <v>2</v>
      </c>
    </row>
    <row r="330" spans="1:5" x14ac:dyDescent="0.3">
      <c r="A330" s="17" t="s">
        <v>0</v>
      </c>
      <c r="B330" s="17" t="s">
        <v>384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617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75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143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433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147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276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59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1846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1314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1967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267</v>
      </c>
      <c r="C341" s="17">
        <v>1</v>
      </c>
      <c r="D341" s="17">
        <v>1</v>
      </c>
      <c r="E341" s="17">
        <v>5</v>
      </c>
    </row>
    <row r="342" spans="1:5" x14ac:dyDescent="0.3">
      <c r="A342" s="17" t="s">
        <v>0</v>
      </c>
      <c r="B342" s="17" t="s">
        <v>315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85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87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1203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221</v>
      </c>
      <c r="C346" s="17">
        <v>1</v>
      </c>
      <c r="D346" s="17">
        <v>1</v>
      </c>
      <c r="E346" s="17">
        <v>3</v>
      </c>
    </row>
    <row r="347" spans="1:5" x14ac:dyDescent="0.3">
      <c r="A347" s="17" t="s">
        <v>0</v>
      </c>
      <c r="B347" s="17" t="s">
        <v>367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487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1775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2362</v>
      </c>
      <c r="C350" s="17">
        <v>1</v>
      </c>
      <c r="D350" s="17">
        <v>1</v>
      </c>
      <c r="E350" s="17">
        <v>2</v>
      </c>
    </row>
    <row r="351" spans="1:5" x14ac:dyDescent="0.3">
      <c r="A351" s="17" t="s">
        <v>0</v>
      </c>
      <c r="B351" s="17" t="s">
        <v>2399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2396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3036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3406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713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1167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1193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49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1103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1278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35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98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2407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715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2364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403</v>
      </c>
      <c r="C366" s="17">
        <v>1</v>
      </c>
      <c r="D366" s="17">
        <v>1</v>
      </c>
      <c r="E366" s="17">
        <v>2</v>
      </c>
    </row>
    <row r="367" spans="1:5" x14ac:dyDescent="0.3">
      <c r="A367" s="17" t="s">
        <v>0</v>
      </c>
      <c r="B367" s="17" t="s">
        <v>1480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28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352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104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3455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3383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321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166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1182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168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1817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442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199</v>
      </c>
      <c r="C379" s="17">
        <v>1</v>
      </c>
      <c r="D379" s="17">
        <v>1</v>
      </c>
      <c r="E379" s="17">
        <v>3</v>
      </c>
    </row>
    <row r="380" spans="1:5" x14ac:dyDescent="0.3">
      <c r="A380" s="17" t="s">
        <v>0</v>
      </c>
      <c r="B380" s="17" t="s">
        <v>2160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1002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1225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173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1939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2219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174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1851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1226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325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115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880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1038</v>
      </c>
      <c r="C392" s="17">
        <v>1</v>
      </c>
      <c r="D392" s="17">
        <v>1</v>
      </c>
      <c r="E392" s="17">
        <v>2</v>
      </c>
    </row>
    <row r="393" spans="1:5" x14ac:dyDescent="0.3">
      <c r="A393" s="17" t="s">
        <v>0</v>
      </c>
      <c r="B393" s="17" t="s">
        <v>45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3456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776</v>
      </c>
      <c r="C395" s="17">
        <v>1</v>
      </c>
      <c r="D395" s="17">
        <v>1</v>
      </c>
      <c r="E395" s="17">
        <v>2</v>
      </c>
    </row>
    <row r="396" spans="1:5" x14ac:dyDescent="0.3">
      <c r="A396" s="17" t="s">
        <v>0</v>
      </c>
      <c r="B396" s="17" t="s">
        <v>546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335</v>
      </c>
      <c r="C397" s="17">
        <v>1</v>
      </c>
      <c r="D397" s="17">
        <v>1</v>
      </c>
      <c r="E397" s="17">
        <v>2</v>
      </c>
    </row>
    <row r="398" spans="1:5" x14ac:dyDescent="0.3">
      <c r="A398" s="17" t="s">
        <v>0</v>
      </c>
      <c r="B398" s="17" t="s">
        <v>1720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414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1189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3457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552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2077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736</v>
      </c>
      <c r="C404" s="17">
        <v>1</v>
      </c>
      <c r="D404" s="17">
        <v>1</v>
      </c>
      <c r="E404" s="17">
        <v>2</v>
      </c>
    </row>
    <row r="405" spans="1:5" x14ac:dyDescent="0.3">
      <c r="A405" s="17" t="s">
        <v>0</v>
      </c>
      <c r="B405" s="17" t="s">
        <v>695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553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46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179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346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1179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556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3449</v>
      </c>
      <c r="C412" s="17">
        <v>1</v>
      </c>
      <c r="D412" s="17">
        <v>1</v>
      </c>
      <c r="E412" s="17">
        <v>6</v>
      </c>
    </row>
    <row r="413" spans="1:5" x14ac:dyDescent="0.3">
      <c r="A413" s="17" t="s">
        <v>0</v>
      </c>
      <c r="B413" s="17" t="s">
        <v>747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698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483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429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751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132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191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234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2647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135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842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376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196</v>
      </c>
      <c r="C425" s="17">
        <v>2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3458</v>
      </c>
      <c r="C426" s="17">
        <v>1</v>
      </c>
      <c r="D426" s="17">
        <v>1</v>
      </c>
      <c r="E426" s="17"/>
    </row>
    <row r="427" spans="1:5" x14ac:dyDescent="0.3">
      <c r="A427" s="17" t="s">
        <v>0</v>
      </c>
      <c r="B427" s="17" t="s">
        <v>1503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69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2</v>
      </c>
      <c r="B429" s="17" t="s">
        <v>33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2</v>
      </c>
      <c r="B430" s="17" t="s">
        <v>3397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2</v>
      </c>
      <c r="B431" s="17" t="s">
        <v>168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2</v>
      </c>
      <c r="B432" s="17" t="s">
        <v>1798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2</v>
      </c>
      <c r="B433" s="17" t="s">
        <v>122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2</v>
      </c>
      <c r="B434" s="17" t="s">
        <v>63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2</v>
      </c>
      <c r="B435" s="17" t="s">
        <v>201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1</v>
      </c>
      <c r="B436" s="17" t="s">
        <v>983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1</v>
      </c>
      <c r="B437" s="17" t="s">
        <v>2836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1</v>
      </c>
      <c r="B438" s="17" t="s">
        <v>389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1</v>
      </c>
      <c r="B439" s="17" t="s">
        <v>141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392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2339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1</v>
      </c>
      <c r="B442" s="17" t="s">
        <v>460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1</v>
      </c>
      <c r="B443" s="17" t="s">
        <v>1157</v>
      </c>
      <c r="C443" s="17">
        <v>2</v>
      </c>
      <c r="D443" s="17">
        <v>0</v>
      </c>
      <c r="E443" s="17">
        <v>2</v>
      </c>
    </row>
    <row r="444" spans="1:5" x14ac:dyDescent="0.3">
      <c r="A444" s="17" t="s">
        <v>1</v>
      </c>
      <c r="B444" s="17" t="s">
        <v>835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1254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1</v>
      </c>
      <c r="B446" s="17" t="s">
        <v>1929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1</v>
      </c>
      <c r="B447" s="17" t="s">
        <v>247</v>
      </c>
      <c r="C447" s="17">
        <v>1</v>
      </c>
      <c r="D447" s="17">
        <v>0</v>
      </c>
      <c r="E447" s="17">
        <v>0</v>
      </c>
    </row>
    <row r="448" spans="1:5" x14ac:dyDescent="0.3">
      <c r="A448" s="17" t="s">
        <v>1</v>
      </c>
      <c r="B448" s="17" t="s">
        <v>80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1</v>
      </c>
      <c r="B449" s="17" t="s">
        <v>1051</v>
      </c>
      <c r="C449" s="17">
        <v>2</v>
      </c>
      <c r="D449" s="17">
        <v>0</v>
      </c>
      <c r="E449" s="17">
        <v>2</v>
      </c>
    </row>
    <row r="450" spans="1:5" x14ac:dyDescent="0.3">
      <c r="A450" s="17" t="s">
        <v>1</v>
      </c>
      <c r="B450" s="17" t="s">
        <v>990</v>
      </c>
      <c r="C450" s="17">
        <v>1</v>
      </c>
      <c r="D450" s="17">
        <v>0</v>
      </c>
      <c r="E450" s="17">
        <v>2</v>
      </c>
    </row>
    <row r="451" spans="1:5" x14ac:dyDescent="0.3">
      <c r="A451" s="17" t="s">
        <v>1</v>
      </c>
      <c r="B451" s="17" t="s">
        <v>359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796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1</v>
      </c>
      <c r="B453" s="17" t="s">
        <v>2742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1743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1</v>
      </c>
      <c r="B455" s="17" t="s">
        <v>277</v>
      </c>
      <c r="C455" s="17">
        <v>1</v>
      </c>
      <c r="D455" s="17">
        <v>0</v>
      </c>
      <c r="E455" s="17">
        <v>2</v>
      </c>
    </row>
    <row r="456" spans="1:5" x14ac:dyDescent="0.3">
      <c r="A456" s="17" t="s">
        <v>1</v>
      </c>
      <c r="B456" s="17" t="s">
        <v>908</v>
      </c>
      <c r="C456" s="17">
        <v>2</v>
      </c>
      <c r="D456" s="17">
        <v>0</v>
      </c>
      <c r="E456" s="17">
        <v>2</v>
      </c>
    </row>
    <row r="457" spans="1:5" x14ac:dyDescent="0.3">
      <c r="A457" s="17" t="s">
        <v>1</v>
      </c>
      <c r="B457" s="17" t="s">
        <v>148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1</v>
      </c>
      <c r="B458" s="17" t="s">
        <v>85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519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1</v>
      </c>
      <c r="B460" s="17" t="s">
        <v>629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1</v>
      </c>
      <c r="B461" s="17" t="s">
        <v>1057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1</v>
      </c>
      <c r="B462" s="17" t="s">
        <v>836</v>
      </c>
      <c r="C462" s="17">
        <v>1</v>
      </c>
      <c r="D462" s="17">
        <v>0</v>
      </c>
      <c r="E462" s="17">
        <v>2</v>
      </c>
    </row>
    <row r="463" spans="1:5" x14ac:dyDescent="0.3">
      <c r="A463" s="17" t="s">
        <v>1</v>
      </c>
      <c r="B463" s="17" t="s">
        <v>150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480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1317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801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1061</v>
      </c>
      <c r="C467" s="17">
        <v>1</v>
      </c>
      <c r="D467" s="17">
        <v>0</v>
      </c>
      <c r="E467" s="17">
        <v>2</v>
      </c>
    </row>
    <row r="468" spans="1:5" x14ac:dyDescent="0.3">
      <c r="A468" s="17" t="s">
        <v>1</v>
      </c>
      <c r="B468" s="17" t="s">
        <v>153</v>
      </c>
      <c r="C468" s="17">
        <v>2</v>
      </c>
      <c r="D468" s="17">
        <v>0</v>
      </c>
      <c r="E468" s="17">
        <v>2</v>
      </c>
    </row>
    <row r="469" spans="1:5" x14ac:dyDescent="0.3">
      <c r="A469" s="17" t="s">
        <v>1</v>
      </c>
      <c r="B469" s="17" t="s">
        <v>220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638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221</v>
      </c>
      <c r="C471" s="17">
        <v>2</v>
      </c>
      <c r="D471" s="17">
        <v>0</v>
      </c>
      <c r="E471" s="17">
        <v>2</v>
      </c>
    </row>
    <row r="472" spans="1:5" x14ac:dyDescent="0.3">
      <c r="A472" s="17" t="s">
        <v>1</v>
      </c>
      <c r="B472" s="17" t="s">
        <v>93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154</v>
      </c>
      <c r="C473" s="17">
        <v>2</v>
      </c>
      <c r="D473" s="17">
        <v>0</v>
      </c>
      <c r="E473" s="17">
        <v>2</v>
      </c>
    </row>
    <row r="474" spans="1:5" x14ac:dyDescent="0.3">
      <c r="A474" s="17" t="s">
        <v>1</v>
      </c>
      <c r="B474" s="17" t="s">
        <v>222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941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363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42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1613</v>
      </c>
      <c r="C478" s="17">
        <v>2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251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1691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1772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1871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1928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1983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2115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2340</v>
      </c>
      <c r="C486" s="17">
        <v>1</v>
      </c>
      <c r="D486" s="17">
        <v>0</v>
      </c>
      <c r="E486" s="17">
        <v>2</v>
      </c>
    </row>
    <row r="487" spans="1:5" x14ac:dyDescent="0.3">
      <c r="A487" s="17" t="s">
        <v>1</v>
      </c>
      <c r="B487" s="17" t="s">
        <v>2334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2363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2468</v>
      </c>
      <c r="C489" s="17">
        <v>2</v>
      </c>
      <c r="D489" s="17">
        <v>0</v>
      </c>
      <c r="E489" s="17">
        <v>2</v>
      </c>
    </row>
    <row r="490" spans="1:5" x14ac:dyDescent="0.3">
      <c r="A490" s="17" t="s">
        <v>1</v>
      </c>
      <c r="B490" s="17" t="s">
        <v>3399</v>
      </c>
      <c r="C490" s="17">
        <v>1</v>
      </c>
      <c r="D490" s="17">
        <v>0</v>
      </c>
      <c r="E490" s="17">
        <v>3</v>
      </c>
    </row>
    <row r="491" spans="1:5" x14ac:dyDescent="0.3">
      <c r="A491" s="17" t="s">
        <v>1</v>
      </c>
      <c r="B491" s="17" t="s">
        <v>2441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2711</v>
      </c>
      <c r="C492" s="17">
        <v>1</v>
      </c>
      <c r="D492" s="17">
        <v>0</v>
      </c>
      <c r="E492" s="17">
        <v>2</v>
      </c>
    </row>
    <row r="493" spans="1:5" x14ac:dyDescent="0.3">
      <c r="A493" s="17" t="s">
        <v>1</v>
      </c>
      <c r="B493" s="17" t="s">
        <v>2404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2428</v>
      </c>
      <c r="C494" s="17">
        <v>1</v>
      </c>
      <c r="D494" s="17">
        <v>0</v>
      </c>
      <c r="E494" s="17">
        <v>4</v>
      </c>
    </row>
    <row r="495" spans="1:5" x14ac:dyDescent="0.3">
      <c r="A495" s="17" t="s">
        <v>1</v>
      </c>
      <c r="B495" s="17" t="s">
        <v>2444</v>
      </c>
      <c r="C495" s="17">
        <v>2</v>
      </c>
      <c r="D495" s="17">
        <v>0</v>
      </c>
      <c r="E495" s="17">
        <v>2</v>
      </c>
    </row>
    <row r="496" spans="1:5" x14ac:dyDescent="0.3">
      <c r="A496" s="17" t="s">
        <v>1</v>
      </c>
      <c r="B496" s="17" t="s">
        <v>2509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2599</v>
      </c>
      <c r="C497" s="17">
        <v>6</v>
      </c>
      <c r="D497" s="17">
        <v>0</v>
      </c>
      <c r="E497" s="17">
        <v>5</v>
      </c>
    </row>
    <row r="498" spans="1:5" x14ac:dyDescent="0.3">
      <c r="A498" s="17" t="s">
        <v>1</v>
      </c>
      <c r="B498" s="17" t="s">
        <v>2641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2789</v>
      </c>
      <c r="C499" s="17">
        <v>3</v>
      </c>
      <c r="D499" s="17">
        <v>0</v>
      </c>
      <c r="E499" s="17">
        <v>4</v>
      </c>
    </row>
    <row r="500" spans="1:5" x14ac:dyDescent="0.3">
      <c r="A500" s="17" t="s">
        <v>1</v>
      </c>
      <c r="B500" s="17" t="s">
        <v>3236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3406</v>
      </c>
      <c r="C501" s="17">
        <v>2</v>
      </c>
      <c r="D501" s="17">
        <v>0</v>
      </c>
      <c r="E501" s="17">
        <v>2</v>
      </c>
    </row>
    <row r="502" spans="1:5" x14ac:dyDescent="0.3">
      <c r="A502" s="17" t="s">
        <v>1</v>
      </c>
      <c r="B502" s="17" t="s">
        <v>524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252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1920</v>
      </c>
      <c r="C504" s="17">
        <v>1</v>
      </c>
      <c r="D504" s="17">
        <v>0</v>
      </c>
      <c r="E504" s="17">
        <v>0</v>
      </c>
    </row>
    <row r="505" spans="1:5" x14ac:dyDescent="0.3">
      <c r="A505" s="17" t="s">
        <v>1</v>
      </c>
      <c r="B505" s="17" t="s">
        <v>527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994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840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160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1811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1616</v>
      </c>
      <c r="C510" s="17">
        <v>1</v>
      </c>
      <c r="D510" s="17">
        <v>0</v>
      </c>
      <c r="E510" s="17">
        <v>2</v>
      </c>
    </row>
    <row r="511" spans="1:5" x14ac:dyDescent="0.3">
      <c r="A511" s="17" t="s">
        <v>1</v>
      </c>
      <c r="B511" s="17" t="s">
        <v>3137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3312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1684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1148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50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1099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1270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871</v>
      </c>
      <c r="C518" s="17">
        <v>2</v>
      </c>
      <c r="D518" s="17">
        <v>0</v>
      </c>
      <c r="E518" s="17">
        <v>2</v>
      </c>
    </row>
    <row r="519" spans="1:5" x14ac:dyDescent="0.3">
      <c r="A519" s="17" t="s">
        <v>1</v>
      </c>
      <c r="B519" s="17" t="s">
        <v>1570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2218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2229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1409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3459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2234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3143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916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2238</v>
      </c>
      <c r="C527" s="17">
        <v>1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2242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1346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1037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1410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544</v>
      </c>
      <c r="C532" s="17">
        <v>1</v>
      </c>
      <c r="D532" s="17">
        <v>0</v>
      </c>
      <c r="E532" s="17">
        <v>2</v>
      </c>
    </row>
    <row r="533" spans="1:5" x14ac:dyDescent="0.3">
      <c r="A533" s="17" t="s">
        <v>1</v>
      </c>
      <c r="B533" s="17" t="s">
        <v>2747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2132</v>
      </c>
      <c r="C534" s="17">
        <v>1</v>
      </c>
      <c r="D534" s="17">
        <v>0</v>
      </c>
      <c r="E534" s="17">
        <v>0</v>
      </c>
    </row>
    <row r="535" spans="1:5" x14ac:dyDescent="0.3">
      <c r="A535" s="17" t="s">
        <v>1</v>
      </c>
      <c r="B535" s="17" t="s">
        <v>607</v>
      </c>
      <c r="C535" s="17">
        <v>1</v>
      </c>
      <c r="D535" s="17">
        <v>0</v>
      </c>
      <c r="E535" s="17">
        <v>0</v>
      </c>
    </row>
    <row r="536" spans="1:5" x14ac:dyDescent="0.3">
      <c r="A536" s="17" t="s">
        <v>1</v>
      </c>
      <c r="B536" s="17" t="s">
        <v>2141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1172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954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1418</v>
      </c>
      <c r="C539" s="17">
        <v>1</v>
      </c>
      <c r="D539" s="17">
        <v>0</v>
      </c>
      <c r="E539" s="17">
        <v>2</v>
      </c>
    </row>
    <row r="540" spans="1:5" x14ac:dyDescent="0.3">
      <c r="A540" s="17" t="s">
        <v>1</v>
      </c>
      <c r="B540" s="17" t="s">
        <v>552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299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1362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2625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890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471</v>
      </c>
      <c r="C545" s="17">
        <v>1</v>
      </c>
      <c r="D545" s="17">
        <v>0</v>
      </c>
      <c r="E545" s="17">
        <v>0</v>
      </c>
    </row>
    <row r="546" spans="1:5" x14ac:dyDescent="0.3">
      <c r="A546" s="17" t="s">
        <v>1</v>
      </c>
      <c r="B546" s="17" t="s">
        <v>2750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742</v>
      </c>
      <c r="C547" s="17">
        <v>1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1457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2947</v>
      </c>
      <c r="C549" s="17">
        <v>2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421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894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852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1199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2626</v>
      </c>
      <c r="C554" s="17">
        <v>1</v>
      </c>
      <c r="D554" s="17">
        <v>0</v>
      </c>
      <c r="E554" s="17">
        <v>2</v>
      </c>
    </row>
    <row r="555" spans="1:5" x14ac:dyDescent="0.3">
      <c r="A555" s="17" t="s">
        <v>1</v>
      </c>
      <c r="B555" s="17" t="s">
        <v>819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962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186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1530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1133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188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824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1134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451</v>
      </c>
      <c r="C563" s="17">
        <v>1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498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1083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234</v>
      </c>
      <c r="C566" s="17">
        <v>1</v>
      </c>
      <c r="D566" s="17">
        <v>0</v>
      </c>
      <c r="E566" s="17">
        <v>3</v>
      </c>
    </row>
    <row r="567" spans="1:5" x14ac:dyDescent="0.3">
      <c r="A567" s="17" t="s">
        <v>1</v>
      </c>
      <c r="B567" s="17" t="s">
        <v>1327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1123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306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829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1893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1136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235</v>
      </c>
      <c r="C573" s="17">
        <v>6</v>
      </c>
      <c r="D573" s="17">
        <v>0</v>
      </c>
      <c r="E573" s="17">
        <v>9</v>
      </c>
    </row>
    <row r="574" spans="1:5" x14ac:dyDescent="0.3">
      <c r="A574" s="17" t="s">
        <v>1</v>
      </c>
      <c r="B574" s="17" t="s">
        <v>381</v>
      </c>
      <c r="C574" s="17">
        <v>2</v>
      </c>
      <c r="D574" s="17">
        <v>0</v>
      </c>
      <c r="E574" s="17">
        <v>3</v>
      </c>
    </row>
    <row r="575" spans="1:5" x14ac:dyDescent="0.3">
      <c r="A575" s="17" t="s">
        <v>1</v>
      </c>
      <c r="B575" s="17" t="s">
        <v>195</v>
      </c>
      <c r="C575" s="17">
        <v>8</v>
      </c>
      <c r="D575" s="17">
        <v>0</v>
      </c>
      <c r="E575" s="17">
        <v>13</v>
      </c>
    </row>
    <row r="576" spans="1:5" x14ac:dyDescent="0.3">
      <c r="A576" s="17" t="s">
        <v>1</v>
      </c>
      <c r="B576" s="17" t="s">
        <v>476</v>
      </c>
      <c r="C576" s="17">
        <v>2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196</v>
      </c>
      <c r="C577" s="17">
        <v>11</v>
      </c>
      <c r="D577" s="17">
        <v>0</v>
      </c>
      <c r="E577" s="17">
        <v>22</v>
      </c>
    </row>
    <row r="578" spans="1:5" x14ac:dyDescent="0.3">
      <c r="A578" s="17" t="s">
        <v>1</v>
      </c>
      <c r="B578" s="17" t="s">
        <v>237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54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238</v>
      </c>
      <c r="C580" s="17">
        <v>2</v>
      </c>
      <c r="D580" s="17">
        <v>0</v>
      </c>
      <c r="E580" s="17">
        <v>3</v>
      </c>
    </row>
    <row r="581" spans="1:5" x14ac:dyDescent="0.3">
      <c r="A581" s="17" t="s">
        <v>1</v>
      </c>
      <c r="B581" s="17" t="s">
        <v>239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672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55</v>
      </c>
      <c r="C583" s="17">
        <v>4</v>
      </c>
      <c r="D583" s="17">
        <v>0</v>
      </c>
      <c r="E583" s="17">
        <v>6</v>
      </c>
    </row>
    <row r="584" spans="1:5" x14ac:dyDescent="0.3">
      <c r="A584" s="17" t="s">
        <v>1</v>
      </c>
      <c r="B584" s="17" t="s">
        <v>240</v>
      </c>
      <c r="C584" s="17">
        <v>6</v>
      </c>
      <c r="D584" s="17">
        <v>0</v>
      </c>
      <c r="E584" s="17">
        <v>7</v>
      </c>
    </row>
    <row r="585" spans="1:5" x14ac:dyDescent="0.3">
      <c r="A585" s="17" t="s">
        <v>1</v>
      </c>
      <c r="B585" s="17" t="s">
        <v>673</v>
      </c>
      <c r="C585" s="17">
        <v>2</v>
      </c>
      <c r="D585" s="17">
        <v>0</v>
      </c>
      <c r="E585" s="17">
        <v>3</v>
      </c>
    </row>
    <row r="586" spans="1:5" x14ac:dyDescent="0.3">
      <c r="A586" s="17" t="s">
        <v>1</v>
      </c>
      <c r="B586" s="17" t="s">
        <v>377</v>
      </c>
      <c r="C586" s="17">
        <v>3</v>
      </c>
      <c r="D586" s="17">
        <v>0</v>
      </c>
      <c r="E586" s="17">
        <v>3</v>
      </c>
    </row>
    <row r="587" spans="1:5" x14ac:dyDescent="0.3">
      <c r="A587" s="17" t="s">
        <v>1</v>
      </c>
      <c r="B587" s="17" t="s">
        <v>477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2385</v>
      </c>
      <c r="C588" s="17">
        <v>0</v>
      </c>
      <c r="D588" s="17">
        <v>1</v>
      </c>
      <c r="E588" s="17"/>
    </row>
    <row r="589" spans="1:5" x14ac:dyDescent="0.3">
      <c r="A589" s="17" t="s">
        <v>1</v>
      </c>
      <c r="B589" s="17" t="s">
        <v>2798</v>
      </c>
      <c r="C589" s="17">
        <v>0</v>
      </c>
      <c r="D589" s="17">
        <v>1</v>
      </c>
      <c r="E589" s="17"/>
    </row>
    <row r="590" spans="1:5" x14ac:dyDescent="0.3">
      <c r="A590" s="17" t="s">
        <v>1</v>
      </c>
      <c r="B590" s="17" t="s">
        <v>1637</v>
      </c>
      <c r="C590" s="17">
        <v>0</v>
      </c>
      <c r="D590" s="17">
        <v>1</v>
      </c>
      <c r="E590" s="17"/>
    </row>
    <row r="591" spans="1:5" x14ac:dyDescent="0.3">
      <c r="A591" s="17" t="s">
        <v>1</v>
      </c>
      <c r="B591" s="17" t="s">
        <v>3460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3342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1358</v>
      </c>
      <c r="C593" s="17">
        <v>0</v>
      </c>
      <c r="D593" s="17">
        <v>2</v>
      </c>
      <c r="E593" s="17"/>
    </row>
    <row r="594" spans="1:5" x14ac:dyDescent="0.3">
      <c r="A594" s="17" t="s">
        <v>1</v>
      </c>
      <c r="B594" s="17" t="s">
        <v>2307</v>
      </c>
      <c r="C594" s="17">
        <v>1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833</v>
      </c>
      <c r="C595" s="17">
        <v>0</v>
      </c>
      <c r="D595" s="17">
        <v>1</v>
      </c>
      <c r="E595" s="17"/>
    </row>
    <row r="596" spans="1:5" x14ac:dyDescent="0.3">
      <c r="A596" s="17" t="s">
        <v>1</v>
      </c>
      <c r="B596" s="17" t="s">
        <v>575</v>
      </c>
      <c r="C596" s="17">
        <v>0</v>
      </c>
      <c r="D596" s="17">
        <v>1</v>
      </c>
      <c r="E596" s="17"/>
    </row>
    <row r="597" spans="1:5" x14ac:dyDescent="0.3">
      <c r="A597" s="17" t="s">
        <v>1</v>
      </c>
      <c r="B597" s="17" t="s">
        <v>2063</v>
      </c>
      <c r="C597" s="17">
        <v>1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576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1599</v>
      </c>
      <c r="C599" s="17">
        <v>1</v>
      </c>
      <c r="D599" s="17">
        <v>0</v>
      </c>
      <c r="E599" s="17">
        <v>3</v>
      </c>
    </row>
    <row r="600" spans="1:5" x14ac:dyDescent="0.3">
      <c r="A600" s="17" t="s">
        <v>1</v>
      </c>
      <c r="B600" s="17" t="s">
        <v>1949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69</v>
      </c>
      <c r="C601" s="17">
        <v>3</v>
      </c>
      <c r="D601" s="17">
        <v>0</v>
      </c>
      <c r="E601" s="17">
        <v>5</v>
      </c>
    </row>
    <row r="602" spans="1:5" x14ac:dyDescent="0.3">
      <c r="A602" s="17" t="s">
        <v>1</v>
      </c>
      <c r="B602" s="17" t="s">
        <v>677</v>
      </c>
      <c r="C602" s="17">
        <v>2</v>
      </c>
      <c r="D602" s="17">
        <v>0</v>
      </c>
      <c r="E602" s="17">
        <v>3</v>
      </c>
    </row>
    <row r="603" spans="1:5" x14ac:dyDescent="0.3">
      <c r="A603" s="17" t="s">
        <v>1</v>
      </c>
      <c r="B603" s="17" t="s">
        <v>1031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0</v>
      </c>
      <c r="B604" s="17" t="s">
        <v>1178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0</v>
      </c>
      <c r="B605" s="17" t="s">
        <v>397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0</v>
      </c>
      <c r="B606" s="17" t="s">
        <v>362</v>
      </c>
      <c r="C606" s="17">
        <v>2</v>
      </c>
      <c r="D606" s="17">
        <v>0</v>
      </c>
      <c r="E606" s="17">
        <v>2</v>
      </c>
    </row>
    <row r="607" spans="1:5" x14ac:dyDescent="0.3">
      <c r="A607" s="17" t="s">
        <v>0</v>
      </c>
      <c r="B607" s="17" t="s">
        <v>261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0</v>
      </c>
      <c r="B608" s="17" t="s">
        <v>1912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0</v>
      </c>
      <c r="B609" s="17" t="s">
        <v>1928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0</v>
      </c>
      <c r="B610" s="17" t="s">
        <v>2439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0</v>
      </c>
      <c r="B611" s="17" t="s">
        <v>2398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0</v>
      </c>
      <c r="B612" s="17" t="s">
        <v>2692</v>
      </c>
      <c r="C612" s="17">
        <v>2</v>
      </c>
      <c r="D612" s="17">
        <v>0</v>
      </c>
      <c r="E612" s="17">
        <v>2</v>
      </c>
    </row>
    <row r="613" spans="1:5" x14ac:dyDescent="0.3">
      <c r="A613" s="17" t="s">
        <v>0</v>
      </c>
      <c r="B613" s="17" t="s">
        <v>2616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0</v>
      </c>
      <c r="B614" s="17" t="s">
        <v>3327</v>
      </c>
      <c r="C614" s="17">
        <v>2</v>
      </c>
      <c r="D614" s="17">
        <v>0</v>
      </c>
      <c r="E614" s="17">
        <v>2</v>
      </c>
    </row>
    <row r="615" spans="1:5" x14ac:dyDescent="0.3">
      <c r="A615" s="17" t="s">
        <v>0</v>
      </c>
      <c r="B615" s="17" t="s">
        <v>1868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0</v>
      </c>
      <c r="B616" s="17" t="s">
        <v>840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0</v>
      </c>
      <c r="B617" s="17" t="s">
        <v>441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0</v>
      </c>
      <c r="B618" s="17" t="s">
        <v>165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0</v>
      </c>
      <c r="B619" s="17" t="s">
        <v>405</v>
      </c>
      <c r="C619" s="17">
        <v>1</v>
      </c>
      <c r="D619" s="17">
        <v>0</v>
      </c>
      <c r="E619" s="17">
        <v>2</v>
      </c>
    </row>
    <row r="620" spans="1:5" x14ac:dyDescent="0.3">
      <c r="A620" s="17" t="s">
        <v>0</v>
      </c>
      <c r="B620" s="17" t="s">
        <v>407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0</v>
      </c>
      <c r="B621" s="18" t="s">
        <v>1574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0</v>
      </c>
      <c r="B622" s="18" t="s">
        <v>731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0</v>
      </c>
      <c r="B623" s="18" t="s">
        <v>1231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0</v>
      </c>
      <c r="B624" s="18" t="s">
        <v>372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0</v>
      </c>
      <c r="B625" s="18" t="s">
        <v>1576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0</v>
      </c>
      <c r="B626" s="18" t="s">
        <v>1133</v>
      </c>
      <c r="C626" s="18">
        <v>1</v>
      </c>
      <c r="D626" s="18">
        <v>0</v>
      </c>
      <c r="E626" s="18">
        <v>2</v>
      </c>
    </row>
    <row r="627" spans="1:5" x14ac:dyDescent="0.3">
      <c r="A627" s="18" t="s">
        <v>0</v>
      </c>
      <c r="B627" s="18" t="s">
        <v>2923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0</v>
      </c>
      <c r="B628" s="18" t="s">
        <v>2103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0</v>
      </c>
      <c r="B629" s="18" t="s">
        <v>452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0</v>
      </c>
      <c r="B630" s="18" t="s">
        <v>54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0</v>
      </c>
      <c r="B631" s="18" t="s">
        <v>239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0</v>
      </c>
      <c r="B632" s="18" t="s">
        <v>382</v>
      </c>
      <c r="C632" s="18">
        <v>3</v>
      </c>
      <c r="D632" s="18">
        <v>0</v>
      </c>
      <c r="E632" s="18">
        <v>4</v>
      </c>
    </row>
    <row r="633" spans="1:5" x14ac:dyDescent="0.3">
      <c r="A633" s="18" t="s">
        <v>0</v>
      </c>
      <c r="B633" s="18" t="s">
        <v>3442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0</v>
      </c>
      <c r="B634" s="18" t="s">
        <v>2546</v>
      </c>
      <c r="C634" s="18">
        <v>0</v>
      </c>
      <c r="D634" s="18">
        <v>1</v>
      </c>
    </row>
    <row r="635" spans="1:5" x14ac:dyDescent="0.3">
      <c r="A635" s="18" t="s">
        <v>0</v>
      </c>
      <c r="B635" s="18" t="s">
        <v>32</v>
      </c>
      <c r="C635" s="18">
        <v>1</v>
      </c>
      <c r="D635" s="18">
        <v>0</v>
      </c>
      <c r="E635" s="18">
        <v>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806AD-671B-4F88-AA6E-E00B5193C18C}">
  <sheetPr codeName="Sheet61"/>
  <dimension ref="A1:M706"/>
  <sheetViews>
    <sheetView workbookViewId="0">
      <selection activeCell="A2" sqref="A2:E70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63</v>
      </c>
      <c r="D2" s="17">
        <v>48</v>
      </c>
      <c r="E2" s="17">
        <v>77</v>
      </c>
    </row>
    <row r="3" spans="1:13" customFormat="1" x14ac:dyDescent="0.3">
      <c r="A3" s="17" t="s">
        <v>1</v>
      </c>
      <c r="B3" s="17" t="s">
        <v>30</v>
      </c>
      <c r="C3" s="17">
        <v>91</v>
      </c>
      <c r="D3" s="17">
        <v>40</v>
      </c>
      <c r="E3" s="17">
        <v>179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365</v>
      </c>
      <c r="C4" s="17">
        <v>21</v>
      </c>
      <c r="D4" s="17">
        <v>18</v>
      </c>
      <c r="E4" s="17">
        <v>28</v>
      </c>
      <c r="G4" s="23" t="s">
        <v>8</v>
      </c>
      <c r="H4" s="19">
        <f>H13+H14</f>
        <v>1128</v>
      </c>
      <c r="I4" s="20">
        <f>H4/H$6</f>
        <v>0.80629020729092205</v>
      </c>
      <c r="J4" s="19">
        <f>I13+I14</f>
        <v>565</v>
      </c>
      <c r="K4" s="20">
        <f>J4/J$6</f>
        <v>0.72343149807938545</v>
      </c>
      <c r="L4" s="19">
        <f>J13+J14</f>
        <v>1370</v>
      </c>
      <c r="M4" s="29">
        <f>L4/L$6</f>
        <v>0.81644815256257453</v>
      </c>
    </row>
    <row r="5" spans="1:13" customFormat="1" x14ac:dyDescent="0.3">
      <c r="A5" s="17" t="s">
        <v>0</v>
      </c>
      <c r="B5" s="17" t="s">
        <v>29</v>
      </c>
      <c r="C5" s="17">
        <v>14</v>
      </c>
      <c r="D5" s="17">
        <v>14</v>
      </c>
      <c r="E5" s="17">
        <v>17</v>
      </c>
      <c r="G5" s="23" t="s">
        <v>10</v>
      </c>
      <c r="H5" s="19">
        <f>H15+H16</f>
        <v>271</v>
      </c>
      <c r="I5" s="20">
        <f>H5/H$6</f>
        <v>0.1937097927090779</v>
      </c>
      <c r="J5" s="19">
        <f>I15+I16</f>
        <v>216</v>
      </c>
      <c r="K5" s="20">
        <f>J5/J$6</f>
        <v>0.27656850192061461</v>
      </c>
      <c r="L5" s="19">
        <f>J15+J16</f>
        <v>308</v>
      </c>
      <c r="M5" s="29">
        <f>L5/L$6</f>
        <v>0.1835518474374255</v>
      </c>
    </row>
    <row r="6" spans="1:13" customFormat="1" ht="17.25" thickBot="1" x14ac:dyDescent="0.35">
      <c r="A6" s="17" t="s">
        <v>1</v>
      </c>
      <c r="B6" s="17" t="s">
        <v>122</v>
      </c>
      <c r="C6" s="17">
        <v>11</v>
      </c>
      <c r="D6" s="17">
        <v>11</v>
      </c>
      <c r="E6" s="17">
        <v>12</v>
      </c>
      <c r="G6" s="26"/>
      <c r="H6" s="30">
        <f>SUM(H4:H5)</f>
        <v>1399</v>
      </c>
      <c r="I6" s="31">
        <f>I4+I5</f>
        <v>1</v>
      </c>
      <c r="J6" s="30">
        <f>SUM(J4:J5)</f>
        <v>781</v>
      </c>
      <c r="K6" s="31">
        <f>K4+K5</f>
        <v>1</v>
      </c>
      <c r="L6" s="30">
        <f>SUM(L4:L5)</f>
        <v>1678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13</v>
      </c>
      <c r="D7" s="17">
        <v>10</v>
      </c>
      <c r="E7" s="17">
        <v>15</v>
      </c>
    </row>
    <row r="8" spans="1:13" customFormat="1" x14ac:dyDescent="0.3">
      <c r="A8" s="17" t="s">
        <v>0</v>
      </c>
      <c r="B8" s="17" t="s">
        <v>79</v>
      </c>
      <c r="C8" s="17">
        <v>8</v>
      </c>
      <c r="D8" s="17">
        <v>8</v>
      </c>
      <c r="E8" s="17">
        <v>9</v>
      </c>
    </row>
    <row r="9" spans="1:13" customFormat="1" x14ac:dyDescent="0.3">
      <c r="A9" s="17" t="s">
        <v>1</v>
      </c>
      <c r="B9" s="17" t="s">
        <v>448</v>
      </c>
      <c r="C9" s="17">
        <v>6</v>
      </c>
      <c r="D9" s="17">
        <v>6</v>
      </c>
      <c r="E9" s="17">
        <v>9</v>
      </c>
    </row>
    <row r="10" spans="1:13" customFormat="1" ht="17.25" thickBot="1" x14ac:dyDescent="0.35">
      <c r="A10" s="17" t="s">
        <v>0</v>
      </c>
      <c r="B10" s="17" t="s">
        <v>31</v>
      </c>
      <c r="C10" s="17">
        <v>6</v>
      </c>
      <c r="D10" s="17">
        <v>6</v>
      </c>
      <c r="E10" s="17">
        <v>6</v>
      </c>
    </row>
    <row r="11" spans="1:13" x14ac:dyDescent="0.3">
      <c r="A11" s="17" t="s">
        <v>1</v>
      </c>
      <c r="B11" s="17" t="s">
        <v>48</v>
      </c>
      <c r="C11" s="17">
        <v>8</v>
      </c>
      <c r="D11" s="17">
        <v>5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96</v>
      </c>
      <c r="C12" s="17">
        <v>8</v>
      </c>
      <c r="D12" s="17">
        <v>5</v>
      </c>
      <c r="E12" s="17">
        <v>10</v>
      </c>
      <c r="G12" s="23"/>
      <c r="H12" s="21">
        <f t="shared" ref="H12:J12" si="0">SUM(H13:H16)</f>
        <v>1399</v>
      </c>
      <c r="I12" s="21">
        <f t="shared" si="0"/>
        <v>781</v>
      </c>
      <c r="J12" s="24">
        <f t="shared" si="0"/>
        <v>1678</v>
      </c>
    </row>
    <row r="13" spans="1:13" x14ac:dyDescent="0.3">
      <c r="A13" s="17" t="s">
        <v>1</v>
      </c>
      <c r="B13" s="17" t="s">
        <v>3036</v>
      </c>
      <c r="C13" s="17">
        <v>10</v>
      </c>
      <c r="D13" s="17">
        <v>5</v>
      </c>
      <c r="E13" s="17">
        <v>18</v>
      </c>
      <c r="G13" s="23" t="s">
        <v>7</v>
      </c>
      <c r="H13" s="22">
        <f t="shared" ref="H13:J16" si="1">SUMIF($A$2:$A$9999,$G13,C$2:C$9999)</f>
        <v>1128</v>
      </c>
      <c r="I13" s="22">
        <f t="shared" si="1"/>
        <v>565</v>
      </c>
      <c r="J13" s="25">
        <f t="shared" si="1"/>
        <v>1370</v>
      </c>
    </row>
    <row r="14" spans="1:13" x14ac:dyDescent="0.3">
      <c r="A14" s="17" t="s">
        <v>1</v>
      </c>
      <c r="B14" s="17" t="s">
        <v>29</v>
      </c>
      <c r="C14" s="17">
        <v>5</v>
      </c>
      <c r="D14" s="17">
        <v>5</v>
      </c>
      <c r="E14" s="17">
        <v>5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51</v>
      </c>
      <c r="C15" s="17">
        <v>5</v>
      </c>
      <c r="D15" s="17">
        <v>5</v>
      </c>
      <c r="E15" s="17">
        <v>5</v>
      </c>
      <c r="G15" s="23" t="s">
        <v>11</v>
      </c>
      <c r="H15" s="22">
        <f t="shared" si="1"/>
        <v>258</v>
      </c>
      <c r="I15" s="22">
        <f t="shared" si="1"/>
        <v>210</v>
      </c>
      <c r="J15" s="25">
        <f t="shared" si="1"/>
        <v>291</v>
      </c>
    </row>
    <row r="16" spans="1:13" ht="17.25" thickBot="1" x14ac:dyDescent="0.35">
      <c r="A16" s="17" t="s">
        <v>1</v>
      </c>
      <c r="B16" s="17" t="s">
        <v>45</v>
      </c>
      <c r="C16" s="17">
        <v>5</v>
      </c>
      <c r="D16" s="17">
        <v>5</v>
      </c>
      <c r="E16" s="17">
        <v>5</v>
      </c>
      <c r="G16" s="26" t="s">
        <v>12</v>
      </c>
      <c r="H16" s="27">
        <f t="shared" si="1"/>
        <v>13</v>
      </c>
      <c r="I16" s="27">
        <f t="shared" si="1"/>
        <v>6</v>
      </c>
      <c r="J16" s="28">
        <f t="shared" si="1"/>
        <v>17</v>
      </c>
    </row>
    <row r="17" spans="1:5" x14ac:dyDescent="0.3">
      <c r="A17" s="17" t="s">
        <v>1</v>
      </c>
      <c r="B17" s="17" t="s">
        <v>176</v>
      </c>
      <c r="C17" s="17">
        <v>5</v>
      </c>
      <c r="D17" s="17">
        <v>5</v>
      </c>
      <c r="E17" s="17">
        <v>6</v>
      </c>
    </row>
    <row r="18" spans="1:5" x14ac:dyDescent="0.3">
      <c r="A18" s="17" t="s">
        <v>1</v>
      </c>
      <c r="B18" s="17" t="s">
        <v>662</v>
      </c>
      <c r="C18" s="17">
        <v>8</v>
      </c>
      <c r="D18" s="17">
        <v>5</v>
      </c>
      <c r="E18" s="17">
        <v>6</v>
      </c>
    </row>
    <row r="19" spans="1:5" x14ac:dyDescent="0.3">
      <c r="A19" s="17" t="s">
        <v>1</v>
      </c>
      <c r="B19" s="17" t="s">
        <v>36</v>
      </c>
      <c r="C19" s="17">
        <v>7</v>
      </c>
      <c r="D19" s="17">
        <v>4</v>
      </c>
      <c r="E19" s="17">
        <v>7</v>
      </c>
    </row>
    <row r="20" spans="1:5" x14ac:dyDescent="0.3">
      <c r="A20" s="17" t="s">
        <v>1</v>
      </c>
      <c r="B20" s="17" t="s">
        <v>85</v>
      </c>
      <c r="C20" s="17">
        <v>5</v>
      </c>
      <c r="D20" s="17">
        <v>4</v>
      </c>
      <c r="E20" s="17">
        <v>8</v>
      </c>
    </row>
    <row r="21" spans="1:5" x14ac:dyDescent="0.3">
      <c r="A21" s="17" t="s">
        <v>1</v>
      </c>
      <c r="B21" s="17" t="s">
        <v>155</v>
      </c>
      <c r="C21" s="17">
        <v>6</v>
      </c>
      <c r="D21" s="17">
        <v>4</v>
      </c>
      <c r="E21" s="17">
        <v>9</v>
      </c>
    </row>
    <row r="22" spans="1:5" x14ac:dyDescent="0.3">
      <c r="A22" s="17" t="s">
        <v>1</v>
      </c>
      <c r="B22" s="17" t="s">
        <v>1927</v>
      </c>
      <c r="C22" s="17">
        <v>5</v>
      </c>
      <c r="D22" s="17">
        <v>4</v>
      </c>
      <c r="E22" s="17">
        <v>5</v>
      </c>
    </row>
    <row r="23" spans="1:5" x14ac:dyDescent="0.3">
      <c r="A23" s="17" t="s">
        <v>1</v>
      </c>
      <c r="B23" s="17" t="s">
        <v>200</v>
      </c>
      <c r="C23" s="17">
        <v>4</v>
      </c>
      <c r="D23" s="17">
        <v>4</v>
      </c>
      <c r="E23" s="17">
        <v>4</v>
      </c>
    </row>
    <row r="24" spans="1:5" x14ac:dyDescent="0.3">
      <c r="A24" s="17" t="s">
        <v>1</v>
      </c>
      <c r="B24" s="17" t="s">
        <v>31</v>
      </c>
      <c r="C24" s="17">
        <v>4</v>
      </c>
      <c r="D24" s="17">
        <v>4</v>
      </c>
      <c r="E24" s="17">
        <v>4</v>
      </c>
    </row>
    <row r="25" spans="1:5" x14ac:dyDescent="0.3">
      <c r="A25" s="17" t="s">
        <v>1</v>
      </c>
      <c r="B25" s="17" t="s">
        <v>1024</v>
      </c>
      <c r="C25" s="17">
        <v>5</v>
      </c>
      <c r="D25" s="17">
        <v>4</v>
      </c>
      <c r="E25" s="17">
        <v>6</v>
      </c>
    </row>
    <row r="26" spans="1:5" x14ac:dyDescent="0.3">
      <c r="A26" s="17" t="s">
        <v>1</v>
      </c>
      <c r="B26" s="17" t="s">
        <v>376</v>
      </c>
      <c r="C26" s="17">
        <v>5</v>
      </c>
      <c r="D26" s="17">
        <v>4</v>
      </c>
      <c r="E26" s="17">
        <v>10</v>
      </c>
    </row>
    <row r="27" spans="1:5" x14ac:dyDescent="0.3">
      <c r="A27" s="17" t="s">
        <v>1</v>
      </c>
      <c r="B27" s="17" t="s">
        <v>32</v>
      </c>
      <c r="C27" s="17">
        <v>15</v>
      </c>
      <c r="D27" s="17">
        <v>4</v>
      </c>
      <c r="E27" s="17">
        <v>22</v>
      </c>
    </row>
    <row r="28" spans="1:5" x14ac:dyDescent="0.3">
      <c r="A28" s="17" t="s">
        <v>0</v>
      </c>
      <c r="B28" s="17" t="s">
        <v>34</v>
      </c>
      <c r="C28" s="17">
        <v>6</v>
      </c>
      <c r="D28" s="17">
        <v>4</v>
      </c>
      <c r="E28" s="17">
        <v>6</v>
      </c>
    </row>
    <row r="29" spans="1:5" x14ac:dyDescent="0.3">
      <c r="A29" s="17" t="s">
        <v>0</v>
      </c>
      <c r="B29" s="17" t="s">
        <v>155</v>
      </c>
      <c r="C29" s="17">
        <v>4</v>
      </c>
      <c r="D29" s="17">
        <v>4</v>
      </c>
      <c r="E29" s="17">
        <v>4</v>
      </c>
    </row>
    <row r="30" spans="1:5" x14ac:dyDescent="0.3">
      <c r="A30" s="17" t="s">
        <v>0</v>
      </c>
      <c r="B30" s="17" t="s">
        <v>365</v>
      </c>
      <c r="C30" s="17">
        <v>4</v>
      </c>
      <c r="D30" s="17">
        <v>4</v>
      </c>
      <c r="E30" s="17">
        <v>5</v>
      </c>
    </row>
    <row r="31" spans="1:5" x14ac:dyDescent="0.3">
      <c r="A31" s="17" t="s">
        <v>0</v>
      </c>
      <c r="B31" s="17" t="s">
        <v>122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88</v>
      </c>
      <c r="C32" s="17">
        <v>5</v>
      </c>
      <c r="D32" s="17">
        <v>3</v>
      </c>
      <c r="E32" s="17">
        <v>5</v>
      </c>
    </row>
    <row r="33" spans="1:5" x14ac:dyDescent="0.3">
      <c r="A33" s="17" t="s">
        <v>1</v>
      </c>
      <c r="B33" s="17" t="s">
        <v>41</v>
      </c>
      <c r="C33" s="17">
        <v>4</v>
      </c>
      <c r="D33" s="17">
        <v>3</v>
      </c>
      <c r="E33" s="17">
        <v>4</v>
      </c>
    </row>
    <row r="34" spans="1:5" x14ac:dyDescent="0.3">
      <c r="A34" s="17" t="s">
        <v>1</v>
      </c>
      <c r="B34" s="17" t="s">
        <v>61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1946</v>
      </c>
      <c r="C35" s="17">
        <v>6</v>
      </c>
      <c r="D35" s="17">
        <v>3</v>
      </c>
      <c r="E35" s="17">
        <v>6</v>
      </c>
    </row>
    <row r="36" spans="1:5" x14ac:dyDescent="0.3">
      <c r="A36" s="17" t="s">
        <v>1</v>
      </c>
      <c r="B36" s="17" t="s">
        <v>2428</v>
      </c>
      <c r="C36" s="17">
        <v>5</v>
      </c>
      <c r="D36" s="17">
        <v>3</v>
      </c>
      <c r="E36" s="17">
        <v>6</v>
      </c>
    </row>
    <row r="37" spans="1:5" x14ac:dyDescent="0.3">
      <c r="A37" s="17" t="s">
        <v>1</v>
      </c>
      <c r="B37" s="17" t="s">
        <v>2572</v>
      </c>
      <c r="C37" s="17">
        <v>5</v>
      </c>
      <c r="D37" s="17">
        <v>3</v>
      </c>
      <c r="E37" s="17">
        <v>5</v>
      </c>
    </row>
    <row r="38" spans="1:5" x14ac:dyDescent="0.3">
      <c r="A38" s="17" t="s">
        <v>1</v>
      </c>
      <c r="B38" s="17" t="s">
        <v>526</v>
      </c>
      <c r="C38" s="17">
        <v>5</v>
      </c>
      <c r="D38" s="17">
        <v>3</v>
      </c>
      <c r="E38" s="17">
        <v>5</v>
      </c>
    </row>
    <row r="39" spans="1:5" x14ac:dyDescent="0.3">
      <c r="A39" s="17" t="s">
        <v>1</v>
      </c>
      <c r="B39" s="17" t="s">
        <v>1479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111</v>
      </c>
      <c r="C40" s="17">
        <v>4</v>
      </c>
      <c r="D40" s="17">
        <v>3</v>
      </c>
      <c r="E40" s="17">
        <v>4</v>
      </c>
    </row>
    <row r="41" spans="1:5" x14ac:dyDescent="0.3">
      <c r="A41" s="17" t="s">
        <v>1</v>
      </c>
      <c r="B41" s="17" t="s">
        <v>289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194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39</v>
      </c>
      <c r="C43" s="17">
        <v>19</v>
      </c>
      <c r="D43" s="17">
        <v>3</v>
      </c>
      <c r="E43" s="17">
        <v>33</v>
      </c>
    </row>
    <row r="44" spans="1:5" x14ac:dyDescent="0.3">
      <c r="A44" s="17" t="s">
        <v>1</v>
      </c>
      <c r="B44" s="17" t="s">
        <v>56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1519</v>
      </c>
      <c r="C45" s="17">
        <v>3</v>
      </c>
      <c r="D45" s="17">
        <v>4</v>
      </c>
      <c r="E45" s="17"/>
    </row>
    <row r="46" spans="1:5" x14ac:dyDescent="0.3">
      <c r="A46" s="17" t="s">
        <v>0</v>
      </c>
      <c r="B46" s="17" t="s">
        <v>149</v>
      </c>
      <c r="C46" s="17">
        <v>3</v>
      </c>
      <c r="D46" s="17">
        <v>3</v>
      </c>
      <c r="E46" s="17">
        <v>3</v>
      </c>
    </row>
    <row r="47" spans="1:5" x14ac:dyDescent="0.3">
      <c r="A47" s="17" t="s">
        <v>0</v>
      </c>
      <c r="B47" s="17" t="s">
        <v>93</v>
      </c>
      <c r="C47" s="17">
        <v>3</v>
      </c>
      <c r="D47" s="17">
        <v>3</v>
      </c>
      <c r="E47" s="17">
        <v>4</v>
      </c>
    </row>
    <row r="48" spans="1:5" x14ac:dyDescent="0.3">
      <c r="A48" s="17" t="s">
        <v>0</v>
      </c>
      <c r="B48" s="17" t="s">
        <v>2572</v>
      </c>
      <c r="C48" s="17">
        <v>3</v>
      </c>
      <c r="D48" s="17">
        <v>3</v>
      </c>
      <c r="E48" s="17">
        <v>3</v>
      </c>
    </row>
    <row r="49" spans="1:5" x14ac:dyDescent="0.3">
      <c r="A49" s="17" t="s">
        <v>0</v>
      </c>
      <c r="B49" s="17" t="s">
        <v>1128</v>
      </c>
      <c r="C49" s="17">
        <v>3</v>
      </c>
      <c r="D49" s="17">
        <v>3</v>
      </c>
      <c r="E49" s="17">
        <v>3</v>
      </c>
    </row>
    <row r="50" spans="1:5" x14ac:dyDescent="0.3">
      <c r="A50" s="17" t="s">
        <v>0</v>
      </c>
      <c r="B50" s="17" t="s">
        <v>291</v>
      </c>
      <c r="C50" s="17">
        <v>3</v>
      </c>
      <c r="D50" s="17">
        <v>3</v>
      </c>
      <c r="E50" s="17">
        <v>3</v>
      </c>
    </row>
    <row r="51" spans="1:5" x14ac:dyDescent="0.3">
      <c r="A51" s="17" t="s">
        <v>0</v>
      </c>
      <c r="B51" s="17" t="s">
        <v>3449</v>
      </c>
      <c r="C51" s="17">
        <v>4</v>
      </c>
      <c r="D51" s="17">
        <v>3</v>
      </c>
      <c r="E51" s="17">
        <v>7</v>
      </c>
    </row>
    <row r="52" spans="1:5" x14ac:dyDescent="0.3">
      <c r="A52" s="17" t="s">
        <v>0</v>
      </c>
      <c r="B52" s="17" t="s">
        <v>128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203</v>
      </c>
      <c r="C53" s="17">
        <v>3</v>
      </c>
      <c r="D53" s="17">
        <v>2</v>
      </c>
      <c r="E53" s="17">
        <v>3</v>
      </c>
    </row>
    <row r="54" spans="1:5" x14ac:dyDescent="0.3">
      <c r="A54" s="17" t="s">
        <v>1</v>
      </c>
      <c r="B54" s="17" t="s">
        <v>73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144</v>
      </c>
      <c r="C55" s="17">
        <v>3</v>
      </c>
      <c r="D55" s="17">
        <v>2</v>
      </c>
      <c r="E55" s="17">
        <v>3</v>
      </c>
    </row>
    <row r="56" spans="1:5" x14ac:dyDescent="0.3">
      <c r="A56" s="17" t="s">
        <v>1</v>
      </c>
      <c r="B56" s="17" t="s">
        <v>433</v>
      </c>
      <c r="C56" s="17">
        <v>3</v>
      </c>
      <c r="D56" s="17">
        <v>2</v>
      </c>
      <c r="E56" s="17">
        <v>3</v>
      </c>
    </row>
    <row r="57" spans="1:5" x14ac:dyDescent="0.3">
      <c r="A57" s="17" t="s">
        <v>1</v>
      </c>
      <c r="B57" s="17" t="s">
        <v>79</v>
      </c>
      <c r="C57" s="17">
        <v>2</v>
      </c>
      <c r="D57" s="17">
        <v>2</v>
      </c>
      <c r="E57" s="17">
        <v>3</v>
      </c>
    </row>
    <row r="58" spans="1:5" x14ac:dyDescent="0.3">
      <c r="A58" s="17" t="s">
        <v>1</v>
      </c>
      <c r="B58" s="17" t="s">
        <v>34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83</v>
      </c>
      <c r="C59" s="17">
        <v>3</v>
      </c>
      <c r="D59" s="17">
        <v>2</v>
      </c>
      <c r="E59" s="17">
        <v>3</v>
      </c>
    </row>
    <row r="60" spans="1:5" x14ac:dyDescent="0.3">
      <c r="A60" s="17" t="s">
        <v>1</v>
      </c>
      <c r="B60" s="17" t="s">
        <v>151</v>
      </c>
      <c r="C60" s="17">
        <v>5</v>
      </c>
      <c r="D60" s="17">
        <v>2</v>
      </c>
      <c r="E60" s="17">
        <v>4</v>
      </c>
    </row>
    <row r="61" spans="1:5" x14ac:dyDescent="0.3">
      <c r="A61" s="17" t="s">
        <v>1</v>
      </c>
      <c r="B61" s="17" t="s">
        <v>152</v>
      </c>
      <c r="C61" s="17">
        <v>5</v>
      </c>
      <c r="D61" s="17">
        <v>2</v>
      </c>
      <c r="E61" s="17">
        <v>5</v>
      </c>
    </row>
    <row r="62" spans="1:5" x14ac:dyDescent="0.3">
      <c r="A62" s="17" t="s">
        <v>1</v>
      </c>
      <c r="B62" s="17" t="s">
        <v>1854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2075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2692</v>
      </c>
      <c r="C64" s="17">
        <v>13</v>
      </c>
      <c r="D64" s="17">
        <v>2</v>
      </c>
      <c r="E64" s="17">
        <v>15</v>
      </c>
    </row>
    <row r="65" spans="1:5" x14ac:dyDescent="0.3">
      <c r="A65" s="17" t="s">
        <v>1</v>
      </c>
      <c r="B65" s="17" t="s">
        <v>3397</v>
      </c>
      <c r="C65" s="17">
        <v>8</v>
      </c>
      <c r="D65" s="17">
        <v>2</v>
      </c>
      <c r="E65" s="17">
        <v>8</v>
      </c>
    </row>
    <row r="66" spans="1:5" x14ac:dyDescent="0.3">
      <c r="A66" s="17" t="s">
        <v>1</v>
      </c>
      <c r="B66" s="17" t="s">
        <v>525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586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1105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996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103</v>
      </c>
      <c r="C70" s="17">
        <v>4</v>
      </c>
      <c r="D70" s="17">
        <v>2</v>
      </c>
      <c r="E70" s="17">
        <v>4</v>
      </c>
    </row>
    <row r="71" spans="1:5" x14ac:dyDescent="0.3">
      <c r="A71" s="17" t="s">
        <v>1</v>
      </c>
      <c r="B71" s="17" t="s">
        <v>107</v>
      </c>
      <c r="C71" s="17">
        <v>2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199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110</v>
      </c>
      <c r="C73" s="17">
        <v>2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407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649</v>
      </c>
      <c r="C75" s="17">
        <v>3</v>
      </c>
      <c r="D75" s="17">
        <v>2</v>
      </c>
      <c r="E75" s="17">
        <v>5</v>
      </c>
    </row>
    <row r="76" spans="1:5" x14ac:dyDescent="0.3">
      <c r="A76" s="17" t="s">
        <v>1</v>
      </c>
      <c r="B76" s="17" t="s">
        <v>291</v>
      </c>
      <c r="C76" s="17">
        <v>4</v>
      </c>
      <c r="D76" s="17">
        <v>2</v>
      </c>
      <c r="E76" s="17">
        <v>4</v>
      </c>
    </row>
    <row r="77" spans="1:5" x14ac:dyDescent="0.3">
      <c r="A77" s="17" t="s">
        <v>1</v>
      </c>
      <c r="B77" s="17" t="s">
        <v>115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330</v>
      </c>
      <c r="C78" s="17">
        <v>3</v>
      </c>
      <c r="D78" s="17">
        <v>2</v>
      </c>
      <c r="E78" s="17">
        <v>4</v>
      </c>
    </row>
    <row r="79" spans="1:5" x14ac:dyDescent="0.3">
      <c r="A79" s="17" t="s">
        <v>1</v>
      </c>
      <c r="B79" s="17" t="s">
        <v>445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1187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886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663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695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63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126</v>
      </c>
      <c r="C85" s="17">
        <v>2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52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38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192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135</v>
      </c>
      <c r="C89" s="17">
        <v>3</v>
      </c>
      <c r="D89" s="17">
        <v>2</v>
      </c>
      <c r="E89" s="17">
        <v>5</v>
      </c>
    </row>
    <row r="90" spans="1:5" x14ac:dyDescent="0.3">
      <c r="A90" s="17" t="s">
        <v>1</v>
      </c>
      <c r="B90" s="17" t="s">
        <v>54</v>
      </c>
      <c r="C90" s="17">
        <v>10</v>
      </c>
      <c r="D90" s="17">
        <v>2</v>
      </c>
      <c r="E90" s="17">
        <v>15</v>
      </c>
    </row>
    <row r="91" spans="1:5" x14ac:dyDescent="0.3">
      <c r="A91" s="17" t="s">
        <v>0</v>
      </c>
      <c r="B91" s="17" t="s">
        <v>30</v>
      </c>
      <c r="C91" s="17">
        <v>8</v>
      </c>
      <c r="D91" s="17">
        <v>2</v>
      </c>
      <c r="E91" s="17">
        <v>12</v>
      </c>
    </row>
    <row r="92" spans="1:5" x14ac:dyDescent="0.3">
      <c r="A92" s="17" t="s">
        <v>0</v>
      </c>
      <c r="B92" s="17" t="s">
        <v>36</v>
      </c>
      <c r="C92" s="17">
        <v>2</v>
      </c>
      <c r="D92" s="17">
        <v>2</v>
      </c>
      <c r="E92" s="17">
        <v>2</v>
      </c>
    </row>
    <row r="93" spans="1:5" x14ac:dyDescent="0.3">
      <c r="A93" s="17" t="s">
        <v>0</v>
      </c>
      <c r="B93" s="17" t="s">
        <v>490</v>
      </c>
      <c r="C93" s="17">
        <v>2</v>
      </c>
      <c r="D93" s="17">
        <v>2</v>
      </c>
      <c r="E93" s="17">
        <v>2</v>
      </c>
    </row>
    <row r="94" spans="1:5" x14ac:dyDescent="0.3">
      <c r="A94" s="17" t="s">
        <v>0</v>
      </c>
      <c r="B94" s="17" t="s">
        <v>277</v>
      </c>
      <c r="C94" s="17">
        <v>2</v>
      </c>
      <c r="D94" s="17">
        <v>2</v>
      </c>
      <c r="E94" s="17">
        <v>2</v>
      </c>
    </row>
    <row r="95" spans="1:5" x14ac:dyDescent="0.3">
      <c r="A95" s="17" t="s">
        <v>0</v>
      </c>
      <c r="B95" s="17" t="s">
        <v>41</v>
      </c>
      <c r="C95" s="17">
        <v>2</v>
      </c>
      <c r="D95" s="17">
        <v>2</v>
      </c>
      <c r="E95" s="17">
        <v>2</v>
      </c>
    </row>
    <row r="96" spans="1:5" x14ac:dyDescent="0.3">
      <c r="A96" s="17" t="s">
        <v>0</v>
      </c>
      <c r="B96" s="17" t="s">
        <v>2075</v>
      </c>
      <c r="C96" s="17">
        <v>2</v>
      </c>
      <c r="D96" s="17">
        <v>2</v>
      </c>
      <c r="E96" s="17">
        <v>2</v>
      </c>
    </row>
    <row r="97" spans="1:5" x14ac:dyDescent="0.3">
      <c r="A97" s="17" t="s">
        <v>0</v>
      </c>
      <c r="B97" s="17" t="s">
        <v>2692</v>
      </c>
      <c r="C97" s="17">
        <v>2</v>
      </c>
      <c r="D97" s="17">
        <v>2</v>
      </c>
      <c r="E97" s="17">
        <v>2</v>
      </c>
    </row>
    <row r="98" spans="1:5" x14ac:dyDescent="0.3">
      <c r="A98" s="17" t="s">
        <v>0</v>
      </c>
      <c r="B98" s="17" t="s">
        <v>3443</v>
      </c>
      <c r="C98" s="17">
        <v>3</v>
      </c>
      <c r="D98" s="17">
        <v>2</v>
      </c>
      <c r="E98" s="17">
        <v>3</v>
      </c>
    </row>
    <row r="99" spans="1:5" x14ac:dyDescent="0.3">
      <c r="A99" s="17" t="s">
        <v>0</v>
      </c>
      <c r="B99" s="17" t="s">
        <v>439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49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526</v>
      </c>
      <c r="C101" s="17">
        <v>3</v>
      </c>
      <c r="D101" s="17">
        <v>2</v>
      </c>
      <c r="E101" s="17">
        <v>3</v>
      </c>
    </row>
    <row r="102" spans="1:5" x14ac:dyDescent="0.3">
      <c r="A102" s="17" t="s">
        <v>0</v>
      </c>
      <c r="B102" s="17" t="s">
        <v>492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1105</v>
      </c>
      <c r="C103" s="17">
        <v>2</v>
      </c>
      <c r="D103" s="17">
        <v>2</v>
      </c>
      <c r="E103" s="17">
        <v>3</v>
      </c>
    </row>
    <row r="104" spans="1:5" x14ac:dyDescent="0.3">
      <c r="A104" s="17" t="s">
        <v>0</v>
      </c>
      <c r="B104" s="17" t="s">
        <v>103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168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51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0</v>
      </c>
      <c r="B107" s="17" t="s">
        <v>62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37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346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305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67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2</v>
      </c>
      <c r="B112" s="17" t="s">
        <v>365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489</v>
      </c>
      <c r="C113" s="17">
        <v>1</v>
      </c>
      <c r="D113" s="17">
        <v>1</v>
      </c>
      <c r="E113" s="17">
        <v>5</v>
      </c>
    </row>
    <row r="114" spans="1:5" x14ac:dyDescent="0.3">
      <c r="A114" s="17" t="s">
        <v>1</v>
      </c>
      <c r="B114" s="17" t="s">
        <v>1488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1032</v>
      </c>
      <c r="C115" s="17">
        <v>2</v>
      </c>
      <c r="D115" s="17">
        <v>1</v>
      </c>
      <c r="E115" s="17">
        <v>2</v>
      </c>
    </row>
    <row r="116" spans="1:5" x14ac:dyDescent="0.3">
      <c r="A116" s="17" t="s">
        <v>1</v>
      </c>
      <c r="B116" s="17" t="s">
        <v>243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609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3461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1249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141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142</v>
      </c>
      <c r="C121" s="17">
        <v>2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986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611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764</v>
      </c>
      <c r="C124" s="17">
        <v>2</v>
      </c>
      <c r="D124" s="17">
        <v>1</v>
      </c>
      <c r="E124" s="17">
        <v>2</v>
      </c>
    </row>
    <row r="125" spans="1:5" x14ac:dyDescent="0.3">
      <c r="A125" s="17" t="s">
        <v>1</v>
      </c>
      <c r="B125" s="17" t="s">
        <v>1413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581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3462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33</v>
      </c>
      <c r="C128" s="17">
        <v>4</v>
      </c>
      <c r="D128" s="17">
        <v>1</v>
      </c>
      <c r="E128" s="17">
        <v>5</v>
      </c>
    </row>
    <row r="129" spans="1:5" x14ac:dyDescent="0.3">
      <c r="A129" s="17" t="s">
        <v>1</v>
      </c>
      <c r="B129" s="17" t="s">
        <v>393</v>
      </c>
      <c r="C129" s="17">
        <v>2</v>
      </c>
      <c r="D129" s="17">
        <v>1</v>
      </c>
      <c r="E129" s="17">
        <v>2</v>
      </c>
    </row>
    <row r="130" spans="1:5" x14ac:dyDescent="0.3">
      <c r="A130" s="17" t="s">
        <v>1</v>
      </c>
      <c r="B130" s="17" t="s">
        <v>272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460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76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1471</v>
      </c>
      <c r="C133" s="17">
        <v>1</v>
      </c>
      <c r="D133" s="17">
        <v>1</v>
      </c>
      <c r="E133" s="17">
        <v>2</v>
      </c>
    </row>
    <row r="134" spans="1:5" x14ac:dyDescent="0.3">
      <c r="A134" s="17" t="s">
        <v>1</v>
      </c>
      <c r="B134" s="17" t="s">
        <v>394</v>
      </c>
      <c r="C134" s="17">
        <v>2</v>
      </c>
      <c r="D134" s="17">
        <v>1</v>
      </c>
      <c r="E134" s="17">
        <v>2</v>
      </c>
    </row>
    <row r="135" spans="1:5" x14ac:dyDescent="0.3">
      <c r="A135" s="17" t="s">
        <v>1</v>
      </c>
      <c r="B135" s="17" t="s">
        <v>273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1254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3041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515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147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356</v>
      </c>
      <c r="C140" s="17">
        <v>2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276</v>
      </c>
      <c r="C141" s="17">
        <v>2</v>
      </c>
      <c r="D141" s="17">
        <v>1</v>
      </c>
      <c r="E141" s="17">
        <v>2</v>
      </c>
    </row>
    <row r="142" spans="1:5" x14ac:dyDescent="0.3">
      <c r="A142" s="17" t="s">
        <v>1</v>
      </c>
      <c r="B142" s="17" t="s">
        <v>517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906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211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933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80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1405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1052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82</v>
      </c>
      <c r="C149" s="17">
        <v>2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1314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278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1702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861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908</v>
      </c>
      <c r="C154" s="17">
        <v>2</v>
      </c>
      <c r="D154" s="17">
        <v>1</v>
      </c>
      <c r="E154" s="17">
        <v>4</v>
      </c>
    </row>
    <row r="155" spans="1:5" x14ac:dyDescent="0.3">
      <c r="A155" s="17" t="s">
        <v>1</v>
      </c>
      <c r="B155" s="17" t="s">
        <v>213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315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215</v>
      </c>
      <c r="C157" s="17">
        <v>1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148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519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398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280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1316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766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87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89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219</v>
      </c>
      <c r="C166" s="17">
        <v>1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248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281</v>
      </c>
      <c r="C168" s="17">
        <v>3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221</v>
      </c>
      <c r="C169" s="17">
        <v>1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154</v>
      </c>
      <c r="C170" s="17">
        <v>3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364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156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60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95</v>
      </c>
      <c r="C174" s="17">
        <v>3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487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1646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1673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1661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1711</v>
      </c>
      <c r="C179" s="17">
        <v>2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1775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1906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2329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2493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2469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2399</v>
      </c>
      <c r="C185" s="17">
        <v>4</v>
      </c>
      <c r="D185" s="17">
        <v>1</v>
      </c>
      <c r="E185" s="17">
        <v>4</v>
      </c>
    </row>
    <row r="186" spans="1:5" x14ac:dyDescent="0.3">
      <c r="A186" s="17" t="s">
        <v>1</v>
      </c>
      <c r="B186" s="17" t="s">
        <v>2429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2397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2599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2705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3328</v>
      </c>
      <c r="C190" s="17">
        <v>5</v>
      </c>
      <c r="D190" s="17">
        <v>1</v>
      </c>
      <c r="E190" s="17">
        <v>6</v>
      </c>
    </row>
    <row r="191" spans="1:5" x14ac:dyDescent="0.3">
      <c r="A191" s="17" t="s">
        <v>1</v>
      </c>
      <c r="B191" s="17" t="s">
        <v>3382</v>
      </c>
      <c r="C191" s="17">
        <v>7</v>
      </c>
      <c r="D191" s="17">
        <v>1</v>
      </c>
      <c r="E191" s="17">
        <v>8</v>
      </c>
    </row>
    <row r="192" spans="1:5" x14ac:dyDescent="0.3">
      <c r="A192" s="17" t="s">
        <v>1</v>
      </c>
      <c r="B192" s="17" t="s">
        <v>282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713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1167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159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318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1428</v>
      </c>
      <c r="C197" s="17">
        <v>1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993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492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527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100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715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265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994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160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403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1713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995</v>
      </c>
      <c r="C208" s="17">
        <v>2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1625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1036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352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285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1194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771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106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405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2826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1919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1182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1222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2076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3463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1130</v>
      </c>
      <c r="C223" s="17">
        <v>1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168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108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442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1261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1443</v>
      </c>
      <c r="C228" s="17">
        <v>1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109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647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1551</v>
      </c>
      <c r="C231" s="17">
        <v>1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169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50</v>
      </c>
      <c r="C233" s="17">
        <v>2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171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173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113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1570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409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1464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2216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534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2252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1756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3464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326</v>
      </c>
      <c r="C245" s="17">
        <v>3</v>
      </c>
      <c r="D245" s="17">
        <v>1</v>
      </c>
      <c r="E245" s="17">
        <v>3</v>
      </c>
    </row>
    <row r="246" spans="1:5" x14ac:dyDescent="0.3">
      <c r="A246" s="17" t="s">
        <v>1</v>
      </c>
      <c r="B246" s="17" t="s">
        <v>1526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1798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539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881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3465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369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597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776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1726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728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1230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413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607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371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1590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3466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809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415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659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1608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814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340</v>
      </c>
      <c r="C267" s="17">
        <v>2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495</v>
      </c>
      <c r="C268" s="17">
        <v>3</v>
      </c>
      <c r="D268" s="17">
        <v>1</v>
      </c>
      <c r="E268" s="17">
        <v>3</v>
      </c>
    </row>
    <row r="269" spans="1:5" x14ac:dyDescent="0.3">
      <c r="A269" s="17" t="s">
        <v>1</v>
      </c>
      <c r="B269" s="17" t="s">
        <v>1352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1264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956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1095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735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3467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343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1872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123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124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125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1435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1014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179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418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419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1324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3468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1831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1658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1179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1212</v>
      </c>
      <c r="C290" s="17">
        <v>1</v>
      </c>
      <c r="D290" s="17">
        <v>1</v>
      </c>
      <c r="E290" s="17">
        <v>2</v>
      </c>
    </row>
    <row r="291" spans="1:5" x14ac:dyDescent="0.3">
      <c r="A291" s="17" t="s">
        <v>1</v>
      </c>
      <c r="B291" s="17" t="s">
        <v>1895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421</v>
      </c>
      <c r="C292" s="17">
        <v>2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1399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1938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2626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426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1993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2079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183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918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428</v>
      </c>
      <c r="C301" s="17">
        <v>1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699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262</v>
      </c>
      <c r="C303" s="17">
        <v>2</v>
      </c>
      <c r="D303" s="17">
        <v>1</v>
      </c>
      <c r="E303" s="17">
        <v>2</v>
      </c>
    </row>
    <row r="304" spans="1:5" x14ac:dyDescent="0.3">
      <c r="A304" s="17" t="s">
        <v>1</v>
      </c>
      <c r="B304" s="17" t="s">
        <v>822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129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496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2148</v>
      </c>
      <c r="C307" s="17">
        <v>2</v>
      </c>
      <c r="D307" s="17">
        <v>1</v>
      </c>
      <c r="E307" s="17">
        <v>3</v>
      </c>
    </row>
    <row r="308" spans="1:5" x14ac:dyDescent="0.3">
      <c r="A308" s="17" t="s">
        <v>1</v>
      </c>
      <c r="B308" s="17" t="s">
        <v>3469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1577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668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430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133</v>
      </c>
      <c r="C312" s="17">
        <v>2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453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1237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1083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565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305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1327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842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567</v>
      </c>
      <c r="C320" s="17">
        <v>1</v>
      </c>
      <c r="D320" s="17">
        <v>1</v>
      </c>
      <c r="E320" s="17">
        <v>2</v>
      </c>
    </row>
    <row r="321" spans="1:5" x14ac:dyDescent="0.3">
      <c r="A321" s="17" t="s">
        <v>1</v>
      </c>
      <c r="B321" s="17" t="s">
        <v>500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306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137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195</v>
      </c>
      <c r="C324" s="17">
        <v>7</v>
      </c>
      <c r="D324" s="17">
        <v>1</v>
      </c>
      <c r="E324" s="17">
        <v>9</v>
      </c>
    </row>
    <row r="325" spans="1:5" x14ac:dyDescent="0.3">
      <c r="A325" s="17" t="s">
        <v>1</v>
      </c>
      <c r="B325" s="17" t="s">
        <v>67</v>
      </c>
      <c r="C325" s="17">
        <v>3</v>
      </c>
      <c r="D325" s="17">
        <v>1</v>
      </c>
      <c r="E325" s="17">
        <v>4</v>
      </c>
    </row>
    <row r="326" spans="1:5" x14ac:dyDescent="0.3">
      <c r="A326" s="17" t="s">
        <v>1</v>
      </c>
      <c r="B326" s="17" t="s">
        <v>55</v>
      </c>
      <c r="C326" s="17">
        <v>8</v>
      </c>
      <c r="D326" s="17">
        <v>1</v>
      </c>
      <c r="E326" s="17">
        <v>11</v>
      </c>
    </row>
    <row r="327" spans="1:5" x14ac:dyDescent="0.3">
      <c r="A327" s="17" t="s">
        <v>1</v>
      </c>
      <c r="B327" s="17" t="s">
        <v>1201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2155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2298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197</v>
      </c>
      <c r="C330" s="17">
        <v>2</v>
      </c>
      <c r="D330" s="17">
        <v>1</v>
      </c>
      <c r="E330" s="17">
        <v>4</v>
      </c>
    </row>
    <row r="331" spans="1:5" x14ac:dyDescent="0.3">
      <c r="A331" s="17" t="s">
        <v>1</v>
      </c>
      <c r="B331" s="17" t="s">
        <v>1357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266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3470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1500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2280</v>
      </c>
      <c r="C335" s="17">
        <v>1</v>
      </c>
      <c r="D335" s="17">
        <v>1</v>
      </c>
      <c r="E335" s="17"/>
    </row>
    <row r="336" spans="1:5" x14ac:dyDescent="0.3">
      <c r="A336" s="17" t="s">
        <v>1</v>
      </c>
      <c r="B336" s="17" t="s">
        <v>139</v>
      </c>
      <c r="C336" s="17">
        <v>1</v>
      </c>
      <c r="D336" s="17">
        <v>1</v>
      </c>
      <c r="E336" s="17"/>
    </row>
    <row r="337" spans="1:5" x14ac:dyDescent="0.3">
      <c r="A337" s="17" t="s">
        <v>1</v>
      </c>
      <c r="B337" s="17" t="s">
        <v>1769</v>
      </c>
      <c r="C337" s="17">
        <v>1</v>
      </c>
      <c r="D337" s="17">
        <v>2</v>
      </c>
      <c r="E337" s="17"/>
    </row>
    <row r="338" spans="1:5" x14ac:dyDescent="0.3">
      <c r="A338" s="17" t="s">
        <v>1</v>
      </c>
      <c r="B338" s="17" t="s">
        <v>1481</v>
      </c>
      <c r="C338" s="17">
        <v>1</v>
      </c>
      <c r="D338" s="17">
        <v>1</v>
      </c>
      <c r="E338" s="17"/>
    </row>
    <row r="339" spans="1:5" x14ac:dyDescent="0.3">
      <c r="A339" s="17" t="s">
        <v>1</v>
      </c>
      <c r="B339" s="17" t="s">
        <v>3471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1544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1030</v>
      </c>
      <c r="C341" s="17">
        <v>1</v>
      </c>
      <c r="D341" s="17">
        <v>1</v>
      </c>
      <c r="E341" s="17"/>
    </row>
    <row r="342" spans="1:5" x14ac:dyDescent="0.3">
      <c r="A342" s="17" t="s">
        <v>1</v>
      </c>
      <c r="B342" s="17" t="s">
        <v>2073</v>
      </c>
      <c r="C342" s="17">
        <v>1</v>
      </c>
      <c r="D342" s="17">
        <v>3</v>
      </c>
      <c r="E342" s="17"/>
    </row>
    <row r="343" spans="1:5" x14ac:dyDescent="0.3">
      <c r="A343" s="17" t="s">
        <v>1</v>
      </c>
      <c r="B343" s="17" t="s">
        <v>1213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3472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1268</v>
      </c>
      <c r="C345" s="17">
        <v>1</v>
      </c>
      <c r="D345" s="17">
        <v>1</v>
      </c>
      <c r="E345" s="17">
        <v>2</v>
      </c>
    </row>
    <row r="346" spans="1:5" x14ac:dyDescent="0.3">
      <c r="A346" s="17" t="s">
        <v>0</v>
      </c>
      <c r="B346" s="17" t="s">
        <v>384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459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930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78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515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517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211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1656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314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1702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267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315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398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1090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89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248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281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95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61</v>
      </c>
      <c r="C364" s="17">
        <v>2</v>
      </c>
      <c r="D364" s="17">
        <v>1</v>
      </c>
      <c r="E364" s="17">
        <v>3</v>
      </c>
    </row>
    <row r="365" spans="1:5" x14ac:dyDescent="0.3">
      <c r="A365" s="17" t="s">
        <v>0</v>
      </c>
      <c r="B365" s="17" t="s">
        <v>96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686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909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1581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1660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1897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1911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1912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2396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2616</v>
      </c>
      <c r="C374" s="17">
        <v>1</v>
      </c>
      <c r="D374" s="17">
        <v>1</v>
      </c>
      <c r="E374" s="17">
        <v>2</v>
      </c>
    </row>
    <row r="375" spans="1:5" x14ac:dyDescent="0.3">
      <c r="A375" s="17" t="s">
        <v>0</v>
      </c>
      <c r="B375" s="17" t="s">
        <v>2705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0</v>
      </c>
      <c r="B376" s="17" t="s">
        <v>2944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3406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282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1868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1390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1479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100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265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770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28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104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3473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106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321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405</v>
      </c>
      <c r="C390" s="17">
        <v>2</v>
      </c>
      <c r="D390" s="17">
        <v>1</v>
      </c>
      <c r="E390" s="17">
        <v>3</v>
      </c>
    </row>
    <row r="391" spans="1:5" x14ac:dyDescent="0.3">
      <c r="A391" s="17" t="s">
        <v>0</v>
      </c>
      <c r="B391" s="17" t="s">
        <v>166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1130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1261</v>
      </c>
      <c r="C393" s="17">
        <v>1</v>
      </c>
      <c r="D393" s="17">
        <v>1</v>
      </c>
      <c r="E393" s="17">
        <v>2</v>
      </c>
    </row>
    <row r="394" spans="1:5" x14ac:dyDescent="0.3">
      <c r="A394" s="17" t="s">
        <v>0</v>
      </c>
      <c r="B394" s="17" t="s">
        <v>199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50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110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113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2216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174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493</v>
      </c>
      <c r="C400" s="17">
        <v>1</v>
      </c>
      <c r="D400" s="17">
        <v>1</v>
      </c>
      <c r="E400" s="17">
        <v>2</v>
      </c>
    </row>
    <row r="401" spans="1:5" x14ac:dyDescent="0.3">
      <c r="A401" s="17" t="s">
        <v>0</v>
      </c>
      <c r="B401" s="17" t="s">
        <v>594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3474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1131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327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539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540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1037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1852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776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1726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546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1574</v>
      </c>
      <c r="C412" s="17">
        <v>1</v>
      </c>
      <c r="D412" s="17">
        <v>1</v>
      </c>
      <c r="E412" s="17">
        <v>2</v>
      </c>
    </row>
    <row r="413" spans="1:5" x14ac:dyDescent="0.3">
      <c r="A413" s="17" t="s">
        <v>0</v>
      </c>
      <c r="B413" s="17" t="s">
        <v>1290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336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810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660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551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1244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200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662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890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1767</v>
      </c>
      <c r="C422" s="17">
        <v>1</v>
      </c>
      <c r="D422" s="17">
        <v>1</v>
      </c>
      <c r="E422" s="17">
        <v>2</v>
      </c>
    </row>
    <row r="423" spans="1:5" x14ac:dyDescent="0.3">
      <c r="A423" s="17" t="s">
        <v>0</v>
      </c>
      <c r="B423" s="17" t="s">
        <v>1458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3475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746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182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3476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962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1279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185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429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350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2349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497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1246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132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498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351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567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966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376</v>
      </c>
      <c r="C441" s="17">
        <v>1</v>
      </c>
      <c r="D441" s="17">
        <v>1</v>
      </c>
      <c r="E441" s="17">
        <v>4</v>
      </c>
    </row>
    <row r="442" spans="1:5" x14ac:dyDescent="0.3">
      <c r="A442" s="17" t="s">
        <v>0</v>
      </c>
      <c r="B442" s="17" t="s">
        <v>68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196</v>
      </c>
      <c r="C443" s="17">
        <v>3</v>
      </c>
      <c r="D443" s="17">
        <v>1</v>
      </c>
      <c r="E443" s="17">
        <v>5</v>
      </c>
    </row>
    <row r="444" spans="1:5" x14ac:dyDescent="0.3">
      <c r="A444" s="17" t="s">
        <v>0</v>
      </c>
      <c r="B444" s="17" t="s">
        <v>1048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790</v>
      </c>
      <c r="C445" s="17">
        <v>1</v>
      </c>
      <c r="D445" s="17">
        <v>1</v>
      </c>
      <c r="E445" s="17"/>
    </row>
    <row r="446" spans="1:5" x14ac:dyDescent="0.3">
      <c r="A446" s="17" t="s">
        <v>0</v>
      </c>
      <c r="B446" s="17" t="s">
        <v>2361</v>
      </c>
      <c r="C446" s="17">
        <v>1</v>
      </c>
      <c r="D446" s="17">
        <v>1</v>
      </c>
      <c r="E446" s="17"/>
    </row>
    <row r="447" spans="1:5" x14ac:dyDescent="0.3">
      <c r="A447" s="17" t="s">
        <v>2</v>
      </c>
      <c r="B447" s="17" t="s">
        <v>264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2</v>
      </c>
      <c r="B448" s="17" t="s">
        <v>288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2</v>
      </c>
      <c r="B449" s="17" t="s">
        <v>37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2</v>
      </c>
      <c r="B450" s="17" t="s">
        <v>674</v>
      </c>
      <c r="C450" s="17">
        <v>1</v>
      </c>
      <c r="D450" s="17">
        <v>1</v>
      </c>
      <c r="E450" s="17"/>
    </row>
    <row r="451" spans="1:5" x14ac:dyDescent="0.3">
      <c r="A451" s="17" t="s">
        <v>1</v>
      </c>
      <c r="B451" s="17" t="s">
        <v>3477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202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1</v>
      </c>
      <c r="B453" s="17" t="s">
        <v>984</v>
      </c>
      <c r="C453" s="17">
        <v>2</v>
      </c>
      <c r="D453" s="17">
        <v>0</v>
      </c>
      <c r="E453" s="17">
        <v>2</v>
      </c>
    </row>
    <row r="454" spans="1:5" x14ac:dyDescent="0.3">
      <c r="A454" s="17" t="s">
        <v>1</v>
      </c>
      <c r="B454" s="17" t="s">
        <v>140</v>
      </c>
      <c r="C454" s="17">
        <v>2</v>
      </c>
      <c r="D454" s="17">
        <v>0</v>
      </c>
      <c r="E454" s="17">
        <v>2</v>
      </c>
    </row>
    <row r="455" spans="1:5" x14ac:dyDescent="0.3">
      <c r="A455" s="17" t="s">
        <v>1</v>
      </c>
      <c r="B455" s="17" t="s">
        <v>1268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47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1664</v>
      </c>
      <c r="C457" s="17">
        <v>1</v>
      </c>
      <c r="D457" s="17">
        <v>0</v>
      </c>
      <c r="E457" s="17">
        <v>2</v>
      </c>
    </row>
    <row r="458" spans="1:5" x14ac:dyDescent="0.3">
      <c r="A458" s="17" t="s">
        <v>1</v>
      </c>
      <c r="B458" s="17" t="s">
        <v>1250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506</v>
      </c>
      <c r="C459" s="17">
        <v>1</v>
      </c>
      <c r="D459" s="17">
        <v>0</v>
      </c>
      <c r="E459" s="17">
        <v>0</v>
      </c>
    </row>
    <row r="460" spans="1:5" x14ac:dyDescent="0.3">
      <c r="A460" s="17" t="s">
        <v>1</v>
      </c>
      <c r="B460" s="17" t="s">
        <v>3478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1</v>
      </c>
      <c r="B461" s="17" t="s">
        <v>384</v>
      </c>
      <c r="C461" s="17">
        <v>1</v>
      </c>
      <c r="D461" s="17">
        <v>0</v>
      </c>
      <c r="E461" s="17">
        <v>4</v>
      </c>
    </row>
    <row r="462" spans="1:5" x14ac:dyDescent="0.3">
      <c r="A462" s="17" t="s">
        <v>1</v>
      </c>
      <c r="B462" s="17" t="s">
        <v>3479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486</v>
      </c>
      <c r="C463" s="17">
        <v>2</v>
      </c>
      <c r="D463" s="17">
        <v>0</v>
      </c>
      <c r="E463" s="17">
        <v>5</v>
      </c>
    </row>
    <row r="464" spans="1:5" x14ac:dyDescent="0.3">
      <c r="A464" s="17" t="s">
        <v>1</v>
      </c>
      <c r="B464" s="17" t="s">
        <v>2386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245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74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75</v>
      </c>
      <c r="C467" s="17">
        <v>2</v>
      </c>
      <c r="D467" s="17">
        <v>0</v>
      </c>
      <c r="E467" s="17">
        <v>2</v>
      </c>
    </row>
    <row r="468" spans="1:5" x14ac:dyDescent="0.3">
      <c r="A468" s="17" t="s">
        <v>1</v>
      </c>
      <c r="B468" s="17" t="s">
        <v>691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143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208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510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988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1252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209</v>
      </c>
      <c r="C474" s="17">
        <v>1</v>
      </c>
      <c r="D474" s="17">
        <v>0</v>
      </c>
      <c r="E474" s="17">
        <v>3</v>
      </c>
    </row>
    <row r="475" spans="1:5" x14ac:dyDescent="0.3">
      <c r="A475" s="17" t="s">
        <v>1</v>
      </c>
      <c r="B475" s="17" t="s">
        <v>621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1253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77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835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210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490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1929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1953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859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359</v>
      </c>
      <c r="C484" s="17">
        <v>2</v>
      </c>
      <c r="D484" s="17">
        <v>0</v>
      </c>
      <c r="E484" s="17">
        <v>2</v>
      </c>
    </row>
    <row r="485" spans="1:5" x14ac:dyDescent="0.3">
      <c r="A485" s="17" t="s">
        <v>1</v>
      </c>
      <c r="B485" s="17" t="s">
        <v>212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1743</v>
      </c>
      <c r="C486" s="17">
        <v>1</v>
      </c>
      <c r="D486" s="17">
        <v>0</v>
      </c>
      <c r="E486" s="17">
        <v>2</v>
      </c>
    </row>
    <row r="487" spans="1:5" x14ac:dyDescent="0.3">
      <c r="A487" s="17" t="s">
        <v>1</v>
      </c>
      <c r="B487" s="17" t="s">
        <v>860</v>
      </c>
      <c r="C487" s="17">
        <v>3</v>
      </c>
      <c r="D487" s="17">
        <v>0</v>
      </c>
      <c r="E487" s="17">
        <v>3</v>
      </c>
    </row>
    <row r="488" spans="1:5" x14ac:dyDescent="0.3">
      <c r="A488" s="17" t="s">
        <v>1</v>
      </c>
      <c r="B488" s="17" t="s">
        <v>314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841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1255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518</v>
      </c>
      <c r="C491" s="17">
        <v>2</v>
      </c>
      <c r="D491" s="17">
        <v>0</v>
      </c>
      <c r="E491" s="17">
        <v>2</v>
      </c>
    </row>
    <row r="492" spans="1:5" x14ac:dyDescent="0.3">
      <c r="A492" s="17" t="s">
        <v>1</v>
      </c>
      <c r="B492" s="17" t="s">
        <v>1338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84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3480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279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1055</v>
      </c>
      <c r="C496" s="17">
        <v>1</v>
      </c>
      <c r="D496" s="17">
        <v>0</v>
      </c>
      <c r="E496" s="17">
        <v>2</v>
      </c>
    </row>
    <row r="497" spans="1:5" x14ac:dyDescent="0.3">
      <c r="A497" s="17" t="s">
        <v>1</v>
      </c>
      <c r="B497" s="17" t="s">
        <v>836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937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316</v>
      </c>
      <c r="C499" s="17">
        <v>1</v>
      </c>
      <c r="D499" s="17">
        <v>0</v>
      </c>
      <c r="E499" s="17">
        <v>2</v>
      </c>
    </row>
    <row r="500" spans="1:5" x14ac:dyDescent="0.3">
      <c r="A500" s="17" t="s">
        <v>1</v>
      </c>
      <c r="B500" s="17" t="s">
        <v>264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361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1964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632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633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1317</v>
      </c>
      <c r="C505" s="17">
        <v>2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801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1127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972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1060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481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1061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217</v>
      </c>
      <c r="C512" s="17">
        <v>2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218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153</v>
      </c>
      <c r="C514" s="17">
        <v>5</v>
      </c>
      <c r="D514" s="17">
        <v>0</v>
      </c>
      <c r="E514" s="17">
        <v>4</v>
      </c>
    </row>
    <row r="515" spans="1:5" x14ac:dyDescent="0.3">
      <c r="A515" s="17" t="s">
        <v>1</v>
      </c>
      <c r="B515" s="17" t="s">
        <v>92</v>
      </c>
      <c r="C515" s="17">
        <v>2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1283</v>
      </c>
      <c r="C516" s="17">
        <v>1</v>
      </c>
      <c r="D516" s="17">
        <v>0</v>
      </c>
      <c r="E516" s="17">
        <v>2</v>
      </c>
    </row>
    <row r="517" spans="1:5" x14ac:dyDescent="0.3">
      <c r="A517" s="17" t="s">
        <v>1</v>
      </c>
      <c r="B517" s="17" t="s">
        <v>1284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865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249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678</v>
      </c>
      <c r="C520" s="17">
        <v>2</v>
      </c>
      <c r="D520" s="17">
        <v>0</v>
      </c>
      <c r="E520" s="17">
        <v>2</v>
      </c>
    </row>
    <row r="521" spans="1:5" x14ac:dyDescent="0.3">
      <c r="A521" s="17" t="s">
        <v>1</v>
      </c>
      <c r="B521" s="17" t="s">
        <v>640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261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42</v>
      </c>
      <c r="C523" s="17">
        <v>2</v>
      </c>
      <c r="D523" s="17">
        <v>0</v>
      </c>
      <c r="E523" s="17">
        <v>2</v>
      </c>
    </row>
    <row r="524" spans="1:5" x14ac:dyDescent="0.3">
      <c r="A524" s="17" t="s">
        <v>1</v>
      </c>
      <c r="B524" s="17" t="s">
        <v>251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686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1142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1091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944</v>
      </c>
      <c r="C528" s="17">
        <v>2</v>
      </c>
      <c r="D528" s="17">
        <v>0</v>
      </c>
      <c r="E528" s="17">
        <v>3</v>
      </c>
    </row>
    <row r="529" spans="1:5" x14ac:dyDescent="0.3">
      <c r="A529" s="17" t="s">
        <v>1</v>
      </c>
      <c r="B529" s="17" t="s">
        <v>1143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1643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1682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1691</v>
      </c>
      <c r="C532" s="17">
        <v>1</v>
      </c>
      <c r="D532" s="17">
        <v>0</v>
      </c>
      <c r="E532" s="17">
        <v>0</v>
      </c>
    </row>
    <row r="533" spans="1:5" x14ac:dyDescent="0.3">
      <c r="A533" s="17" t="s">
        <v>1</v>
      </c>
      <c r="B533" s="17" t="s">
        <v>1708</v>
      </c>
      <c r="C533" s="17">
        <v>1</v>
      </c>
      <c r="D533" s="17">
        <v>0</v>
      </c>
      <c r="E533" s="17">
        <v>2</v>
      </c>
    </row>
    <row r="534" spans="1:5" x14ac:dyDescent="0.3">
      <c r="A534" s="17" t="s">
        <v>1</v>
      </c>
      <c r="B534" s="17" t="s">
        <v>1772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1897</v>
      </c>
      <c r="C535" s="17">
        <v>3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1912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1941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2074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2115</v>
      </c>
      <c r="C539" s="17">
        <v>1</v>
      </c>
      <c r="D539" s="17">
        <v>0</v>
      </c>
      <c r="E539" s="17">
        <v>3</v>
      </c>
    </row>
    <row r="540" spans="1:5" x14ac:dyDescent="0.3">
      <c r="A540" s="17" t="s">
        <v>1</v>
      </c>
      <c r="B540" s="17" t="s">
        <v>2293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2403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2400</v>
      </c>
      <c r="C542" s="17">
        <v>2</v>
      </c>
      <c r="D542" s="17">
        <v>0</v>
      </c>
      <c r="E542" s="17">
        <v>2</v>
      </c>
    </row>
    <row r="543" spans="1:5" x14ac:dyDescent="0.3">
      <c r="A543" s="17" t="s">
        <v>1</v>
      </c>
      <c r="B543" s="17" t="s">
        <v>2468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3399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2442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2398</v>
      </c>
      <c r="C546" s="17">
        <v>2</v>
      </c>
      <c r="D546" s="17">
        <v>0</v>
      </c>
      <c r="E546" s="17">
        <v>2</v>
      </c>
    </row>
    <row r="547" spans="1:5" x14ac:dyDescent="0.3">
      <c r="A547" s="17" t="s">
        <v>1</v>
      </c>
      <c r="B547" s="17" t="s">
        <v>2444</v>
      </c>
      <c r="C547" s="17">
        <v>2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2445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2507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2396</v>
      </c>
      <c r="C550" s="17">
        <v>3</v>
      </c>
      <c r="D550" s="17">
        <v>0</v>
      </c>
      <c r="E550" s="17">
        <v>4</v>
      </c>
    </row>
    <row r="551" spans="1:5" x14ac:dyDescent="0.3">
      <c r="A551" s="17" t="s">
        <v>1</v>
      </c>
      <c r="B551" s="17" t="s">
        <v>2616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2789</v>
      </c>
      <c r="C552" s="17">
        <v>1</v>
      </c>
      <c r="D552" s="17">
        <v>0</v>
      </c>
      <c r="E552" s="17">
        <v>0</v>
      </c>
    </row>
    <row r="553" spans="1:5" x14ac:dyDescent="0.3">
      <c r="A553" s="17" t="s">
        <v>1</v>
      </c>
      <c r="B553" s="17" t="s">
        <v>2944</v>
      </c>
      <c r="C553" s="17">
        <v>6</v>
      </c>
      <c r="D553" s="17">
        <v>0</v>
      </c>
      <c r="E553" s="17">
        <v>6</v>
      </c>
    </row>
    <row r="554" spans="1:5" x14ac:dyDescent="0.3">
      <c r="A554" s="17" t="s">
        <v>1</v>
      </c>
      <c r="B554" s="17" t="s">
        <v>3298</v>
      </c>
      <c r="C554" s="17">
        <v>4</v>
      </c>
      <c r="D554" s="17">
        <v>0</v>
      </c>
      <c r="E554" s="17">
        <v>4</v>
      </c>
    </row>
    <row r="555" spans="1:5" x14ac:dyDescent="0.3">
      <c r="A555" s="17" t="s">
        <v>1</v>
      </c>
      <c r="B555" s="17" t="s">
        <v>3327</v>
      </c>
      <c r="C555" s="17">
        <v>3</v>
      </c>
      <c r="D555" s="17">
        <v>0</v>
      </c>
      <c r="E555" s="17">
        <v>3</v>
      </c>
    </row>
    <row r="556" spans="1:5" x14ac:dyDescent="0.3">
      <c r="A556" s="17" t="s">
        <v>1</v>
      </c>
      <c r="B556" s="17" t="s">
        <v>3361</v>
      </c>
      <c r="C556" s="17">
        <v>3</v>
      </c>
      <c r="D556" s="17">
        <v>0</v>
      </c>
      <c r="E556" s="17">
        <v>3</v>
      </c>
    </row>
    <row r="557" spans="1:5" x14ac:dyDescent="0.3">
      <c r="A557" s="17" t="s">
        <v>1</v>
      </c>
      <c r="B557" s="17" t="s">
        <v>3406</v>
      </c>
      <c r="C557" s="17">
        <v>1</v>
      </c>
      <c r="D557" s="17">
        <v>0</v>
      </c>
      <c r="E557" s="17">
        <v>3</v>
      </c>
    </row>
    <row r="558" spans="1:5" x14ac:dyDescent="0.3">
      <c r="A558" s="17" t="s">
        <v>1</v>
      </c>
      <c r="B558" s="17" t="s">
        <v>3443</v>
      </c>
      <c r="C558" s="17">
        <v>5</v>
      </c>
      <c r="D558" s="17">
        <v>0</v>
      </c>
      <c r="E558" s="17">
        <v>5</v>
      </c>
    </row>
    <row r="559" spans="1:5" x14ac:dyDescent="0.3">
      <c r="A559" s="17" t="s">
        <v>1</v>
      </c>
      <c r="B559" s="17" t="s">
        <v>524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585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3481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491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1618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803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840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1275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441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911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1069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1071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716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1146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165</v>
      </c>
      <c r="C573" s="17">
        <v>3</v>
      </c>
      <c r="D573" s="17">
        <v>0</v>
      </c>
      <c r="E573" s="17">
        <v>3</v>
      </c>
    </row>
    <row r="574" spans="1:5" x14ac:dyDescent="0.3">
      <c r="A574" s="17" t="s">
        <v>1</v>
      </c>
      <c r="B574" s="17" t="s">
        <v>1147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3482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1373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1148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591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1786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1001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1545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1099</v>
      </c>
      <c r="C582" s="17">
        <v>1</v>
      </c>
      <c r="D582" s="17">
        <v>0</v>
      </c>
      <c r="E582" s="17">
        <v>0</v>
      </c>
    </row>
    <row r="583" spans="1:5" x14ac:dyDescent="0.3">
      <c r="A583" s="17" t="s">
        <v>1</v>
      </c>
      <c r="B583" s="17" t="s">
        <v>648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1795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290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2175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978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1408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327</v>
      </c>
      <c r="C589" s="17">
        <v>1</v>
      </c>
      <c r="D589" s="17">
        <v>0</v>
      </c>
      <c r="E589" s="17">
        <v>0</v>
      </c>
    </row>
    <row r="590" spans="1:5" x14ac:dyDescent="0.3">
      <c r="A590" s="17" t="s">
        <v>1</v>
      </c>
      <c r="B590" s="17" t="s">
        <v>1826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1038</v>
      </c>
      <c r="C591" s="17">
        <v>2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1094</v>
      </c>
      <c r="C592" s="17">
        <v>1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1289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2601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727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777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336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548</v>
      </c>
      <c r="C598" s="17">
        <v>1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778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2912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1511</v>
      </c>
      <c r="C601" s="17">
        <v>1</v>
      </c>
      <c r="D601" s="17">
        <v>0</v>
      </c>
      <c r="E601" s="17">
        <v>0</v>
      </c>
    </row>
    <row r="602" spans="1:5" x14ac:dyDescent="0.3">
      <c r="A602" s="17" t="s">
        <v>1</v>
      </c>
      <c r="B602" s="17" t="s">
        <v>976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3483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1162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372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1354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957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736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120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1801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471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2750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791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742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3484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422</v>
      </c>
      <c r="C616" s="17">
        <v>1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852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1298</v>
      </c>
      <c r="C618" s="17">
        <v>1</v>
      </c>
      <c r="D618" s="17">
        <v>0</v>
      </c>
      <c r="E618" s="17">
        <v>2</v>
      </c>
    </row>
    <row r="619" spans="1:5" x14ac:dyDescent="0.3">
      <c r="A619" s="17" t="s">
        <v>1</v>
      </c>
      <c r="B619" s="17" t="s">
        <v>2101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3485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472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233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919</v>
      </c>
      <c r="C623" s="18">
        <v>1</v>
      </c>
      <c r="D623" s="18">
        <v>0</v>
      </c>
      <c r="E623" s="18">
        <v>2</v>
      </c>
    </row>
    <row r="624" spans="1:5" x14ac:dyDescent="0.3">
      <c r="A624" s="18" t="s">
        <v>1</v>
      </c>
      <c r="B624" s="18" t="s">
        <v>563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1586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1133</v>
      </c>
      <c r="C626" s="18">
        <v>2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1697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1191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498</v>
      </c>
      <c r="C629" s="18">
        <v>3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1326</v>
      </c>
      <c r="C630" s="18">
        <v>1</v>
      </c>
      <c r="D630" s="18">
        <v>0</v>
      </c>
      <c r="E630" s="18">
        <v>0</v>
      </c>
    </row>
    <row r="631" spans="1:5" x14ac:dyDescent="0.3">
      <c r="A631" s="18" t="s">
        <v>1</v>
      </c>
      <c r="B631" s="18" t="s">
        <v>1534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1669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1123</v>
      </c>
      <c r="C633" s="18">
        <v>1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1383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53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263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849</v>
      </c>
      <c r="C637" s="18">
        <v>1</v>
      </c>
      <c r="D637" s="18">
        <v>0</v>
      </c>
      <c r="E637" s="18">
        <v>3</v>
      </c>
    </row>
    <row r="638" spans="1:5" x14ac:dyDescent="0.3">
      <c r="A638" s="18" t="s">
        <v>1</v>
      </c>
      <c r="B638" s="18" t="s">
        <v>827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1136</v>
      </c>
      <c r="C639" s="18">
        <v>2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684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235</v>
      </c>
      <c r="C641" s="18">
        <v>6</v>
      </c>
      <c r="D641" s="18">
        <v>0</v>
      </c>
      <c r="E641" s="18">
        <v>11</v>
      </c>
    </row>
    <row r="642" spans="1:5" x14ac:dyDescent="0.3">
      <c r="A642" s="18" t="s">
        <v>1</v>
      </c>
      <c r="B642" s="18" t="s">
        <v>381</v>
      </c>
      <c r="C642" s="18">
        <v>2</v>
      </c>
      <c r="D642" s="18">
        <v>0</v>
      </c>
      <c r="E642" s="18">
        <v>2</v>
      </c>
    </row>
    <row r="643" spans="1:5" x14ac:dyDescent="0.3">
      <c r="A643" s="18" t="s">
        <v>1</v>
      </c>
      <c r="B643" s="18" t="s">
        <v>236</v>
      </c>
      <c r="C643" s="18">
        <v>6</v>
      </c>
      <c r="D643" s="18">
        <v>0</v>
      </c>
      <c r="E643" s="18">
        <v>11</v>
      </c>
    </row>
    <row r="644" spans="1:5" x14ac:dyDescent="0.3">
      <c r="A644" s="18" t="s">
        <v>1</v>
      </c>
      <c r="B644" s="18" t="s">
        <v>476</v>
      </c>
      <c r="C644" s="18">
        <v>2</v>
      </c>
      <c r="D644" s="18">
        <v>0</v>
      </c>
      <c r="E644" s="18">
        <v>4</v>
      </c>
    </row>
    <row r="645" spans="1:5" x14ac:dyDescent="0.3">
      <c r="A645" s="18" t="s">
        <v>1</v>
      </c>
      <c r="B645" s="18" t="s">
        <v>68</v>
      </c>
      <c r="C645" s="18">
        <v>1</v>
      </c>
      <c r="D645" s="18">
        <v>0</v>
      </c>
      <c r="E645" s="18">
        <v>2</v>
      </c>
    </row>
    <row r="646" spans="1:5" x14ac:dyDescent="0.3">
      <c r="A646" s="18" t="s">
        <v>1</v>
      </c>
      <c r="B646" s="18" t="s">
        <v>196</v>
      </c>
      <c r="C646" s="18">
        <v>17</v>
      </c>
      <c r="D646" s="18">
        <v>0</v>
      </c>
      <c r="E646" s="18">
        <v>28</v>
      </c>
    </row>
    <row r="647" spans="1:5" x14ac:dyDescent="0.3">
      <c r="A647" s="18" t="s">
        <v>1</v>
      </c>
      <c r="B647" s="18" t="s">
        <v>237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238</v>
      </c>
      <c r="C648" s="18">
        <v>4</v>
      </c>
      <c r="D648" s="18">
        <v>0</v>
      </c>
      <c r="E648" s="18">
        <v>4</v>
      </c>
    </row>
    <row r="649" spans="1:5" x14ac:dyDescent="0.3">
      <c r="A649" s="18" t="s">
        <v>1</v>
      </c>
      <c r="B649" s="18" t="s">
        <v>1085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239</v>
      </c>
      <c r="C650" s="18">
        <v>1</v>
      </c>
      <c r="D650" s="18">
        <v>0</v>
      </c>
      <c r="E650" s="18">
        <v>2</v>
      </c>
    </row>
    <row r="651" spans="1:5" x14ac:dyDescent="0.3">
      <c r="A651" s="18" t="s">
        <v>1</v>
      </c>
      <c r="B651" s="18" t="s">
        <v>672</v>
      </c>
      <c r="C651" s="18">
        <v>2</v>
      </c>
      <c r="D651" s="18">
        <v>0</v>
      </c>
      <c r="E651" s="18">
        <v>3</v>
      </c>
    </row>
    <row r="652" spans="1:5" x14ac:dyDescent="0.3">
      <c r="A652" s="18" t="s">
        <v>1</v>
      </c>
      <c r="B652" s="18" t="s">
        <v>240</v>
      </c>
      <c r="C652" s="18">
        <v>7</v>
      </c>
      <c r="D652" s="18">
        <v>0</v>
      </c>
      <c r="E652" s="18">
        <v>10</v>
      </c>
    </row>
    <row r="653" spans="1:5" x14ac:dyDescent="0.3">
      <c r="A653" s="18" t="s">
        <v>1</v>
      </c>
      <c r="B653" s="18" t="s">
        <v>673</v>
      </c>
      <c r="C653" s="18">
        <v>6</v>
      </c>
      <c r="D653" s="18">
        <v>0</v>
      </c>
      <c r="E653" s="18">
        <v>6</v>
      </c>
    </row>
    <row r="654" spans="1:5" x14ac:dyDescent="0.3">
      <c r="A654" s="18" t="s">
        <v>1</v>
      </c>
      <c r="B654" s="18" t="s">
        <v>1451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382</v>
      </c>
      <c r="C655" s="18">
        <v>4</v>
      </c>
      <c r="D655" s="18">
        <v>0</v>
      </c>
      <c r="E655" s="18">
        <v>5</v>
      </c>
    </row>
    <row r="656" spans="1:5" x14ac:dyDescent="0.3">
      <c r="A656" s="18" t="s">
        <v>1</v>
      </c>
      <c r="B656" s="18" t="s">
        <v>377</v>
      </c>
      <c r="C656" s="18">
        <v>3</v>
      </c>
      <c r="D656" s="18">
        <v>0</v>
      </c>
      <c r="E656" s="18">
        <v>5</v>
      </c>
    </row>
    <row r="657" spans="1:5" x14ac:dyDescent="0.3">
      <c r="A657" s="18" t="s">
        <v>1</v>
      </c>
      <c r="B657" s="18" t="s">
        <v>1086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477</v>
      </c>
      <c r="C658" s="18">
        <v>3</v>
      </c>
      <c r="D658" s="18">
        <v>0</v>
      </c>
      <c r="E658" s="18">
        <v>3</v>
      </c>
    </row>
    <row r="659" spans="1:5" x14ac:dyDescent="0.3">
      <c r="A659" s="18" t="s">
        <v>1</v>
      </c>
      <c r="B659" s="18" t="s">
        <v>1300</v>
      </c>
      <c r="C659" s="18">
        <v>1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3486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2633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1029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2171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758</v>
      </c>
      <c r="C664" s="18">
        <v>0</v>
      </c>
      <c r="D664" s="18">
        <v>1</v>
      </c>
    </row>
    <row r="665" spans="1:5" x14ac:dyDescent="0.3">
      <c r="A665" s="18" t="s">
        <v>1</v>
      </c>
      <c r="B665" s="18" t="s">
        <v>3487</v>
      </c>
      <c r="C665" s="18">
        <v>0</v>
      </c>
      <c r="D665" s="18">
        <v>1</v>
      </c>
    </row>
    <row r="666" spans="1:5" x14ac:dyDescent="0.3">
      <c r="A666" s="18" t="s">
        <v>1</v>
      </c>
      <c r="B666" s="18" t="s">
        <v>761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3260</v>
      </c>
      <c r="C667" s="18">
        <v>0</v>
      </c>
      <c r="D667" s="18">
        <v>1</v>
      </c>
    </row>
    <row r="668" spans="1:5" x14ac:dyDescent="0.3">
      <c r="A668" s="18" t="s">
        <v>1</v>
      </c>
      <c r="B668" s="18" t="s">
        <v>3488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69</v>
      </c>
      <c r="C669" s="18">
        <v>4</v>
      </c>
      <c r="D669" s="18">
        <v>0</v>
      </c>
      <c r="E669" s="18">
        <v>5</v>
      </c>
    </row>
    <row r="670" spans="1:5" x14ac:dyDescent="0.3">
      <c r="A670" s="18" t="s">
        <v>1</v>
      </c>
      <c r="B670" s="18" t="s">
        <v>677</v>
      </c>
      <c r="C670" s="18">
        <v>4</v>
      </c>
      <c r="D670" s="18">
        <v>0</v>
      </c>
      <c r="E670" s="18">
        <v>5</v>
      </c>
    </row>
    <row r="671" spans="1:5" x14ac:dyDescent="0.3">
      <c r="A671" s="18" t="s">
        <v>0</v>
      </c>
      <c r="B671" s="18" t="s">
        <v>242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691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908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1535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153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0</v>
      </c>
      <c r="B676" s="18" t="s">
        <v>1242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0</v>
      </c>
      <c r="B677" s="18" t="s">
        <v>60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42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1946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2068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0</v>
      </c>
      <c r="B681" s="18" t="s">
        <v>2440</v>
      </c>
      <c r="C681" s="18">
        <v>1</v>
      </c>
      <c r="D681" s="18">
        <v>0</v>
      </c>
      <c r="E681" s="18">
        <v>2</v>
      </c>
    </row>
    <row r="682" spans="1:5" x14ac:dyDescent="0.3">
      <c r="A682" s="18" t="s">
        <v>0</v>
      </c>
      <c r="B682" s="18" t="s">
        <v>2404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2399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3036</v>
      </c>
      <c r="C684" s="18">
        <v>1</v>
      </c>
      <c r="D684" s="18">
        <v>0</v>
      </c>
      <c r="E684" s="18">
        <v>5</v>
      </c>
    </row>
    <row r="685" spans="1:5" x14ac:dyDescent="0.3">
      <c r="A685" s="18" t="s">
        <v>0</v>
      </c>
      <c r="B685" s="18" t="s">
        <v>3328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0</v>
      </c>
      <c r="B686" s="18" t="s">
        <v>3397</v>
      </c>
      <c r="C686" s="18">
        <v>2</v>
      </c>
      <c r="D686" s="18">
        <v>0</v>
      </c>
      <c r="E686" s="18">
        <v>2</v>
      </c>
    </row>
    <row r="687" spans="1:5" x14ac:dyDescent="0.3">
      <c r="A687" s="18" t="s">
        <v>0</v>
      </c>
      <c r="B687" s="18" t="s">
        <v>3481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2252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1377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1197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3489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1080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754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237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54</v>
      </c>
      <c r="C695" s="18">
        <v>3</v>
      </c>
      <c r="D695" s="18">
        <v>0</v>
      </c>
      <c r="E695" s="18">
        <v>3</v>
      </c>
    </row>
    <row r="696" spans="1:5" x14ac:dyDescent="0.3">
      <c r="A696" s="18" t="s">
        <v>0</v>
      </c>
      <c r="B696" s="18" t="s">
        <v>239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3442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69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32</v>
      </c>
      <c r="C699" s="18">
        <v>1</v>
      </c>
      <c r="D699" s="18">
        <v>0</v>
      </c>
      <c r="E699" s="18">
        <v>2</v>
      </c>
    </row>
    <row r="700" spans="1:5" x14ac:dyDescent="0.3">
      <c r="A700" s="18" t="s">
        <v>2</v>
      </c>
      <c r="B700" s="18" t="s">
        <v>487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2</v>
      </c>
      <c r="B701" s="18" t="s">
        <v>1928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2</v>
      </c>
      <c r="B702" s="18" t="s">
        <v>2692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2</v>
      </c>
      <c r="B703" s="18" t="s">
        <v>2397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2</v>
      </c>
      <c r="B704" s="18" t="s">
        <v>2396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2</v>
      </c>
      <c r="B705" s="18" t="s">
        <v>3327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2</v>
      </c>
      <c r="B706" s="18" t="s">
        <v>39</v>
      </c>
      <c r="C706" s="18">
        <v>1</v>
      </c>
      <c r="D706" s="18">
        <v>0</v>
      </c>
      <c r="E706" s="18">
        <v>6</v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4C8D6-2C2C-4EA1-85AE-397F98668D23}">
  <sheetPr codeName="Sheet62"/>
  <dimension ref="A1:M695"/>
  <sheetViews>
    <sheetView workbookViewId="0">
      <selection activeCell="A2" sqref="A2:E69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138</v>
      </c>
      <c r="C2" s="17">
        <v>62</v>
      </c>
      <c r="D2" s="17">
        <v>48</v>
      </c>
      <c r="E2" s="17">
        <v>68</v>
      </c>
    </row>
    <row r="3" spans="1:13" customFormat="1" x14ac:dyDescent="0.3">
      <c r="A3" s="17" t="s">
        <v>1</v>
      </c>
      <c r="B3" s="17" t="s">
        <v>30</v>
      </c>
      <c r="C3" s="17">
        <v>88</v>
      </c>
      <c r="D3" s="17">
        <v>25</v>
      </c>
      <c r="E3" s="17">
        <v>165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20</v>
      </c>
      <c r="D4" s="17">
        <v>20</v>
      </c>
      <c r="E4" s="17">
        <v>22</v>
      </c>
      <c r="G4" s="23" t="s">
        <v>8</v>
      </c>
      <c r="H4" s="19">
        <f>H13+H14</f>
        <v>1063</v>
      </c>
      <c r="I4" s="20">
        <f>H4/H$6</f>
        <v>0.76973207820419987</v>
      </c>
      <c r="J4" s="19">
        <f>I13+I14</f>
        <v>547</v>
      </c>
      <c r="K4" s="20">
        <f>J4/J$6</f>
        <v>0.67281672816728166</v>
      </c>
      <c r="L4" s="19">
        <f>J13+J14</f>
        <v>1308</v>
      </c>
      <c r="M4" s="29">
        <f>L4/L$6</f>
        <v>0.78511404561824727</v>
      </c>
    </row>
    <row r="5" spans="1:13" customFormat="1" x14ac:dyDescent="0.3">
      <c r="A5" s="17" t="s">
        <v>1</v>
      </c>
      <c r="B5" s="17" t="s">
        <v>365</v>
      </c>
      <c r="C5" s="17">
        <v>18</v>
      </c>
      <c r="D5" s="17">
        <v>12</v>
      </c>
      <c r="E5" s="17">
        <v>21</v>
      </c>
      <c r="G5" s="23" t="s">
        <v>10</v>
      </c>
      <c r="H5" s="19">
        <f>H15+H16</f>
        <v>318</v>
      </c>
      <c r="I5" s="20">
        <f>H5/H$6</f>
        <v>0.23026792179580013</v>
      </c>
      <c r="J5" s="19">
        <f>I15+I16</f>
        <v>266</v>
      </c>
      <c r="K5" s="20">
        <f>J5/J$6</f>
        <v>0.32718327183271834</v>
      </c>
      <c r="L5" s="19">
        <f>J15+J16</f>
        <v>358</v>
      </c>
      <c r="M5" s="29">
        <f>L5/L$6</f>
        <v>0.2148859543817527</v>
      </c>
    </row>
    <row r="6" spans="1:13" customFormat="1" ht="17.25" thickBot="1" x14ac:dyDescent="0.35">
      <c r="A6" s="17" t="s">
        <v>1</v>
      </c>
      <c r="B6" s="17" t="s">
        <v>37</v>
      </c>
      <c r="C6" s="17">
        <v>16</v>
      </c>
      <c r="D6" s="17">
        <v>10</v>
      </c>
      <c r="E6" s="17">
        <v>17</v>
      </c>
      <c r="G6" s="26"/>
      <c r="H6" s="30">
        <f>SUM(H4:H5)</f>
        <v>1381</v>
      </c>
      <c r="I6" s="31">
        <f>I4+I5</f>
        <v>1</v>
      </c>
      <c r="J6" s="30">
        <f>SUM(J4:J5)</f>
        <v>813</v>
      </c>
      <c r="K6" s="31">
        <f>K4+K5</f>
        <v>1</v>
      </c>
      <c r="L6" s="30">
        <f>SUM(L4:L5)</f>
        <v>1666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9</v>
      </c>
      <c r="D7" s="17">
        <v>9</v>
      </c>
      <c r="E7" s="17">
        <v>10</v>
      </c>
    </row>
    <row r="8" spans="1:13" customFormat="1" x14ac:dyDescent="0.3">
      <c r="A8" s="17" t="s">
        <v>1</v>
      </c>
      <c r="B8" s="17" t="s">
        <v>1946</v>
      </c>
      <c r="C8" s="17">
        <v>13</v>
      </c>
      <c r="D8" s="17">
        <v>8</v>
      </c>
      <c r="E8" s="17">
        <v>15</v>
      </c>
    </row>
    <row r="9" spans="1:13" customFormat="1" x14ac:dyDescent="0.3">
      <c r="A9" s="17" t="s">
        <v>1</v>
      </c>
      <c r="B9" s="17" t="s">
        <v>48</v>
      </c>
      <c r="C9" s="17">
        <v>12</v>
      </c>
      <c r="D9" s="17">
        <v>7</v>
      </c>
      <c r="E9" s="17">
        <v>10</v>
      </c>
    </row>
    <row r="10" spans="1:13" customFormat="1" ht="17.25" thickBot="1" x14ac:dyDescent="0.35">
      <c r="A10" s="17" t="s">
        <v>1</v>
      </c>
      <c r="B10" s="17" t="s">
        <v>281</v>
      </c>
      <c r="C10" s="17">
        <v>9</v>
      </c>
      <c r="D10" s="17">
        <v>7</v>
      </c>
      <c r="E10" s="17">
        <v>11</v>
      </c>
    </row>
    <row r="11" spans="1:13" x14ac:dyDescent="0.3">
      <c r="A11" s="17" t="s">
        <v>1</v>
      </c>
      <c r="B11" s="17" t="s">
        <v>122</v>
      </c>
      <c r="C11" s="17">
        <v>9</v>
      </c>
      <c r="D11" s="17">
        <v>7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10</v>
      </c>
      <c r="D12" s="17">
        <v>7</v>
      </c>
      <c r="E12" s="17">
        <v>13</v>
      </c>
      <c r="G12" s="23"/>
      <c r="H12" s="21">
        <f t="shared" ref="H12:J12" si="0">SUM(H13:H16)</f>
        <v>1381</v>
      </c>
      <c r="I12" s="21">
        <f t="shared" si="0"/>
        <v>813</v>
      </c>
      <c r="J12" s="24">
        <f t="shared" si="0"/>
        <v>1666</v>
      </c>
    </row>
    <row r="13" spans="1:13" x14ac:dyDescent="0.3">
      <c r="A13" s="17" t="s">
        <v>0</v>
      </c>
      <c r="B13" s="17" t="s">
        <v>365</v>
      </c>
      <c r="C13" s="17">
        <v>7</v>
      </c>
      <c r="D13" s="17">
        <v>7</v>
      </c>
      <c r="E13" s="17">
        <v>9</v>
      </c>
      <c r="G13" s="23" t="s">
        <v>7</v>
      </c>
      <c r="H13" s="22">
        <f t="shared" ref="H13:J16" si="1">SUMIF($A$2:$A$9999,$G13,C$2:C$9999)</f>
        <v>1063</v>
      </c>
      <c r="I13" s="22">
        <f t="shared" si="1"/>
        <v>547</v>
      </c>
      <c r="J13" s="25">
        <f t="shared" si="1"/>
        <v>1308</v>
      </c>
    </row>
    <row r="14" spans="1:13" x14ac:dyDescent="0.3">
      <c r="A14" s="17" t="s">
        <v>1</v>
      </c>
      <c r="B14" s="17" t="s">
        <v>36</v>
      </c>
      <c r="C14" s="17">
        <v>6</v>
      </c>
      <c r="D14" s="17">
        <v>6</v>
      </c>
      <c r="E14" s="17">
        <v>6</v>
      </c>
      <c r="G14" s="23" t="s">
        <v>9</v>
      </c>
      <c r="H14" s="22">
        <f t="shared" si="1"/>
        <v>0</v>
      </c>
      <c r="I14" s="22">
        <f t="shared" si="1"/>
        <v>0</v>
      </c>
      <c r="J14" s="25">
        <f t="shared" si="1"/>
        <v>0</v>
      </c>
    </row>
    <row r="15" spans="1:13" x14ac:dyDescent="0.3">
      <c r="A15" s="17" t="s">
        <v>1</v>
      </c>
      <c r="B15" s="17" t="s">
        <v>29</v>
      </c>
      <c r="C15" s="17">
        <v>6</v>
      </c>
      <c r="D15" s="17">
        <v>6</v>
      </c>
      <c r="E15" s="17">
        <v>6</v>
      </c>
      <c r="G15" s="23" t="s">
        <v>11</v>
      </c>
      <c r="H15" s="22">
        <f t="shared" si="1"/>
        <v>308</v>
      </c>
      <c r="I15" s="22">
        <f t="shared" si="1"/>
        <v>258</v>
      </c>
      <c r="J15" s="25">
        <f t="shared" si="1"/>
        <v>346</v>
      </c>
    </row>
    <row r="16" spans="1:13" ht="17.25" thickBot="1" x14ac:dyDescent="0.35">
      <c r="A16" s="17" t="s">
        <v>1</v>
      </c>
      <c r="B16" s="17" t="s">
        <v>51</v>
      </c>
      <c r="C16" s="17">
        <v>6</v>
      </c>
      <c r="D16" s="17">
        <v>6</v>
      </c>
      <c r="E16" s="17">
        <v>6</v>
      </c>
      <c r="G16" s="26" t="s">
        <v>12</v>
      </c>
      <c r="H16" s="27">
        <f t="shared" si="1"/>
        <v>10</v>
      </c>
      <c r="I16" s="27">
        <f t="shared" si="1"/>
        <v>8</v>
      </c>
      <c r="J16" s="28">
        <f t="shared" si="1"/>
        <v>12</v>
      </c>
    </row>
    <row r="17" spans="1:5" x14ac:dyDescent="0.3">
      <c r="A17" s="17" t="s">
        <v>1</v>
      </c>
      <c r="B17" s="17" t="s">
        <v>33</v>
      </c>
      <c r="C17" s="17">
        <v>7</v>
      </c>
      <c r="D17" s="17">
        <v>5</v>
      </c>
      <c r="E17" s="17">
        <v>6</v>
      </c>
    </row>
    <row r="18" spans="1:5" x14ac:dyDescent="0.3">
      <c r="A18" s="17" t="s">
        <v>1</v>
      </c>
      <c r="B18" s="17" t="s">
        <v>155</v>
      </c>
      <c r="C18" s="17">
        <v>11</v>
      </c>
      <c r="D18" s="17">
        <v>5</v>
      </c>
      <c r="E18" s="17">
        <v>11</v>
      </c>
    </row>
    <row r="19" spans="1:5" x14ac:dyDescent="0.3">
      <c r="A19" s="17" t="s">
        <v>1</v>
      </c>
      <c r="B19" s="17" t="s">
        <v>2396</v>
      </c>
      <c r="C19" s="17">
        <v>9</v>
      </c>
      <c r="D19" s="17">
        <v>5</v>
      </c>
      <c r="E19" s="17">
        <v>10</v>
      </c>
    </row>
    <row r="20" spans="1:5" x14ac:dyDescent="0.3">
      <c r="A20" s="17" t="s">
        <v>1</v>
      </c>
      <c r="B20" s="17" t="s">
        <v>199</v>
      </c>
      <c r="C20" s="17">
        <v>5</v>
      </c>
      <c r="D20" s="17">
        <v>5</v>
      </c>
      <c r="E20" s="17">
        <v>5</v>
      </c>
    </row>
    <row r="21" spans="1:5" x14ac:dyDescent="0.3">
      <c r="A21" s="17" t="s">
        <v>1</v>
      </c>
      <c r="B21" s="17" t="s">
        <v>152</v>
      </c>
      <c r="C21" s="17">
        <v>4</v>
      </c>
      <c r="D21" s="17">
        <v>4</v>
      </c>
      <c r="E21" s="17">
        <v>4</v>
      </c>
    </row>
    <row r="22" spans="1:5" x14ac:dyDescent="0.3">
      <c r="A22" s="17" t="s">
        <v>1</v>
      </c>
      <c r="B22" s="17" t="s">
        <v>2075</v>
      </c>
      <c r="C22" s="17">
        <v>6</v>
      </c>
      <c r="D22" s="17">
        <v>4</v>
      </c>
      <c r="E22" s="17">
        <v>6</v>
      </c>
    </row>
    <row r="23" spans="1:5" x14ac:dyDescent="0.3">
      <c r="A23" s="17" t="s">
        <v>1</v>
      </c>
      <c r="B23" s="17" t="s">
        <v>2572</v>
      </c>
      <c r="C23" s="17">
        <v>8</v>
      </c>
      <c r="D23" s="17">
        <v>4</v>
      </c>
      <c r="E23" s="17">
        <v>9</v>
      </c>
    </row>
    <row r="24" spans="1:5" x14ac:dyDescent="0.3">
      <c r="A24" s="17" t="s">
        <v>1</v>
      </c>
      <c r="B24" s="17" t="s">
        <v>3036</v>
      </c>
      <c r="C24" s="17">
        <v>9</v>
      </c>
      <c r="D24" s="17">
        <v>4</v>
      </c>
      <c r="E24" s="17">
        <v>11</v>
      </c>
    </row>
    <row r="25" spans="1:5" x14ac:dyDescent="0.3">
      <c r="A25" s="17" t="s">
        <v>1</v>
      </c>
      <c r="B25" s="17" t="s">
        <v>31</v>
      </c>
      <c r="C25" s="17">
        <v>5</v>
      </c>
      <c r="D25" s="17">
        <v>4</v>
      </c>
      <c r="E25" s="17">
        <v>5</v>
      </c>
    </row>
    <row r="26" spans="1:5" x14ac:dyDescent="0.3">
      <c r="A26" s="17" t="s">
        <v>1</v>
      </c>
      <c r="B26" s="17" t="s">
        <v>376</v>
      </c>
      <c r="C26" s="17">
        <v>5</v>
      </c>
      <c r="D26" s="17">
        <v>4</v>
      </c>
      <c r="E26" s="17">
        <v>5</v>
      </c>
    </row>
    <row r="27" spans="1:5" x14ac:dyDescent="0.3">
      <c r="A27" s="17" t="s">
        <v>1</v>
      </c>
      <c r="B27" s="17" t="s">
        <v>32</v>
      </c>
      <c r="C27" s="17">
        <v>8</v>
      </c>
      <c r="D27" s="17">
        <v>4</v>
      </c>
      <c r="E27" s="17">
        <v>12</v>
      </c>
    </row>
    <row r="28" spans="1:5" x14ac:dyDescent="0.3">
      <c r="A28" s="17" t="s">
        <v>0</v>
      </c>
      <c r="B28" s="17" t="s">
        <v>2572</v>
      </c>
      <c r="C28" s="17">
        <v>4</v>
      </c>
      <c r="D28" s="17">
        <v>4</v>
      </c>
      <c r="E28" s="17">
        <v>4</v>
      </c>
    </row>
    <row r="29" spans="1:5" x14ac:dyDescent="0.3">
      <c r="A29" s="17" t="s">
        <v>0</v>
      </c>
      <c r="B29" s="17" t="s">
        <v>3443</v>
      </c>
      <c r="C29" s="17">
        <v>6</v>
      </c>
      <c r="D29" s="17">
        <v>4</v>
      </c>
      <c r="E29" s="17">
        <v>7</v>
      </c>
    </row>
    <row r="30" spans="1:5" x14ac:dyDescent="0.3">
      <c r="A30" s="17" t="s">
        <v>0</v>
      </c>
      <c r="B30" s="17" t="s">
        <v>62</v>
      </c>
      <c r="C30" s="17">
        <v>4</v>
      </c>
      <c r="D30" s="17">
        <v>4</v>
      </c>
      <c r="E30" s="17">
        <v>4</v>
      </c>
    </row>
    <row r="31" spans="1:5" x14ac:dyDescent="0.3">
      <c r="A31" s="17" t="s">
        <v>0</v>
      </c>
      <c r="B31" s="17" t="s">
        <v>37</v>
      </c>
      <c r="C31" s="17">
        <v>4</v>
      </c>
      <c r="D31" s="17">
        <v>4</v>
      </c>
      <c r="E31" s="17">
        <v>4</v>
      </c>
    </row>
    <row r="32" spans="1:5" x14ac:dyDescent="0.3">
      <c r="A32" s="17" t="s">
        <v>0</v>
      </c>
      <c r="B32" s="17" t="s">
        <v>39</v>
      </c>
      <c r="C32" s="17">
        <v>6</v>
      </c>
      <c r="D32" s="17">
        <v>4</v>
      </c>
      <c r="E32" s="17">
        <v>10</v>
      </c>
    </row>
    <row r="33" spans="1:5" x14ac:dyDescent="0.3">
      <c r="A33" s="17" t="s">
        <v>1</v>
      </c>
      <c r="B33" s="17" t="s">
        <v>1032</v>
      </c>
      <c r="C33" s="17">
        <v>3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79</v>
      </c>
      <c r="C34" s="17">
        <v>4</v>
      </c>
      <c r="D34" s="17">
        <v>3</v>
      </c>
      <c r="E34" s="17">
        <v>4</v>
      </c>
    </row>
    <row r="35" spans="1:5" x14ac:dyDescent="0.3">
      <c r="A35" s="17" t="s">
        <v>1</v>
      </c>
      <c r="B35" s="17" t="s">
        <v>1314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85</v>
      </c>
      <c r="C36" s="17">
        <v>4</v>
      </c>
      <c r="D36" s="17">
        <v>3</v>
      </c>
      <c r="E36" s="17">
        <v>3</v>
      </c>
    </row>
    <row r="37" spans="1:5" x14ac:dyDescent="0.3">
      <c r="A37" s="17" t="s">
        <v>1</v>
      </c>
      <c r="B37" s="17" t="s">
        <v>96</v>
      </c>
      <c r="C37" s="17">
        <v>7</v>
      </c>
      <c r="D37" s="17">
        <v>3</v>
      </c>
      <c r="E37" s="17">
        <v>5</v>
      </c>
    </row>
    <row r="38" spans="1:5" x14ac:dyDescent="0.3">
      <c r="A38" s="17" t="s">
        <v>1</v>
      </c>
      <c r="B38" s="17" t="s">
        <v>1927</v>
      </c>
      <c r="C38" s="17">
        <v>6</v>
      </c>
      <c r="D38" s="17">
        <v>3</v>
      </c>
      <c r="E38" s="17">
        <v>10</v>
      </c>
    </row>
    <row r="39" spans="1:5" x14ac:dyDescent="0.3">
      <c r="A39" s="17" t="s">
        <v>1</v>
      </c>
      <c r="B39" s="17" t="s">
        <v>2429</v>
      </c>
      <c r="C39" s="17">
        <v>4</v>
      </c>
      <c r="D39" s="17">
        <v>3</v>
      </c>
      <c r="E39" s="17">
        <v>5</v>
      </c>
    </row>
    <row r="40" spans="1:5" x14ac:dyDescent="0.3">
      <c r="A40" s="17" t="s">
        <v>1</v>
      </c>
      <c r="B40" s="17" t="s">
        <v>3443</v>
      </c>
      <c r="C40" s="17">
        <v>8</v>
      </c>
      <c r="D40" s="17">
        <v>3</v>
      </c>
      <c r="E40" s="17">
        <v>8</v>
      </c>
    </row>
    <row r="41" spans="1:5" x14ac:dyDescent="0.3">
      <c r="A41" s="17" t="s">
        <v>1</v>
      </c>
      <c r="B41" s="17" t="s">
        <v>103</v>
      </c>
      <c r="C41" s="17">
        <v>3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1130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113</v>
      </c>
      <c r="C43" s="17">
        <v>4</v>
      </c>
      <c r="D43" s="17">
        <v>3</v>
      </c>
      <c r="E43" s="17">
        <v>4</v>
      </c>
    </row>
    <row r="44" spans="1:5" x14ac:dyDescent="0.3">
      <c r="A44" s="17" t="s">
        <v>1</v>
      </c>
      <c r="B44" s="17" t="s">
        <v>45</v>
      </c>
      <c r="C44" s="17">
        <v>4</v>
      </c>
      <c r="D44" s="17">
        <v>3</v>
      </c>
      <c r="E44" s="17">
        <v>4</v>
      </c>
    </row>
    <row r="45" spans="1:5" x14ac:dyDescent="0.3">
      <c r="A45" s="17" t="s">
        <v>1</v>
      </c>
      <c r="B45" s="17" t="s">
        <v>331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121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200</v>
      </c>
      <c r="C47" s="17">
        <v>5</v>
      </c>
      <c r="D47" s="17">
        <v>3</v>
      </c>
      <c r="E47" s="17">
        <v>5</v>
      </c>
    </row>
    <row r="48" spans="1:5" x14ac:dyDescent="0.3">
      <c r="A48" s="17" t="s">
        <v>1</v>
      </c>
      <c r="B48" s="17" t="s">
        <v>262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429</v>
      </c>
      <c r="C49" s="17">
        <v>3</v>
      </c>
      <c r="D49" s="17">
        <v>3</v>
      </c>
      <c r="E49" s="17">
        <v>5</v>
      </c>
    </row>
    <row r="50" spans="1:5" x14ac:dyDescent="0.3">
      <c r="A50" s="17" t="s">
        <v>1</v>
      </c>
      <c r="B50" s="17" t="s">
        <v>563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65</v>
      </c>
      <c r="C51" s="17">
        <v>3</v>
      </c>
      <c r="D51" s="17">
        <v>3</v>
      </c>
      <c r="E51" s="17">
        <v>3</v>
      </c>
    </row>
    <row r="52" spans="1:5" x14ac:dyDescent="0.3">
      <c r="A52" s="17" t="s">
        <v>0</v>
      </c>
      <c r="B52" s="17" t="s">
        <v>503</v>
      </c>
      <c r="C52" s="17">
        <v>3</v>
      </c>
      <c r="D52" s="17">
        <v>3</v>
      </c>
      <c r="E52" s="17">
        <v>3</v>
      </c>
    </row>
    <row r="53" spans="1:5" x14ac:dyDescent="0.3">
      <c r="A53" s="17" t="s">
        <v>0</v>
      </c>
      <c r="B53" s="17" t="s">
        <v>42</v>
      </c>
      <c r="C53" s="17">
        <v>3</v>
      </c>
      <c r="D53" s="17">
        <v>3</v>
      </c>
      <c r="E53" s="17">
        <v>3</v>
      </c>
    </row>
    <row r="54" spans="1:5" x14ac:dyDescent="0.3">
      <c r="A54" s="17" t="s">
        <v>0</v>
      </c>
      <c r="B54" s="17" t="s">
        <v>96</v>
      </c>
      <c r="C54" s="17">
        <v>3</v>
      </c>
      <c r="D54" s="17">
        <v>3</v>
      </c>
      <c r="E54" s="17">
        <v>3</v>
      </c>
    </row>
    <row r="55" spans="1:5" x14ac:dyDescent="0.3">
      <c r="A55" s="17" t="s">
        <v>0</v>
      </c>
      <c r="B55" s="17" t="s">
        <v>1946</v>
      </c>
      <c r="C55" s="17">
        <v>4</v>
      </c>
      <c r="D55" s="17">
        <v>3</v>
      </c>
      <c r="E55" s="17">
        <v>4</v>
      </c>
    </row>
    <row r="56" spans="1:5" x14ac:dyDescent="0.3">
      <c r="A56" s="17" t="s">
        <v>0</v>
      </c>
      <c r="B56" s="17" t="s">
        <v>2396</v>
      </c>
      <c r="C56" s="17">
        <v>3</v>
      </c>
      <c r="D56" s="17">
        <v>3</v>
      </c>
      <c r="E56" s="17">
        <v>4</v>
      </c>
    </row>
    <row r="57" spans="1:5" x14ac:dyDescent="0.3">
      <c r="A57" s="17" t="s">
        <v>0</v>
      </c>
      <c r="B57" s="17" t="s">
        <v>3328</v>
      </c>
      <c r="C57" s="17">
        <v>3</v>
      </c>
      <c r="D57" s="17">
        <v>3</v>
      </c>
      <c r="E57" s="17">
        <v>6</v>
      </c>
    </row>
    <row r="58" spans="1:5" x14ac:dyDescent="0.3">
      <c r="A58" s="17" t="s">
        <v>0</v>
      </c>
      <c r="B58" s="17" t="s">
        <v>1567</v>
      </c>
      <c r="C58" s="17">
        <v>3</v>
      </c>
      <c r="D58" s="17">
        <v>3</v>
      </c>
      <c r="E58" s="17">
        <v>3</v>
      </c>
    </row>
    <row r="59" spans="1:5" x14ac:dyDescent="0.3">
      <c r="A59" s="17" t="s">
        <v>0</v>
      </c>
      <c r="B59" s="17" t="s">
        <v>1130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168</v>
      </c>
      <c r="C60" s="17">
        <v>4</v>
      </c>
      <c r="D60" s="17">
        <v>3</v>
      </c>
      <c r="E60" s="17">
        <v>4</v>
      </c>
    </row>
    <row r="61" spans="1:5" x14ac:dyDescent="0.3">
      <c r="A61" s="17" t="s">
        <v>0</v>
      </c>
      <c r="B61" s="17" t="s">
        <v>51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181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503</v>
      </c>
      <c r="C63" s="17">
        <v>3</v>
      </c>
      <c r="D63" s="17">
        <v>2</v>
      </c>
      <c r="E63" s="17">
        <v>3</v>
      </c>
    </row>
    <row r="64" spans="1:5" x14ac:dyDescent="0.3">
      <c r="A64" s="17" t="s">
        <v>1</v>
      </c>
      <c r="B64" s="17" t="s">
        <v>459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144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78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34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630</v>
      </c>
      <c r="C68" s="17">
        <v>2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149</v>
      </c>
      <c r="C69" s="17">
        <v>2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480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89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154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640</v>
      </c>
      <c r="C73" s="17">
        <v>4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60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42</v>
      </c>
      <c r="C75" s="17">
        <v>4</v>
      </c>
      <c r="D75" s="17">
        <v>2</v>
      </c>
      <c r="E75" s="17">
        <v>4</v>
      </c>
    </row>
    <row r="76" spans="1:5" x14ac:dyDescent="0.3">
      <c r="A76" s="17" t="s">
        <v>1</v>
      </c>
      <c r="B76" s="17" t="s">
        <v>61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2329</v>
      </c>
      <c r="C77" s="17">
        <v>3</v>
      </c>
      <c r="D77" s="17">
        <v>2</v>
      </c>
      <c r="E77" s="17">
        <v>4</v>
      </c>
    </row>
    <row r="78" spans="1:5" x14ac:dyDescent="0.3">
      <c r="A78" s="17" t="s">
        <v>1</v>
      </c>
      <c r="B78" s="17" t="s">
        <v>2399</v>
      </c>
      <c r="C78" s="17">
        <v>4</v>
      </c>
      <c r="D78" s="17">
        <v>2</v>
      </c>
      <c r="E78" s="17">
        <v>4</v>
      </c>
    </row>
    <row r="79" spans="1:5" x14ac:dyDescent="0.3">
      <c r="A79" s="17" t="s">
        <v>1</v>
      </c>
      <c r="B79" s="17" t="s">
        <v>2705</v>
      </c>
      <c r="C79" s="17">
        <v>5</v>
      </c>
      <c r="D79" s="17">
        <v>2</v>
      </c>
      <c r="E79" s="17">
        <v>4</v>
      </c>
    </row>
    <row r="80" spans="1:5" x14ac:dyDescent="0.3">
      <c r="A80" s="17" t="s">
        <v>1</v>
      </c>
      <c r="B80" s="17" t="s">
        <v>3397</v>
      </c>
      <c r="C80" s="17">
        <v>5</v>
      </c>
      <c r="D80" s="17">
        <v>2</v>
      </c>
      <c r="E80" s="17">
        <v>5</v>
      </c>
    </row>
    <row r="81" spans="1:5" x14ac:dyDescent="0.3">
      <c r="A81" s="17" t="s">
        <v>1</v>
      </c>
      <c r="B81" s="17" t="s">
        <v>525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98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840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104</v>
      </c>
      <c r="C84" s="17">
        <v>3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110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407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2109</v>
      </c>
      <c r="C87" s="17">
        <v>2</v>
      </c>
      <c r="D87" s="17">
        <v>2</v>
      </c>
      <c r="E87" s="17">
        <v>5</v>
      </c>
    </row>
    <row r="88" spans="1:5" x14ac:dyDescent="0.3">
      <c r="A88" s="17" t="s">
        <v>1</v>
      </c>
      <c r="B88" s="17" t="s">
        <v>328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115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598</v>
      </c>
      <c r="C90" s="17">
        <v>3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1009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176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662</v>
      </c>
      <c r="C93" s="17">
        <v>6</v>
      </c>
      <c r="D93" s="17">
        <v>2</v>
      </c>
      <c r="E93" s="17">
        <v>5</v>
      </c>
    </row>
    <row r="94" spans="1:5" x14ac:dyDescent="0.3">
      <c r="A94" s="17" t="s">
        <v>1</v>
      </c>
      <c r="B94" s="17" t="s">
        <v>742</v>
      </c>
      <c r="C94" s="17">
        <v>2</v>
      </c>
      <c r="D94" s="17">
        <v>2</v>
      </c>
      <c r="E94" s="17">
        <v>6</v>
      </c>
    </row>
    <row r="95" spans="1:5" x14ac:dyDescent="0.3">
      <c r="A95" s="17" t="s">
        <v>1</v>
      </c>
      <c r="B95" s="17" t="s">
        <v>472</v>
      </c>
      <c r="C95" s="17">
        <v>3</v>
      </c>
      <c r="D95" s="17">
        <v>2</v>
      </c>
      <c r="E95" s="17">
        <v>4</v>
      </c>
    </row>
    <row r="96" spans="1:5" x14ac:dyDescent="0.3">
      <c r="A96" s="17" t="s">
        <v>1</v>
      </c>
      <c r="B96" s="17" t="s">
        <v>1191</v>
      </c>
      <c r="C96" s="17">
        <v>3</v>
      </c>
      <c r="D96" s="17">
        <v>2</v>
      </c>
      <c r="E96" s="17">
        <v>5</v>
      </c>
    </row>
    <row r="97" spans="1:5" x14ac:dyDescent="0.3">
      <c r="A97" s="17" t="s">
        <v>1</v>
      </c>
      <c r="B97" s="17" t="s">
        <v>192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135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195</v>
      </c>
      <c r="C99" s="17">
        <v>6</v>
      </c>
      <c r="D99" s="17">
        <v>2</v>
      </c>
      <c r="E99" s="17">
        <v>11</v>
      </c>
    </row>
    <row r="100" spans="1:5" x14ac:dyDescent="0.3">
      <c r="A100" s="17" t="s">
        <v>1</v>
      </c>
      <c r="B100" s="17" t="s">
        <v>266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760</v>
      </c>
      <c r="C101" s="17">
        <v>2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1213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36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384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272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210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79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34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583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155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60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2075</v>
      </c>
      <c r="C112" s="17">
        <v>4</v>
      </c>
      <c r="D112" s="17">
        <v>2</v>
      </c>
      <c r="E112" s="17">
        <v>4</v>
      </c>
    </row>
    <row r="113" spans="1:5" x14ac:dyDescent="0.3">
      <c r="A113" s="17" t="s">
        <v>0</v>
      </c>
      <c r="B113" s="17" t="s">
        <v>1128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840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0</v>
      </c>
      <c r="B115" s="17" t="s">
        <v>28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107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999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45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200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662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262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68</v>
      </c>
      <c r="C122" s="17">
        <v>3</v>
      </c>
      <c r="D122" s="17">
        <v>2</v>
      </c>
      <c r="E122" s="17">
        <v>5</v>
      </c>
    </row>
    <row r="123" spans="1:5" x14ac:dyDescent="0.3">
      <c r="A123" s="17" t="s">
        <v>0</v>
      </c>
      <c r="B123" s="17" t="s">
        <v>3490</v>
      </c>
      <c r="C123" s="17">
        <v>2</v>
      </c>
      <c r="D123" s="17">
        <v>2</v>
      </c>
      <c r="E123" s="17">
        <v>3</v>
      </c>
    </row>
    <row r="124" spans="1:5" x14ac:dyDescent="0.3">
      <c r="A124" s="17" t="s">
        <v>1</v>
      </c>
      <c r="B124" s="17" t="s">
        <v>489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389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140</v>
      </c>
      <c r="C126" s="17">
        <v>1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1488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70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268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1249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578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507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764</v>
      </c>
      <c r="C133" s="17">
        <v>2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384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1623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383</v>
      </c>
      <c r="C136" s="17">
        <v>1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987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1370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209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1471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313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146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490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147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1335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357</v>
      </c>
      <c r="C146" s="17">
        <v>2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627</v>
      </c>
      <c r="C147" s="17">
        <v>2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989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246</v>
      </c>
      <c r="C149" s="17">
        <v>2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908</v>
      </c>
      <c r="C150" s="17">
        <v>3</v>
      </c>
      <c r="D150" s="17">
        <v>1</v>
      </c>
      <c r="E150" s="17">
        <v>3</v>
      </c>
    </row>
    <row r="151" spans="1:5" x14ac:dyDescent="0.3">
      <c r="A151" s="17" t="s">
        <v>1</v>
      </c>
      <c r="B151" s="17" t="s">
        <v>213</v>
      </c>
      <c r="C151" s="17">
        <v>3</v>
      </c>
      <c r="D151" s="17">
        <v>1</v>
      </c>
      <c r="E151" s="17">
        <v>3</v>
      </c>
    </row>
    <row r="152" spans="1:5" x14ac:dyDescent="0.3">
      <c r="A152" s="17" t="s">
        <v>1</v>
      </c>
      <c r="B152" s="17" t="s">
        <v>315</v>
      </c>
      <c r="C152" s="17">
        <v>2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215</v>
      </c>
      <c r="C153" s="17">
        <v>1</v>
      </c>
      <c r="D153" s="17">
        <v>1</v>
      </c>
      <c r="E153" s="17">
        <v>3</v>
      </c>
    </row>
    <row r="154" spans="1:5" x14ac:dyDescent="0.3">
      <c r="A154" s="17" t="s">
        <v>1</v>
      </c>
      <c r="B154" s="17" t="s">
        <v>148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519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1055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628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1165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584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766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264</v>
      </c>
      <c r="C161" s="17">
        <v>3</v>
      </c>
      <c r="D161" s="17">
        <v>1</v>
      </c>
      <c r="E161" s="17">
        <v>3</v>
      </c>
    </row>
    <row r="162" spans="1:5" x14ac:dyDescent="0.3">
      <c r="A162" s="17" t="s">
        <v>1</v>
      </c>
      <c r="B162" s="17" t="s">
        <v>1414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87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362</v>
      </c>
      <c r="C164" s="17">
        <v>3</v>
      </c>
      <c r="D164" s="17">
        <v>1</v>
      </c>
      <c r="E164" s="17">
        <v>4</v>
      </c>
    </row>
    <row r="165" spans="1:5" x14ac:dyDescent="0.3">
      <c r="A165" s="17" t="s">
        <v>1</v>
      </c>
      <c r="B165" s="17" t="s">
        <v>216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3491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221</v>
      </c>
      <c r="C167" s="17">
        <v>2</v>
      </c>
      <c r="D167" s="17">
        <v>1</v>
      </c>
      <c r="E167" s="17">
        <v>4</v>
      </c>
    </row>
    <row r="168" spans="1:5" x14ac:dyDescent="0.3">
      <c r="A168" s="17" t="s">
        <v>1</v>
      </c>
      <c r="B168" s="17" t="s">
        <v>93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639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261</v>
      </c>
      <c r="C170" s="17">
        <v>4</v>
      </c>
      <c r="D170" s="17">
        <v>1</v>
      </c>
      <c r="E170" s="17">
        <v>3</v>
      </c>
    </row>
    <row r="171" spans="1:5" x14ac:dyDescent="0.3">
      <c r="A171" s="17" t="s">
        <v>1</v>
      </c>
      <c r="B171" s="17" t="s">
        <v>223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41</v>
      </c>
      <c r="C172" s="17">
        <v>5</v>
      </c>
      <c r="D172" s="17">
        <v>1</v>
      </c>
      <c r="E172" s="17">
        <v>5</v>
      </c>
    </row>
    <row r="173" spans="1:5" x14ac:dyDescent="0.3">
      <c r="A173" s="17" t="s">
        <v>1</v>
      </c>
      <c r="B173" s="17" t="s">
        <v>642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1775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1897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1912</v>
      </c>
      <c r="C176" s="17">
        <v>3</v>
      </c>
      <c r="D176" s="17">
        <v>1</v>
      </c>
      <c r="E176" s="17">
        <v>4</v>
      </c>
    </row>
    <row r="177" spans="1:5" x14ac:dyDescent="0.3">
      <c r="A177" s="17" t="s">
        <v>1</v>
      </c>
      <c r="B177" s="17" t="s">
        <v>2068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2400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3492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2442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2428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3382</v>
      </c>
      <c r="C182" s="17">
        <v>5</v>
      </c>
      <c r="D182" s="17">
        <v>1</v>
      </c>
      <c r="E182" s="17">
        <v>6</v>
      </c>
    </row>
    <row r="183" spans="1:5" x14ac:dyDescent="0.3">
      <c r="A183" s="17" t="s">
        <v>1</v>
      </c>
      <c r="B183" s="17" t="s">
        <v>439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866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159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97</v>
      </c>
      <c r="C186" s="17">
        <v>2</v>
      </c>
      <c r="D186" s="17">
        <v>1</v>
      </c>
      <c r="E186" s="17">
        <v>3</v>
      </c>
    </row>
    <row r="187" spans="1:5" x14ac:dyDescent="0.3">
      <c r="A187" s="17" t="s">
        <v>1</v>
      </c>
      <c r="B187" s="17" t="s">
        <v>402</v>
      </c>
      <c r="C187" s="17">
        <v>1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3493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1278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1567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283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527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715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769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441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403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1145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589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102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1221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165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1260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1372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2025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106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3494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322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1862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1222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168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1288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1223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109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1545</v>
      </c>
      <c r="C215" s="17">
        <v>1</v>
      </c>
      <c r="D215" s="17">
        <v>1</v>
      </c>
      <c r="E215" s="17">
        <v>4</v>
      </c>
    </row>
    <row r="216" spans="1:5" x14ac:dyDescent="0.3">
      <c r="A216" s="17" t="s">
        <v>1</v>
      </c>
      <c r="B216" s="17" t="s">
        <v>1838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649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172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112</v>
      </c>
      <c r="C219" s="17">
        <v>1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3437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1225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650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2209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533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534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1955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694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1956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807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721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1196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1681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539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775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1655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330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292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369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596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296</v>
      </c>
      <c r="C240" s="17">
        <v>2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230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2102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1630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975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468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654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607</v>
      </c>
      <c r="C247" s="17">
        <v>2</v>
      </c>
      <c r="D247" s="17">
        <v>1</v>
      </c>
      <c r="E247" s="17">
        <v>4</v>
      </c>
    </row>
    <row r="248" spans="1:5" x14ac:dyDescent="0.3">
      <c r="A248" s="17" t="s">
        <v>1</v>
      </c>
      <c r="B248" s="17" t="s">
        <v>2479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1172</v>
      </c>
      <c r="C249" s="17">
        <v>2</v>
      </c>
      <c r="D249" s="17">
        <v>1</v>
      </c>
      <c r="E249" s="17">
        <v>3</v>
      </c>
    </row>
    <row r="250" spans="1:5" x14ac:dyDescent="0.3">
      <c r="A250" s="17" t="s">
        <v>1</v>
      </c>
      <c r="B250" s="17" t="s">
        <v>1187</v>
      </c>
      <c r="C250" s="17">
        <v>1</v>
      </c>
      <c r="D250" s="17">
        <v>1</v>
      </c>
      <c r="E250" s="17">
        <v>2</v>
      </c>
    </row>
    <row r="251" spans="1:5" x14ac:dyDescent="0.3">
      <c r="A251" s="17" t="s">
        <v>1</v>
      </c>
      <c r="B251" s="17" t="s">
        <v>1448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1510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886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414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116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1180</v>
      </c>
      <c r="C256" s="17">
        <v>2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2266</v>
      </c>
      <c r="C257" s="17">
        <v>2</v>
      </c>
      <c r="D257" s="17">
        <v>1</v>
      </c>
      <c r="E257" s="17">
        <v>2</v>
      </c>
    </row>
    <row r="258" spans="1:5" x14ac:dyDescent="0.3">
      <c r="A258" s="17" t="s">
        <v>1</v>
      </c>
      <c r="B258" s="17" t="s">
        <v>1380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340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1161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1865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298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1396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448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957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2003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124</v>
      </c>
      <c r="C267" s="17">
        <v>2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125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959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890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555</v>
      </c>
      <c r="C271" s="17">
        <v>2</v>
      </c>
      <c r="D271" s="17">
        <v>1</v>
      </c>
      <c r="E271" s="17">
        <v>3</v>
      </c>
    </row>
    <row r="272" spans="1:5" x14ac:dyDescent="0.3">
      <c r="A272" s="17" t="s">
        <v>1</v>
      </c>
      <c r="B272" s="17" t="s">
        <v>3495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1894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1457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1114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421</v>
      </c>
      <c r="C276" s="17">
        <v>1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422</v>
      </c>
      <c r="C277" s="17">
        <v>2</v>
      </c>
      <c r="D277" s="17">
        <v>1</v>
      </c>
      <c r="E277" s="17">
        <v>3</v>
      </c>
    </row>
    <row r="278" spans="1:5" x14ac:dyDescent="0.3">
      <c r="A278" s="17" t="s">
        <v>1</v>
      </c>
      <c r="B278" s="17" t="s">
        <v>1163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347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2306</v>
      </c>
      <c r="C280" s="17">
        <v>2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63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746</v>
      </c>
      <c r="C282" s="17">
        <v>1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182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2289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2382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126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2106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962</v>
      </c>
      <c r="C288" s="17">
        <v>2</v>
      </c>
      <c r="D288" s="17">
        <v>1</v>
      </c>
      <c r="E288" s="17">
        <v>4</v>
      </c>
    </row>
    <row r="289" spans="1:5" x14ac:dyDescent="0.3">
      <c r="A289" s="17" t="s">
        <v>1</v>
      </c>
      <c r="B289" s="17" t="s">
        <v>698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349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3496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561</v>
      </c>
      <c r="C292" s="17">
        <v>1</v>
      </c>
      <c r="D292" s="17">
        <v>1</v>
      </c>
      <c r="E292" s="17">
        <v>3</v>
      </c>
    </row>
    <row r="293" spans="1:5" x14ac:dyDescent="0.3">
      <c r="A293" s="17" t="s">
        <v>1</v>
      </c>
      <c r="B293" s="17" t="s">
        <v>821</v>
      </c>
      <c r="C293" s="17">
        <v>2</v>
      </c>
      <c r="D293" s="17">
        <v>1</v>
      </c>
      <c r="E293" s="17">
        <v>3</v>
      </c>
    </row>
    <row r="294" spans="1:5" x14ac:dyDescent="0.3">
      <c r="A294" s="17" t="s">
        <v>1</v>
      </c>
      <c r="B294" s="17" t="s">
        <v>350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919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3497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785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824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751</v>
      </c>
      <c r="C299" s="17">
        <v>2</v>
      </c>
      <c r="D299" s="17">
        <v>1</v>
      </c>
      <c r="E299" s="17">
        <v>8</v>
      </c>
    </row>
    <row r="300" spans="1:5" x14ac:dyDescent="0.3">
      <c r="A300" s="17" t="s">
        <v>1</v>
      </c>
      <c r="B300" s="17" t="s">
        <v>451</v>
      </c>
      <c r="C300" s="17">
        <v>1</v>
      </c>
      <c r="D300" s="17">
        <v>1</v>
      </c>
      <c r="E300" s="17">
        <v>2</v>
      </c>
    </row>
    <row r="301" spans="1:5" x14ac:dyDescent="0.3">
      <c r="A301" s="17" t="s">
        <v>1</v>
      </c>
      <c r="B301" s="17" t="s">
        <v>669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499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565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455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842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567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306</v>
      </c>
      <c r="C307" s="17">
        <v>2</v>
      </c>
      <c r="D307" s="17">
        <v>1</v>
      </c>
      <c r="E307" s="17">
        <v>2</v>
      </c>
    </row>
    <row r="308" spans="1:5" x14ac:dyDescent="0.3">
      <c r="A308" s="17" t="s">
        <v>1</v>
      </c>
      <c r="B308" s="17" t="s">
        <v>53</v>
      </c>
      <c r="C308" s="17">
        <v>1</v>
      </c>
      <c r="D308" s="17">
        <v>1</v>
      </c>
      <c r="E308" s="17">
        <v>2</v>
      </c>
    </row>
    <row r="309" spans="1:5" x14ac:dyDescent="0.3">
      <c r="A309" s="17" t="s">
        <v>1</v>
      </c>
      <c r="B309" s="17" t="s">
        <v>1476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849</v>
      </c>
      <c r="C310" s="17">
        <v>1</v>
      </c>
      <c r="D310" s="17">
        <v>1</v>
      </c>
      <c r="E310" s="17">
        <v>2</v>
      </c>
    </row>
    <row r="311" spans="1:5" x14ac:dyDescent="0.3">
      <c r="A311" s="17" t="s">
        <v>1</v>
      </c>
      <c r="B311" s="17" t="s">
        <v>3498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235</v>
      </c>
      <c r="C312" s="17">
        <v>10</v>
      </c>
      <c r="D312" s="17">
        <v>1</v>
      </c>
      <c r="E312" s="17">
        <v>12</v>
      </c>
    </row>
    <row r="313" spans="1:5" x14ac:dyDescent="0.3">
      <c r="A313" s="17" t="s">
        <v>1</v>
      </c>
      <c r="B313" s="17" t="s">
        <v>67</v>
      </c>
      <c r="C313" s="17">
        <v>4</v>
      </c>
      <c r="D313" s="17">
        <v>1</v>
      </c>
      <c r="E313" s="17">
        <v>17</v>
      </c>
    </row>
    <row r="314" spans="1:5" x14ac:dyDescent="0.3">
      <c r="A314" s="17" t="s">
        <v>1</v>
      </c>
      <c r="B314" s="17" t="s">
        <v>236</v>
      </c>
      <c r="C314" s="17">
        <v>4</v>
      </c>
      <c r="D314" s="17">
        <v>1</v>
      </c>
      <c r="E314" s="17">
        <v>14</v>
      </c>
    </row>
    <row r="315" spans="1:5" x14ac:dyDescent="0.3">
      <c r="A315" s="17" t="s">
        <v>1</v>
      </c>
      <c r="B315" s="17" t="s">
        <v>68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237</v>
      </c>
      <c r="C316" s="17">
        <v>3</v>
      </c>
      <c r="D316" s="17">
        <v>1</v>
      </c>
      <c r="E316" s="17">
        <v>5</v>
      </c>
    </row>
    <row r="317" spans="1:5" x14ac:dyDescent="0.3">
      <c r="A317" s="17" t="s">
        <v>1</v>
      </c>
      <c r="B317" s="17" t="s">
        <v>54</v>
      </c>
      <c r="C317" s="17">
        <v>4</v>
      </c>
      <c r="D317" s="17">
        <v>1</v>
      </c>
      <c r="E317" s="17">
        <v>5</v>
      </c>
    </row>
    <row r="318" spans="1:5" x14ac:dyDescent="0.3">
      <c r="A318" s="17" t="s">
        <v>1</v>
      </c>
      <c r="B318" s="17" t="s">
        <v>1605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55</v>
      </c>
      <c r="C319" s="17">
        <v>4</v>
      </c>
      <c r="D319" s="17">
        <v>1</v>
      </c>
      <c r="E319" s="17">
        <v>7</v>
      </c>
    </row>
    <row r="320" spans="1:5" x14ac:dyDescent="0.3">
      <c r="A320" s="17" t="s">
        <v>1</v>
      </c>
      <c r="B320" s="17" t="s">
        <v>571</v>
      </c>
      <c r="C320" s="17">
        <v>1</v>
      </c>
      <c r="D320" s="17">
        <v>1</v>
      </c>
      <c r="E320" s="17"/>
    </row>
    <row r="321" spans="1:5" x14ac:dyDescent="0.3">
      <c r="A321" s="17" t="s">
        <v>1</v>
      </c>
      <c r="B321" s="17" t="s">
        <v>3470</v>
      </c>
      <c r="C321" s="17">
        <v>1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1859</v>
      </c>
      <c r="C322" s="17">
        <v>1</v>
      </c>
      <c r="D322" s="17">
        <v>1</v>
      </c>
      <c r="E322" s="17"/>
    </row>
    <row r="323" spans="1:5" x14ac:dyDescent="0.3">
      <c r="A323" s="17" t="s">
        <v>1</v>
      </c>
      <c r="B323" s="17" t="s">
        <v>2263</v>
      </c>
      <c r="C323" s="17">
        <v>1</v>
      </c>
      <c r="D323" s="17">
        <v>1</v>
      </c>
      <c r="E323" s="17"/>
    </row>
    <row r="324" spans="1:5" x14ac:dyDescent="0.3">
      <c r="A324" s="17" t="s">
        <v>1</v>
      </c>
      <c r="B324" s="17" t="s">
        <v>674</v>
      </c>
      <c r="C324" s="17">
        <v>1</v>
      </c>
      <c r="D324" s="17">
        <v>1</v>
      </c>
      <c r="E324" s="17"/>
    </row>
    <row r="325" spans="1:5" x14ac:dyDescent="0.3">
      <c r="A325" s="17" t="s">
        <v>1</v>
      </c>
      <c r="B325" s="17" t="s">
        <v>2307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758</v>
      </c>
      <c r="C326" s="17">
        <v>1</v>
      </c>
      <c r="D326" s="17">
        <v>1</v>
      </c>
      <c r="E326" s="17"/>
    </row>
    <row r="327" spans="1:5" x14ac:dyDescent="0.3">
      <c r="A327" s="17" t="s">
        <v>1</v>
      </c>
      <c r="B327" s="17" t="s">
        <v>1606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1049</v>
      </c>
      <c r="C328" s="17">
        <v>1</v>
      </c>
      <c r="D328" s="17">
        <v>2</v>
      </c>
      <c r="E328" s="17"/>
    </row>
    <row r="329" spans="1:5" x14ac:dyDescent="0.3">
      <c r="A329" s="17" t="s">
        <v>1</v>
      </c>
      <c r="B329" s="17" t="s">
        <v>850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1138</v>
      </c>
      <c r="C330" s="17">
        <v>1</v>
      </c>
      <c r="D330" s="17">
        <v>1</v>
      </c>
      <c r="E330" s="17">
        <v>3</v>
      </c>
    </row>
    <row r="331" spans="1:5" x14ac:dyDescent="0.3">
      <c r="A331" s="17" t="s">
        <v>1</v>
      </c>
      <c r="B331" s="17" t="s">
        <v>3499</v>
      </c>
      <c r="C331" s="17">
        <v>1</v>
      </c>
      <c r="D331" s="17">
        <v>1</v>
      </c>
      <c r="E331" s="17"/>
    </row>
    <row r="332" spans="1:5" x14ac:dyDescent="0.3">
      <c r="A332" s="17" t="s">
        <v>1</v>
      </c>
      <c r="B332" s="17" t="s">
        <v>2073</v>
      </c>
      <c r="C332" s="17">
        <v>1</v>
      </c>
      <c r="D332" s="17">
        <v>5</v>
      </c>
      <c r="E332" s="17"/>
    </row>
    <row r="333" spans="1:5" x14ac:dyDescent="0.3">
      <c r="A333" s="17" t="s">
        <v>1</v>
      </c>
      <c r="B333" s="17" t="s">
        <v>2165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677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243</v>
      </c>
      <c r="C335" s="17">
        <v>1</v>
      </c>
      <c r="D335" s="17">
        <v>1</v>
      </c>
      <c r="E335" s="17">
        <v>2</v>
      </c>
    </row>
    <row r="336" spans="1:5" x14ac:dyDescent="0.3">
      <c r="A336" s="17" t="s">
        <v>0</v>
      </c>
      <c r="B336" s="17" t="s">
        <v>311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505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613</v>
      </c>
      <c r="C338" s="17">
        <v>2</v>
      </c>
      <c r="D338" s="17">
        <v>1</v>
      </c>
      <c r="E338" s="17">
        <v>2</v>
      </c>
    </row>
    <row r="339" spans="1:5" x14ac:dyDescent="0.3">
      <c r="A339" s="17" t="s">
        <v>0</v>
      </c>
      <c r="B339" s="17" t="s">
        <v>617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509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2776</v>
      </c>
      <c r="C341" s="17">
        <v>1</v>
      </c>
      <c r="D341" s="17">
        <v>1</v>
      </c>
      <c r="E341" s="17">
        <v>2</v>
      </c>
    </row>
    <row r="342" spans="1:5" x14ac:dyDescent="0.3">
      <c r="A342" s="17" t="s">
        <v>0</v>
      </c>
      <c r="B342" s="17" t="s">
        <v>144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624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490</v>
      </c>
      <c r="C344" s="17">
        <v>2</v>
      </c>
      <c r="D344" s="17">
        <v>1</v>
      </c>
      <c r="E344" s="17">
        <v>2</v>
      </c>
    </row>
    <row r="345" spans="1:5" x14ac:dyDescent="0.3">
      <c r="A345" s="17" t="s">
        <v>0</v>
      </c>
      <c r="B345" s="17" t="s">
        <v>1953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80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81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1846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83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215</v>
      </c>
      <c r="C350" s="17">
        <v>1</v>
      </c>
      <c r="D350" s="17">
        <v>1</v>
      </c>
      <c r="E350" s="17">
        <v>2</v>
      </c>
    </row>
    <row r="351" spans="1:5" x14ac:dyDescent="0.3">
      <c r="A351" s="17" t="s">
        <v>0</v>
      </c>
      <c r="B351" s="17" t="s">
        <v>148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84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85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86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397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1090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280</v>
      </c>
      <c r="C357" s="17">
        <v>1</v>
      </c>
      <c r="D357" s="17">
        <v>1</v>
      </c>
      <c r="E357" s="17">
        <v>2</v>
      </c>
    </row>
    <row r="358" spans="1:5" x14ac:dyDescent="0.3">
      <c r="A358" s="17" t="s">
        <v>0</v>
      </c>
      <c r="B358" s="17" t="s">
        <v>1414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1203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152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1317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972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1283</v>
      </c>
      <c r="C363" s="17">
        <v>1</v>
      </c>
      <c r="D363" s="17">
        <v>1</v>
      </c>
      <c r="E363" s="17">
        <v>2</v>
      </c>
    </row>
    <row r="364" spans="1:5" x14ac:dyDescent="0.3">
      <c r="A364" s="17" t="s">
        <v>0</v>
      </c>
      <c r="B364" s="17" t="s">
        <v>281</v>
      </c>
      <c r="C364" s="17">
        <v>2</v>
      </c>
      <c r="D364" s="17">
        <v>1</v>
      </c>
      <c r="E364" s="17">
        <v>2</v>
      </c>
    </row>
    <row r="365" spans="1:5" x14ac:dyDescent="0.3">
      <c r="A365" s="17" t="s">
        <v>0</v>
      </c>
      <c r="B365" s="17" t="s">
        <v>154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641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41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487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1581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1691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1871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1897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1927</v>
      </c>
      <c r="C373" s="17">
        <v>2</v>
      </c>
      <c r="D373" s="17">
        <v>1</v>
      </c>
      <c r="E373" s="17">
        <v>2</v>
      </c>
    </row>
    <row r="374" spans="1:5" x14ac:dyDescent="0.3">
      <c r="A374" s="17" t="s">
        <v>0</v>
      </c>
      <c r="B374" s="17" t="s">
        <v>2398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2599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3036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3382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3397</v>
      </c>
      <c r="C378" s="17">
        <v>3</v>
      </c>
      <c r="D378" s="17">
        <v>1</v>
      </c>
      <c r="E378" s="17">
        <v>3</v>
      </c>
    </row>
    <row r="379" spans="1:5" x14ac:dyDescent="0.3">
      <c r="A379" s="17" t="s">
        <v>0</v>
      </c>
      <c r="B379" s="17" t="s">
        <v>158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1167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159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401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3500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526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35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3501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1618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946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1479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160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319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403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161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404</v>
      </c>
      <c r="C394" s="17">
        <v>1</v>
      </c>
      <c r="D394" s="17">
        <v>1</v>
      </c>
      <c r="E394" s="17">
        <v>2</v>
      </c>
    </row>
    <row r="395" spans="1:5" x14ac:dyDescent="0.3">
      <c r="A395" s="17" t="s">
        <v>0</v>
      </c>
      <c r="B395" s="17" t="s">
        <v>998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102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1612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103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352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716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105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2335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406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593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408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289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409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2109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174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1654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326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916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1320</v>
      </c>
      <c r="C413" s="17">
        <v>1</v>
      </c>
      <c r="D413" s="17">
        <v>1</v>
      </c>
      <c r="E413" s="17">
        <v>2</v>
      </c>
    </row>
    <row r="414" spans="1:5" x14ac:dyDescent="0.3">
      <c r="A414" s="17" t="s">
        <v>0</v>
      </c>
      <c r="B414" s="17" t="s">
        <v>327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1583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330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1726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1574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468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1473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1975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117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1584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447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176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957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3073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121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122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695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1767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300</v>
      </c>
      <c r="C432" s="17">
        <v>1</v>
      </c>
      <c r="D432" s="17">
        <v>1</v>
      </c>
      <c r="E432" s="17">
        <v>2</v>
      </c>
    </row>
    <row r="433" spans="1:5" x14ac:dyDescent="0.3">
      <c r="A433" s="17" t="s">
        <v>0</v>
      </c>
      <c r="B433" s="17" t="s">
        <v>375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1016</v>
      </c>
      <c r="C434" s="17">
        <v>1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1398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1631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703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303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604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561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350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190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259</v>
      </c>
      <c r="C443" s="17">
        <v>1</v>
      </c>
      <c r="D443" s="17">
        <v>1</v>
      </c>
      <c r="E443" s="17">
        <v>3</v>
      </c>
    </row>
    <row r="444" spans="1:5" x14ac:dyDescent="0.3">
      <c r="A444" s="17" t="s">
        <v>0</v>
      </c>
      <c r="B444" s="17" t="s">
        <v>351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65</v>
      </c>
      <c r="C445" s="17">
        <v>1</v>
      </c>
      <c r="D445" s="17">
        <v>1</v>
      </c>
      <c r="E445" s="17">
        <v>2</v>
      </c>
    </row>
    <row r="446" spans="1:5" x14ac:dyDescent="0.3">
      <c r="A446" s="17" t="s">
        <v>0</v>
      </c>
      <c r="B446" s="17" t="s">
        <v>565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234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135</v>
      </c>
      <c r="C448" s="17">
        <v>1</v>
      </c>
      <c r="D448" s="17">
        <v>1</v>
      </c>
      <c r="E448" s="17">
        <v>2</v>
      </c>
    </row>
    <row r="449" spans="1:5" x14ac:dyDescent="0.3">
      <c r="A449" s="17" t="s">
        <v>0</v>
      </c>
      <c r="B449" s="17" t="s">
        <v>306</v>
      </c>
      <c r="C449" s="17">
        <v>1</v>
      </c>
      <c r="D449" s="17">
        <v>1</v>
      </c>
      <c r="E449" s="17">
        <v>3</v>
      </c>
    </row>
    <row r="450" spans="1:5" x14ac:dyDescent="0.3">
      <c r="A450" s="17" t="s">
        <v>0</v>
      </c>
      <c r="B450" s="17" t="s">
        <v>193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67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456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760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69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2</v>
      </c>
      <c r="B455" s="17" t="s">
        <v>30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2</v>
      </c>
      <c r="B456" s="17" t="s">
        <v>48</v>
      </c>
      <c r="C456" s="17">
        <v>1</v>
      </c>
      <c r="D456" s="17">
        <v>1</v>
      </c>
      <c r="E456" s="17">
        <v>2</v>
      </c>
    </row>
    <row r="457" spans="1:5" x14ac:dyDescent="0.3">
      <c r="A457" s="17" t="s">
        <v>2</v>
      </c>
      <c r="B457" s="17" t="s">
        <v>365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2</v>
      </c>
      <c r="B458" s="17" t="s">
        <v>594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2</v>
      </c>
      <c r="B459" s="17" t="s">
        <v>1230</v>
      </c>
      <c r="C459" s="17">
        <v>1</v>
      </c>
      <c r="D459" s="17">
        <v>1</v>
      </c>
      <c r="E459" s="17">
        <v>2</v>
      </c>
    </row>
    <row r="460" spans="1:5" x14ac:dyDescent="0.3">
      <c r="A460" s="17" t="s">
        <v>2</v>
      </c>
      <c r="B460" s="17" t="s">
        <v>598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2</v>
      </c>
      <c r="B461" s="17" t="s">
        <v>890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2</v>
      </c>
      <c r="B462" s="17" t="s">
        <v>3502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1</v>
      </c>
      <c r="B463" s="17" t="s">
        <v>354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379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1664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204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610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392</v>
      </c>
      <c r="C468" s="17">
        <v>2</v>
      </c>
      <c r="D468" s="17">
        <v>0</v>
      </c>
      <c r="E468" s="17">
        <v>4</v>
      </c>
    </row>
    <row r="469" spans="1:5" x14ac:dyDescent="0.3">
      <c r="A469" s="17" t="s">
        <v>1</v>
      </c>
      <c r="B469" s="17" t="s">
        <v>478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3503</v>
      </c>
      <c r="C470" s="17">
        <v>1</v>
      </c>
      <c r="D470" s="17">
        <v>0</v>
      </c>
      <c r="E470" s="17">
        <v>2</v>
      </c>
    </row>
    <row r="471" spans="1:5" x14ac:dyDescent="0.3">
      <c r="A471" s="17" t="s">
        <v>1</v>
      </c>
      <c r="B471" s="17" t="s">
        <v>270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613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74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75</v>
      </c>
      <c r="C474" s="17">
        <v>1</v>
      </c>
      <c r="D474" s="17">
        <v>0</v>
      </c>
      <c r="E474" s="17">
        <v>2</v>
      </c>
    </row>
    <row r="475" spans="1:5" x14ac:dyDescent="0.3">
      <c r="A475" s="17" t="s">
        <v>1</v>
      </c>
      <c r="B475" s="17" t="s">
        <v>207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393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76</v>
      </c>
      <c r="C477" s="17">
        <v>1</v>
      </c>
      <c r="D477" s="17">
        <v>0</v>
      </c>
      <c r="E477" s="17">
        <v>2</v>
      </c>
    </row>
    <row r="478" spans="1:5" x14ac:dyDescent="0.3">
      <c r="A478" s="17" t="s">
        <v>1</v>
      </c>
      <c r="B478" s="17" t="s">
        <v>582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210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461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707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626</v>
      </c>
      <c r="C482" s="17">
        <v>2</v>
      </c>
      <c r="D482" s="17">
        <v>0</v>
      </c>
      <c r="E482" s="17">
        <v>2</v>
      </c>
    </row>
    <row r="483" spans="1:5" x14ac:dyDescent="0.3">
      <c r="A483" s="17" t="s">
        <v>1</v>
      </c>
      <c r="B483" s="17" t="s">
        <v>211</v>
      </c>
      <c r="C483" s="17">
        <v>1</v>
      </c>
      <c r="D483" s="17">
        <v>0</v>
      </c>
      <c r="E483" s="17">
        <v>0</v>
      </c>
    </row>
    <row r="484" spans="1:5" x14ac:dyDescent="0.3">
      <c r="A484" s="17" t="s">
        <v>1</v>
      </c>
      <c r="B484" s="17" t="s">
        <v>247</v>
      </c>
      <c r="C484" s="17">
        <v>1</v>
      </c>
      <c r="D484" s="17">
        <v>0</v>
      </c>
      <c r="E484" s="17">
        <v>2</v>
      </c>
    </row>
    <row r="485" spans="1:5" x14ac:dyDescent="0.3">
      <c r="A485" s="17" t="s">
        <v>1</v>
      </c>
      <c r="B485" s="17" t="s">
        <v>990</v>
      </c>
      <c r="C485" s="17">
        <v>1</v>
      </c>
      <c r="D485" s="17">
        <v>0</v>
      </c>
      <c r="E485" s="17">
        <v>0</v>
      </c>
    </row>
    <row r="486" spans="1:5" x14ac:dyDescent="0.3">
      <c r="A486" s="17" t="s">
        <v>1</v>
      </c>
      <c r="B486" s="17" t="s">
        <v>359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860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462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2127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1535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1056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360</v>
      </c>
      <c r="C492" s="17">
        <v>2</v>
      </c>
      <c r="D492" s="17">
        <v>0</v>
      </c>
      <c r="E492" s="17">
        <v>2</v>
      </c>
    </row>
    <row r="493" spans="1:5" x14ac:dyDescent="0.3">
      <c r="A493" s="17" t="s">
        <v>1</v>
      </c>
      <c r="B493" s="17" t="s">
        <v>1090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937</v>
      </c>
      <c r="C494" s="17">
        <v>2</v>
      </c>
      <c r="D494" s="17">
        <v>0</v>
      </c>
      <c r="E494" s="17">
        <v>2</v>
      </c>
    </row>
    <row r="495" spans="1:5" x14ac:dyDescent="0.3">
      <c r="A495" s="17" t="s">
        <v>1</v>
      </c>
      <c r="B495" s="17" t="s">
        <v>316</v>
      </c>
      <c r="C495" s="17">
        <v>2</v>
      </c>
      <c r="D495" s="17">
        <v>0</v>
      </c>
      <c r="E495" s="17">
        <v>2</v>
      </c>
    </row>
    <row r="496" spans="1:5" x14ac:dyDescent="0.3">
      <c r="A496" s="17" t="s">
        <v>1</v>
      </c>
      <c r="B496" s="17" t="s">
        <v>88</v>
      </c>
      <c r="C496" s="17">
        <v>1</v>
      </c>
      <c r="D496" s="17">
        <v>0</v>
      </c>
      <c r="E496" s="17">
        <v>0</v>
      </c>
    </row>
    <row r="497" spans="1:5" x14ac:dyDescent="0.3">
      <c r="A497" s="17" t="s">
        <v>1</v>
      </c>
      <c r="B497" s="17" t="s">
        <v>151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1537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521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634</v>
      </c>
      <c r="C500" s="17">
        <v>2</v>
      </c>
      <c r="D500" s="17">
        <v>0</v>
      </c>
      <c r="E500" s="17">
        <v>2</v>
      </c>
    </row>
    <row r="501" spans="1:5" x14ac:dyDescent="0.3">
      <c r="A501" s="17" t="s">
        <v>1</v>
      </c>
      <c r="B501" s="17" t="s">
        <v>1317</v>
      </c>
      <c r="C501" s="17">
        <v>1</v>
      </c>
      <c r="D501" s="17">
        <v>0</v>
      </c>
      <c r="E501" s="17">
        <v>0</v>
      </c>
    </row>
    <row r="502" spans="1:5" x14ac:dyDescent="0.3">
      <c r="A502" s="17" t="s">
        <v>1</v>
      </c>
      <c r="B502" s="17" t="s">
        <v>91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481</v>
      </c>
      <c r="C503" s="17">
        <v>1</v>
      </c>
      <c r="D503" s="17">
        <v>0</v>
      </c>
      <c r="E503" s="17">
        <v>2</v>
      </c>
    </row>
    <row r="504" spans="1:5" x14ac:dyDescent="0.3">
      <c r="A504" s="17" t="s">
        <v>1</v>
      </c>
      <c r="B504" s="17" t="s">
        <v>217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153</v>
      </c>
      <c r="C505" s="17">
        <v>4</v>
      </c>
      <c r="D505" s="17">
        <v>0</v>
      </c>
      <c r="E505" s="17">
        <v>5</v>
      </c>
    </row>
    <row r="506" spans="1:5" x14ac:dyDescent="0.3">
      <c r="A506" s="17" t="s">
        <v>1</v>
      </c>
      <c r="B506" s="17" t="s">
        <v>92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248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637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865</v>
      </c>
      <c r="C509" s="17">
        <v>2</v>
      </c>
      <c r="D509" s="17">
        <v>0</v>
      </c>
      <c r="E509" s="17">
        <v>4</v>
      </c>
    </row>
    <row r="510" spans="1:5" x14ac:dyDescent="0.3">
      <c r="A510" s="17" t="s">
        <v>1</v>
      </c>
      <c r="B510" s="17" t="s">
        <v>463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198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1645</v>
      </c>
      <c r="C512" s="17">
        <v>1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156</v>
      </c>
      <c r="C513" s="17">
        <v>3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157</v>
      </c>
      <c r="C514" s="17">
        <v>3</v>
      </c>
      <c r="D514" s="17">
        <v>0</v>
      </c>
      <c r="E514" s="17">
        <v>4</v>
      </c>
    </row>
    <row r="515" spans="1:5" x14ac:dyDescent="0.3">
      <c r="A515" s="17" t="s">
        <v>1</v>
      </c>
      <c r="B515" s="17" t="s">
        <v>224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487</v>
      </c>
      <c r="C516" s="17">
        <v>2</v>
      </c>
      <c r="D516" s="17">
        <v>0</v>
      </c>
      <c r="E516" s="17">
        <v>2</v>
      </c>
    </row>
    <row r="517" spans="1:5" x14ac:dyDescent="0.3">
      <c r="A517" s="17" t="s">
        <v>1</v>
      </c>
      <c r="B517" s="17" t="s">
        <v>686</v>
      </c>
      <c r="C517" s="17">
        <v>2</v>
      </c>
      <c r="D517" s="17">
        <v>0</v>
      </c>
      <c r="E517" s="17">
        <v>2</v>
      </c>
    </row>
    <row r="518" spans="1:5" x14ac:dyDescent="0.3">
      <c r="A518" s="17" t="s">
        <v>1</v>
      </c>
      <c r="B518" s="17" t="s">
        <v>944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1143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1646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1662</v>
      </c>
      <c r="C521" s="17">
        <v>2</v>
      </c>
      <c r="D521" s="17">
        <v>0</v>
      </c>
      <c r="E521" s="17">
        <v>2</v>
      </c>
    </row>
    <row r="522" spans="1:5" x14ac:dyDescent="0.3">
      <c r="A522" s="17" t="s">
        <v>1</v>
      </c>
      <c r="B522" s="17" t="s">
        <v>1691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1854</v>
      </c>
      <c r="C523" s="17">
        <v>2</v>
      </c>
      <c r="D523" s="17">
        <v>0</v>
      </c>
      <c r="E523" s="17">
        <v>2</v>
      </c>
    </row>
    <row r="524" spans="1:5" x14ac:dyDescent="0.3">
      <c r="A524" s="17" t="s">
        <v>1</v>
      </c>
      <c r="B524" s="17" t="s">
        <v>1911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1928</v>
      </c>
      <c r="C525" s="17">
        <v>2</v>
      </c>
      <c r="D525" s="17">
        <v>0</v>
      </c>
      <c r="E525" s="17">
        <v>3</v>
      </c>
    </row>
    <row r="526" spans="1:5" x14ac:dyDescent="0.3">
      <c r="A526" s="17" t="s">
        <v>1</v>
      </c>
      <c r="B526" s="17" t="s">
        <v>1983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2334</v>
      </c>
      <c r="C527" s="17">
        <v>1</v>
      </c>
      <c r="D527" s="17">
        <v>0</v>
      </c>
      <c r="E527" s="17">
        <v>3</v>
      </c>
    </row>
    <row r="528" spans="1:5" x14ac:dyDescent="0.3">
      <c r="A528" s="17" t="s">
        <v>1</v>
      </c>
      <c r="B528" s="17" t="s">
        <v>2293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2395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2398</v>
      </c>
      <c r="C530" s="17">
        <v>4</v>
      </c>
      <c r="D530" s="17">
        <v>0</v>
      </c>
      <c r="E530" s="17">
        <v>7</v>
      </c>
    </row>
    <row r="531" spans="1:5" x14ac:dyDescent="0.3">
      <c r="A531" s="17" t="s">
        <v>1</v>
      </c>
      <c r="B531" s="17" t="s">
        <v>2443</v>
      </c>
      <c r="C531" s="17">
        <v>2</v>
      </c>
      <c r="D531" s="17">
        <v>0</v>
      </c>
      <c r="E531" s="17">
        <v>3</v>
      </c>
    </row>
    <row r="532" spans="1:5" x14ac:dyDescent="0.3">
      <c r="A532" s="17" t="s">
        <v>1</v>
      </c>
      <c r="B532" s="17" t="s">
        <v>2692</v>
      </c>
      <c r="C532" s="17">
        <v>9</v>
      </c>
      <c r="D532" s="17">
        <v>0</v>
      </c>
      <c r="E532" s="17">
        <v>13</v>
      </c>
    </row>
    <row r="533" spans="1:5" x14ac:dyDescent="0.3">
      <c r="A533" s="17" t="s">
        <v>1</v>
      </c>
      <c r="B533" s="17" t="s">
        <v>2397</v>
      </c>
      <c r="C533" s="17">
        <v>1</v>
      </c>
      <c r="D533" s="17">
        <v>0</v>
      </c>
      <c r="E533" s="17">
        <v>2</v>
      </c>
    </row>
    <row r="534" spans="1:5" x14ac:dyDescent="0.3">
      <c r="A534" s="17" t="s">
        <v>1</v>
      </c>
      <c r="B534" s="17" t="s">
        <v>2599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2789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2944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3328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3327</v>
      </c>
      <c r="C538" s="17">
        <v>2</v>
      </c>
      <c r="D538" s="17">
        <v>0</v>
      </c>
      <c r="E538" s="17">
        <v>2</v>
      </c>
    </row>
    <row r="539" spans="1:5" x14ac:dyDescent="0.3">
      <c r="A539" s="17" t="s">
        <v>1</v>
      </c>
      <c r="B539" s="17" t="s">
        <v>3361</v>
      </c>
      <c r="C539" s="17">
        <v>5</v>
      </c>
      <c r="D539" s="17">
        <v>0</v>
      </c>
      <c r="E539" s="17">
        <v>5</v>
      </c>
    </row>
    <row r="540" spans="1:5" x14ac:dyDescent="0.3">
      <c r="A540" s="17" t="s">
        <v>1</v>
      </c>
      <c r="B540" s="17" t="s">
        <v>158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524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225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585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1428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526</v>
      </c>
      <c r="C545" s="17">
        <v>3</v>
      </c>
      <c r="D545" s="17">
        <v>0</v>
      </c>
      <c r="E545" s="17">
        <v>3</v>
      </c>
    </row>
    <row r="546" spans="1:5" x14ac:dyDescent="0.3">
      <c r="A546" s="17" t="s">
        <v>1</v>
      </c>
      <c r="B546" s="17" t="s">
        <v>2302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945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2706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1105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160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1517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995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1220</v>
      </c>
      <c r="C553" s="17">
        <v>1</v>
      </c>
      <c r="D553" s="17">
        <v>0</v>
      </c>
      <c r="E553" s="17">
        <v>0</v>
      </c>
    </row>
    <row r="554" spans="1:5" x14ac:dyDescent="0.3">
      <c r="A554" s="17" t="s">
        <v>1</v>
      </c>
      <c r="B554" s="17" t="s">
        <v>352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716</v>
      </c>
      <c r="C555" s="17">
        <v>1</v>
      </c>
      <c r="D555" s="17">
        <v>0</v>
      </c>
      <c r="E555" s="17">
        <v>2</v>
      </c>
    </row>
    <row r="556" spans="1:5" x14ac:dyDescent="0.3">
      <c r="A556" s="17" t="s">
        <v>1</v>
      </c>
      <c r="B556" s="17" t="s">
        <v>1146</v>
      </c>
      <c r="C556" s="17">
        <v>1</v>
      </c>
      <c r="D556" s="17">
        <v>0</v>
      </c>
      <c r="E556" s="17">
        <v>3</v>
      </c>
    </row>
    <row r="557" spans="1:5" x14ac:dyDescent="0.3">
      <c r="A557" s="17" t="s">
        <v>1</v>
      </c>
      <c r="B557" s="17" t="s">
        <v>3137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1194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771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320</v>
      </c>
      <c r="C560" s="17">
        <v>1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1620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1789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1842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3504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3482</v>
      </c>
      <c r="C565" s="17">
        <v>1</v>
      </c>
      <c r="D565" s="17">
        <v>0</v>
      </c>
      <c r="E565" s="17">
        <v>0</v>
      </c>
    </row>
    <row r="566" spans="1:5" x14ac:dyDescent="0.3">
      <c r="A566" s="17" t="s">
        <v>1</v>
      </c>
      <c r="B566" s="17" t="s">
        <v>2258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108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1650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2305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406</v>
      </c>
      <c r="C570" s="17">
        <v>2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111</v>
      </c>
      <c r="C571" s="17">
        <v>1</v>
      </c>
      <c r="D571" s="17">
        <v>0</v>
      </c>
      <c r="E571" s="17">
        <v>0</v>
      </c>
    </row>
    <row r="572" spans="1:5" x14ac:dyDescent="0.3">
      <c r="A572" s="17" t="s">
        <v>1</v>
      </c>
      <c r="B572" s="17" t="s">
        <v>1828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291</v>
      </c>
      <c r="C573" s="17">
        <v>2</v>
      </c>
      <c r="D573" s="17">
        <v>0</v>
      </c>
      <c r="E573" s="17">
        <v>3</v>
      </c>
    </row>
    <row r="574" spans="1:5" x14ac:dyDescent="0.3">
      <c r="A574" s="17" t="s">
        <v>1</v>
      </c>
      <c r="B574" s="17" t="s">
        <v>2844</v>
      </c>
      <c r="C574" s="17">
        <v>2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1408</v>
      </c>
      <c r="C575" s="17">
        <v>1</v>
      </c>
      <c r="D575" s="17">
        <v>0</v>
      </c>
      <c r="E575" s="17">
        <v>0</v>
      </c>
    </row>
    <row r="576" spans="1:5" x14ac:dyDescent="0.3">
      <c r="A576" s="17" t="s">
        <v>1</v>
      </c>
      <c r="B576" s="17" t="s">
        <v>1657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1227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1446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326</v>
      </c>
      <c r="C579" s="17">
        <v>2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1345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2794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412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1038</v>
      </c>
      <c r="C583" s="17">
        <v>1</v>
      </c>
      <c r="D583" s="17">
        <v>0</v>
      </c>
      <c r="E583" s="17">
        <v>3</v>
      </c>
    </row>
    <row r="584" spans="1:5" x14ac:dyDescent="0.3">
      <c r="A584" s="17" t="s">
        <v>1</v>
      </c>
      <c r="B584" s="17" t="s">
        <v>1377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3465</v>
      </c>
      <c r="C585" s="17">
        <v>1</v>
      </c>
      <c r="D585" s="17">
        <v>0</v>
      </c>
      <c r="E585" s="17">
        <v>0</v>
      </c>
    </row>
    <row r="586" spans="1:5" x14ac:dyDescent="0.3">
      <c r="A586" s="17" t="s">
        <v>1</v>
      </c>
      <c r="B586" s="17" t="s">
        <v>726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727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728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1078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1923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548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1231</v>
      </c>
      <c r="C592" s="17">
        <v>1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657</v>
      </c>
      <c r="C593" s="17">
        <v>1</v>
      </c>
      <c r="D593" s="17">
        <v>0</v>
      </c>
      <c r="E593" s="17">
        <v>4</v>
      </c>
    </row>
    <row r="594" spans="1:5" x14ac:dyDescent="0.3">
      <c r="A594" s="17" t="s">
        <v>1</v>
      </c>
      <c r="B594" s="17" t="s">
        <v>658</v>
      </c>
      <c r="C594" s="17">
        <v>1</v>
      </c>
      <c r="D594" s="17">
        <v>0</v>
      </c>
      <c r="E594" s="17">
        <v>3</v>
      </c>
    </row>
    <row r="595" spans="1:5" x14ac:dyDescent="0.3">
      <c r="A595" s="17" t="s">
        <v>1</v>
      </c>
      <c r="B595" s="17" t="s">
        <v>810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117</v>
      </c>
      <c r="C596" s="17">
        <v>2</v>
      </c>
      <c r="D596" s="17">
        <v>0</v>
      </c>
      <c r="E596" s="17">
        <v>3</v>
      </c>
    </row>
    <row r="597" spans="1:5" x14ac:dyDescent="0.3">
      <c r="A597" s="17" t="s">
        <v>1</v>
      </c>
      <c r="B597" s="17" t="s">
        <v>415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681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3505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3506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1418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1354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661</v>
      </c>
      <c r="C603" s="17">
        <v>1</v>
      </c>
      <c r="D603" s="17">
        <v>0</v>
      </c>
      <c r="E603" s="17">
        <v>0</v>
      </c>
    </row>
    <row r="604" spans="1:5" x14ac:dyDescent="0.3">
      <c r="A604" s="17" t="s">
        <v>1</v>
      </c>
      <c r="B604" s="17" t="s">
        <v>1245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663</v>
      </c>
      <c r="C605" s="17">
        <v>1</v>
      </c>
      <c r="D605" s="17">
        <v>0</v>
      </c>
      <c r="E605" s="17">
        <v>0</v>
      </c>
    </row>
    <row r="606" spans="1:5" x14ac:dyDescent="0.3">
      <c r="A606" s="17" t="s">
        <v>1</v>
      </c>
      <c r="B606" s="17" t="s">
        <v>599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695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178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3507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420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852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557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1199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3508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348</v>
      </c>
      <c r="C615" s="17">
        <v>1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473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233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52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188</v>
      </c>
      <c r="C619" s="17">
        <v>1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496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497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786</v>
      </c>
      <c r="C622" s="18">
        <v>1</v>
      </c>
      <c r="D622" s="18">
        <v>0</v>
      </c>
      <c r="E622" s="18">
        <v>3</v>
      </c>
    </row>
    <row r="623" spans="1:5" x14ac:dyDescent="0.3">
      <c r="A623" s="18" t="s">
        <v>1</v>
      </c>
      <c r="B623" s="18" t="s">
        <v>668</v>
      </c>
      <c r="C623" s="18">
        <v>1</v>
      </c>
      <c r="D623" s="18">
        <v>0</v>
      </c>
      <c r="E623" s="18">
        <v>0</v>
      </c>
    </row>
    <row r="624" spans="1:5" x14ac:dyDescent="0.3">
      <c r="A624" s="18" t="s">
        <v>1</v>
      </c>
      <c r="B624" s="18" t="s">
        <v>133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3509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134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564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1326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1083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234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967</v>
      </c>
      <c r="C631" s="18">
        <v>2</v>
      </c>
      <c r="D631" s="18">
        <v>0</v>
      </c>
      <c r="E631" s="18">
        <v>3</v>
      </c>
    </row>
    <row r="632" spans="1:5" x14ac:dyDescent="0.3">
      <c r="A632" s="18" t="s">
        <v>1</v>
      </c>
      <c r="B632" s="18" t="s">
        <v>1837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1136</v>
      </c>
      <c r="C633" s="18">
        <v>3</v>
      </c>
      <c r="D633" s="18">
        <v>0</v>
      </c>
      <c r="E633" s="18">
        <v>3</v>
      </c>
    </row>
    <row r="634" spans="1:5" x14ac:dyDescent="0.3">
      <c r="A634" s="18" t="s">
        <v>1</v>
      </c>
      <c r="B634" s="18" t="s">
        <v>684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381</v>
      </c>
      <c r="C635" s="18">
        <v>1</v>
      </c>
      <c r="D635" s="18">
        <v>0</v>
      </c>
      <c r="E635" s="18">
        <v>0</v>
      </c>
    </row>
    <row r="636" spans="1:5" x14ac:dyDescent="0.3">
      <c r="A636" s="18" t="s">
        <v>1</v>
      </c>
      <c r="B636" s="18" t="s">
        <v>3510</v>
      </c>
      <c r="C636" s="18">
        <v>1</v>
      </c>
      <c r="D636" s="18">
        <v>0</v>
      </c>
      <c r="E636" s="18">
        <v>2</v>
      </c>
    </row>
    <row r="637" spans="1:5" x14ac:dyDescent="0.3">
      <c r="A637" s="18" t="s">
        <v>1</v>
      </c>
      <c r="B637" s="18" t="s">
        <v>3511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476</v>
      </c>
      <c r="C638" s="18">
        <v>3</v>
      </c>
      <c r="D638" s="18">
        <v>0</v>
      </c>
      <c r="E638" s="18">
        <v>4</v>
      </c>
    </row>
    <row r="639" spans="1:5" x14ac:dyDescent="0.3">
      <c r="A639" s="18" t="s">
        <v>1</v>
      </c>
      <c r="B639" s="18" t="s">
        <v>196</v>
      </c>
      <c r="C639" s="18">
        <v>12</v>
      </c>
      <c r="D639" s="18">
        <v>0</v>
      </c>
      <c r="E639" s="18">
        <v>13</v>
      </c>
    </row>
    <row r="640" spans="1:5" x14ac:dyDescent="0.3">
      <c r="A640" s="18" t="s">
        <v>1</v>
      </c>
      <c r="B640" s="18" t="s">
        <v>39</v>
      </c>
      <c r="C640" s="18">
        <v>8</v>
      </c>
      <c r="D640" s="18">
        <v>0</v>
      </c>
      <c r="E640" s="18">
        <v>26</v>
      </c>
    </row>
    <row r="641" spans="1:5" x14ac:dyDescent="0.3">
      <c r="A641" s="18" t="s">
        <v>1</v>
      </c>
      <c r="B641" s="18" t="s">
        <v>238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672</v>
      </c>
      <c r="C642" s="18">
        <v>1</v>
      </c>
      <c r="D642" s="18">
        <v>0</v>
      </c>
      <c r="E642" s="18">
        <v>2</v>
      </c>
    </row>
    <row r="643" spans="1:5" x14ac:dyDescent="0.3">
      <c r="A643" s="18" t="s">
        <v>1</v>
      </c>
      <c r="B643" s="18" t="s">
        <v>240</v>
      </c>
      <c r="C643" s="18">
        <v>5</v>
      </c>
      <c r="D643" s="18">
        <v>0</v>
      </c>
      <c r="E643" s="18">
        <v>11</v>
      </c>
    </row>
    <row r="644" spans="1:5" x14ac:dyDescent="0.3">
      <c r="A644" s="18" t="s">
        <v>1</v>
      </c>
      <c r="B644" s="18" t="s">
        <v>673</v>
      </c>
      <c r="C644" s="18">
        <v>2</v>
      </c>
      <c r="D644" s="18">
        <v>0</v>
      </c>
      <c r="E644" s="18">
        <v>3</v>
      </c>
    </row>
    <row r="645" spans="1:5" x14ac:dyDescent="0.3">
      <c r="A645" s="18" t="s">
        <v>1</v>
      </c>
      <c r="B645" s="18" t="s">
        <v>382</v>
      </c>
      <c r="C645" s="18">
        <v>5</v>
      </c>
      <c r="D645" s="18">
        <v>0</v>
      </c>
      <c r="E645" s="18">
        <v>5</v>
      </c>
    </row>
    <row r="646" spans="1:5" x14ac:dyDescent="0.3">
      <c r="A646" s="18" t="s">
        <v>1</v>
      </c>
      <c r="B646" s="18" t="s">
        <v>377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1086</v>
      </c>
      <c r="C647" s="18">
        <v>1</v>
      </c>
      <c r="D647" s="18">
        <v>0</v>
      </c>
      <c r="E647" s="18">
        <v>3</v>
      </c>
    </row>
    <row r="648" spans="1:5" x14ac:dyDescent="0.3">
      <c r="A648" s="18" t="s">
        <v>1</v>
      </c>
      <c r="B648" s="18" t="s">
        <v>477</v>
      </c>
      <c r="C648" s="18">
        <v>2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56</v>
      </c>
      <c r="C649" s="18">
        <v>2</v>
      </c>
      <c r="D649" s="18">
        <v>0</v>
      </c>
      <c r="E649" s="18">
        <v>2</v>
      </c>
    </row>
    <row r="650" spans="1:5" x14ac:dyDescent="0.3">
      <c r="A650" s="18" t="s">
        <v>1</v>
      </c>
      <c r="B650" s="18" t="s">
        <v>1126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2350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968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2062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3512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1385</v>
      </c>
      <c r="C655" s="18">
        <v>0</v>
      </c>
      <c r="D655" s="18">
        <v>1</v>
      </c>
    </row>
    <row r="656" spans="1:5" x14ac:dyDescent="0.3">
      <c r="A656" s="18" t="s">
        <v>1</v>
      </c>
      <c r="B656" s="18" t="s">
        <v>2351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139</v>
      </c>
      <c r="C657" s="18">
        <v>0</v>
      </c>
      <c r="D657" s="18">
        <v>1</v>
      </c>
    </row>
    <row r="658" spans="1:5" x14ac:dyDescent="0.3">
      <c r="A658" s="18" t="s">
        <v>1</v>
      </c>
      <c r="B658" s="18" t="s">
        <v>2171</v>
      </c>
      <c r="C658" s="18">
        <v>1</v>
      </c>
      <c r="D658" s="18">
        <v>0</v>
      </c>
      <c r="E658" s="18">
        <v>4</v>
      </c>
    </row>
    <row r="659" spans="1:5" x14ac:dyDescent="0.3">
      <c r="A659" s="18" t="s">
        <v>1</v>
      </c>
      <c r="B659" s="18" t="s">
        <v>759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1548</v>
      </c>
      <c r="C660" s="18">
        <v>1</v>
      </c>
      <c r="D660" s="18">
        <v>0</v>
      </c>
      <c r="E660" s="18">
        <v>2</v>
      </c>
    </row>
    <row r="661" spans="1:5" x14ac:dyDescent="0.3">
      <c r="A661" s="18" t="s">
        <v>1</v>
      </c>
      <c r="B661" s="18" t="s">
        <v>3513</v>
      </c>
      <c r="C661" s="18">
        <v>0</v>
      </c>
      <c r="D661" s="18">
        <v>1</v>
      </c>
    </row>
    <row r="662" spans="1:5" x14ac:dyDescent="0.3">
      <c r="A662" s="18" t="s">
        <v>1</v>
      </c>
      <c r="B662" s="18" t="s">
        <v>1452</v>
      </c>
      <c r="C662" s="18">
        <v>0</v>
      </c>
      <c r="D662" s="18">
        <v>1</v>
      </c>
    </row>
    <row r="663" spans="1:5" x14ac:dyDescent="0.3">
      <c r="A663" s="18" t="s">
        <v>1</v>
      </c>
      <c r="B663" s="18" t="s">
        <v>69</v>
      </c>
      <c r="C663" s="18">
        <v>2</v>
      </c>
      <c r="D663" s="18">
        <v>0</v>
      </c>
      <c r="E663" s="18">
        <v>2</v>
      </c>
    </row>
    <row r="664" spans="1:5" x14ac:dyDescent="0.3">
      <c r="A664" s="18" t="s">
        <v>0</v>
      </c>
      <c r="B664" s="18" t="s">
        <v>1702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0</v>
      </c>
      <c r="B665" s="18" t="s">
        <v>942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0</v>
      </c>
      <c r="B666" s="18" t="s">
        <v>1661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1860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0</v>
      </c>
      <c r="B668" s="18" t="s">
        <v>1928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0</v>
      </c>
      <c r="B669" s="18" t="s">
        <v>2068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0</v>
      </c>
      <c r="B670" s="18" t="s">
        <v>2329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0</v>
      </c>
      <c r="B671" s="18" t="s">
        <v>2362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0</v>
      </c>
      <c r="B672" s="18" t="s">
        <v>2399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0</v>
      </c>
      <c r="B673" s="18" t="s">
        <v>2692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0</v>
      </c>
      <c r="B674" s="18" t="s">
        <v>2397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0</v>
      </c>
      <c r="B675" s="18" t="s">
        <v>2616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0</v>
      </c>
      <c r="B676" s="18" t="s">
        <v>3236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0</v>
      </c>
      <c r="B677" s="18" t="s">
        <v>3327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1103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175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2333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0</v>
      </c>
      <c r="B681" s="18" t="s">
        <v>1411</v>
      </c>
      <c r="C681" s="18">
        <v>2</v>
      </c>
      <c r="D681" s="18">
        <v>0</v>
      </c>
      <c r="E681" s="18">
        <v>2</v>
      </c>
    </row>
    <row r="682" spans="1:5" x14ac:dyDescent="0.3">
      <c r="A682" s="18" t="s">
        <v>0</v>
      </c>
      <c r="B682" s="18" t="s">
        <v>346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1513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697</v>
      </c>
      <c r="C684" s="18">
        <v>1</v>
      </c>
      <c r="D684" s="18">
        <v>0</v>
      </c>
      <c r="E684" s="18">
        <v>2</v>
      </c>
    </row>
    <row r="685" spans="1:5" x14ac:dyDescent="0.3">
      <c r="A685" s="18" t="s">
        <v>0</v>
      </c>
      <c r="B685" s="18" t="s">
        <v>472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0</v>
      </c>
      <c r="B686" s="18" t="s">
        <v>964</v>
      </c>
      <c r="C686" s="18">
        <v>2</v>
      </c>
      <c r="D686" s="18">
        <v>0</v>
      </c>
      <c r="E686" s="18">
        <v>2</v>
      </c>
    </row>
    <row r="687" spans="1:5" x14ac:dyDescent="0.3">
      <c r="A687" s="18" t="s">
        <v>0</v>
      </c>
      <c r="B687" s="18" t="s">
        <v>1119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452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567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235</v>
      </c>
      <c r="C690" s="18">
        <v>1</v>
      </c>
      <c r="D690" s="18">
        <v>0</v>
      </c>
      <c r="E690" s="18">
        <v>2</v>
      </c>
    </row>
    <row r="691" spans="1:5" x14ac:dyDescent="0.3">
      <c r="A691" s="18" t="s">
        <v>0</v>
      </c>
      <c r="B691" s="18" t="s">
        <v>196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382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32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2</v>
      </c>
      <c r="B694" s="18" t="s">
        <v>60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2</v>
      </c>
      <c r="B695" s="18" t="s">
        <v>1708</v>
      </c>
      <c r="C695" s="18">
        <v>1</v>
      </c>
      <c r="D695" s="18">
        <v>0</v>
      </c>
      <c r="E695" s="18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33</vt:i4>
      </vt:variant>
    </vt:vector>
  </HeadingPairs>
  <TitlesOfParts>
    <vt:vector size="33" baseType="lpstr">
      <vt:lpstr>통합</vt:lpstr>
      <vt:lpstr>서식</vt:lpstr>
      <vt:lpstr>7.1</vt:lpstr>
      <vt:lpstr>7.2</vt:lpstr>
      <vt:lpstr>7.3</vt:lpstr>
      <vt:lpstr>7.4</vt:lpstr>
      <vt:lpstr>7.5</vt:lpstr>
      <vt:lpstr>7.6</vt:lpstr>
      <vt:lpstr>7.7</vt:lpstr>
      <vt:lpstr>7.8</vt:lpstr>
      <vt:lpstr>7.9</vt:lpstr>
      <vt:lpstr>7.10</vt:lpstr>
      <vt:lpstr>7.11</vt:lpstr>
      <vt:lpstr>7.12</vt:lpstr>
      <vt:lpstr>7.13</vt:lpstr>
      <vt:lpstr>7.14</vt:lpstr>
      <vt:lpstr>7.15</vt:lpstr>
      <vt:lpstr>7.16</vt:lpstr>
      <vt:lpstr>7.17</vt:lpstr>
      <vt:lpstr>7.18</vt:lpstr>
      <vt:lpstr>7.19</vt:lpstr>
      <vt:lpstr>7.20</vt:lpstr>
      <vt:lpstr>7.21</vt:lpstr>
      <vt:lpstr>7.22</vt:lpstr>
      <vt:lpstr>7.23</vt:lpstr>
      <vt:lpstr>7.24</vt:lpstr>
      <vt:lpstr>7.25</vt:lpstr>
      <vt:lpstr>7.26</vt:lpstr>
      <vt:lpstr>7.27</vt:lpstr>
      <vt:lpstr>7.28</vt:lpstr>
      <vt:lpstr>7.29</vt:lpstr>
      <vt:lpstr>7.30</vt:lpstr>
      <vt:lpstr>7.31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Joon Young Lee</cp:lastModifiedBy>
  <dcterms:created xsi:type="dcterms:W3CDTF">2018-08-15T04:09:10Z</dcterms:created>
  <dcterms:modified xsi:type="dcterms:W3CDTF">2024-08-11T21:55:08Z</dcterms:modified>
</cp:coreProperties>
</file>