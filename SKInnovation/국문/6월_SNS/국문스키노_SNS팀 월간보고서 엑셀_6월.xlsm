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9c2bf77b41f9f2c0/바탕 화면/Prain Global/SK Innovation/국문/6월_SNS/"/>
    </mc:Choice>
  </mc:AlternateContent>
  <xr:revisionPtr revIDLastSave="33" documentId="13_ncr:1_{DAC30EF1-AFEE-4292-9ED5-90FA9D215FA5}" xr6:coauthVersionLast="47" xr6:coauthVersionMax="47" xr10:uidLastSave="{94205206-1790-4875-80A6-97FC9B7E72AA}"/>
  <bookViews>
    <workbookView xWindow="-120" yWindow="-120" windowWidth="29040" windowHeight="15720" tabRatio="825" activeTab="11" xr2:uid="{00000000-000D-0000-FFFF-FFFF00000000}"/>
  </bookViews>
  <sheets>
    <sheet name="사용방법" sheetId="17" r:id="rId1"/>
    <sheet name="일일data" sheetId="1" r:id="rId2"/>
    <sheet name="채널별 팔로워 추이" sheetId="5" r:id="rId3"/>
    <sheet name="FB 콘텐츠 data" sheetId="6" r:id="rId4"/>
    <sheet name="구글시트 data" sheetId="21" r:id="rId5"/>
    <sheet name="FB 커버" sheetId="3" r:id="rId6"/>
    <sheet name="FB 신규발행" sheetId="8" r:id="rId7"/>
    <sheet name="FB Top3 Post" sheetId="7" r:id="rId8"/>
    <sheet name="IG 콘텐츠 data" sheetId="11" r:id="rId9"/>
    <sheet name="IG story data" sheetId="15" r:id="rId10"/>
    <sheet name="IG 커버" sheetId="10" r:id="rId11"/>
    <sheet name="IG 신규발행" sheetId="12" r:id="rId12"/>
    <sheet name="IG Top3 Post" sheetId="13" r:id="rId13"/>
    <sheet name="YT 커버" sheetId="2" r:id="rId14"/>
  </sheets>
  <definedNames>
    <definedName name="_xlnm._FilterDatabase" localSheetId="6" hidden="1">'FB 신규발행'!$A$2:$R$82</definedName>
    <definedName name="_xlnm._FilterDatabase" localSheetId="11" hidden="1">'IG 신규발행'!$A$3:$P$42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7" i="13" l="1"/>
  <c r="E31" i="2"/>
  <c r="K22" i="13"/>
  <c r="I22" i="13"/>
  <c r="K21" i="13"/>
  <c r="I21" i="13"/>
  <c r="K20" i="13"/>
  <c r="I20" i="13"/>
  <c r="K19" i="13"/>
  <c r="I19" i="13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S42" i="12"/>
  <c r="S4" i="12"/>
  <c r="E20" i="13"/>
  <c r="E21" i="13"/>
  <c r="E22" i="13"/>
  <c r="E19" i="13"/>
  <c r="C20" i="13"/>
  <c r="C21" i="13"/>
  <c r="C22" i="13"/>
  <c r="C19" i="13"/>
  <c r="Q8" i="13"/>
  <c r="O8" i="13"/>
  <c r="K8" i="13"/>
  <c r="I8" i="13"/>
  <c r="E8" i="13"/>
  <c r="C8" i="13"/>
  <c r="Q7" i="13"/>
  <c r="O7" i="13"/>
  <c r="K7" i="13"/>
  <c r="I7" i="13"/>
  <c r="E7" i="13"/>
  <c r="C7" i="13"/>
  <c r="Q6" i="13"/>
  <c r="O6" i="13"/>
  <c r="K6" i="13"/>
  <c r="I6" i="13"/>
  <c r="E6" i="13"/>
  <c r="C6" i="13"/>
  <c r="Q5" i="13"/>
  <c r="O5" i="13"/>
  <c r="K5" i="13"/>
  <c r="I5" i="13"/>
  <c r="E5" i="13"/>
  <c r="C5" i="13"/>
  <c r="B17" i="13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" i="12"/>
  <c r="N3" i="13"/>
  <c r="H3" i="13"/>
  <c r="B3" i="13"/>
  <c r="T3" i="8"/>
  <c r="V3" i="8" s="1"/>
  <c r="U3" i="8"/>
  <c r="T4" i="8"/>
  <c r="U4" i="8"/>
  <c r="V4" i="8"/>
  <c r="T5" i="8"/>
  <c r="U5" i="8"/>
  <c r="V5" i="8"/>
  <c r="T6" i="8"/>
  <c r="U6" i="8"/>
  <c r="V6" i="8"/>
  <c r="T7" i="8"/>
  <c r="V11" i="8" s="1"/>
  <c r="U7" i="8"/>
  <c r="T8" i="8"/>
  <c r="U8" i="8"/>
  <c r="V8" i="8"/>
  <c r="T9" i="8"/>
  <c r="U9" i="8"/>
  <c r="V9" i="8"/>
  <c r="T10" i="8"/>
  <c r="V13" i="8" s="1"/>
  <c r="U10" i="8"/>
  <c r="T11" i="8"/>
  <c r="U11" i="8"/>
  <c r="T12" i="8"/>
  <c r="U12" i="8"/>
  <c r="T13" i="8"/>
  <c r="U13" i="8"/>
  <c r="T14" i="8"/>
  <c r="U14" i="8"/>
  <c r="T15" i="8"/>
  <c r="U15" i="8"/>
  <c r="T16" i="8"/>
  <c r="U16" i="8"/>
  <c r="T17" i="8"/>
  <c r="U17" i="8"/>
  <c r="T18" i="8"/>
  <c r="U18" i="8"/>
  <c r="T19" i="8"/>
  <c r="U19" i="8"/>
  <c r="T20" i="8"/>
  <c r="U20" i="8"/>
  <c r="T21" i="8"/>
  <c r="U21" i="8"/>
  <c r="T22" i="8"/>
  <c r="U22" i="8"/>
  <c r="T23" i="8"/>
  <c r="U23" i="8"/>
  <c r="T24" i="8"/>
  <c r="U24" i="8"/>
  <c r="T25" i="8"/>
  <c r="U25" i="8"/>
  <c r="T26" i="8"/>
  <c r="V20" i="8" s="1"/>
  <c r="U26" i="8"/>
  <c r="T27" i="8"/>
  <c r="U27" i="8"/>
  <c r="T28" i="8"/>
  <c r="U28" i="8"/>
  <c r="T29" i="8"/>
  <c r="U29" i="8"/>
  <c r="T30" i="8"/>
  <c r="U30" i="8"/>
  <c r="T31" i="8"/>
  <c r="U31" i="8"/>
  <c r="T32" i="8"/>
  <c r="U32" i="8"/>
  <c r="T33" i="8"/>
  <c r="U33" i="8"/>
  <c r="T34" i="8"/>
  <c r="U34" i="8"/>
  <c r="T35" i="8"/>
  <c r="U35" i="8"/>
  <c r="T36" i="8"/>
  <c r="U36" i="8"/>
  <c r="T37" i="8"/>
  <c r="U37" i="8"/>
  <c r="T38" i="8"/>
  <c r="U38" i="8"/>
  <c r="T39" i="8"/>
  <c r="U39" i="8"/>
  <c r="T40" i="8"/>
  <c r="U40" i="8"/>
  <c r="T41" i="8"/>
  <c r="U41" i="8"/>
  <c r="T42" i="8"/>
  <c r="V28" i="8" s="1"/>
  <c r="U42" i="8"/>
  <c r="T43" i="8"/>
  <c r="U43" i="8"/>
  <c r="T44" i="8"/>
  <c r="U44" i="8"/>
  <c r="T45" i="8"/>
  <c r="U45" i="8"/>
  <c r="T46" i="8"/>
  <c r="U46" i="8"/>
  <c r="T47" i="8"/>
  <c r="U47" i="8"/>
  <c r="T48" i="8"/>
  <c r="U48" i="8"/>
  <c r="T49" i="8"/>
  <c r="U49" i="8"/>
  <c r="T50" i="8"/>
  <c r="U50" i="8"/>
  <c r="T51" i="8"/>
  <c r="U51" i="8"/>
  <c r="T52" i="8"/>
  <c r="U52" i="8"/>
  <c r="T53" i="8"/>
  <c r="U53" i="8"/>
  <c r="T54" i="8"/>
  <c r="U54" i="8"/>
  <c r="T55" i="8"/>
  <c r="U55" i="8"/>
  <c r="T56" i="8"/>
  <c r="U56" i="8"/>
  <c r="T57" i="8"/>
  <c r="U57" i="8"/>
  <c r="T58" i="8"/>
  <c r="U58" i="8"/>
  <c r="T59" i="8"/>
  <c r="U59" i="8"/>
  <c r="T60" i="8"/>
  <c r="U60" i="8"/>
  <c r="T61" i="8"/>
  <c r="U61" i="8"/>
  <c r="T62" i="8"/>
  <c r="U62" i="8"/>
  <c r="T63" i="8"/>
  <c r="U63" i="8"/>
  <c r="T64" i="8"/>
  <c r="U64" i="8"/>
  <c r="T65" i="8"/>
  <c r="U65" i="8"/>
  <c r="T66" i="8"/>
  <c r="U66" i="8"/>
  <c r="T67" i="8"/>
  <c r="U67" i="8"/>
  <c r="T68" i="8"/>
  <c r="U68" i="8"/>
  <c r="T69" i="8"/>
  <c r="U69" i="8"/>
  <c r="T70" i="8"/>
  <c r="U70" i="8"/>
  <c r="T71" i="8"/>
  <c r="U71" i="8"/>
  <c r="T72" i="8"/>
  <c r="U72" i="8"/>
  <c r="T73" i="8"/>
  <c r="U73" i="8"/>
  <c r="T74" i="8"/>
  <c r="U74" i="8"/>
  <c r="T75" i="8"/>
  <c r="U75" i="8"/>
  <c r="T76" i="8"/>
  <c r="U76" i="8"/>
  <c r="T77" i="8"/>
  <c r="U77" i="8"/>
  <c r="T78" i="8"/>
  <c r="U78" i="8"/>
  <c r="T79" i="8"/>
  <c r="U79" i="8"/>
  <c r="T80" i="8"/>
  <c r="U80" i="8"/>
  <c r="T81" i="8"/>
  <c r="U81" i="8"/>
  <c r="T82" i="8"/>
  <c r="U82" i="8"/>
  <c r="G8" i="12"/>
  <c r="K5" i="12"/>
  <c r="K6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H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K4" i="12"/>
  <c r="H4" i="12"/>
  <c r="R6" i="10"/>
  <c r="K2" i="7"/>
  <c r="F2" i="7"/>
  <c r="A2" i="7"/>
  <c r="S3" i="11"/>
  <c r="S4" i="11"/>
  <c r="S5" i="11"/>
  <c r="S6" i="11"/>
  <c r="S7" i="11"/>
  <c r="S8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42" i="11"/>
  <c r="S43" i="11"/>
  <c r="S44" i="11"/>
  <c r="S45" i="11"/>
  <c r="S46" i="11"/>
  <c r="S47" i="11"/>
  <c r="S48" i="11"/>
  <c r="S49" i="11"/>
  <c r="S50" i="11"/>
  <c r="S51" i="11"/>
  <c r="S52" i="11"/>
  <c r="S53" i="11"/>
  <c r="S54" i="11"/>
  <c r="S55" i="11"/>
  <c r="S56" i="11"/>
  <c r="S57" i="11"/>
  <c r="S58" i="11"/>
  <c r="S59" i="11"/>
  <c r="S60" i="11"/>
  <c r="S61" i="11"/>
  <c r="S62" i="11"/>
  <c r="S63" i="11"/>
  <c r="S64" i="11"/>
  <c r="S65" i="11"/>
  <c r="S66" i="11"/>
  <c r="S67" i="11"/>
  <c r="S68" i="11"/>
  <c r="S69" i="11"/>
  <c r="S70" i="11"/>
  <c r="S71" i="11"/>
  <c r="S72" i="11"/>
  <c r="S73" i="11"/>
  <c r="S74" i="11"/>
  <c r="S75" i="11"/>
  <c r="S76" i="11"/>
  <c r="S77" i="11"/>
  <c r="S78" i="11"/>
  <c r="S79" i="11"/>
  <c r="S80" i="11"/>
  <c r="S81" i="11"/>
  <c r="S82" i="11"/>
  <c r="S83" i="11"/>
  <c r="S84" i="11"/>
  <c r="S85" i="11"/>
  <c r="S86" i="11"/>
  <c r="S87" i="11"/>
  <c r="S88" i="11"/>
  <c r="S89" i="11"/>
  <c r="S90" i="11"/>
  <c r="S91" i="11"/>
  <c r="S92" i="11"/>
  <c r="S93" i="11"/>
  <c r="S94" i="11"/>
  <c r="S95" i="11"/>
  <c r="S96" i="11"/>
  <c r="S97" i="11"/>
  <c r="S98" i="11"/>
  <c r="S99" i="11"/>
  <c r="S2" i="1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42" i="11"/>
  <c r="V43" i="11"/>
  <c r="V44" i="11"/>
  <c r="V45" i="11"/>
  <c r="V46" i="11"/>
  <c r="V47" i="11"/>
  <c r="V48" i="11"/>
  <c r="V49" i="11"/>
  <c r="V50" i="11"/>
  <c r="V51" i="11"/>
  <c r="V52" i="11"/>
  <c r="V53" i="11"/>
  <c r="V54" i="11"/>
  <c r="V55" i="11"/>
  <c r="V56" i="11"/>
  <c r="V57" i="11"/>
  <c r="V58" i="11"/>
  <c r="V59" i="11"/>
  <c r="V60" i="11"/>
  <c r="V61" i="11"/>
  <c r="V62" i="11"/>
  <c r="V63" i="11"/>
  <c r="V64" i="11"/>
  <c r="V65" i="11"/>
  <c r="V66" i="11"/>
  <c r="V67" i="11"/>
  <c r="V68" i="11"/>
  <c r="V69" i="11"/>
  <c r="V70" i="11"/>
  <c r="V71" i="11"/>
  <c r="V72" i="11"/>
  <c r="V73" i="11"/>
  <c r="V74" i="11"/>
  <c r="V75" i="11"/>
  <c r="V76" i="11"/>
  <c r="V77" i="11"/>
  <c r="V78" i="11"/>
  <c r="V79" i="11"/>
  <c r="V80" i="11"/>
  <c r="V81" i="11"/>
  <c r="V82" i="11"/>
  <c r="V83" i="11"/>
  <c r="V84" i="11"/>
  <c r="V85" i="11"/>
  <c r="V86" i="11"/>
  <c r="V87" i="11"/>
  <c r="V88" i="11"/>
  <c r="V89" i="11"/>
  <c r="V90" i="11"/>
  <c r="V91" i="11"/>
  <c r="V92" i="11"/>
  <c r="V93" i="11"/>
  <c r="V94" i="11"/>
  <c r="V95" i="11"/>
  <c r="V96" i="11"/>
  <c r="V97" i="11"/>
  <c r="V98" i="11"/>
  <c r="V99" i="11"/>
  <c r="V2" i="11"/>
  <c r="AT3" i="6"/>
  <c r="AT4" i="6"/>
  <c r="AT5" i="6"/>
  <c r="AT6" i="6"/>
  <c r="AT7" i="6"/>
  <c r="AT8" i="6"/>
  <c r="AT9" i="6"/>
  <c r="AT10" i="6"/>
  <c r="AT11" i="6"/>
  <c r="AT12" i="6"/>
  <c r="AT13" i="6"/>
  <c r="AT14" i="6"/>
  <c r="AT15" i="6"/>
  <c r="AT16" i="6"/>
  <c r="AT17" i="6"/>
  <c r="AT18" i="6"/>
  <c r="AT19" i="6"/>
  <c r="AT20" i="6"/>
  <c r="AT21" i="6"/>
  <c r="AT22" i="6"/>
  <c r="AT23" i="6"/>
  <c r="AT24" i="6"/>
  <c r="AT25" i="6"/>
  <c r="AT26" i="6"/>
  <c r="AT27" i="6"/>
  <c r="AT28" i="6"/>
  <c r="AT29" i="6"/>
  <c r="AT30" i="6"/>
  <c r="AT31" i="6"/>
  <c r="AT32" i="6"/>
  <c r="AT33" i="6"/>
  <c r="AT34" i="6"/>
  <c r="AT35" i="6"/>
  <c r="AT36" i="6"/>
  <c r="AT37" i="6"/>
  <c r="AT38" i="6"/>
  <c r="AT39" i="6"/>
  <c r="AT40" i="6"/>
  <c r="AT41" i="6"/>
  <c r="AT42" i="6"/>
  <c r="AT43" i="6"/>
  <c r="AT2" i="6"/>
  <c r="U17" i="3"/>
  <c r="U5" i="3"/>
  <c r="V26" i="8" l="1"/>
  <c r="V18" i="8"/>
  <c r="V10" i="8"/>
  <c r="V31" i="8"/>
  <c r="V23" i="8"/>
  <c r="V15" i="8"/>
  <c r="V7" i="8"/>
  <c r="V33" i="8"/>
  <c r="V25" i="8"/>
  <c r="V17" i="8"/>
  <c r="V12" i="8"/>
  <c r="V30" i="8"/>
  <c r="V22" i="8"/>
  <c r="V14" i="8"/>
  <c r="V27" i="8"/>
  <c r="V19" i="8"/>
  <c r="V32" i="8"/>
  <c r="V24" i="8"/>
  <c r="V16" i="8"/>
  <c r="V29" i="8"/>
  <c r="V21" i="8"/>
  <c r="AR3" i="6"/>
  <c r="AR18" i="6"/>
  <c r="AR17" i="6"/>
  <c r="AR16" i="6"/>
  <c r="AR8" i="6"/>
  <c r="AR29" i="6"/>
  <c r="AR14" i="6"/>
  <c r="AR6" i="6"/>
  <c r="AR37" i="6"/>
  <c r="AR9" i="6"/>
  <c r="AR7" i="6"/>
  <c r="AR2" i="6"/>
  <c r="AR13" i="6"/>
  <c r="AR5" i="6"/>
  <c r="AR27" i="6"/>
  <c r="AR15" i="6"/>
  <c r="AR20" i="6"/>
  <c r="AR12" i="6"/>
  <c r="AR4" i="6"/>
  <c r="AR39" i="6"/>
  <c r="AR10" i="6"/>
  <c r="AR19" i="6"/>
  <c r="AR11" i="6"/>
  <c r="AR38" i="6"/>
  <c r="AR41" i="6"/>
  <c r="AR33" i="6"/>
  <c r="AR25" i="6"/>
  <c r="AR36" i="6"/>
  <c r="AR42" i="6"/>
  <c r="AR23" i="6"/>
  <c r="AR32" i="6"/>
  <c r="AR30" i="6"/>
  <c r="AR22" i="6"/>
  <c r="AR43" i="6"/>
  <c r="AR35" i="6"/>
  <c r="AR34" i="6"/>
  <c r="AR26" i="6"/>
  <c r="AR40" i="6"/>
  <c r="AR24" i="6"/>
  <c r="M3" i="8" s="1"/>
  <c r="AR31" i="6"/>
  <c r="AR21" i="6"/>
  <c r="AR28" i="6"/>
  <c r="U9" i="3"/>
  <c r="J5" i="5"/>
  <c r="N3" i="8" l="1"/>
  <c r="D3" i="8"/>
  <c r="C3" i="8"/>
  <c r="G3" i="8"/>
  <c r="I3" i="8"/>
  <c r="P3" i="8"/>
  <c r="K3" i="8"/>
  <c r="F3" i="8"/>
  <c r="L3" i="8"/>
  <c r="J3" i="8"/>
  <c r="Q3" i="8"/>
  <c r="B3" i="8"/>
  <c r="O3" i="8"/>
  <c r="E3" i="8"/>
  <c r="J5" i="10"/>
  <c r="I5" i="5"/>
  <c r="R18" i="15" l="1"/>
  <c r="R17" i="15"/>
  <c r="R16" i="15"/>
  <c r="R15" i="15"/>
  <c r="R14" i="15"/>
  <c r="R13" i="15"/>
  <c r="R12" i="15"/>
  <c r="R11" i="15"/>
  <c r="R10" i="15"/>
  <c r="R9" i="15"/>
  <c r="R8" i="15"/>
  <c r="R7" i="15"/>
  <c r="R6" i="15"/>
  <c r="R5" i="15"/>
  <c r="R4" i="15"/>
  <c r="R3" i="15"/>
  <c r="R2" i="15"/>
  <c r="X5" i="12"/>
  <c r="X4" i="12"/>
  <c r="X7" i="12"/>
  <c r="X6" i="12"/>
  <c r="R99" i="11" l="1"/>
  <c r="R98" i="11"/>
  <c r="R97" i="11"/>
  <c r="R96" i="11"/>
  <c r="R95" i="11"/>
  <c r="R94" i="11"/>
  <c r="R93" i="11"/>
  <c r="R92" i="11"/>
  <c r="R91" i="11"/>
  <c r="R90" i="11"/>
  <c r="R89" i="11"/>
  <c r="R88" i="11"/>
  <c r="R87" i="11"/>
  <c r="R86" i="11"/>
  <c r="R85" i="11"/>
  <c r="R84" i="11"/>
  <c r="R83" i="11"/>
  <c r="R82" i="11"/>
  <c r="R81" i="11"/>
  <c r="R80" i="11"/>
  <c r="R79" i="11"/>
  <c r="R78" i="11"/>
  <c r="R77" i="11"/>
  <c r="R76" i="11"/>
  <c r="R75" i="11"/>
  <c r="R74" i="11"/>
  <c r="R73" i="11"/>
  <c r="R72" i="11"/>
  <c r="R71" i="11"/>
  <c r="R70" i="11"/>
  <c r="R69" i="11"/>
  <c r="R68" i="11"/>
  <c r="R67" i="11"/>
  <c r="R66" i="11"/>
  <c r="R65" i="11"/>
  <c r="R64" i="11"/>
  <c r="R63" i="11"/>
  <c r="R62" i="11"/>
  <c r="R61" i="11"/>
  <c r="R60" i="11"/>
  <c r="R59" i="11"/>
  <c r="R58" i="11"/>
  <c r="R57" i="11"/>
  <c r="R56" i="11"/>
  <c r="R55" i="11"/>
  <c r="R54" i="11"/>
  <c r="R53" i="11"/>
  <c r="R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R10" i="11"/>
  <c r="R9" i="11"/>
  <c r="R8" i="11"/>
  <c r="R7" i="11"/>
  <c r="R6" i="11"/>
  <c r="R5" i="11"/>
  <c r="R4" i="11"/>
  <c r="R3" i="11"/>
  <c r="R2" i="11"/>
  <c r="AQ43" i="6"/>
  <c r="AQ42" i="6"/>
  <c r="AQ41" i="6"/>
  <c r="AQ40" i="6"/>
  <c r="AQ39" i="6"/>
  <c r="AQ38" i="6"/>
  <c r="AQ37" i="6"/>
  <c r="AQ36" i="6"/>
  <c r="AQ35" i="6"/>
  <c r="AQ34" i="6"/>
  <c r="AQ33" i="6"/>
  <c r="AQ32" i="6"/>
  <c r="AQ31" i="6"/>
  <c r="AQ30" i="6"/>
  <c r="AQ29" i="6"/>
  <c r="AQ28" i="6"/>
  <c r="AQ27" i="6"/>
  <c r="AQ26" i="6"/>
  <c r="AQ25" i="6"/>
  <c r="AQ24" i="6"/>
  <c r="AQ23" i="6"/>
  <c r="AQ22" i="6"/>
  <c r="AQ21" i="6"/>
  <c r="AQ20" i="6"/>
  <c r="AQ19" i="6"/>
  <c r="AQ18" i="6"/>
  <c r="AQ17" i="6"/>
  <c r="AQ16" i="6"/>
  <c r="AQ15" i="6"/>
  <c r="AQ14" i="6"/>
  <c r="AQ13" i="6"/>
  <c r="AQ12" i="6"/>
  <c r="AQ11" i="6"/>
  <c r="AQ10" i="6"/>
  <c r="AQ9" i="6"/>
  <c r="AQ8" i="6"/>
  <c r="AQ7" i="6"/>
  <c r="AQ6" i="6"/>
  <c r="AQ5" i="6"/>
  <c r="AQ4" i="6"/>
  <c r="AQ3" i="6"/>
  <c r="AQ2" i="6"/>
  <c r="R3" i="7" l="1"/>
  <c r="D1" i="12"/>
  <c r="R4" i="3"/>
  <c r="N4" i="3" l="1"/>
  <c r="L5" i="10"/>
  <c r="A21" i="17" l="1"/>
  <c r="A19" i="17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" i="12"/>
  <c r="N42" i="12"/>
  <c r="M42" i="12"/>
  <c r="L42" i="12"/>
  <c r="J42" i="12"/>
  <c r="I42" i="12"/>
  <c r="G42" i="12"/>
  <c r="F42" i="12"/>
  <c r="N41" i="12"/>
  <c r="M41" i="12"/>
  <c r="L41" i="12"/>
  <c r="J41" i="12"/>
  <c r="I41" i="12"/>
  <c r="G41" i="12"/>
  <c r="F41" i="12"/>
  <c r="N40" i="12"/>
  <c r="M40" i="12"/>
  <c r="L40" i="12"/>
  <c r="J40" i="12"/>
  <c r="I40" i="12"/>
  <c r="G40" i="12"/>
  <c r="F40" i="12"/>
  <c r="N39" i="12"/>
  <c r="M39" i="12"/>
  <c r="L39" i="12"/>
  <c r="J39" i="12"/>
  <c r="I39" i="12"/>
  <c r="G39" i="12"/>
  <c r="F39" i="12"/>
  <c r="N38" i="12"/>
  <c r="M38" i="12"/>
  <c r="L38" i="12"/>
  <c r="J38" i="12"/>
  <c r="I38" i="12"/>
  <c r="G38" i="12"/>
  <c r="F38" i="12"/>
  <c r="N37" i="12"/>
  <c r="M37" i="12"/>
  <c r="L37" i="12"/>
  <c r="J37" i="12"/>
  <c r="I37" i="12"/>
  <c r="G37" i="12"/>
  <c r="F37" i="12"/>
  <c r="N36" i="12"/>
  <c r="M36" i="12"/>
  <c r="L36" i="12"/>
  <c r="J36" i="12"/>
  <c r="I36" i="12"/>
  <c r="G36" i="12"/>
  <c r="F36" i="12"/>
  <c r="N35" i="12"/>
  <c r="M35" i="12"/>
  <c r="L35" i="12"/>
  <c r="J35" i="12"/>
  <c r="I35" i="12"/>
  <c r="G35" i="12"/>
  <c r="F35" i="12"/>
  <c r="N34" i="12"/>
  <c r="M34" i="12"/>
  <c r="L34" i="12"/>
  <c r="J34" i="12"/>
  <c r="I34" i="12"/>
  <c r="G34" i="12"/>
  <c r="F34" i="12"/>
  <c r="N33" i="12"/>
  <c r="M33" i="12"/>
  <c r="L33" i="12"/>
  <c r="J33" i="12"/>
  <c r="I33" i="12"/>
  <c r="G33" i="12"/>
  <c r="F33" i="12"/>
  <c r="N32" i="12"/>
  <c r="M32" i="12"/>
  <c r="L32" i="12"/>
  <c r="J32" i="12"/>
  <c r="I32" i="12"/>
  <c r="G32" i="12"/>
  <c r="F32" i="12"/>
  <c r="N31" i="12"/>
  <c r="M31" i="12"/>
  <c r="L31" i="12"/>
  <c r="J31" i="12"/>
  <c r="I31" i="12"/>
  <c r="G31" i="12"/>
  <c r="F31" i="12"/>
  <c r="N30" i="12"/>
  <c r="M30" i="12"/>
  <c r="L30" i="12"/>
  <c r="J30" i="12"/>
  <c r="I30" i="12"/>
  <c r="G30" i="12"/>
  <c r="F30" i="12"/>
  <c r="N29" i="12"/>
  <c r="M29" i="12"/>
  <c r="L29" i="12"/>
  <c r="J29" i="12"/>
  <c r="I29" i="12"/>
  <c r="G29" i="12"/>
  <c r="F29" i="12"/>
  <c r="N28" i="12"/>
  <c r="M28" i="12"/>
  <c r="L28" i="12"/>
  <c r="J28" i="12"/>
  <c r="I28" i="12"/>
  <c r="G28" i="12"/>
  <c r="F28" i="12"/>
  <c r="N27" i="12"/>
  <c r="M27" i="12"/>
  <c r="L27" i="12"/>
  <c r="J27" i="12"/>
  <c r="I27" i="12"/>
  <c r="G27" i="12"/>
  <c r="F27" i="12"/>
  <c r="N26" i="12"/>
  <c r="M26" i="12"/>
  <c r="L26" i="12"/>
  <c r="J26" i="12"/>
  <c r="I26" i="12"/>
  <c r="G26" i="12"/>
  <c r="F26" i="12"/>
  <c r="N25" i="12"/>
  <c r="M25" i="12"/>
  <c r="L25" i="12"/>
  <c r="J25" i="12"/>
  <c r="I25" i="12"/>
  <c r="G25" i="12"/>
  <c r="F25" i="12"/>
  <c r="N24" i="12"/>
  <c r="M24" i="12"/>
  <c r="L24" i="12"/>
  <c r="J24" i="12"/>
  <c r="I24" i="12"/>
  <c r="G24" i="12"/>
  <c r="F24" i="12"/>
  <c r="N23" i="12"/>
  <c r="M23" i="12"/>
  <c r="L23" i="12"/>
  <c r="J23" i="12"/>
  <c r="I23" i="12"/>
  <c r="G23" i="12"/>
  <c r="F23" i="12"/>
  <c r="N22" i="12"/>
  <c r="M22" i="12"/>
  <c r="L22" i="12"/>
  <c r="J22" i="12"/>
  <c r="I22" i="12"/>
  <c r="G22" i="12"/>
  <c r="F22" i="12"/>
  <c r="N21" i="12"/>
  <c r="M21" i="12"/>
  <c r="L21" i="12"/>
  <c r="J21" i="12"/>
  <c r="I21" i="12"/>
  <c r="G21" i="12"/>
  <c r="F21" i="12"/>
  <c r="N20" i="12"/>
  <c r="M20" i="12"/>
  <c r="L20" i="12"/>
  <c r="J20" i="12"/>
  <c r="I20" i="12"/>
  <c r="G20" i="12"/>
  <c r="F20" i="12"/>
  <c r="N19" i="12"/>
  <c r="M19" i="12"/>
  <c r="L19" i="12"/>
  <c r="J19" i="12"/>
  <c r="I19" i="12"/>
  <c r="G19" i="12"/>
  <c r="F19" i="12"/>
  <c r="N18" i="12"/>
  <c r="M18" i="12"/>
  <c r="L18" i="12"/>
  <c r="J18" i="12"/>
  <c r="I18" i="12"/>
  <c r="G18" i="12"/>
  <c r="F18" i="12"/>
  <c r="N17" i="12"/>
  <c r="M17" i="12"/>
  <c r="L17" i="12"/>
  <c r="J17" i="12"/>
  <c r="I17" i="12"/>
  <c r="G17" i="12"/>
  <c r="F17" i="12"/>
  <c r="N16" i="12"/>
  <c r="M16" i="12"/>
  <c r="L16" i="12"/>
  <c r="J16" i="12"/>
  <c r="I16" i="12"/>
  <c r="G16" i="12"/>
  <c r="F16" i="12"/>
  <c r="N15" i="12"/>
  <c r="M15" i="12"/>
  <c r="L15" i="12"/>
  <c r="J15" i="12"/>
  <c r="I15" i="12"/>
  <c r="G15" i="12"/>
  <c r="F15" i="12"/>
  <c r="N14" i="12"/>
  <c r="M14" i="12"/>
  <c r="L14" i="12"/>
  <c r="J14" i="12"/>
  <c r="I14" i="12"/>
  <c r="G14" i="12"/>
  <c r="F14" i="12"/>
  <c r="N13" i="12"/>
  <c r="M13" i="12"/>
  <c r="L13" i="12"/>
  <c r="J13" i="12"/>
  <c r="I13" i="12"/>
  <c r="G13" i="12"/>
  <c r="F13" i="12"/>
  <c r="N12" i="12"/>
  <c r="M12" i="12"/>
  <c r="L12" i="12"/>
  <c r="J12" i="12"/>
  <c r="I12" i="12"/>
  <c r="G12" i="12"/>
  <c r="F12" i="12"/>
  <c r="N11" i="12"/>
  <c r="M11" i="12"/>
  <c r="L11" i="12"/>
  <c r="J11" i="12"/>
  <c r="I11" i="12"/>
  <c r="G11" i="12"/>
  <c r="F11" i="12"/>
  <c r="N10" i="12"/>
  <c r="M10" i="12"/>
  <c r="L10" i="12"/>
  <c r="J10" i="12"/>
  <c r="I10" i="12"/>
  <c r="G10" i="12"/>
  <c r="F10" i="12"/>
  <c r="N9" i="12"/>
  <c r="M9" i="12"/>
  <c r="L9" i="12"/>
  <c r="J9" i="12"/>
  <c r="I9" i="12"/>
  <c r="G9" i="12"/>
  <c r="F9" i="12"/>
  <c r="N8" i="12"/>
  <c r="M8" i="12"/>
  <c r="L8" i="12"/>
  <c r="J8" i="12"/>
  <c r="I8" i="12"/>
  <c r="F8" i="12"/>
  <c r="N7" i="12"/>
  <c r="M7" i="12"/>
  <c r="L7" i="12"/>
  <c r="J7" i="12"/>
  <c r="I7" i="12"/>
  <c r="G7" i="12"/>
  <c r="F7" i="12"/>
  <c r="N6" i="12"/>
  <c r="M6" i="12"/>
  <c r="L6" i="12"/>
  <c r="J6" i="12"/>
  <c r="I6" i="12"/>
  <c r="G6" i="12"/>
  <c r="F6" i="12"/>
  <c r="N5" i="12"/>
  <c r="M5" i="12"/>
  <c r="L5" i="12"/>
  <c r="J5" i="12"/>
  <c r="I5" i="12"/>
  <c r="G5" i="12"/>
  <c r="F5" i="12"/>
  <c r="N4" i="12"/>
  <c r="M4" i="12"/>
  <c r="L4" i="12"/>
  <c r="J4" i="12"/>
  <c r="I4" i="12"/>
  <c r="G4" i="12"/>
  <c r="F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" i="12"/>
  <c r="A23" i="17"/>
  <c r="R9" i="10" l="1" a="1"/>
  <c r="R9" i="10" s="1"/>
  <c r="M5" i="10" a="1"/>
  <c r="M5" i="10" s="1"/>
  <c r="K5" i="10" a="1"/>
  <c r="K5" i="10" s="1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2" i="2"/>
  <c r="U12" i="3" a="1"/>
  <c r="U12" i="3" s="1"/>
  <c r="U15" i="3" a="1"/>
  <c r="U15" i="3" s="1"/>
  <c r="U14" i="3" a="1"/>
  <c r="U14" i="3" s="1"/>
  <c r="U13" i="3" a="1"/>
  <c r="U13" i="3" s="1"/>
  <c r="U11" i="3" a="1"/>
  <c r="U11" i="3" s="1"/>
  <c r="U10" i="3" a="1"/>
  <c r="U10" i="3" s="1"/>
  <c r="U16" i="3" a="1"/>
  <c r="U16" i="3" s="1"/>
  <c r="U8" i="3" a="1"/>
  <c r="U8" i="3" s="1"/>
  <c r="N11" i="3"/>
  <c r="M11" i="3"/>
  <c r="N10" i="3"/>
  <c r="M10" i="3"/>
  <c r="P4" i="3" a="1"/>
  <c r="P4" i="3" s="1"/>
  <c r="O4" i="3" a="1"/>
  <c r="O4" i="3" s="1"/>
  <c r="M4" i="3" a="1"/>
  <c r="M4" i="3" s="1"/>
  <c r="B23" i="17" l="1"/>
  <c r="A17" i="17"/>
  <c r="B17" i="17" s="1"/>
  <c r="I5" i="10" l="1"/>
  <c r="K4" i="3"/>
  <c r="L6" i="3" s="1"/>
  <c r="A20" i="17" s="1"/>
  <c r="N12" i="3" l="1"/>
  <c r="M12" i="3"/>
  <c r="O12" i="3" s="1"/>
  <c r="L13" i="10"/>
  <c r="R10" i="10" s="1" a="1"/>
  <c r="R10" i="10" s="1"/>
  <c r="K13" i="10"/>
  <c r="M13" i="10" l="1"/>
  <c r="C42" i="12" l="1"/>
  <c r="C34" i="12"/>
  <c r="C26" i="12"/>
  <c r="C18" i="12"/>
  <c r="C10" i="12"/>
  <c r="C27" i="12"/>
  <c r="C41" i="12"/>
  <c r="C33" i="12"/>
  <c r="C25" i="12"/>
  <c r="C17" i="12"/>
  <c r="C9" i="12"/>
  <c r="C8" i="12"/>
  <c r="C19" i="12"/>
  <c r="C40" i="12"/>
  <c r="C32" i="12"/>
  <c r="C24" i="12"/>
  <c r="C16" i="12"/>
  <c r="C35" i="12"/>
  <c r="C39" i="12"/>
  <c r="C31" i="12"/>
  <c r="C23" i="12"/>
  <c r="C15" i="12"/>
  <c r="C7" i="12"/>
  <c r="C38" i="12"/>
  <c r="C30" i="12"/>
  <c r="C22" i="12"/>
  <c r="C14" i="12"/>
  <c r="C6" i="12"/>
  <c r="C37" i="12"/>
  <c r="C29" i="12"/>
  <c r="C21" i="12"/>
  <c r="C13" i="12"/>
  <c r="C5" i="12"/>
  <c r="C36" i="12"/>
  <c r="C28" i="12"/>
  <c r="C20" i="12"/>
  <c r="C12" i="12"/>
  <c r="C4" i="12"/>
  <c r="C11" i="12"/>
  <c r="B12" i="12"/>
  <c r="B20" i="12"/>
  <c r="B28" i="12"/>
  <c r="O28" i="12" s="1"/>
  <c r="B36" i="12"/>
  <c r="O36" i="12" s="1"/>
  <c r="B4" i="12"/>
  <c r="O4" i="12" s="1"/>
  <c r="B5" i="12"/>
  <c r="B13" i="12"/>
  <c r="B21" i="12"/>
  <c r="O21" i="12" s="1"/>
  <c r="B29" i="12"/>
  <c r="O29" i="12" s="1"/>
  <c r="B37" i="12"/>
  <c r="B6" i="12"/>
  <c r="B14" i="12"/>
  <c r="O14" i="12" s="1"/>
  <c r="B22" i="12"/>
  <c r="O22" i="12" s="1"/>
  <c r="B30" i="12"/>
  <c r="B38" i="12"/>
  <c r="O38" i="12" s="1"/>
  <c r="B7" i="12"/>
  <c r="B15" i="12"/>
  <c r="B23" i="12"/>
  <c r="O23" i="12" s="1"/>
  <c r="B31" i="12"/>
  <c r="B39" i="12"/>
  <c r="O39" i="12" s="1"/>
  <c r="B8" i="12"/>
  <c r="B16" i="12"/>
  <c r="O16" i="12" s="1"/>
  <c r="B24" i="12"/>
  <c r="O24" i="12" s="1"/>
  <c r="B32" i="12"/>
  <c r="O32" i="12" s="1"/>
  <c r="B40" i="12"/>
  <c r="O40" i="12" s="1"/>
  <c r="B9" i="12"/>
  <c r="B17" i="12"/>
  <c r="O17" i="12" s="1"/>
  <c r="B25" i="12"/>
  <c r="O25" i="12" s="1"/>
  <c r="B33" i="12"/>
  <c r="O33" i="12" s="1"/>
  <c r="B41" i="12"/>
  <c r="O41" i="12" s="1"/>
  <c r="B10" i="12"/>
  <c r="B18" i="12"/>
  <c r="O18" i="12" s="1"/>
  <c r="B26" i="12"/>
  <c r="O26" i="12" s="1"/>
  <c r="B34" i="12"/>
  <c r="O34" i="12" s="1"/>
  <c r="B42" i="12"/>
  <c r="O42" i="12" s="1"/>
  <c r="B11" i="12"/>
  <c r="B19" i="12"/>
  <c r="B27" i="12"/>
  <c r="O27" i="12" s="1"/>
  <c r="B35" i="12"/>
  <c r="O35" i="12" s="1"/>
  <c r="O31" i="12" l="1"/>
  <c r="P31" i="12" s="1"/>
  <c r="O12" i="12"/>
  <c r="P12" i="12" s="1"/>
  <c r="O19" i="12"/>
  <c r="P19" i="12" s="1"/>
  <c r="O15" i="12"/>
  <c r="P15" i="12" s="1"/>
  <c r="O30" i="12"/>
  <c r="P30" i="12" s="1"/>
  <c r="B21" i="17"/>
  <c r="O37" i="12"/>
  <c r="P37" i="12" s="1"/>
  <c r="O20" i="12"/>
  <c r="P20" i="12" s="1"/>
  <c r="O10" i="12"/>
  <c r="P10" i="12" s="1"/>
  <c r="O8" i="12"/>
  <c r="P8" i="12" s="1"/>
  <c r="O6" i="12"/>
  <c r="O11" i="12"/>
  <c r="P11" i="12" s="1"/>
  <c r="O13" i="12"/>
  <c r="P13" i="12" s="1"/>
  <c r="O9" i="12"/>
  <c r="P9" i="12" s="1"/>
  <c r="O7" i="12"/>
  <c r="P7" i="12" s="1"/>
  <c r="O5" i="12"/>
  <c r="P35" i="12"/>
  <c r="P33" i="12"/>
  <c r="P40" i="12"/>
  <c r="P38" i="12"/>
  <c r="P34" i="12"/>
  <c r="P32" i="12"/>
  <c r="P27" i="12"/>
  <c r="P41" i="12"/>
  <c r="P39" i="12"/>
  <c r="P29" i="12"/>
  <c r="P36" i="12"/>
  <c r="P18" i="12"/>
  <c r="P17" i="12"/>
  <c r="P16" i="12"/>
  <c r="P14" i="12"/>
  <c r="P4" i="12"/>
  <c r="P42" i="12"/>
  <c r="P26" i="12"/>
  <c r="P25" i="12"/>
  <c r="P24" i="12"/>
  <c r="P23" i="12"/>
  <c r="P22" i="12"/>
  <c r="P21" i="12"/>
  <c r="P28" i="12"/>
  <c r="L17" i="10"/>
  <c r="K17" i="10"/>
  <c r="L16" i="10"/>
  <c r="K16" i="10"/>
  <c r="L15" i="10"/>
  <c r="K15" i="10"/>
  <c r="L14" i="10"/>
  <c r="K14" i="10"/>
  <c r="L12" i="10"/>
  <c r="K12" i="10"/>
  <c r="L11" i="10"/>
  <c r="K11" i="10"/>
  <c r="J7" i="10"/>
  <c r="A22" i="17" s="1"/>
  <c r="P5" i="12" l="1"/>
  <c r="P6" i="12"/>
  <c r="R14" i="10"/>
  <c r="R12" i="10"/>
  <c r="R11" i="10"/>
  <c r="R13" i="10"/>
  <c r="B22" i="17"/>
  <c r="M17" i="10"/>
  <c r="M12" i="10"/>
  <c r="M16" i="10"/>
  <c r="M14" i="10"/>
  <c r="O5" i="10"/>
  <c r="M15" i="10"/>
  <c r="S16" i="5" l="1"/>
  <c r="R16" i="5"/>
  <c r="Q16" i="5"/>
  <c r="S15" i="5"/>
  <c r="R15" i="5"/>
  <c r="Q15" i="5"/>
  <c r="P15" i="5"/>
  <c r="S14" i="5"/>
  <c r="R14" i="5"/>
  <c r="Q14" i="5"/>
  <c r="P14" i="5"/>
  <c r="S13" i="5"/>
  <c r="R13" i="5"/>
  <c r="Q13" i="5"/>
  <c r="P13" i="5"/>
  <c r="S12" i="5"/>
  <c r="R12" i="5"/>
  <c r="Q12" i="5"/>
  <c r="P12" i="5"/>
  <c r="S11" i="5"/>
  <c r="R11" i="5"/>
  <c r="Q11" i="5"/>
  <c r="P11" i="5"/>
  <c r="S10" i="5"/>
  <c r="R10" i="5"/>
  <c r="Q10" i="5"/>
  <c r="P10" i="5"/>
  <c r="S9" i="5"/>
  <c r="R9" i="5"/>
  <c r="Q9" i="5"/>
  <c r="P9" i="5"/>
  <c r="S8" i="5"/>
  <c r="R8" i="5"/>
  <c r="Q8" i="5"/>
  <c r="P8" i="5"/>
  <c r="S7" i="5"/>
  <c r="R7" i="5"/>
  <c r="Q7" i="5"/>
  <c r="P7" i="5"/>
  <c r="S6" i="5"/>
  <c r="R6" i="5"/>
  <c r="Q6" i="5"/>
  <c r="P6" i="5"/>
  <c r="S5" i="5"/>
  <c r="R5" i="5"/>
  <c r="Q5" i="5"/>
  <c r="P5" i="5"/>
  <c r="P16" i="5"/>
  <c r="M16" i="3"/>
  <c r="M15" i="3"/>
  <c r="M14" i="3"/>
  <c r="M13" i="3"/>
  <c r="N16" i="3"/>
  <c r="N15" i="3"/>
  <c r="N14" i="3"/>
  <c r="N13" i="3"/>
  <c r="O14" i="3" l="1"/>
  <c r="O11" i="3"/>
  <c r="O15" i="3"/>
  <c r="O16" i="3"/>
  <c r="O13" i="3"/>
  <c r="L4" i="3"/>
  <c r="B20" i="17"/>
  <c r="H5" i="5" l="1"/>
  <c r="G5" i="5"/>
  <c r="L5" i="5" s="1"/>
  <c r="A18" i="17" s="1"/>
  <c r="B18" i="17" s="1"/>
  <c r="K4" i="8" l="1"/>
  <c r="K18" i="8"/>
  <c r="K34" i="8"/>
  <c r="K50" i="8"/>
  <c r="K66" i="8"/>
  <c r="K82" i="8"/>
  <c r="G18" i="8"/>
  <c r="G34" i="8"/>
  <c r="G50" i="8"/>
  <c r="G66" i="8"/>
  <c r="G82" i="8"/>
  <c r="G43" i="8"/>
  <c r="G71" i="8"/>
  <c r="K24" i="8"/>
  <c r="K56" i="8"/>
  <c r="G8" i="8"/>
  <c r="G44" i="8"/>
  <c r="G76" i="8"/>
  <c r="K15" i="8"/>
  <c r="K31" i="8"/>
  <c r="K47" i="8"/>
  <c r="K63" i="8"/>
  <c r="K79" i="8"/>
  <c r="G15" i="8"/>
  <c r="G47" i="8"/>
  <c r="K36" i="8"/>
  <c r="K68" i="8"/>
  <c r="G20" i="8"/>
  <c r="G48" i="8"/>
  <c r="G80" i="8"/>
  <c r="K21" i="8"/>
  <c r="K37" i="8"/>
  <c r="K53" i="8"/>
  <c r="K69" i="8"/>
  <c r="G5" i="8"/>
  <c r="G21" i="8"/>
  <c r="G65" i="8"/>
  <c r="G45" i="8"/>
  <c r="G69" i="8"/>
  <c r="K73" i="8"/>
  <c r="G25" i="8"/>
  <c r="G61" i="8"/>
  <c r="G41" i="8"/>
  <c r="K80" i="8"/>
  <c r="K59" i="8"/>
  <c r="K28" i="8"/>
  <c r="G72" i="8"/>
  <c r="K81" i="8"/>
  <c r="G53" i="8"/>
  <c r="K6" i="8"/>
  <c r="K22" i="8"/>
  <c r="K38" i="8"/>
  <c r="K54" i="8"/>
  <c r="K70" i="8"/>
  <c r="G6" i="8"/>
  <c r="G22" i="8"/>
  <c r="G38" i="8"/>
  <c r="G54" i="8"/>
  <c r="G70" i="8"/>
  <c r="G19" i="8"/>
  <c r="G51" i="8"/>
  <c r="G79" i="8"/>
  <c r="K32" i="8"/>
  <c r="K64" i="8"/>
  <c r="G16" i="8"/>
  <c r="G52" i="8"/>
  <c r="K5" i="8"/>
  <c r="K19" i="8"/>
  <c r="K35" i="8"/>
  <c r="K51" i="8"/>
  <c r="K67" i="8"/>
  <c r="G23" i="8"/>
  <c r="G55" i="8"/>
  <c r="K12" i="8"/>
  <c r="K44" i="8"/>
  <c r="K76" i="8"/>
  <c r="G28" i="8"/>
  <c r="G56" i="8"/>
  <c r="K9" i="8"/>
  <c r="K25" i="8"/>
  <c r="K41" i="8"/>
  <c r="K57" i="8"/>
  <c r="G9" i="8"/>
  <c r="G81" i="8"/>
  <c r="G57" i="8"/>
  <c r="G29" i="8"/>
  <c r="G68" i="8"/>
  <c r="K43" i="8"/>
  <c r="G39" i="8"/>
  <c r="K60" i="8"/>
  <c r="K17" i="8"/>
  <c r="K65" i="8"/>
  <c r="G17" i="8"/>
  <c r="G77" i="8"/>
  <c r="K10" i="8"/>
  <c r="K26" i="8"/>
  <c r="K42" i="8"/>
  <c r="K58" i="8"/>
  <c r="K74" i="8"/>
  <c r="G10" i="8"/>
  <c r="G26" i="8"/>
  <c r="G42" i="8"/>
  <c r="G58" i="8"/>
  <c r="G74" i="8"/>
  <c r="G27" i="8"/>
  <c r="G59" i="8"/>
  <c r="K8" i="8"/>
  <c r="K40" i="8"/>
  <c r="K72" i="8"/>
  <c r="G24" i="8"/>
  <c r="G60" i="8"/>
  <c r="K7" i="8"/>
  <c r="K23" i="8"/>
  <c r="K39" i="8"/>
  <c r="K55" i="8"/>
  <c r="K71" i="8"/>
  <c r="G7" i="8"/>
  <c r="G31" i="8"/>
  <c r="G67" i="8"/>
  <c r="K20" i="8"/>
  <c r="K52" i="8"/>
  <c r="G4" i="8"/>
  <c r="G36" i="8"/>
  <c r="G64" i="8"/>
  <c r="K13" i="8"/>
  <c r="K29" i="8"/>
  <c r="K45" i="8"/>
  <c r="K61" i="8"/>
  <c r="K77" i="8"/>
  <c r="G13" i="8"/>
  <c r="G33" i="8"/>
  <c r="G37" i="8"/>
  <c r="K11" i="8"/>
  <c r="K75" i="8"/>
  <c r="G75" i="8"/>
  <c r="G40" i="8"/>
  <c r="K49" i="8"/>
  <c r="G73" i="8"/>
  <c r="K14" i="8"/>
  <c r="K30" i="8"/>
  <c r="K46" i="8"/>
  <c r="K62" i="8"/>
  <c r="K78" i="8"/>
  <c r="G14" i="8"/>
  <c r="G30" i="8"/>
  <c r="G46" i="8"/>
  <c r="G62" i="8"/>
  <c r="G78" i="8"/>
  <c r="G35" i="8"/>
  <c r="G63" i="8"/>
  <c r="K16" i="8"/>
  <c r="K48" i="8"/>
  <c r="G32" i="8"/>
  <c r="K27" i="8"/>
  <c r="G11" i="8"/>
  <c r="G12" i="8"/>
  <c r="K33" i="8"/>
  <c r="G49" i="8"/>
  <c r="M9" i="8"/>
  <c r="M81" i="8"/>
  <c r="P66" i="8"/>
  <c r="L10" i="8"/>
  <c r="L82" i="8"/>
  <c r="P67" i="8"/>
  <c r="M28" i="8"/>
  <c r="N39" i="8"/>
  <c r="L11" i="8"/>
  <c r="N4" i="8"/>
  <c r="M43" i="8"/>
  <c r="M47" i="8"/>
  <c r="N77" i="8"/>
  <c r="M68" i="8"/>
  <c r="L66" i="8"/>
  <c r="P35" i="8"/>
  <c r="M6" i="8"/>
  <c r="M78" i="8"/>
  <c r="P60" i="8"/>
  <c r="L50" i="8"/>
  <c r="L43" i="8"/>
  <c r="N80" i="8"/>
  <c r="P28" i="8"/>
  <c r="L75" i="8"/>
  <c r="P53" i="8"/>
  <c r="M31" i="8"/>
  <c r="L33" i="8"/>
  <c r="L45" i="8"/>
  <c r="P30" i="8"/>
  <c r="N32" i="8"/>
  <c r="P46" i="8"/>
  <c r="L54" i="8"/>
  <c r="L63" i="8"/>
  <c r="N27" i="8"/>
  <c r="P23" i="8"/>
  <c r="N11" i="8"/>
  <c r="M15" i="8"/>
  <c r="N13" i="8"/>
  <c r="P78" i="8"/>
  <c r="L16" i="8"/>
  <c r="N14" i="8"/>
  <c r="P79" i="8"/>
  <c r="L26" i="8"/>
  <c r="M34" i="8"/>
  <c r="N51" i="8"/>
  <c r="M73" i="8"/>
  <c r="L17" i="8"/>
  <c r="N16" i="8"/>
  <c r="N57" i="8"/>
  <c r="M53" i="8"/>
  <c r="P10" i="8"/>
  <c r="N71" i="8"/>
  <c r="L72" i="8"/>
  <c r="P59" i="8"/>
  <c r="M12" i="8"/>
  <c r="N7" i="8"/>
  <c r="P72" i="8"/>
  <c r="N58" i="8"/>
  <c r="L49" i="8"/>
  <c r="P25" i="8"/>
  <c r="L9" i="8"/>
  <c r="L81" i="8"/>
  <c r="P65" i="8"/>
  <c r="L55" i="8"/>
  <c r="L15" i="8"/>
  <c r="N12" i="8"/>
  <c r="N68" i="8"/>
  <c r="L61" i="8"/>
  <c r="N24" i="8"/>
  <c r="M79" i="8"/>
  <c r="M32" i="8"/>
  <c r="L51" i="8"/>
  <c r="M63" i="8"/>
  <c r="P33" i="8"/>
  <c r="M60" i="8"/>
  <c r="P17" i="8"/>
  <c r="N21" i="8"/>
  <c r="M35" i="8"/>
  <c r="P36" i="8"/>
  <c r="M75" i="8"/>
  <c r="P82" i="8"/>
  <c r="M26" i="8"/>
  <c r="P48" i="8"/>
  <c r="M21" i="8"/>
  <c r="N25" i="8"/>
  <c r="M37" i="8"/>
  <c r="L22" i="8"/>
  <c r="N26" i="8"/>
  <c r="P44" i="8"/>
  <c r="L56" i="8"/>
  <c r="M40" i="8"/>
  <c r="N63" i="8"/>
  <c r="P26" i="8"/>
  <c r="L23" i="8"/>
  <c r="N28" i="8"/>
  <c r="P74" i="8"/>
  <c r="M59" i="8"/>
  <c r="P22" i="8"/>
  <c r="L6" i="8"/>
  <c r="L78" i="8"/>
  <c r="M67" i="8"/>
  <c r="M18" i="8"/>
  <c r="N19" i="8"/>
  <c r="P63" i="8"/>
  <c r="P49" i="8"/>
  <c r="P77" i="8"/>
  <c r="L73" i="8"/>
  <c r="N48" i="8"/>
  <c r="P5" i="8"/>
  <c r="M74" i="8"/>
  <c r="M55" i="8"/>
  <c r="M16" i="8"/>
  <c r="P69" i="8"/>
  <c r="M66" i="8"/>
  <c r="P29" i="8"/>
  <c r="N81" i="8"/>
  <c r="M41" i="8"/>
  <c r="L37" i="8"/>
  <c r="M27" i="8"/>
  <c r="N37" i="8"/>
  <c r="N33" i="8"/>
  <c r="L28" i="8"/>
  <c r="N38" i="8"/>
  <c r="P68" i="8"/>
  <c r="N34" i="8"/>
  <c r="M46" i="8"/>
  <c r="N75" i="8"/>
  <c r="L14" i="8"/>
  <c r="L29" i="8"/>
  <c r="N40" i="8"/>
  <c r="L44" i="8"/>
  <c r="M65" i="8"/>
  <c r="P34" i="8"/>
  <c r="L12" i="8"/>
  <c r="N6" i="8"/>
  <c r="P50" i="8"/>
  <c r="M24" i="8"/>
  <c r="N31" i="8"/>
  <c r="M50" i="8"/>
  <c r="L21" i="8"/>
  <c r="N72" i="8"/>
  <c r="L64" i="8"/>
  <c r="N41" i="8"/>
  <c r="N82" i="8"/>
  <c r="N15" i="8"/>
  <c r="P15" i="8"/>
  <c r="N44" i="8"/>
  <c r="M22" i="8"/>
  <c r="N65" i="8"/>
  <c r="N56" i="8"/>
  <c r="M33" i="8"/>
  <c r="N49" i="8"/>
  <c r="P62" i="8"/>
  <c r="L34" i="8"/>
  <c r="N50" i="8"/>
  <c r="P45" i="8"/>
  <c r="P27" i="8"/>
  <c r="M52" i="8"/>
  <c r="P8" i="8"/>
  <c r="L68" i="8"/>
  <c r="L35" i="8"/>
  <c r="N52" i="8"/>
  <c r="N22" i="8"/>
  <c r="M71" i="8"/>
  <c r="P58" i="8"/>
  <c r="L18" i="8"/>
  <c r="N18" i="8"/>
  <c r="L8" i="8"/>
  <c r="M30" i="8"/>
  <c r="N43" i="8"/>
  <c r="P13" i="8"/>
  <c r="N59" i="8"/>
  <c r="L67" i="8"/>
  <c r="M25" i="8"/>
  <c r="L27" i="8"/>
  <c r="N36" i="8"/>
  <c r="N9" i="8"/>
  <c r="P37" i="8"/>
  <c r="L20" i="8"/>
  <c r="P31" i="8"/>
  <c r="N78" i="8"/>
  <c r="P16" i="8"/>
  <c r="M39" i="8"/>
  <c r="N61" i="8"/>
  <c r="L38" i="8"/>
  <c r="L40" i="8"/>
  <c r="N62" i="8"/>
  <c r="P81" i="8"/>
  <c r="M38" i="8"/>
  <c r="M58" i="8"/>
  <c r="P20" i="8"/>
  <c r="N46" i="8"/>
  <c r="L41" i="8"/>
  <c r="N64" i="8"/>
  <c r="M5" i="8"/>
  <c r="M77" i="8"/>
  <c r="M7" i="8"/>
  <c r="L24" i="8"/>
  <c r="N30" i="8"/>
  <c r="L62" i="8"/>
  <c r="M36" i="8"/>
  <c r="N55" i="8"/>
  <c r="P64" i="8"/>
  <c r="M82" i="8"/>
  <c r="L48" i="8"/>
  <c r="L57" i="8"/>
  <c r="P43" i="8"/>
  <c r="P11" i="8"/>
  <c r="P54" i="8"/>
  <c r="L60" i="8"/>
  <c r="M45" i="8"/>
  <c r="N73" i="8"/>
  <c r="N10" i="8"/>
  <c r="L46" i="8"/>
  <c r="N74" i="8"/>
  <c r="P70" i="8"/>
  <c r="M80" i="8"/>
  <c r="M64" i="8"/>
  <c r="P32" i="8"/>
  <c r="P51" i="8"/>
  <c r="L47" i="8"/>
  <c r="N76" i="8"/>
  <c r="M11" i="8"/>
  <c r="N5" i="8"/>
  <c r="M61" i="8"/>
  <c r="L30" i="8"/>
  <c r="N42" i="8"/>
  <c r="N70" i="8"/>
  <c r="M42" i="8"/>
  <c r="N67" i="8"/>
  <c r="P61" i="8"/>
  <c r="L7" i="8"/>
  <c r="L79" i="8"/>
  <c r="P14" i="8"/>
  <c r="L39" i="8"/>
  <c r="N60" i="8"/>
  <c r="N47" i="8"/>
  <c r="N17" i="8"/>
  <c r="N54" i="8"/>
  <c r="M48" i="8"/>
  <c r="N79" i="8"/>
  <c r="L13" i="8"/>
  <c r="P76" i="8"/>
  <c r="M49" i="8"/>
  <c r="N23" i="8"/>
  <c r="L80" i="8"/>
  <c r="L25" i="8"/>
  <c r="M69" i="8"/>
  <c r="P40" i="8"/>
  <c r="N35" i="8"/>
  <c r="M44" i="8"/>
  <c r="L76" i="8"/>
  <c r="L77" i="8"/>
  <c r="P52" i="8"/>
  <c r="L69" i="8"/>
  <c r="M51" i="8"/>
  <c r="P6" i="8"/>
  <c r="P39" i="8"/>
  <c r="L52" i="8"/>
  <c r="P7" i="8"/>
  <c r="P71" i="8"/>
  <c r="P4" i="8"/>
  <c r="M70" i="8"/>
  <c r="P56" i="8"/>
  <c r="M8" i="8"/>
  <c r="L53" i="8"/>
  <c r="P9" i="8"/>
  <c r="M17" i="8"/>
  <c r="N69" i="8"/>
  <c r="L36" i="8"/>
  <c r="P75" i="8"/>
  <c r="P73" i="8"/>
  <c r="N8" i="8"/>
  <c r="P57" i="8"/>
  <c r="M29" i="8"/>
  <c r="P24" i="8"/>
  <c r="L70" i="8"/>
  <c r="N53" i="8"/>
  <c r="L31" i="8"/>
  <c r="L4" i="8"/>
  <c r="L5" i="8"/>
  <c r="M72" i="8"/>
  <c r="P41" i="8"/>
  <c r="M57" i="8"/>
  <c r="P18" i="8"/>
  <c r="M20" i="8"/>
  <c r="L58" i="8"/>
  <c r="P19" i="8"/>
  <c r="M19" i="8"/>
  <c r="M4" i="8"/>
  <c r="M76" i="8"/>
  <c r="P80" i="8"/>
  <c r="M56" i="8"/>
  <c r="L59" i="8"/>
  <c r="P21" i="8"/>
  <c r="M23" i="8"/>
  <c r="N29" i="8"/>
  <c r="L32" i="8"/>
  <c r="L42" i="8"/>
  <c r="N66" i="8"/>
  <c r="M14" i="8"/>
  <c r="M54" i="8"/>
  <c r="P12" i="8"/>
  <c r="M13" i="8"/>
  <c r="L19" i="8"/>
  <c r="N20" i="8"/>
  <c r="L74" i="8"/>
  <c r="M10" i="8"/>
  <c r="L65" i="8"/>
  <c r="M62" i="8"/>
  <c r="P42" i="8"/>
  <c r="L71" i="8"/>
  <c r="N45" i="8"/>
  <c r="P55" i="8"/>
  <c r="P47" i="8"/>
  <c r="P38" i="8"/>
  <c r="J4" i="8"/>
  <c r="J16" i="8"/>
  <c r="J28" i="8"/>
  <c r="J40" i="8"/>
  <c r="J52" i="8"/>
  <c r="J64" i="8"/>
  <c r="J76" i="8"/>
  <c r="J77" i="8"/>
  <c r="J44" i="8"/>
  <c r="J69" i="8"/>
  <c r="J37" i="8"/>
  <c r="J50" i="8"/>
  <c r="J5" i="8"/>
  <c r="J17" i="8"/>
  <c r="J29" i="8"/>
  <c r="J41" i="8"/>
  <c r="J53" i="8"/>
  <c r="J65" i="8"/>
  <c r="J78" i="8"/>
  <c r="J80" i="8"/>
  <c r="J47" i="8"/>
  <c r="J49" i="8"/>
  <c r="J75" i="8"/>
  <c r="J6" i="8"/>
  <c r="J18" i="8"/>
  <c r="J30" i="8"/>
  <c r="J42" i="8"/>
  <c r="J54" i="8"/>
  <c r="J66" i="8"/>
  <c r="J68" i="8"/>
  <c r="J81" i="8"/>
  <c r="J13" i="8"/>
  <c r="J74" i="8"/>
  <c r="J7" i="8"/>
  <c r="J19" i="8"/>
  <c r="J31" i="8"/>
  <c r="J43" i="8"/>
  <c r="J55" i="8"/>
  <c r="J67" i="8"/>
  <c r="J79" i="8"/>
  <c r="J32" i="8"/>
  <c r="J57" i="8"/>
  <c r="J71" i="8"/>
  <c r="J61" i="8"/>
  <c r="J62" i="8"/>
  <c r="J8" i="8"/>
  <c r="J20" i="8"/>
  <c r="J56" i="8"/>
  <c r="J59" i="8"/>
  <c r="J26" i="8"/>
  <c r="J9" i="8"/>
  <c r="J21" i="8"/>
  <c r="J33" i="8"/>
  <c r="J45" i="8"/>
  <c r="J60" i="8"/>
  <c r="J14" i="8"/>
  <c r="J10" i="8"/>
  <c r="J22" i="8"/>
  <c r="J34" i="8"/>
  <c r="J46" i="8"/>
  <c r="J58" i="8"/>
  <c r="J70" i="8"/>
  <c r="J82" i="8"/>
  <c r="J25" i="8"/>
  <c r="J11" i="8"/>
  <c r="J23" i="8"/>
  <c r="J35" i="8"/>
  <c r="J73" i="8"/>
  <c r="J12" i="8"/>
  <c r="J24" i="8"/>
  <c r="J36" i="8"/>
  <c r="J48" i="8"/>
  <c r="J72" i="8"/>
  <c r="J38" i="8"/>
  <c r="J15" i="8"/>
  <c r="J27" i="8"/>
  <c r="J39" i="8"/>
  <c r="J51" i="8"/>
  <c r="J63" i="8"/>
  <c r="C6" i="8"/>
  <c r="I6" i="8"/>
  <c r="I14" i="8"/>
  <c r="I22" i="8"/>
  <c r="I30" i="8"/>
  <c r="I38" i="8"/>
  <c r="I46" i="8"/>
  <c r="I54" i="8"/>
  <c r="I62" i="8"/>
  <c r="I70" i="8"/>
  <c r="I78" i="8"/>
  <c r="I7" i="8"/>
  <c r="I15" i="8"/>
  <c r="I23" i="8"/>
  <c r="I31" i="8"/>
  <c r="I39" i="8"/>
  <c r="I47" i="8"/>
  <c r="I55" i="8"/>
  <c r="I63" i="8"/>
  <c r="I71" i="8"/>
  <c r="I79" i="8"/>
  <c r="I8" i="8"/>
  <c r="I16" i="8"/>
  <c r="I24" i="8"/>
  <c r="I32" i="8"/>
  <c r="I40" i="8"/>
  <c r="I48" i="8"/>
  <c r="I56" i="8"/>
  <c r="I64" i="8"/>
  <c r="I72" i="8"/>
  <c r="I80" i="8"/>
  <c r="I9" i="8"/>
  <c r="I17" i="8"/>
  <c r="I25" i="8"/>
  <c r="I33" i="8"/>
  <c r="I41" i="8"/>
  <c r="I49" i="8"/>
  <c r="I57" i="8"/>
  <c r="I65" i="8"/>
  <c r="I73" i="8"/>
  <c r="I81" i="8"/>
  <c r="I10" i="8"/>
  <c r="I18" i="8"/>
  <c r="I26" i="8"/>
  <c r="I34" i="8"/>
  <c r="I42" i="8"/>
  <c r="I50" i="8"/>
  <c r="I58" i="8"/>
  <c r="I66" i="8"/>
  <c r="I74" i="8"/>
  <c r="I82" i="8"/>
  <c r="I11" i="8"/>
  <c r="I19" i="8"/>
  <c r="I27" i="8"/>
  <c r="I35" i="8"/>
  <c r="I43" i="8"/>
  <c r="I51" i="8"/>
  <c r="I59" i="8"/>
  <c r="I67" i="8"/>
  <c r="I75" i="8"/>
  <c r="I4" i="8"/>
  <c r="I12" i="8"/>
  <c r="I20" i="8"/>
  <c r="I28" i="8"/>
  <c r="I36" i="8"/>
  <c r="I44" i="8"/>
  <c r="I52" i="8"/>
  <c r="I60" i="8"/>
  <c r="I68" i="8"/>
  <c r="I76" i="8"/>
  <c r="I5" i="8"/>
  <c r="I13" i="8"/>
  <c r="I21" i="8"/>
  <c r="I29" i="8"/>
  <c r="I37" i="8"/>
  <c r="I45" i="8"/>
  <c r="I53" i="8"/>
  <c r="I61" i="8"/>
  <c r="I69" i="8"/>
  <c r="I77" i="8"/>
  <c r="E6" i="8"/>
  <c r="Q5" i="8"/>
  <c r="Q9" i="8"/>
  <c r="Q13" i="8"/>
  <c r="Q17" i="8"/>
  <c r="Q21" i="8"/>
  <c r="Q25" i="8"/>
  <c r="Q29" i="8"/>
  <c r="Q33" i="8"/>
  <c r="Q37" i="8"/>
  <c r="Q41" i="8"/>
  <c r="Q45" i="8"/>
  <c r="Q49" i="8"/>
  <c r="Q53" i="8"/>
  <c r="Q57" i="8"/>
  <c r="Q61" i="8"/>
  <c r="Q65" i="8"/>
  <c r="Q69" i="8"/>
  <c r="Q73" i="8"/>
  <c r="Q77" i="8"/>
  <c r="Q81" i="8"/>
  <c r="E15" i="8"/>
  <c r="E21" i="8"/>
  <c r="E28" i="8"/>
  <c r="E34" i="8"/>
  <c r="E47" i="8"/>
  <c r="E53" i="8"/>
  <c r="E60" i="8"/>
  <c r="E66" i="8"/>
  <c r="E79" i="8"/>
  <c r="F4" i="8"/>
  <c r="F12" i="8"/>
  <c r="F20" i="8"/>
  <c r="F28" i="8"/>
  <c r="F36" i="8"/>
  <c r="F44" i="8"/>
  <c r="F52" i="8"/>
  <c r="F60" i="8"/>
  <c r="F68" i="8"/>
  <c r="F76" i="8"/>
  <c r="O25" i="8"/>
  <c r="O61" i="8"/>
  <c r="F51" i="8"/>
  <c r="O6" i="8"/>
  <c r="O10" i="8"/>
  <c r="O14" i="8"/>
  <c r="O18" i="8"/>
  <c r="O22" i="8"/>
  <c r="O26" i="8"/>
  <c r="O30" i="8"/>
  <c r="O34" i="8"/>
  <c r="O38" i="8"/>
  <c r="O42" i="8"/>
  <c r="O46" i="8"/>
  <c r="O50" i="8"/>
  <c r="O54" i="8"/>
  <c r="O58" i="8"/>
  <c r="O62" i="8"/>
  <c r="O66" i="8"/>
  <c r="O70" i="8"/>
  <c r="O74" i="8"/>
  <c r="O78" i="8"/>
  <c r="O82" i="8"/>
  <c r="E9" i="8"/>
  <c r="E16" i="8"/>
  <c r="E22" i="8"/>
  <c r="E35" i="8"/>
  <c r="E41" i="8"/>
  <c r="E48" i="8"/>
  <c r="E54" i="8"/>
  <c r="E67" i="8"/>
  <c r="E73" i="8"/>
  <c r="E80" i="8"/>
  <c r="F5" i="8"/>
  <c r="F13" i="8"/>
  <c r="F21" i="8"/>
  <c r="F29" i="8"/>
  <c r="F37" i="8"/>
  <c r="F45" i="8"/>
  <c r="F53" i="8"/>
  <c r="F61" i="8"/>
  <c r="F69" i="8"/>
  <c r="F77" i="8"/>
  <c r="F65" i="8"/>
  <c r="F82" i="8"/>
  <c r="O29" i="8"/>
  <c r="O49" i="8"/>
  <c r="O77" i="8"/>
  <c r="E33" i="8"/>
  <c r="E78" i="8"/>
  <c r="F59" i="8"/>
  <c r="Q6" i="8"/>
  <c r="Q10" i="8"/>
  <c r="Q14" i="8"/>
  <c r="Q18" i="8"/>
  <c r="Q22" i="8"/>
  <c r="Q26" i="8"/>
  <c r="Q30" i="8"/>
  <c r="Q34" i="8"/>
  <c r="Q38" i="8"/>
  <c r="Q42" i="8"/>
  <c r="Q46" i="8"/>
  <c r="Q50" i="8"/>
  <c r="Q54" i="8"/>
  <c r="Q58" i="8"/>
  <c r="Q62" i="8"/>
  <c r="Q66" i="8"/>
  <c r="Q70" i="8"/>
  <c r="Q74" i="8"/>
  <c r="Q78" i="8"/>
  <c r="Q82" i="8"/>
  <c r="E10" i="8"/>
  <c r="E23" i="8"/>
  <c r="E29" i="8"/>
  <c r="E36" i="8"/>
  <c r="E42" i="8"/>
  <c r="E55" i="8"/>
  <c r="E61" i="8"/>
  <c r="E68" i="8"/>
  <c r="E74" i="8"/>
  <c r="F6" i="8"/>
  <c r="F14" i="8"/>
  <c r="F22" i="8"/>
  <c r="F30" i="8"/>
  <c r="F38" i="8"/>
  <c r="F46" i="8"/>
  <c r="F54" i="8"/>
  <c r="F62" i="8"/>
  <c r="F70" i="8"/>
  <c r="F78" i="8"/>
  <c r="F80" i="8"/>
  <c r="F66" i="8"/>
  <c r="O21" i="8"/>
  <c r="O53" i="8"/>
  <c r="E8" i="8"/>
  <c r="E65" i="8"/>
  <c r="F35" i="8"/>
  <c r="O7" i="8"/>
  <c r="O11" i="8"/>
  <c r="O15" i="8"/>
  <c r="O19" i="8"/>
  <c r="O23" i="8"/>
  <c r="O27" i="8"/>
  <c r="O31" i="8"/>
  <c r="O35" i="8"/>
  <c r="O39" i="8"/>
  <c r="O43" i="8"/>
  <c r="O47" i="8"/>
  <c r="O51" i="8"/>
  <c r="O55" i="8"/>
  <c r="O59" i="8"/>
  <c r="O63" i="8"/>
  <c r="O67" i="8"/>
  <c r="O71" i="8"/>
  <c r="O75" i="8"/>
  <c r="O79" i="8"/>
  <c r="E4" i="8"/>
  <c r="E11" i="8"/>
  <c r="E17" i="8"/>
  <c r="E24" i="8"/>
  <c r="E30" i="8"/>
  <c r="E43" i="8"/>
  <c r="E49" i="8"/>
  <c r="E56" i="8"/>
  <c r="E62" i="8"/>
  <c r="E75" i="8"/>
  <c r="E81" i="8"/>
  <c r="F7" i="8"/>
  <c r="F15" i="8"/>
  <c r="F23" i="8"/>
  <c r="F31" i="8"/>
  <c r="F39" i="8"/>
  <c r="F47" i="8"/>
  <c r="F55" i="8"/>
  <c r="F63" i="8"/>
  <c r="F71" i="8"/>
  <c r="F79" i="8"/>
  <c r="F73" i="8"/>
  <c r="O9" i="8"/>
  <c r="O65" i="8"/>
  <c r="E27" i="8"/>
  <c r="E72" i="8"/>
  <c r="F43" i="8"/>
  <c r="Q7" i="8"/>
  <c r="Q11" i="8"/>
  <c r="Q15" i="8"/>
  <c r="Q19" i="8"/>
  <c r="Q23" i="8"/>
  <c r="Q27" i="8"/>
  <c r="Q31" i="8"/>
  <c r="Q35" i="8"/>
  <c r="Q39" i="8"/>
  <c r="Q43" i="8"/>
  <c r="Q47" i="8"/>
  <c r="Q51" i="8"/>
  <c r="Q55" i="8"/>
  <c r="Q59" i="8"/>
  <c r="Q63" i="8"/>
  <c r="Q67" i="8"/>
  <c r="Q71" i="8"/>
  <c r="Q75" i="8"/>
  <c r="Q79" i="8"/>
  <c r="E12" i="8"/>
  <c r="E18" i="8"/>
  <c r="E31" i="8"/>
  <c r="E37" i="8"/>
  <c r="E44" i="8"/>
  <c r="E50" i="8"/>
  <c r="E63" i="8"/>
  <c r="E69" i="8"/>
  <c r="E76" i="8"/>
  <c r="E82" i="8"/>
  <c r="F8" i="8"/>
  <c r="F16" i="8"/>
  <c r="F24" i="8"/>
  <c r="F32" i="8"/>
  <c r="F40" i="8"/>
  <c r="F48" i="8"/>
  <c r="F56" i="8"/>
  <c r="F64" i="8"/>
  <c r="F72" i="8"/>
  <c r="F81" i="8"/>
  <c r="O13" i="8"/>
  <c r="O73" i="8"/>
  <c r="E46" i="8"/>
  <c r="F19" i="8"/>
  <c r="O4" i="8"/>
  <c r="O8" i="8"/>
  <c r="O12" i="8"/>
  <c r="O16" i="8"/>
  <c r="O20" i="8"/>
  <c r="O24" i="8"/>
  <c r="O28" i="8"/>
  <c r="O32" i="8"/>
  <c r="O36" i="8"/>
  <c r="O40" i="8"/>
  <c r="O44" i="8"/>
  <c r="O48" i="8"/>
  <c r="O52" i="8"/>
  <c r="O56" i="8"/>
  <c r="O60" i="8"/>
  <c r="O64" i="8"/>
  <c r="O68" i="8"/>
  <c r="O72" i="8"/>
  <c r="O76" i="8"/>
  <c r="O80" i="8"/>
  <c r="E5" i="8"/>
  <c r="E19" i="8"/>
  <c r="E25" i="8"/>
  <c r="E32" i="8"/>
  <c r="E38" i="8"/>
  <c r="E51" i="8"/>
  <c r="E57" i="8"/>
  <c r="E64" i="8"/>
  <c r="E70" i="8"/>
  <c r="F9" i="8"/>
  <c r="F17" i="8"/>
  <c r="F25" i="8"/>
  <c r="F33" i="8"/>
  <c r="F41" i="8"/>
  <c r="F49" i="8"/>
  <c r="F57" i="8"/>
  <c r="O5" i="8"/>
  <c r="O37" i="8"/>
  <c r="O45" i="8"/>
  <c r="O69" i="8"/>
  <c r="E14" i="8"/>
  <c r="E59" i="8"/>
  <c r="F27" i="8"/>
  <c r="F75" i="8"/>
  <c r="Q4" i="8"/>
  <c r="Q8" i="8"/>
  <c r="Q12" i="8"/>
  <c r="Q16" i="8"/>
  <c r="Q20" i="8"/>
  <c r="Q24" i="8"/>
  <c r="Q28" i="8"/>
  <c r="Q32" i="8"/>
  <c r="Q36" i="8"/>
  <c r="Q40" i="8"/>
  <c r="Q44" i="8"/>
  <c r="Q48" i="8"/>
  <c r="Q52" i="8"/>
  <c r="Q56" i="8"/>
  <c r="Q60" i="8"/>
  <c r="Q64" i="8"/>
  <c r="Q68" i="8"/>
  <c r="Q72" i="8"/>
  <c r="Q76" i="8"/>
  <c r="Q80" i="8"/>
  <c r="E7" i="8"/>
  <c r="E13" i="8"/>
  <c r="E20" i="8"/>
  <c r="E26" i="8"/>
  <c r="E39" i="8"/>
  <c r="E45" i="8"/>
  <c r="E52" i="8"/>
  <c r="E58" i="8"/>
  <c r="E71" i="8"/>
  <c r="E77" i="8"/>
  <c r="F10" i="8"/>
  <c r="F18" i="8"/>
  <c r="F26" i="8"/>
  <c r="F34" i="8"/>
  <c r="F42" i="8"/>
  <c r="F50" i="8"/>
  <c r="F58" i="8"/>
  <c r="F74" i="8"/>
  <c r="O17" i="8"/>
  <c r="O33" i="8"/>
  <c r="O41" i="8"/>
  <c r="O57" i="8"/>
  <c r="O81" i="8"/>
  <c r="E40" i="8"/>
  <c r="F11" i="8"/>
  <c r="F67" i="8"/>
  <c r="C79" i="8"/>
  <c r="C71" i="8"/>
  <c r="C63" i="8"/>
  <c r="C55" i="8"/>
  <c r="C47" i="8"/>
  <c r="C39" i="8"/>
  <c r="C31" i="8"/>
  <c r="C23" i="8"/>
  <c r="C15" i="8"/>
  <c r="C7" i="8"/>
  <c r="C76" i="8"/>
  <c r="C68" i="8"/>
  <c r="C60" i="8"/>
  <c r="C52" i="8"/>
  <c r="C44" i="8"/>
  <c r="C36" i="8"/>
  <c r="C28" i="8"/>
  <c r="C20" i="8"/>
  <c r="C12" i="8"/>
  <c r="C4" i="8"/>
  <c r="C35" i="8"/>
  <c r="C11" i="8"/>
  <c r="C75" i="8"/>
  <c r="C67" i="8"/>
  <c r="C59" i="8"/>
  <c r="C51" i="8"/>
  <c r="C43" i="8"/>
  <c r="C27" i="8"/>
  <c r="C19" i="8"/>
  <c r="C74" i="8"/>
  <c r="C62" i="8"/>
  <c r="C49" i="8"/>
  <c r="C37" i="8"/>
  <c r="C24" i="8"/>
  <c r="C10" i="8"/>
  <c r="C73" i="8"/>
  <c r="C61" i="8"/>
  <c r="C48" i="8"/>
  <c r="C34" i="8"/>
  <c r="C22" i="8"/>
  <c r="C9" i="8"/>
  <c r="C66" i="8"/>
  <c r="C29" i="8"/>
  <c r="C53" i="8"/>
  <c r="C14" i="8"/>
  <c r="C38" i="8"/>
  <c r="C72" i="8"/>
  <c r="C58" i="8"/>
  <c r="C46" i="8"/>
  <c r="C33" i="8"/>
  <c r="C21" i="8"/>
  <c r="C8" i="8"/>
  <c r="C56" i="8"/>
  <c r="C42" i="8"/>
  <c r="C17" i="8"/>
  <c r="C80" i="8"/>
  <c r="C41" i="8"/>
  <c r="C82" i="8"/>
  <c r="C78" i="8"/>
  <c r="C40" i="8"/>
  <c r="C25" i="8"/>
  <c r="C70" i="8"/>
  <c r="C57" i="8"/>
  <c r="C45" i="8"/>
  <c r="C32" i="8"/>
  <c r="C18" i="8"/>
  <c r="C81" i="8"/>
  <c r="C69" i="8"/>
  <c r="C30" i="8"/>
  <c r="C5" i="8"/>
  <c r="C54" i="8"/>
  <c r="C16" i="8"/>
  <c r="C65" i="8"/>
  <c r="C26" i="8"/>
  <c r="C77" i="8"/>
  <c r="C64" i="8"/>
  <c r="C50" i="8"/>
  <c r="C13" i="8"/>
  <c r="B59" i="8"/>
  <c r="H59" i="8" s="1"/>
  <c r="B82" i="8"/>
  <c r="B4" i="8"/>
  <c r="B12" i="8"/>
  <c r="B20" i="8"/>
  <c r="B28" i="8"/>
  <c r="H28" i="8" s="1"/>
  <c r="B36" i="8"/>
  <c r="H36" i="8" s="1"/>
  <c r="B44" i="8"/>
  <c r="H44" i="8" s="1"/>
  <c r="B52" i="8"/>
  <c r="H52" i="8" s="1"/>
  <c r="B60" i="8"/>
  <c r="H60" i="8" s="1"/>
  <c r="B68" i="8"/>
  <c r="H68" i="8" s="1"/>
  <c r="B76" i="8"/>
  <c r="B5" i="8"/>
  <c r="B13" i="8"/>
  <c r="B21" i="8"/>
  <c r="B29" i="8"/>
  <c r="H29" i="8" s="1"/>
  <c r="B37" i="8"/>
  <c r="H37" i="8" s="1"/>
  <c r="B45" i="8"/>
  <c r="H45" i="8" s="1"/>
  <c r="B53" i="8"/>
  <c r="H53" i="8" s="1"/>
  <c r="B61" i="8"/>
  <c r="B69" i="8"/>
  <c r="H69" i="8" s="1"/>
  <c r="B77" i="8"/>
  <c r="B14" i="8"/>
  <c r="B30" i="8"/>
  <c r="H30" i="8" s="1"/>
  <c r="B46" i="8"/>
  <c r="H46" i="8" s="1"/>
  <c r="B62" i="8"/>
  <c r="H62" i="8" s="1"/>
  <c r="B78" i="8"/>
  <c r="H78" i="8" s="1"/>
  <c r="B7" i="8"/>
  <c r="B15" i="8"/>
  <c r="B23" i="8"/>
  <c r="B39" i="8"/>
  <c r="H39" i="8" s="1"/>
  <c r="B55" i="8"/>
  <c r="H55" i="8" s="1"/>
  <c r="B63" i="8"/>
  <c r="B6" i="8"/>
  <c r="B22" i="8"/>
  <c r="B38" i="8"/>
  <c r="H38" i="8" s="1"/>
  <c r="B54" i="8"/>
  <c r="H54" i="8" s="1"/>
  <c r="B70" i="8"/>
  <c r="H70" i="8" s="1"/>
  <c r="B47" i="8"/>
  <c r="H47" i="8" s="1"/>
  <c r="B79" i="8"/>
  <c r="B31" i="8"/>
  <c r="H31" i="8" s="1"/>
  <c r="B71" i="8"/>
  <c r="H71" i="8" s="1"/>
  <c r="B8" i="8"/>
  <c r="B16" i="8"/>
  <c r="B24" i="8"/>
  <c r="B32" i="8"/>
  <c r="H32" i="8" s="1"/>
  <c r="B40" i="8"/>
  <c r="H40" i="8" s="1"/>
  <c r="B48" i="8"/>
  <c r="H48" i="8" s="1"/>
  <c r="B56" i="8"/>
  <c r="H56" i="8" s="1"/>
  <c r="B64" i="8"/>
  <c r="H64" i="8" s="1"/>
  <c r="B72" i="8"/>
  <c r="B80" i="8"/>
  <c r="B18" i="8"/>
  <c r="B34" i="8"/>
  <c r="H34" i="8" s="1"/>
  <c r="B50" i="8"/>
  <c r="H50" i="8" s="1"/>
  <c r="B74" i="8"/>
  <c r="H74" i="8" s="1"/>
  <c r="B11" i="8"/>
  <c r="B27" i="8"/>
  <c r="H27" i="8" s="1"/>
  <c r="B43" i="8"/>
  <c r="H43" i="8" s="1"/>
  <c r="B67" i="8"/>
  <c r="B9" i="8"/>
  <c r="B17" i="8"/>
  <c r="B25" i="8"/>
  <c r="H25" i="8" s="1"/>
  <c r="B33" i="8"/>
  <c r="H33" i="8" s="1"/>
  <c r="B41" i="8"/>
  <c r="H41" i="8" s="1"/>
  <c r="B49" i="8"/>
  <c r="H49" i="8" s="1"/>
  <c r="B57" i="8"/>
  <c r="H57" i="8" s="1"/>
  <c r="B65" i="8"/>
  <c r="H65" i="8" s="1"/>
  <c r="B73" i="8"/>
  <c r="B81" i="8"/>
  <c r="B10" i="8"/>
  <c r="B26" i="8"/>
  <c r="H26" i="8" s="1"/>
  <c r="B42" i="8"/>
  <c r="H42" i="8" s="1"/>
  <c r="B58" i="8"/>
  <c r="H58" i="8" s="1"/>
  <c r="B66" i="8"/>
  <c r="H66" i="8" s="1"/>
  <c r="B19" i="8"/>
  <c r="B35" i="8"/>
  <c r="H35" i="8" s="1"/>
  <c r="B51" i="8"/>
  <c r="H51" i="8" s="1"/>
  <c r="B75" i="8"/>
  <c r="H79" i="8" l="1"/>
  <c r="R79" i="8" s="1"/>
  <c r="H82" i="8"/>
  <c r="R82" i="8" s="1"/>
  <c r="H72" i="8"/>
  <c r="R72" i="8" s="1"/>
  <c r="H76" i="8"/>
  <c r="R76" i="8" s="1"/>
  <c r="H81" i="8"/>
  <c r="R81" i="8" s="1"/>
  <c r="H77" i="8"/>
  <c r="R77" i="8" s="1"/>
  <c r="S4" i="3"/>
  <c r="H75" i="8"/>
  <c r="H19" i="8"/>
  <c r="R19" i="8" s="1"/>
  <c r="H10" i="8"/>
  <c r="R10" i="8" s="1"/>
  <c r="H67" i="8"/>
  <c r="R67" i="8" s="1"/>
  <c r="H23" i="8"/>
  <c r="R23" i="8" s="1"/>
  <c r="H14" i="8"/>
  <c r="R14" i="8" s="1"/>
  <c r="H13" i="8"/>
  <c r="R13" i="8" s="1"/>
  <c r="H15" i="8"/>
  <c r="R15" i="8" s="1"/>
  <c r="H6" i="8"/>
  <c r="R6" i="8" s="1"/>
  <c r="H11" i="8"/>
  <c r="R11" i="8" s="1"/>
  <c r="H24" i="8"/>
  <c r="R24" i="8" s="1"/>
  <c r="H7" i="8"/>
  <c r="R7" i="8" s="1"/>
  <c r="H80" i="8"/>
  <c r="R80" i="8" s="1"/>
  <c r="H20" i="8"/>
  <c r="R20" i="8" s="1"/>
  <c r="H16" i="8"/>
  <c r="R16" i="8" s="1"/>
  <c r="H12" i="8"/>
  <c r="R12" i="8" s="1"/>
  <c r="H5" i="8"/>
  <c r="R5" i="8" s="1"/>
  <c r="H8" i="8"/>
  <c r="R8" i="8" s="1"/>
  <c r="H17" i="8"/>
  <c r="R17" i="8" s="1"/>
  <c r="H4" i="8"/>
  <c r="R4" i="8" s="1"/>
  <c r="H21" i="8"/>
  <c r="R21" i="8" s="1"/>
  <c r="H73" i="8"/>
  <c r="R73" i="8" s="1"/>
  <c r="H63" i="8"/>
  <c r="R63" i="8" s="1"/>
  <c r="H9" i="8"/>
  <c r="R9" i="8" s="1"/>
  <c r="H22" i="8"/>
  <c r="R22" i="8" s="1"/>
  <c r="H61" i="8"/>
  <c r="R61" i="8" s="1"/>
  <c r="H18" i="8"/>
  <c r="R18" i="8" s="1"/>
  <c r="R68" i="8"/>
  <c r="R71" i="8"/>
  <c r="R62" i="8"/>
  <c r="R36" i="8"/>
  <c r="R52" i="8"/>
  <c r="R65" i="8"/>
  <c r="R74" i="8"/>
  <c r="R44" i="8"/>
  <c r="R75" i="8"/>
  <c r="R28" i="8"/>
  <c r="R78" i="8"/>
  <c r="R70" i="8"/>
  <c r="R64" i="8"/>
  <c r="R53" i="8"/>
  <c r="R29" i="8"/>
  <c r="B19" i="17"/>
  <c r="A24" i="17" s="1"/>
  <c r="R60" i="8"/>
  <c r="R31" i="8"/>
  <c r="R66" i="8"/>
  <c r="R58" i="8"/>
  <c r="R46" i="8"/>
  <c r="R30" i="8"/>
  <c r="R42" i="8"/>
  <c r="R43" i="8"/>
  <c r="R55" i="8"/>
  <c r="R57" i="8"/>
  <c r="R49" i="8"/>
  <c r="R33" i="8"/>
  <c r="R54" i="8"/>
  <c r="R45" i="8"/>
  <c r="R47" i="8"/>
  <c r="R39" i="8"/>
  <c r="R37" i="8"/>
  <c r="R50" i="8"/>
  <c r="R38" i="8"/>
  <c r="R27" i="8"/>
  <c r="R48" i="8"/>
  <c r="R59" i="8"/>
  <c r="R41" i="8"/>
  <c r="R25" i="8"/>
  <c r="R69" i="8"/>
  <c r="R32" i="8"/>
  <c r="R51" i="8"/>
  <c r="R35" i="8"/>
  <c r="R26" i="8"/>
  <c r="R56" i="8"/>
  <c r="R34" i="8"/>
  <c r="R40" i="8"/>
  <c r="Q4" i="3" l="1"/>
  <c r="H3" i="8" l="1"/>
  <c r="R3" i="8" s="1"/>
  <c r="N4" i="7" l="1"/>
  <c r="L5" i="7"/>
  <c r="G4" i="7"/>
  <c r="L6" i="7"/>
  <c r="L7" i="7"/>
  <c r="I4" i="7"/>
  <c r="B4" i="7"/>
  <c r="D5" i="7"/>
  <c r="N5" i="7"/>
  <c r="I5" i="7"/>
  <c r="G5" i="7"/>
  <c r="N6" i="7"/>
  <c r="G7" i="7"/>
  <c r="L4" i="7"/>
  <c r="B7" i="7"/>
  <c r="B5" i="7"/>
  <c r="G6" i="7"/>
  <c r="B6" i="7"/>
  <c r="I6" i="7"/>
  <c r="D6" i="7"/>
  <c r="D4" i="7"/>
  <c r="D7" i="7" l="1"/>
  <c r="I7" i="7"/>
  <c r="N7" i="7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<sst xmlns="http://schemas.openxmlformats.org/spreadsheetml/2006/main" count="552" uniqueCount="253">
  <si>
    <t>채널</t>
  </si>
  <si>
    <t>SKinno News</t>
  </si>
  <si>
    <t>Facebook</t>
  </si>
  <si>
    <t>Instagram</t>
  </si>
  <si>
    <t>Youtube</t>
  </si>
  <si>
    <t>방문자 수 (UV)</t>
  </si>
  <si>
    <r>
      <rPr>
        <b/>
        <sz val="9"/>
        <color rgb="FF000000"/>
        <rFont val="Century Gothic"/>
        <family val="2"/>
      </rPr>
      <t xml:space="preserve">GA </t>
    </r>
    <r>
      <rPr>
        <b/>
        <sz val="9"/>
        <color rgb="FF000000"/>
        <rFont val="맑은 고딕"/>
        <family val="3"/>
        <charset val="129"/>
      </rPr>
      <t>방문자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수</t>
    </r>
    <r>
      <rPr>
        <b/>
        <sz val="9"/>
        <color rgb="FF000000"/>
        <rFont val="Century Gothic"/>
        <family val="2"/>
      </rPr>
      <t xml:space="preserve"> (UV)</t>
    </r>
  </si>
  <si>
    <r>
      <rPr>
        <b/>
        <sz val="9"/>
        <color rgb="FF000000"/>
        <rFont val="맑은 고딕"/>
        <family val="3"/>
        <charset val="129"/>
      </rPr>
      <t>신규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방문자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수</t>
    </r>
    <r>
      <rPr>
        <b/>
        <sz val="9"/>
        <color rgb="FF000000"/>
        <rFont val="Century Gothic"/>
        <family val="2"/>
      </rPr>
      <t xml:space="preserve"> (NV)</t>
    </r>
  </si>
  <si>
    <r>
      <rPr>
        <b/>
        <sz val="9"/>
        <color rgb="FF000000"/>
        <rFont val="맑은 고딕"/>
        <family val="3"/>
        <charset val="129"/>
      </rPr>
      <t>페이지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뷰</t>
    </r>
    <r>
      <rPr>
        <b/>
        <sz val="9"/>
        <color rgb="FF000000"/>
        <rFont val="Century Gothic"/>
        <family val="2"/>
      </rPr>
      <t xml:space="preserve"> (PV)</t>
    </r>
  </si>
  <si>
    <t>official.skinnovation</t>
  </si>
  <si>
    <t>SK Innovation</t>
  </si>
  <si>
    <t>월</t>
    <phoneticPr fontId="1" type="noConversion"/>
  </si>
  <si>
    <t>페이스북</t>
    <phoneticPr fontId="1" type="noConversion"/>
  </si>
  <si>
    <t>인스타그램</t>
    <phoneticPr fontId="1" type="noConversion"/>
  </si>
  <si>
    <t>유튜브</t>
    <phoneticPr fontId="1" type="noConversion"/>
  </si>
  <si>
    <t>장표 입력 완료 여부</t>
    <phoneticPr fontId="1" type="noConversion"/>
  </si>
  <si>
    <t>페이스북 팬수</t>
  </si>
  <si>
    <t>포스팅 발행 수</t>
  </si>
  <si>
    <t>콘텐츠 도달</t>
  </si>
  <si>
    <t>좋아요</t>
  </si>
  <si>
    <t>댓글</t>
  </si>
  <si>
    <r>
      <rPr>
        <b/>
        <sz val="9"/>
        <color rgb="FF000000"/>
        <rFont val="맑은 고딕"/>
        <family val="3"/>
        <charset val="129"/>
      </rPr>
      <t>날짜</t>
    </r>
  </si>
  <si>
    <r>
      <rPr>
        <b/>
        <sz val="9"/>
        <color rgb="FF000000"/>
        <rFont val="맑은 고딕"/>
        <family val="3"/>
        <charset val="129"/>
      </rPr>
      <t>요일</t>
    </r>
  </si>
  <si>
    <t>WP</t>
  </si>
  <si>
    <t>PC</t>
  </si>
  <si>
    <t>MO</t>
  </si>
  <si>
    <t>Total</t>
  </si>
  <si>
    <r>
      <rPr>
        <b/>
        <sz val="9"/>
        <color rgb="FF000000"/>
        <rFont val="맑은 고딕"/>
        <family val="3"/>
        <charset val="129"/>
      </rPr>
      <t>좋아요증가</t>
    </r>
  </si>
  <si>
    <r>
      <rPr>
        <b/>
        <sz val="9"/>
        <color rgb="FF000000"/>
        <rFont val="맑은 고딕"/>
        <family val="3"/>
        <charset val="129"/>
      </rPr>
      <t>좋아요취소</t>
    </r>
  </si>
  <si>
    <r>
      <rPr>
        <b/>
        <sz val="9"/>
        <color rgb="FF000000"/>
        <rFont val="맑은 고딕"/>
        <family val="3"/>
        <charset val="129"/>
      </rPr>
      <t>도달</t>
    </r>
  </si>
  <si>
    <r>
      <rPr>
        <b/>
        <sz val="9"/>
        <color rgb="FF000000"/>
        <rFont val="맑은 고딕"/>
        <family val="3"/>
        <charset val="129"/>
      </rPr>
      <t>노출</t>
    </r>
  </si>
  <si>
    <r>
      <rPr>
        <b/>
        <sz val="9"/>
        <color theme="1"/>
        <rFont val="맑은 고딕"/>
        <family val="3"/>
        <charset val="129"/>
      </rPr>
      <t>팔로워</t>
    </r>
  </si>
  <si>
    <r>
      <rPr>
        <b/>
        <sz val="9"/>
        <color theme="1"/>
        <rFont val="맑은 고딕"/>
        <family val="3"/>
        <charset val="129"/>
      </rPr>
      <t>도달</t>
    </r>
    <r>
      <rPr>
        <b/>
        <sz val="9"/>
        <color theme="1"/>
        <rFont val="Century Gothic"/>
        <family val="2"/>
      </rPr>
      <t xml:space="preserve"> </t>
    </r>
  </si>
  <si>
    <r>
      <rPr>
        <b/>
        <sz val="9"/>
        <color theme="1"/>
        <rFont val="맑은 고딕"/>
        <family val="3"/>
        <charset val="129"/>
      </rPr>
      <t>노출</t>
    </r>
  </si>
  <si>
    <r>
      <rPr>
        <b/>
        <sz val="9"/>
        <color theme="1"/>
        <rFont val="맑은 고딕"/>
        <family val="3"/>
        <charset val="129"/>
      </rPr>
      <t>구독자</t>
    </r>
  </si>
  <si>
    <t>설명</t>
  </si>
  <si>
    <t>기간(초)</t>
  </si>
  <si>
    <t>게시 시간</t>
  </si>
  <si>
    <t>캡션 유형</t>
  </si>
  <si>
    <t>고유 링크</t>
  </si>
  <si>
    <t>교차 게시</t>
  </si>
  <si>
    <t>공유 여부</t>
  </si>
  <si>
    <t>게시물 유형</t>
  </si>
  <si>
    <t>언어</t>
  </si>
  <si>
    <t>맞춤 레이블</t>
  </si>
  <si>
    <t>브랜디드 콘텐츠 상태</t>
  </si>
  <si>
    <t>날짜</t>
  </si>
  <si>
    <t>공유</t>
  </si>
  <si>
    <t>참여</t>
  </si>
  <si>
    <t>동영상 3초 이상 조회</t>
  </si>
  <si>
    <t>노출</t>
  </si>
  <si>
    <t>기타 클릭</t>
  </si>
  <si>
    <t>링크 클릭</t>
  </si>
  <si>
    <t>총 클릭</t>
  </si>
  <si>
    <t>광고 노출</t>
  </si>
  <si>
    <t>게시물 유형</t>
    <phoneticPr fontId="1" type="noConversion"/>
  </si>
  <si>
    <t>참여</t>
    <phoneticPr fontId="1" type="noConversion"/>
  </si>
  <si>
    <t>노출</t>
    <phoneticPr fontId="1" type="noConversion"/>
  </si>
  <si>
    <t>총 클릭</t>
    <phoneticPr fontId="1" type="noConversion"/>
  </si>
  <si>
    <t>복사용 데이터</t>
    <phoneticPr fontId="1" type="noConversion"/>
  </si>
  <si>
    <t>참여</t>
    <phoneticPr fontId="1" type="noConversion"/>
  </si>
  <si>
    <t>참여율</t>
    <phoneticPr fontId="1" type="noConversion"/>
  </si>
  <si>
    <t>월별 로우데이터</t>
    <phoneticPr fontId="1" type="noConversion"/>
  </si>
  <si>
    <t>팬 수</t>
    <phoneticPr fontId="1" type="noConversion"/>
  </si>
  <si>
    <t>포스팅 수</t>
    <phoneticPr fontId="1" type="noConversion"/>
  </si>
  <si>
    <t>도달</t>
    <phoneticPr fontId="1" type="noConversion"/>
  </si>
  <si>
    <t>참여율</t>
    <phoneticPr fontId="1" type="noConversion"/>
  </si>
  <si>
    <t>복붙용 표</t>
    <phoneticPr fontId="1" type="noConversion"/>
  </si>
  <si>
    <t>이 표는 데이터 자동생성용이니 신경쓰지 마시오</t>
    <phoneticPr fontId="1" type="noConversion"/>
  </si>
  <si>
    <t>팔로워</t>
    <phoneticPr fontId="1" type="noConversion"/>
  </si>
  <si>
    <t>도달</t>
  </si>
  <si>
    <t>포스트 링크 타고 들어가서 캡쳐 가능</t>
    <phoneticPr fontId="1" type="noConversion"/>
  </si>
  <si>
    <t>+/- 수치</t>
  </si>
  <si>
    <t>팔로워 수</t>
    <phoneticPr fontId="1" type="noConversion"/>
  </si>
  <si>
    <t>계정 이름</t>
  </si>
  <si>
    <t>팔로우</t>
  </si>
  <si>
    <t>저장</t>
  </si>
  <si>
    <t>도달</t>
    <phoneticPr fontId="1" type="noConversion"/>
  </si>
  <si>
    <t>저장</t>
    <phoneticPr fontId="1" type="noConversion"/>
  </si>
  <si>
    <t>팔로워 수</t>
    <phoneticPr fontId="1" type="noConversion"/>
  </si>
  <si>
    <t>도달</t>
    <phoneticPr fontId="1" type="noConversion"/>
  </si>
  <si>
    <t>좋아요</t>
    <phoneticPr fontId="1" type="noConversion"/>
  </si>
  <si>
    <t>댓글</t>
    <phoneticPr fontId="1" type="noConversion"/>
  </si>
  <si>
    <t>공유</t>
    <phoneticPr fontId="1" type="noConversion"/>
  </si>
  <si>
    <t>참여</t>
    <phoneticPr fontId="1" type="noConversion"/>
  </si>
  <si>
    <t>참여율</t>
    <phoneticPr fontId="1" type="noConversion"/>
  </si>
  <si>
    <t>저장</t>
    <phoneticPr fontId="1" type="noConversion"/>
  </si>
  <si>
    <t>참여율</t>
    <phoneticPr fontId="1" type="noConversion"/>
  </si>
  <si>
    <t>신규 좋아요</t>
    <phoneticPr fontId="1" type="noConversion"/>
  </si>
  <si>
    <t>신규 좋아요</t>
    <phoneticPr fontId="1" type="noConversion"/>
  </si>
  <si>
    <t>프로필 방문</t>
  </si>
  <si>
    <t>답장</t>
  </si>
  <si>
    <t>스티커 누르기</t>
  </si>
  <si>
    <t>탐색</t>
  </si>
  <si>
    <t>스토리 인사이트</t>
    <phoneticPr fontId="1" type="noConversion"/>
  </si>
  <si>
    <t>해당월</t>
    <phoneticPr fontId="1" type="noConversion"/>
  </si>
  <si>
    <t>팬 수</t>
    <phoneticPr fontId="1" type="noConversion"/>
  </si>
  <si>
    <t>신규 좋아요</t>
    <phoneticPr fontId="1" type="noConversion"/>
  </si>
  <si>
    <t>왼쪽에 복붙하시오</t>
    <phoneticPr fontId="1" type="noConversion"/>
  </si>
  <si>
    <t>날짜</t>
    <phoneticPr fontId="1" type="noConversion"/>
  </si>
  <si>
    <t>구독자</t>
    <phoneticPr fontId="1" type="noConversion"/>
  </si>
  <si>
    <t>팔로워 수</t>
  </si>
  <si>
    <t>포스팅 수</t>
  </si>
  <si>
    <t>참여율</t>
  </si>
  <si>
    <t>설명서</t>
    <phoneticPr fontId="1" type="noConversion"/>
  </si>
  <si>
    <t>O</t>
    <phoneticPr fontId="1" type="noConversion"/>
  </si>
  <si>
    <t>X</t>
    <phoneticPr fontId="1" type="noConversion"/>
  </si>
  <si>
    <t>2) 위의 연도와 월을 최신화하시오. 3번부터 모든 셀들이 검은 색으로 바뀌어야 정상임.</t>
    <phoneticPr fontId="1" type="noConversion"/>
  </si>
  <si>
    <t>몇년도인가요? (숫자만 기입하시오)</t>
    <phoneticPr fontId="1" type="noConversion"/>
  </si>
  <si>
    <t>몇월 보고서인가요? (숫자만 기입하시오)</t>
    <phoneticPr fontId="1" type="noConversion"/>
  </si>
  <si>
    <t>제목에도 링크는 걸려있음</t>
    <phoneticPr fontId="1" type="noConversion"/>
  </si>
  <si>
    <r>
      <t>1) 위의 작성 전 실행 버튼을</t>
    </r>
    <r>
      <rPr>
        <sz val="11"/>
        <color theme="1"/>
        <rFont val="맑은 고딕"/>
        <family val="2"/>
        <charset val="129"/>
        <scheme val="minor"/>
      </rPr>
      <t xml:space="preserve"> 클릭하시오. </t>
    </r>
    <phoneticPr fontId="1" type="noConversion"/>
  </si>
  <si>
    <t>23년 09월</t>
  </si>
  <si>
    <t>23년 10월</t>
  </si>
  <si>
    <t>23년 8월</t>
  </si>
  <si>
    <t>23년 9월</t>
  </si>
  <si>
    <t>23년11월</t>
  </si>
  <si>
    <t>데이터 댓글</t>
  </si>
  <si>
    <t>Date (2024)</t>
    <phoneticPr fontId="1" type="noConversion"/>
  </si>
  <si>
    <t>3초 이상 조회한 사람</t>
  </si>
  <si>
    <t>추산 수익(USD)</t>
  </si>
  <si>
    <t>광고 CPM(USD)</t>
  </si>
  <si>
    <t>재생 횟수</t>
  </si>
  <si>
    <t>초록색 셀은 항상 자동생성되는 셀입니다. 절대 초록셀에 값을 직접 입력하지 마십시오</t>
    <phoneticPr fontId="1" type="noConversion"/>
  </si>
  <si>
    <t xml:space="preserve">로우데이터 시트는 아무것도 건드리지 않는 시트입니다. 다른 작업이 필요하다면 시트를 새로 만들어서 작업한 이후 삭제하세요. </t>
    <phoneticPr fontId="1" type="noConversion"/>
  </si>
  <si>
    <t>노랑/초록 셀 중 셀 색깔이 하나라도 달라진다면 반드시 ctrl z 하시오</t>
    <phoneticPr fontId="1" type="noConversion"/>
  </si>
  <si>
    <t>구분</t>
    <phoneticPr fontId="1" type="noConversion"/>
  </si>
  <si>
    <t>링크 클릭</t>
    <phoneticPr fontId="1" type="noConversion"/>
  </si>
  <si>
    <t>기타 클릭</t>
    <phoneticPr fontId="1" type="noConversion"/>
  </si>
  <si>
    <t>동영상 3초 이상 조회</t>
    <phoneticPr fontId="1" type="noConversion"/>
  </si>
  <si>
    <t>팔로우</t>
    <phoneticPr fontId="1" type="noConversion"/>
  </si>
  <si>
    <t>재생 횟수</t>
    <phoneticPr fontId="1" type="noConversion"/>
  </si>
  <si>
    <t>팔로워증가</t>
    <phoneticPr fontId="1" type="noConversion"/>
  </si>
  <si>
    <t>팔로워취소</t>
    <phoneticPr fontId="1" type="noConversion"/>
  </si>
  <si>
    <t>평균 조회 시간: 초</t>
  </si>
  <si>
    <t>N/A</t>
  </si>
  <si>
    <t>사진</t>
  </si>
  <si>
    <t>전체 기간</t>
  </si>
  <si>
    <t>동영상</t>
  </si>
  <si>
    <t>링크</t>
  </si>
  <si>
    <t>도달한 사람</t>
    <phoneticPr fontId="1" type="noConversion"/>
  </si>
  <si>
    <t>사진 조회</t>
    <phoneticPr fontId="1" type="noConversion"/>
  </si>
  <si>
    <t>만약 왼쪽 표의 값이 안나온다면 2행의 항목을 로우데이터시트 1행에서 원하는 데이터의 정확히 일치하는 텍스트로 붙여넣으시오</t>
    <phoneticPr fontId="1" type="noConversion"/>
  </si>
  <si>
    <t>광고 도달</t>
  </si>
  <si>
    <t>지출 금액</t>
  </si>
  <si>
    <t>CPM</t>
  </si>
  <si>
    <t>페이지 새로운 좋아요</t>
  </si>
  <si>
    <t>FB</t>
  </si>
  <si>
    <t>IG</t>
  </si>
  <si>
    <t>오가닉 - FB</t>
  </si>
  <si>
    <t>오가닉 - IG</t>
  </si>
  <si>
    <t>상호작용</t>
  </si>
  <si>
    <t>조회 시간</t>
  </si>
  <si>
    <t>광고비</t>
  </si>
  <si>
    <t>노</t>
    <phoneticPr fontId="1" type="noConversion"/>
  </si>
  <si>
    <t>출</t>
    <phoneticPr fontId="1" type="noConversion"/>
  </si>
  <si>
    <t>콘텐츠</t>
    <phoneticPr fontId="1" type="noConversion"/>
  </si>
  <si>
    <t>도</t>
    <phoneticPr fontId="1" type="noConversion"/>
  </si>
  <si>
    <t>달</t>
    <phoneticPr fontId="1" type="noConversion"/>
  </si>
  <si>
    <t>발행개수</t>
    <phoneticPr fontId="1" type="noConversion"/>
  </si>
  <si>
    <t>새로운 팔로</t>
    <phoneticPr fontId="1" type="noConversion"/>
  </si>
  <si>
    <t>우/팔로워</t>
    <phoneticPr fontId="1" type="noConversion"/>
  </si>
  <si>
    <t>이탈 팔로</t>
    <phoneticPr fontId="1" type="noConversion"/>
  </si>
  <si>
    <t>페이지/프</t>
    <phoneticPr fontId="1" type="noConversion"/>
  </si>
  <si>
    <t>로필 방문</t>
    <phoneticPr fontId="1" type="noConversion"/>
  </si>
  <si>
    <t>FB +</t>
    <phoneticPr fontId="1" type="noConversion"/>
  </si>
  <si>
    <t>IG</t>
    <phoneticPr fontId="1" type="noConversion"/>
  </si>
  <si>
    <t>페</t>
    <phoneticPr fontId="1" type="noConversion"/>
  </si>
  <si>
    <t>이</t>
    <phoneticPr fontId="1" type="noConversion"/>
  </si>
  <si>
    <t>스</t>
    <phoneticPr fontId="1" type="noConversion"/>
  </si>
  <si>
    <t>북</t>
    <phoneticPr fontId="1" type="noConversion"/>
  </si>
  <si>
    <t>카테고리</t>
    <phoneticPr fontId="1" type="noConversion"/>
  </si>
  <si>
    <t>발행 콘텐츠 도달</t>
    <phoneticPr fontId="1" type="noConversion"/>
  </si>
  <si>
    <t>?</t>
    <phoneticPr fontId="1" type="noConversion"/>
  </si>
  <si>
    <t>발행콘텐츠도달평균</t>
    <phoneticPr fontId="1" type="noConversion"/>
  </si>
  <si>
    <t>발행 콘텐츠 도달 평균</t>
    <phoneticPr fontId="1" type="noConversion"/>
  </si>
  <si>
    <t>신규 팔로워</t>
    <phoneticPr fontId="1" type="noConversion"/>
  </si>
  <si>
    <t>어디에도 행추가 절대 하지 말것</t>
    <phoneticPr fontId="1" type="noConversion"/>
  </si>
  <si>
    <t>신규팔로워</t>
    <phoneticPr fontId="1" type="noConversion"/>
  </si>
  <si>
    <t>팔로우 취소</t>
    <phoneticPr fontId="1" type="noConversion"/>
  </si>
  <si>
    <t>3월</t>
  </si>
  <si>
    <t>오가닉 도달</t>
    <phoneticPr fontId="1" type="noConversion"/>
  </si>
  <si>
    <t>-</t>
    <phoneticPr fontId="1" type="noConversion"/>
  </si>
  <si>
    <t>도달한 사람</t>
  </si>
  <si>
    <t>오가닉 도달</t>
  </si>
  <si>
    <t>사진 조회</t>
  </si>
  <si>
    <t>재생 클릭</t>
  </si>
  <si>
    <t>동영상 60초 이상 조회</t>
  </si>
  <si>
    <t>아티클 일일 스크롤 길이</t>
  </si>
  <si>
    <t>아티클 평균 이용 시간</t>
  </si>
  <si>
    <t>고유 동영상 60초 이상 조회</t>
  </si>
  <si>
    <t>고유 부정적인 사용자 피드백: 모두 숨기기</t>
  </si>
  <si>
    <t>조회 시간: 초</t>
  </si>
  <si>
    <t>4월</t>
  </si>
  <si>
    <t>-</t>
  </si>
  <si>
    <t>평균 재생 시간</t>
  </si>
  <si>
    <t>IG 이미지</t>
  </si>
  <si>
    <t>Instagram 릴스</t>
  </si>
  <si>
    <t>설명</t>
    <phoneticPr fontId="1" type="noConversion"/>
  </si>
  <si>
    <t>(연경 참고) 내용</t>
  </si>
  <si>
    <t>프로필 방문</t>
    <phoneticPr fontId="1" type="noConversion"/>
  </si>
  <si>
    <t>스토리 데이터 인사이트 작성용</t>
    <phoneticPr fontId="1" type="noConversion"/>
  </si>
  <si>
    <t>목</t>
  </si>
  <si>
    <t>금</t>
  </si>
  <si>
    <t>토</t>
  </si>
  <si>
    <t>일</t>
  </si>
  <si>
    <t>월</t>
  </si>
  <si>
    <t>화</t>
  </si>
  <si>
    <t>수</t>
  </si>
  <si>
    <t>5월</t>
  </si>
  <si>
    <t>SK이노베이션</t>
  </si>
  <si>
    <t>IG 스토리</t>
  </si>
  <si>
    <t>이노드림(장 폴 사르트르)</t>
  </si>
  <si>
    <t>https://www.facebook.com/official.skinnovation/posts/pfbid02NP8pyaDk87JPD2Vm96zHWx1PAiLNrDy1BGdctwX5ZbSXKXHfvAnN1x5aXjL8LrLBl</t>
  </si>
  <si>
    <t>에너지食 Ep. 1</t>
  </si>
  <si>
    <t>https://www.facebook.com/official.skinnovation/posts/pfbid0aovWxQNSo8es28mpuvbV5FXAxqgLP4R2R2kug4FmfZJEefwkomtpEXfconFWuNABl</t>
  </si>
  <si>
    <t>세계 환경의 날</t>
  </si>
  <si>
    <t>https://www.facebook.com/official.skinnovation/posts/pfbid02vbcRP1yqbnxRvbTnYSWsQpvvtvFCYJWmgGJiEHVRCJq46dAYSYD5avnJbmsJmnfbl</t>
  </si>
  <si>
    <t>이노드림(블레즈 파스칼)</t>
  </si>
  <si>
    <t>https://www.facebook.com/official.skinnovation/posts/pfbid0N3UjYKGUTAPY8f9ABqBXA4gpU5kzHKjZU3DwWN8ghYYr7A7STiZZhsrzwEsK2eawl</t>
  </si>
  <si>
    <t>슼-떠나요 Ep. 페루</t>
  </si>
  <si>
    <t>https://www.facebook.com/official.skinnovation/posts/pfbid02E4D4DNnLsiDQLrtAsTv2T1R48fKAhvtr8YBk1UVWkUrzHyf75iQaSthckfLtfLG6l</t>
  </si>
  <si>
    <t>6월 CSR 콘텐츠 *뉴스룸 미러링</t>
  </si>
  <si>
    <t>https://www.facebook.com/official.skinnovation/posts/pfbid0Wbcwd32c2vZVETD52WYVyyZ2J9jS1cnFFLcQQoUoQ7Sb99T8H3KCLuBrXg4VU6LYl</t>
  </si>
  <si>
    <t>세계 헌혈자의 날</t>
  </si>
  <si>
    <t>https://www.facebook.com/official.skinnovation/posts/pfbid02RQRCNra2ACQPLQtEFvMezw77459uHb6ehCv9pUGWytwJ8pPSgGswy7o1KQEC16GRl</t>
  </si>
  <si>
    <t>이노드림(장 자크 루소)</t>
  </si>
  <si>
    <t>https://www.facebook.com/official.skinnovation/posts/pfbid02DBrzjwrEu1QWbHTinTRWd8dcV2kN1Y3jNdsB2gxNBe3CoYBqKdpBj4MjsnNiesKhl</t>
  </si>
  <si>
    <t>우리나라 옥상은 왜 녹색일까? *뉴스룸 미러링</t>
  </si>
  <si>
    <t>https://www.facebook.com/official.skinnovation/posts/pfbid0cF9AeqUiDGBNJEKXMp3VGMtSB6GaCk247YKGL4zfnCboqXZcRtz75ywRzVf6KwUol</t>
  </si>
  <si>
    <t>이노드림(엘버트 허버드)</t>
  </si>
  <si>
    <t>https://www.facebook.com/official.skinnovation/posts/pfbid0Pgvp7SuVr4gJMbRMntUESHb7VMi2fU9B2buuXUvpK15Nx4dyM86Kp9vRMb7yc5yBl</t>
  </si>
  <si>
    <t>에너지食 Ep. 2 *뉴스룸 미러링</t>
  </si>
  <si>
    <t>https://www.facebook.com/official.skinnovation/posts/pfbid021NgLTeHL9R2iEmXgVMiJR8GqaFvUdwbyuBubftmyVZPhmE32hAVfBfC4Xqi95zFDl</t>
  </si>
  <si>
    <t>[EVENT] 에너지食 Ep. 2</t>
  </si>
  <si>
    <t>https://www.facebook.com/official.skinnovation/posts/pfbid02Qi1YjsKQfG6jARjzV2owaym45zcFgy1SqZrpPWtN2zHAudfob7a4wTtGNgLgBvZxl</t>
  </si>
  <si>
    <t>6월</t>
  </si>
  <si>
    <t>https://www.instagram.com/p/C7u_zBPPXfH/</t>
  </si>
  <si>
    <t>https://www.instagram.com/reel/C7xwZwkNh2o/</t>
  </si>
  <si>
    <t>https://www.instagram.com/reel/C70vNnGtgE2/</t>
  </si>
  <si>
    <t>https://www.instagram.com/p/C8BBX-QooxM/</t>
  </si>
  <si>
    <t>https://www.instagram.com/reel/C8Brwwdtoeq/</t>
  </si>
  <si>
    <t>https://www.instagram.com/reel/C8JJ2qNtOrm/</t>
  </si>
  <si>
    <t>https://www.instagram.com/p/C8TC8ksvint/</t>
  </si>
  <si>
    <t>https://www.instagram.com/p/C8lElwdPUH3/</t>
  </si>
  <si>
    <t>https://www.instagram.com/reel/C8vycl7NJDJ/</t>
  </si>
  <si>
    <t>에너지食 Ep. 1 *YT 링크 삽입</t>
  </si>
  <si>
    <t>6월 CSR 콘텐츠 *뉴스룸 링크 삽입</t>
  </si>
  <si>
    <t>우리나라 옥상은 왜 녹색일까? *뉴스룸 링크 삽입</t>
  </si>
  <si>
    <t>에너지食 Ep. 2 *뉴스룸 링크 삽입</t>
  </si>
  <si>
    <t>평균 재생 시간</t>
    <phoneticPr fontId="1" type="noConversion"/>
  </si>
  <si>
    <t>저장TOP1</t>
    <phoneticPr fontId="1" type="noConversion"/>
  </si>
  <si>
    <t>재생횟수TOP1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</si>
</sst>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8" formatCode="&quot;₩&quot;#,##0.00;[Red]\-&quot;₩&quot;#,##0.00"/>
    <numFmt numFmtId="176" formatCode="_-* #,##0_-;\-* #,##0_-;_-* &quot;-&quot;_-;_-@"/>
    <numFmt numFmtId="177" formatCode="m\/d"/>
    <numFmt numFmtId="178" formatCode="aaa"/>
    <numFmt numFmtId="179" formatCode="mm&quot;월&quot;\ dd&quot;일&quot;"/>
    <numFmt numFmtId="180" formatCode="yy&quot;년&quot;\ mm&quot;월&quot;"/>
    <numFmt numFmtId="181" formatCode="#,##0_ "/>
    <numFmt numFmtId="182" formatCode="#,##0_);[Red]\(#,##0\)"/>
    <numFmt numFmtId="183" formatCode="d\(aaa\)"/>
    <numFmt numFmtId="184" formatCode="yy&quot;년&quot;\ m&quot;월&quot;"/>
    <numFmt numFmtId="185" formatCode="m&quot;월&quot;"/>
    <numFmt numFmtId="186" formatCode="0_ "/>
    <numFmt numFmtId="187" formatCode="#,##0.000_);[Red]\(#,##0.000\)"/>
  </numFmts>
  <fonts count="4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Malgun Gothic"/>
      <family val="3"/>
      <charset val="129"/>
    </font>
    <font>
      <b/>
      <sz val="9"/>
      <color rgb="FF000000"/>
      <name val="Century Gothic"/>
      <family val="2"/>
    </font>
    <font>
      <b/>
      <sz val="9"/>
      <color theme="1"/>
      <name val="Century Gothic"/>
      <family val="2"/>
    </font>
    <font>
      <b/>
      <sz val="9"/>
      <color rgb="FF000000"/>
      <name val="Malgun Gothic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rgb="FFFF0000"/>
      <name val="Century Gothic"/>
      <family val="2"/>
    </font>
    <font>
      <sz val="9"/>
      <color theme="1"/>
      <name val="Century Gothic"/>
      <family val="2"/>
    </font>
    <font>
      <sz val="11"/>
      <color theme="1"/>
      <name val="Calibri"/>
      <family val="2"/>
    </font>
    <font>
      <sz val="11"/>
      <color rgb="FF000000"/>
      <name val="Volvo Novum Light"/>
      <family val="2"/>
    </font>
    <font>
      <b/>
      <sz val="9"/>
      <color theme="1"/>
      <name val="맑은 고딕"/>
      <family val="3"/>
      <charset val="129"/>
    </font>
    <font>
      <b/>
      <sz val="9"/>
      <color rgb="FFFFFFFF"/>
      <name val="나눔고딕"/>
      <family val="3"/>
      <charset val="129"/>
    </font>
    <font>
      <sz val="11"/>
      <color rgb="FFFF0000"/>
      <name val="맑은 고딕"/>
      <family val="2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나눔고딕"/>
      <family val="3"/>
      <charset val="129"/>
    </font>
    <font>
      <b/>
      <sz val="11"/>
      <color rgb="FFFF0000"/>
      <name val="나눔고딕"/>
      <family val="3"/>
      <charset val="129"/>
    </font>
    <font>
      <b/>
      <sz val="8"/>
      <color rgb="FFFFFFFF"/>
      <name val="나눔고딕"/>
      <family val="3"/>
      <charset val="129"/>
    </font>
    <font>
      <sz val="8"/>
      <color rgb="FF000000"/>
      <name val="나눔고딕"/>
      <family val="3"/>
      <charset val="129"/>
    </font>
    <font>
      <b/>
      <sz val="11"/>
      <color theme="1"/>
      <name val="나눔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나눔고딕"/>
      <family val="3"/>
      <charset val="129"/>
    </font>
    <font>
      <sz val="11"/>
      <color rgb="FF000000"/>
      <name val="나눔고딕"/>
      <family val="3"/>
      <charset val="129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3"/>
      <color theme="1"/>
      <name val="Arial"/>
      <family val="2"/>
    </font>
    <font>
      <sz val="8"/>
      <color theme="1"/>
      <name val="나눔고딕"/>
      <family val="3"/>
      <charset val="129"/>
    </font>
    <font>
      <sz val="8"/>
      <name val="나눔고딕"/>
      <family val="3"/>
      <charset val="129"/>
    </font>
    <font>
      <u/>
      <sz val="11"/>
      <color theme="10"/>
      <name val="나눔고딕 ExtraBold"/>
      <family val="3"/>
      <charset val="129"/>
    </font>
    <font>
      <b/>
      <sz val="10"/>
      <color rgb="FF000000"/>
      <name val="바탕"/>
      <family val="1"/>
      <charset val="129"/>
    </font>
    <font>
      <sz val="10"/>
      <color theme="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sz val="11"/>
      <color theme="2" tint="-0.499984740745262"/>
      <name val="맑은 고딕"/>
      <family val="2"/>
      <charset val="129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theme="0"/>
      </patternFill>
    </fill>
    <fill>
      <patternFill patternType="solid">
        <fgColor theme="7" tint="0.79998168889431442"/>
        <bgColor rgb="FFFFFFFF"/>
      </patternFill>
    </fill>
    <fill>
      <patternFill patternType="solid">
        <fgColor theme="2"/>
        <bgColor rgb="FFF2F2F2"/>
      </patternFill>
    </fill>
    <fill>
      <patternFill patternType="solid">
        <fgColor theme="2"/>
        <bgColor rgb="FFFDE9D9"/>
      </patternFill>
    </fill>
    <fill>
      <patternFill patternType="solid">
        <fgColor theme="2"/>
        <bgColor rgb="FFDAEEF3"/>
      </patternFill>
    </fill>
    <fill>
      <patternFill patternType="solid">
        <fgColor theme="2"/>
        <bgColor rgb="FFEAF1DD"/>
      </patternFill>
    </fill>
    <fill>
      <patternFill patternType="solid">
        <fgColor theme="2"/>
        <bgColor rgb="FFF2DBDB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4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>
      <alignment vertical="center"/>
    </xf>
    <xf numFmtId="0" fontId="17" fillId="0" borderId="0" applyNumberFormat="0" applyFill="0" applyBorder="0" applyAlignment="0" applyProtection="0">
      <alignment vertical="center"/>
    </xf>
  </cellStyleXfs>
  <cellXfs count="231">
    <xf numFmtId="0" fontId="0" fillId="0" borderId="0" xfId="0">
      <alignment vertical="center"/>
    </xf>
    <xf numFmtId="177" fontId="7" fillId="2" borderId="4" xfId="0" applyNumberFormat="1" applyFont="1" applyFill="1" applyBorder="1" applyAlignment="1">
      <alignment horizontal="center" vertical="center"/>
    </xf>
    <xf numFmtId="178" fontId="8" fillId="2" borderId="4" xfId="0" applyNumberFormat="1" applyFont="1" applyFill="1" applyBorder="1" applyAlignment="1">
      <alignment horizontal="center" vertical="center"/>
    </xf>
    <xf numFmtId="176" fontId="8" fillId="2" borderId="4" xfId="0" applyNumberFormat="1" applyFont="1" applyFill="1" applyBorder="1" applyAlignment="1">
      <alignment horizontal="center" vertical="center"/>
    </xf>
    <xf numFmtId="176" fontId="8" fillId="2" borderId="4" xfId="0" applyNumberFormat="1" applyFont="1" applyFill="1" applyBorder="1">
      <alignment vertical="center"/>
    </xf>
    <xf numFmtId="0" fontId="8" fillId="2" borderId="4" xfId="0" applyFont="1" applyFill="1" applyBorder="1" applyAlignment="1">
      <alignment horizontal="right" vertical="center"/>
    </xf>
    <xf numFmtId="176" fontId="8" fillId="2" borderId="4" xfId="0" applyNumberFormat="1" applyFont="1" applyFill="1" applyBorder="1" applyAlignment="1">
      <alignment horizontal="right" vertical="center"/>
    </xf>
    <xf numFmtId="177" fontId="8" fillId="2" borderId="4" xfId="0" applyNumberFormat="1" applyFont="1" applyFill="1" applyBorder="1" applyAlignment="1">
      <alignment horizontal="center" vertical="center"/>
    </xf>
    <xf numFmtId="176" fontId="8" fillId="2" borderId="2" xfId="0" applyNumberFormat="1" applyFont="1" applyFill="1" applyBorder="1">
      <alignment vertical="center"/>
    </xf>
    <xf numFmtId="177" fontId="8" fillId="3" borderId="4" xfId="0" applyNumberFormat="1" applyFont="1" applyFill="1" applyBorder="1" applyAlignment="1">
      <alignment horizontal="center" vertical="center"/>
    </xf>
    <xf numFmtId="176" fontId="8" fillId="3" borderId="4" xfId="0" applyNumberFormat="1" applyFont="1" applyFill="1" applyBorder="1" applyAlignment="1">
      <alignment horizontal="center" vertical="center"/>
    </xf>
    <xf numFmtId="176" fontId="8" fillId="3" borderId="4" xfId="0" applyNumberFormat="1" applyFont="1" applyFill="1" applyBorder="1">
      <alignment vertical="center"/>
    </xf>
    <xf numFmtId="176" fontId="8" fillId="3" borderId="4" xfId="0" applyNumberFormat="1" applyFont="1" applyFill="1" applyBorder="1" applyAlignment="1">
      <alignment horizontal="right" vertical="center"/>
    </xf>
    <xf numFmtId="176" fontId="8" fillId="3" borderId="2" xfId="0" applyNumberFormat="1" applyFont="1" applyFill="1" applyBorder="1">
      <alignment vertical="center"/>
    </xf>
    <xf numFmtId="178" fontId="8" fillId="3" borderId="4" xfId="0" applyNumberFormat="1" applyFont="1" applyFill="1" applyBorder="1" applyAlignment="1">
      <alignment horizontal="center" vertical="center"/>
    </xf>
    <xf numFmtId="177" fontId="7" fillId="3" borderId="4" xfId="0" applyNumberFormat="1" applyFont="1" applyFill="1" applyBorder="1" applyAlignment="1">
      <alignment horizontal="center" vertical="center"/>
    </xf>
    <xf numFmtId="177" fontId="8" fillId="4" borderId="4" xfId="0" applyNumberFormat="1" applyFont="1" applyFill="1" applyBorder="1" applyAlignment="1">
      <alignment horizontal="center" vertical="center"/>
    </xf>
    <xf numFmtId="178" fontId="8" fillId="4" borderId="4" xfId="0" applyNumberFormat="1" applyFont="1" applyFill="1" applyBorder="1" applyAlignment="1">
      <alignment horizontal="center" vertical="center"/>
    </xf>
    <xf numFmtId="176" fontId="8" fillId="4" borderId="4" xfId="0" applyNumberFormat="1" applyFont="1" applyFill="1" applyBorder="1" applyAlignment="1">
      <alignment horizontal="center" vertical="center"/>
    </xf>
    <xf numFmtId="176" fontId="8" fillId="4" borderId="4" xfId="0" applyNumberFormat="1" applyFont="1" applyFill="1" applyBorder="1">
      <alignment vertical="center"/>
    </xf>
    <xf numFmtId="176" fontId="8" fillId="4" borderId="4" xfId="0" applyNumberFormat="1" applyFont="1" applyFill="1" applyBorder="1" applyAlignment="1">
      <alignment horizontal="right" vertical="center"/>
    </xf>
    <xf numFmtId="176" fontId="8" fillId="4" borderId="5" xfId="0" applyNumberFormat="1" applyFont="1" applyFill="1" applyBorder="1" applyAlignment="1">
      <alignment horizontal="right" vertical="center"/>
    </xf>
    <xf numFmtId="176" fontId="8" fillId="4" borderId="6" xfId="0" applyNumberFormat="1" applyFont="1" applyFill="1" applyBorder="1">
      <alignment vertical="center"/>
    </xf>
    <xf numFmtId="176" fontId="8" fillId="4" borderId="6" xfId="0" applyNumberFormat="1" applyFont="1" applyFill="1" applyBorder="1" applyAlignment="1">
      <alignment horizontal="right" vertical="center"/>
    </xf>
    <xf numFmtId="176" fontId="8" fillId="4" borderId="5" xfId="0" applyNumberFormat="1" applyFont="1" applyFill="1" applyBorder="1">
      <alignment vertical="center"/>
    </xf>
    <xf numFmtId="176" fontId="8" fillId="4" borderId="6" xfId="0" applyNumberFormat="1" applyFont="1" applyFill="1" applyBorder="1" applyAlignment="1">
      <alignment horizontal="center" vertical="center"/>
    </xf>
    <xf numFmtId="177" fontId="7" fillId="4" borderId="4" xfId="0" applyNumberFormat="1" applyFont="1" applyFill="1" applyBorder="1" applyAlignment="1">
      <alignment horizontal="center" vertical="center"/>
    </xf>
    <xf numFmtId="0" fontId="9" fillId="4" borderId="4" xfId="0" applyFont="1" applyFill="1" applyBorder="1">
      <alignment vertical="center"/>
    </xf>
    <xf numFmtId="0" fontId="4" fillId="9" borderId="4" xfId="0" applyFont="1" applyFill="1" applyBorder="1" applyAlignment="1">
      <alignment horizontal="center" vertical="center"/>
    </xf>
    <xf numFmtId="176" fontId="5" fillId="6" borderId="4" xfId="0" applyNumberFormat="1" applyFont="1" applyFill="1" applyBorder="1" applyAlignment="1">
      <alignment horizontal="center" vertical="center"/>
    </xf>
    <xf numFmtId="177" fontId="8" fillId="3" borderId="7" xfId="0" applyNumberFormat="1" applyFont="1" applyFill="1" applyBorder="1" applyAlignment="1">
      <alignment horizontal="center" vertical="center"/>
    </xf>
    <xf numFmtId="178" fontId="8" fillId="3" borderId="7" xfId="0" applyNumberFormat="1" applyFont="1" applyFill="1" applyBorder="1" applyAlignment="1">
      <alignment horizontal="center" vertical="center"/>
    </xf>
    <xf numFmtId="176" fontId="8" fillId="3" borderId="7" xfId="0" applyNumberFormat="1" applyFont="1" applyFill="1" applyBorder="1" applyAlignment="1">
      <alignment horizontal="center" vertical="center"/>
    </xf>
    <xf numFmtId="176" fontId="8" fillId="3" borderId="7" xfId="0" applyNumberFormat="1" applyFont="1" applyFill="1" applyBorder="1">
      <alignment vertical="center"/>
    </xf>
    <xf numFmtId="176" fontId="8" fillId="3" borderId="7" xfId="0" applyNumberFormat="1" applyFont="1" applyFill="1" applyBorder="1" applyAlignment="1">
      <alignment horizontal="right" vertical="center"/>
    </xf>
    <xf numFmtId="176" fontId="8" fillId="4" borderId="8" xfId="0" applyNumberFormat="1" applyFont="1" applyFill="1" applyBorder="1" applyAlignment="1">
      <alignment horizontal="right" vertical="center"/>
    </xf>
    <xf numFmtId="176" fontId="8" fillId="4" borderId="7" xfId="0" applyNumberFormat="1" applyFont="1" applyFill="1" applyBorder="1">
      <alignment vertical="center"/>
    </xf>
    <xf numFmtId="0" fontId="9" fillId="3" borderId="7" xfId="0" applyFont="1" applyFill="1" applyBorder="1">
      <alignment vertical="center"/>
    </xf>
    <xf numFmtId="14" fontId="0" fillId="0" borderId="0" xfId="0" applyNumberFormat="1">
      <alignment vertical="center"/>
    </xf>
    <xf numFmtId="0" fontId="3" fillId="14" borderId="4" xfId="0" applyFont="1" applyFill="1" applyBorder="1" applyAlignment="1">
      <alignment horizontal="center" vertical="center"/>
    </xf>
    <xf numFmtId="176" fontId="3" fillId="14" borderId="4" xfId="0" applyNumberFormat="1" applyFont="1" applyFill="1" applyBorder="1" applyAlignment="1">
      <alignment horizontal="center" vertical="center"/>
    </xf>
    <xf numFmtId="176" fontId="4" fillId="14" borderId="4" xfId="0" applyNumberFormat="1" applyFont="1" applyFill="1" applyBorder="1" applyAlignment="1">
      <alignment horizontal="center" vertical="center"/>
    </xf>
    <xf numFmtId="0" fontId="4" fillId="14" borderId="4" xfId="0" applyFont="1" applyFill="1" applyBorder="1" applyAlignment="1">
      <alignment horizontal="center" vertical="center"/>
    </xf>
    <xf numFmtId="0" fontId="0" fillId="2" borderId="0" xfId="0" applyFill="1">
      <alignment vertical="center"/>
    </xf>
    <xf numFmtId="0" fontId="12" fillId="16" borderId="9" xfId="0" applyFont="1" applyFill="1" applyBorder="1" applyAlignment="1">
      <alignment horizontal="center" vertical="center" wrapText="1" readingOrder="1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176" fontId="6" fillId="14" borderId="4" xfId="0" applyNumberFormat="1" applyFont="1" applyFill="1" applyBorder="1" applyAlignment="1">
      <alignment horizontal="center" vertical="center"/>
    </xf>
    <xf numFmtId="0" fontId="0" fillId="12" borderId="0" xfId="0" applyFill="1">
      <alignment vertical="center"/>
    </xf>
    <xf numFmtId="0" fontId="12" fillId="16" borderId="20" xfId="0" applyFont="1" applyFill="1" applyBorder="1" applyAlignment="1">
      <alignment horizontal="center" vertical="center" wrapText="1" readingOrder="1"/>
    </xf>
    <xf numFmtId="0" fontId="0" fillId="2" borderId="0" xfId="0" applyFill="1" applyProtection="1">
      <alignment vertical="center"/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18" fillId="0" borderId="0" xfId="0" applyFont="1" applyProtection="1">
      <alignment vertical="center"/>
      <protection locked="0"/>
    </xf>
    <xf numFmtId="0" fontId="20" fillId="18" borderId="14" xfId="0" applyFont="1" applyFill="1" applyBorder="1" applyAlignment="1" applyProtection="1">
      <alignment horizontal="center" vertical="center" wrapText="1" readingOrder="1"/>
      <protection locked="0"/>
    </xf>
    <xf numFmtId="0" fontId="20" fillId="18" borderId="15" xfId="0" applyFont="1" applyFill="1" applyBorder="1" applyAlignment="1" applyProtection="1">
      <alignment horizontal="center" vertical="center" wrapText="1" readingOrder="1"/>
      <protection locked="0"/>
    </xf>
    <xf numFmtId="0" fontId="20" fillId="18" borderId="16" xfId="0" applyFont="1" applyFill="1" applyBorder="1" applyAlignment="1" applyProtection="1">
      <alignment horizontal="center" vertical="center" wrapText="1" readingOrder="1"/>
      <protection locked="0"/>
    </xf>
    <xf numFmtId="0" fontId="20" fillId="18" borderId="17" xfId="0" applyFont="1" applyFill="1" applyBorder="1" applyAlignment="1" applyProtection="1">
      <alignment horizontal="center" vertical="center" wrapText="1" readingOrder="1"/>
      <protection locked="0"/>
    </xf>
    <xf numFmtId="0" fontId="20" fillId="18" borderId="18" xfId="0" applyFont="1" applyFill="1" applyBorder="1" applyAlignment="1" applyProtection="1">
      <alignment horizontal="center" vertical="center" wrapText="1" readingOrder="1"/>
      <protection locked="0"/>
    </xf>
    <xf numFmtId="0" fontId="20" fillId="18" borderId="19" xfId="0" applyFont="1" applyFill="1" applyBorder="1" applyAlignment="1" applyProtection="1">
      <alignment horizontal="center" vertical="center" wrapText="1" readingOrder="1"/>
      <protection locked="0"/>
    </xf>
    <xf numFmtId="0" fontId="22" fillId="0" borderId="0" xfId="0" applyFont="1" applyProtection="1">
      <alignment vertical="center"/>
      <protection locked="0"/>
    </xf>
    <xf numFmtId="0" fontId="17" fillId="0" borderId="0" xfId="1" applyFill="1" applyAlignment="1" applyProtection="1">
      <alignment vertical="center"/>
    </xf>
    <xf numFmtId="3" fontId="21" fillId="12" borderId="15" xfId="0" applyNumberFormat="1" applyFont="1" applyFill="1" applyBorder="1" applyAlignment="1">
      <alignment horizontal="center" vertical="center" wrapText="1" readingOrder="1"/>
    </xf>
    <xf numFmtId="0" fontId="0" fillId="15" borderId="9" xfId="0" applyFill="1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181" fontId="0" fillId="10" borderId="9" xfId="0" applyNumberFormat="1" applyFill="1" applyBorder="1" applyAlignment="1" applyProtection="1">
      <alignment horizontal="center" vertical="center"/>
      <protection locked="0"/>
    </xf>
    <xf numFmtId="10" fontId="0" fillId="10" borderId="9" xfId="0" applyNumberFormat="1" applyFill="1" applyBorder="1" applyAlignment="1" applyProtection="1">
      <alignment horizontal="center" vertical="center"/>
      <protection locked="0"/>
    </xf>
    <xf numFmtId="0" fontId="14" fillId="0" borderId="0" xfId="0" applyFont="1" applyProtection="1">
      <alignment vertical="center"/>
      <protection locked="0"/>
    </xf>
    <xf numFmtId="0" fontId="23" fillId="0" borderId="0" xfId="0" applyFont="1" applyProtection="1">
      <alignment vertical="center"/>
      <protection locked="0"/>
    </xf>
    <xf numFmtId="0" fontId="0" fillId="12" borderId="11" xfId="0" applyFill="1" applyBorder="1" applyAlignment="1">
      <alignment horizontal="center" vertical="center"/>
    </xf>
    <xf numFmtId="10" fontId="0" fillId="12" borderId="12" xfId="0" applyNumberFormat="1" applyFill="1" applyBorder="1" applyAlignment="1">
      <alignment horizontal="center" vertical="center"/>
    </xf>
    <xf numFmtId="0" fontId="24" fillId="12" borderId="9" xfId="0" applyFont="1" applyFill="1" applyBorder="1" applyAlignment="1">
      <alignment horizontal="center" vertical="center" wrapText="1" readingOrder="1"/>
    </xf>
    <xf numFmtId="0" fontId="24" fillId="11" borderId="9" xfId="0" applyFont="1" applyFill="1" applyBorder="1" applyAlignment="1">
      <alignment horizontal="center" vertical="center" wrapText="1" readingOrder="1"/>
    </xf>
    <xf numFmtId="3" fontId="25" fillId="12" borderId="9" xfId="0" applyNumberFormat="1" applyFont="1" applyFill="1" applyBorder="1" applyAlignment="1">
      <alignment horizontal="center" vertical="center" wrapText="1" readingOrder="1"/>
    </xf>
    <xf numFmtId="0" fontId="25" fillId="12" borderId="9" xfId="0" applyFont="1" applyFill="1" applyBorder="1" applyAlignment="1">
      <alignment horizontal="center" vertical="center" wrapText="1" readingOrder="1"/>
    </xf>
    <xf numFmtId="10" fontId="25" fillId="12" borderId="9" xfId="0" applyNumberFormat="1" applyFont="1" applyFill="1" applyBorder="1" applyAlignment="1">
      <alignment horizontal="center" vertical="center" wrapText="1" readingOrder="1"/>
    </xf>
    <xf numFmtId="0" fontId="0" fillId="11" borderId="9" xfId="0" applyFill="1" applyBorder="1" applyAlignment="1" applyProtection="1">
      <alignment horizontal="center" vertical="center"/>
      <protection locked="0"/>
    </xf>
    <xf numFmtId="180" fontId="0" fillId="10" borderId="9" xfId="0" applyNumberFormat="1" applyFill="1" applyBorder="1" applyAlignment="1" applyProtection="1">
      <alignment horizontal="center" vertical="center"/>
      <protection locked="0"/>
    </xf>
    <xf numFmtId="180" fontId="0" fillId="12" borderId="9" xfId="0" applyNumberFormat="1" applyFill="1" applyBorder="1" applyAlignment="1" applyProtection="1">
      <alignment horizontal="center" vertical="center"/>
      <protection locked="0"/>
    </xf>
    <xf numFmtId="182" fontId="0" fillId="12" borderId="9" xfId="0" applyNumberFormat="1" applyFill="1" applyBorder="1" applyAlignment="1" applyProtection="1">
      <alignment horizontal="center" vertical="center"/>
      <protection locked="0"/>
    </xf>
    <xf numFmtId="180" fontId="0" fillId="0" borderId="0" xfId="0" applyNumberFormat="1" applyProtection="1">
      <alignment vertical="center"/>
      <protection locked="0"/>
    </xf>
    <xf numFmtId="0" fontId="0" fillId="11" borderId="9" xfId="0" applyFill="1" applyBorder="1" applyAlignment="1">
      <alignment horizontal="center" vertical="center"/>
    </xf>
    <xf numFmtId="180" fontId="0" fillId="12" borderId="9" xfId="0" applyNumberFormat="1" applyFill="1" applyBorder="1" applyAlignment="1">
      <alignment horizontal="center" vertical="center"/>
    </xf>
    <xf numFmtId="181" fontId="0" fillId="12" borderId="9" xfId="0" applyNumberFormat="1" applyFill="1" applyBorder="1" applyAlignment="1">
      <alignment horizontal="center" vertical="center"/>
    </xf>
    <xf numFmtId="0" fontId="0" fillId="13" borderId="9" xfId="0" applyFill="1" applyBorder="1" applyAlignment="1">
      <alignment horizontal="center" vertical="center" wrapText="1"/>
    </xf>
    <xf numFmtId="181" fontId="27" fillId="10" borderId="9" xfId="0" applyNumberFormat="1" applyFont="1" applyFill="1" applyBorder="1" applyAlignment="1" applyProtection="1">
      <alignment horizontal="center" vertical="center"/>
      <protection locked="0"/>
    </xf>
    <xf numFmtId="10" fontId="27" fillId="10" borderId="9" xfId="0" applyNumberFormat="1" applyFont="1" applyFill="1" applyBorder="1" applyAlignment="1" applyProtection="1">
      <alignment horizontal="center" vertical="center"/>
      <protection locked="0"/>
    </xf>
    <xf numFmtId="10" fontId="21" fillId="12" borderId="15" xfId="0" applyNumberFormat="1" applyFont="1" applyFill="1" applyBorder="1" applyAlignment="1">
      <alignment horizontal="center" vertical="center" wrapText="1" readingOrder="1"/>
    </xf>
    <xf numFmtId="0" fontId="17" fillId="0" borderId="0" xfId="1">
      <alignment vertical="center"/>
    </xf>
    <xf numFmtId="0" fontId="0" fillId="10" borderId="11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81" fontId="0" fillId="12" borderId="25" xfId="0" applyNumberFormat="1" applyFill="1" applyBorder="1">
      <alignment vertical="center"/>
    </xf>
    <xf numFmtId="0" fontId="0" fillId="15" borderId="21" xfId="0" applyFill="1" applyBorder="1" applyAlignment="1">
      <alignment horizontal="center" vertical="center"/>
    </xf>
    <xf numFmtId="0" fontId="0" fillId="15" borderId="23" xfId="0" applyFill="1" applyBorder="1" applyAlignment="1">
      <alignment horizontal="center" vertical="center"/>
    </xf>
    <xf numFmtId="183" fontId="0" fillId="12" borderId="24" xfId="0" applyNumberFormat="1" applyFill="1" applyBorder="1">
      <alignment vertical="center"/>
    </xf>
    <xf numFmtId="0" fontId="0" fillId="15" borderId="9" xfId="0" applyFill="1" applyBorder="1" applyAlignment="1">
      <alignment horizontal="center" vertical="center"/>
    </xf>
    <xf numFmtId="0" fontId="0" fillId="15" borderId="24" xfId="0" applyFill="1" applyBorder="1" applyAlignment="1">
      <alignment horizontal="center" vertical="center"/>
    </xf>
    <xf numFmtId="0" fontId="0" fillId="15" borderId="25" xfId="0" applyFill="1" applyBorder="1" applyAlignment="1">
      <alignment horizontal="center" vertical="center"/>
    </xf>
    <xf numFmtId="0" fontId="0" fillId="13" borderId="28" xfId="0" applyFill="1" applyBorder="1">
      <alignment vertical="center"/>
    </xf>
    <xf numFmtId="184" fontId="10" fillId="12" borderId="10" xfId="0" applyNumberFormat="1" applyFont="1" applyFill="1" applyBorder="1" applyAlignment="1">
      <alignment horizontal="center" vertical="center" wrapText="1" readingOrder="1"/>
    </xf>
    <xf numFmtId="184" fontId="0" fillId="15" borderId="9" xfId="0" applyNumberFormat="1" applyFill="1" applyBorder="1" applyAlignment="1" applyProtection="1">
      <alignment horizontal="center" vertical="center"/>
      <protection locked="0"/>
    </xf>
    <xf numFmtId="184" fontId="0" fillId="10" borderId="9" xfId="0" applyNumberFormat="1" applyFill="1" applyBorder="1" applyAlignment="1" applyProtection="1">
      <alignment horizontal="center" vertical="center"/>
      <protection locked="0"/>
    </xf>
    <xf numFmtId="184" fontId="0" fillId="0" borderId="0" xfId="0" applyNumberFormat="1" applyProtection="1">
      <alignment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28" fillId="20" borderId="28" xfId="0" applyFont="1" applyFill="1" applyBorder="1" applyAlignment="1">
      <alignment horizontal="center" vertical="center"/>
    </xf>
    <xf numFmtId="0" fontId="0" fillId="10" borderId="27" xfId="0" applyFill="1" applyBorder="1" applyAlignment="1">
      <alignment horizontal="left" vertical="center"/>
    </xf>
    <xf numFmtId="184" fontId="26" fillId="10" borderId="9" xfId="0" applyNumberFormat="1" applyFont="1" applyFill="1" applyBorder="1" applyAlignment="1" applyProtection="1">
      <alignment horizontal="center" vertical="center"/>
      <protection locked="0"/>
    </xf>
    <xf numFmtId="0" fontId="0" fillId="15" borderId="26" xfId="0" applyFill="1" applyBorder="1" applyAlignment="1">
      <alignment horizontal="left" vertical="center"/>
    </xf>
    <xf numFmtId="180" fontId="24" fillId="12" borderId="9" xfId="0" applyNumberFormat="1" applyFont="1" applyFill="1" applyBorder="1" applyAlignment="1">
      <alignment horizontal="center" vertical="center" wrapText="1" readingOrder="1"/>
    </xf>
    <xf numFmtId="176" fontId="4" fillId="3" borderId="7" xfId="0" applyNumberFormat="1" applyFont="1" applyFill="1" applyBorder="1">
      <alignment vertical="center"/>
    </xf>
    <xf numFmtId="176" fontId="4" fillId="3" borderId="7" xfId="0" applyNumberFormat="1" applyFont="1" applyFill="1" applyBorder="1" applyAlignment="1">
      <alignment horizontal="center" vertical="center"/>
    </xf>
    <xf numFmtId="176" fontId="4" fillId="3" borderId="8" xfId="0" applyNumberFormat="1" applyFont="1" applyFill="1" applyBorder="1">
      <alignment vertical="center"/>
    </xf>
    <xf numFmtId="0" fontId="15" fillId="0" borderId="0" xfId="0" applyFont="1" applyProtection="1">
      <alignment vertical="center"/>
      <protection locked="0"/>
    </xf>
    <xf numFmtId="0" fontId="15" fillId="0" borderId="0" xfId="0" applyFont="1">
      <alignment vertical="center"/>
    </xf>
    <xf numFmtId="0" fontId="30" fillId="0" borderId="0" xfId="0" applyFont="1">
      <alignment vertical="center"/>
    </xf>
    <xf numFmtId="0" fontId="0" fillId="2" borderId="0" xfId="0" applyFill="1" applyAlignment="1">
      <alignment vertical="center" wrapText="1"/>
    </xf>
    <xf numFmtId="0" fontId="17" fillId="0" borderId="0" xfId="1" applyProtection="1">
      <alignment vertical="center"/>
      <protection locked="0"/>
    </xf>
    <xf numFmtId="14" fontId="0" fillId="2" borderId="0" xfId="0" applyNumberFormat="1" applyFill="1" applyProtection="1">
      <alignment vertical="center"/>
      <protection locked="0"/>
    </xf>
    <xf numFmtId="0" fontId="31" fillId="0" borderId="0" xfId="0" applyFont="1">
      <alignment vertical="center"/>
    </xf>
    <xf numFmtId="0" fontId="31" fillId="0" borderId="0" xfId="0" applyFont="1" applyProtection="1">
      <alignment vertical="center"/>
      <protection locked="0"/>
    </xf>
    <xf numFmtId="3" fontId="25" fillId="0" borderId="0" xfId="0" applyNumberFormat="1" applyFont="1" applyAlignment="1">
      <alignment horizontal="center" vertical="center" wrapText="1" readingOrder="1"/>
    </xf>
    <xf numFmtId="0" fontId="33" fillId="0" borderId="0" xfId="0" applyFont="1">
      <alignment vertical="center"/>
    </xf>
    <xf numFmtId="0" fontId="20" fillId="16" borderId="9" xfId="0" applyFont="1" applyFill="1" applyBorder="1" applyAlignment="1">
      <alignment horizontal="center" vertical="center" wrapText="1" readingOrder="1"/>
    </xf>
    <xf numFmtId="0" fontId="20" fillId="16" borderId="20" xfId="0" applyFont="1" applyFill="1" applyBorder="1" applyAlignment="1">
      <alignment horizontal="center" vertical="center" wrapText="1" readingOrder="1"/>
    </xf>
    <xf numFmtId="0" fontId="33" fillId="0" borderId="0" xfId="0" applyFont="1" applyAlignment="1">
      <alignment horizontal="center" vertical="center"/>
    </xf>
    <xf numFmtId="0" fontId="19" fillId="0" borderId="0" xfId="0" applyFont="1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35" fillId="12" borderId="0" xfId="1" applyFont="1" applyFill="1" applyAlignment="1">
      <alignment horizontal="center" vertical="center"/>
    </xf>
    <xf numFmtId="181" fontId="0" fillId="0" borderId="0" xfId="0" applyNumberFormat="1">
      <alignment vertical="center"/>
    </xf>
    <xf numFmtId="0" fontId="0" fillId="2" borderId="9" xfId="0" applyFill="1" applyBorder="1">
      <alignment vertical="center"/>
    </xf>
    <xf numFmtId="0" fontId="0" fillId="2" borderId="20" xfId="0" applyFill="1" applyBorder="1">
      <alignment vertical="center"/>
    </xf>
    <xf numFmtId="0" fontId="0" fillId="2" borderId="24" xfId="0" applyFill="1" applyBorder="1">
      <alignment vertical="center"/>
    </xf>
    <xf numFmtId="0" fontId="0" fillId="2" borderId="25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44" xfId="0" applyFill="1" applyBorder="1">
      <alignment vertical="center"/>
    </xf>
    <xf numFmtId="3" fontId="32" fillId="0" borderId="0" xfId="0" applyNumberFormat="1" applyFont="1" applyAlignment="1">
      <alignment horizontal="center" vertical="center" wrapText="1"/>
    </xf>
    <xf numFmtId="0" fontId="15" fillId="19" borderId="21" xfId="0" applyFont="1" applyFill="1" applyBorder="1" applyAlignment="1" applyProtection="1">
      <alignment horizontal="center" vertical="center"/>
      <protection locked="0"/>
    </xf>
    <xf numFmtId="0" fontId="15" fillId="19" borderId="22" xfId="0" applyFont="1" applyFill="1" applyBorder="1" applyAlignment="1" applyProtection="1">
      <alignment horizontal="center" vertical="center"/>
      <protection locked="0"/>
    </xf>
    <xf numFmtId="0" fontId="15" fillId="19" borderId="23" xfId="0" applyFont="1" applyFill="1" applyBorder="1" applyAlignment="1" applyProtection="1">
      <alignment horizontal="center" vertical="center"/>
      <protection locked="0"/>
    </xf>
    <xf numFmtId="10" fontId="0" fillId="12" borderId="11" xfId="0" applyNumberFormat="1" applyFill="1" applyBorder="1" applyAlignment="1">
      <alignment horizontal="center" vertical="center"/>
    </xf>
    <xf numFmtId="181" fontId="0" fillId="10" borderId="9" xfId="0" applyNumberFormat="1" applyFill="1" applyBorder="1" applyAlignment="1">
      <alignment horizontal="center" vertical="center"/>
    </xf>
    <xf numFmtId="186" fontId="0" fillId="12" borderId="12" xfId="0" applyNumberFormat="1" applyFill="1" applyBorder="1" applyAlignment="1">
      <alignment horizontal="center" vertical="center"/>
    </xf>
    <xf numFmtId="0" fontId="36" fillId="0" borderId="0" xfId="0" applyFont="1">
      <alignment vertical="center"/>
    </xf>
    <xf numFmtId="181" fontId="0" fillId="0" borderId="0" xfId="0" applyNumberFormat="1" applyProtection="1">
      <alignment vertical="center"/>
      <protection locked="0"/>
    </xf>
    <xf numFmtId="0" fontId="37" fillId="2" borderId="37" xfId="0" applyFont="1" applyFill="1" applyBorder="1" applyAlignment="1">
      <alignment vertical="center" wrapText="1"/>
    </xf>
    <xf numFmtId="0" fontId="37" fillId="2" borderId="29" xfId="0" applyFont="1" applyFill="1" applyBorder="1" applyAlignment="1">
      <alignment vertical="center" wrapText="1"/>
    </xf>
    <xf numFmtId="0" fontId="37" fillId="2" borderId="9" xfId="0" applyFont="1" applyFill="1" applyBorder="1" applyAlignment="1">
      <alignment vertical="center" wrapText="1"/>
    </xf>
    <xf numFmtId="0" fontId="37" fillId="2" borderId="25" xfId="0" applyFont="1" applyFill="1" applyBorder="1" applyAlignment="1">
      <alignment vertical="center" wrapText="1"/>
    </xf>
    <xf numFmtId="0" fontId="38" fillId="2" borderId="33" xfId="0" applyFont="1" applyFill="1" applyBorder="1" applyAlignment="1">
      <alignment horizontal="center" vertical="center" wrapText="1"/>
    </xf>
    <xf numFmtId="0" fontId="38" fillId="2" borderId="35" xfId="0" applyFont="1" applyFill="1" applyBorder="1" applyAlignment="1">
      <alignment horizontal="right" vertical="center" wrapText="1"/>
    </xf>
    <xf numFmtId="0" fontId="38" fillId="2" borderId="36" xfId="0" applyFont="1" applyFill="1" applyBorder="1" applyAlignment="1">
      <alignment vertical="center" wrapText="1"/>
    </xf>
    <xf numFmtId="0" fontId="38" fillId="2" borderId="36" xfId="0" applyFont="1" applyFill="1" applyBorder="1" applyAlignment="1">
      <alignment horizontal="left" vertical="center" wrapText="1"/>
    </xf>
    <xf numFmtId="0" fontId="38" fillId="2" borderId="35" xfId="0" applyFont="1" applyFill="1" applyBorder="1" applyAlignment="1">
      <alignment vertical="center" wrapText="1"/>
    </xf>
    <xf numFmtId="0" fontId="38" fillId="2" borderId="36" xfId="0" applyFont="1" applyFill="1" applyBorder="1" applyAlignment="1">
      <alignment horizontal="right" vertical="center" wrapText="1"/>
    </xf>
    <xf numFmtId="0" fontId="38" fillId="2" borderId="38" xfId="0" applyFont="1" applyFill="1" applyBorder="1" applyAlignment="1">
      <alignment horizontal="center" vertical="center" wrapText="1"/>
    </xf>
    <xf numFmtId="0" fontId="38" fillId="2" borderId="39" xfId="0" applyFont="1" applyFill="1" applyBorder="1" applyAlignment="1">
      <alignment horizontal="center" vertical="center" wrapText="1"/>
    </xf>
    <xf numFmtId="0" fontId="38" fillId="2" borderId="40" xfId="0" applyFont="1" applyFill="1" applyBorder="1" applyAlignment="1">
      <alignment horizontal="center" vertical="center" wrapText="1"/>
    </xf>
    <xf numFmtId="0" fontId="38" fillId="2" borderId="37" xfId="0" applyFont="1" applyFill="1" applyBorder="1" applyAlignment="1">
      <alignment vertical="center" wrapText="1"/>
    </xf>
    <xf numFmtId="0" fontId="38" fillId="2" borderId="36" xfId="0" applyFont="1" applyFill="1" applyBorder="1" applyAlignment="1">
      <alignment horizontal="center" vertical="center" wrapText="1"/>
    </xf>
    <xf numFmtId="0" fontId="38" fillId="2" borderId="34" xfId="0" applyFont="1" applyFill="1" applyBorder="1" applyAlignment="1">
      <alignment horizontal="center" vertical="center" wrapText="1"/>
    </xf>
    <xf numFmtId="0" fontId="38" fillId="2" borderId="41" xfId="0" applyFont="1" applyFill="1" applyBorder="1" applyAlignment="1">
      <alignment horizontal="center" vertical="center" wrapText="1"/>
    </xf>
    <xf numFmtId="0" fontId="38" fillId="2" borderId="30" xfId="0" applyFont="1" applyFill="1" applyBorder="1" applyAlignment="1">
      <alignment horizontal="center" vertical="center" wrapText="1"/>
    </xf>
    <xf numFmtId="0" fontId="38" fillId="2" borderId="32" xfId="0" applyFont="1" applyFill="1" applyBorder="1" applyAlignment="1">
      <alignment horizontal="center" vertical="center" wrapText="1"/>
    </xf>
    <xf numFmtId="0" fontId="38" fillId="2" borderId="20" xfId="0" applyFont="1" applyFill="1" applyBorder="1" applyAlignment="1">
      <alignment vertical="center" wrapText="1"/>
    </xf>
    <xf numFmtId="0" fontId="38" fillId="2" borderId="31" xfId="0" applyFont="1" applyFill="1" applyBorder="1" applyAlignment="1">
      <alignment horizontal="right" vertical="center" wrapText="1"/>
    </xf>
    <xf numFmtId="0" fontId="38" fillId="2" borderId="31" xfId="0" applyFont="1" applyFill="1" applyBorder="1" applyAlignment="1">
      <alignment vertical="center" wrapText="1"/>
    </xf>
    <xf numFmtId="0" fontId="38" fillId="2" borderId="9" xfId="0" applyFont="1" applyFill="1" applyBorder="1" applyAlignment="1">
      <alignment horizontal="center" vertical="center" wrapText="1"/>
    </xf>
    <xf numFmtId="0" fontId="38" fillId="2" borderId="43" xfId="0" applyFont="1" applyFill="1" applyBorder="1" applyAlignment="1">
      <alignment horizontal="center" vertical="center" wrapText="1"/>
    </xf>
    <xf numFmtId="0" fontId="38" fillId="2" borderId="42" xfId="0" applyFont="1" applyFill="1" applyBorder="1" applyAlignment="1">
      <alignment horizontal="center" vertical="center" wrapText="1"/>
    </xf>
    <xf numFmtId="185" fontId="38" fillId="2" borderId="24" xfId="0" applyNumberFormat="1" applyFont="1" applyFill="1" applyBorder="1" applyAlignment="1">
      <alignment horizontal="center" vertical="center" wrapText="1"/>
    </xf>
    <xf numFmtId="0" fontId="37" fillId="2" borderId="9" xfId="0" applyFont="1" applyFill="1" applyBorder="1" applyAlignment="1">
      <alignment horizontal="center" vertical="center" wrapText="1"/>
    </xf>
    <xf numFmtId="3" fontId="37" fillId="2" borderId="9" xfId="0" applyNumberFormat="1" applyFont="1" applyFill="1" applyBorder="1" applyAlignment="1">
      <alignment horizontal="center" vertical="center" wrapText="1"/>
    </xf>
    <xf numFmtId="3" fontId="37" fillId="2" borderId="30" xfId="0" applyNumberFormat="1" applyFont="1" applyFill="1" applyBorder="1" applyAlignment="1">
      <alignment horizontal="center" vertical="center" wrapText="1"/>
    </xf>
    <xf numFmtId="8" fontId="37" fillId="2" borderId="30" xfId="0" applyNumberFormat="1" applyFont="1" applyFill="1" applyBorder="1" applyAlignment="1">
      <alignment horizontal="center" vertical="center" wrapText="1"/>
    </xf>
    <xf numFmtId="3" fontId="37" fillId="2" borderId="20" xfId="0" applyNumberFormat="1" applyFont="1" applyFill="1" applyBorder="1" applyAlignment="1">
      <alignment horizontal="center" vertical="center" wrapText="1"/>
    </xf>
    <xf numFmtId="3" fontId="37" fillId="2" borderId="24" xfId="0" applyNumberFormat="1" applyFont="1" applyFill="1" applyBorder="1" applyAlignment="1">
      <alignment horizontal="center" vertical="center" wrapText="1"/>
    </xf>
    <xf numFmtId="8" fontId="37" fillId="2" borderId="25" xfId="0" applyNumberFormat="1" applyFont="1" applyFill="1" applyBorder="1" applyAlignment="1">
      <alignment horizontal="center" vertical="center" wrapText="1"/>
    </xf>
    <xf numFmtId="8" fontId="37" fillId="2" borderId="9" xfId="0" applyNumberFormat="1" applyFont="1" applyFill="1" applyBorder="1" applyAlignment="1">
      <alignment horizontal="center" vertical="center" wrapText="1"/>
    </xf>
    <xf numFmtId="0" fontId="37" fillId="2" borderId="25" xfId="0" applyFont="1" applyFill="1" applyBorder="1">
      <alignment vertical="center"/>
    </xf>
    <xf numFmtId="0" fontId="27" fillId="0" borderId="23" xfId="0" applyFont="1" applyBorder="1">
      <alignment vertical="center"/>
    </xf>
    <xf numFmtId="0" fontId="27" fillId="0" borderId="25" xfId="0" applyFont="1" applyBorder="1">
      <alignment vertical="center"/>
    </xf>
    <xf numFmtId="0" fontId="27" fillId="0" borderId="12" xfId="0" applyFont="1" applyBorder="1">
      <alignment vertical="center"/>
    </xf>
    <xf numFmtId="0" fontId="27" fillId="0" borderId="21" xfId="0" applyFont="1" applyBorder="1">
      <alignment vertical="center"/>
    </xf>
    <xf numFmtId="0" fontId="27" fillId="0" borderId="24" xfId="0" applyFont="1" applyBorder="1">
      <alignment vertical="center"/>
    </xf>
    <xf numFmtId="0" fontId="27" fillId="0" borderId="10" xfId="0" applyFont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3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176" fontId="3" fillId="6" borderId="1" xfId="0" applyNumberFormat="1" applyFont="1" applyFill="1" applyBorder="1" applyAlignment="1">
      <alignment horizontal="center" vertical="center"/>
    </xf>
    <xf numFmtId="176" fontId="3" fillId="6" borderId="3" xfId="0" applyNumberFormat="1" applyFont="1" applyFill="1" applyBorder="1" applyAlignment="1">
      <alignment horizontal="center" vertical="center"/>
    </xf>
    <xf numFmtId="176" fontId="3" fillId="6" borderId="2" xfId="0" applyNumberFormat="1" applyFont="1" applyFill="1" applyBorder="1" applyAlignment="1">
      <alignment horizontal="center" vertical="center"/>
    </xf>
    <xf numFmtId="176" fontId="3" fillId="7" borderId="1" xfId="0" applyNumberFormat="1" applyFont="1" applyFill="1" applyBorder="1" applyAlignment="1">
      <alignment horizontal="center" vertical="center"/>
    </xf>
    <xf numFmtId="176" fontId="3" fillId="7" borderId="3" xfId="0" applyNumberFormat="1" applyFont="1" applyFill="1" applyBorder="1" applyAlignment="1">
      <alignment horizontal="center" vertical="center"/>
    </xf>
    <xf numFmtId="176" fontId="3" fillId="7" borderId="2" xfId="0" applyNumberFormat="1" applyFont="1" applyFill="1" applyBorder="1" applyAlignment="1">
      <alignment horizontal="center" vertical="center"/>
    </xf>
    <xf numFmtId="0" fontId="13" fillId="0" borderId="13" xfId="0" applyFont="1" applyBorder="1" applyAlignment="1" applyProtection="1">
      <alignment horizontal="center" vertical="center"/>
      <protection locked="0"/>
    </xf>
    <xf numFmtId="0" fontId="16" fillId="0" borderId="13" xfId="0" applyFont="1" applyBorder="1" applyAlignment="1" applyProtection="1">
      <alignment horizontal="center" vertical="center"/>
      <protection locked="0"/>
    </xf>
    <xf numFmtId="0" fontId="29" fillId="13" borderId="0" xfId="0" applyFont="1" applyFill="1" applyAlignment="1">
      <alignment horizontal="center" vertical="center"/>
    </xf>
    <xf numFmtId="0" fontId="15" fillId="17" borderId="9" xfId="0" applyFont="1" applyFill="1" applyBorder="1" applyAlignment="1">
      <alignment horizontal="center" vertical="center"/>
    </xf>
    <xf numFmtId="0" fontId="15" fillId="15" borderId="45" xfId="0" applyFont="1" applyFill="1" applyBorder="1" applyAlignment="1">
      <alignment horizontal="center" vertical="center"/>
    </xf>
    <xf numFmtId="0" fontId="15" fillId="15" borderId="46" xfId="0" applyFont="1" applyFill="1" applyBorder="1" applyAlignment="1">
      <alignment horizontal="center" vertical="center"/>
    </xf>
    <xf numFmtId="0" fontId="15" fillId="15" borderId="47" xfId="0" applyFont="1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5" borderId="21" xfId="0" applyFill="1" applyBorder="1" applyAlignment="1">
      <alignment horizontal="center" vertical="center"/>
    </xf>
    <xf numFmtId="0" fontId="0" fillId="15" borderId="22" xfId="0" applyFill="1" applyBorder="1" applyAlignment="1">
      <alignment horizontal="center" vertical="center"/>
    </xf>
    <xf numFmtId="0" fontId="0" fillId="15" borderId="23" xfId="0" applyFill="1" applyBorder="1" applyAlignment="1">
      <alignment horizontal="center" vertical="center"/>
    </xf>
    <xf numFmtId="0" fontId="15" fillId="12" borderId="0" xfId="0" applyFont="1" applyFill="1">
      <alignment vertical="center"/>
    </xf>
    <xf numFmtId="0" fontId="0" fillId="12" borderId="0" xfId="0" applyFill="1" applyProtection="1">
      <alignment vertical="center"/>
      <protection locked="0"/>
    </xf>
    <xf numFmtId="0" fontId="15" fillId="12" borderId="0" xfId="0" applyFont="1" applyFill="1" applyProtection="1">
      <alignment vertical="center"/>
      <protection locked="0"/>
    </xf>
    <xf numFmtId="0" fontId="39" fillId="0" borderId="0" xfId="0" applyFont="1" applyAlignment="1" applyProtection="1">
      <alignment horizontal="center" vertical="center"/>
      <protection locked="0"/>
    </xf>
    <xf numFmtId="0" fontId="15" fillId="2" borderId="0" xfId="0" applyFont="1" applyFill="1">
      <alignment vertical="center"/>
    </xf>
    <xf numFmtId="10" fontId="31" fillId="0" borderId="0" xfId="0" applyNumberFormat="1" applyFont="1">
      <alignment vertical="center"/>
    </xf>
    <xf numFmtId="10" fontId="0" fillId="0" borderId="0" xfId="0" applyNumberFormat="1">
      <alignment vertical="center"/>
    </xf>
    <xf numFmtId="177" fontId="34" fillId="0" borderId="9" xfId="0" applyNumberFormat="1" applyFont="1" applyFill="1" applyBorder="1" applyAlignment="1">
      <alignment horizontal="center" vertical="center" wrapText="1" readingOrder="1"/>
    </xf>
    <xf numFmtId="0" fontId="21" fillId="0" borderId="9" xfId="0" applyFont="1" applyFill="1" applyBorder="1" applyAlignment="1">
      <alignment horizontal="center" vertical="center" wrapText="1" readingOrder="1"/>
    </xf>
    <xf numFmtId="182" fontId="21" fillId="0" borderId="9" xfId="0" applyNumberFormat="1" applyFont="1" applyFill="1" applyBorder="1" applyAlignment="1">
      <alignment horizontal="center" vertical="center" wrapText="1" readingOrder="1"/>
    </xf>
    <xf numFmtId="10" fontId="21" fillId="0" borderId="9" xfId="0" applyNumberFormat="1" applyFont="1" applyFill="1" applyBorder="1" applyAlignment="1">
      <alignment horizontal="center" vertical="center" wrapText="1" readingOrder="1"/>
    </xf>
    <xf numFmtId="179" fontId="34" fillId="0" borderId="9" xfId="0" applyNumberFormat="1" applyFont="1" applyFill="1" applyBorder="1" applyAlignment="1">
      <alignment horizontal="center" vertical="center" wrapText="1" readingOrder="1"/>
    </xf>
    <xf numFmtId="187" fontId="21" fillId="0" borderId="9" xfId="0" applyNumberFormat="1" applyFont="1" applyFill="1" applyBorder="1" applyAlignment="1">
      <alignment horizontal="center" vertical="center" wrapText="1" readingOrder="1"/>
    </xf>
    <xf numFmtId="0" fontId="0" fillId="0" borderId="0" xfId="0" applyFill="1">
      <alignment vertical="center"/>
    </xf>
    <xf numFmtId="182" fontId="0" fillId="0" borderId="0" xfId="0" applyNumberFormat="1" applyProtection="1">
      <alignment vertical="center"/>
      <protection locked="0"/>
    </xf>
  </cellXfs>
  <cellStyles count="2">
    <cellStyle name="표준" xfId="0" builtinId="0"/>
    <cellStyle name="하이퍼링크" xfId="1" builtinId="8"/>
  </cellStyles>
  <dxfs count="9"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D342DE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'채널별 팔로워 추이'!$Q$4</c:f>
              <c:strCache>
                <c:ptCount val="1"/>
                <c:pt idx="0">
                  <c:v>페이스북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'채널별 팔로워 추이'!$P$5:$P$16</c:f>
              <c:strCache>
                <c:ptCount val="12"/>
                <c:pt idx="0">
                  <c:v>23년 07월</c:v>
                </c:pt>
                <c:pt idx="1">
                  <c:v>23년 08월</c:v>
                </c:pt>
                <c:pt idx="2">
                  <c:v>23년 09월</c:v>
                </c:pt>
                <c:pt idx="3">
                  <c:v>23년 10월</c:v>
                </c:pt>
                <c:pt idx="4">
                  <c:v>23년 11월</c:v>
                </c:pt>
                <c:pt idx="5">
                  <c:v>23년 12월</c:v>
                </c:pt>
                <c:pt idx="6">
                  <c:v>24년 01월</c:v>
                </c:pt>
                <c:pt idx="7">
                  <c:v>24년 02월</c:v>
                </c:pt>
                <c:pt idx="8">
                  <c:v>24년 03월</c:v>
                </c:pt>
                <c:pt idx="9">
                  <c:v>24년 04월</c:v>
                </c:pt>
                <c:pt idx="10">
                  <c:v>24년 05월</c:v>
                </c:pt>
                <c:pt idx="11">
                  <c:v>24년 06월</c:v>
                </c:pt>
              </c:strCache>
            </c:strRef>
          </c:cat>
          <c:val>
            <c:numRef>
              <c:f>'채널별 팔로워 추이'!$Q$5:$Q$16</c:f>
              <c:numCache>
                <c:formatCode>#,##0_);[Red]\(#,##0\)</c:formatCode>
                <c:ptCount val="12"/>
                <c:pt idx="0">
                  <c:v>329242</c:v>
                </c:pt>
                <c:pt idx="1">
                  <c:v>328540</c:v>
                </c:pt>
                <c:pt idx="2">
                  <c:v>327807</c:v>
                </c:pt>
                <c:pt idx="3">
                  <c:v>327316</c:v>
                </c:pt>
                <c:pt idx="4">
                  <c:v>326663</c:v>
                </c:pt>
                <c:pt idx="5">
                  <c:v>325870</c:v>
                </c:pt>
                <c:pt idx="6">
                  <c:v>325213</c:v>
                </c:pt>
                <c:pt idx="7">
                  <c:v>324457</c:v>
                </c:pt>
                <c:pt idx="8">
                  <c:v>323919</c:v>
                </c:pt>
                <c:pt idx="9">
                  <c:v>323559</c:v>
                </c:pt>
                <c:pt idx="10">
                  <c:v>323315</c:v>
                </c:pt>
                <c:pt idx="11">
                  <c:v>323112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FD-434E-8C14-880B2B34420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327599760"/>
        <c:axId val="-327598128"/>
      </c:lineChart>
      <c:catAx>
        <c:axId val="-327599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327598128"/>
        <c:crosses val="autoZero"/>
        <c:auto val="1"/>
        <c:lblAlgn val="ctr"/>
        <c:lblOffset val="100"/>
        <c:noMultiLvlLbl val="1"/>
      </c:catAx>
      <c:valAx>
        <c:axId val="-327598128"/>
        <c:scaling>
          <c:orientation val="minMax"/>
          <c:min val="3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32759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'채널별 팔로워 추이'!$R$4</c:f>
              <c:strCache>
                <c:ptCount val="1"/>
                <c:pt idx="0">
                  <c:v>인스타그램</c:v>
                </c:pt>
              </c:strCache>
            </c:strRef>
          </c:tx>
          <c:spPr>
            <a:ln w="28575" cap="rnd">
              <a:gradFill>
                <a:gsLst>
                  <a:gs pos="0">
                    <a:srgbClr val="7030A0"/>
                  </a:gs>
                  <a:gs pos="76000">
                    <a:srgbClr val="FF0000"/>
                  </a:gs>
                  <a:gs pos="28000">
                    <a:srgbClr val="D342DE"/>
                  </a:gs>
                  <a:gs pos="100000">
                    <a:srgbClr val="FFC000"/>
                  </a:gs>
                </a:gsLst>
                <a:lin ang="5400000" scaled="1"/>
              </a:gradFill>
              <a:round/>
            </a:ln>
            <a:effectLst/>
          </c:spPr>
          <c:marker>
            <c:symbol val="squar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'채널별 팔로워 추이'!$P$5:$P$16</c:f>
              <c:strCache>
                <c:ptCount val="12"/>
                <c:pt idx="0">
                  <c:v>23년 07월</c:v>
                </c:pt>
                <c:pt idx="1">
                  <c:v>23년 08월</c:v>
                </c:pt>
                <c:pt idx="2">
                  <c:v>23년 09월</c:v>
                </c:pt>
                <c:pt idx="3">
                  <c:v>23년 10월</c:v>
                </c:pt>
                <c:pt idx="4">
                  <c:v>23년 11월</c:v>
                </c:pt>
                <c:pt idx="5">
                  <c:v>23년 12월</c:v>
                </c:pt>
                <c:pt idx="6">
                  <c:v>24년 01월</c:v>
                </c:pt>
                <c:pt idx="7">
                  <c:v>24년 02월</c:v>
                </c:pt>
                <c:pt idx="8">
                  <c:v>24년 03월</c:v>
                </c:pt>
                <c:pt idx="9">
                  <c:v>24년 04월</c:v>
                </c:pt>
                <c:pt idx="10">
                  <c:v>24년 05월</c:v>
                </c:pt>
                <c:pt idx="11">
                  <c:v>24년 06월</c:v>
                </c:pt>
              </c:strCache>
            </c:strRef>
          </c:cat>
          <c:val>
            <c:numRef>
              <c:f>'채널별 팔로워 추이'!$R$5:$R$16</c:f>
              <c:numCache>
                <c:formatCode>#,##0_);[Red]\(#,##0\)</c:formatCode>
                <c:ptCount val="12"/>
                <c:pt idx="0">
                  <c:v>24784</c:v>
                </c:pt>
                <c:pt idx="1">
                  <c:v>24120</c:v>
                </c:pt>
                <c:pt idx="2">
                  <c:v>24351</c:v>
                </c:pt>
                <c:pt idx="3">
                  <c:v>24169</c:v>
                </c:pt>
                <c:pt idx="4">
                  <c:v>24349</c:v>
                </c:pt>
                <c:pt idx="5">
                  <c:v>24077</c:v>
                </c:pt>
                <c:pt idx="6">
                  <c:v>23803</c:v>
                </c:pt>
                <c:pt idx="7">
                  <c:v>23534</c:v>
                </c:pt>
                <c:pt idx="8">
                  <c:v>24159</c:v>
                </c:pt>
                <c:pt idx="9">
                  <c:v>24029</c:v>
                </c:pt>
                <c:pt idx="10">
                  <c:v>24433</c:v>
                </c:pt>
                <c:pt idx="11">
                  <c:v>24386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43-4299-A944-981F136E193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327591600"/>
        <c:axId val="-560365632"/>
      </c:lineChart>
      <c:catAx>
        <c:axId val="-327591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5632"/>
        <c:crosses val="autoZero"/>
        <c:auto val="1"/>
        <c:lblAlgn val="ctr"/>
        <c:lblOffset val="100"/>
        <c:noMultiLvlLbl val="1"/>
      </c:catAx>
      <c:valAx>
        <c:axId val="-56036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32759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'채널별 팔로워 추이'!$S$4</c:f>
              <c:strCache>
                <c:ptCount val="1"/>
                <c:pt idx="0">
                  <c:v>유튜브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'채널별 팔로워 추이'!$P$5:$P$16</c:f>
              <c:strCache>
                <c:ptCount val="12"/>
                <c:pt idx="0">
                  <c:v>23년 07월</c:v>
                </c:pt>
                <c:pt idx="1">
                  <c:v>23년 08월</c:v>
                </c:pt>
                <c:pt idx="2">
                  <c:v>23년 09월</c:v>
                </c:pt>
                <c:pt idx="3">
                  <c:v>23년 10월</c:v>
                </c:pt>
                <c:pt idx="4">
                  <c:v>23년 11월</c:v>
                </c:pt>
                <c:pt idx="5">
                  <c:v>23년 12월</c:v>
                </c:pt>
                <c:pt idx="6">
                  <c:v>24년 01월</c:v>
                </c:pt>
                <c:pt idx="7">
                  <c:v>24년 02월</c:v>
                </c:pt>
                <c:pt idx="8">
                  <c:v>24년 03월</c:v>
                </c:pt>
                <c:pt idx="9">
                  <c:v>24년 04월</c:v>
                </c:pt>
                <c:pt idx="10">
                  <c:v>24년 05월</c:v>
                </c:pt>
                <c:pt idx="11">
                  <c:v>24년 06월</c:v>
                </c:pt>
              </c:strCache>
            </c:strRef>
          </c:cat>
          <c:val>
            <c:numRef>
              <c:f>'채널별 팔로워 추이'!$S$5:$S$16</c:f>
              <c:numCache>
                <c:formatCode>#,##0_);[Red]\(#,##0\)</c:formatCode>
                <c:ptCount val="12"/>
                <c:pt idx="0">
                  <c:v>127484</c:v>
                </c:pt>
                <c:pt idx="1">
                  <c:v>170862</c:v>
                </c:pt>
                <c:pt idx="2">
                  <c:v>209685</c:v>
                </c:pt>
                <c:pt idx="3">
                  <c:v>206054</c:v>
                </c:pt>
                <c:pt idx="4">
                  <c:v>204222</c:v>
                </c:pt>
                <c:pt idx="5">
                  <c:v>203190</c:v>
                </c:pt>
                <c:pt idx="6">
                  <c:v>200818</c:v>
                </c:pt>
                <c:pt idx="7">
                  <c:v>198550</c:v>
                </c:pt>
                <c:pt idx="8">
                  <c:v>196824</c:v>
                </c:pt>
                <c:pt idx="9">
                  <c:v>195398</c:v>
                </c:pt>
                <c:pt idx="10">
                  <c:v>194084</c:v>
                </c:pt>
                <c:pt idx="11">
                  <c:v>192883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D7-4D3C-8C16-C78BDAB819E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560362912"/>
        <c:axId val="-560354752"/>
      </c:lineChart>
      <c:catAx>
        <c:axId val="-560362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4752"/>
        <c:crosses val="autoZero"/>
        <c:auto val="1"/>
        <c:lblAlgn val="ctr"/>
        <c:lblOffset val="100"/>
        <c:noMultiLvlLbl val="1"/>
      </c:catAx>
      <c:valAx>
        <c:axId val="-560354752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일일data!$M$3</c:f>
              <c:strCache>
                <c:ptCount val="1"/>
                <c:pt idx="0">
                  <c:v> 팔로워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일일data!$A$4:$A$34</c:f>
              <c:numCache>
                <c:formatCode>m\/d</c:formatCode>
                <c:ptCount val="31"/>
                <c:pt idx="0">
                  <c:v>45444</c:v>
                </c:pt>
                <c:pt idx="1">
                  <c:v>45445</c:v>
                </c:pt>
                <c:pt idx="2">
                  <c:v>45446</c:v>
                </c:pt>
                <c:pt idx="3">
                  <c:v>45447</c:v>
                </c:pt>
                <c:pt idx="4">
                  <c:v>45448</c:v>
                </c:pt>
                <c:pt idx="5">
                  <c:v>45449</c:v>
                </c:pt>
                <c:pt idx="6">
                  <c:v>45450</c:v>
                </c:pt>
                <c:pt idx="7">
                  <c:v>45451</c:v>
                </c:pt>
                <c:pt idx="8">
                  <c:v>45452</c:v>
                </c:pt>
                <c:pt idx="9">
                  <c:v>45453</c:v>
                </c:pt>
                <c:pt idx="10">
                  <c:v>45454</c:v>
                </c:pt>
                <c:pt idx="11">
                  <c:v>45455</c:v>
                </c:pt>
                <c:pt idx="12">
                  <c:v>45456</c:v>
                </c:pt>
                <c:pt idx="13">
                  <c:v>45457</c:v>
                </c:pt>
                <c:pt idx="14">
                  <c:v>45458</c:v>
                </c:pt>
                <c:pt idx="15">
                  <c:v>45459</c:v>
                </c:pt>
                <c:pt idx="16">
                  <c:v>45460</c:v>
                </c:pt>
                <c:pt idx="17">
                  <c:v>45461</c:v>
                </c:pt>
                <c:pt idx="18">
                  <c:v>45462</c:v>
                </c:pt>
                <c:pt idx="19">
                  <c:v>45463</c:v>
                </c:pt>
                <c:pt idx="20">
                  <c:v>45464</c:v>
                </c:pt>
                <c:pt idx="21">
                  <c:v>45465</c:v>
                </c:pt>
                <c:pt idx="22">
                  <c:v>45466</c:v>
                </c:pt>
                <c:pt idx="23">
                  <c:v>45467</c:v>
                </c:pt>
                <c:pt idx="24">
                  <c:v>45468</c:v>
                </c:pt>
                <c:pt idx="25">
                  <c:v>45469</c:v>
                </c:pt>
                <c:pt idx="26">
                  <c:v>45470</c:v>
                </c:pt>
                <c:pt idx="27">
                  <c:v>45471</c:v>
                </c:pt>
                <c:pt idx="28">
                  <c:v>45472</c:v>
                </c:pt>
                <c:pt idx="29">
                  <c:v>45473</c:v>
                </c:pt>
              </c:numCache>
            </c:numRef>
          </c:cat>
          <c:val>
            <c:numRef>
              <c:f>일일data!$M$4:$M$34</c:f>
              <c:numCache>
                <c:formatCode>_-* #,##0_-;\-* #,##0_-;_-* "-"_-;_-@</c:formatCode>
                <c:ptCount val="31"/>
                <c:pt idx="0">
                  <c:v>323315</c:v>
                </c:pt>
                <c:pt idx="1">
                  <c:v>323315</c:v>
                </c:pt>
                <c:pt idx="2">
                  <c:v>323307</c:v>
                </c:pt>
                <c:pt idx="3">
                  <c:v>323290</c:v>
                </c:pt>
                <c:pt idx="4">
                  <c:v>323267</c:v>
                </c:pt>
                <c:pt idx="5">
                  <c:v>323267</c:v>
                </c:pt>
                <c:pt idx="6">
                  <c:v>323237</c:v>
                </c:pt>
                <c:pt idx="7">
                  <c:v>323237</c:v>
                </c:pt>
                <c:pt idx="8">
                  <c:v>323237</c:v>
                </c:pt>
                <c:pt idx="9">
                  <c:v>323235</c:v>
                </c:pt>
                <c:pt idx="10">
                  <c:v>323233</c:v>
                </c:pt>
                <c:pt idx="11">
                  <c:v>323225</c:v>
                </c:pt>
                <c:pt idx="12">
                  <c:v>323220</c:v>
                </c:pt>
                <c:pt idx="13">
                  <c:v>323196</c:v>
                </c:pt>
                <c:pt idx="14">
                  <c:v>323196</c:v>
                </c:pt>
                <c:pt idx="15">
                  <c:v>323196</c:v>
                </c:pt>
                <c:pt idx="16">
                  <c:v>323172</c:v>
                </c:pt>
                <c:pt idx="17">
                  <c:v>323157</c:v>
                </c:pt>
                <c:pt idx="18">
                  <c:v>323147</c:v>
                </c:pt>
                <c:pt idx="19">
                  <c:v>323153</c:v>
                </c:pt>
                <c:pt idx="20">
                  <c:v>323188</c:v>
                </c:pt>
                <c:pt idx="21">
                  <c:v>323188</c:v>
                </c:pt>
                <c:pt idx="22">
                  <c:v>323188</c:v>
                </c:pt>
                <c:pt idx="23">
                  <c:v>323176</c:v>
                </c:pt>
                <c:pt idx="24">
                  <c:v>323165</c:v>
                </c:pt>
                <c:pt idx="25">
                  <c:v>323154</c:v>
                </c:pt>
                <c:pt idx="26">
                  <c:v>323143</c:v>
                </c:pt>
                <c:pt idx="27">
                  <c:v>323112</c:v>
                </c:pt>
                <c:pt idx="28">
                  <c:v>323112</c:v>
                </c:pt>
                <c:pt idx="29">
                  <c:v>323112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7F-4DCC-B57F-8FCC39900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0360736"/>
        <c:axId val="-560355840"/>
      </c:lineChart>
      <c:dateAx>
        <c:axId val="-560360736"/>
        <c:scaling>
          <c:orientation val="minMax"/>
        </c:scaling>
        <c:delete val="0"/>
        <c:axPos val="b"/>
        <c:numFmt formatCode="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5840"/>
        <c:crosses val="autoZero"/>
        <c:auto val="1"/>
        <c:lblOffset val="100"/>
        <c:baseTimeUnit val="days"/>
      </c:dateAx>
      <c:valAx>
        <c:axId val="-56035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일일data!$N$4:$N$33</c:f>
              <c:numCache>
                <c:formatCode>_-* #,##0_-;\-* #,##0_-;_-* "-"_-;_-@</c:formatCode>
                <c:ptCount val="30"/>
                <c:pt idx="0">
                  <c:v>11</c:v>
                </c:pt>
                <c:pt idx="1">
                  <c:v>9</c:v>
                </c:pt>
                <c:pt idx="2">
                  <c:v>11</c:v>
                </c:pt>
                <c:pt idx="3">
                  <c:v>12</c:v>
                </c:pt>
                <c:pt idx="4">
                  <c:v>19</c:v>
                </c:pt>
                <c:pt idx="5">
                  <c:v>15</c:v>
                </c:pt>
                <c:pt idx="6">
                  <c:v>17</c:v>
                </c:pt>
                <c:pt idx="7">
                  <c:v>18</c:v>
                </c:pt>
                <c:pt idx="8">
                  <c:v>10</c:v>
                </c:pt>
                <c:pt idx="9">
                  <c:v>19</c:v>
                </c:pt>
                <c:pt idx="10">
                  <c:v>20</c:v>
                </c:pt>
                <c:pt idx="11">
                  <c:v>14</c:v>
                </c:pt>
                <c:pt idx="12">
                  <c:v>13</c:v>
                </c:pt>
                <c:pt idx="13">
                  <c:v>15</c:v>
                </c:pt>
                <c:pt idx="14">
                  <c:v>9</c:v>
                </c:pt>
                <c:pt idx="15">
                  <c:v>2</c:v>
                </c:pt>
                <c:pt idx="16">
                  <c:v>8</c:v>
                </c:pt>
                <c:pt idx="17">
                  <c:v>10</c:v>
                </c:pt>
                <c:pt idx="18">
                  <c:v>7</c:v>
                </c:pt>
                <c:pt idx="19">
                  <c:v>17</c:v>
                </c:pt>
                <c:pt idx="20">
                  <c:v>38</c:v>
                </c:pt>
                <c:pt idx="21">
                  <c:v>36</c:v>
                </c:pt>
                <c:pt idx="22">
                  <c:v>25</c:v>
                </c:pt>
                <c:pt idx="23">
                  <c:v>10</c:v>
                </c:pt>
                <c:pt idx="24">
                  <c:v>15</c:v>
                </c:pt>
                <c:pt idx="25">
                  <c:v>11</c:v>
                </c:pt>
                <c:pt idx="26">
                  <c:v>8</c:v>
                </c:pt>
                <c:pt idx="27">
                  <c:v>18</c:v>
                </c:pt>
                <c:pt idx="28">
                  <c:v>12</c:v>
                </c:pt>
                <c:pt idx="2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83-4A02-8E27-068998338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24328624"/>
        <c:axId val="-1924326448"/>
      </c:barChart>
      <c:catAx>
        <c:axId val="-1924328624"/>
        <c:scaling>
          <c:orientation val="minMax"/>
        </c:scaling>
        <c:delete val="0"/>
        <c:axPos val="b"/>
        <c:numFmt formatCode="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2" charset="-127"/>
                <a:ea typeface="Pretendard" panose="02000503000000020004" pitchFamily="2" charset="-127"/>
                <a:cs typeface="Pretendard" panose="02000503000000020004" pitchFamily="2" charset="-127"/>
              </a:defRPr>
            </a:pPr>
            <a:endParaRPr lang="ko-KR"/>
          </a:p>
        </c:txPr>
        <c:crossAx val="-1924326448"/>
        <c:crosses val="autoZero"/>
        <c:auto val="1"/>
        <c:lblAlgn val="ctr"/>
        <c:lblOffset val="100"/>
        <c:noMultiLvlLbl val="1"/>
      </c:catAx>
      <c:valAx>
        <c:axId val="-192432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2" charset="-127"/>
                <a:ea typeface="Pretendard" panose="02000503000000020004" pitchFamily="2" charset="-127"/>
                <a:cs typeface="Pretendard" panose="02000503000000020004" pitchFamily="2" charset="-127"/>
              </a:defRPr>
            </a:pPr>
            <a:endParaRPr lang="ko-KR"/>
          </a:p>
        </c:txPr>
        <c:crossAx val="-192432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Pretendard" panose="02000503000000020004" pitchFamily="2" charset="-127"/>
          <a:ea typeface="Pretendard" panose="02000503000000020004" pitchFamily="2" charset="-127"/>
          <a:cs typeface="Pretendard" panose="02000503000000020004" pitchFamily="2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521815845187748E-2"/>
          <c:y val="4.7024044467713737E-2"/>
          <c:w val="0.92523614129523812"/>
          <c:h val="0.83918591381788588"/>
        </c:manualLayout>
      </c:layout>
      <c:lineChart>
        <c:grouping val="standard"/>
        <c:varyColors val="0"/>
        <c:ser>
          <c:idx val="0"/>
          <c:order val="0"/>
          <c:tx>
            <c:strRef>
              <c:f>일일data!$U$3</c:f>
              <c:strCache>
                <c:ptCount val="1"/>
                <c:pt idx="0">
                  <c:v>팔로워</c:v>
                </c:pt>
              </c:strCache>
            </c:strRef>
          </c:tx>
          <c:spPr>
            <a:ln w="28575" cap="rnd">
              <a:gradFill flip="none" rotWithShape="1">
                <a:gsLst>
                  <a:gs pos="0">
                    <a:srgbClr val="FFFF00"/>
                  </a:gs>
                  <a:gs pos="38000">
                    <a:srgbClr val="FFC000"/>
                  </a:gs>
                  <a:gs pos="73000">
                    <a:srgbClr val="D342DE"/>
                  </a:gs>
                  <a:gs pos="100000">
                    <a:srgbClr val="7030A0"/>
                  </a:gs>
                </a:gsLst>
                <a:lin ang="0" scaled="1"/>
                <a:tileRect/>
              </a:gradFill>
              <a:round/>
            </a:ln>
            <a:effectLst/>
          </c:spPr>
          <c:marker>
            <c:symbol val="none"/>
          </c:marker>
          <c:cat>
            <c:numRef>
              <c:f>일일data!$A$4:$A$34</c:f>
              <c:numCache>
                <c:formatCode>m\/d</c:formatCode>
                <c:ptCount val="31"/>
                <c:pt idx="0">
                  <c:v>45444</c:v>
                </c:pt>
                <c:pt idx="1">
                  <c:v>45445</c:v>
                </c:pt>
                <c:pt idx="2">
                  <c:v>45446</c:v>
                </c:pt>
                <c:pt idx="3">
                  <c:v>45447</c:v>
                </c:pt>
                <c:pt idx="4">
                  <c:v>45448</c:v>
                </c:pt>
                <c:pt idx="5">
                  <c:v>45449</c:v>
                </c:pt>
                <c:pt idx="6">
                  <c:v>45450</c:v>
                </c:pt>
                <c:pt idx="7">
                  <c:v>45451</c:v>
                </c:pt>
                <c:pt idx="8">
                  <c:v>45452</c:v>
                </c:pt>
                <c:pt idx="9">
                  <c:v>45453</c:v>
                </c:pt>
                <c:pt idx="10">
                  <c:v>45454</c:v>
                </c:pt>
                <c:pt idx="11">
                  <c:v>45455</c:v>
                </c:pt>
                <c:pt idx="12">
                  <c:v>45456</c:v>
                </c:pt>
                <c:pt idx="13">
                  <c:v>45457</c:v>
                </c:pt>
                <c:pt idx="14">
                  <c:v>45458</c:v>
                </c:pt>
                <c:pt idx="15">
                  <c:v>45459</c:v>
                </c:pt>
                <c:pt idx="16">
                  <c:v>45460</c:v>
                </c:pt>
                <c:pt idx="17">
                  <c:v>45461</c:v>
                </c:pt>
                <c:pt idx="18">
                  <c:v>45462</c:v>
                </c:pt>
                <c:pt idx="19">
                  <c:v>45463</c:v>
                </c:pt>
                <c:pt idx="20">
                  <c:v>45464</c:v>
                </c:pt>
                <c:pt idx="21">
                  <c:v>45465</c:v>
                </c:pt>
                <c:pt idx="22">
                  <c:v>45466</c:v>
                </c:pt>
                <c:pt idx="23">
                  <c:v>45467</c:v>
                </c:pt>
                <c:pt idx="24">
                  <c:v>45468</c:v>
                </c:pt>
                <c:pt idx="25">
                  <c:v>45469</c:v>
                </c:pt>
                <c:pt idx="26">
                  <c:v>45470</c:v>
                </c:pt>
                <c:pt idx="27">
                  <c:v>45471</c:v>
                </c:pt>
                <c:pt idx="28">
                  <c:v>45472</c:v>
                </c:pt>
                <c:pt idx="29">
                  <c:v>45473</c:v>
                </c:pt>
              </c:numCache>
            </c:numRef>
          </c:cat>
          <c:val>
            <c:numRef>
              <c:f>일일data!$U$4:$U$34</c:f>
              <c:numCache>
                <c:formatCode>_-* #,##0_-;\-* #,##0_-;_-* "-"_-;_-@</c:formatCode>
                <c:ptCount val="31"/>
                <c:pt idx="0">
                  <c:v>24440</c:v>
                </c:pt>
                <c:pt idx="1">
                  <c:v>24434</c:v>
                </c:pt>
                <c:pt idx="2">
                  <c:v>24425</c:v>
                </c:pt>
                <c:pt idx="3">
                  <c:v>24408</c:v>
                </c:pt>
                <c:pt idx="4">
                  <c:v>24383</c:v>
                </c:pt>
                <c:pt idx="5">
                  <c:v>24383</c:v>
                </c:pt>
                <c:pt idx="6">
                  <c:v>24353</c:v>
                </c:pt>
                <c:pt idx="7">
                  <c:v>24353</c:v>
                </c:pt>
                <c:pt idx="8">
                  <c:v>24353</c:v>
                </c:pt>
                <c:pt idx="9">
                  <c:v>24342</c:v>
                </c:pt>
                <c:pt idx="10">
                  <c:v>24336</c:v>
                </c:pt>
                <c:pt idx="11">
                  <c:v>24335</c:v>
                </c:pt>
                <c:pt idx="12">
                  <c:v>24328</c:v>
                </c:pt>
                <c:pt idx="13">
                  <c:v>24321</c:v>
                </c:pt>
                <c:pt idx="14">
                  <c:v>24321</c:v>
                </c:pt>
                <c:pt idx="15">
                  <c:v>24321</c:v>
                </c:pt>
                <c:pt idx="16">
                  <c:v>24312</c:v>
                </c:pt>
                <c:pt idx="17">
                  <c:v>24314</c:v>
                </c:pt>
                <c:pt idx="18">
                  <c:v>24308</c:v>
                </c:pt>
                <c:pt idx="19">
                  <c:v>24320</c:v>
                </c:pt>
                <c:pt idx="20">
                  <c:v>24355</c:v>
                </c:pt>
                <c:pt idx="21">
                  <c:v>24355</c:v>
                </c:pt>
                <c:pt idx="22">
                  <c:v>24355</c:v>
                </c:pt>
                <c:pt idx="23">
                  <c:v>24354</c:v>
                </c:pt>
                <c:pt idx="24">
                  <c:v>24350</c:v>
                </c:pt>
                <c:pt idx="25">
                  <c:v>24345</c:v>
                </c:pt>
                <c:pt idx="26">
                  <c:v>24358</c:v>
                </c:pt>
                <c:pt idx="27">
                  <c:v>24386</c:v>
                </c:pt>
                <c:pt idx="28">
                  <c:v>24386</c:v>
                </c:pt>
                <c:pt idx="29">
                  <c:v>24386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66-4D81-9964-6EA3261E1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0355296"/>
        <c:axId val="-560359648"/>
      </c:lineChart>
      <c:dateAx>
        <c:axId val="-560355296"/>
        <c:scaling>
          <c:orientation val="minMax"/>
        </c:scaling>
        <c:delete val="0"/>
        <c:axPos val="b"/>
        <c:numFmt formatCode="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9648"/>
        <c:crosses val="autoZero"/>
        <c:auto val="1"/>
        <c:lblOffset val="100"/>
        <c:baseTimeUnit val="days"/>
      </c:dateAx>
      <c:valAx>
        <c:axId val="-560359648"/>
        <c:scaling>
          <c:orientation val="minMax"/>
        </c:scaling>
        <c:delete val="0"/>
        <c:axPos val="l"/>
        <c:numFmt formatCode="_-* #,##0_-;\-* #,##0_-;_-* &quot;-&quot;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B40A7"/>
            </a:solidFill>
            <a:ln>
              <a:solidFill>
                <a:srgbClr val="7B40A7"/>
              </a:solidFill>
            </a:ln>
            <a:effectLst/>
          </c:spPr>
          <c:invertIfNegative val="0"/>
          <c:cat>
            <c:numRef>
              <c:f>일일data!$A$4:$A$34</c:f>
              <c:numCache>
                <c:formatCode>m\/d</c:formatCode>
                <c:ptCount val="31"/>
                <c:pt idx="0">
                  <c:v>45444</c:v>
                </c:pt>
                <c:pt idx="1">
                  <c:v>45445</c:v>
                </c:pt>
                <c:pt idx="2">
                  <c:v>45446</c:v>
                </c:pt>
                <c:pt idx="3">
                  <c:v>45447</c:v>
                </c:pt>
                <c:pt idx="4">
                  <c:v>45448</c:v>
                </c:pt>
                <c:pt idx="5">
                  <c:v>45449</c:v>
                </c:pt>
                <c:pt idx="6">
                  <c:v>45450</c:v>
                </c:pt>
                <c:pt idx="7">
                  <c:v>45451</c:v>
                </c:pt>
                <c:pt idx="8">
                  <c:v>45452</c:v>
                </c:pt>
                <c:pt idx="9">
                  <c:v>45453</c:v>
                </c:pt>
                <c:pt idx="10">
                  <c:v>45454</c:v>
                </c:pt>
                <c:pt idx="11">
                  <c:v>45455</c:v>
                </c:pt>
                <c:pt idx="12">
                  <c:v>45456</c:v>
                </c:pt>
                <c:pt idx="13">
                  <c:v>45457</c:v>
                </c:pt>
                <c:pt idx="14">
                  <c:v>45458</c:v>
                </c:pt>
                <c:pt idx="15">
                  <c:v>45459</c:v>
                </c:pt>
                <c:pt idx="16">
                  <c:v>45460</c:v>
                </c:pt>
                <c:pt idx="17">
                  <c:v>45461</c:v>
                </c:pt>
                <c:pt idx="18">
                  <c:v>45462</c:v>
                </c:pt>
                <c:pt idx="19">
                  <c:v>45463</c:v>
                </c:pt>
                <c:pt idx="20">
                  <c:v>45464</c:v>
                </c:pt>
                <c:pt idx="21">
                  <c:v>45465</c:v>
                </c:pt>
                <c:pt idx="22">
                  <c:v>45466</c:v>
                </c:pt>
                <c:pt idx="23">
                  <c:v>45467</c:v>
                </c:pt>
                <c:pt idx="24">
                  <c:v>45468</c:v>
                </c:pt>
                <c:pt idx="25">
                  <c:v>45469</c:v>
                </c:pt>
                <c:pt idx="26">
                  <c:v>45470</c:v>
                </c:pt>
                <c:pt idx="27">
                  <c:v>45471</c:v>
                </c:pt>
                <c:pt idx="28">
                  <c:v>45472</c:v>
                </c:pt>
                <c:pt idx="29">
                  <c:v>45473</c:v>
                </c:pt>
              </c:numCache>
            </c:numRef>
          </c:cat>
          <c:val>
            <c:numRef>
              <c:f>일일data!$V$4:$V$34</c:f>
              <c:numCache>
                <c:formatCode>_-* #,##0_-;\-* #,##0_-;_-* "-"_-;_-@</c:formatCode>
                <c:ptCount val="31"/>
                <c:pt idx="0">
                  <c:v>6</c:v>
                </c:pt>
                <c:pt idx="1">
                  <c:v>14</c:v>
                </c:pt>
                <c:pt idx="2">
                  <c:v>6</c:v>
                </c:pt>
                <c:pt idx="3">
                  <c:v>12</c:v>
                </c:pt>
                <c:pt idx="4">
                  <c:v>4</c:v>
                </c:pt>
                <c:pt idx="5">
                  <c:v>10</c:v>
                </c:pt>
                <c:pt idx="6">
                  <c:v>2</c:v>
                </c:pt>
                <c:pt idx="7">
                  <c:v>2</c:v>
                </c:pt>
                <c:pt idx="8">
                  <c:v>5</c:v>
                </c:pt>
                <c:pt idx="9">
                  <c:v>5</c:v>
                </c:pt>
                <c:pt idx="10">
                  <c:v>9</c:v>
                </c:pt>
                <c:pt idx="11">
                  <c:v>7</c:v>
                </c:pt>
                <c:pt idx="12">
                  <c:v>12</c:v>
                </c:pt>
                <c:pt idx="13">
                  <c:v>9</c:v>
                </c:pt>
                <c:pt idx="14">
                  <c:v>6</c:v>
                </c:pt>
                <c:pt idx="15">
                  <c:v>2</c:v>
                </c:pt>
                <c:pt idx="16">
                  <c:v>7</c:v>
                </c:pt>
                <c:pt idx="17">
                  <c:v>10</c:v>
                </c:pt>
                <c:pt idx="18">
                  <c:v>13</c:v>
                </c:pt>
                <c:pt idx="19">
                  <c:v>14</c:v>
                </c:pt>
                <c:pt idx="20">
                  <c:v>31</c:v>
                </c:pt>
                <c:pt idx="21">
                  <c:v>17</c:v>
                </c:pt>
                <c:pt idx="22">
                  <c:v>22</c:v>
                </c:pt>
                <c:pt idx="23">
                  <c:v>9</c:v>
                </c:pt>
                <c:pt idx="24">
                  <c:v>8</c:v>
                </c:pt>
                <c:pt idx="25">
                  <c:v>2</c:v>
                </c:pt>
                <c:pt idx="26">
                  <c:v>18</c:v>
                </c:pt>
                <c:pt idx="27">
                  <c:v>25</c:v>
                </c:pt>
                <c:pt idx="28">
                  <c:v>22</c:v>
                </c:pt>
                <c:pt idx="29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5-4483-B9D8-08AFD55AE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24325904"/>
        <c:axId val="-1924322640"/>
      </c:barChart>
      <c:dateAx>
        <c:axId val="-1924325904"/>
        <c:scaling>
          <c:orientation val="minMax"/>
        </c:scaling>
        <c:delete val="0"/>
        <c:axPos val="b"/>
        <c:numFmt formatCode="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2" charset="-127"/>
                <a:ea typeface="Pretendard" panose="02000503000000020004" pitchFamily="2" charset="-127"/>
                <a:cs typeface="Pretendard" panose="02000503000000020004" pitchFamily="2" charset="-127"/>
              </a:defRPr>
            </a:pPr>
            <a:endParaRPr lang="ko-KR"/>
          </a:p>
        </c:txPr>
        <c:crossAx val="-1924322640"/>
        <c:crosses val="autoZero"/>
        <c:auto val="1"/>
        <c:lblOffset val="100"/>
        <c:baseTimeUnit val="days"/>
      </c:dateAx>
      <c:valAx>
        <c:axId val="-192432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2" charset="-127"/>
                <a:ea typeface="Pretendard" panose="02000503000000020004" pitchFamily="2" charset="-127"/>
                <a:cs typeface="Pretendard" panose="02000503000000020004" pitchFamily="2" charset="-127"/>
              </a:defRPr>
            </a:pPr>
            <a:endParaRPr lang="ko-KR"/>
          </a:p>
        </c:txPr>
        <c:crossAx val="-192432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Pretendard" panose="02000503000000020004" pitchFamily="2" charset="-127"/>
          <a:ea typeface="Pretendard" panose="02000503000000020004" pitchFamily="2" charset="-127"/>
          <a:cs typeface="Pretendard" panose="02000503000000020004" pitchFamily="2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830094305331627E-2"/>
          <c:y val="4.6296296296296294E-2"/>
          <c:w val="0.91859358170712946"/>
          <c:h val="0.76963764946048407"/>
        </c:manualLayout>
      </c:layout>
      <c:lineChart>
        <c:grouping val="standard"/>
        <c:varyColors val="0"/>
        <c:ser>
          <c:idx val="0"/>
          <c:order val="0"/>
          <c:tx>
            <c:strRef>
              <c:f>'YT 커버'!$B$1</c:f>
              <c:strCache>
                <c:ptCount val="1"/>
                <c:pt idx="0">
                  <c:v>구독자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'YT 커버'!$A$2:$A$31</c:f>
              <c:strCach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strCache>
            </c:strRef>
          </c:cat>
          <c:val>
            <c:numRef>
              <c:f>'YT 커버'!$B$2:$B$31</c:f>
              <c:numCache>
                <c:formatCode>#,##0_ </c:formatCode>
                <c:ptCount val="30"/>
                <c:pt idx="0">
                  <c:v>194022</c:v>
                </c:pt>
                <c:pt idx="1">
                  <c:v>194001</c:v>
                </c:pt>
                <c:pt idx="2">
                  <c:v>193964</c:v>
                </c:pt>
                <c:pt idx="3">
                  <c:v>193912</c:v>
                </c:pt>
                <c:pt idx="4">
                  <c:v>193865</c:v>
                </c:pt>
                <c:pt idx="5">
                  <c:v>193823</c:v>
                </c:pt>
                <c:pt idx="6">
                  <c:v>193782</c:v>
                </c:pt>
                <c:pt idx="7">
                  <c:v>193727</c:v>
                </c:pt>
                <c:pt idx="8">
                  <c:v>193702</c:v>
                </c:pt>
                <c:pt idx="9">
                  <c:v>193659</c:v>
                </c:pt>
                <c:pt idx="10">
                  <c:v>193615</c:v>
                </c:pt>
                <c:pt idx="11">
                  <c:v>193572</c:v>
                </c:pt>
                <c:pt idx="12">
                  <c:v>193543</c:v>
                </c:pt>
                <c:pt idx="13">
                  <c:v>193497</c:v>
                </c:pt>
                <c:pt idx="14">
                  <c:v>193442</c:v>
                </c:pt>
                <c:pt idx="15">
                  <c:v>193408</c:v>
                </c:pt>
                <c:pt idx="16">
                  <c:v>193353</c:v>
                </c:pt>
                <c:pt idx="17">
                  <c:v>193319</c:v>
                </c:pt>
                <c:pt idx="18">
                  <c:v>193281</c:v>
                </c:pt>
                <c:pt idx="19">
                  <c:v>193257</c:v>
                </c:pt>
                <c:pt idx="20">
                  <c:v>193223</c:v>
                </c:pt>
                <c:pt idx="21">
                  <c:v>193170</c:v>
                </c:pt>
                <c:pt idx="22">
                  <c:v>193144</c:v>
                </c:pt>
                <c:pt idx="23">
                  <c:v>193100</c:v>
                </c:pt>
                <c:pt idx="24">
                  <c:v>193061</c:v>
                </c:pt>
                <c:pt idx="25">
                  <c:v>193033</c:v>
                </c:pt>
                <c:pt idx="26">
                  <c:v>193002</c:v>
                </c:pt>
                <c:pt idx="27">
                  <c:v>192883</c:v>
                </c:pt>
                <c:pt idx="28">
                  <c:v>192883</c:v>
                </c:pt>
                <c:pt idx="29">
                  <c:v>192883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B9-490C-8925-A1F98357F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0365088"/>
        <c:axId val="-560353664"/>
      </c:lineChart>
      <c:catAx>
        <c:axId val="-560365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3664"/>
        <c:crosses val="autoZero"/>
        <c:auto val="1"/>
        <c:lblAlgn val="ctr"/>
        <c:lblOffset val="100"/>
        <c:noMultiLvlLbl val="0"/>
      </c:catAx>
      <c:valAx>
        <c:axId val="-56035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'채널별 팔로워 추이'!$S$4</c:f>
              <c:strCache>
                <c:ptCount val="1"/>
                <c:pt idx="0">
                  <c:v>유튜브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'채널별 팔로워 추이'!$P$5:$P$16</c:f>
              <c:strCache>
                <c:ptCount val="12"/>
                <c:pt idx="0">
                  <c:v>23년 07월</c:v>
                </c:pt>
                <c:pt idx="1">
                  <c:v>23년 08월</c:v>
                </c:pt>
                <c:pt idx="2">
                  <c:v>23년 09월</c:v>
                </c:pt>
                <c:pt idx="3">
                  <c:v>23년 10월</c:v>
                </c:pt>
                <c:pt idx="4">
                  <c:v>23년 11월</c:v>
                </c:pt>
                <c:pt idx="5">
                  <c:v>23년 12월</c:v>
                </c:pt>
                <c:pt idx="6">
                  <c:v>24년 01월</c:v>
                </c:pt>
                <c:pt idx="7">
                  <c:v>24년 02월</c:v>
                </c:pt>
                <c:pt idx="8">
                  <c:v>24년 03월</c:v>
                </c:pt>
                <c:pt idx="9">
                  <c:v>24년 04월</c:v>
                </c:pt>
                <c:pt idx="10">
                  <c:v>24년 05월</c:v>
                </c:pt>
                <c:pt idx="11">
                  <c:v>24년 06월</c:v>
                </c:pt>
              </c:strCache>
            </c:strRef>
          </c:cat>
          <c:val>
            <c:numRef>
              <c:f>'채널별 팔로워 추이'!$S$5:$S$16</c:f>
              <c:numCache>
                <c:formatCode>#,##0_);[Red]\(#,##0\)</c:formatCode>
                <c:ptCount val="12"/>
                <c:pt idx="0">
                  <c:v>127484</c:v>
                </c:pt>
                <c:pt idx="1">
                  <c:v>170862</c:v>
                </c:pt>
                <c:pt idx="2">
                  <c:v>209685</c:v>
                </c:pt>
                <c:pt idx="3">
                  <c:v>206054</c:v>
                </c:pt>
                <c:pt idx="4">
                  <c:v>204222</c:v>
                </c:pt>
                <c:pt idx="5">
                  <c:v>203190</c:v>
                </c:pt>
                <c:pt idx="6">
                  <c:v>200818</c:v>
                </c:pt>
                <c:pt idx="7">
                  <c:v>198550</c:v>
                </c:pt>
                <c:pt idx="8">
                  <c:v>196824</c:v>
                </c:pt>
                <c:pt idx="9">
                  <c:v>195398</c:v>
                </c:pt>
                <c:pt idx="10">
                  <c:v>194084</c:v>
                </c:pt>
                <c:pt idx="11">
                  <c:v>192883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A4-4A80-A7E2-71AF1ECC3D7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560353120"/>
        <c:axId val="-560364000"/>
      </c:lineChart>
      <c:catAx>
        <c:axId val="-560353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4000"/>
        <c:crosses val="autoZero"/>
        <c:auto val="1"/>
        <c:lblAlgn val="ctr"/>
        <c:lblOffset val="100"/>
        <c:noMultiLvlLbl val="1"/>
      </c:catAx>
      <c:valAx>
        <c:axId val="-560364000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1495425</xdr:colOff>
      <xdr:row>1</xdr:row>
      <xdr:rowOff>57150</xdr:rowOff>
    </xdr:from>
    <xdr:to>
      <xdr:col>0</xdr:col>
      <xdr:colOff>4581525</xdr:colOff>
      <xdr:row>5</xdr:row>
      <xdr:rowOff>114300</xdr:rowOff>
    </xdr:to>
    <xdr:sp macro="[0]!현재_통합_문서.DeleteDataRanges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95425" y="266700"/>
          <a:ext cx="3086100" cy="895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/>
            <a:t>작성 전 실행</a:t>
          </a:r>
          <a:endParaRPr lang="en-US" altLang="ko-KR" sz="2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114300</xdr:colOff>
      <xdr:row>6</xdr:row>
      <xdr:rowOff>68580</xdr:rowOff>
    </xdr:from>
    <xdr:to>
      <xdr:col>13</xdr:col>
      <xdr:colOff>190500</xdr:colOff>
      <xdr:row>13</xdr:row>
      <xdr:rowOff>7620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121920</xdr:colOff>
      <xdr:row>13</xdr:row>
      <xdr:rowOff>125730</xdr:rowOff>
    </xdr:from>
    <xdr:to>
      <xdr:col>13</xdr:col>
      <xdr:colOff>198120</xdr:colOff>
      <xdr:row>20</xdr:row>
      <xdr:rowOff>137160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137160</xdr:colOff>
      <xdr:row>21</xdr:row>
      <xdr:rowOff>72390</xdr:rowOff>
    </xdr:from>
    <xdr:to>
      <xdr:col>13</xdr:col>
      <xdr:colOff>205740</xdr:colOff>
      <xdr:row>28</xdr:row>
      <xdr:rowOff>175260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16</xdr:row>
      <xdr:rowOff>156210</xdr:rowOff>
    </xdr:from>
    <xdr:to>
      <xdr:col>16</xdr:col>
      <xdr:colOff>444500</xdr:colOff>
      <xdr:row>29</xdr:row>
      <xdr:rowOff>26670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31</xdr:row>
      <xdr:rowOff>0</xdr:rowOff>
    </xdr:from>
    <xdr:to>
      <xdr:col>16</xdr:col>
      <xdr:colOff>392700</xdr:colOff>
      <xdr:row>43</xdr:row>
      <xdr:rowOff>87600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D30591A1-3A23-CD75-7F19-0609563DA7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17</xdr:row>
      <xdr:rowOff>156210</xdr:rowOff>
    </xdr:from>
    <xdr:to>
      <xdr:col>14</xdr:col>
      <xdr:colOff>374650</xdr:colOff>
      <xdr:row>30</xdr:row>
      <xdr:rowOff>26670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661987</xdr:colOff>
      <xdr:row>31</xdr:row>
      <xdr:rowOff>200023</xdr:rowOff>
    </xdr:from>
    <xdr:to>
      <xdr:col>14</xdr:col>
      <xdr:colOff>387937</xdr:colOff>
      <xdr:row>44</xdr:row>
      <xdr:rowOff>73311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85902F7C-78E7-21B4-31DB-DF792CA483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137160</xdr:colOff>
      <xdr:row>15</xdr:row>
      <xdr:rowOff>99060</xdr:rowOff>
    </xdr:from>
    <xdr:to>
      <xdr:col>17</xdr:col>
      <xdr:colOff>388620</xdr:colOff>
      <xdr:row>26</xdr:row>
      <xdr:rowOff>7620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106680</xdr:colOff>
      <xdr:row>2</xdr:row>
      <xdr:rowOff>49742</xdr:rowOff>
    </xdr:from>
    <xdr:to>
      <xdr:col>17</xdr:col>
      <xdr:colOff>381000</xdr:colOff>
      <xdr:row>12</xdr:row>
      <xdr:rowOff>114300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>
    <tabColor theme="4" tint="0.79998168889431442"/>
  </sheetPr>
  <dimension ref="A7:B26"/>
  <sheetViews>
    <sheetView topLeftCell="A10" workbookViewId="0">
      <selection activeCell="A22" sqref="A22"/>
    </sheetView>
  </sheetViews>
  <sheetFormatPr defaultRowHeight="16.5"/>
  <cols>
    <col min="1" max="1" width="103.125" customWidth="1"/>
  </cols>
  <sheetData>
    <row r="7" spans="1:1" ht="17.25" thickBot="1"/>
    <row r="8" spans="1:1">
      <c r="A8" s="106" t="s">
        <v>108</v>
      </c>
    </row>
    <row r="9" spans="1:1" ht="17.25" thickBot="1">
      <c r="A9" s="104">
        <v>2024</v>
      </c>
    </row>
    <row r="10" spans="1:1" ht="17.25" thickBot="1">
      <c r="A10" s="89"/>
    </row>
    <row r="11" spans="1:1">
      <c r="A11" s="106" t="s">
        <v>109</v>
      </c>
    </row>
    <row r="12" spans="1:1" ht="17.25" thickBot="1">
      <c r="A12" s="104">
        <v>6</v>
      </c>
    </row>
    <row r="14" spans="1:1" ht="34.5" customHeight="1">
      <c r="A14" s="103" t="s">
        <v>104</v>
      </c>
    </row>
    <row r="15" spans="1:1" ht="27" customHeight="1">
      <c r="A15" s="97" t="s">
        <v>111</v>
      </c>
    </row>
    <row r="16" spans="1:1" ht="27" customHeight="1">
      <c r="A16" s="97" t="s">
        <v>107</v>
      </c>
    </row>
    <row r="17" spans="1:2" ht="27" customHeight="1">
      <c r="A17" s="97" t="str">
        <f>IF(A9&amp;A12=YEAR(일일data!A4)&amp;MONTH(일일data!A4),"3) 일일 data 삽입 완료","3) 일일data 시트 A4에 해당 월 수치 값붙하시오(일일보고서 데이터)")</f>
        <v>3) 일일 data 삽입 완료</v>
      </c>
      <c r="B17" t="b">
        <f>OR(ISNUMBER(SEARCH("완료",A17)),ISNUMBER(SEARCH("완성",A17)))</f>
        <v>1</v>
      </c>
    </row>
    <row r="18" spans="1:2" ht="27" customHeight="1">
      <c r="A18" s="97" t="str">
        <f>IF(ISNUMBER(SEARCH("값붙",'채널별 팔로워 추이'!L5))=TRUE,"4) 채널별 팔로워 추이 시트의 중앙 상단의 표를 왼쪽표 하단에 값붙하시오","4) 채널별 팔로워 추이 시트 완성")</f>
        <v>4) 채널별 팔로워 추이 시트 완성</v>
      </c>
      <c r="B18" t="b">
        <f t="shared" ref="B18:B23" si="0">OR(ISNUMBER(SEARCH("완료",A18)),ISNUMBER(SEARCH("완성",A18)))</f>
        <v>1</v>
      </c>
    </row>
    <row r="19" spans="1:2" ht="27" customHeight="1">
      <c r="A19" s="97" t="str">
        <f>IF('FB 콘텐츠 data'!A2="","5) FB 콘텐츠 data 시트 A1에 로우데이터(목록행 포함) 값붙하시오.","5) FB 콘텐츠 data 삽입 완료, FB 신규발행 시트 완성")</f>
        <v>5) FB 콘텐츠 data 삽입 완료, FB 신규발행 시트 완성</v>
      </c>
      <c r="B19" t="b">
        <f t="shared" si="0"/>
        <v>1</v>
      </c>
    </row>
    <row r="20" spans="1:2" ht="27" customHeight="1">
      <c r="A20" s="97" t="str">
        <f>IF(ISNUMBER(SEARCH("값붙",'FB 커버'!L6))=TRUE,"6) FB 커버 시트의 우측에 있는 표에 신규 좋아요 수치 기입 후 I4:O4의 값을 왼쪽 표 하단에 값붙하시오","6) FB 커버 시트, FB Top3 포스트 시트 완성")</f>
        <v>6) FB 커버 시트, FB Top3 포스트 시트 완성</v>
      </c>
      <c r="B20" t="b">
        <f t="shared" si="0"/>
        <v>1</v>
      </c>
    </row>
    <row r="21" spans="1:2" ht="27" customHeight="1">
      <c r="A21" s="97" t="str">
        <f>IF('IG 콘텐츠 data'!A2="","7) IG 콘텐츠 data 시트 A1에 인스타 로우데이터(목록행 포함) 값붙하시오.","7) IG 콘텐츠 데이터 삽입 완료")</f>
        <v>7) IG 콘텐츠 데이터 삽입 완료</v>
      </c>
      <c r="B21" t="b">
        <f t="shared" si="0"/>
        <v>1</v>
      </c>
    </row>
    <row r="22" spans="1:2" ht="27" customHeight="1">
      <c r="A22" s="97" t="str">
        <f>IF(ISNUMBER(SEARCH("값붙",'IG 커버'!J7))=TRUE,"8) IG 커버 시트 우측 표에 신규 좋아요 수치 기입 후 우측표의 값을 왼쪽 표 하단에 값붙하시오","8) IG 커버 시트 완성")</f>
        <v>8) IG 커버 시트 완성</v>
      </c>
      <c r="B22" t="b">
        <f t="shared" si="0"/>
        <v>1</v>
      </c>
    </row>
    <row r="23" spans="1:2" ht="27" customHeight="1">
      <c r="A23" s="97" t="str">
        <f>IF('IG story data'!A2="","9) IG 스토리 데이터 시트 A1에 스토리 로우데이터(목록행 포함) 값붙하시오","9) IG 스토리 데이터 작성 완료. IG 신규발행 시트 상단에 인사이트 자동 생성 완료")</f>
        <v>9) IG 스토리 데이터 작성 완료. IG 신규발행 시트 상단에 인사이트 자동 생성 완료</v>
      </c>
      <c r="B23" t="b">
        <f t="shared" si="0"/>
        <v>1</v>
      </c>
    </row>
    <row r="24" spans="1:2" ht="27" customHeight="1">
      <c r="A24" s="97" t="str">
        <f>IF(COUNTIF(B:B,TRUE)=7,"10) 모든 장표 완성. 엑셀의 데이터를 ppt로 옮기시오.","10) 우선 1번부터 9번까지의 작업을 완료하시오.")</f>
        <v>10) 모든 장표 완성. 엑셀의 데이터를 ppt로 옮기시오.</v>
      </c>
    </row>
    <row r="25" spans="1:2" ht="16.5" customHeight="1"/>
    <row r="26" spans="1:2" ht="16.5" customHeight="1"/>
  </sheetData>
  <phoneticPr fontId="1" type="noConversion"/>
  <conditionalFormatting sqref="A17:A23">
    <cfRule type="containsText" dxfId="8" priority="4" operator="containsText" text="기입">
      <formula>NOT(ISERROR(SEARCH("기입",A17)))</formula>
    </cfRule>
    <cfRule type="containsText" dxfId="7" priority="5" operator="containsText" text="값붙">
      <formula>NOT(ISERROR(SEARCH("값붙",A17)))</formula>
    </cfRule>
  </conditionalFormatting>
  <conditionalFormatting sqref="A24">
    <cfRule type="containsText" dxfId="6" priority="1" operator="containsText" text="우선">
      <formula>NOT(ISERROR(SEARCH("우선",A24)))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7" tint="0.79998168889431442"/>
  </sheetPr>
  <dimension ref="A1:Z36"/>
  <sheetViews>
    <sheetView workbookViewId="0">
      <selection activeCell="S3" sqref="S3"/>
    </sheetView>
  </sheetViews>
  <sheetFormatPr defaultRowHeight="16.5"/>
  <sheetData>
    <row r="1" spans="1:26">
      <c r="A1" s="186" t="s">
        <v>0</v>
      </c>
      <c r="B1" s="187"/>
      <c r="C1" s="188" t="s">
        <v>1</v>
      </c>
      <c r="D1" s="189"/>
      <c r="E1" s="189"/>
      <c r="F1" s="189"/>
      <c r="G1" s="189"/>
      <c r="H1" s="189"/>
      <c r="I1" s="189"/>
      <c r="J1" s="189"/>
      <c r="K1" s="189"/>
      <c r="L1" s="190"/>
      <c r="M1" s="191" t="s">
        <v>2</v>
      </c>
      <c r="N1" s="192"/>
      <c r="O1" s="192"/>
      <c r="P1" s="192"/>
      <c r="Q1" s="192"/>
      <c r="R1" s="192"/>
      <c r="S1" s="192"/>
      <c r="T1" s="193"/>
      <c r="U1" s="194" t="s">
        <v>3</v>
      </c>
      <c r="V1" s="195"/>
      <c r="W1" s="195"/>
      <c r="X1" s="195"/>
      <c r="Y1" s="196"/>
      <c r="Z1" s="28" t="s">
        <v>4</v>
      </c>
    </row>
    <row r="2" spans="1:26">
      <c r="A2" s="197" t="s">
        <v>118</v>
      </c>
      <c r="B2" s="198"/>
      <c r="C2" s="29" t="s">
        <v>5</v>
      </c>
      <c r="D2" s="199" t="s">
        <v>6</v>
      </c>
      <c r="E2" s="200"/>
      <c r="F2" s="201"/>
      <c r="G2" s="199" t="s">
        <v>7</v>
      </c>
      <c r="H2" s="200"/>
      <c r="I2" s="201"/>
      <c r="J2" s="199" t="s">
        <v>8</v>
      </c>
      <c r="K2" s="200"/>
      <c r="L2" s="201"/>
      <c r="M2" s="202" t="s">
        <v>9</v>
      </c>
      <c r="N2" s="203"/>
      <c r="O2" s="203"/>
      <c r="P2" s="203"/>
      <c r="Q2" s="203"/>
      <c r="R2" s="203"/>
      <c r="S2" s="203"/>
      <c r="T2" s="204"/>
      <c r="U2" s="194" t="s">
        <v>9</v>
      </c>
      <c r="V2" s="195"/>
      <c r="W2" s="195"/>
      <c r="X2" s="195"/>
      <c r="Y2" s="196"/>
      <c r="Z2" s="28" t="s">
        <v>10</v>
      </c>
    </row>
    <row r="3" spans="1:26">
      <c r="A3" s="39" t="s">
        <v>21</v>
      </c>
      <c r="B3" s="39" t="s">
        <v>22</v>
      </c>
      <c r="C3" s="40" t="s">
        <v>23</v>
      </c>
      <c r="D3" s="40" t="s">
        <v>24</v>
      </c>
      <c r="E3" s="40" t="s">
        <v>25</v>
      </c>
      <c r="F3" s="41" t="s">
        <v>26</v>
      </c>
      <c r="G3" s="41" t="s">
        <v>24</v>
      </c>
      <c r="H3" s="41" t="s">
        <v>25</v>
      </c>
      <c r="I3" s="41" t="s">
        <v>26</v>
      </c>
      <c r="J3" s="41" t="s">
        <v>24</v>
      </c>
      <c r="K3" s="41" t="s">
        <v>25</v>
      </c>
      <c r="L3" s="41" t="s">
        <v>26</v>
      </c>
      <c r="M3" s="47" t="s">
        <v>69</v>
      </c>
      <c r="N3" s="47" t="s">
        <v>132</v>
      </c>
      <c r="O3" s="47" t="s">
        <v>133</v>
      </c>
      <c r="P3" s="47" t="s">
        <v>81</v>
      </c>
      <c r="Q3" s="40" t="s">
        <v>27</v>
      </c>
      <c r="R3" s="40" t="s">
        <v>28</v>
      </c>
      <c r="S3" s="40" t="s">
        <v>29</v>
      </c>
      <c r="T3" s="40" t="s">
        <v>30</v>
      </c>
      <c r="U3" s="42" t="s">
        <v>31</v>
      </c>
      <c r="V3" s="42" t="s">
        <v>178</v>
      </c>
      <c r="W3" s="42" t="s">
        <v>179</v>
      </c>
      <c r="X3" s="42" t="s">
        <v>32</v>
      </c>
      <c r="Y3" s="42" t="s">
        <v>33</v>
      </c>
      <c r="Z3" s="42" t="s">
        <v>34</v>
      </c>
    </row>
    <row r="4" spans="1:26">
      <c r="A4" s="1">
        <v>45444</v>
      </c>
      <c r="B4" s="2" t="s">
        <v>204</v>
      </c>
      <c r="C4" s="3">
        <v>836</v>
      </c>
      <c r="D4" s="4">
        <v>322</v>
      </c>
      <c r="E4" s="5">
        <v>293</v>
      </c>
      <c r="F4" s="4">
        <v>615</v>
      </c>
      <c r="G4" s="4">
        <v>278</v>
      </c>
      <c r="H4" s="6">
        <v>271</v>
      </c>
      <c r="I4" s="4">
        <v>549</v>
      </c>
      <c r="J4" s="4">
        <v>445</v>
      </c>
      <c r="K4" s="6">
        <v>389</v>
      </c>
      <c r="L4" s="4">
        <v>834</v>
      </c>
      <c r="M4" s="4">
        <v>323315</v>
      </c>
      <c r="N4" s="4">
        <v>11</v>
      </c>
      <c r="O4" s="4">
        <v>11</v>
      </c>
      <c r="P4" s="4">
        <v>326693</v>
      </c>
      <c r="Q4" s="3"/>
      <c r="R4" s="3"/>
      <c r="S4" s="4">
        <v>33576</v>
      </c>
      <c r="T4" s="4"/>
      <c r="U4" s="4">
        <v>24440</v>
      </c>
      <c r="V4" s="4">
        <v>6</v>
      </c>
      <c r="W4" s="4">
        <v>11</v>
      </c>
      <c r="X4" s="3">
        <v>37992</v>
      </c>
      <c r="Y4" s="3">
        <v>49986</v>
      </c>
      <c r="Z4" s="4">
        <v>194022</v>
      </c>
    </row>
    <row r="5" spans="1:26">
      <c r="A5" s="1">
        <v>45445</v>
      </c>
      <c r="B5" s="2" t="s">
        <v>205</v>
      </c>
      <c r="C5" s="3">
        <v>1056</v>
      </c>
      <c r="D5" s="4">
        <v>407</v>
      </c>
      <c r="E5" s="5">
        <v>309</v>
      </c>
      <c r="F5" s="4">
        <v>716</v>
      </c>
      <c r="G5" s="4">
        <v>317</v>
      </c>
      <c r="H5" s="6">
        <v>266</v>
      </c>
      <c r="I5" s="4">
        <v>583</v>
      </c>
      <c r="J5" s="4">
        <v>572</v>
      </c>
      <c r="K5" s="6">
        <v>384</v>
      </c>
      <c r="L5" s="4">
        <v>956</v>
      </c>
      <c r="M5" s="4">
        <v>323315</v>
      </c>
      <c r="N5" s="4">
        <v>9</v>
      </c>
      <c r="O5" s="4">
        <v>9</v>
      </c>
      <c r="P5" s="4">
        <v>326693</v>
      </c>
      <c r="Q5" s="3"/>
      <c r="R5" s="3"/>
      <c r="S5" s="4">
        <v>30266</v>
      </c>
      <c r="T5" s="4"/>
      <c r="U5" s="4">
        <v>24434</v>
      </c>
      <c r="V5" s="4">
        <v>14</v>
      </c>
      <c r="W5" s="4">
        <v>15</v>
      </c>
      <c r="X5" s="3">
        <v>44974</v>
      </c>
      <c r="Y5" s="3">
        <v>55450</v>
      </c>
      <c r="Z5" s="4">
        <v>194001</v>
      </c>
    </row>
    <row r="6" spans="1:26">
      <c r="A6" s="7">
        <v>45446</v>
      </c>
      <c r="B6" s="2" t="s">
        <v>206</v>
      </c>
      <c r="C6" s="3">
        <v>2403</v>
      </c>
      <c r="D6" s="4">
        <v>1003</v>
      </c>
      <c r="E6" s="5">
        <v>505</v>
      </c>
      <c r="F6" s="4">
        <v>1508</v>
      </c>
      <c r="G6" s="4">
        <v>713</v>
      </c>
      <c r="H6" s="6">
        <v>431</v>
      </c>
      <c r="I6" s="4">
        <v>1144</v>
      </c>
      <c r="J6" s="4">
        <v>1549</v>
      </c>
      <c r="K6" s="6">
        <v>606</v>
      </c>
      <c r="L6" s="4">
        <v>2155</v>
      </c>
      <c r="M6" s="4">
        <v>323307</v>
      </c>
      <c r="N6" s="4">
        <v>11</v>
      </c>
      <c r="O6" s="4">
        <v>7</v>
      </c>
      <c r="P6" s="4">
        <v>326683</v>
      </c>
      <c r="Q6" s="3"/>
      <c r="R6" s="3"/>
      <c r="S6" s="4">
        <v>14973</v>
      </c>
      <c r="T6" s="4"/>
      <c r="U6" s="4">
        <v>24425</v>
      </c>
      <c r="V6" s="4">
        <v>6</v>
      </c>
      <c r="W6" s="4">
        <v>18</v>
      </c>
      <c r="X6" s="3">
        <v>45591</v>
      </c>
      <c r="Y6" s="3">
        <v>56298</v>
      </c>
      <c r="Z6" s="4">
        <v>193964</v>
      </c>
    </row>
    <row r="7" spans="1:26">
      <c r="A7" s="7">
        <v>45447</v>
      </c>
      <c r="B7" s="2" t="s">
        <v>207</v>
      </c>
      <c r="C7" s="3">
        <v>2292</v>
      </c>
      <c r="D7" s="4">
        <v>967</v>
      </c>
      <c r="E7" s="5">
        <v>420</v>
      </c>
      <c r="F7" s="4">
        <v>1387</v>
      </c>
      <c r="G7" s="4">
        <v>743</v>
      </c>
      <c r="H7" s="6">
        <v>383</v>
      </c>
      <c r="I7" s="4">
        <v>1126</v>
      </c>
      <c r="J7" s="4">
        <v>1682</v>
      </c>
      <c r="K7" s="6">
        <v>595</v>
      </c>
      <c r="L7" s="4">
        <v>2277</v>
      </c>
      <c r="M7" s="4">
        <v>323290</v>
      </c>
      <c r="N7" s="4">
        <v>12</v>
      </c>
      <c r="O7" s="4">
        <v>18</v>
      </c>
      <c r="P7" s="4">
        <v>326669</v>
      </c>
      <c r="Q7" s="3"/>
      <c r="R7" s="3"/>
      <c r="S7" s="4">
        <v>10217</v>
      </c>
      <c r="T7" s="4"/>
      <c r="U7" s="4">
        <v>24408</v>
      </c>
      <c r="V7" s="4">
        <v>12</v>
      </c>
      <c r="W7" s="4">
        <v>19</v>
      </c>
      <c r="X7" s="3">
        <v>42360</v>
      </c>
      <c r="Y7" s="3">
        <v>50374</v>
      </c>
      <c r="Z7" s="4">
        <v>193912</v>
      </c>
    </row>
    <row r="8" spans="1:26">
      <c r="A8" s="7">
        <v>45448</v>
      </c>
      <c r="B8" s="2" t="s">
        <v>208</v>
      </c>
      <c r="C8" s="3">
        <v>1912</v>
      </c>
      <c r="D8" s="4">
        <v>934</v>
      </c>
      <c r="E8" s="6">
        <v>409</v>
      </c>
      <c r="F8" s="4">
        <v>1343</v>
      </c>
      <c r="G8" s="4">
        <v>747</v>
      </c>
      <c r="H8" s="6">
        <v>377</v>
      </c>
      <c r="I8" s="4">
        <v>1124</v>
      </c>
      <c r="J8" s="4">
        <v>1401</v>
      </c>
      <c r="K8" s="6">
        <v>550</v>
      </c>
      <c r="L8" s="4">
        <v>1951</v>
      </c>
      <c r="M8" s="4">
        <v>323267</v>
      </c>
      <c r="N8" s="4">
        <v>19</v>
      </c>
      <c r="O8" s="4">
        <v>19</v>
      </c>
      <c r="P8" s="4">
        <v>326649</v>
      </c>
      <c r="Q8" s="3"/>
      <c r="R8" s="3"/>
      <c r="S8" s="4">
        <v>21811</v>
      </c>
      <c r="T8" s="4"/>
      <c r="U8" s="4">
        <v>24383</v>
      </c>
      <c r="V8" s="4">
        <v>4</v>
      </c>
      <c r="W8" s="4">
        <v>25</v>
      </c>
      <c r="X8" s="3">
        <v>32014</v>
      </c>
      <c r="Y8" s="3">
        <v>39628</v>
      </c>
      <c r="Z8" s="4">
        <v>193865</v>
      </c>
    </row>
    <row r="9" spans="1:26">
      <c r="A9" s="7">
        <v>45449</v>
      </c>
      <c r="B9" s="2" t="s">
        <v>202</v>
      </c>
      <c r="C9" s="3">
        <v>1119</v>
      </c>
      <c r="D9" s="4">
        <v>426</v>
      </c>
      <c r="E9" s="6">
        <v>291</v>
      </c>
      <c r="F9" s="4">
        <v>717</v>
      </c>
      <c r="G9" s="4">
        <v>309</v>
      </c>
      <c r="H9" s="6">
        <v>231</v>
      </c>
      <c r="I9" s="4">
        <v>540</v>
      </c>
      <c r="J9" s="4">
        <v>654</v>
      </c>
      <c r="K9" s="6">
        <v>328</v>
      </c>
      <c r="L9" s="4">
        <v>982</v>
      </c>
      <c r="M9" s="4">
        <v>323267</v>
      </c>
      <c r="N9" s="4">
        <v>15</v>
      </c>
      <c r="O9" s="4">
        <v>23</v>
      </c>
      <c r="P9" s="4">
        <v>326649</v>
      </c>
      <c r="Q9" s="3"/>
      <c r="R9" s="3"/>
      <c r="S9" s="4">
        <v>19823</v>
      </c>
      <c r="T9" s="4"/>
      <c r="U9" s="4">
        <v>24383</v>
      </c>
      <c r="V9" s="4">
        <v>10</v>
      </c>
      <c r="W9" s="4">
        <v>15</v>
      </c>
      <c r="X9" s="3">
        <v>21924</v>
      </c>
      <c r="Y9" s="3">
        <v>28965</v>
      </c>
      <c r="Z9" s="4">
        <v>193823</v>
      </c>
    </row>
    <row r="10" spans="1:26">
      <c r="A10" s="7">
        <v>45450</v>
      </c>
      <c r="B10" s="2" t="s">
        <v>203</v>
      </c>
      <c r="C10" s="3">
        <v>1676</v>
      </c>
      <c r="D10" s="4">
        <v>684</v>
      </c>
      <c r="E10" s="6">
        <v>348</v>
      </c>
      <c r="F10" s="4">
        <v>1032</v>
      </c>
      <c r="G10" s="4">
        <v>552</v>
      </c>
      <c r="H10" s="6">
        <v>327</v>
      </c>
      <c r="I10" s="4">
        <v>879</v>
      </c>
      <c r="J10" s="4">
        <v>1243</v>
      </c>
      <c r="K10" s="6">
        <v>451</v>
      </c>
      <c r="L10" s="4">
        <v>1694</v>
      </c>
      <c r="M10" s="4">
        <v>323237</v>
      </c>
      <c r="N10" s="4">
        <v>17</v>
      </c>
      <c r="O10" s="4">
        <v>18</v>
      </c>
      <c r="P10" s="4">
        <v>326628</v>
      </c>
      <c r="Q10" s="3"/>
      <c r="R10" s="3"/>
      <c r="S10" s="4">
        <v>20233</v>
      </c>
      <c r="T10" s="4"/>
      <c r="U10" s="4">
        <v>24353</v>
      </c>
      <c r="V10" s="4">
        <v>2</v>
      </c>
      <c r="W10" s="4">
        <v>19</v>
      </c>
      <c r="X10" s="3">
        <v>16347</v>
      </c>
      <c r="Y10" s="3">
        <v>23060</v>
      </c>
      <c r="Z10" s="4">
        <v>193782</v>
      </c>
    </row>
    <row r="11" spans="1:26">
      <c r="A11" s="1">
        <v>45451</v>
      </c>
      <c r="B11" s="2" t="s">
        <v>204</v>
      </c>
      <c r="C11" s="3">
        <v>986</v>
      </c>
      <c r="D11" s="4">
        <v>362</v>
      </c>
      <c r="E11" s="6">
        <v>275</v>
      </c>
      <c r="F11" s="4">
        <v>637</v>
      </c>
      <c r="G11" s="4">
        <v>304</v>
      </c>
      <c r="H11" s="6">
        <v>257</v>
      </c>
      <c r="I11" s="4">
        <v>561</v>
      </c>
      <c r="J11" s="4">
        <v>645</v>
      </c>
      <c r="K11" s="6">
        <v>337</v>
      </c>
      <c r="L11" s="4">
        <v>982</v>
      </c>
      <c r="M11" s="4">
        <v>323237</v>
      </c>
      <c r="N11" s="4">
        <v>18</v>
      </c>
      <c r="O11" s="4">
        <v>18</v>
      </c>
      <c r="P11" s="4">
        <v>326628</v>
      </c>
      <c r="Q11" s="3"/>
      <c r="R11" s="3"/>
      <c r="S11" s="4">
        <v>18128</v>
      </c>
      <c r="T11" s="4"/>
      <c r="U11" s="4">
        <v>24353</v>
      </c>
      <c r="V11" s="4">
        <v>2</v>
      </c>
      <c r="W11" s="4">
        <v>15</v>
      </c>
      <c r="X11" s="3">
        <v>15247</v>
      </c>
      <c r="Y11" s="3">
        <v>20280</v>
      </c>
      <c r="Z11" s="4">
        <v>193727</v>
      </c>
    </row>
    <row r="12" spans="1:26">
      <c r="A12" s="1">
        <v>45452</v>
      </c>
      <c r="B12" s="2" t="s">
        <v>205</v>
      </c>
      <c r="C12" s="3">
        <v>1176</v>
      </c>
      <c r="D12" s="4">
        <v>408</v>
      </c>
      <c r="E12" s="6">
        <v>330</v>
      </c>
      <c r="F12" s="4">
        <v>738</v>
      </c>
      <c r="G12" s="4">
        <v>303</v>
      </c>
      <c r="H12" s="6">
        <v>261</v>
      </c>
      <c r="I12" s="4">
        <v>564</v>
      </c>
      <c r="J12" s="4">
        <v>646</v>
      </c>
      <c r="K12" s="6">
        <v>399</v>
      </c>
      <c r="L12" s="4">
        <v>1045</v>
      </c>
      <c r="M12" s="4">
        <v>323237</v>
      </c>
      <c r="N12" s="4">
        <v>10</v>
      </c>
      <c r="O12" s="4">
        <v>23</v>
      </c>
      <c r="P12" s="4">
        <v>326628</v>
      </c>
      <c r="Q12" s="3"/>
      <c r="R12" s="3"/>
      <c r="S12" s="4">
        <v>7892</v>
      </c>
      <c r="T12" s="4"/>
      <c r="U12" s="4">
        <v>24353</v>
      </c>
      <c r="V12" s="4">
        <v>5</v>
      </c>
      <c r="W12" s="4">
        <v>11</v>
      </c>
      <c r="X12" s="3">
        <v>11208</v>
      </c>
      <c r="Y12" s="3">
        <v>13295</v>
      </c>
      <c r="Z12" s="4">
        <v>193702</v>
      </c>
    </row>
    <row r="13" spans="1:26">
      <c r="A13" s="7">
        <v>45453</v>
      </c>
      <c r="B13" s="2" t="s">
        <v>206</v>
      </c>
      <c r="C13" s="3">
        <v>2041</v>
      </c>
      <c r="D13" s="4">
        <v>837</v>
      </c>
      <c r="E13" s="6">
        <v>374</v>
      </c>
      <c r="F13" s="4">
        <v>1211</v>
      </c>
      <c r="G13" s="4">
        <v>591</v>
      </c>
      <c r="H13" s="6">
        <v>305</v>
      </c>
      <c r="I13" s="4">
        <v>896</v>
      </c>
      <c r="J13" s="4">
        <v>1311</v>
      </c>
      <c r="K13" s="6">
        <v>494</v>
      </c>
      <c r="L13" s="4">
        <v>1805</v>
      </c>
      <c r="M13" s="4">
        <v>323235</v>
      </c>
      <c r="N13" s="4">
        <v>19</v>
      </c>
      <c r="O13" s="4">
        <v>15</v>
      </c>
      <c r="P13" s="4">
        <v>326630</v>
      </c>
      <c r="Q13" s="3"/>
      <c r="R13" s="3"/>
      <c r="S13" s="4">
        <v>8102</v>
      </c>
      <c r="T13" s="4"/>
      <c r="U13" s="4">
        <v>24342</v>
      </c>
      <c r="V13" s="4">
        <v>5</v>
      </c>
      <c r="W13" s="4">
        <v>13</v>
      </c>
      <c r="X13" s="3">
        <v>6762</v>
      </c>
      <c r="Y13" s="3">
        <v>8764</v>
      </c>
      <c r="Z13" s="4">
        <v>193659</v>
      </c>
    </row>
    <row r="14" spans="1:26">
      <c r="A14" s="7">
        <v>45454</v>
      </c>
      <c r="B14" s="2" t="s">
        <v>207</v>
      </c>
      <c r="C14" s="3">
        <v>1956</v>
      </c>
      <c r="D14" s="4">
        <v>817</v>
      </c>
      <c r="E14" s="6">
        <v>372</v>
      </c>
      <c r="F14" s="4">
        <v>1189</v>
      </c>
      <c r="G14" s="4">
        <v>564</v>
      </c>
      <c r="H14" s="6">
        <v>301</v>
      </c>
      <c r="I14" s="4">
        <v>865</v>
      </c>
      <c r="J14" s="4">
        <v>1283</v>
      </c>
      <c r="K14" s="6">
        <v>442</v>
      </c>
      <c r="L14" s="4">
        <v>1725</v>
      </c>
      <c r="M14" s="4">
        <v>323233</v>
      </c>
      <c r="N14" s="4">
        <v>20</v>
      </c>
      <c r="O14" s="4">
        <v>9</v>
      </c>
      <c r="P14" s="4">
        <v>326630</v>
      </c>
      <c r="Q14" s="3"/>
      <c r="R14" s="3"/>
      <c r="S14" s="4">
        <v>20538</v>
      </c>
      <c r="T14" s="4"/>
      <c r="U14" s="4">
        <v>24336</v>
      </c>
      <c r="V14" s="4">
        <v>9</v>
      </c>
      <c r="W14" s="4">
        <v>9</v>
      </c>
      <c r="X14" s="3">
        <v>10420</v>
      </c>
      <c r="Y14" s="3">
        <v>14614</v>
      </c>
      <c r="Z14" s="4">
        <v>193615</v>
      </c>
    </row>
    <row r="15" spans="1:26">
      <c r="A15" s="7">
        <v>45455</v>
      </c>
      <c r="B15" s="2" t="s">
        <v>208</v>
      </c>
      <c r="C15" s="3">
        <v>2223</v>
      </c>
      <c r="D15" s="4">
        <v>859</v>
      </c>
      <c r="E15" s="6">
        <v>323</v>
      </c>
      <c r="F15" s="4">
        <v>1182</v>
      </c>
      <c r="G15" s="4">
        <v>608</v>
      </c>
      <c r="H15" s="6">
        <v>269</v>
      </c>
      <c r="I15" s="4">
        <v>877</v>
      </c>
      <c r="J15" s="4">
        <v>1256</v>
      </c>
      <c r="K15" s="6">
        <v>385</v>
      </c>
      <c r="L15" s="4">
        <v>1641</v>
      </c>
      <c r="M15" s="4">
        <v>323225</v>
      </c>
      <c r="N15" s="4">
        <v>14</v>
      </c>
      <c r="O15" s="4">
        <v>16</v>
      </c>
      <c r="P15" s="4">
        <v>326623</v>
      </c>
      <c r="Q15" s="3"/>
      <c r="R15" s="3"/>
      <c r="S15" s="4">
        <v>22722</v>
      </c>
      <c r="T15" s="4"/>
      <c r="U15" s="4">
        <v>24335</v>
      </c>
      <c r="V15" s="4">
        <v>7</v>
      </c>
      <c r="W15" s="4">
        <v>13</v>
      </c>
      <c r="X15" s="3">
        <v>13577</v>
      </c>
      <c r="Y15" s="3">
        <v>19400</v>
      </c>
      <c r="Z15" s="4">
        <v>193572</v>
      </c>
    </row>
    <row r="16" spans="1:26">
      <c r="A16" s="7">
        <v>45456</v>
      </c>
      <c r="B16" s="2" t="s">
        <v>202</v>
      </c>
      <c r="C16" s="3">
        <v>1951</v>
      </c>
      <c r="D16" s="4">
        <v>825</v>
      </c>
      <c r="E16" s="6">
        <v>391</v>
      </c>
      <c r="F16" s="4">
        <v>1216</v>
      </c>
      <c r="G16" s="4">
        <v>656</v>
      </c>
      <c r="H16" s="6">
        <v>352</v>
      </c>
      <c r="I16" s="4">
        <v>1008</v>
      </c>
      <c r="J16" s="4">
        <v>1452</v>
      </c>
      <c r="K16" s="6">
        <v>494</v>
      </c>
      <c r="L16" s="4">
        <v>1946</v>
      </c>
      <c r="M16" s="4">
        <v>323220</v>
      </c>
      <c r="N16" s="4">
        <v>13</v>
      </c>
      <c r="O16" s="4">
        <v>11</v>
      </c>
      <c r="P16" s="4">
        <v>326620</v>
      </c>
      <c r="Q16" s="3"/>
      <c r="R16" s="3"/>
      <c r="S16" s="4">
        <v>18910</v>
      </c>
      <c r="T16" s="4"/>
      <c r="U16" s="4">
        <v>24328</v>
      </c>
      <c r="V16" s="4">
        <v>12</v>
      </c>
      <c r="W16" s="4">
        <v>17</v>
      </c>
      <c r="X16" s="3">
        <v>14287</v>
      </c>
      <c r="Y16" s="3">
        <v>19538</v>
      </c>
      <c r="Z16" s="4">
        <v>193543</v>
      </c>
    </row>
    <row r="17" spans="1:26">
      <c r="A17" s="7">
        <v>45457</v>
      </c>
      <c r="B17" s="2" t="s">
        <v>203</v>
      </c>
      <c r="C17" s="3">
        <v>1632</v>
      </c>
      <c r="D17" s="4">
        <v>714</v>
      </c>
      <c r="E17" s="6">
        <v>415</v>
      </c>
      <c r="F17" s="4">
        <v>1129</v>
      </c>
      <c r="G17" s="4">
        <v>565</v>
      </c>
      <c r="H17" s="6">
        <v>372</v>
      </c>
      <c r="I17" s="4">
        <v>937</v>
      </c>
      <c r="J17" s="4">
        <v>1112</v>
      </c>
      <c r="K17" s="6">
        <v>529</v>
      </c>
      <c r="L17" s="4">
        <v>1641</v>
      </c>
      <c r="M17" s="8">
        <v>323196</v>
      </c>
      <c r="N17" s="8">
        <v>15</v>
      </c>
      <c r="O17" s="8">
        <v>10</v>
      </c>
      <c r="P17" s="8">
        <v>326595</v>
      </c>
      <c r="Q17" s="3"/>
      <c r="R17" s="3"/>
      <c r="S17" s="4">
        <v>17139</v>
      </c>
      <c r="T17" s="4"/>
      <c r="U17" s="4">
        <v>24321</v>
      </c>
      <c r="V17" s="4">
        <v>9</v>
      </c>
      <c r="W17" s="4">
        <v>9</v>
      </c>
      <c r="X17" s="3">
        <v>19487</v>
      </c>
      <c r="Y17" s="3">
        <v>24952</v>
      </c>
      <c r="Z17" s="4">
        <v>193497</v>
      </c>
    </row>
    <row r="18" spans="1:26">
      <c r="A18" s="1">
        <v>45458</v>
      </c>
      <c r="B18" s="2" t="s">
        <v>204</v>
      </c>
      <c r="C18" s="3">
        <v>684</v>
      </c>
      <c r="D18" s="4">
        <v>288</v>
      </c>
      <c r="E18" s="6">
        <v>256</v>
      </c>
      <c r="F18" s="4">
        <v>544</v>
      </c>
      <c r="G18" s="4">
        <v>245</v>
      </c>
      <c r="H18" s="6">
        <v>233</v>
      </c>
      <c r="I18" s="4">
        <v>478</v>
      </c>
      <c r="J18" s="4">
        <v>355</v>
      </c>
      <c r="K18" s="6">
        <v>334</v>
      </c>
      <c r="L18" s="4">
        <v>689</v>
      </c>
      <c r="M18" s="8">
        <v>323196</v>
      </c>
      <c r="N18" s="8">
        <v>9</v>
      </c>
      <c r="O18" s="8">
        <v>8</v>
      </c>
      <c r="P18" s="8">
        <v>326595</v>
      </c>
      <c r="Q18" s="3"/>
      <c r="R18" s="3"/>
      <c r="S18" s="4">
        <v>10947</v>
      </c>
      <c r="T18" s="4"/>
      <c r="U18" s="4">
        <v>24321</v>
      </c>
      <c r="V18" s="4">
        <v>6</v>
      </c>
      <c r="W18" s="4">
        <v>9</v>
      </c>
      <c r="X18" s="3">
        <v>21645</v>
      </c>
      <c r="Y18" s="3">
        <v>27612</v>
      </c>
      <c r="Z18" s="4">
        <v>193442</v>
      </c>
    </row>
    <row r="19" spans="1:26">
      <c r="A19" s="1">
        <v>45459</v>
      </c>
      <c r="B19" s="2" t="s">
        <v>205</v>
      </c>
      <c r="C19" s="3">
        <v>853</v>
      </c>
      <c r="D19" s="4">
        <v>344</v>
      </c>
      <c r="E19" s="6">
        <v>256</v>
      </c>
      <c r="F19" s="4">
        <v>600</v>
      </c>
      <c r="G19" s="4">
        <v>272</v>
      </c>
      <c r="H19" s="6">
        <v>218</v>
      </c>
      <c r="I19" s="4">
        <v>490</v>
      </c>
      <c r="J19" s="4">
        <v>461</v>
      </c>
      <c r="K19" s="6">
        <v>292</v>
      </c>
      <c r="L19" s="4">
        <v>753</v>
      </c>
      <c r="M19" s="8">
        <v>323196</v>
      </c>
      <c r="N19" s="8">
        <v>2</v>
      </c>
      <c r="O19" s="8">
        <v>12</v>
      </c>
      <c r="P19" s="8">
        <v>326595</v>
      </c>
      <c r="Q19" s="3"/>
      <c r="R19" s="3"/>
      <c r="S19" s="4">
        <v>5344</v>
      </c>
      <c r="T19" s="4"/>
      <c r="U19" s="4">
        <v>24321</v>
      </c>
      <c r="V19" s="4">
        <v>2</v>
      </c>
      <c r="W19" s="4">
        <v>11</v>
      </c>
      <c r="X19" s="3">
        <v>15592</v>
      </c>
      <c r="Y19" s="3">
        <v>19112</v>
      </c>
      <c r="Z19" s="4">
        <v>193408</v>
      </c>
    </row>
    <row r="20" spans="1:26">
      <c r="A20" s="9">
        <v>45460</v>
      </c>
      <c r="B20" s="2" t="s">
        <v>206</v>
      </c>
      <c r="C20" s="10">
        <v>1894</v>
      </c>
      <c r="D20" s="11">
        <v>759</v>
      </c>
      <c r="E20" s="12">
        <v>317</v>
      </c>
      <c r="F20" s="11">
        <v>1076</v>
      </c>
      <c r="G20" s="11">
        <v>547</v>
      </c>
      <c r="H20" s="12">
        <v>280</v>
      </c>
      <c r="I20" s="11">
        <v>827</v>
      </c>
      <c r="J20" s="11">
        <v>1285</v>
      </c>
      <c r="K20" s="12">
        <v>418</v>
      </c>
      <c r="L20" s="11">
        <v>1703</v>
      </c>
      <c r="M20" s="13">
        <v>323172</v>
      </c>
      <c r="N20" s="13">
        <v>8</v>
      </c>
      <c r="O20" s="13">
        <v>10</v>
      </c>
      <c r="P20" s="13">
        <v>326571</v>
      </c>
      <c r="Q20" s="10"/>
      <c r="R20" s="10"/>
      <c r="S20" s="11">
        <v>3808</v>
      </c>
      <c r="T20" s="11"/>
      <c r="U20" s="11">
        <v>24312</v>
      </c>
      <c r="V20" s="11">
        <v>7</v>
      </c>
      <c r="W20" s="11">
        <v>12</v>
      </c>
      <c r="X20" s="10">
        <v>6573</v>
      </c>
      <c r="Y20" s="10">
        <v>8124</v>
      </c>
      <c r="Z20" s="11">
        <v>193353</v>
      </c>
    </row>
    <row r="21" spans="1:26">
      <c r="A21" s="7">
        <v>45461</v>
      </c>
      <c r="B21" s="2" t="s">
        <v>207</v>
      </c>
      <c r="C21" s="3">
        <v>1702</v>
      </c>
      <c r="D21" s="4">
        <v>714</v>
      </c>
      <c r="E21" s="6">
        <v>320</v>
      </c>
      <c r="F21" s="4">
        <v>1034</v>
      </c>
      <c r="G21" s="4">
        <v>468</v>
      </c>
      <c r="H21" s="6">
        <v>263</v>
      </c>
      <c r="I21" s="4">
        <v>731</v>
      </c>
      <c r="J21" s="4">
        <v>1013</v>
      </c>
      <c r="K21" s="6">
        <v>385</v>
      </c>
      <c r="L21" s="4">
        <v>1398</v>
      </c>
      <c r="M21" s="8">
        <v>323157</v>
      </c>
      <c r="N21" s="8">
        <v>10</v>
      </c>
      <c r="O21" s="8">
        <v>9</v>
      </c>
      <c r="P21" s="8">
        <v>326553</v>
      </c>
      <c r="Q21" s="3"/>
      <c r="R21" s="3"/>
      <c r="S21" s="4">
        <v>4514</v>
      </c>
      <c r="T21" s="4"/>
      <c r="U21" s="4">
        <v>24314</v>
      </c>
      <c r="V21" s="4">
        <v>10</v>
      </c>
      <c r="W21" s="4">
        <v>7</v>
      </c>
      <c r="X21" s="3">
        <v>2270</v>
      </c>
      <c r="Y21" s="3">
        <v>3486</v>
      </c>
      <c r="Z21" s="4">
        <v>193319</v>
      </c>
    </row>
    <row r="22" spans="1:26">
      <c r="A22" s="9">
        <v>45462</v>
      </c>
      <c r="B22" s="14" t="s">
        <v>208</v>
      </c>
      <c r="C22" s="10">
        <v>1619</v>
      </c>
      <c r="D22" s="11">
        <v>757</v>
      </c>
      <c r="E22" s="12">
        <v>300</v>
      </c>
      <c r="F22" s="11">
        <v>1057</v>
      </c>
      <c r="G22" s="11">
        <v>528</v>
      </c>
      <c r="H22" s="12">
        <v>249</v>
      </c>
      <c r="I22" s="11">
        <v>777</v>
      </c>
      <c r="J22" s="11">
        <v>1045</v>
      </c>
      <c r="K22" s="12">
        <v>348</v>
      </c>
      <c r="L22" s="11">
        <v>1393</v>
      </c>
      <c r="M22" s="13">
        <v>323147</v>
      </c>
      <c r="N22" s="13">
        <v>7</v>
      </c>
      <c r="O22" s="13">
        <v>6</v>
      </c>
      <c r="P22" s="13">
        <v>326547</v>
      </c>
      <c r="Q22" s="10"/>
      <c r="R22" s="10"/>
      <c r="S22" s="11">
        <v>5544</v>
      </c>
      <c r="T22" s="11"/>
      <c r="U22" s="11">
        <v>24308</v>
      </c>
      <c r="V22" s="11">
        <v>13</v>
      </c>
      <c r="W22" s="11">
        <v>12</v>
      </c>
      <c r="X22" s="10">
        <v>1753</v>
      </c>
      <c r="Y22" s="10">
        <v>2702</v>
      </c>
      <c r="Z22" s="11">
        <v>193281</v>
      </c>
    </row>
    <row r="23" spans="1:26">
      <c r="A23" s="9">
        <v>45463</v>
      </c>
      <c r="B23" s="14" t="s">
        <v>202</v>
      </c>
      <c r="C23" s="10">
        <v>1914</v>
      </c>
      <c r="D23" s="11">
        <v>785</v>
      </c>
      <c r="E23" s="12">
        <v>378</v>
      </c>
      <c r="F23" s="11">
        <v>1163</v>
      </c>
      <c r="G23" s="11">
        <v>536</v>
      </c>
      <c r="H23" s="12">
        <v>301</v>
      </c>
      <c r="I23" s="11">
        <v>837</v>
      </c>
      <c r="J23" s="11">
        <v>1198</v>
      </c>
      <c r="K23" s="12">
        <v>395</v>
      </c>
      <c r="L23" s="11">
        <v>1593</v>
      </c>
      <c r="M23" s="13">
        <v>323153</v>
      </c>
      <c r="N23" s="13">
        <v>17</v>
      </c>
      <c r="O23" s="13">
        <v>7</v>
      </c>
      <c r="P23" s="13">
        <v>326550</v>
      </c>
      <c r="Q23" s="10"/>
      <c r="R23" s="10"/>
      <c r="S23" s="11">
        <v>26100</v>
      </c>
      <c r="T23" s="11"/>
      <c r="U23" s="11">
        <v>24320</v>
      </c>
      <c r="V23" s="11">
        <v>14</v>
      </c>
      <c r="W23" s="11">
        <v>18</v>
      </c>
      <c r="X23" s="10">
        <v>5435</v>
      </c>
      <c r="Y23" s="10">
        <v>9288</v>
      </c>
      <c r="Z23" s="11">
        <v>193257</v>
      </c>
    </row>
    <row r="24" spans="1:26">
      <c r="A24" s="9">
        <v>45464</v>
      </c>
      <c r="B24" s="14" t="s">
        <v>203</v>
      </c>
      <c r="C24" s="10">
        <v>1708</v>
      </c>
      <c r="D24" s="11">
        <v>695</v>
      </c>
      <c r="E24" s="12">
        <v>452</v>
      </c>
      <c r="F24" s="11">
        <v>1147</v>
      </c>
      <c r="G24" s="11">
        <v>549</v>
      </c>
      <c r="H24" s="12">
        <v>409</v>
      </c>
      <c r="I24" s="11">
        <v>958</v>
      </c>
      <c r="J24" s="11">
        <v>1162</v>
      </c>
      <c r="K24" s="12">
        <v>571</v>
      </c>
      <c r="L24" s="11">
        <v>1733</v>
      </c>
      <c r="M24" s="11">
        <v>323188</v>
      </c>
      <c r="N24" s="11">
        <v>38</v>
      </c>
      <c r="O24" s="11">
        <v>12</v>
      </c>
      <c r="P24" s="11">
        <v>326583</v>
      </c>
      <c r="Q24" s="12"/>
      <c r="R24" s="11"/>
      <c r="S24" s="11">
        <v>49772</v>
      </c>
      <c r="T24" s="12"/>
      <c r="U24" s="11">
        <v>24355</v>
      </c>
      <c r="V24" s="13">
        <v>31</v>
      </c>
      <c r="W24" s="13">
        <v>11</v>
      </c>
      <c r="X24" s="13">
        <v>12578</v>
      </c>
      <c r="Y24" s="10">
        <v>22825</v>
      </c>
      <c r="Z24" s="10">
        <v>193223</v>
      </c>
    </row>
    <row r="25" spans="1:26">
      <c r="A25" s="15">
        <v>45465</v>
      </c>
      <c r="B25" s="14" t="s">
        <v>204</v>
      </c>
      <c r="C25" s="10">
        <v>923</v>
      </c>
      <c r="D25" s="11">
        <v>466</v>
      </c>
      <c r="E25" s="12">
        <v>278</v>
      </c>
      <c r="F25" s="11">
        <v>744</v>
      </c>
      <c r="G25" s="11">
        <v>430</v>
      </c>
      <c r="H25" s="12">
        <v>242</v>
      </c>
      <c r="I25" s="11">
        <v>672</v>
      </c>
      <c r="J25" s="11">
        <v>588</v>
      </c>
      <c r="K25" s="12">
        <v>342</v>
      </c>
      <c r="L25" s="11">
        <v>930</v>
      </c>
      <c r="M25" s="11">
        <v>323188</v>
      </c>
      <c r="N25" s="11">
        <v>36</v>
      </c>
      <c r="O25" s="11">
        <v>15</v>
      </c>
      <c r="P25" s="11">
        <v>326583</v>
      </c>
      <c r="Q25" s="12"/>
      <c r="R25" s="11"/>
      <c r="S25" s="11">
        <v>48421</v>
      </c>
      <c r="T25" s="12"/>
      <c r="U25" s="11">
        <v>24355</v>
      </c>
      <c r="V25" s="13">
        <v>17</v>
      </c>
      <c r="W25" s="13">
        <v>10</v>
      </c>
      <c r="X25" s="13">
        <v>21035</v>
      </c>
      <c r="Y25" s="10">
        <v>35989</v>
      </c>
      <c r="Z25" s="10">
        <v>193170</v>
      </c>
    </row>
    <row r="26" spans="1:26">
      <c r="A26" s="15">
        <v>45466</v>
      </c>
      <c r="B26" s="14" t="s">
        <v>205</v>
      </c>
      <c r="C26" s="10">
        <v>1005</v>
      </c>
      <c r="D26" s="11">
        <v>441</v>
      </c>
      <c r="E26" s="12">
        <v>311</v>
      </c>
      <c r="F26" s="11">
        <v>752</v>
      </c>
      <c r="G26" s="11">
        <v>376</v>
      </c>
      <c r="H26" s="12">
        <v>241</v>
      </c>
      <c r="I26" s="11">
        <v>617</v>
      </c>
      <c r="J26" s="11">
        <v>476</v>
      </c>
      <c r="K26" s="12">
        <v>408</v>
      </c>
      <c r="L26" s="11">
        <v>884</v>
      </c>
      <c r="M26" s="11">
        <v>323188</v>
      </c>
      <c r="N26" s="11">
        <v>25</v>
      </c>
      <c r="O26" s="11">
        <v>10</v>
      </c>
      <c r="P26" s="11">
        <v>326583</v>
      </c>
      <c r="Q26" s="12"/>
      <c r="R26" s="11"/>
      <c r="S26" s="11">
        <v>51380</v>
      </c>
      <c r="T26" s="12"/>
      <c r="U26" s="11">
        <v>24355</v>
      </c>
      <c r="V26" s="13">
        <v>22</v>
      </c>
      <c r="W26" s="13">
        <v>6</v>
      </c>
      <c r="X26" s="13">
        <v>24572</v>
      </c>
      <c r="Y26" s="10">
        <v>39193</v>
      </c>
      <c r="Z26" s="10">
        <v>193144</v>
      </c>
    </row>
    <row r="27" spans="1:26">
      <c r="A27" s="9">
        <v>45467</v>
      </c>
      <c r="B27" s="14" t="s">
        <v>206</v>
      </c>
      <c r="C27" s="10">
        <v>1987</v>
      </c>
      <c r="D27" s="11">
        <v>738</v>
      </c>
      <c r="E27" s="12">
        <v>479</v>
      </c>
      <c r="F27" s="11">
        <v>1217</v>
      </c>
      <c r="G27" s="11">
        <v>511</v>
      </c>
      <c r="H27" s="12">
        <v>401</v>
      </c>
      <c r="I27" s="11">
        <v>912</v>
      </c>
      <c r="J27" s="11">
        <v>1232</v>
      </c>
      <c r="K27" s="12">
        <v>518</v>
      </c>
      <c r="L27" s="11">
        <v>1750</v>
      </c>
      <c r="M27" s="11">
        <v>323176</v>
      </c>
      <c r="N27" s="11">
        <v>10</v>
      </c>
      <c r="O27" s="11">
        <v>7</v>
      </c>
      <c r="P27" s="11">
        <v>326566</v>
      </c>
      <c r="Q27" s="12"/>
      <c r="R27" s="11"/>
      <c r="S27" s="11">
        <v>23302</v>
      </c>
      <c r="T27" s="12"/>
      <c r="U27" s="11">
        <v>24354</v>
      </c>
      <c r="V27" s="13">
        <v>9</v>
      </c>
      <c r="W27" s="13">
        <v>10</v>
      </c>
      <c r="X27" s="13">
        <v>14141</v>
      </c>
      <c r="Y27" s="10">
        <v>21341</v>
      </c>
      <c r="Z27" s="10">
        <v>193100</v>
      </c>
    </row>
    <row r="28" spans="1:26">
      <c r="A28" s="9">
        <v>45468</v>
      </c>
      <c r="B28" s="14" t="s">
        <v>207</v>
      </c>
      <c r="C28" s="10">
        <v>1781</v>
      </c>
      <c r="D28" s="11">
        <v>673</v>
      </c>
      <c r="E28" s="12">
        <v>440</v>
      </c>
      <c r="F28" s="11">
        <v>1113</v>
      </c>
      <c r="G28" s="11">
        <v>454</v>
      </c>
      <c r="H28" s="12">
        <v>369</v>
      </c>
      <c r="I28" s="11">
        <v>823</v>
      </c>
      <c r="J28" s="11">
        <v>1012</v>
      </c>
      <c r="K28" s="12">
        <v>485</v>
      </c>
      <c r="L28" s="11">
        <v>1497</v>
      </c>
      <c r="M28" s="11">
        <v>323165</v>
      </c>
      <c r="N28" s="11">
        <v>15</v>
      </c>
      <c r="O28" s="11">
        <v>10</v>
      </c>
      <c r="P28" s="11">
        <v>326553</v>
      </c>
      <c r="Q28" s="12"/>
      <c r="R28" s="11"/>
      <c r="S28" s="11">
        <v>6682</v>
      </c>
      <c r="T28" s="12"/>
      <c r="U28" s="11">
        <v>24350</v>
      </c>
      <c r="V28" s="13">
        <v>8</v>
      </c>
      <c r="W28" s="13">
        <v>10</v>
      </c>
      <c r="X28" s="13">
        <v>3549</v>
      </c>
      <c r="Y28" s="10">
        <v>5314</v>
      </c>
      <c r="Z28" s="10">
        <v>193061</v>
      </c>
    </row>
    <row r="29" spans="1:26">
      <c r="A29" s="9">
        <v>45469</v>
      </c>
      <c r="B29" s="14" t="s">
        <v>208</v>
      </c>
      <c r="C29" s="10">
        <v>1709</v>
      </c>
      <c r="D29" s="11">
        <v>667</v>
      </c>
      <c r="E29" s="12">
        <v>282</v>
      </c>
      <c r="F29" s="11">
        <v>949</v>
      </c>
      <c r="G29" s="11">
        <v>434</v>
      </c>
      <c r="H29" s="12">
        <v>213</v>
      </c>
      <c r="I29" s="11">
        <v>647</v>
      </c>
      <c r="J29" s="11">
        <v>1117</v>
      </c>
      <c r="K29" s="12">
        <v>308</v>
      </c>
      <c r="L29" s="11">
        <v>1425</v>
      </c>
      <c r="M29" s="11">
        <v>323154</v>
      </c>
      <c r="N29" s="11">
        <v>11</v>
      </c>
      <c r="O29" s="11">
        <v>13</v>
      </c>
      <c r="P29" s="11">
        <v>326542</v>
      </c>
      <c r="Q29" s="12"/>
      <c r="R29" s="11"/>
      <c r="S29" s="11">
        <v>7804</v>
      </c>
      <c r="T29" s="12"/>
      <c r="U29" s="11">
        <v>24345</v>
      </c>
      <c r="V29" s="13">
        <v>2</v>
      </c>
      <c r="W29" s="13">
        <v>6</v>
      </c>
      <c r="X29" s="13">
        <v>2772</v>
      </c>
      <c r="Y29" s="10">
        <v>3853</v>
      </c>
      <c r="Z29" s="10">
        <v>193033</v>
      </c>
    </row>
    <row r="30" spans="1:26">
      <c r="A30" s="9">
        <v>45470</v>
      </c>
      <c r="B30" s="14" t="s">
        <v>202</v>
      </c>
      <c r="C30" s="10">
        <v>1755</v>
      </c>
      <c r="D30" s="11">
        <v>707</v>
      </c>
      <c r="E30" s="12">
        <v>315</v>
      </c>
      <c r="F30" s="11">
        <v>1022</v>
      </c>
      <c r="G30" s="11">
        <v>467</v>
      </c>
      <c r="H30" s="12">
        <v>243</v>
      </c>
      <c r="I30" s="11">
        <v>710</v>
      </c>
      <c r="J30" s="11">
        <v>1102</v>
      </c>
      <c r="K30" s="12">
        <v>342</v>
      </c>
      <c r="L30" s="11">
        <v>1444</v>
      </c>
      <c r="M30" s="11">
        <v>323143</v>
      </c>
      <c r="N30" s="11">
        <v>8</v>
      </c>
      <c r="O30" s="11">
        <v>21</v>
      </c>
      <c r="P30" s="11">
        <v>326526</v>
      </c>
      <c r="Q30" s="12"/>
      <c r="R30" s="11"/>
      <c r="S30" s="11">
        <v>13676</v>
      </c>
      <c r="T30" s="12"/>
      <c r="U30" s="11">
        <v>24358</v>
      </c>
      <c r="V30" s="13">
        <v>18</v>
      </c>
      <c r="W30" s="13">
        <v>16</v>
      </c>
      <c r="X30" s="13">
        <v>3455</v>
      </c>
      <c r="Y30" s="10">
        <v>4577</v>
      </c>
      <c r="Z30" s="10">
        <v>193002</v>
      </c>
    </row>
    <row r="31" spans="1:26">
      <c r="A31" s="16">
        <v>45471</v>
      </c>
      <c r="B31" s="17" t="s">
        <v>203</v>
      </c>
      <c r="C31" s="18">
        <v>1537</v>
      </c>
      <c r="D31" s="18">
        <v>643</v>
      </c>
      <c r="E31" s="19">
        <v>419</v>
      </c>
      <c r="F31" s="20">
        <v>1062</v>
      </c>
      <c r="G31" s="19">
        <v>507</v>
      </c>
      <c r="H31" s="20">
        <v>364</v>
      </c>
      <c r="I31" s="19">
        <v>871</v>
      </c>
      <c r="J31" s="19">
        <v>1023</v>
      </c>
      <c r="K31" s="20">
        <v>551</v>
      </c>
      <c r="L31" s="19">
        <v>1574</v>
      </c>
      <c r="M31" s="19">
        <v>323112</v>
      </c>
      <c r="N31" s="24">
        <v>18</v>
      </c>
      <c r="O31" s="24">
        <v>24</v>
      </c>
      <c r="P31" s="24">
        <v>326500</v>
      </c>
      <c r="Q31" s="21"/>
      <c r="R31" s="22"/>
      <c r="S31" s="22">
        <v>16793</v>
      </c>
      <c r="T31" s="23"/>
      <c r="U31" s="22">
        <v>24386</v>
      </c>
      <c r="V31" s="24">
        <v>25</v>
      </c>
      <c r="W31" s="24">
        <v>14</v>
      </c>
      <c r="X31" s="24">
        <v>4391</v>
      </c>
      <c r="Y31" s="25">
        <v>6128</v>
      </c>
      <c r="Z31" s="25">
        <v>192883</v>
      </c>
    </row>
    <row r="32" spans="1:26">
      <c r="A32" s="26">
        <v>45472</v>
      </c>
      <c r="B32" s="17" t="s">
        <v>204</v>
      </c>
      <c r="C32" s="18">
        <v>694</v>
      </c>
      <c r="D32" s="19">
        <v>327</v>
      </c>
      <c r="E32" s="20">
        <v>245</v>
      </c>
      <c r="F32" s="19">
        <v>572</v>
      </c>
      <c r="G32" s="19">
        <v>293</v>
      </c>
      <c r="H32" s="20">
        <v>209</v>
      </c>
      <c r="I32" s="19">
        <v>502</v>
      </c>
      <c r="J32" s="19">
        <v>411</v>
      </c>
      <c r="K32" s="20">
        <v>303</v>
      </c>
      <c r="L32" s="19">
        <v>714</v>
      </c>
      <c r="M32" s="19">
        <v>323112</v>
      </c>
      <c r="N32" s="24">
        <v>12</v>
      </c>
      <c r="O32" s="24">
        <v>8</v>
      </c>
      <c r="P32" s="24">
        <v>326500</v>
      </c>
      <c r="Q32" s="21"/>
      <c r="R32" s="22"/>
      <c r="S32" s="22">
        <v>16594</v>
      </c>
      <c r="T32" s="27"/>
      <c r="U32" s="22">
        <v>24386</v>
      </c>
      <c r="V32" s="24">
        <v>22</v>
      </c>
      <c r="W32" s="24">
        <v>9</v>
      </c>
      <c r="X32" s="24">
        <v>4775</v>
      </c>
      <c r="Y32" s="25">
        <v>6290</v>
      </c>
      <c r="Z32" s="25">
        <v>192883</v>
      </c>
    </row>
    <row r="33" spans="1:26">
      <c r="A33" s="26">
        <v>45473</v>
      </c>
      <c r="B33" s="17" t="s">
        <v>205</v>
      </c>
      <c r="C33" s="18">
        <v>780</v>
      </c>
      <c r="D33" s="19">
        <v>311</v>
      </c>
      <c r="E33" s="20">
        <v>272</v>
      </c>
      <c r="F33" s="19">
        <v>583</v>
      </c>
      <c r="G33" s="19">
        <v>245</v>
      </c>
      <c r="H33" s="20">
        <v>194</v>
      </c>
      <c r="I33" s="19">
        <v>439</v>
      </c>
      <c r="J33" s="19">
        <v>335</v>
      </c>
      <c r="K33" s="20">
        <v>332</v>
      </c>
      <c r="L33" s="19">
        <v>667</v>
      </c>
      <c r="M33" s="19">
        <v>323112</v>
      </c>
      <c r="N33" s="24">
        <v>1</v>
      </c>
      <c r="O33" s="24">
        <v>6</v>
      </c>
      <c r="P33" s="24">
        <v>326500</v>
      </c>
      <c r="Q33" s="21"/>
      <c r="R33" s="22"/>
      <c r="S33" s="19">
        <v>15031</v>
      </c>
      <c r="T33" s="27"/>
      <c r="U33" s="19">
        <v>24386</v>
      </c>
      <c r="V33" s="19">
        <v>28</v>
      </c>
      <c r="W33" s="19">
        <v>9</v>
      </c>
      <c r="X33" s="19">
        <v>6014</v>
      </c>
      <c r="Y33" s="18">
        <v>7318</v>
      </c>
      <c r="Z33" s="18">
        <v>192883</v>
      </c>
    </row>
    <row r="34" spans="1:26">
      <c r="A34" s="30"/>
      <c r="B34" s="31"/>
      <c r="C34" s="32"/>
      <c r="D34" s="33"/>
      <c r="E34" s="34"/>
      <c r="F34" s="33"/>
      <c r="G34" s="33"/>
      <c r="H34" s="34"/>
      <c r="I34" s="33"/>
      <c r="J34" s="33"/>
      <c r="K34" s="34"/>
      <c r="L34" s="33"/>
      <c r="M34" s="108"/>
      <c r="N34" s="110"/>
      <c r="O34" s="110"/>
      <c r="P34" s="110"/>
      <c r="Q34" s="35"/>
      <c r="R34" s="36"/>
      <c r="S34" s="33"/>
      <c r="T34" s="37"/>
      <c r="U34" s="108"/>
      <c r="V34" s="108"/>
      <c r="W34" s="108"/>
      <c r="X34" s="33"/>
      <c r="Y34" s="32"/>
      <c r="Z34" s="109"/>
    </row>
    <row r="36" spans="1:26">
      <c r="M36" s="45"/>
      <c r="N36" s="45"/>
      <c r="O36" s="45"/>
      <c r="P36" s="45"/>
      <c r="Q36" s="45"/>
      <c r="R36" s="45"/>
    </row>
  </sheetData>
  <mergeCells count="10">
    <mergeCell ref="A1:B1"/>
    <mergeCell ref="C1:L1"/>
    <mergeCell ref="M1:T1"/>
    <mergeCell ref="U1:Y1"/>
    <mergeCell ref="A2:B2"/>
    <mergeCell ref="D2:F2"/>
    <mergeCell ref="G2:I2"/>
    <mergeCell ref="J2:L2"/>
    <mergeCell ref="M2:T2"/>
    <mergeCell ref="U2:Y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9" tint="0.79998168889431442"/>
  </sheetPr>
  <dimension ref="A1:U71"/>
  <sheetViews>
    <sheetView topLeftCell="G1" workbookViewId="0">
      <selection activeCell="W15" sqref="W15"/>
    </sheetView>
  </sheetViews>
  <sheetFormatPr defaultColWidth="8.75" defaultRowHeight="16.5"/>
  <cols>
    <col min="1" max="1" width="10.875" style="63" bestFit="1" customWidth="1"/>
    <col min="2" max="6" width="8.75" style="63"/>
    <col min="7" max="7" width="9.625" style="63" bestFit="1" customWidth="1"/>
    <col min="8" max="8" width="8.75" style="63" customWidth="1"/>
    <col min="9" max="11" width="8.75" style="63"/>
    <col min="12" max="12" width="54.75" style="63" customWidth="1"/>
    <col min="13" max="15" width="8.75" style="63"/>
    <col min="16" max="16" width="13.25" style="63" customWidth="1"/>
    <col min="17" max="16384" width="8.75" style="63"/>
  </cols>
  <sheetData>
    <row r="1" spans="1:21">
      <c r="A1" s="75" t="s">
        <v>11</v>
      </c>
      <c r="B1" s="75" t="s">
        <v>12</v>
      </c>
      <c r="C1" s="75" t="s">
        <v>13</v>
      </c>
      <c r="D1" s="75" t="s">
        <v>14</v>
      </c>
    </row>
    <row r="2" spans="1:21">
      <c r="A2" s="76">
        <v>44774</v>
      </c>
      <c r="B2" s="64">
        <v>302081</v>
      </c>
      <c r="C2" s="64">
        <v>200</v>
      </c>
      <c r="D2" s="64">
        <v>112109</v>
      </c>
      <c r="U2" s="118" t="s">
        <v>125</v>
      </c>
    </row>
    <row r="3" spans="1:21">
      <c r="A3" s="76">
        <v>44805</v>
      </c>
      <c r="B3" s="64">
        <v>302399</v>
      </c>
      <c r="C3" s="64">
        <v>277</v>
      </c>
      <c r="D3" s="64">
        <v>113029</v>
      </c>
      <c r="P3" s="205" t="s">
        <v>68</v>
      </c>
      <c r="Q3" s="206"/>
      <c r="R3" s="206"/>
      <c r="S3" s="206"/>
      <c r="U3" s="111"/>
    </row>
    <row r="4" spans="1:21">
      <c r="A4" s="76">
        <v>44835</v>
      </c>
      <c r="B4" s="64">
        <v>302055</v>
      </c>
      <c r="C4" s="64">
        <v>350</v>
      </c>
      <c r="D4" s="64">
        <v>111757</v>
      </c>
      <c r="G4" s="80" t="s">
        <v>11</v>
      </c>
      <c r="H4" s="80" t="s">
        <v>12</v>
      </c>
      <c r="I4" s="80" t="s">
        <v>13</v>
      </c>
      <c r="J4" s="80" t="s">
        <v>14</v>
      </c>
      <c r="L4" s="80" t="s">
        <v>15</v>
      </c>
      <c r="P4" s="75" t="s">
        <v>11</v>
      </c>
      <c r="Q4" s="75" t="s">
        <v>12</v>
      </c>
      <c r="R4" s="75" t="s">
        <v>13</v>
      </c>
      <c r="S4" s="75" t="s">
        <v>14</v>
      </c>
      <c r="U4" s="111"/>
    </row>
    <row r="5" spans="1:21">
      <c r="A5" s="76">
        <v>44866</v>
      </c>
      <c r="B5" s="64">
        <v>302185</v>
      </c>
      <c r="C5" s="64">
        <v>389</v>
      </c>
      <c r="D5" s="64">
        <v>110552</v>
      </c>
      <c r="G5" s="81">
        <f>일일data!$A$4</f>
        <v>45444</v>
      </c>
      <c r="H5" s="82">
        <f>VLOOKUP(EOMONTH(일일data!$A$4,0),일일data!$A:$Z,13,FALSE)</f>
        <v>323112</v>
      </c>
      <c r="I5" s="82">
        <f>VLOOKUP(EOMONTH(일일data!$A$4,0),일일data!$A:$Z,21,FALSE)</f>
        <v>24386</v>
      </c>
      <c r="J5" s="82">
        <f>VLOOKUP(EOMONTH(일일data!$A$4,0),일일data!$A:$Z,26,FALSE)</f>
        <v>192883</v>
      </c>
      <c r="L5" s="83" t="str">
        <f>IF(INDEX(A:A,COUNTA(A:A))=G5,"해당 장표 데이터 입력 완료. 아래 3개의 표를 PPT에 복붙하시오.","왼쪽의 G5:J5를 왼쪽 노란표 맨 아래에 값붙하세요")</f>
        <v>해당 장표 데이터 입력 완료. 아래 3개의 표를 PPT에 복붙하시오.</v>
      </c>
      <c r="O5" s="63">
        <v>11</v>
      </c>
      <c r="P5" s="77">
        <f t="shared" ref="P5:P16" si="0">INDEX(A:A,COUNTA(A:A)-$O5)</f>
        <v>45108</v>
      </c>
      <c r="Q5" s="78">
        <f t="shared" ref="Q5:Q16" si="1">INDEX(B:B,COUNTA(B:B)-$O5)</f>
        <v>329242</v>
      </c>
      <c r="R5" s="78">
        <f t="shared" ref="R5:R16" si="2">INDEX(C:C,COUNTA(C:C)-$O5)</f>
        <v>24784</v>
      </c>
      <c r="S5" s="78">
        <f t="shared" ref="S5:S16" si="3">INDEX(D:D,COUNTA(D:D)-$O5)</f>
        <v>127484</v>
      </c>
      <c r="U5" s="111"/>
    </row>
    <row r="6" spans="1:21">
      <c r="A6" s="76">
        <v>44896</v>
      </c>
      <c r="B6" s="64">
        <v>302872</v>
      </c>
      <c r="C6" s="64">
        <v>9097</v>
      </c>
      <c r="D6" s="64">
        <v>109424</v>
      </c>
      <c r="O6" s="63">
        <v>10</v>
      </c>
      <c r="P6" s="77">
        <f t="shared" si="0"/>
        <v>45139</v>
      </c>
      <c r="Q6" s="78">
        <f t="shared" si="1"/>
        <v>328540</v>
      </c>
      <c r="R6" s="78">
        <f t="shared" si="2"/>
        <v>24120</v>
      </c>
      <c r="S6" s="78">
        <f t="shared" si="3"/>
        <v>170862</v>
      </c>
      <c r="U6" s="111"/>
    </row>
    <row r="7" spans="1:21">
      <c r="A7" s="76">
        <v>44927</v>
      </c>
      <c r="B7" s="64">
        <v>303610</v>
      </c>
      <c r="C7" s="64">
        <v>17086</v>
      </c>
      <c r="D7" s="64">
        <v>108358</v>
      </c>
      <c r="O7" s="63">
        <v>9</v>
      </c>
      <c r="P7" s="77" t="str">
        <f t="shared" si="0"/>
        <v>23년 09월</v>
      </c>
      <c r="Q7" s="78">
        <f t="shared" si="1"/>
        <v>327807</v>
      </c>
      <c r="R7" s="78">
        <f t="shared" si="2"/>
        <v>24351</v>
      </c>
      <c r="S7" s="78">
        <f t="shared" si="3"/>
        <v>209685</v>
      </c>
      <c r="U7" s="111"/>
    </row>
    <row r="8" spans="1:21">
      <c r="A8" s="76">
        <v>44958</v>
      </c>
      <c r="B8" s="64">
        <v>303181</v>
      </c>
      <c r="C8" s="64">
        <v>24153</v>
      </c>
      <c r="D8" s="64">
        <v>107456</v>
      </c>
      <c r="O8" s="63">
        <v>8</v>
      </c>
      <c r="P8" s="77" t="str">
        <f t="shared" si="0"/>
        <v>23년 10월</v>
      </c>
      <c r="Q8" s="78">
        <f t="shared" si="1"/>
        <v>327316</v>
      </c>
      <c r="R8" s="78">
        <f t="shared" si="2"/>
        <v>24169</v>
      </c>
      <c r="S8" s="78">
        <f t="shared" si="3"/>
        <v>206054</v>
      </c>
      <c r="U8" s="111"/>
    </row>
    <row r="9" spans="1:21">
      <c r="A9" s="76">
        <v>44986</v>
      </c>
      <c r="B9" s="64">
        <v>302974</v>
      </c>
      <c r="C9" s="64">
        <v>22251</v>
      </c>
      <c r="D9" s="64">
        <v>106551</v>
      </c>
      <c r="O9" s="63">
        <v>7</v>
      </c>
      <c r="P9" s="77">
        <f t="shared" si="0"/>
        <v>45231</v>
      </c>
      <c r="Q9" s="78">
        <f t="shared" si="1"/>
        <v>326663</v>
      </c>
      <c r="R9" s="78">
        <f t="shared" si="2"/>
        <v>24349</v>
      </c>
      <c r="S9" s="78">
        <f t="shared" si="3"/>
        <v>204222</v>
      </c>
      <c r="U9" s="111"/>
    </row>
    <row r="10" spans="1:21">
      <c r="A10" s="76">
        <v>45017</v>
      </c>
      <c r="B10" s="64">
        <v>303115</v>
      </c>
      <c r="C10" s="64">
        <v>20996</v>
      </c>
      <c r="D10" s="64">
        <v>105782</v>
      </c>
      <c r="O10" s="63">
        <v>6</v>
      </c>
      <c r="P10" s="77">
        <f t="shared" si="0"/>
        <v>45261</v>
      </c>
      <c r="Q10" s="78">
        <f t="shared" si="1"/>
        <v>325870</v>
      </c>
      <c r="R10" s="78">
        <f t="shared" si="2"/>
        <v>24077</v>
      </c>
      <c r="S10" s="78">
        <f t="shared" si="3"/>
        <v>203190</v>
      </c>
      <c r="U10" s="111"/>
    </row>
    <row r="11" spans="1:21">
      <c r="A11" s="76">
        <v>45047</v>
      </c>
      <c r="B11" s="64">
        <v>306251</v>
      </c>
      <c r="C11" s="64">
        <v>26881</v>
      </c>
      <c r="D11" s="64">
        <v>105135</v>
      </c>
      <c r="O11" s="63">
        <v>5</v>
      </c>
      <c r="P11" s="77">
        <f t="shared" si="0"/>
        <v>45292</v>
      </c>
      <c r="Q11" s="78">
        <f t="shared" si="1"/>
        <v>325213</v>
      </c>
      <c r="R11" s="78">
        <f t="shared" si="2"/>
        <v>23803</v>
      </c>
      <c r="S11" s="78">
        <f t="shared" si="3"/>
        <v>200818</v>
      </c>
      <c r="U11" s="111"/>
    </row>
    <row r="12" spans="1:21">
      <c r="A12" s="76">
        <v>45078</v>
      </c>
      <c r="B12" s="64">
        <v>330054</v>
      </c>
      <c r="C12" s="64">
        <v>25330</v>
      </c>
      <c r="D12" s="64">
        <v>104546</v>
      </c>
      <c r="O12" s="63">
        <v>4</v>
      </c>
      <c r="P12" s="77">
        <f t="shared" si="0"/>
        <v>45323</v>
      </c>
      <c r="Q12" s="78">
        <f t="shared" si="1"/>
        <v>324457</v>
      </c>
      <c r="R12" s="78">
        <f t="shared" si="2"/>
        <v>23534</v>
      </c>
      <c r="S12" s="78">
        <f t="shared" si="3"/>
        <v>198550</v>
      </c>
      <c r="U12" s="111"/>
    </row>
    <row r="13" spans="1:21">
      <c r="A13" s="76">
        <v>45108</v>
      </c>
      <c r="B13" s="64">
        <v>329242</v>
      </c>
      <c r="C13" s="64">
        <v>24784</v>
      </c>
      <c r="D13" s="64">
        <v>127484</v>
      </c>
      <c r="O13" s="63">
        <v>3</v>
      </c>
      <c r="P13" s="77">
        <f t="shared" si="0"/>
        <v>45352</v>
      </c>
      <c r="Q13" s="78">
        <f t="shared" si="1"/>
        <v>323919</v>
      </c>
      <c r="R13" s="78">
        <f t="shared" si="2"/>
        <v>24159</v>
      </c>
      <c r="S13" s="78">
        <f t="shared" si="3"/>
        <v>196824</v>
      </c>
      <c r="U13" s="111"/>
    </row>
    <row r="14" spans="1:21">
      <c r="A14" s="76">
        <v>45139</v>
      </c>
      <c r="B14" s="64">
        <v>328540</v>
      </c>
      <c r="C14" s="64">
        <v>24120</v>
      </c>
      <c r="D14" s="64">
        <v>170862</v>
      </c>
      <c r="O14" s="63">
        <v>2</v>
      </c>
      <c r="P14" s="77">
        <f t="shared" si="0"/>
        <v>45383</v>
      </c>
      <c r="Q14" s="78">
        <f t="shared" si="1"/>
        <v>323559</v>
      </c>
      <c r="R14" s="78">
        <f t="shared" si="2"/>
        <v>24029</v>
      </c>
      <c r="S14" s="78">
        <f t="shared" si="3"/>
        <v>195398</v>
      </c>
      <c r="U14" s="111"/>
    </row>
    <row r="15" spans="1:21">
      <c r="A15" s="76" t="s">
        <v>112</v>
      </c>
      <c r="B15" s="64">
        <v>327807</v>
      </c>
      <c r="C15" s="64">
        <v>24351</v>
      </c>
      <c r="D15" s="64">
        <v>209685</v>
      </c>
      <c r="O15" s="63">
        <v>1</v>
      </c>
      <c r="P15" s="77">
        <f t="shared" si="0"/>
        <v>45413</v>
      </c>
      <c r="Q15" s="78">
        <f t="shared" si="1"/>
        <v>323315</v>
      </c>
      <c r="R15" s="78">
        <f t="shared" si="2"/>
        <v>24433</v>
      </c>
      <c r="S15" s="78">
        <f t="shared" si="3"/>
        <v>194084</v>
      </c>
      <c r="U15" s="111"/>
    </row>
    <row r="16" spans="1:21">
      <c r="A16" s="76" t="s">
        <v>113</v>
      </c>
      <c r="B16" s="64">
        <v>327316</v>
      </c>
      <c r="C16" s="64">
        <v>24169</v>
      </c>
      <c r="D16" s="64">
        <v>206054</v>
      </c>
      <c r="P16" s="77">
        <f t="shared" si="0"/>
        <v>45444</v>
      </c>
      <c r="Q16" s="78">
        <f t="shared" si="1"/>
        <v>323112</v>
      </c>
      <c r="R16" s="78">
        <f t="shared" si="2"/>
        <v>24386</v>
      </c>
      <c r="S16" s="78">
        <f t="shared" si="3"/>
        <v>192883</v>
      </c>
      <c r="U16" s="111"/>
    </row>
    <row r="17" spans="1:21">
      <c r="A17" s="76">
        <v>45231</v>
      </c>
      <c r="B17" s="64">
        <v>326663</v>
      </c>
      <c r="C17" s="64">
        <v>24349</v>
      </c>
      <c r="D17" s="64">
        <v>204222</v>
      </c>
      <c r="U17" s="111"/>
    </row>
    <row r="18" spans="1:21">
      <c r="A18" s="76">
        <v>45261</v>
      </c>
      <c r="B18" s="64">
        <v>325870</v>
      </c>
      <c r="C18" s="64">
        <v>24077</v>
      </c>
      <c r="D18" s="64">
        <v>203190</v>
      </c>
      <c r="U18" s="111"/>
    </row>
    <row r="19" spans="1:21">
      <c r="A19" s="76">
        <v>45292</v>
      </c>
      <c r="B19" s="64">
        <v>325213</v>
      </c>
      <c r="C19" s="64">
        <v>23803</v>
      </c>
      <c r="D19" s="64">
        <v>200818</v>
      </c>
      <c r="R19" s="230"/>
      <c r="U19" s="111"/>
    </row>
    <row r="20" spans="1:21">
      <c r="A20" s="76">
        <v>45323</v>
      </c>
      <c r="B20" s="64">
        <v>324457</v>
      </c>
      <c r="C20" s="64">
        <v>23534</v>
      </c>
      <c r="D20" s="64">
        <v>198550</v>
      </c>
      <c r="U20" s="111"/>
    </row>
    <row r="21" spans="1:21">
      <c r="A21" s="76">
        <v>45352</v>
      </c>
      <c r="B21" s="64">
        <v>323919</v>
      </c>
      <c r="C21" s="64">
        <v>24159</v>
      </c>
      <c r="D21" s="64">
        <v>196824</v>
      </c>
      <c r="E21" s="144"/>
      <c r="U21" s="111"/>
    </row>
    <row r="22" spans="1:21">
      <c r="A22" s="76">
        <v>45383</v>
      </c>
      <c r="B22" s="64">
        <v>323559</v>
      </c>
      <c r="C22" s="64">
        <v>24029</v>
      </c>
      <c r="D22" s="64">
        <v>195398</v>
      </c>
      <c r="E22" s="144"/>
      <c r="U22" s="111"/>
    </row>
    <row r="23" spans="1:21">
      <c r="A23" s="76">
        <v>45413</v>
      </c>
      <c r="B23" s="64">
        <v>323315</v>
      </c>
      <c r="C23" s="64">
        <v>24433</v>
      </c>
      <c r="D23" s="64">
        <v>194084</v>
      </c>
      <c r="U23" s="111"/>
    </row>
    <row r="24" spans="1:21">
      <c r="A24" s="76">
        <v>45444</v>
      </c>
      <c r="B24" s="64">
        <v>323112</v>
      </c>
      <c r="C24" s="64">
        <v>24386</v>
      </c>
      <c r="D24" s="64">
        <v>192883</v>
      </c>
      <c r="U24" s="111"/>
    </row>
    <row r="25" spans="1:21">
      <c r="A25" s="76"/>
      <c r="B25" s="64"/>
      <c r="C25" s="64"/>
      <c r="D25" s="64"/>
      <c r="P25" s="144"/>
      <c r="U25" s="111"/>
    </row>
    <row r="26" spans="1:21">
      <c r="A26" s="76"/>
      <c r="B26" s="64"/>
      <c r="C26" s="64"/>
      <c r="D26" s="64"/>
      <c r="U26" s="111"/>
    </row>
    <row r="27" spans="1:21">
      <c r="A27" s="76"/>
      <c r="B27" s="64"/>
      <c r="C27" s="64"/>
      <c r="D27" s="64"/>
      <c r="U27" s="111"/>
    </row>
    <row r="28" spans="1:21">
      <c r="A28" s="76"/>
      <c r="B28" s="64"/>
      <c r="C28" s="64"/>
      <c r="D28" s="64"/>
      <c r="U28" s="111"/>
    </row>
    <row r="29" spans="1:21">
      <c r="A29" s="76"/>
      <c r="B29" s="64"/>
      <c r="C29" s="64"/>
      <c r="D29" s="64"/>
      <c r="U29" s="111"/>
    </row>
    <row r="30" spans="1:21">
      <c r="A30" s="76"/>
      <c r="B30" s="64"/>
      <c r="C30" s="64"/>
      <c r="D30" s="64"/>
      <c r="U30" s="111"/>
    </row>
    <row r="31" spans="1:21">
      <c r="A31" s="76"/>
      <c r="B31" s="64"/>
      <c r="C31" s="64"/>
      <c r="D31" s="64"/>
      <c r="U31" s="111"/>
    </row>
    <row r="32" spans="1:21">
      <c r="A32" s="76"/>
      <c r="B32" s="64"/>
      <c r="C32" s="64"/>
      <c r="D32" s="64"/>
      <c r="U32" s="111"/>
    </row>
    <row r="33" spans="1:21">
      <c r="A33" s="76"/>
      <c r="B33" s="64"/>
      <c r="C33" s="64"/>
      <c r="D33" s="64"/>
      <c r="U33" s="111"/>
    </row>
    <row r="34" spans="1:21">
      <c r="A34" s="76"/>
      <c r="B34" s="64"/>
      <c r="C34" s="64"/>
      <c r="D34" s="64"/>
      <c r="U34" s="111"/>
    </row>
    <row r="35" spans="1:21">
      <c r="A35" s="76"/>
      <c r="B35" s="64"/>
      <c r="C35" s="64"/>
      <c r="D35" s="64"/>
      <c r="U35" s="111"/>
    </row>
    <row r="36" spans="1:21">
      <c r="A36" s="76"/>
      <c r="B36" s="64"/>
      <c r="C36" s="64"/>
      <c r="D36" s="64"/>
      <c r="U36" s="111"/>
    </row>
    <row r="37" spans="1:21">
      <c r="A37" s="76"/>
      <c r="B37" s="64"/>
      <c r="C37" s="64"/>
      <c r="D37" s="64"/>
      <c r="U37" s="111"/>
    </row>
    <row r="38" spans="1:21">
      <c r="A38" s="76"/>
      <c r="B38" s="64"/>
      <c r="C38" s="64"/>
      <c r="D38" s="64"/>
      <c r="U38" s="111"/>
    </row>
    <row r="39" spans="1:21">
      <c r="A39" s="76"/>
      <c r="B39" s="64"/>
      <c r="C39" s="64"/>
      <c r="D39" s="64"/>
      <c r="U39" s="111"/>
    </row>
    <row r="40" spans="1:21">
      <c r="A40" s="76"/>
      <c r="B40" s="64"/>
      <c r="C40" s="64"/>
      <c r="D40" s="64"/>
      <c r="U40" s="111"/>
    </row>
    <row r="41" spans="1:21">
      <c r="A41" s="76"/>
      <c r="B41" s="64"/>
      <c r="C41" s="64"/>
      <c r="D41" s="64"/>
      <c r="U41" s="111"/>
    </row>
    <row r="42" spans="1:21">
      <c r="A42" s="76"/>
      <c r="B42" s="64"/>
      <c r="C42" s="64"/>
      <c r="D42" s="64"/>
      <c r="U42" s="111"/>
    </row>
    <row r="43" spans="1:21">
      <c r="A43" s="76"/>
      <c r="B43" s="64"/>
      <c r="C43" s="64"/>
      <c r="D43" s="64"/>
      <c r="U43" s="111"/>
    </row>
    <row r="44" spans="1:21">
      <c r="A44" s="76"/>
      <c r="B44" s="64"/>
      <c r="C44" s="64"/>
      <c r="D44" s="64"/>
      <c r="U44" s="111"/>
    </row>
    <row r="45" spans="1:21">
      <c r="A45" s="76"/>
      <c r="B45" s="64"/>
      <c r="C45" s="64"/>
      <c r="D45" s="64"/>
      <c r="U45" s="111"/>
    </row>
    <row r="46" spans="1:21">
      <c r="A46" s="76"/>
      <c r="B46" s="64"/>
      <c r="C46" s="64"/>
      <c r="D46" s="64"/>
      <c r="U46" s="111"/>
    </row>
    <row r="47" spans="1:21">
      <c r="A47" s="76"/>
      <c r="B47" s="64"/>
      <c r="C47" s="64"/>
      <c r="D47" s="64"/>
      <c r="U47" s="111"/>
    </row>
    <row r="48" spans="1:21">
      <c r="A48" s="76"/>
      <c r="B48" s="64"/>
      <c r="C48" s="64"/>
      <c r="D48" s="64"/>
      <c r="U48" s="111"/>
    </row>
    <row r="49" spans="1:21">
      <c r="A49" s="76"/>
      <c r="B49" s="64"/>
      <c r="C49" s="64"/>
      <c r="D49" s="64"/>
      <c r="U49" s="111"/>
    </row>
    <row r="50" spans="1:21">
      <c r="A50" s="76"/>
      <c r="B50" s="64"/>
      <c r="C50" s="64"/>
      <c r="D50" s="64"/>
      <c r="U50" s="111"/>
    </row>
    <row r="51" spans="1:21">
      <c r="A51" s="76"/>
      <c r="B51" s="64"/>
      <c r="C51" s="64"/>
      <c r="D51" s="64"/>
    </row>
    <row r="52" spans="1:21">
      <c r="A52" s="76"/>
      <c r="B52" s="64"/>
      <c r="C52" s="64"/>
      <c r="D52" s="64"/>
    </row>
    <row r="53" spans="1:21">
      <c r="A53" s="76"/>
      <c r="B53" s="64"/>
      <c r="C53" s="64"/>
      <c r="D53" s="64"/>
    </row>
    <row r="54" spans="1:21">
      <c r="A54" s="76"/>
      <c r="B54" s="64"/>
      <c r="C54" s="64"/>
      <c r="D54" s="64"/>
    </row>
    <row r="55" spans="1:21">
      <c r="A55" s="76"/>
      <c r="B55" s="64"/>
      <c r="C55" s="64"/>
      <c r="D55" s="64"/>
    </row>
    <row r="56" spans="1:21">
      <c r="A56" s="76"/>
      <c r="B56" s="64"/>
      <c r="C56" s="64"/>
      <c r="D56" s="64"/>
    </row>
    <row r="57" spans="1:21">
      <c r="A57" s="76"/>
      <c r="B57" s="64"/>
      <c r="C57" s="64"/>
      <c r="D57" s="64"/>
    </row>
    <row r="58" spans="1:21">
      <c r="A58" s="76"/>
      <c r="B58" s="64"/>
      <c r="C58" s="64"/>
      <c r="D58" s="64"/>
    </row>
    <row r="59" spans="1:21">
      <c r="A59" s="76"/>
      <c r="B59" s="64"/>
      <c r="C59" s="64"/>
      <c r="D59" s="64"/>
    </row>
    <row r="60" spans="1:21">
      <c r="A60" s="76"/>
      <c r="B60" s="64"/>
      <c r="C60" s="64"/>
      <c r="D60" s="64"/>
    </row>
    <row r="64" spans="1:21">
      <c r="A64" s="79"/>
    </row>
    <row r="65" spans="1:1">
      <c r="A65" s="79"/>
    </row>
    <row r="66" spans="1:1">
      <c r="A66" s="79"/>
    </row>
    <row r="67" spans="1:1">
      <c r="A67" s="79"/>
    </row>
    <row r="68" spans="1:1">
      <c r="A68" s="79"/>
    </row>
    <row r="69" spans="1:1">
      <c r="A69" s="79"/>
    </row>
    <row r="70" spans="1:1">
      <c r="A70" s="79"/>
    </row>
    <row r="71" spans="1:1">
      <c r="A71" s="79"/>
    </row>
  </sheetData>
  <mergeCells count="1">
    <mergeCell ref="P3:S3"/>
  </mergeCells>
  <phoneticPr fontId="1" type="noConversion"/>
  <conditionalFormatting sqref="L5">
    <cfRule type="containsText" dxfId="5" priority="1" operator="containsText" text="값붙">
      <formula>NOT(ISERROR(SEARCH("값붙",L5)))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7" tint="0.79998168889431442"/>
  </sheetPr>
  <dimension ref="A1:AT43"/>
  <sheetViews>
    <sheetView topLeftCell="W1" workbookViewId="0">
      <selection activeCell="AR10" sqref="AR10"/>
    </sheetView>
  </sheetViews>
  <sheetFormatPr defaultColWidth="8.75" defaultRowHeight="16.5"/>
  <cols>
    <col min="1" max="1" width="49.25" style="43" customWidth="1"/>
    <col min="2" max="14" width="8.75" style="43"/>
    <col min="15" max="15" width="8.75" style="220"/>
    <col min="16" max="18" width="8.75" style="43"/>
    <col min="19" max="21" width="8.75" style="220"/>
    <col min="22" max="25" width="8.75" style="43"/>
    <col min="26" max="26" width="8.75" style="220"/>
    <col min="27" max="42" width="8.75" style="43"/>
    <col min="43" max="44" width="10.875" bestFit="1" customWidth="1"/>
  </cols>
  <sheetData>
    <row r="1" spans="1:46">
      <c r="A1" s="43" t="s">
        <v>35</v>
      </c>
      <c r="B1" s="43" t="s">
        <v>36</v>
      </c>
      <c r="C1" s="43" t="s">
        <v>37</v>
      </c>
      <c r="D1" s="43" t="s">
        <v>38</v>
      </c>
      <c r="E1" s="43" t="s">
        <v>39</v>
      </c>
      <c r="F1" s="43" t="s">
        <v>40</v>
      </c>
      <c r="G1" s="43" t="s">
        <v>41</v>
      </c>
      <c r="H1" s="43" t="s">
        <v>42</v>
      </c>
      <c r="I1" s="43" t="s">
        <v>43</v>
      </c>
      <c r="J1" s="43" t="s">
        <v>44</v>
      </c>
      <c r="K1" s="43" t="s">
        <v>45</v>
      </c>
      <c r="L1" s="43" t="s">
        <v>117</v>
      </c>
      <c r="M1" s="43" t="s">
        <v>46</v>
      </c>
      <c r="N1" s="43" t="s">
        <v>50</v>
      </c>
      <c r="O1" s="220" t="s">
        <v>183</v>
      </c>
      <c r="P1" s="43" t="s">
        <v>184</v>
      </c>
      <c r="Q1" s="43" t="s">
        <v>49</v>
      </c>
      <c r="R1" s="43" t="s">
        <v>48</v>
      </c>
      <c r="S1" s="220" t="s">
        <v>47</v>
      </c>
      <c r="T1" s="220" t="s">
        <v>19</v>
      </c>
      <c r="U1" s="220" t="s">
        <v>20</v>
      </c>
      <c r="V1" s="43" t="s">
        <v>52</v>
      </c>
      <c r="W1" s="43" t="s">
        <v>51</v>
      </c>
      <c r="X1" s="43" t="s">
        <v>185</v>
      </c>
      <c r="Y1" s="43" t="s">
        <v>186</v>
      </c>
      <c r="Z1" s="220" t="s">
        <v>53</v>
      </c>
      <c r="AA1" s="43" t="s">
        <v>187</v>
      </c>
      <c r="AB1" s="43" t="s">
        <v>188</v>
      </c>
      <c r="AC1" s="43" t="s">
        <v>189</v>
      </c>
      <c r="AD1" s="43" t="s">
        <v>190</v>
      </c>
      <c r="AE1" s="43" t="s">
        <v>119</v>
      </c>
      <c r="AF1" s="43" t="s">
        <v>191</v>
      </c>
      <c r="AG1" s="43" t="s">
        <v>121</v>
      </c>
      <c r="AH1" s="43" t="s">
        <v>54</v>
      </c>
      <c r="AI1" s="43" t="s">
        <v>192</v>
      </c>
      <c r="AJ1" s="43" t="s">
        <v>134</v>
      </c>
      <c r="AK1" s="43" t="s">
        <v>120</v>
      </c>
    </row>
    <row r="2" spans="1:46" ht="17.45" customHeight="1">
      <c r="A2" s="43" t="s">
        <v>212</v>
      </c>
      <c r="B2" s="43">
        <v>0</v>
      </c>
      <c r="C2" s="43">
        <v>45446</v>
      </c>
      <c r="D2" s="43" t="s">
        <v>135</v>
      </c>
      <c r="E2" s="43" t="s">
        <v>213</v>
      </c>
      <c r="F2" s="43">
        <v>0</v>
      </c>
      <c r="G2" s="43">
        <v>0</v>
      </c>
      <c r="H2" s="43" t="s">
        <v>136</v>
      </c>
      <c r="M2" s="43" t="s">
        <v>137</v>
      </c>
      <c r="N2" s="43">
        <v>6149</v>
      </c>
      <c r="O2" s="220">
        <v>5791</v>
      </c>
      <c r="P2" s="43">
        <v>5734</v>
      </c>
      <c r="Q2" s="43">
        <v>0</v>
      </c>
      <c r="R2" s="43">
        <v>285</v>
      </c>
      <c r="S2" s="220">
        <v>9</v>
      </c>
      <c r="T2" s="220">
        <v>155</v>
      </c>
      <c r="U2" s="220">
        <v>18</v>
      </c>
      <c r="W2" s="43">
        <v>32</v>
      </c>
      <c r="X2" s="43">
        <v>71</v>
      </c>
      <c r="Z2" s="220">
        <v>103</v>
      </c>
      <c r="AA2" s="43">
        <v>0</v>
      </c>
      <c r="AE2" s="43">
        <v>0</v>
      </c>
      <c r="AQ2" s="38">
        <f>IF(C2="","",IFERROR(DATE(MID(C2,7,4),LEFT(C2,2),MID(C2,4,2)),C2))</f>
        <v>45446</v>
      </c>
      <c r="AR2">
        <f>IFERROR(RANK(AT2,AT:AT,0)+COUNTIF($AT$1:AT1,AT2),"")</f>
        <v>6</v>
      </c>
      <c r="AT2" s="221">
        <f>IFERROR((INDEX($A$1:$AP$150,ROW(),MATCH("좋아요",$A$1:$AP$1,0))+INDEX($A$1:$AP$150,ROW(),MATCH("공유",$A$1:$AP$1,0))+INDEX($A$1:$AP$150,ROW(),MATCH("댓글",$A$1:$AP$1,0))+INDEX($A$1:$AP$150,ROW(),MATCH("총 클릭",$A$1:$AP$1,0)))/INDEX($A$1:$AP$150,ROW(),MATCH("도달한 사람",$A$1:$AP$1,0)),"")</f>
        <v>4.9214298048696252E-2</v>
      </c>
    </row>
    <row r="3" spans="1:46" ht="17.45" customHeight="1">
      <c r="A3" s="43" t="s">
        <v>214</v>
      </c>
      <c r="B3" s="43">
        <v>154</v>
      </c>
      <c r="C3" s="43">
        <v>45447</v>
      </c>
      <c r="D3" s="43" t="s">
        <v>135</v>
      </c>
      <c r="E3" s="43" t="s">
        <v>215</v>
      </c>
      <c r="F3" s="43">
        <v>0</v>
      </c>
      <c r="G3" s="43">
        <v>0</v>
      </c>
      <c r="H3" s="43" t="s">
        <v>138</v>
      </c>
      <c r="M3" s="43" t="s">
        <v>137</v>
      </c>
      <c r="N3" s="43">
        <v>67484</v>
      </c>
      <c r="O3" s="220">
        <v>29593</v>
      </c>
      <c r="P3" s="43">
        <v>2118</v>
      </c>
      <c r="Q3" s="43">
        <v>19578</v>
      </c>
      <c r="R3" s="43">
        <v>382</v>
      </c>
      <c r="S3" s="220">
        <v>1</v>
      </c>
      <c r="T3" s="220">
        <v>161</v>
      </c>
      <c r="U3" s="220">
        <v>10</v>
      </c>
      <c r="V3" s="43">
        <v>4</v>
      </c>
      <c r="W3" s="43">
        <v>122</v>
      </c>
      <c r="Z3" s="220">
        <v>210</v>
      </c>
      <c r="AA3" s="43">
        <v>1429</v>
      </c>
      <c r="AE3" s="43">
        <v>12746</v>
      </c>
      <c r="AG3" s="43">
        <v>0</v>
      </c>
      <c r="AH3" s="43">
        <v>0</v>
      </c>
      <c r="AI3" s="43">
        <v>429651.88699999999</v>
      </c>
      <c r="AJ3" s="43">
        <v>6.6790000000000003</v>
      </c>
      <c r="AK3" s="43">
        <v>0</v>
      </c>
      <c r="AQ3" s="38">
        <f t="shared" ref="AQ3:AQ43" si="0">IF(C3="","",IFERROR(DATE(MID(C3,7,4),LEFT(C3,2),MID(C3,4,2)),C3))</f>
        <v>45447</v>
      </c>
      <c r="AR3">
        <f>IFERROR(RANK(AT3,AT:AT,0)+COUNTIF($AT$1:AT2,AT3),"")</f>
        <v>12</v>
      </c>
      <c r="AT3" s="221">
        <f t="shared" ref="AT3:AT43" si="1">IFERROR((INDEX($A$1:$AP$150,ROW(),MATCH("좋아요",$A$1:$AP$1,0))+INDEX($A$1:$AP$150,ROW(),MATCH("공유",$A$1:$AP$1,0))+INDEX($A$1:$AP$150,ROW(),MATCH("댓글",$A$1:$AP$1,0))+INDEX($A$1:$AP$150,ROW(),MATCH("총 클릭",$A$1:$AP$1,0)))/INDEX($A$1:$AP$150,ROW(),MATCH("도달한 사람",$A$1:$AP$1,0)),"")</f>
        <v>1.2908458081303011E-2</v>
      </c>
    </row>
    <row r="4" spans="1:46" ht="17.45" customHeight="1">
      <c r="A4" s="43" t="s">
        <v>216</v>
      </c>
      <c r="B4" s="43">
        <v>31</v>
      </c>
      <c r="C4" s="43">
        <v>45448</v>
      </c>
      <c r="D4" s="43" t="s">
        <v>135</v>
      </c>
      <c r="E4" s="43" t="s">
        <v>217</v>
      </c>
      <c r="F4" s="43">
        <v>0</v>
      </c>
      <c r="G4" s="43">
        <v>0</v>
      </c>
      <c r="H4" s="43" t="s">
        <v>138</v>
      </c>
      <c r="M4" s="43" t="s">
        <v>137</v>
      </c>
      <c r="N4" s="43">
        <v>46636</v>
      </c>
      <c r="O4" s="220">
        <v>33427</v>
      </c>
      <c r="P4" s="43">
        <v>4324</v>
      </c>
      <c r="Q4" s="43">
        <v>13400</v>
      </c>
      <c r="R4" s="43">
        <v>483</v>
      </c>
      <c r="S4" s="220">
        <v>6</v>
      </c>
      <c r="T4" s="220">
        <v>313</v>
      </c>
      <c r="U4" s="220">
        <v>17</v>
      </c>
      <c r="V4" s="43">
        <v>14</v>
      </c>
      <c r="W4" s="43">
        <v>78</v>
      </c>
      <c r="Z4" s="220">
        <v>147</v>
      </c>
      <c r="AA4" s="43">
        <v>0</v>
      </c>
      <c r="AE4" s="43">
        <v>11274</v>
      </c>
      <c r="AG4" s="43">
        <v>0</v>
      </c>
      <c r="AH4" s="43">
        <v>0</v>
      </c>
      <c r="AI4" s="43">
        <v>173285.75099999999</v>
      </c>
      <c r="AJ4" s="43">
        <v>3.9249999999999998</v>
      </c>
      <c r="AK4" s="43">
        <v>0</v>
      </c>
      <c r="AQ4" s="38">
        <f t="shared" si="0"/>
        <v>45448</v>
      </c>
      <c r="AR4">
        <f>IFERROR(RANK(AT4,AT:AT,0)+COUNTIF($AT$1:AT3,AT4),"")</f>
        <v>11</v>
      </c>
      <c r="AT4" s="221">
        <f t="shared" si="1"/>
        <v>1.4449397193885183E-2</v>
      </c>
    </row>
    <row r="5" spans="1:46" ht="17.45" customHeight="1">
      <c r="A5" s="43" t="s">
        <v>218</v>
      </c>
      <c r="B5" s="43">
        <v>0</v>
      </c>
      <c r="C5" s="43">
        <v>45453</v>
      </c>
      <c r="D5" s="43" t="s">
        <v>135</v>
      </c>
      <c r="E5" s="43" t="s">
        <v>219</v>
      </c>
      <c r="F5" s="43">
        <v>0</v>
      </c>
      <c r="G5" s="43">
        <v>0</v>
      </c>
      <c r="H5" s="43" t="s">
        <v>136</v>
      </c>
      <c r="M5" s="43" t="s">
        <v>137</v>
      </c>
      <c r="N5" s="43">
        <v>6572</v>
      </c>
      <c r="O5" s="220">
        <v>6229</v>
      </c>
      <c r="P5" s="43">
        <v>6134</v>
      </c>
      <c r="Q5" s="43">
        <v>0</v>
      </c>
      <c r="R5" s="43">
        <v>296</v>
      </c>
      <c r="S5" s="220">
        <v>12</v>
      </c>
      <c r="T5" s="220">
        <v>138</v>
      </c>
      <c r="U5" s="220">
        <v>22</v>
      </c>
      <c r="W5" s="43">
        <v>34</v>
      </c>
      <c r="X5" s="43">
        <v>90</v>
      </c>
      <c r="Z5" s="220">
        <v>124</v>
      </c>
      <c r="AA5" s="43">
        <v>0</v>
      </c>
      <c r="AE5" s="43">
        <v>0</v>
      </c>
      <c r="AF5" s="43">
        <v>1</v>
      </c>
      <c r="AQ5" s="38">
        <f t="shared" si="0"/>
        <v>45453</v>
      </c>
      <c r="AR5">
        <f>IFERROR(RANK(AT5,AT:AT,0)+COUNTIF($AT$1:AT4,AT5),"")</f>
        <v>7</v>
      </c>
      <c r="AT5" s="221">
        <f t="shared" si="1"/>
        <v>4.7519666078022153E-2</v>
      </c>
    </row>
    <row r="6" spans="1:46" ht="17.45" customHeight="1">
      <c r="A6" s="43" t="s">
        <v>220</v>
      </c>
      <c r="B6" s="43">
        <v>145</v>
      </c>
      <c r="C6" s="43">
        <v>45453</v>
      </c>
      <c r="D6" s="43" t="s">
        <v>135</v>
      </c>
      <c r="E6" s="43" t="s">
        <v>221</v>
      </c>
      <c r="F6" s="43">
        <v>0</v>
      </c>
      <c r="G6" s="43">
        <v>0</v>
      </c>
      <c r="H6" s="43" t="s">
        <v>138</v>
      </c>
      <c r="M6" s="43" t="s">
        <v>137</v>
      </c>
      <c r="N6" s="43">
        <v>35928</v>
      </c>
      <c r="O6" s="220">
        <v>22095</v>
      </c>
      <c r="P6" s="43">
        <v>1867</v>
      </c>
      <c r="Q6" s="43">
        <v>7079</v>
      </c>
      <c r="R6" s="43">
        <v>370</v>
      </c>
      <c r="S6" s="220">
        <v>4</v>
      </c>
      <c r="T6" s="220">
        <v>243</v>
      </c>
      <c r="U6" s="220">
        <v>12</v>
      </c>
      <c r="V6" s="43">
        <v>6</v>
      </c>
      <c r="W6" s="43">
        <v>46</v>
      </c>
      <c r="Z6" s="220">
        <v>111</v>
      </c>
      <c r="AA6" s="43">
        <v>2115</v>
      </c>
      <c r="AE6" s="43">
        <v>5695</v>
      </c>
      <c r="AG6" s="43">
        <v>0</v>
      </c>
      <c r="AH6" s="43">
        <v>0</v>
      </c>
      <c r="AI6" s="43">
        <v>406981.66100000002</v>
      </c>
      <c r="AJ6" s="43">
        <v>12.473000000000001</v>
      </c>
      <c r="AK6" s="43">
        <v>0</v>
      </c>
      <c r="AQ6" s="38">
        <f t="shared" si="0"/>
        <v>45453</v>
      </c>
      <c r="AR6">
        <f>IFERROR(RANK(AT6,AT:AT,0)+COUNTIF($AT$1:AT5,AT6),"")</f>
        <v>10</v>
      </c>
      <c r="AT6" s="221">
        <f t="shared" si="1"/>
        <v>1.6745870106358904E-2</v>
      </c>
    </row>
    <row r="7" spans="1:46" ht="17.45" customHeight="1">
      <c r="A7" s="43" t="s">
        <v>222</v>
      </c>
      <c r="B7" s="43">
        <v>0</v>
      </c>
      <c r="C7" s="43">
        <v>45454</v>
      </c>
      <c r="D7" s="43" t="s">
        <v>135</v>
      </c>
      <c r="E7" s="43" t="s">
        <v>223</v>
      </c>
      <c r="F7" s="43">
        <v>0</v>
      </c>
      <c r="G7" s="43">
        <v>0</v>
      </c>
      <c r="H7" s="43" t="s">
        <v>139</v>
      </c>
      <c r="M7" s="43" t="s">
        <v>137</v>
      </c>
      <c r="N7" s="43">
        <v>21764</v>
      </c>
      <c r="O7" s="220">
        <v>17381</v>
      </c>
      <c r="P7" s="43">
        <v>1211</v>
      </c>
      <c r="Q7" s="43">
        <v>0</v>
      </c>
      <c r="R7" s="43">
        <v>522</v>
      </c>
      <c r="S7" s="220">
        <v>1</v>
      </c>
      <c r="T7" s="220">
        <v>93</v>
      </c>
      <c r="U7" s="220">
        <v>13</v>
      </c>
      <c r="V7" s="43">
        <v>287</v>
      </c>
      <c r="W7" s="43">
        <v>128</v>
      </c>
      <c r="Z7" s="220">
        <v>415</v>
      </c>
      <c r="AA7" s="43">
        <v>0</v>
      </c>
      <c r="AE7" s="43">
        <v>0</v>
      </c>
      <c r="AQ7" s="38">
        <f t="shared" si="0"/>
        <v>45454</v>
      </c>
      <c r="AR7">
        <f>IFERROR(RANK(AT7,AT:AT,0)+COUNTIF($AT$1:AT6,AT7),"")</f>
        <v>8</v>
      </c>
      <c r="AT7" s="221">
        <f t="shared" si="1"/>
        <v>3.0032794430700189E-2</v>
      </c>
    </row>
    <row r="8" spans="1:46" ht="17.45" customHeight="1">
      <c r="A8" s="43" t="s">
        <v>224</v>
      </c>
      <c r="B8" s="43">
        <v>34</v>
      </c>
      <c r="C8" s="43">
        <v>45456</v>
      </c>
      <c r="D8" s="43" t="s">
        <v>135</v>
      </c>
      <c r="E8" s="43" t="s">
        <v>225</v>
      </c>
      <c r="F8" s="43">
        <v>0</v>
      </c>
      <c r="G8" s="43">
        <v>0</v>
      </c>
      <c r="H8" s="43" t="s">
        <v>138</v>
      </c>
      <c r="M8" s="43" t="s">
        <v>137</v>
      </c>
      <c r="N8" s="43">
        <v>16595</v>
      </c>
      <c r="O8" s="220">
        <v>11430</v>
      </c>
      <c r="P8" s="43">
        <v>1093</v>
      </c>
      <c r="Q8" s="43">
        <v>3498</v>
      </c>
      <c r="R8" s="43">
        <v>226</v>
      </c>
      <c r="S8" s="220">
        <v>3</v>
      </c>
      <c r="T8" s="220">
        <v>161</v>
      </c>
      <c r="U8" s="220">
        <v>18</v>
      </c>
      <c r="V8" s="43">
        <v>3</v>
      </c>
      <c r="W8" s="43">
        <v>27</v>
      </c>
      <c r="Z8" s="220">
        <v>44</v>
      </c>
      <c r="AA8" s="43">
        <v>0</v>
      </c>
      <c r="AE8" s="43">
        <v>2933</v>
      </c>
      <c r="AG8" s="43">
        <v>0</v>
      </c>
      <c r="AH8" s="43">
        <v>0</v>
      </c>
      <c r="AI8" s="43">
        <v>79064.400999999998</v>
      </c>
      <c r="AJ8" s="43">
        <v>5.0490000000000004</v>
      </c>
      <c r="AK8" s="43">
        <v>0</v>
      </c>
      <c r="AQ8" s="38">
        <f t="shared" si="0"/>
        <v>45456</v>
      </c>
      <c r="AR8">
        <f>IFERROR(RANK(AT8,AT:AT,0)+COUNTIF($AT$1:AT7,AT8),"")</f>
        <v>9</v>
      </c>
      <c r="AT8" s="221">
        <f t="shared" si="1"/>
        <v>1.9772528433945755E-2</v>
      </c>
    </row>
    <row r="9" spans="1:46" ht="17.45" customHeight="1">
      <c r="A9" s="43" t="s">
        <v>226</v>
      </c>
      <c r="B9" s="43">
        <v>0</v>
      </c>
      <c r="C9" s="43">
        <v>45460</v>
      </c>
      <c r="D9" s="43" t="s">
        <v>135</v>
      </c>
      <c r="E9" s="43" t="s">
        <v>227</v>
      </c>
      <c r="F9" s="43">
        <v>0</v>
      </c>
      <c r="G9" s="43">
        <v>0</v>
      </c>
      <c r="H9" s="43" t="s">
        <v>136</v>
      </c>
      <c r="M9" s="43" t="s">
        <v>137</v>
      </c>
      <c r="N9" s="43">
        <v>4657</v>
      </c>
      <c r="O9" s="220">
        <v>4090</v>
      </c>
      <c r="P9" s="43">
        <v>4010</v>
      </c>
      <c r="Q9" s="43">
        <v>0</v>
      </c>
      <c r="R9" s="43">
        <v>213</v>
      </c>
      <c r="S9" s="220">
        <v>6</v>
      </c>
      <c r="T9" s="220">
        <v>129</v>
      </c>
      <c r="U9" s="220">
        <v>18</v>
      </c>
      <c r="W9" s="43">
        <v>23</v>
      </c>
      <c r="X9" s="43">
        <v>37</v>
      </c>
      <c r="Y9" s="43">
        <v>11</v>
      </c>
      <c r="Z9" s="220">
        <v>60</v>
      </c>
      <c r="AA9" s="43">
        <v>0</v>
      </c>
      <c r="AE9" s="43">
        <v>0</v>
      </c>
      <c r="AQ9" s="38">
        <f t="shared" si="0"/>
        <v>45460</v>
      </c>
      <c r="AR9">
        <f>IFERROR(RANK(AT9,AT:AT,0)+COUNTIF($AT$1:AT8,AT9),"")</f>
        <v>5</v>
      </c>
      <c r="AT9" s="221">
        <f t="shared" si="1"/>
        <v>5.2078239608801959E-2</v>
      </c>
    </row>
    <row r="10" spans="1:46" ht="17.45" customHeight="1">
      <c r="A10" s="43" t="s">
        <v>228</v>
      </c>
      <c r="B10" s="43">
        <v>0</v>
      </c>
      <c r="C10" s="43">
        <v>45463</v>
      </c>
      <c r="D10" s="43" t="s">
        <v>135</v>
      </c>
      <c r="E10" s="43" t="s">
        <v>229</v>
      </c>
      <c r="F10" s="43">
        <v>0</v>
      </c>
      <c r="G10" s="43">
        <v>0</v>
      </c>
      <c r="H10" s="43" t="s">
        <v>139</v>
      </c>
      <c r="M10" s="43" t="s">
        <v>137</v>
      </c>
      <c r="N10" s="43">
        <v>30669</v>
      </c>
      <c r="O10" s="220">
        <v>24249</v>
      </c>
      <c r="P10" s="43">
        <v>2768</v>
      </c>
      <c r="Q10" s="43">
        <v>0</v>
      </c>
      <c r="R10" s="43">
        <v>2054</v>
      </c>
      <c r="S10" s="220">
        <v>9</v>
      </c>
      <c r="T10" s="220">
        <v>107</v>
      </c>
      <c r="U10" s="220">
        <v>18</v>
      </c>
      <c r="V10" s="43">
        <v>1026</v>
      </c>
      <c r="W10" s="43">
        <v>894</v>
      </c>
      <c r="Z10" s="220">
        <v>1920</v>
      </c>
      <c r="AA10" s="43">
        <v>0</v>
      </c>
      <c r="AE10" s="43">
        <v>0</v>
      </c>
      <c r="AF10" s="43">
        <v>1</v>
      </c>
      <c r="AQ10" s="38">
        <f t="shared" si="0"/>
        <v>45463</v>
      </c>
      <c r="AR10">
        <f>IFERROR(RANK(AT10,AT:AT,0)+COUNTIF($AT$1:AT9,AT10),"")</f>
        <v>2</v>
      </c>
      <c r="AT10" s="221">
        <f t="shared" si="1"/>
        <v>8.4704523897892695E-2</v>
      </c>
    </row>
    <row r="11" spans="1:46" ht="17.45" customHeight="1">
      <c r="A11" s="43" t="s">
        <v>230</v>
      </c>
      <c r="B11" s="43">
        <v>0</v>
      </c>
      <c r="C11" s="43">
        <v>45467</v>
      </c>
      <c r="D11" s="43" t="s">
        <v>135</v>
      </c>
      <c r="E11" s="43" t="s">
        <v>231</v>
      </c>
      <c r="F11" s="43">
        <v>0</v>
      </c>
      <c r="G11" s="43">
        <v>0</v>
      </c>
      <c r="H11" s="43" t="s">
        <v>136</v>
      </c>
      <c r="M11" s="43" t="s">
        <v>137</v>
      </c>
      <c r="N11" s="43">
        <v>3525</v>
      </c>
      <c r="O11" s="220">
        <v>3345</v>
      </c>
      <c r="P11" s="43">
        <v>3255</v>
      </c>
      <c r="Q11" s="43">
        <v>0</v>
      </c>
      <c r="R11" s="43">
        <v>224</v>
      </c>
      <c r="S11" s="220">
        <v>8</v>
      </c>
      <c r="T11" s="220">
        <v>120</v>
      </c>
      <c r="U11" s="220">
        <v>24</v>
      </c>
      <c r="W11" s="43">
        <v>28</v>
      </c>
      <c r="X11" s="43">
        <v>44</v>
      </c>
      <c r="Z11" s="220">
        <v>72</v>
      </c>
      <c r="AA11" s="43">
        <v>0</v>
      </c>
      <c r="AE11" s="43">
        <v>0</v>
      </c>
      <c r="AQ11" s="38">
        <f t="shared" si="0"/>
        <v>45467</v>
      </c>
      <c r="AR11">
        <f>IFERROR(RANK(AT11,AT:AT,0)+COUNTIF($AT$1:AT10,AT11),"")</f>
        <v>3</v>
      </c>
      <c r="AT11" s="221">
        <f t="shared" si="1"/>
        <v>6.6965620328849035E-2</v>
      </c>
    </row>
    <row r="12" spans="1:46" ht="17.45" customHeight="1">
      <c r="A12" s="43" t="s">
        <v>232</v>
      </c>
      <c r="B12" s="43">
        <v>0</v>
      </c>
      <c r="C12" s="43">
        <v>45470</v>
      </c>
      <c r="D12" s="43" t="s">
        <v>135</v>
      </c>
      <c r="E12" s="43" t="s">
        <v>233</v>
      </c>
      <c r="F12" s="43">
        <v>0</v>
      </c>
      <c r="G12" s="43">
        <v>0</v>
      </c>
      <c r="H12" s="43" t="s">
        <v>139</v>
      </c>
      <c r="M12" s="43" t="s">
        <v>137</v>
      </c>
      <c r="N12" s="43">
        <v>53494</v>
      </c>
      <c r="O12" s="220">
        <v>32183</v>
      </c>
      <c r="P12" s="43">
        <v>1088</v>
      </c>
      <c r="Q12" s="43">
        <v>0</v>
      </c>
      <c r="R12" s="43">
        <v>1799</v>
      </c>
      <c r="S12" s="220">
        <v>11</v>
      </c>
      <c r="T12" s="220">
        <v>176</v>
      </c>
      <c r="U12" s="220">
        <v>21</v>
      </c>
      <c r="V12" s="43">
        <v>522</v>
      </c>
      <c r="W12" s="43">
        <v>1064</v>
      </c>
      <c r="Z12" s="220">
        <v>1586</v>
      </c>
      <c r="AA12" s="43">
        <v>0</v>
      </c>
      <c r="AE12" s="43">
        <v>0</v>
      </c>
      <c r="AQ12" s="38">
        <f t="shared" si="0"/>
        <v>45470</v>
      </c>
      <c r="AR12">
        <f>IFERROR(RANK(AT12,AT:AT,0)+COUNTIF($AT$1:AT11,AT12),"")</f>
        <v>4</v>
      </c>
      <c r="AT12" s="221">
        <f t="shared" si="1"/>
        <v>5.5743715626262312E-2</v>
      </c>
    </row>
    <row r="13" spans="1:46" ht="17.45" customHeight="1">
      <c r="A13" s="43" t="s">
        <v>234</v>
      </c>
      <c r="B13" s="43">
        <v>26</v>
      </c>
      <c r="C13" s="43">
        <v>45471</v>
      </c>
      <c r="D13" s="43" t="s">
        <v>135</v>
      </c>
      <c r="E13" s="43" t="s">
        <v>235</v>
      </c>
      <c r="F13" s="43">
        <v>0</v>
      </c>
      <c r="G13" s="43">
        <v>0</v>
      </c>
      <c r="H13" s="43" t="s">
        <v>138</v>
      </c>
      <c r="M13" s="43" t="s">
        <v>137</v>
      </c>
      <c r="N13" s="43">
        <v>6797</v>
      </c>
      <c r="O13" s="220">
        <v>5073</v>
      </c>
      <c r="P13" s="43">
        <v>1478</v>
      </c>
      <c r="Q13" s="43">
        <v>1740</v>
      </c>
      <c r="R13" s="43">
        <v>764</v>
      </c>
      <c r="S13" s="220">
        <v>48</v>
      </c>
      <c r="T13" s="220">
        <v>308</v>
      </c>
      <c r="U13" s="220">
        <v>236</v>
      </c>
      <c r="V13" s="43">
        <v>18</v>
      </c>
      <c r="W13" s="43">
        <v>138</v>
      </c>
      <c r="Z13" s="220">
        <v>162</v>
      </c>
      <c r="AA13" s="43">
        <v>0</v>
      </c>
      <c r="AE13" s="43">
        <v>1499</v>
      </c>
      <c r="AG13" s="43">
        <v>0</v>
      </c>
      <c r="AH13" s="43">
        <v>0</v>
      </c>
      <c r="AI13" s="43">
        <v>63975.192999999999</v>
      </c>
      <c r="AJ13" s="43">
        <v>9.8569999999999993</v>
      </c>
      <c r="AK13" s="43">
        <v>0</v>
      </c>
      <c r="AQ13" s="38">
        <f t="shared" si="0"/>
        <v>45471</v>
      </c>
      <c r="AR13">
        <f>IFERROR(RANK(AT13,AT:AT,0)+COUNTIF($AT$1:AT12,AT13),"")</f>
        <v>1</v>
      </c>
      <c r="AT13" s="221">
        <f t="shared" si="1"/>
        <v>0.14863000197122017</v>
      </c>
    </row>
    <row r="14" spans="1:46" ht="17.45" customHeight="1">
      <c r="A14" s="114"/>
      <c r="AQ14" s="38" t="str">
        <f t="shared" si="0"/>
        <v/>
      </c>
      <c r="AR14" t="str">
        <f>IFERROR(RANK(AT14,AT:AT,0)+COUNTIF($AT$1:AT13,AT14),"")</f>
        <v/>
      </c>
      <c r="AT14" s="221" t="str">
        <f t="shared" si="1"/>
        <v/>
      </c>
    </row>
    <row r="15" spans="1:46" ht="17.45" customHeight="1">
      <c r="AQ15" s="38" t="str">
        <f t="shared" si="0"/>
        <v/>
      </c>
      <c r="AR15" t="str">
        <f>IFERROR(RANK(AT15,AT:AT,0)+COUNTIF($AT$1:AT14,AT15),"")</f>
        <v/>
      </c>
      <c r="AT15" s="221" t="str">
        <f t="shared" si="1"/>
        <v/>
      </c>
    </row>
    <row r="16" spans="1:46" ht="17.45" customHeight="1">
      <c r="AQ16" s="38" t="str">
        <f t="shared" si="0"/>
        <v/>
      </c>
      <c r="AR16" t="str">
        <f>IFERROR(RANK(AT16,AT:AT,0)+COUNTIF($AT$1:AT15,AT16),"")</f>
        <v/>
      </c>
      <c r="AT16" s="221" t="str">
        <f t="shared" si="1"/>
        <v/>
      </c>
    </row>
    <row r="17" spans="43:46" ht="17.45" customHeight="1">
      <c r="AQ17" s="38" t="str">
        <f t="shared" si="0"/>
        <v/>
      </c>
      <c r="AR17" t="str">
        <f>IFERROR(RANK(AT17,AT:AT,0)+COUNTIF($AT$1:AT16,AT17),"")</f>
        <v/>
      </c>
      <c r="AT17" s="221" t="str">
        <f t="shared" si="1"/>
        <v/>
      </c>
    </row>
    <row r="18" spans="43:46" ht="17.45" customHeight="1">
      <c r="AQ18" s="38" t="str">
        <f t="shared" si="0"/>
        <v/>
      </c>
      <c r="AR18" t="str">
        <f>IFERROR(RANK(AT18,AT:AT,0)+COUNTIF($AT$1:AT17,AT18),"")</f>
        <v/>
      </c>
      <c r="AT18" s="221" t="str">
        <f t="shared" si="1"/>
        <v/>
      </c>
    </row>
    <row r="19" spans="43:46" ht="17.45" customHeight="1">
      <c r="AQ19" s="38" t="str">
        <f t="shared" si="0"/>
        <v/>
      </c>
      <c r="AR19" t="str">
        <f>IFERROR(RANK(AT19,AT:AT,0)+COUNTIF($AT$1:AT18,AT19),"")</f>
        <v/>
      </c>
      <c r="AT19" s="221" t="str">
        <f t="shared" si="1"/>
        <v/>
      </c>
    </row>
    <row r="20" spans="43:46" ht="17.45" customHeight="1">
      <c r="AQ20" s="38" t="str">
        <f t="shared" si="0"/>
        <v/>
      </c>
      <c r="AR20" t="str">
        <f>IFERROR(RANK(AT20,AT:AT,0)+COUNTIF($AT$1:AT19,AT20),"")</f>
        <v/>
      </c>
      <c r="AT20" s="221" t="str">
        <f t="shared" si="1"/>
        <v/>
      </c>
    </row>
    <row r="21" spans="43:46" ht="17.45" customHeight="1">
      <c r="AQ21" s="38" t="str">
        <f t="shared" si="0"/>
        <v/>
      </c>
      <c r="AR21" t="str">
        <f>IFERROR(RANK(AT21,AT:AT,0)+COUNTIF($AT$1:AT20,AT21),"")</f>
        <v/>
      </c>
      <c r="AT21" s="221" t="str">
        <f t="shared" si="1"/>
        <v/>
      </c>
    </row>
    <row r="22" spans="43:46" ht="17.45" customHeight="1">
      <c r="AQ22" s="38" t="str">
        <f t="shared" si="0"/>
        <v/>
      </c>
      <c r="AR22" t="str">
        <f>IFERROR(RANK(AT22,AT:AT,0)+COUNTIF($AT$1:AT21,AT22),"")</f>
        <v/>
      </c>
      <c r="AT22" s="221" t="str">
        <f t="shared" si="1"/>
        <v/>
      </c>
    </row>
    <row r="23" spans="43:46" ht="17.45" customHeight="1">
      <c r="AQ23" s="38" t="str">
        <f t="shared" si="0"/>
        <v/>
      </c>
      <c r="AR23" t="str">
        <f>IFERROR(RANK(AT23,AT:AT,0)+COUNTIF($AT$1:AT22,AT23),"")</f>
        <v/>
      </c>
      <c r="AT23" s="221" t="str">
        <f t="shared" si="1"/>
        <v/>
      </c>
    </row>
    <row r="24" spans="43:46" ht="17.45" customHeight="1">
      <c r="AQ24" s="38" t="str">
        <f t="shared" si="0"/>
        <v/>
      </c>
      <c r="AR24" t="str">
        <f>IFERROR(RANK(AT24,AT:AT,0)+COUNTIF($AT$1:AT23,AT24),"")</f>
        <v/>
      </c>
      <c r="AT24" s="221" t="str">
        <f t="shared" si="1"/>
        <v/>
      </c>
    </row>
    <row r="25" spans="43:46" ht="17.45" customHeight="1">
      <c r="AQ25" s="38" t="str">
        <f t="shared" si="0"/>
        <v/>
      </c>
      <c r="AR25" t="str">
        <f>IFERROR(RANK(AT25,AT:AT,0)+COUNTIF($AT$1:AT24,AT25),"")</f>
        <v/>
      </c>
      <c r="AT25" s="221" t="str">
        <f t="shared" si="1"/>
        <v/>
      </c>
    </row>
    <row r="26" spans="43:46" ht="17.45" customHeight="1">
      <c r="AQ26" s="38" t="str">
        <f t="shared" si="0"/>
        <v/>
      </c>
      <c r="AR26" t="str">
        <f>IFERROR(RANK(AT26,AT:AT,0)+COUNTIF($AT$1:AT25,AT26),"")</f>
        <v/>
      </c>
      <c r="AT26" s="221" t="str">
        <f t="shared" si="1"/>
        <v/>
      </c>
    </row>
    <row r="27" spans="43:46" ht="17.45" customHeight="1">
      <c r="AQ27" s="38" t="str">
        <f t="shared" si="0"/>
        <v/>
      </c>
      <c r="AR27" t="str">
        <f>IFERROR(RANK(AT27,AT:AT,0)+COUNTIF($AT$1:AT26,AT27),"")</f>
        <v/>
      </c>
      <c r="AT27" s="221" t="str">
        <f t="shared" si="1"/>
        <v/>
      </c>
    </row>
    <row r="28" spans="43:46" ht="17.45" customHeight="1">
      <c r="AQ28" s="38" t="str">
        <f t="shared" si="0"/>
        <v/>
      </c>
      <c r="AR28" t="str">
        <f>IFERROR(RANK(AT28,AT:AT,0)+COUNTIF($AT$1:AT27,AT28),"")</f>
        <v/>
      </c>
      <c r="AT28" s="221" t="str">
        <f t="shared" si="1"/>
        <v/>
      </c>
    </row>
    <row r="29" spans="43:46" ht="17.45" customHeight="1">
      <c r="AQ29" s="38" t="str">
        <f t="shared" si="0"/>
        <v/>
      </c>
      <c r="AR29" t="str">
        <f>IFERROR(RANK(AT29,AT:AT,0)+COUNTIF($AT$1:AT28,AT29),"")</f>
        <v/>
      </c>
      <c r="AT29" s="221" t="str">
        <f t="shared" si="1"/>
        <v/>
      </c>
    </row>
    <row r="30" spans="43:46" ht="17.45" customHeight="1">
      <c r="AQ30" s="38" t="str">
        <f t="shared" si="0"/>
        <v/>
      </c>
      <c r="AR30" t="str">
        <f>IFERROR(RANK(AT30,AT:AT,0)+COUNTIF($AT$1:AT29,AT30),"")</f>
        <v/>
      </c>
      <c r="AT30" s="221" t="str">
        <f t="shared" si="1"/>
        <v/>
      </c>
    </row>
    <row r="31" spans="43:46" ht="17.45" customHeight="1">
      <c r="AQ31" s="38" t="str">
        <f t="shared" si="0"/>
        <v/>
      </c>
      <c r="AR31" t="str">
        <f>IFERROR(RANK(AT31,AT:AT,0)+COUNTIF($AT$1:AT30,AT31),"")</f>
        <v/>
      </c>
      <c r="AT31" s="221" t="str">
        <f t="shared" si="1"/>
        <v/>
      </c>
    </row>
    <row r="32" spans="43:46" ht="17.45" customHeight="1">
      <c r="AQ32" s="38" t="str">
        <f t="shared" si="0"/>
        <v/>
      </c>
      <c r="AR32" t="str">
        <f>IFERROR(RANK(AT32,AT:AT,0)+COUNTIF($AT$1:AT31,AT32),"")</f>
        <v/>
      </c>
      <c r="AT32" s="221" t="str">
        <f t="shared" si="1"/>
        <v/>
      </c>
    </row>
    <row r="33" spans="43:46" ht="17.45" customHeight="1">
      <c r="AQ33" s="38" t="str">
        <f t="shared" si="0"/>
        <v/>
      </c>
      <c r="AR33" t="str">
        <f>IFERROR(RANK(AT33,AT:AT,0)+COUNTIF($AT$1:AT32,AT33),"")</f>
        <v/>
      </c>
      <c r="AT33" s="221" t="str">
        <f t="shared" si="1"/>
        <v/>
      </c>
    </row>
    <row r="34" spans="43:46" ht="17.45" customHeight="1">
      <c r="AQ34" s="38" t="str">
        <f t="shared" si="0"/>
        <v/>
      </c>
      <c r="AR34" t="str">
        <f>IFERROR(RANK(AT34,AT:AT,0)+COUNTIF($AT$1:AT33,AT34),"")</f>
        <v/>
      </c>
      <c r="AT34" s="221" t="str">
        <f t="shared" si="1"/>
        <v/>
      </c>
    </row>
    <row r="35" spans="43:46" ht="17.45" customHeight="1">
      <c r="AQ35" s="38" t="str">
        <f t="shared" si="0"/>
        <v/>
      </c>
      <c r="AR35" t="str">
        <f>IFERROR(RANK(AT35,AT:AT,0)+COUNTIF($AT$1:AT34,AT35),"")</f>
        <v/>
      </c>
      <c r="AT35" s="221" t="str">
        <f t="shared" si="1"/>
        <v/>
      </c>
    </row>
    <row r="36" spans="43:46" ht="17.45" customHeight="1">
      <c r="AQ36" s="38" t="str">
        <f t="shared" si="0"/>
        <v/>
      </c>
      <c r="AR36" t="str">
        <f>IFERROR(RANK(AT36,AT:AT,0)+COUNTIF($AT$1:AT35,AT36),"")</f>
        <v/>
      </c>
      <c r="AT36" s="221" t="str">
        <f t="shared" si="1"/>
        <v/>
      </c>
    </row>
    <row r="37" spans="43:46" ht="17.45" customHeight="1">
      <c r="AQ37" s="38" t="str">
        <f t="shared" si="0"/>
        <v/>
      </c>
      <c r="AR37" t="str">
        <f>IFERROR(RANK(AT37,AT:AT,0)+COUNTIF($AT$1:AT36,AT37),"")</f>
        <v/>
      </c>
      <c r="AT37" s="221" t="str">
        <f t="shared" si="1"/>
        <v/>
      </c>
    </row>
    <row r="38" spans="43:46" ht="17.45" customHeight="1">
      <c r="AQ38" s="38" t="str">
        <f t="shared" si="0"/>
        <v/>
      </c>
      <c r="AR38" t="str">
        <f>IFERROR(RANK(AT38,AT:AT,0)+COUNTIF($AT$1:AT37,AT38),"")</f>
        <v/>
      </c>
      <c r="AT38" s="221" t="str">
        <f t="shared" si="1"/>
        <v/>
      </c>
    </row>
    <row r="39" spans="43:46" ht="17.45" customHeight="1">
      <c r="AQ39" s="38" t="str">
        <f t="shared" si="0"/>
        <v/>
      </c>
      <c r="AR39" t="str">
        <f>IFERROR(RANK(AT39,AT:AT,0)+COUNTIF($AT$1:AT38,AT39),"")</f>
        <v/>
      </c>
      <c r="AT39" s="221" t="str">
        <f t="shared" si="1"/>
        <v/>
      </c>
    </row>
    <row r="40" spans="43:46" ht="17.45" customHeight="1">
      <c r="AQ40" s="38" t="str">
        <f t="shared" si="0"/>
        <v/>
      </c>
      <c r="AR40" t="str">
        <f>IFERROR(RANK(AT40,AT:AT,0)+COUNTIF($AT$1:AT39,AT40),"")</f>
        <v/>
      </c>
      <c r="AT40" s="221" t="str">
        <f t="shared" si="1"/>
        <v/>
      </c>
    </row>
    <row r="41" spans="43:46" ht="17.45" customHeight="1">
      <c r="AQ41" s="38" t="str">
        <f t="shared" si="0"/>
        <v/>
      </c>
      <c r="AR41" t="str">
        <f>IFERROR(RANK(AT41,AT:AT,0)+COUNTIF($AT$1:AT40,AT41),"")</f>
        <v/>
      </c>
      <c r="AT41" s="221" t="str">
        <f t="shared" si="1"/>
        <v/>
      </c>
    </row>
    <row r="42" spans="43:46" ht="17.45" customHeight="1">
      <c r="AQ42" s="38" t="str">
        <f t="shared" si="0"/>
        <v/>
      </c>
      <c r="AR42" t="str">
        <f>IFERROR(RANK(AT42,AT:AT,0)+COUNTIF($AT$1:AT41,AT42),"")</f>
        <v/>
      </c>
      <c r="AT42" s="221" t="str">
        <f t="shared" si="1"/>
        <v/>
      </c>
    </row>
    <row r="43" spans="43:46" ht="17.45" customHeight="1">
      <c r="AQ43" s="38" t="str">
        <f t="shared" si="0"/>
        <v/>
      </c>
      <c r="AR43" t="str">
        <f>IFERROR(RANK(AT43,AT:AT,0)+COUNTIF($AT$1:AT42,AT43),"")</f>
        <v/>
      </c>
      <c r="AT43" s="221" t="str">
        <f t="shared" si="1"/>
        <v/>
      </c>
    </row>
  </sheetData>
  <sheetProtection selectLockedCells="1"/>
  <phoneticPr fontId="1" type="noConversion"/>
  <conditionalFormatting sqref="A1:A1048576">
    <cfRule type="duplicateValues" dxfId="4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3E411-D0DC-4270-9DD8-C6DE13006BC1}">
  <sheetPr codeName="Sheet4">
    <tabColor theme="7" tint="0.79998168889431442"/>
  </sheetPr>
  <dimension ref="A1:Z38"/>
  <sheetViews>
    <sheetView topLeftCell="H1" workbookViewId="0">
      <selection activeCell="W19" sqref="W19"/>
    </sheetView>
  </sheetViews>
  <sheetFormatPr defaultRowHeight="16.5"/>
  <cols>
    <col min="1" max="1" width="10" style="43" bestFit="1" customWidth="1"/>
    <col min="2" max="2" width="4.25" style="43" bestFit="1" customWidth="1"/>
    <col min="3" max="3" width="3.625" style="43" bestFit="1" customWidth="1"/>
    <col min="4" max="4" width="8.875" style="43" customWidth="1"/>
    <col min="5" max="5" width="10" style="43" bestFit="1" customWidth="1"/>
    <col min="6" max="6" width="8.875" style="43" bestFit="1" customWidth="1"/>
    <col min="7" max="7" width="12.375" style="43" customWidth="1"/>
    <col min="8" max="8" width="10.75" style="43" bestFit="1" customWidth="1"/>
    <col min="9" max="9" width="12.125" style="43" customWidth="1"/>
    <col min="10" max="11" width="10.75" style="43" bestFit="1" customWidth="1"/>
    <col min="12" max="12" width="17.375" style="43" bestFit="1" customWidth="1"/>
    <col min="13" max="13" width="9.875" style="43" bestFit="1" customWidth="1"/>
    <col min="14" max="15" width="13.5" style="43" customWidth="1"/>
    <col min="16" max="16" width="22.625" style="43" customWidth="1"/>
    <col min="17" max="18" width="10.75" style="43" customWidth="1"/>
    <col min="19" max="20" width="12.75" style="43" customWidth="1"/>
    <col min="21" max="21" width="10" style="43" bestFit="1" customWidth="1"/>
    <col min="22" max="23" width="10.625" style="43" bestFit="1" customWidth="1"/>
    <col min="24" max="24" width="16.125" style="43" bestFit="1" customWidth="1"/>
    <col min="26" max="26" width="8.625" customWidth="1"/>
  </cols>
  <sheetData>
    <row r="1" spans="1:26" ht="17.100000000000001" customHeight="1">
      <c r="A1" s="149" t="s">
        <v>171</v>
      </c>
      <c r="B1" s="150" t="s">
        <v>154</v>
      </c>
      <c r="C1" s="151" t="s">
        <v>155</v>
      </c>
      <c r="D1" s="150" t="s">
        <v>156</v>
      </c>
      <c r="E1" s="152" t="s">
        <v>159</v>
      </c>
      <c r="F1" s="153"/>
      <c r="G1" s="154" t="s">
        <v>157</v>
      </c>
      <c r="H1" s="151" t="s">
        <v>158</v>
      </c>
      <c r="I1" s="145"/>
      <c r="J1" s="155" t="s">
        <v>143</v>
      </c>
      <c r="K1" s="156" t="s">
        <v>54</v>
      </c>
      <c r="L1" s="156" t="s">
        <v>144</v>
      </c>
      <c r="M1" s="157" t="s">
        <v>145</v>
      </c>
      <c r="N1" s="150" t="s">
        <v>160</v>
      </c>
      <c r="O1" s="158" t="s">
        <v>161</v>
      </c>
      <c r="P1" s="159" t="s">
        <v>146</v>
      </c>
      <c r="Q1" s="150" t="s">
        <v>162</v>
      </c>
      <c r="R1" s="151" t="s">
        <v>161</v>
      </c>
      <c r="S1" s="150" t="s">
        <v>163</v>
      </c>
      <c r="T1" s="151" t="s">
        <v>164</v>
      </c>
      <c r="U1" s="160" t="s">
        <v>167</v>
      </c>
      <c r="V1" s="159" t="s">
        <v>168</v>
      </c>
      <c r="W1" s="159" t="s">
        <v>169</v>
      </c>
      <c r="X1" s="161" t="s">
        <v>170</v>
      </c>
    </row>
    <row r="2" spans="1:26">
      <c r="A2" s="149" t="s">
        <v>99</v>
      </c>
      <c r="B2" s="162" t="s">
        <v>147</v>
      </c>
      <c r="C2" s="162" t="s">
        <v>148</v>
      </c>
      <c r="D2" s="162" t="s">
        <v>147</v>
      </c>
      <c r="E2" s="162" t="s">
        <v>148</v>
      </c>
      <c r="F2" s="162" t="s">
        <v>147</v>
      </c>
      <c r="G2" s="162" t="s">
        <v>149</v>
      </c>
      <c r="H2" s="162" t="s">
        <v>148</v>
      </c>
      <c r="I2" s="163" t="s">
        <v>150</v>
      </c>
      <c r="J2" s="164"/>
      <c r="K2" s="165" t="s">
        <v>165</v>
      </c>
      <c r="L2" s="166" t="s">
        <v>166</v>
      </c>
      <c r="M2" s="146"/>
      <c r="N2" s="149" t="s">
        <v>147</v>
      </c>
      <c r="O2" s="162" t="s">
        <v>148</v>
      </c>
      <c r="P2" s="167" t="s">
        <v>147</v>
      </c>
      <c r="Q2" s="162" t="s">
        <v>147</v>
      </c>
      <c r="R2" s="162" t="s">
        <v>148</v>
      </c>
      <c r="S2" s="162" t="s">
        <v>147</v>
      </c>
      <c r="T2" s="163" t="s">
        <v>148</v>
      </c>
      <c r="U2" s="168" t="s">
        <v>151</v>
      </c>
      <c r="V2" s="162" t="s">
        <v>52</v>
      </c>
      <c r="W2" s="162" t="s">
        <v>152</v>
      </c>
      <c r="X2" s="169" t="s">
        <v>153</v>
      </c>
    </row>
    <row r="3" spans="1:26">
      <c r="A3" s="170">
        <v>44927</v>
      </c>
      <c r="B3" s="147"/>
      <c r="C3" s="147"/>
      <c r="D3" s="171">
        <v>15</v>
      </c>
      <c r="E3" s="171">
        <v>13</v>
      </c>
      <c r="F3" s="172">
        <v>152110</v>
      </c>
      <c r="G3" s="172">
        <v>16380</v>
      </c>
      <c r="H3" s="172">
        <v>230550</v>
      </c>
      <c r="I3" s="172">
        <v>11026</v>
      </c>
      <c r="J3" s="173">
        <v>348483</v>
      </c>
      <c r="K3" s="173">
        <v>925274</v>
      </c>
      <c r="L3" s="174">
        <v>4736499</v>
      </c>
      <c r="M3" s="174">
        <v>511.9</v>
      </c>
      <c r="N3" s="172">
        <v>1732</v>
      </c>
      <c r="O3" s="147" t="s">
        <v>182</v>
      </c>
      <c r="P3" s="172">
        <v>1688</v>
      </c>
      <c r="Q3" s="171">
        <v>449</v>
      </c>
      <c r="R3" s="147"/>
      <c r="S3" s="172">
        <v>1421</v>
      </c>
      <c r="T3" s="175">
        <v>14238</v>
      </c>
      <c r="U3" s="176">
        <v>5991</v>
      </c>
      <c r="V3" s="172">
        <v>1232</v>
      </c>
      <c r="W3" s="147" t="s">
        <v>182</v>
      </c>
      <c r="X3" s="177">
        <v>3892007</v>
      </c>
    </row>
    <row r="4" spans="1:26">
      <c r="A4" s="170">
        <v>44958</v>
      </c>
      <c r="B4" s="147"/>
      <c r="C4" s="147"/>
      <c r="D4" s="171">
        <v>7</v>
      </c>
      <c r="E4" s="171">
        <v>5</v>
      </c>
      <c r="F4" s="172">
        <v>127121</v>
      </c>
      <c r="G4" s="172">
        <v>18091</v>
      </c>
      <c r="H4" s="172">
        <v>75271</v>
      </c>
      <c r="I4" s="172">
        <v>8690</v>
      </c>
      <c r="J4" s="172">
        <v>171435</v>
      </c>
      <c r="K4" s="172">
        <v>362665</v>
      </c>
      <c r="L4" s="178">
        <v>2626714</v>
      </c>
      <c r="M4" s="178">
        <v>724.28</v>
      </c>
      <c r="N4" s="171">
        <v>446</v>
      </c>
      <c r="O4" s="147" t="s">
        <v>182</v>
      </c>
      <c r="P4" s="171">
        <v>420</v>
      </c>
      <c r="Q4" s="171">
        <v>448</v>
      </c>
      <c r="R4" s="147"/>
      <c r="S4" s="172">
        <v>1800</v>
      </c>
      <c r="T4" s="175">
        <v>8154</v>
      </c>
      <c r="U4" s="176">
        <v>4021</v>
      </c>
      <c r="V4" s="171">
        <v>821</v>
      </c>
      <c r="W4" s="147" t="s">
        <v>182</v>
      </c>
      <c r="X4" s="177">
        <v>2518197</v>
      </c>
    </row>
    <row r="5" spans="1:26">
      <c r="A5" s="170">
        <v>44986</v>
      </c>
      <c r="B5" s="147"/>
      <c r="C5" s="147"/>
      <c r="D5" s="171">
        <v>20</v>
      </c>
      <c r="E5" s="171">
        <v>12</v>
      </c>
      <c r="F5" s="172">
        <v>175131</v>
      </c>
      <c r="G5" s="172">
        <v>20054</v>
      </c>
      <c r="H5" s="172">
        <v>168379</v>
      </c>
      <c r="I5" s="172">
        <v>7292</v>
      </c>
      <c r="J5" s="172">
        <v>309696</v>
      </c>
      <c r="K5" s="172">
        <v>689249</v>
      </c>
      <c r="L5" s="178">
        <v>4477005</v>
      </c>
      <c r="M5" s="178">
        <v>649.54999999999995</v>
      </c>
      <c r="N5" s="171">
        <v>639</v>
      </c>
      <c r="O5" s="171">
        <v>71</v>
      </c>
      <c r="P5" s="171">
        <v>560</v>
      </c>
      <c r="Q5" s="171">
        <v>419</v>
      </c>
      <c r="R5" s="171">
        <v>638</v>
      </c>
      <c r="S5" s="172">
        <v>3744</v>
      </c>
      <c r="T5" s="175">
        <v>3300</v>
      </c>
      <c r="U5" s="176">
        <v>11971</v>
      </c>
      <c r="V5" s="172">
        <v>2525</v>
      </c>
      <c r="W5" s="147" t="s">
        <v>182</v>
      </c>
      <c r="X5" s="177">
        <v>3530907</v>
      </c>
    </row>
    <row r="6" spans="1:26">
      <c r="A6" s="170">
        <v>45017</v>
      </c>
      <c r="B6" s="147"/>
      <c r="C6" s="147"/>
      <c r="D6" s="171">
        <v>11</v>
      </c>
      <c r="E6" s="171">
        <v>8</v>
      </c>
      <c r="F6" s="172">
        <v>165549</v>
      </c>
      <c r="G6" s="172">
        <v>18081</v>
      </c>
      <c r="H6" s="172">
        <v>397401</v>
      </c>
      <c r="I6" s="172">
        <v>4315</v>
      </c>
      <c r="J6" s="172">
        <v>526985</v>
      </c>
      <c r="K6" s="172">
        <v>1464126</v>
      </c>
      <c r="L6" s="178">
        <v>4722657</v>
      </c>
      <c r="M6" s="178">
        <v>322.56</v>
      </c>
      <c r="N6" s="171">
        <v>876</v>
      </c>
      <c r="O6" s="171">
        <v>131</v>
      </c>
      <c r="P6" s="171">
        <v>779</v>
      </c>
      <c r="Q6" s="171">
        <v>363</v>
      </c>
      <c r="R6" s="172">
        <v>1214</v>
      </c>
      <c r="S6" s="172">
        <v>2409</v>
      </c>
      <c r="T6" s="175">
        <v>2809</v>
      </c>
      <c r="U6" s="176">
        <v>7263</v>
      </c>
      <c r="V6" s="172">
        <v>3178</v>
      </c>
      <c r="W6" s="147" t="s">
        <v>182</v>
      </c>
      <c r="X6" s="177">
        <v>3801239</v>
      </c>
      <c r="Z6" t="s">
        <v>177</v>
      </c>
    </row>
    <row r="7" spans="1:26">
      <c r="A7" s="170">
        <v>45047</v>
      </c>
      <c r="B7" s="147"/>
      <c r="C7" s="147"/>
      <c r="D7" s="171">
        <v>9</v>
      </c>
      <c r="E7" s="171">
        <v>5</v>
      </c>
      <c r="F7" s="172">
        <v>113184</v>
      </c>
      <c r="G7" s="172">
        <v>25371</v>
      </c>
      <c r="H7" s="172">
        <v>218433</v>
      </c>
      <c r="I7" s="172">
        <v>9331</v>
      </c>
      <c r="J7" s="172">
        <v>307073</v>
      </c>
      <c r="K7" s="172">
        <v>691669</v>
      </c>
      <c r="L7" s="178">
        <v>1764617</v>
      </c>
      <c r="M7" s="178">
        <v>255.12</v>
      </c>
      <c r="N7" s="172">
        <v>3187</v>
      </c>
      <c r="O7" s="172">
        <v>9238</v>
      </c>
      <c r="P7" s="172">
        <v>3126</v>
      </c>
      <c r="Q7" s="171">
        <v>797</v>
      </c>
      <c r="R7" s="172">
        <v>3287</v>
      </c>
      <c r="S7" s="172">
        <v>8237</v>
      </c>
      <c r="T7" s="175">
        <v>20199</v>
      </c>
      <c r="U7" s="176">
        <v>5633</v>
      </c>
      <c r="V7" s="172">
        <v>2384</v>
      </c>
      <c r="W7" s="147" t="s">
        <v>182</v>
      </c>
      <c r="X7" s="177">
        <v>1364618</v>
      </c>
    </row>
    <row r="8" spans="1:26">
      <c r="A8" s="170">
        <v>45078</v>
      </c>
      <c r="B8" s="147"/>
      <c r="C8" s="147"/>
      <c r="D8" s="171">
        <v>9</v>
      </c>
      <c r="E8" s="171">
        <v>5</v>
      </c>
      <c r="F8" s="172">
        <v>150402</v>
      </c>
      <c r="G8" s="172">
        <v>55561</v>
      </c>
      <c r="H8" s="172">
        <v>124184</v>
      </c>
      <c r="I8" s="172">
        <v>4694</v>
      </c>
      <c r="J8" s="172">
        <v>209471</v>
      </c>
      <c r="K8" s="172">
        <v>300596</v>
      </c>
      <c r="L8" s="178">
        <v>1264256</v>
      </c>
      <c r="M8" s="178">
        <v>420.58</v>
      </c>
      <c r="N8" s="172">
        <v>30876</v>
      </c>
      <c r="O8" s="171">
        <v>469</v>
      </c>
      <c r="P8" s="172">
        <v>27407</v>
      </c>
      <c r="Q8" s="172">
        <v>7131</v>
      </c>
      <c r="R8" s="172">
        <v>1976</v>
      </c>
      <c r="S8" s="172">
        <v>217271</v>
      </c>
      <c r="T8" s="175">
        <v>2564</v>
      </c>
      <c r="U8" s="176">
        <v>9967</v>
      </c>
      <c r="V8" s="172">
        <v>1079</v>
      </c>
      <c r="W8" s="147" t="s">
        <v>182</v>
      </c>
      <c r="X8" s="177">
        <v>653261</v>
      </c>
    </row>
    <row r="9" spans="1:26">
      <c r="A9" s="170">
        <v>45108</v>
      </c>
      <c r="B9" s="147"/>
      <c r="C9" s="147"/>
      <c r="D9" s="171">
        <v>15</v>
      </c>
      <c r="E9" s="171">
        <v>14</v>
      </c>
      <c r="F9" s="172">
        <v>393143</v>
      </c>
      <c r="G9" s="172">
        <v>27247</v>
      </c>
      <c r="H9" s="172">
        <v>337085</v>
      </c>
      <c r="I9" s="172">
        <v>6344</v>
      </c>
      <c r="J9" s="172">
        <v>702604</v>
      </c>
      <c r="K9" s="172">
        <v>1663354</v>
      </c>
      <c r="L9" s="178">
        <v>6317775</v>
      </c>
      <c r="M9" s="178">
        <v>379.82</v>
      </c>
      <c r="N9" s="171">
        <v>355</v>
      </c>
      <c r="O9" s="171">
        <v>648</v>
      </c>
      <c r="P9" s="171">
        <v>276</v>
      </c>
      <c r="Q9" s="171">
        <v>408</v>
      </c>
      <c r="R9" s="172">
        <v>1232</v>
      </c>
      <c r="S9" s="172">
        <v>11561</v>
      </c>
      <c r="T9" s="175">
        <v>3902</v>
      </c>
      <c r="U9" s="176">
        <v>6344</v>
      </c>
      <c r="V9" s="172">
        <v>3524</v>
      </c>
      <c r="W9" s="147" t="s">
        <v>182</v>
      </c>
      <c r="X9" s="177">
        <v>3231364</v>
      </c>
    </row>
    <row r="10" spans="1:26">
      <c r="A10" s="170">
        <v>45139</v>
      </c>
      <c r="B10" s="147"/>
      <c r="C10" s="147"/>
      <c r="D10" s="171">
        <v>15</v>
      </c>
      <c r="E10" s="171">
        <v>17</v>
      </c>
      <c r="F10" s="172">
        <v>496814</v>
      </c>
      <c r="G10" s="172">
        <v>30404</v>
      </c>
      <c r="H10" s="172">
        <v>225393</v>
      </c>
      <c r="I10" s="172">
        <v>5858</v>
      </c>
      <c r="J10" s="172">
        <v>684694</v>
      </c>
      <c r="K10" s="172">
        <v>1386900</v>
      </c>
      <c r="L10" s="178">
        <v>6580678</v>
      </c>
      <c r="M10" s="178">
        <v>474.49</v>
      </c>
      <c r="N10" s="171">
        <v>227</v>
      </c>
      <c r="O10" s="171">
        <v>340</v>
      </c>
      <c r="P10" s="171">
        <v>152</v>
      </c>
      <c r="Q10" s="171">
        <v>247</v>
      </c>
      <c r="R10" s="172">
        <v>1012</v>
      </c>
      <c r="S10" s="172">
        <v>8354</v>
      </c>
      <c r="T10" s="175">
        <v>4267</v>
      </c>
      <c r="U10" s="176">
        <v>6112</v>
      </c>
      <c r="V10" s="172">
        <v>5948</v>
      </c>
      <c r="W10" s="147" t="s">
        <v>182</v>
      </c>
      <c r="X10" s="148"/>
    </row>
    <row r="11" spans="1:26">
      <c r="A11" s="170">
        <v>45170</v>
      </c>
      <c r="B11" s="147"/>
      <c r="C11" s="147"/>
      <c r="D11" s="171">
        <v>19</v>
      </c>
      <c r="E11" s="171">
        <v>14</v>
      </c>
      <c r="F11" s="172">
        <v>552584</v>
      </c>
      <c r="G11" s="172">
        <v>29159</v>
      </c>
      <c r="H11" s="172">
        <v>1575986</v>
      </c>
      <c r="I11" s="172">
        <v>6384</v>
      </c>
      <c r="J11" s="172">
        <v>422064</v>
      </c>
      <c r="K11" s="172">
        <v>894675</v>
      </c>
      <c r="L11" s="178">
        <v>5549772</v>
      </c>
      <c r="M11" s="178">
        <v>620.30999999999995</v>
      </c>
      <c r="N11" s="171">
        <v>122</v>
      </c>
      <c r="O11" s="171">
        <v>823</v>
      </c>
      <c r="P11" s="171">
        <v>67</v>
      </c>
      <c r="Q11" s="171">
        <v>122</v>
      </c>
      <c r="R11" s="171">
        <v>728</v>
      </c>
      <c r="S11" s="172">
        <v>17455</v>
      </c>
      <c r="T11" s="175">
        <v>7824</v>
      </c>
      <c r="U11" s="176">
        <v>8677</v>
      </c>
      <c r="V11" s="172">
        <v>4125</v>
      </c>
      <c r="W11" s="147" t="s">
        <v>182</v>
      </c>
      <c r="X11" s="177">
        <v>2616541</v>
      </c>
    </row>
    <row r="12" spans="1:26">
      <c r="A12" s="170">
        <v>45200</v>
      </c>
      <c r="B12" s="147"/>
      <c r="C12" s="147"/>
      <c r="D12" s="171">
        <v>15</v>
      </c>
      <c r="E12" s="171">
        <v>15</v>
      </c>
      <c r="F12" s="172">
        <v>595990</v>
      </c>
      <c r="G12" s="172">
        <v>24418</v>
      </c>
      <c r="H12" s="172">
        <v>2154607</v>
      </c>
      <c r="I12" s="172">
        <v>5981</v>
      </c>
      <c r="J12" s="172">
        <v>1384096</v>
      </c>
      <c r="K12" s="172">
        <v>2816215</v>
      </c>
      <c r="L12" s="178">
        <v>12093254</v>
      </c>
      <c r="M12" s="178">
        <v>429.42</v>
      </c>
      <c r="N12" s="171">
        <v>152</v>
      </c>
      <c r="O12" s="171">
        <v>525</v>
      </c>
      <c r="P12" s="171">
        <v>92</v>
      </c>
      <c r="Q12" s="171">
        <v>224</v>
      </c>
      <c r="R12" s="171">
        <v>684</v>
      </c>
      <c r="S12" s="172">
        <v>28573</v>
      </c>
      <c r="T12" s="175">
        <v>10581</v>
      </c>
      <c r="U12" s="176">
        <v>13547</v>
      </c>
      <c r="V12" s="172">
        <v>6164</v>
      </c>
      <c r="W12" s="147" t="s">
        <v>182</v>
      </c>
      <c r="X12" s="148"/>
    </row>
    <row r="13" spans="1:26">
      <c r="A13" s="170">
        <v>45231</v>
      </c>
      <c r="B13" s="147"/>
      <c r="C13" s="147"/>
      <c r="D13" s="171">
        <v>17</v>
      </c>
      <c r="E13" s="171">
        <v>13</v>
      </c>
      <c r="F13" s="172">
        <v>411639</v>
      </c>
      <c r="G13" s="172">
        <v>30876</v>
      </c>
      <c r="H13" s="172">
        <v>707256</v>
      </c>
      <c r="I13" s="172">
        <v>27424</v>
      </c>
      <c r="J13" s="172">
        <v>1083571</v>
      </c>
      <c r="K13" s="172">
        <v>2189040</v>
      </c>
      <c r="L13" s="178">
        <v>10895902</v>
      </c>
      <c r="M13" s="178">
        <v>497.75</v>
      </c>
      <c r="N13" s="171">
        <v>215</v>
      </c>
      <c r="O13" s="171">
        <v>720</v>
      </c>
      <c r="P13" s="171">
        <v>83</v>
      </c>
      <c r="Q13" s="171">
        <v>526</v>
      </c>
      <c r="R13" s="171">
        <v>537</v>
      </c>
      <c r="S13" s="172">
        <v>21317</v>
      </c>
      <c r="T13" s="175">
        <v>7018</v>
      </c>
      <c r="U13" s="176">
        <v>13458</v>
      </c>
      <c r="V13" s="172">
        <v>5954</v>
      </c>
      <c r="W13" s="147" t="s">
        <v>182</v>
      </c>
      <c r="X13" s="148"/>
    </row>
    <row r="14" spans="1:26">
      <c r="A14" s="170">
        <v>45261</v>
      </c>
      <c r="B14" s="147"/>
      <c r="C14" s="147"/>
      <c r="D14" s="171">
        <v>19</v>
      </c>
      <c r="E14" s="171">
        <v>15</v>
      </c>
      <c r="F14" s="172">
        <v>326081</v>
      </c>
      <c r="G14" s="172">
        <v>30752</v>
      </c>
      <c r="H14" s="172">
        <v>389586</v>
      </c>
      <c r="I14" s="172">
        <v>4775</v>
      </c>
      <c r="J14" s="172">
        <v>638448</v>
      </c>
      <c r="K14" s="172">
        <v>1246594</v>
      </c>
      <c r="L14" s="178">
        <v>4828981</v>
      </c>
      <c r="M14" s="178">
        <v>387.37</v>
      </c>
      <c r="N14" s="171">
        <v>77</v>
      </c>
      <c r="O14" s="171">
        <v>205</v>
      </c>
      <c r="P14" s="171">
        <v>43</v>
      </c>
      <c r="Q14" s="171">
        <v>525</v>
      </c>
      <c r="R14" s="171">
        <v>485</v>
      </c>
      <c r="S14" s="172">
        <v>13090</v>
      </c>
      <c r="T14" s="175">
        <v>4002</v>
      </c>
      <c r="U14" s="176">
        <v>10333</v>
      </c>
      <c r="V14" s="172">
        <v>4297</v>
      </c>
      <c r="W14" s="147" t="s">
        <v>182</v>
      </c>
      <c r="X14" s="148"/>
    </row>
    <row r="15" spans="1:26">
      <c r="A15" s="170">
        <v>45292</v>
      </c>
      <c r="B15" s="147"/>
      <c r="C15" s="147"/>
      <c r="D15" s="171">
        <v>21</v>
      </c>
      <c r="E15" s="171">
        <v>16</v>
      </c>
      <c r="F15" s="172">
        <v>399275</v>
      </c>
      <c r="G15" s="172">
        <v>39650</v>
      </c>
      <c r="H15" s="172">
        <v>339172</v>
      </c>
      <c r="I15" s="172">
        <v>4578</v>
      </c>
      <c r="J15" s="172">
        <v>760799</v>
      </c>
      <c r="K15" s="172">
        <v>1866632</v>
      </c>
      <c r="L15" s="178">
        <v>7214062</v>
      </c>
      <c r="M15" s="178">
        <v>386.47</v>
      </c>
      <c r="N15" s="171">
        <v>133</v>
      </c>
      <c r="O15" s="171">
        <v>184</v>
      </c>
      <c r="P15" s="171">
        <v>76</v>
      </c>
      <c r="Q15" s="171">
        <v>480</v>
      </c>
      <c r="R15" s="171">
        <v>458</v>
      </c>
      <c r="S15" s="172">
        <v>24530</v>
      </c>
      <c r="T15" s="175">
        <v>2952</v>
      </c>
      <c r="U15" s="176">
        <v>15303</v>
      </c>
      <c r="V15" s="172">
        <v>8588</v>
      </c>
      <c r="W15" s="172">
        <v>51476</v>
      </c>
      <c r="X15" s="148"/>
    </row>
    <row r="16" spans="1:26">
      <c r="A16" s="170">
        <v>45323</v>
      </c>
      <c r="B16" s="147"/>
      <c r="C16" s="147"/>
      <c r="D16" s="171">
        <v>12</v>
      </c>
      <c r="E16" s="171">
        <v>10</v>
      </c>
      <c r="F16" s="172">
        <v>173174</v>
      </c>
      <c r="G16" s="172">
        <v>24813</v>
      </c>
      <c r="H16" s="172">
        <v>157953</v>
      </c>
      <c r="I16" s="172">
        <v>3560</v>
      </c>
      <c r="J16" s="172">
        <v>346719</v>
      </c>
      <c r="K16" s="172">
        <v>659362</v>
      </c>
      <c r="L16" s="178">
        <v>2746107</v>
      </c>
      <c r="M16" s="178">
        <v>416.48</v>
      </c>
      <c r="N16" s="171">
        <v>74</v>
      </c>
      <c r="O16" s="171">
        <v>156</v>
      </c>
      <c r="P16" s="171">
        <v>0</v>
      </c>
      <c r="Q16" s="171">
        <v>480</v>
      </c>
      <c r="R16" s="171">
        <v>429</v>
      </c>
      <c r="S16" s="172">
        <v>12226</v>
      </c>
      <c r="T16" s="175">
        <v>2601</v>
      </c>
      <c r="U16" s="176">
        <v>6807</v>
      </c>
      <c r="V16" s="172">
        <v>3033</v>
      </c>
      <c r="W16" s="172">
        <v>18322</v>
      </c>
      <c r="X16" s="148"/>
    </row>
    <row r="17" spans="1:24">
      <c r="A17" s="170" t="s">
        <v>180</v>
      </c>
      <c r="B17" s="147"/>
      <c r="C17" s="147"/>
      <c r="D17" s="171">
        <v>13</v>
      </c>
      <c r="E17" s="171">
        <v>11</v>
      </c>
      <c r="F17" s="172">
        <v>199557</v>
      </c>
      <c r="G17" s="172">
        <v>23786</v>
      </c>
      <c r="H17" s="172">
        <v>151612</v>
      </c>
      <c r="I17" s="172">
        <v>6192</v>
      </c>
      <c r="J17" s="172">
        <v>297746</v>
      </c>
      <c r="K17" s="172">
        <v>551444</v>
      </c>
      <c r="L17" s="178">
        <v>2288078</v>
      </c>
      <c r="M17" s="178">
        <v>414.92</v>
      </c>
      <c r="N17" s="171">
        <v>100</v>
      </c>
      <c r="O17" s="171">
        <v>1071</v>
      </c>
      <c r="P17" s="171">
        <v>0</v>
      </c>
      <c r="Q17" s="171">
        <v>454</v>
      </c>
      <c r="R17" s="171">
        <v>439</v>
      </c>
      <c r="S17" s="172">
        <v>10145</v>
      </c>
      <c r="T17" s="175">
        <v>4353</v>
      </c>
      <c r="U17" s="176">
        <v>9707</v>
      </c>
      <c r="V17" s="172">
        <v>2306</v>
      </c>
      <c r="W17" s="172">
        <v>11463</v>
      </c>
      <c r="X17" s="179"/>
    </row>
    <row r="18" spans="1:24">
      <c r="A18" s="170" t="s">
        <v>193</v>
      </c>
      <c r="B18" s="147"/>
      <c r="C18" s="147"/>
      <c r="D18" s="171">
        <v>17</v>
      </c>
      <c r="E18" s="171">
        <v>11</v>
      </c>
      <c r="F18" s="172">
        <v>294501</v>
      </c>
      <c r="G18" s="172">
        <v>22573</v>
      </c>
      <c r="H18" s="172">
        <v>126532</v>
      </c>
      <c r="I18" s="172">
        <v>6235</v>
      </c>
      <c r="J18" s="172">
        <v>361659</v>
      </c>
      <c r="K18" s="172">
        <v>729804</v>
      </c>
      <c r="L18" s="178">
        <v>2466425</v>
      </c>
      <c r="M18" s="178">
        <v>337.96</v>
      </c>
      <c r="N18" s="171">
        <v>340</v>
      </c>
      <c r="O18" s="171">
        <v>353</v>
      </c>
      <c r="P18" s="171">
        <v>0</v>
      </c>
      <c r="Q18" s="171">
        <v>436</v>
      </c>
      <c r="R18" s="171">
        <v>468</v>
      </c>
      <c r="S18" s="172">
        <v>15870</v>
      </c>
      <c r="T18" s="175">
        <v>3501</v>
      </c>
      <c r="U18" s="176">
        <v>8585</v>
      </c>
      <c r="V18" s="172">
        <v>5606</v>
      </c>
      <c r="W18" s="172">
        <v>19459</v>
      </c>
      <c r="X18" s="179"/>
    </row>
    <row r="19" spans="1:24">
      <c r="A19" s="170" t="s">
        <v>209</v>
      </c>
      <c r="B19" s="147"/>
      <c r="C19" s="147"/>
      <c r="D19" s="171">
        <v>15</v>
      </c>
      <c r="E19" s="171">
        <v>11</v>
      </c>
      <c r="F19" s="172">
        <v>303924</v>
      </c>
      <c r="G19" s="172">
        <v>38896</v>
      </c>
      <c r="H19" s="172">
        <v>95424</v>
      </c>
      <c r="I19" s="172">
        <v>6613</v>
      </c>
      <c r="J19" s="172">
        <v>276069</v>
      </c>
      <c r="K19" s="172">
        <v>561953</v>
      </c>
      <c r="L19" s="178">
        <v>2516381</v>
      </c>
      <c r="M19" s="178">
        <v>447.79</v>
      </c>
      <c r="N19" s="171">
        <v>419</v>
      </c>
      <c r="O19" s="171">
        <v>753</v>
      </c>
      <c r="P19" s="171">
        <v>0</v>
      </c>
      <c r="Q19" s="171">
        <v>465</v>
      </c>
      <c r="R19" s="171">
        <v>367</v>
      </c>
      <c r="S19" s="172">
        <v>14845</v>
      </c>
      <c r="T19" s="175">
        <v>4021</v>
      </c>
      <c r="U19" s="176">
        <v>12390</v>
      </c>
      <c r="V19" s="172">
        <v>3775</v>
      </c>
      <c r="W19" s="172">
        <v>20686</v>
      </c>
      <c r="X19" s="131"/>
    </row>
    <row r="20" spans="1:24">
      <c r="A20" s="170" t="s">
        <v>236</v>
      </c>
      <c r="B20" s="147"/>
      <c r="C20" s="147"/>
      <c r="D20" s="171">
        <v>12</v>
      </c>
      <c r="E20" s="171">
        <v>9</v>
      </c>
      <c r="F20" s="172">
        <v>279861</v>
      </c>
      <c r="G20" s="172">
        <v>23633</v>
      </c>
      <c r="H20" s="172">
        <v>165188</v>
      </c>
      <c r="I20" s="172">
        <v>3975</v>
      </c>
      <c r="J20" s="172">
        <v>334450</v>
      </c>
      <c r="K20" s="172">
        <v>661645</v>
      </c>
      <c r="L20" s="178">
        <v>2859326</v>
      </c>
      <c r="M20" s="178">
        <v>432.15</v>
      </c>
      <c r="N20" s="171">
        <v>408</v>
      </c>
      <c r="O20" s="171">
        <v>337</v>
      </c>
      <c r="P20" s="171">
        <v>0</v>
      </c>
      <c r="Q20" s="171">
        <v>366</v>
      </c>
      <c r="R20" s="171">
        <v>379</v>
      </c>
      <c r="S20" s="172">
        <v>13587</v>
      </c>
      <c r="T20" s="175">
        <v>4256</v>
      </c>
      <c r="U20" s="176">
        <v>7026</v>
      </c>
      <c r="V20" s="172">
        <v>4070</v>
      </c>
      <c r="W20" s="172">
        <v>45105</v>
      </c>
      <c r="X20" s="131"/>
    </row>
    <row r="21" spans="1:24">
      <c r="A21" s="130"/>
      <c r="B21" s="128"/>
      <c r="C21" s="128"/>
      <c r="D21" s="128"/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/>
      <c r="Q21" s="128"/>
      <c r="R21" s="128"/>
      <c r="S21" s="128"/>
      <c r="T21" s="129"/>
      <c r="U21" s="130"/>
      <c r="V21" s="128"/>
      <c r="W21" s="128"/>
      <c r="X21" s="131"/>
    </row>
    <row r="22" spans="1:24">
      <c r="A22" s="130"/>
      <c r="B22" s="128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28"/>
      <c r="Q22" s="128"/>
      <c r="R22" s="128"/>
      <c r="S22" s="128"/>
      <c r="T22" s="129"/>
      <c r="U22" s="130"/>
      <c r="V22" s="128"/>
      <c r="W22" s="128"/>
      <c r="X22" s="131"/>
    </row>
    <row r="23" spans="1:24">
      <c r="A23" s="130"/>
      <c r="B23" s="128"/>
      <c r="C23" s="128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8"/>
      <c r="O23" s="128"/>
      <c r="P23" s="128"/>
      <c r="Q23" s="128"/>
      <c r="R23" s="128"/>
      <c r="S23" s="128"/>
      <c r="T23" s="129"/>
      <c r="U23" s="130"/>
      <c r="V23" s="128"/>
      <c r="W23" s="128"/>
      <c r="X23" s="131"/>
    </row>
    <row r="24" spans="1:24">
      <c r="A24" s="130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8"/>
      <c r="S24" s="128"/>
      <c r="T24" s="129"/>
      <c r="U24" s="130"/>
      <c r="V24" s="128"/>
      <c r="W24" s="128"/>
      <c r="X24" s="131"/>
    </row>
    <row r="25" spans="1:24">
      <c r="A25" s="130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8"/>
      <c r="S25" s="128"/>
      <c r="T25" s="129"/>
      <c r="U25" s="130"/>
      <c r="V25" s="128"/>
      <c r="W25" s="128"/>
      <c r="X25" s="131"/>
    </row>
    <row r="26" spans="1:24">
      <c r="A26" s="130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8"/>
      <c r="S26" s="128"/>
      <c r="T26" s="129"/>
      <c r="U26" s="130"/>
      <c r="V26" s="128"/>
      <c r="W26" s="128"/>
      <c r="X26" s="131"/>
    </row>
    <row r="27" spans="1:24">
      <c r="A27" s="130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9"/>
      <c r="U27" s="130"/>
      <c r="V27" s="128"/>
      <c r="W27" s="128"/>
      <c r="X27" s="131"/>
    </row>
    <row r="28" spans="1:24">
      <c r="A28" s="130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9"/>
      <c r="U28" s="130"/>
      <c r="V28" s="128"/>
      <c r="W28" s="128"/>
      <c r="X28" s="131"/>
    </row>
    <row r="29" spans="1:24">
      <c r="A29" s="130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8"/>
      <c r="S29" s="128"/>
      <c r="T29" s="129"/>
      <c r="U29" s="130"/>
      <c r="V29" s="128"/>
      <c r="W29" s="128"/>
      <c r="X29" s="131"/>
    </row>
    <row r="30" spans="1:24">
      <c r="A30" s="130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9"/>
      <c r="U30" s="130"/>
      <c r="V30" s="128"/>
      <c r="W30" s="128"/>
      <c r="X30" s="131"/>
    </row>
    <row r="31" spans="1:24">
      <c r="A31" s="130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8"/>
      <c r="S31" s="128"/>
      <c r="T31" s="129"/>
      <c r="U31" s="130"/>
      <c r="V31" s="128"/>
      <c r="W31" s="128"/>
      <c r="X31" s="131"/>
    </row>
    <row r="32" spans="1:24">
      <c r="A32" s="130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9"/>
      <c r="U32" s="130"/>
      <c r="V32" s="128"/>
      <c r="W32" s="128"/>
      <c r="X32" s="131"/>
    </row>
    <row r="33" spans="1:24">
      <c r="A33" s="130"/>
      <c r="B33" s="128"/>
      <c r="C33" s="128"/>
      <c r="D33" s="128"/>
      <c r="E33" s="128"/>
      <c r="F33" s="128"/>
      <c r="G33" s="128"/>
      <c r="H33" s="128"/>
      <c r="I33" s="128"/>
      <c r="J33" s="128"/>
      <c r="K33" s="128"/>
      <c r="L33" s="128"/>
      <c r="M33" s="128"/>
      <c r="N33" s="128"/>
      <c r="O33" s="128"/>
      <c r="P33" s="128"/>
      <c r="Q33" s="128"/>
      <c r="R33" s="128"/>
      <c r="S33" s="128"/>
      <c r="T33" s="129"/>
      <c r="U33" s="130"/>
      <c r="V33" s="128"/>
      <c r="W33" s="128"/>
      <c r="X33" s="131"/>
    </row>
    <row r="34" spans="1:24">
      <c r="A34" s="130"/>
      <c r="B34" s="128"/>
      <c r="C34" s="128"/>
      <c r="D34" s="128"/>
      <c r="E34" s="128"/>
      <c r="F34" s="128"/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9"/>
      <c r="U34" s="130"/>
      <c r="V34" s="128"/>
      <c r="W34" s="128"/>
      <c r="X34" s="131"/>
    </row>
    <row r="35" spans="1:24">
      <c r="A35" s="130"/>
      <c r="B35" s="128"/>
      <c r="C35" s="128"/>
      <c r="D35" s="128"/>
      <c r="E35" s="128"/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9"/>
      <c r="U35" s="130"/>
      <c r="V35" s="128"/>
      <c r="W35" s="128"/>
      <c r="X35" s="131"/>
    </row>
    <row r="36" spans="1:24">
      <c r="A36" s="130"/>
      <c r="B36" s="128"/>
      <c r="C36" s="128"/>
      <c r="D36" s="128"/>
      <c r="E36" s="128"/>
      <c r="F36" s="128"/>
      <c r="G36" s="128"/>
      <c r="H36" s="128"/>
      <c r="I36" s="128"/>
      <c r="J36" s="128"/>
      <c r="K36" s="128"/>
      <c r="L36" s="128"/>
      <c r="M36" s="128"/>
      <c r="N36" s="128"/>
      <c r="O36" s="128"/>
      <c r="P36" s="128"/>
      <c r="Q36" s="128"/>
      <c r="R36" s="128"/>
      <c r="S36" s="128"/>
      <c r="T36" s="129"/>
      <c r="U36" s="130"/>
      <c r="V36" s="128"/>
      <c r="W36" s="128"/>
      <c r="X36" s="131"/>
    </row>
    <row r="37" spans="1:24">
      <c r="A37" s="130"/>
      <c r="B37" s="128"/>
      <c r="C37" s="128"/>
      <c r="D37" s="128"/>
      <c r="E37" s="128"/>
      <c r="F37" s="128"/>
      <c r="G37" s="128"/>
      <c r="H37" s="128"/>
      <c r="I37" s="128"/>
      <c r="J37" s="128"/>
      <c r="K37" s="128"/>
      <c r="L37" s="128"/>
      <c r="M37" s="128"/>
      <c r="N37" s="128"/>
      <c r="O37" s="128"/>
      <c r="P37" s="128"/>
      <c r="Q37" s="128"/>
      <c r="R37" s="128"/>
      <c r="S37" s="128"/>
      <c r="T37" s="129"/>
      <c r="U37" s="130"/>
      <c r="V37" s="128"/>
      <c r="W37" s="128"/>
      <c r="X37" s="131"/>
    </row>
    <row r="38" spans="1:24" ht="17.25" thickBot="1">
      <c r="A38" s="132"/>
      <c r="B38" s="133"/>
      <c r="C38" s="133"/>
      <c r="D38" s="133"/>
      <c r="E38" s="133"/>
      <c r="F38" s="133"/>
      <c r="G38" s="133"/>
      <c r="H38" s="133"/>
      <c r="I38" s="133"/>
      <c r="J38" s="133"/>
      <c r="K38" s="133"/>
      <c r="L38" s="133"/>
      <c r="M38" s="133"/>
      <c r="N38" s="133"/>
      <c r="O38" s="133"/>
      <c r="P38" s="133"/>
      <c r="Q38" s="133"/>
      <c r="R38" s="133"/>
      <c r="S38" s="133"/>
      <c r="T38" s="135"/>
      <c r="U38" s="132"/>
      <c r="V38" s="133"/>
      <c r="W38" s="133"/>
      <c r="X38" s="134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9" tint="0.79998168889431442"/>
  </sheetPr>
  <dimension ref="A1:Y74"/>
  <sheetViews>
    <sheetView topLeftCell="E1" zoomScale="85" zoomScaleNormal="85" workbookViewId="0">
      <selection activeCell="U5" sqref="U5"/>
    </sheetView>
  </sheetViews>
  <sheetFormatPr defaultColWidth="8.75" defaultRowHeight="16.5"/>
  <cols>
    <col min="1" max="1" width="18.5" style="101" customWidth="1"/>
    <col min="2" max="5" width="18.5" style="63" customWidth="1"/>
    <col min="6" max="7" width="8.75" style="63"/>
    <col min="8" max="8" width="19.5" style="63" bestFit="1" customWidth="1"/>
    <col min="9" max="9" width="19.5" style="63" customWidth="1"/>
    <col min="10" max="11" width="8.75" style="63"/>
    <col min="12" max="15" width="12.75" style="63" customWidth="1"/>
    <col min="16" max="18" width="8.75" style="63"/>
    <col min="19" max="19" width="15.875" style="63" bestFit="1" customWidth="1"/>
    <col min="20" max="22" width="8.75" style="63"/>
    <col min="23" max="24" width="8.875" style="63" bestFit="1" customWidth="1"/>
    <col min="25" max="25" width="10.875" style="63" customWidth="1"/>
    <col min="26" max="16384" width="8.75" style="63"/>
  </cols>
  <sheetData>
    <row r="1" spans="1:25" ht="17.25" thickBot="1">
      <c r="A1" s="99" t="s">
        <v>62</v>
      </c>
      <c r="B1" s="62" t="s">
        <v>63</v>
      </c>
      <c r="C1" s="62" t="s">
        <v>88</v>
      </c>
      <c r="D1" s="62" t="s">
        <v>64</v>
      </c>
      <c r="E1" s="62" t="s">
        <v>65</v>
      </c>
      <c r="F1" s="62" t="s">
        <v>56</v>
      </c>
      <c r="G1" s="62" t="s">
        <v>66</v>
      </c>
      <c r="H1" s="62" t="s">
        <v>172</v>
      </c>
      <c r="I1" s="62" t="s">
        <v>175</v>
      </c>
    </row>
    <row r="2" spans="1:25" ht="17.25" thickBot="1">
      <c r="A2" s="100">
        <v>45078</v>
      </c>
      <c r="B2" s="64">
        <v>330054</v>
      </c>
      <c r="C2" s="64">
        <v>30876</v>
      </c>
      <c r="D2" s="64">
        <v>9</v>
      </c>
      <c r="E2" s="64">
        <v>161213</v>
      </c>
      <c r="F2" s="64">
        <v>16020</v>
      </c>
      <c r="G2" s="65">
        <v>9.9371638763623288E-2</v>
      </c>
      <c r="H2" s="64" t="s">
        <v>173</v>
      </c>
      <c r="I2" s="141" t="s">
        <v>173</v>
      </c>
      <c r="K2" s="209" t="s">
        <v>98</v>
      </c>
      <c r="L2" s="210"/>
      <c r="M2" s="210"/>
      <c r="N2" s="210"/>
      <c r="O2" s="210"/>
      <c r="P2" s="210"/>
      <c r="Q2" s="210"/>
      <c r="R2" s="210"/>
      <c r="S2" s="211"/>
      <c r="T2" s="118" t="s">
        <v>125</v>
      </c>
    </row>
    <row r="3" spans="1:25">
      <c r="A3" s="100">
        <v>45108</v>
      </c>
      <c r="B3" s="64">
        <v>329242</v>
      </c>
      <c r="C3" s="64">
        <v>355</v>
      </c>
      <c r="D3" s="64">
        <v>15</v>
      </c>
      <c r="E3" s="64">
        <v>551335</v>
      </c>
      <c r="F3" s="64">
        <v>12862</v>
      </c>
      <c r="G3" s="65">
        <v>2.3328829114785021E-2</v>
      </c>
      <c r="H3" s="64" t="s">
        <v>173</v>
      </c>
      <c r="I3" s="141" t="s">
        <v>173</v>
      </c>
      <c r="K3" s="137" t="s">
        <v>95</v>
      </c>
      <c r="L3" s="138" t="s">
        <v>96</v>
      </c>
      <c r="M3" s="138" t="s">
        <v>97</v>
      </c>
      <c r="N3" s="138" t="s">
        <v>64</v>
      </c>
      <c r="O3" s="138" t="s">
        <v>65</v>
      </c>
      <c r="P3" s="138" t="s">
        <v>56</v>
      </c>
      <c r="Q3" s="138" t="s">
        <v>61</v>
      </c>
      <c r="R3" s="138" t="s">
        <v>140</v>
      </c>
      <c r="S3" s="139" t="s">
        <v>174</v>
      </c>
      <c r="T3" s="111"/>
    </row>
    <row r="4" spans="1:25" ht="17.25" thickBot="1">
      <c r="A4" s="100" t="s">
        <v>114</v>
      </c>
      <c r="B4" s="64">
        <v>328540</v>
      </c>
      <c r="C4" s="64">
        <v>152</v>
      </c>
      <c r="D4" s="64">
        <v>19</v>
      </c>
      <c r="E4" s="64">
        <v>496814</v>
      </c>
      <c r="F4" s="64">
        <v>8289</v>
      </c>
      <c r="G4" s="65">
        <v>1.668431243886042E-2</v>
      </c>
      <c r="H4" s="64" t="s">
        <v>173</v>
      </c>
      <c r="I4" s="141" t="s">
        <v>173</v>
      </c>
      <c r="K4" s="98">
        <f>일일data!$A$4</f>
        <v>45444</v>
      </c>
      <c r="L4" s="68">
        <f>VLOOKUP(EOMONTH(일일data!$A$4,0),일일data!$A:$Z,13,FALSE)</f>
        <v>323112</v>
      </c>
      <c r="M4" s="68" cm="1">
        <f t="array" ref="M4">INDEX('구글시트 data'!P:P,COUNTA('구글시트 data'!P:P))</f>
        <v>0</v>
      </c>
      <c r="N4" s="68">
        <f>COUNTA('FB 콘텐츠 data'!A:A)-1</f>
        <v>12</v>
      </c>
      <c r="O4" s="68" cm="1">
        <f t="array" ref="O4">INDEX('구글시트 data'!F:F,COUNTA('구글시트 data'!F:F)+1)</f>
        <v>279861</v>
      </c>
      <c r="P4" s="68" cm="1">
        <f t="array" ref="P4">INDEX('구글시트 data'!U:U,COUNTA('구글시트 data'!U:U))</f>
        <v>7026</v>
      </c>
      <c r="Q4" s="140">
        <f>P4/O4</f>
        <v>2.5105320141070031E-2</v>
      </c>
      <c r="R4" s="68">
        <f ca="1">SUM(
  INDIRECT("'FB 콘텐츠 data'!R"&amp;1&amp;"C"&amp;MATCH($R$3,'FB 콘텐츠 data'!$A$1:$AP$1,0),FALSE):
  INDIRECT("'FB 콘텐츠 data'!R"&amp;100&amp;"C"&amp;MATCH($R$3,'FB 콘텐츠 data'!$A$1:$AP$1,0),FALSE)
)</f>
        <v>194886</v>
      </c>
      <c r="S4" s="142">
        <f ca="1">R4/N4</f>
        <v>16240.5</v>
      </c>
      <c r="T4" s="111"/>
    </row>
    <row r="5" spans="1:25">
      <c r="A5" s="100" t="s">
        <v>115</v>
      </c>
      <c r="B5" s="64">
        <v>327807</v>
      </c>
      <c r="C5" s="64">
        <v>67</v>
      </c>
      <c r="D5" s="64">
        <v>16</v>
      </c>
      <c r="E5" s="64">
        <v>552584</v>
      </c>
      <c r="F5" s="64">
        <v>8677</v>
      </c>
      <c r="G5" s="65">
        <v>1.5702590013464017E-2</v>
      </c>
      <c r="H5" s="64" t="s">
        <v>173</v>
      </c>
      <c r="I5" s="141" t="s">
        <v>173</v>
      </c>
      <c r="T5" s="111"/>
      <c r="U5" s="219" t="str">
        <f>"팔로워 "&amp;TEXT(ABS(INDEX(B:B,COUNTA(B:B))-INDEX(B:B,COUNTA(B:B)-1)),"#,###")&amp;"명"&amp;CHAR(10)&amp;"("&amp;TEXT((INDEX(B:B,COUNTA(B:B))-INDEX(B:B,COUNTA(B:B)-1))/INDEX(B:B,COUNTA(B:B)-1),"0.##%")&amp;IF(INDEX(B:B,COUNTA(B:B))&gt;INDEX(B:B,COUNTA(B:B)-1),") 증가",") 감소")</f>
        <v>팔로워 203명
(-0.06%) 감소</v>
      </c>
    </row>
    <row r="6" spans="1:25">
      <c r="A6" s="100" t="s">
        <v>113</v>
      </c>
      <c r="B6" s="64">
        <v>327316</v>
      </c>
      <c r="C6" s="64">
        <v>92</v>
      </c>
      <c r="D6" s="64">
        <v>17</v>
      </c>
      <c r="E6" s="64">
        <v>595990</v>
      </c>
      <c r="F6" s="64">
        <v>13547</v>
      </c>
      <c r="G6" s="65">
        <v>2.2730247151797851E-2</v>
      </c>
      <c r="H6" s="64" t="s">
        <v>173</v>
      </c>
      <c r="I6" s="141" t="s">
        <v>173</v>
      </c>
      <c r="L6" s="207" t="str">
        <f>IF(K4=INDEX(A:A,COUNTA(A:A)),"현재 장표 작업 완료, ppt에 아래 표 붙여넣으시오","신규 좋아요 수치 직접 기입 후 위의 초록셀을 왼쪽 표에 값붙하시오")</f>
        <v>현재 장표 작업 완료, ppt에 아래 표 붙여넣으시오</v>
      </c>
      <c r="M6" s="207"/>
      <c r="N6" s="207"/>
      <c r="O6" s="207"/>
      <c r="T6" s="111"/>
      <c r="U6" s="144"/>
      <c r="W6" s="111"/>
    </row>
    <row r="7" spans="1:25">
      <c r="A7" s="100">
        <v>45231</v>
      </c>
      <c r="B7" s="64">
        <v>326663</v>
      </c>
      <c r="C7" s="64">
        <v>83</v>
      </c>
      <c r="D7" s="64">
        <v>14</v>
      </c>
      <c r="E7" s="64">
        <v>411639</v>
      </c>
      <c r="F7" s="64">
        <v>13458</v>
      </c>
      <c r="G7" s="65">
        <v>3.2693695203807223E-2</v>
      </c>
      <c r="H7" s="64" t="s">
        <v>173</v>
      </c>
      <c r="I7" s="141" t="s">
        <v>173</v>
      </c>
      <c r="T7" s="111"/>
    </row>
    <row r="8" spans="1:25">
      <c r="A8" s="100">
        <v>45261</v>
      </c>
      <c r="B8" s="64">
        <v>325870</v>
      </c>
      <c r="C8" s="64">
        <v>43</v>
      </c>
      <c r="D8" s="64">
        <v>19</v>
      </c>
      <c r="E8" s="64">
        <v>326081</v>
      </c>
      <c r="F8" s="64">
        <v>10333</v>
      </c>
      <c r="G8" s="65">
        <v>3.1688445508937964E-2</v>
      </c>
      <c r="H8" s="64" t="s">
        <v>173</v>
      </c>
      <c r="I8" s="141" t="s">
        <v>173</v>
      </c>
      <c r="T8" s="111"/>
      <c r="U8" s="216" t="str" cm="1">
        <f t="array" ref="U8">"• "&amp;MONTH(INDEX(A:A,COUNTA(A:A)))+1&amp;"월 1일 기준 팬 수 "&amp;TEXT(INDEX(B:B,COUNTA(B:B)),"#,###")&amp;"명으로 전월 대비 "&amp;IF(INDEX(B:B,COUNTA(B:B))&gt;INDEX(B:B,COUNTA(B:B)-1),TEXT(ABS((INDEX(B:B,COUNTA(B:B))-INDEX(B:B,COUNTA(B:B)-1))/INDEX(B:B,COUNTA(B:B)-1)),"0.00%")&amp;" 증가",TEXT(ABS((INDEX(B:B,COUNTA(B:B))-INDEX(B:B,COUNTA(B:B)-1))/INDEX(B:B,COUNTA(B:B)-1)),"0.00%")&amp;" 감소")</f>
        <v>• 7월 1일 기준 팬 수 323,112명으로 전월 대비 0.06% 감소</v>
      </c>
    </row>
    <row r="9" spans="1:25">
      <c r="A9" s="100">
        <v>45292</v>
      </c>
      <c r="B9" s="64">
        <v>325213</v>
      </c>
      <c r="C9" s="64">
        <v>76</v>
      </c>
      <c r="D9" s="64">
        <v>22</v>
      </c>
      <c r="E9" s="64">
        <v>399275</v>
      </c>
      <c r="F9" s="64">
        <v>15303</v>
      </c>
      <c r="G9" s="65">
        <v>3.8326967628827251E-2</v>
      </c>
      <c r="H9" s="64">
        <v>623243</v>
      </c>
      <c r="I9" s="141">
        <v>28329.227272727272</v>
      </c>
      <c r="L9" s="208" t="s">
        <v>67</v>
      </c>
      <c r="M9" s="208"/>
      <c r="N9" s="208"/>
      <c r="O9" s="208"/>
      <c r="T9" s="111"/>
      <c r="U9" s="217" t="str">
        <f>"-   "&amp;MONTH(INDEX(A:A,COUNTA(A:A)))&amp;"월 신규 팔로우 "&amp;INDEX('구글시트 data'!N:N,COUNTA('구글시트 data'!N:N))&amp;" 확보, 전월 대비 "&amp;TEXT(ABS((INDEX('구글시트 data'!N:N,(COUNTA('구글시트 data'!N:N)))-INDEX('구글시트 data'!N:N,COUNTA('구글시트 data'!N:N)-1))/INDEX('구글시트 data'!N:N,COUNTA('구글시트 data'!N:N)-1)),"0.00%")&amp;IF(INDEX('구글시트 data'!N:N,(COUNTA('구글시트 data'!N:N)))&gt;INDEX('구글시트 data'!N:N,(COUNTA('구글시트 data'!N:N))-1)," 증가"," 감소")</f>
        <v>-   6월 신규 팔로우 408 확보, 전월 대비 2.63% 감소</v>
      </c>
    </row>
    <row r="10" spans="1:25" ht="20.45" customHeight="1">
      <c r="A10" s="100">
        <v>45323</v>
      </c>
      <c r="B10" s="64">
        <v>324457</v>
      </c>
      <c r="C10" s="64">
        <v>0</v>
      </c>
      <c r="D10" s="64">
        <v>12</v>
      </c>
      <c r="E10" s="64">
        <v>173174</v>
      </c>
      <c r="F10" s="64">
        <v>6807</v>
      </c>
      <c r="G10" s="65">
        <v>3.9307286313187889E-2</v>
      </c>
      <c r="H10" s="64">
        <v>228524</v>
      </c>
      <c r="I10" s="141">
        <v>19043.666666666668</v>
      </c>
      <c r="L10" s="71" t="s">
        <v>126</v>
      </c>
      <c r="M10" s="107">
        <f>INDEX(A:A,COUNTA(B:B)-1)</f>
        <v>45413</v>
      </c>
      <c r="N10" s="107">
        <f>INDEX(A:A,COUNTA(B:B))</f>
        <v>45444</v>
      </c>
      <c r="O10" s="70" t="s">
        <v>72</v>
      </c>
      <c r="T10" s="111"/>
      <c r="U10" s="48" t="str" cm="1">
        <f t="array" ref="U10">"-   "&amp;MONTH(INDEX(A:A,COUNTA(A:A)))&amp;"월 한 달간 페이지 방문 "&amp;TEXT(INDEX('구글시트 data'!S:S,COUNTA('구글시트 data'!S:S)),"#,###")&amp;" 확보, 전월 대비 "&amp;IF(INDEX('구글시트 data'!S:S,COUNTA('구글시트 data'!S:S))&gt;INDEX('구글시트 data'!S:S,COUNTA('구글시트 data'!S:S)-1),TEXT(ABS((INDEX('구글시트 data'!S:S,COUNTA('구글시트 data'!S:S))-INDEX('구글시트 data'!S:S,COUNTA('구글시트 data'!S:S)-1))/INDEX('구글시트 data'!S:S,COUNTA('구글시트 data'!S:S)-1)),"0.00%")&amp;" 증가",TEXT(ABS((INDEX('구글시트 data'!S:S,COUNTA('구글시트 data'!S:S))-INDEX('구글시트 data'!S:S,COUNTA('구글시트 data'!S:S)-1))/INDEX('구글시트 data'!S:S,COUNTA('구글시트 data'!S:S)-1)),"0.00%")&amp;" 감소")</f>
        <v>-   6월 한 달간 페이지 방문 13,587 확보, 전월 대비 8.47% 감소</v>
      </c>
    </row>
    <row r="11" spans="1:25">
      <c r="A11" s="100">
        <v>45352</v>
      </c>
      <c r="B11" s="64">
        <v>323919</v>
      </c>
      <c r="C11" s="64">
        <v>0</v>
      </c>
      <c r="D11" s="64">
        <v>13</v>
      </c>
      <c r="E11" s="64">
        <v>199557</v>
      </c>
      <c r="F11" s="64">
        <v>9707</v>
      </c>
      <c r="G11" s="65">
        <v>4.8642743677245096E-2</v>
      </c>
      <c r="H11" s="64">
        <v>235898</v>
      </c>
      <c r="I11" s="141">
        <v>18146</v>
      </c>
      <c r="L11" s="71" t="s">
        <v>16</v>
      </c>
      <c r="M11" s="72">
        <f>INDEX(B:B,COUNTA(B:B)-1)</f>
        <v>323315</v>
      </c>
      <c r="N11" s="72">
        <f>INDEX(B:B,COUNTA(B:B))</f>
        <v>323112</v>
      </c>
      <c r="O11" s="72" t="str">
        <f>IF(M11&gt;N11,"▼ "&amp;TEXT(ABS((N11-M11)/M11),"0.00%"),"▲ "&amp;TEXT(ABS((N11-M11)/M11),"0.00%"))</f>
        <v>▼ 0.06%</v>
      </c>
      <c r="S11" s="66"/>
      <c r="T11" s="111"/>
      <c r="U11" s="217" t="e" cm="1">
        <f t="array" ref="U11">"-   "&amp;MONTH(INDEX(A:A,COUNTA(A:A)))&amp;"월 한 달간 신규 좋아요 "&amp;TEXT(INDEX(C:C,COUNTA(C:C)),"#,##0")&amp;" 확보, 전월 대비 "&amp;IF(INDEX(C:C,COUNTA(C:C))&gt;INDEX(C:C,COUNTA(C:C)-1),TEXT(ABS((INDEX(C:C,COUNTA(C:C))-INDEX(C:C,COUNTA(C:C)-1))/INDEX(C:C,COUNTA(C:C)-1)),"0.00%")&amp;" 증가",TEXT(ABS((INDEX(C:C,COUNTA(C:C))-INDEX(C:C,COUNTA(C:C)-1))/INDEX(C:C,COUNTA(C:C)-1)),"0.00%")&amp;" 감소")</f>
        <v>#DIV/0!</v>
      </c>
    </row>
    <row r="12" spans="1:25">
      <c r="A12" s="100">
        <v>45383</v>
      </c>
      <c r="B12" s="64">
        <v>323559</v>
      </c>
      <c r="C12" s="64">
        <v>0</v>
      </c>
      <c r="D12" s="64">
        <v>17</v>
      </c>
      <c r="E12" s="64">
        <v>294501</v>
      </c>
      <c r="F12" s="64">
        <v>8585</v>
      </c>
      <c r="G12" s="65">
        <v>2.9151004580629608E-2</v>
      </c>
      <c r="H12" s="64">
        <v>359972</v>
      </c>
      <c r="I12" s="141">
        <v>21174.823529411766</v>
      </c>
      <c r="L12" s="71" t="s">
        <v>89</v>
      </c>
      <c r="M12" s="72">
        <f>INDEX(C:C,COUNTA(C:C)-1)</f>
        <v>0</v>
      </c>
      <c r="N12" s="72">
        <f>INDEX(C:C,COUNTA(C:C))</f>
        <v>0</v>
      </c>
      <c r="O12" s="72" t="str">
        <f>IF(M12=N12,"-",IF(M12&gt;N12,"▼ "&amp;TEXT(ABS((N12-M12)/M12),"0.00%"),"▲ "&amp;TEXT(ABS((N12-M12)/M12),"0.00%")))</f>
        <v>-</v>
      </c>
      <c r="S12" s="66"/>
      <c r="T12" s="111"/>
      <c r="U12" s="218" t="str" cm="1">
        <f t="array" ref="U12">"• "&amp;MONTH(INDEX(A:A,COUNTA(A:A)))&amp;"월 콘텐츠 도달 "&amp;TEXT(INDEX(E:E,COUNTA(E:E)),"#,##0")&amp;" 확보, 전월 대비 "&amp;IF(INDEX(E:E,COUNTA(E:E))&gt;INDEX(E:E,COUNTA(E:E)-1),TEXT(ABS((INDEX(E:E,COUNTA(E:E))-INDEX(E:E,COUNTA(E:E)-1))/INDEX(E:E,COUNTA(E:E)-1)),"0.00%")&amp;" 증가",TEXT(ABS((INDEX(E:E,COUNTA(E:E))-INDEX(E:E,COUNTA(E:E)-1))/INDEX(E:E,COUNTA(E:E)-1)),"0.00%")&amp;" 감소")</f>
        <v>• 6월 콘텐츠 도달 279,861 확보, 전월 대비 7.92% 감소</v>
      </c>
    </row>
    <row r="13" spans="1:25">
      <c r="A13" s="100">
        <v>45413</v>
      </c>
      <c r="B13" s="64">
        <v>323315</v>
      </c>
      <c r="C13" s="64">
        <v>0</v>
      </c>
      <c r="D13" s="64">
        <v>15</v>
      </c>
      <c r="E13" s="64">
        <v>303924</v>
      </c>
      <c r="F13" s="64">
        <v>12390</v>
      </c>
      <c r="G13" s="65">
        <v>4.0766770640028427E-2</v>
      </c>
      <c r="H13" s="64">
        <v>357336</v>
      </c>
      <c r="I13" s="141">
        <v>23822.400000000001</v>
      </c>
      <c r="L13" s="71" t="s">
        <v>17</v>
      </c>
      <c r="M13" s="73">
        <f>INDEX(D:D,COUNTA(D:D)-1)</f>
        <v>15</v>
      </c>
      <c r="N13" s="72">
        <f>INDEX(D:D,COUNTA(D:D))</f>
        <v>12</v>
      </c>
      <c r="O13" s="72" t="str">
        <f t="shared" ref="O13:O15" si="0">IF(M13&gt;N13,"▼ "&amp;TEXT(ABS((N13-M13)/M13),"0.00%"),"▲ "&amp;TEXT(ABS((N13-M13)/M13),"0.00%"))</f>
        <v>▼ 20.00%</v>
      </c>
      <c r="S13" s="66"/>
      <c r="T13" s="111"/>
      <c r="U13" s="217" t="str" cm="1">
        <f t="array" ref="U13">"-   "&amp;MONTH(INDEX(A:A,COUNTA(A:A)))&amp;"월 콘텐츠 오가닉 도달 "&amp;TEXT(INDEX('구글시트 data'!G:G,COUNTA('구글시트 data'!G:G)),"#,##0")&amp;"로 전월 대비 "&amp;IF(INDEX('구글시트 data'!G:G,COUNTA('구글시트 data'!G:G))&gt;INDEX('구글시트 data'!G:G,COUNTA('구글시트 data'!G:G)-1),TEXT(ABS((INDEX('구글시트 data'!G:G,COUNTA('구글시트 data'!G:G))-INDEX('구글시트 data'!G:G,COUNTA('구글시트 data'!G:G)-1))/INDEX('구글시트 data'!G:G,COUNTA('구글시트 data'!G:G)-1)),"0.00%")&amp;" 증가",TEXT(ABS((INDEX('구글시트 data'!G:G,COUNTA('구글시트 data'!G:G))-INDEX('구글시트 data'!G:G,COUNTA('구글시트 data'!G:G)-1))/INDEX('구글시트 data'!G:G,COUNTA('구글시트 data'!G:G)-1)),"0.00%")&amp;" 감소")</f>
        <v>-   6월 콘텐츠 오가닉 도달 23,633로 전월 대비 39.24% 감소</v>
      </c>
    </row>
    <row r="14" spans="1:25">
      <c r="A14" s="100">
        <v>45444</v>
      </c>
      <c r="B14" s="64">
        <v>323112</v>
      </c>
      <c r="C14" s="64">
        <v>0</v>
      </c>
      <c r="D14" s="64">
        <v>12</v>
      </c>
      <c r="E14" s="64">
        <v>279861</v>
      </c>
      <c r="F14" s="64">
        <v>7026</v>
      </c>
      <c r="G14" s="65">
        <v>2.5105320141070031E-2</v>
      </c>
      <c r="H14" s="64">
        <v>194886</v>
      </c>
      <c r="I14" s="141">
        <v>16240.5</v>
      </c>
      <c r="L14" s="71" t="s">
        <v>18</v>
      </c>
      <c r="M14" s="72">
        <f>INDEX(E:E,COUNTA(D:D)-1)</f>
        <v>303924</v>
      </c>
      <c r="N14" s="72">
        <f>INDEX(E:E,COUNTA(D:D))</f>
        <v>279861</v>
      </c>
      <c r="O14" s="72" t="str">
        <f t="shared" si="0"/>
        <v>▼ 7.92%</v>
      </c>
      <c r="S14" s="66"/>
      <c r="T14" s="111"/>
      <c r="U14" s="217" t="str" cm="1">
        <f t="array" ref="U14">"-   "&amp;MONTH(INDEX(A:A,COUNTA(A:A)))&amp;"월 발행 콘텐츠 도달 "&amp;TEXT(INDEX(H:H,COUNTA(H:H)),"#,###")&amp;"로 전월 대비 "&amp;IF(INDEX(H:H,COUNTA(H:H))&gt;INDEX(H:H,COUNTA(H:H)-1),TEXT(ABS((INDEX(H:H,COUNTA(H:H))-INDEX(H:H,COUNTA(H:H)-1))/INDEX(H:H,COUNTA(H:H)-1)),"0.00%")&amp;" 증가",TEXT(ABS((INDEX(H:H,COUNTA(H:H))-INDEX(H:H,COUNTA(H:H)-1))/INDEX(H:H,COUNTA(H:H)-1)),"0.00%")&amp;" 감소")</f>
        <v>-   6월 발행 콘텐츠 도달 194,886로 전월 대비 45.46% 감소</v>
      </c>
      <c r="X14" s="136"/>
      <c r="Y14" s="119"/>
    </row>
    <row r="15" spans="1:25">
      <c r="A15" s="100"/>
      <c r="B15" s="64"/>
      <c r="C15" s="64"/>
      <c r="D15" s="64"/>
      <c r="E15" s="64"/>
      <c r="F15" s="64"/>
      <c r="G15" s="65"/>
      <c r="H15" s="64"/>
      <c r="I15" s="141"/>
      <c r="L15" s="71" t="s">
        <v>60</v>
      </c>
      <c r="M15" s="72">
        <f>INDEX(F:F,COUNTA(D:D)-1)</f>
        <v>12390</v>
      </c>
      <c r="N15" s="72">
        <f>INDEX(F:F,COUNTA(D:D))</f>
        <v>7026</v>
      </c>
      <c r="O15" s="72" t="str">
        <f t="shared" si="0"/>
        <v>▼ 43.29%</v>
      </c>
      <c r="S15" s="66"/>
      <c r="T15" s="111"/>
      <c r="U15" s="217" t="str" cm="1">
        <f t="array" ref="U15">"-   "&amp;MONTH(INDEX(A:A,COUNTA(A:A)))&amp;"월 발행 콘텐츠 평균 도달 "&amp;TEXT(INDEX(I:I,COUNTA(I:I)),"#,###")&amp;"로 전월 대비 "&amp;IF(INDEX(I:I,COUNTA(I:I))&gt;INDEX(I:I,COUNTA(I:I)-1),TEXT(ABS((INDEX(I:I,COUNTA(I:I))-INDEX(I:I,COUNTA(I:I)-1))/INDEX(I:I,COUNTA(I:I)-1)),"0.00%")&amp;" 증가",TEXT(ABS((INDEX(I:I,COUNTA(I:I))-INDEX(I:I,COUNTA(I:I)-1))/INDEX(I:I,COUNTA(I:I)-1)),"0.00%")&amp;" 감소")</f>
        <v>-   6월 발행 콘텐츠 평균 도달 16,241로 전월 대비 31.83% 감소</v>
      </c>
    </row>
    <row r="16" spans="1:25">
      <c r="A16" s="100"/>
      <c r="B16" s="64"/>
      <c r="C16" s="64"/>
      <c r="D16" s="64"/>
      <c r="E16" s="64"/>
      <c r="F16" s="64"/>
      <c r="G16" s="65"/>
      <c r="H16" s="64"/>
      <c r="I16" s="141"/>
      <c r="L16" s="71" t="s">
        <v>61</v>
      </c>
      <c r="M16" s="74">
        <f>INDEX(G:G,COUNTA(D:D)-1)</f>
        <v>4.0766770640028427E-2</v>
      </c>
      <c r="N16" s="74">
        <f>INDEX(G:G,COUNTA(D:D))</f>
        <v>2.5105320141070031E-2</v>
      </c>
      <c r="O16" s="72" t="str">
        <f>IF(M16&gt;N16,"▼ "&amp;TEXT(100*ABS(N16-M16),"0.00")&amp;"%p","▲ "&amp;TEXT(100*ABS(N16-M16),"0.00")&amp;"%p")</f>
        <v>▼ 1.57%p</v>
      </c>
      <c r="S16" s="66"/>
      <c r="T16" s="111"/>
      <c r="U16" s="218" t="str" cm="1">
        <f t="array" ref="U16">"• "&amp;MONTH(INDEX(A:A,COUNTA(A:A)))&amp;"월 한 달간 콘텐츠 인터랙션 "&amp;TEXT(INDEX('구글시트 data'!U:U,COUNTA('구글시트 data'!U:U)),"#,###")&amp;" 확보, 전월 대비 "&amp;IF(INDEX('구글시트 data'!U:U,COUNTA('구글시트 data'!U:U))&gt;INDEX('구글시트 data'!U:U,COUNTA('구글시트 data'!U:U)-1),TEXT(ABS((INDEX('구글시트 data'!U:U,COUNTA('구글시트 data'!U:U))-INDEX('구글시트 data'!U:U,COUNTA('구글시트 data'!U:U)-1))/INDEX('구글시트 data'!U:U,COUNTA('구글시트 data'!U:U)-1)),"0.00%")&amp;" 증가",TEXT(ABS((INDEX('구글시트 data'!U:U,COUNTA('구글시트 data'!U:U))-INDEX('구글시트 data'!U:U,COUNTA('구글시트 data'!U:U)-1))/INDEX('구글시트 data'!U:U,COUNTA('구글시트 data'!U:U)-1)),"0.00%")&amp;" 감소")</f>
        <v>• 6월 한 달간 콘텐츠 인터랙션 7,026 확보, 전월 대비 43.29% 감소</v>
      </c>
    </row>
    <row r="17" spans="1:23">
      <c r="A17" s="100"/>
      <c r="B17" s="64"/>
      <c r="C17" s="64"/>
      <c r="D17" s="64"/>
      <c r="E17" s="64"/>
      <c r="F17" s="64"/>
      <c r="G17" s="65"/>
      <c r="H17" s="64"/>
      <c r="I17" s="141"/>
      <c r="L17" s="67"/>
      <c r="T17" s="111"/>
      <c r="U17" s="217" t="str">
        <f>"-   링크 클릭 "&amp;TEXT(INDEX('구글시트 data'!V:V,COUNTA('구글시트 data'!V:V)),"#,###")&amp;"회, 조회 시간 "&amp;TEXT(INDEX('구글시트 data'!W:W,COUNTA('구글시트 data'!W:W)),"#,###")&amp;" (전월 대비 "&amp;TEXT(ABS((INDEX('구글시트 data'!W:W,COUNTA('구글시트 data'!W:W))-INDEX('구글시트 data'!W:W,COUNTA('구글시트 data'!W:W)-1))/INDEX('구글시트 data'!W:W,COUNTA('구글시트 data'!W:W)-1)),"0.##%")&amp;IF(INDEX('구글시트 data'!W:W,COUNTA('구글시트 data'!W:W))&gt;INDEX('구글시트 data'!W:W,COUNTA('구글시트 data'!W:W)-1)," 증가"," 감소")&amp;") 확보"</f>
        <v>-   링크 클릭 4,070회, 조회 시간 45,105 (전월 대비 118.05% 증가) 확보</v>
      </c>
    </row>
    <row r="18" spans="1:23">
      <c r="A18" s="100"/>
      <c r="B18" s="64"/>
      <c r="C18" s="64"/>
      <c r="D18" s="64"/>
      <c r="E18" s="64"/>
      <c r="F18" s="64"/>
      <c r="G18" s="65"/>
      <c r="H18" s="64"/>
      <c r="I18" s="141"/>
      <c r="T18" s="111"/>
    </row>
    <row r="19" spans="1:23">
      <c r="A19" s="100"/>
      <c r="B19" s="64"/>
      <c r="C19" s="64"/>
      <c r="D19" s="64"/>
      <c r="E19" s="64"/>
      <c r="F19" s="64"/>
      <c r="G19" s="65"/>
      <c r="H19" s="64"/>
      <c r="I19" s="141"/>
      <c r="T19" s="111"/>
    </row>
    <row r="20" spans="1:23">
      <c r="A20" s="100"/>
      <c r="B20" s="64"/>
      <c r="C20" s="64"/>
      <c r="D20" s="64"/>
      <c r="E20" s="64"/>
      <c r="F20" s="64"/>
      <c r="G20" s="65"/>
      <c r="H20" s="64"/>
      <c r="I20" s="141"/>
      <c r="T20" s="111"/>
    </row>
    <row r="21" spans="1:23">
      <c r="A21" s="100"/>
      <c r="B21" s="64"/>
      <c r="C21" s="64"/>
      <c r="D21" s="64"/>
      <c r="E21" s="64"/>
      <c r="F21" s="64"/>
      <c r="G21" s="65"/>
      <c r="H21" s="64"/>
      <c r="I21" s="141"/>
      <c r="T21" s="111"/>
    </row>
    <row r="22" spans="1:23">
      <c r="A22" s="100"/>
      <c r="B22" s="64"/>
      <c r="C22" s="64"/>
      <c r="D22" s="64"/>
      <c r="E22" s="64"/>
      <c r="F22" s="64"/>
      <c r="G22" s="65"/>
      <c r="H22" s="64"/>
      <c r="I22" s="141"/>
      <c r="T22" s="111"/>
    </row>
    <row r="23" spans="1:23">
      <c r="A23" s="100"/>
      <c r="B23" s="64"/>
      <c r="C23" s="64"/>
      <c r="D23" s="64"/>
      <c r="E23" s="64"/>
      <c r="F23" s="64"/>
      <c r="G23" s="65"/>
      <c r="H23" s="64"/>
      <c r="I23" s="141"/>
      <c r="T23" s="111"/>
    </row>
    <row r="24" spans="1:23">
      <c r="A24" s="100"/>
      <c r="B24" s="64"/>
      <c r="C24" s="64"/>
      <c r="D24" s="64"/>
      <c r="E24" s="64"/>
      <c r="F24" s="64"/>
      <c r="G24" s="65"/>
      <c r="H24" s="64"/>
      <c r="I24" s="141"/>
      <c r="T24" s="111"/>
      <c r="W24" s="143"/>
    </row>
    <row r="25" spans="1:23">
      <c r="A25" s="100"/>
      <c r="B25" s="64"/>
      <c r="C25" s="64"/>
      <c r="D25" s="64"/>
      <c r="E25" s="64"/>
      <c r="F25" s="64"/>
      <c r="G25" s="65"/>
      <c r="H25" s="64"/>
      <c r="I25" s="141"/>
      <c r="T25" s="111"/>
    </row>
    <row r="26" spans="1:23">
      <c r="A26" s="100"/>
      <c r="B26" s="64"/>
      <c r="C26" s="64"/>
      <c r="D26" s="64"/>
      <c r="E26" s="64"/>
      <c r="F26" s="64"/>
      <c r="G26" s="65"/>
      <c r="H26" s="64"/>
      <c r="I26" s="141"/>
      <c r="T26" s="111"/>
    </row>
    <row r="27" spans="1:23">
      <c r="A27" s="100"/>
      <c r="B27" s="64"/>
      <c r="C27" s="64"/>
      <c r="D27" s="64"/>
      <c r="E27" s="64"/>
      <c r="F27" s="64"/>
      <c r="G27" s="65"/>
      <c r="H27" s="64"/>
      <c r="I27" s="141"/>
      <c r="T27" s="111"/>
    </row>
    <row r="28" spans="1:23">
      <c r="A28" s="100"/>
      <c r="B28" s="64"/>
      <c r="C28" s="64"/>
      <c r="D28" s="64"/>
      <c r="E28" s="64"/>
      <c r="F28" s="64"/>
      <c r="G28" s="65"/>
      <c r="H28" s="64"/>
      <c r="I28" s="141"/>
      <c r="T28" s="111"/>
    </row>
    <row r="29" spans="1:23">
      <c r="A29" s="100"/>
      <c r="B29" s="64"/>
      <c r="C29" s="64"/>
      <c r="D29" s="64"/>
      <c r="E29" s="64"/>
      <c r="F29" s="64"/>
      <c r="G29" s="65"/>
      <c r="H29" s="64"/>
      <c r="I29" s="141"/>
      <c r="T29" s="111"/>
    </row>
    <row r="30" spans="1:23">
      <c r="A30" s="100"/>
      <c r="B30" s="64"/>
      <c r="C30" s="64"/>
      <c r="D30" s="64"/>
      <c r="E30" s="64"/>
      <c r="F30" s="64"/>
      <c r="G30" s="65"/>
      <c r="H30" s="64"/>
      <c r="I30" s="141"/>
      <c r="T30" s="111"/>
    </row>
    <row r="31" spans="1:23">
      <c r="A31" s="100"/>
      <c r="B31" s="64"/>
      <c r="C31" s="64"/>
      <c r="D31" s="64"/>
      <c r="E31" s="64"/>
      <c r="F31" s="64"/>
      <c r="G31" s="65"/>
      <c r="H31" s="64"/>
      <c r="I31" s="141"/>
      <c r="T31" s="111"/>
    </row>
    <row r="32" spans="1:23">
      <c r="A32" s="100"/>
      <c r="B32" s="64"/>
      <c r="C32" s="64"/>
      <c r="D32" s="64"/>
      <c r="E32" s="64"/>
      <c r="F32" s="64"/>
      <c r="G32" s="65"/>
      <c r="H32" s="64"/>
      <c r="I32" s="141"/>
      <c r="T32" s="111"/>
    </row>
    <row r="33" spans="1:20">
      <c r="A33" s="100"/>
      <c r="B33" s="64"/>
      <c r="C33" s="64"/>
      <c r="D33" s="64"/>
      <c r="E33" s="64"/>
      <c r="F33" s="64"/>
      <c r="G33" s="65"/>
      <c r="H33" s="64"/>
      <c r="I33" s="141"/>
      <c r="T33" s="111"/>
    </row>
    <row r="34" spans="1:20">
      <c r="A34" s="100"/>
      <c r="B34" s="64"/>
      <c r="C34" s="64"/>
      <c r="D34" s="64"/>
      <c r="E34" s="64"/>
      <c r="F34" s="64"/>
      <c r="G34" s="65"/>
      <c r="H34" s="64"/>
      <c r="I34" s="141"/>
      <c r="T34" s="111"/>
    </row>
    <row r="35" spans="1:20">
      <c r="A35" s="100"/>
      <c r="B35" s="64"/>
      <c r="C35" s="64"/>
      <c r="D35" s="64"/>
      <c r="E35" s="64"/>
      <c r="F35" s="64"/>
      <c r="G35" s="65"/>
      <c r="H35" s="64"/>
      <c r="I35" s="141"/>
      <c r="T35" s="111"/>
    </row>
    <row r="36" spans="1:20">
      <c r="A36" s="100"/>
      <c r="B36" s="64"/>
      <c r="C36" s="64"/>
      <c r="D36" s="64"/>
      <c r="E36" s="64"/>
      <c r="F36" s="64"/>
      <c r="G36" s="65"/>
      <c r="H36" s="64"/>
      <c r="I36" s="141"/>
      <c r="T36" s="111"/>
    </row>
    <row r="37" spans="1:20">
      <c r="A37" s="100"/>
      <c r="B37" s="64"/>
      <c r="C37" s="64"/>
      <c r="D37" s="64"/>
      <c r="E37" s="64"/>
      <c r="F37" s="64"/>
      <c r="G37" s="65"/>
      <c r="H37" s="64"/>
      <c r="I37" s="141"/>
      <c r="T37" s="111"/>
    </row>
    <row r="38" spans="1:20">
      <c r="A38" s="100"/>
      <c r="B38" s="64"/>
      <c r="C38" s="64"/>
      <c r="D38" s="64"/>
      <c r="E38" s="64"/>
      <c r="F38" s="64"/>
      <c r="G38" s="65"/>
      <c r="H38" s="64"/>
      <c r="I38" s="141"/>
      <c r="T38" s="111"/>
    </row>
    <row r="39" spans="1:20">
      <c r="A39" s="100"/>
      <c r="B39" s="64"/>
      <c r="C39" s="64"/>
      <c r="D39" s="64"/>
      <c r="E39" s="64"/>
      <c r="F39" s="64"/>
      <c r="G39" s="65"/>
      <c r="H39" s="64"/>
      <c r="I39" s="141"/>
      <c r="T39" s="111"/>
    </row>
    <row r="40" spans="1:20">
      <c r="A40" s="100"/>
      <c r="B40" s="64"/>
      <c r="C40" s="64"/>
      <c r="D40" s="64"/>
      <c r="E40" s="64"/>
      <c r="F40" s="64"/>
      <c r="G40" s="65"/>
      <c r="H40" s="64"/>
      <c r="I40" s="141"/>
      <c r="T40" s="111"/>
    </row>
    <row r="41" spans="1:20">
      <c r="A41" s="100"/>
      <c r="B41" s="64"/>
      <c r="C41" s="64"/>
      <c r="D41" s="64"/>
      <c r="E41" s="64"/>
      <c r="F41" s="64"/>
      <c r="G41" s="65"/>
      <c r="H41" s="64"/>
      <c r="I41" s="141"/>
      <c r="T41" s="111"/>
    </row>
    <row r="42" spans="1:20">
      <c r="A42" s="100"/>
      <c r="B42" s="64"/>
      <c r="C42" s="64"/>
      <c r="D42" s="64"/>
      <c r="E42" s="64"/>
      <c r="F42" s="64"/>
      <c r="G42" s="65"/>
      <c r="H42" s="64"/>
      <c r="I42" s="141"/>
      <c r="T42" s="111"/>
    </row>
    <row r="43" spans="1:20">
      <c r="A43" s="100"/>
      <c r="B43" s="64"/>
      <c r="C43" s="64"/>
      <c r="D43" s="64"/>
      <c r="E43" s="64"/>
      <c r="F43" s="64"/>
      <c r="G43" s="65"/>
      <c r="H43" s="64"/>
      <c r="I43" s="141"/>
      <c r="T43" s="111"/>
    </row>
    <row r="44" spans="1:20">
      <c r="A44" s="100"/>
      <c r="B44" s="64"/>
      <c r="C44" s="64"/>
      <c r="D44" s="64"/>
      <c r="E44" s="64"/>
      <c r="F44" s="64"/>
      <c r="G44" s="65"/>
      <c r="H44" s="64"/>
      <c r="I44" s="141"/>
      <c r="T44" s="111"/>
    </row>
    <row r="45" spans="1:20">
      <c r="A45" s="100"/>
      <c r="B45" s="64"/>
      <c r="C45" s="64"/>
      <c r="D45" s="64"/>
      <c r="E45" s="64"/>
      <c r="F45" s="64"/>
      <c r="G45" s="65"/>
      <c r="H45" s="64"/>
      <c r="I45" s="141"/>
      <c r="T45" s="111"/>
    </row>
    <row r="46" spans="1:20">
      <c r="A46" s="100"/>
      <c r="B46" s="64"/>
      <c r="C46" s="64"/>
      <c r="D46" s="64"/>
      <c r="E46" s="64"/>
      <c r="F46" s="64"/>
      <c r="G46" s="65"/>
      <c r="H46" s="64"/>
      <c r="I46" s="141"/>
      <c r="T46" s="111"/>
    </row>
    <row r="47" spans="1:20">
      <c r="A47" s="100"/>
      <c r="B47" s="64"/>
      <c r="C47" s="64"/>
      <c r="D47" s="64"/>
      <c r="E47" s="64"/>
      <c r="F47" s="64"/>
      <c r="G47" s="65"/>
      <c r="H47" s="64"/>
      <c r="I47" s="141"/>
      <c r="T47" s="111"/>
    </row>
    <row r="48" spans="1:20">
      <c r="A48" s="100"/>
      <c r="B48" s="64"/>
      <c r="C48" s="64"/>
      <c r="D48" s="64"/>
      <c r="E48" s="64"/>
      <c r="F48" s="64"/>
      <c r="G48" s="65"/>
      <c r="H48" s="64"/>
      <c r="I48" s="141"/>
      <c r="T48" s="111"/>
    </row>
    <row r="49" spans="1:20">
      <c r="A49" s="100"/>
      <c r="B49" s="64"/>
      <c r="C49" s="64"/>
      <c r="D49" s="64"/>
      <c r="E49" s="64"/>
      <c r="F49" s="64"/>
      <c r="G49" s="65"/>
      <c r="H49" s="64"/>
      <c r="I49" s="141"/>
      <c r="T49" s="111"/>
    </row>
    <row r="50" spans="1:20">
      <c r="A50" s="100"/>
      <c r="B50" s="64"/>
      <c r="C50" s="64"/>
      <c r="D50" s="64"/>
      <c r="E50" s="64"/>
      <c r="F50" s="64"/>
      <c r="G50" s="65"/>
      <c r="H50" s="64"/>
      <c r="I50" s="141"/>
    </row>
    <row r="51" spans="1:20">
      <c r="A51" s="100"/>
      <c r="B51" s="64"/>
      <c r="C51" s="64"/>
      <c r="D51" s="64"/>
      <c r="E51" s="64"/>
      <c r="F51" s="64"/>
      <c r="G51" s="65"/>
      <c r="H51" s="64"/>
      <c r="I51" s="141"/>
    </row>
    <row r="52" spans="1:20">
      <c r="A52" s="100"/>
      <c r="B52" s="64"/>
      <c r="C52" s="64"/>
      <c r="D52" s="64"/>
      <c r="E52" s="64"/>
      <c r="F52" s="64"/>
      <c r="G52" s="65"/>
      <c r="H52" s="64"/>
      <c r="I52" s="141"/>
    </row>
    <row r="53" spans="1:20">
      <c r="A53" s="100"/>
      <c r="B53" s="64"/>
      <c r="C53" s="64"/>
      <c r="D53" s="64"/>
      <c r="E53" s="64"/>
      <c r="F53" s="64"/>
      <c r="G53" s="65"/>
      <c r="H53" s="64"/>
      <c r="I53" s="141"/>
    </row>
    <row r="54" spans="1:20">
      <c r="A54" s="100"/>
      <c r="B54" s="64"/>
      <c r="C54" s="64"/>
      <c r="D54" s="64"/>
      <c r="E54" s="64"/>
      <c r="F54" s="64"/>
      <c r="G54" s="65"/>
      <c r="H54" s="64"/>
      <c r="I54" s="141"/>
    </row>
    <row r="55" spans="1:20">
      <c r="A55" s="100"/>
      <c r="B55" s="64"/>
      <c r="C55" s="64"/>
      <c r="D55" s="64"/>
      <c r="E55" s="64"/>
      <c r="F55" s="64"/>
      <c r="G55" s="65"/>
      <c r="H55" s="64"/>
      <c r="I55" s="141"/>
    </row>
    <row r="56" spans="1:20">
      <c r="A56" s="100"/>
      <c r="B56" s="64"/>
      <c r="C56" s="64"/>
      <c r="D56" s="64"/>
      <c r="E56" s="64"/>
      <c r="F56" s="64"/>
      <c r="G56" s="65"/>
      <c r="H56" s="64"/>
      <c r="I56" s="141"/>
    </row>
    <row r="57" spans="1:20">
      <c r="A57" s="100"/>
      <c r="B57" s="64"/>
      <c r="C57" s="64"/>
      <c r="D57" s="64"/>
      <c r="E57" s="64"/>
      <c r="F57" s="64"/>
      <c r="G57" s="65"/>
      <c r="H57" s="64"/>
      <c r="I57" s="141"/>
    </row>
    <row r="58" spans="1:20">
      <c r="A58" s="100"/>
      <c r="B58" s="64"/>
      <c r="C58" s="64"/>
      <c r="D58" s="64"/>
      <c r="E58" s="64"/>
      <c r="F58" s="64"/>
      <c r="G58" s="65"/>
      <c r="H58" s="64"/>
      <c r="I58" s="141"/>
    </row>
    <row r="59" spans="1:20">
      <c r="A59" s="100"/>
      <c r="B59" s="64"/>
      <c r="C59" s="64"/>
      <c r="D59" s="64"/>
      <c r="E59" s="64"/>
      <c r="F59" s="64"/>
      <c r="G59" s="65"/>
      <c r="H59" s="64"/>
      <c r="I59" s="141"/>
    </row>
    <row r="60" spans="1:20">
      <c r="A60" s="100"/>
      <c r="B60" s="64"/>
      <c r="C60" s="64"/>
      <c r="D60" s="64"/>
      <c r="E60" s="64"/>
      <c r="F60" s="64"/>
      <c r="G60" s="65"/>
      <c r="H60" s="64"/>
      <c r="I60" s="141"/>
    </row>
    <row r="61" spans="1:20">
      <c r="A61" s="100"/>
      <c r="B61" s="64"/>
      <c r="C61" s="64"/>
      <c r="D61" s="64"/>
      <c r="E61" s="64"/>
      <c r="F61" s="64"/>
      <c r="G61" s="65"/>
      <c r="H61" s="64"/>
      <c r="I61" s="141"/>
    </row>
    <row r="62" spans="1:20">
      <c r="A62" s="100"/>
      <c r="B62" s="64"/>
      <c r="C62" s="64"/>
      <c r="D62" s="64"/>
      <c r="E62" s="64"/>
      <c r="F62" s="64"/>
      <c r="G62" s="65"/>
      <c r="H62" s="64"/>
      <c r="I62" s="141"/>
    </row>
    <row r="63" spans="1:20">
      <c r="A63" s="100"/>
      <c r="B63" s="64"/>
      <c r="C63" s="64"/>
      <c r="D63" s="64"/>
      <c r="E63" s="64"/>
      <c r="F63" s="64"/>
      <c r="G63" s="65"/>
      <c r="H63" s="64"/>
      <c r="I63" s="141"/>
    </row>
    <row r="64" spans="1:20">
      <c r="A64" s="100"/>
      <c r="B64" s="64"/>
      <c r="C64" s="64"/>
      <c r="D64" s="64"/>
      <c r="E64" s="64"/>
      <c r="F64" s="64"/>
      <c r="G64" s="65"/>
      <c r="H64" s="64"/>
      <c r="I64" s="141"/>
    </row>
    <row r="65" spans="1:9">
      <c r="A65" s="100"/>
      <c r="B65" s="64"/>
      <c r="C65" s="64"/>
      <c r="D65" s="64"/>
      <c r="E65" s="64"/>
      <c r="F65" s="64"/>
      <c r="G65" s="65"/>
      <c r="H65" s="64"/>
      <c r="I65" s="141"/>
    </row>
    <row r="66" spans="1:9">
      <c r="A66" s="100"/>
      <c r="B66" s="64"/>
      <c r="C66" s="64"/>
      <c r="D66" s="64"/>
      <c r="E66" s="64"/>
      <c r="F66" s="64"/>
      <c r="G66" s="65"/>
      <c r="H66" s="64"/>
      <c r="I66" s="141"/>
    </row>
    <row r="67" spans="1:9">
      <c r="A67" s="100"/>
      <c r="B67" s="64"/>
      <c r="C67" s="64"/>
      <c r="D67" s="64"/>
      <c r="E67" s="64"/>
      <c r="F67" s="64"/>
      <c r="G67" s="65"/>
      <c r="H67" s="64"/>
      <c r="I67" s="141"/>
    </row>
    <row r="68" spans="1:9">
      <c r="A68" s="100"/>
      <c r="B68" s="64"/>
      <c r="C68" s="64"/>
      <c r="D68" s="64"/>
      <c r="E68" s="64"/>
      <c r="F68" s="64"/>
      <c r="G68" s="65"/>
      <c r="H68" s="64"/>
      <c r="I68" s="141"/>
    </row>
    <row r="69" spans="1:9">
      <c r="A69" s="100"/>
      <c r="B69" s="64"/>
      <c r="C69" s="64"/>
      <c r="D69" s="64"/>
      <c r="E69" s="64"/>
      <c r="F69" s="64"/>
      <c r="G69" s="65"/>
      <c r="H69" s="64"/>
      <c r="I69" s="141"/>
    </row>
    <row r="70" spans="1:9">
      <c r="A70" s="100"/>
      <c r="B70" s="64"/>
      <c r="C70" s="64"/>
      <c r="D70" s="64"/>
      <c r="E70" s="64"/>
      <c r="F70" s="64"/>
      <c r="G70" s="65"/>
      <c r="H70" s="64"/>
      <c r="I70" s="141"/>
    </row>
    <row r="71" spans="1:9">
      <c r="A71" s="100"/>
      <c r="B71" s="64"/>
      <c r="C71" s="64"/>
      <c r="D71" s="64"/>
      <c r="E71" s="64"/>
      <c r="F71" s="64"/>
      <c r="G71" s="65"/>
      <c r="H71" s="64"/>
      <c r="I71" s="141"/>
    </row>
    <row r="72" spans="1:9">
      <c r="A72" s="100"/>
      <c r="B72" s="64"/>
      <c r="C72" s="64"/>
      <c r="D72" s="64"/>
      <c r="E72" s="64"/>
      <c r="F72" s="64"/>
      <c r="G72" s="65"/>
      <c r="H72" s="64"/>
      <c r="I72" s="141"/>
    </row>
    <row r="73" spans="1:9">
      <c r="A73" s="100"/>
      <c r="B73" s="64"/>
      <c r="C73" s="64"/>
      <c r="D73" s="64"/>
      <c r="E73" s="64"/>
      <c r="F73" s="64"/>
      <c r="G73" s="65"/>
      <c r="H73" s="64"/>
      <c r="I73" s="141"/>
    </row>
    <row r="74" spans="1:9">
      <c r="A74" s="100"/>
      <c r="B74" s="64"/>
      <c r="C74" s="64"/>
      <c r="D74" s="64"/>
      <c r="E74" s="64"/>
      <c r="F74" s="64"/>
      <c r="G74" s="65"/>
      <c r="H74" s="64"/>
      <c r="I74" s="141"/>
    </row>
  </sheetData>
  <mergeCells count="3">
    <mergeCell ref="L6:O6"/>
    <mergeCell ref="L9:O9"/>
    <mergeCell ref="K2:S2"/>
  </mergeCells>
  <phoneticPr fontId="1" type="noConversion"/>
  <conditionalFormatting sqref="L6:O6">
    <cfRule type="containsText" dxfId="3" priority="1" operator="containsText" text="값붙">
      <formula>NOT(ISERROR(SEARCH("값붙",L6)))</formula>
    </cfRule>
  </conditionalFormatting>
  <pageMargins left="0.7" right="0.7" top="0.75" bottom="0.75" header="0.3" footer="0.3"/>
  <pageSetup paperSize="9" orientation="portrait" r:id="rId1"/>
  <ignoredErrors>
    <ignoredError sqref="O12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9" tint="0.79998168889431442"/>
  </sheetPr>
  <dimension ref="A1:Y82"/>
  <sheetViews>
    <sheetView zoomScale="85" zoomScaleNormal="85" workbookViewId="0">
      <selection activeCell="T3" sqref="T1:V1048576"/>
    </sheetView>
  </sheetViews>
  <sheetFormatPr defaultRowHeight="16.5"/>
  <cols>
    <col min="1" max="1" width="8.75"/>
    <col min="2" max="2" width="10" customWidth="1"/>
    <col min="3" max="3" width="9.25" customWidth="1"/>
    <col min="4" max="4" width="52.75" customWidth="1"/>
    <col min="18" max="18" width="15.25" customWidth="1"/>
    <col min="20" max="21" width="3.375" bestFit="1" customWidth="1"/>
  </cols>
  <sheetData>
    <row r="1" spans="1:25">
      <c r="R1" s="46"/>
      <c r="Y1" s="117" t="s">
        <v>123</v>
      </c>
    </row>
    <row r="2" spans="1:25" ht="22.5">
      <c r="A2" s="120"/>
      <c r="B2" s="121" t="s">
        <v>46</v>
      </c>
      <c r="C2" s="121" t="s">
        <v>55</v>
      </c>
      <c r="D2" s="122" t="s">
        <v>198</v>
      </c>
      <c r="E2" s="121" t="s">
        <v>57</v>
      </c>
      <c r="F2" s="121" t="s">
        <v>140</v>
      </c>
      <c r="G2" s="121" t="s">
        <v>181</v>
      </c>
      <c r="H2" s="121" t="s">
        <v>56</v>
      </c>
      <c r="I2" s="121" t="s">
        <v>81</v>
      </c>
      <c r="J2" s="121" t="s">
        <v>20</v>
      </c>
      <c r="K2" s="121" t="s">
        <v>134</v>
      </c>
      <c r="L2" s="121" t="s">
        <v>129</v>
      </c>
      <c r="M2" s="121" t="s">
        <v>141</v>
      </c>
      <c r="N2" s="121" t="s">
        <v>127</v>
      </c>
      <c r="O2" s="121" t="s">
        <v>47</v>
      </c>
      <c r="P2" s="121" t="s">
        <v>128</v>
      </c>
      <c r="Q2" s="121" t="s">
        <v>58</v>
      </c>
      <c r="R2" s="121" t="s">
        <v>61</v>
      </c>
      <c r="Y2" s="117" t="s">
        <v>142</v>
      </c>
    </row>
    <row r="3" spans="1:25" ht="17.45" customHeight="1">
      <c r="A3" s="123">
        <v>1</v>
      </c>
      <c r="B3" s="223">
        <f>IFERROR(INDEX('FB 콘텐츠 data'!AQ:AQ,MATCH('FB 신규발행'!A3,'FB 콘텐츠 data'!AR:AR,0)),"")</f>
        <v>45471</v>
      </c>
      <c r="C3" s="224" t="str">
        <f>IFERROR(INDEX('FB 콘텐츠 data'!$A$1:$AH$25,MATCH('FB 신규발행'!$A3,'FB 콘텐츠 data'!$AR:$AR,0),MATCH(C$2,'FB 콘텐츠 data'!$A$1:$AH$1,0)),"")</f>
        <v>동영상</v>
      </c>
      <c r="D3" s="225" t="str">
        <f>IFERROR(INDEX('FB 콘텐츠 data'!$A$1:$AH$25,MATCH('FB 신규발행'!$A3,'FB 콘텐츠 data'!$AR:$AR,0),MATCH(D$2,'FB 콘텐츠 data'!$A$1:$AH$1,0)),"")</f>
        <v>[EVENT] 에너지食 Ep. 2</v>
      </c>
      <c r="E3" s="225">
        <f>IFERROR(INDEX('FB 콘텐츠 data'!$A$1:$AH$25,MATCH('FB 신규발행'!$A3,'FB 콘텐츠 data'!$AR:$AR,0),MATCH(E$2,'FB 콘텐츠 data'!$A$1:$AH$1,0)),"")</f>
        <v>6797</v>
      </c>
      <c r="F3" s="225">
        <f>IFERROR(INDEX('FB 콘텐츠 data'!$A$1:$AH$25,MATCH('FB 신규발행'!$A3,'FB 콘텐츠 data'!$AR:$AR,0),MATCH(F$2,'FB 콘텐츠 data'!$A$1:$AH$1,0)),"")</f>
        <v>5073</v>
      </c>
      <c r="G3" s="225">
        <f>IFERROR(INDEX('FB 콘텐츠 data'!$A$1:$AH$25,MATCH('FB 신규발행'!$A3,'FB 콘텐츠 data'!$AR:$AR,0),MATCH(G$2,'FB 콘텐츠 data'!$A$1:$AH$1,0)),"")</f>
        <v>1478</v>
      </c>
      <c r="H3" s="225">
        <f t="shared" ref="H3:H34" si="0">IF(B3="","",I3+J3+O3+Q3)</f>
        <v>754</v>
      </c>
      <c r="I3" s="225">
        <f>IFERROR(INDEX('FB 콘텐츠 data'!$A$1:$AH$25,MATCH('FB 신규발행'!$A3,'FB 콘텐츠 data'!$AR:$AR,0),MATCH(I$2,'FB 콘텐츠 data'!$A$1:$AH$1,0)),"")</f>
        <v>308</v>
      </c>
      <c r="J3" s="225">
        <f>IFERROR(INDEX('FB 콘텐츠 data'!$A$1:$AH$25,MATCH('FB 신규발행'!$A3,'FB 콘텐츠 data'!$AR:$AR,0),MATCH(J$2,'FB 콘텐츠 data'!$A$1:$AH$1,0)),"")</f>
        <v>236</v>
      </c>
      <c r="K3" s="224">
        <f>IFERROR(INDEX('FB 콘텐츠 data'!$A$1:$AR$25,MATCH('FB 신규발행'!$A3,'FB 콘텐츠 data'!$AR:$AR,0),MATCH(K$2,'FB 콘텐츠 data'!$A$1:$AR$1,0)),"")</f>
        <v>9.8569999999999993</v>
      </c>
      <c r="L3" s="225">
        <f>IFERROR(INDEX('FB 콘텐츠 data'!$A$1:$AH$25,MATCH('FB 신규발행'!$A3,'FB 콘텐츠 data'!$AR:$AR,0),MATCH(L$2,'FB 콘텐츠 data'!$A$1:$AH$1,0)),"")</f>
        <v>1740</v>
      </c>
      <c r="M3" s="225">
        <f>IFERROR(INDEX('FB 콘텐츠 data'!$A$1:$AH$25,MATCH('FB 신규발행'!$A3,'FB 콘텐츠 data'!$AR:$AR,0),MATCH(M$2,'FB 콘텐츠 data'!$A$1:$AH$1,0)),"")</f>
        <v>0</v>
      </c>
      <c r="N3" s="225">
        <f>IFERROR(INDEX('FB 콘텐츠 data'!$A$1:$AH$25,MATCH('FB 신규발행'!$A3,'FB 콘텐츠 data'!$AR:$AR,0),MATCH(N$2,'FB 콘텐츠 data'!$A$1:$AH$1,0)),"")</f>
        <v>18</v>
      </c>
      <c r="O3" s="225">
        <f>IFERROR(INDEX('FB 콘텐츠 data'!$A$1:$AH$25,MATCH('FB 신규발행'!$A3,'FB 콘텐츠 data'!$AR:$AR,0),MATCH(O$2,'FB 콘텐츠 data'!$A$1:$AH$1,0)),"")</f>
        <v>48</v>
      </c>
      <c r="P3" s="225">
        <f>IFERROR(INDEX('FB 콘텐츠 data'!$A$1:$AH$25,MATCH('FB 신규발행'!$A3,'FB 콘텐츠 data'!$AR:$AR,0),MATCH(P$2,'FB 콘텐츠 data'!$A$1:$AH$1,0)),"")</f>
        <v>138</v>
      </c>
      <c r="Q3" s="225">
        <f>IFERROR(INDEX('FB 콘텐츠 data'!$A$1:$AH$25,MATCH('FB 신규발행'!$A3,'FB 콘텐츠 data'!$AR:$AR,0),MATCH(Q$2,'FB 콘텐츠 data'!$A$1:$AH$1,0)),"")</f>
        <v>162</v>
      </c>
      <c r="R3" s="226">
        <f t="shared" ref="R3:R34" si="1">IFERROR(H3/F3,"")</f>
        <v>0.14863000197122017</v>
      </c>
      <c r="T3" s="48">
        <f t="shared" ref="T3:T34" si="2">IFERROR(RANK(R3,$R$3:$R$82,0),"")</f>
        <v>1</v>
      </c>
      <c r="U3" s="48">
        <f t="shared" ref="U3:U34" si="3">IFERROR(RANK(E3,$E$3:$E$82,0),"")</f>
        <v>8</v>
      </c>
      <c r="V3">
        <f>IFERROR(INDEX(A:A,MATCH(A3,T:T,0)),"")</f>
        <v>1</v>
      </c>
      <c r="Y3" s="112"/>
    </row>
    <row r="4" spans="1:25" ht="17.45" customHeight="1">
      <c r="A4" s="123">
        <v>2</v>
      </c>
      <c r="B4" s="223">
        <f>IFERROR(INDEX('FB 콘텐츠 data'!AQ:AQ,MATCH('FB 신규발행'!A4,'FB 콘텐츠 data'!AR:AR,0)),"")</f>
        <v>45463</v>
      </c>
      <c r="C4" s="224" t="str">
        <f>IFERROR(INDEX('FB 콘텐츠 data'!$A$1:$AH$25,MATCH('FB 신규발행'!$A4,'FB 콘텐츠 data'!$AR:$AR,0),MATCH(C$2,'FB 콘텐츠 data'!$A$1:$AH$1,0)),"")</f>
        <v>링크</v>
      </c>
      <c r="D4" s="225" t="str">
        <f>IFERROR(INDEX('FB 콘텐츠 data'!$A$1:$AH$25,MATCH('FB 신규발행'!$A4,'FB 콘텐츠 data'!$AR:$AR,0),MATCH(D$2,'FB 콘텐츠 data'!$A$1:$AH$1,0)),"")</f>
        <v>우리나라 옥상은 왜 녹색일까? *뉴스룸 미러링</v>
      </c>
      <c r="E4" s="225">
        <f>IFERROR(INDEX('FB 콘텐츠 data'!$A$1:$AH$25,MATCH('FB 신규발행'!$A4,'FB 콘텐츠 data'!$AR:$AR,0),MATCH(E$2,'FB 콘텐츠 data'!$A$1:$AH$1,0)),"")</f>
        <v>30669</v>
      </c>
      <c r="F4" s="225">
        <f>IFERROR(INDEX('FB 콘텐츠 data'!$A$1:$AH$25,MATCH('FB 신규발행'!$A4,'FB 콘텐츠 data'!$AR:$AR,0),MATCH(F$2,'FB 콘텐츠 data'!$A$1:$AH$1,0)),"")</f>
        <v>24249</v>
      </c>
      <c r="G4" s="225">
        <f>IFERROR(INDEX('FB 콘텐츠 data'!$A$1:$AH$25,MATCH('FB 신규발행'!$A4,'FB 콘텐츠 data'!$AR:$AR,0),MATCH(G$2,'FB 콘텐츠 data'!$A$1:$AH$1,0)),"")</f>
        <v>2768</v>
      </c>
      <c r="H4" s="225">
        <f t="shared" si="0"/>
        <v>2054</v>
      </c>
      <c r="I4" s="225">
        <f>IFERROR(INDEX('FB 콘텐츠 data'!$A$1:$AH$25,MATCH('FB 신규발행'!$A4,'FB 콘텐츠 data'!$AR:$AR,0),MATCH(I$2,'FB 콘텐츠 data'!$A$1:$AH$1,0)),"")</f>
        <v>107</v>
      </c>
      <c r="J4" s="225">
        <f>IFERROR(INDEX('FB 콘텐츠 data'!$A$1:$AH$25,MATCH('FB 신규발행'!$A4,'FB 콘텐츠 data'!$AR:$AR,0),MATCH(J$2,'FB 콘텐츠 data'!$A$1:$AH$1,0)),"")</f>
        <v>18</v>
      </c>
      <c r="K4" s="224">
        <f>IFERROR(INDEX('FB 콘텐츠 data'!$A$1:$AR$25,MATCH('FB 신규발행'!$A4,'FB 콘텐츠 data'!$AR:$AR,0),MATCH(K$2,'FB 콘텐츠 data'!$A$1:$AR$1,0)),"")</f>
        <v>0</v>
      </c>
      <c r="L4" s="225">
        <f>IFERROR(INDEX('FB 콘텐츠 data'!$A$1:$AH$25,MATCH('FB 신규발행'!$A4,'FB 콘텐츠 data'!$AR:$AR,0),MATCH(L$2,'FB 콘텐츠 data'!$A$1:$AH$1,0)),"")</f>
        <v>0</v>
      </c>
      <c r="M4" s="225">
        <f>IFERROR(INDEX('FB 콘텐츠 data'!$A$1:$AH$25,MATCH('FB 신규발행'!$A4,'FB 콘텐츠 data'!$AR:$AR,0),MATCH(M$2,'FB 콘텐츠 data'!$A$1:$AH$1,0)),"")</f>
        <v>0</v>
      </c>
      <c r="N4" s="225">
        <f>IFERROR(INDEX('FB 콘텐츠 data'!$A$1:$AH$25,MATCH('FB 신규발행'!$A4,'FB 콘텐츠 data'!$AR:$AR,0),MATCH(N$2,'FB 콘텐츠 data'!$A$1:$AH$1,0)),"")</f>
        <v>1026</v>
      </c>
      <c r="O4" s="225">
        <f>IFERROR(INDEX('FB 콘텐츠 data'!$A$1:$AH$25,MATCH('FB 신규발행'!$A4,'FB 콘텐츠 data'!$AR:$AR,0),MATCH(O$2,'FB 콘텐츠 data'!$A$1:$AH$1,0)),"")</f>
        <v>9</v>
      </c>
      <c r="P4" s="225">
        <f>IFERROR(INDEX('FB 콘텐츠 data'!$A$1:$AH$25,MATCH('FB 신규발행'!$A4,'FB 콘텐츠 data'!$AR:$AR,0),MATCH(P$2,'FB 콘텐츠 data'!$A$1:$AH$1,0)),"")</f>
        <v>894</v>
      </c>
      <c r="Q4" s="225">
        <f>IFERROR(INDEX('FB 콘텐츠 data'!$A$1:$AH$25,MATCH('FB 신규발행'!$A4,'FB 콘텐츠 data'!$AR:$AR,0),MATCH(Q$2,'FB 콘텐츠 data'!$A$1:$AH$1,0)),"")</f>
        <v>1920</v>
      </c>
      <c r="R4" s="226">
        <f t="shared" si="1"/>
        <v>8.4704523897892695E-2</v>
      </c>
      <c r="T4" s="48">
        <f t="shared" si="2"/>
        <v>2</v>
      </c>
      <c r="U4" s="48">
        <f t="shared" si="3"/>
        <v>5</v>
      </c>
      <c r="V4">
        <f t="shared" ref="V4:V33" si="4">IFERROR(INDEX(A:A,MATCH(A4,T:T,0)),"")</f>
        <v>2</v>
      </c>
      <c r="Y4" s="112"/>
    </row>
    <row r="5" spans="1:25" ht="17.45" customHeight="1">
      <c r="A5" s="123">
        <v>3</v>
      </c>
      <c r="B5" s="223">
        <f>IFERROR(INDEX('FB 콘텐츠 data'!AQ:AQ,MATCH('FB 신규발행'!A5,'FB 콘텐츠 data'!AR:AR,0)),"")</f>
        <v>45467</v>
      </c>
      <c r="C5" s="224" t="str">
        <f>IFERROR(INDEX('FB 콘텐츠 data'!$A$1:$AH$25,MATCH('FB 신규발행'!$A5,'FB 콘텐츠 data'!$AR:$AR,0),MATCH(C$2,'FB 콘텐츠 data'!$A$1:$AH$1,0)),"")</f>
        <v>사진</v>
      </c>
      <c r="D5" s="225" t="str">
        <f>IFERROR(INDEX('FB 콘텐츠 data'!$A$1:$AH$25,MATCH('FB 신규발행'!$A5,'FB 콘텐츠 data'!$AR:$AR,0),MATCH(D$2,'FB 콘텐츠 data'!$A$1:$AH$1,0)),"")</f>
        <v>이노드림(엘버트 허버드)</v>
      </c>
      <c r="E5" s="225">
        <f>IFERROR(INDEX('FB 콘텐츠 data'!$A$1:$AH$25,MATCH('FB 신규발행'!$A5,'FB 콘텐츠 data'!$AR:$AR,0),MATCH(E$2,'FB 콘텐츠 data'!$A$1:$AH$1,0)),"")</f>
        <v>3525</v>
      </c>
      <c r="F5" s="225">
        <f>IFERROR(INDEX('FB 콘텐츠 data'!$A$1:$AH$25,MATCH('FB 신규발행'!$A5,'FB 콘텐츠 data'!$AR:$AR,0),MATCH(F$2,'FB 콘텐츠 data'!$A$1:$AH$1,0)),"")</f>
        <v>3345</v>
      </c>
      <c r="G5" s="225">
        <f>IFERROR(INDEX('FB 콘텐츠 data'!$A$1:$AH$25,MATCH('FB 신규발행'!$A5,'FB 콘텐츠 data'!$AR:$AR,0),MATCH(G$2,'FB 콘텐츠 data'!$A$1:$AH$1,0)),"")</f>
        <v>3255</v>
      </c>
      <c r="H5" s="225">
        <f t="shared" si="0"/>
        <v>224</v>
      </c>
      <c r="I5" s="225">
        <f>IFERROR(INDEX('FB 콘텐츠 data'!$A$1:$AH$25,MATCH('FB 신규발행'!$A5,'FB 콘텐츠 data'!$AR:$AR,0),MATCH(I$2,'FB 콘텐츠 data'!$A$1:$AH$1,0)),"")</f>
        <v>120</v>
      </c>
      <c r="J5" s="225">
        <f>IFERROR(INDEX('FB 콘텐츠 data'!$A$1:$AH$25,MATCH('FB 신규발행'!$A5,'FB 콘텐츠 data'!$AR:$AR,0),MATCH(J$2,'FB 콘텐츠 data'!$A$1:$AH$1,0)),"")</f>
        <v>24</v>
      </c>
      <c r="K5" s="224">
        <f>IFERROR(INDEX('FB 콘텐츠 data'!$A$1:$AR$25,MATCH('FB 신규발행'!$A5,'FB 콘텐츠 data'!$AR:$AR,0),MATCH(K$2,'FB 콘텐츠 data'!$A$1:$AR$1,0)),"")</f>
        <v>0</v>
      </c>
      <c r="L5" s="225">
        <f>IFERROR(INDEX('FB 콘텐츠 data'!$A$1:$AH$25,MATCH('FB 신규발행'!$A5,'FB 콘텐츠 data'!$AR:$AR,0),MATCH(L$2,'FB 콘텐츠 data'!$A$1:$AH$1,0)),"")</f>
        <v>0</v>
      </c>
      <c r="M5" s="225">
        <f>IFERROR(INDEX('FB 콘텐츠 data'!$A$1:$AH$25,MATCH('FB 신규발행'!$A5,'FB 콘텐츠 data'!$AR:$AR,0),MATCH(M$2,'FB 콘텐츠 data'!$A$1:$AH$1,0)),"")</f>
        <v>44</v>
      </c>
      <c r="N5" s="225">
        <f>IFERROR(INDEX('FB 콘텐츠 data'!$A$1:$AH$25,MATCH('FB 신규발행'!$A5,'FB 콘텐츠 data'!$AR:$AR,0),MATCH(N$2,'FB 콘텐츠 data'!$A$1:$AH$1,0)),"")</f>
        <v>0</v>
      </c>
      <c r="O5" s="225">
        <f>IFERROR(INDEX('FB 콘텐츠 data'!$A$1:$AH$25,MATCH('FB 신규발행'!$A5,'FB 콘텐츠 data'!$AR:$AR,0),MATCH(O$2,'FB 콘텐츠 data'!$A$1:$AH$1,0)),"")</f>
        <v>8</v>
      </c>
      <c r="P5" s="225">
        <f>IFERROR(INDEX('FB 콘텐츠 data'!$A$1:$AH$25,MATCH('FB 신규발행'!$A5,'FB 콘텐츠 data'!$AR:$AR,0),MATCH(P$2,'FB 콘텐츠 data'!$A$1:$AH$1,0)),"")</f>
        <v>28</v>
      </c>
      <c r="Q5" s="225">
        <f>IFERROR(INDEX('FB 콘텐츠 data'!$A$1:$AH$25,MATCH('FB 신규발행'!$A5,'FB 콘텐츠 data'!$AR:$AR,0),MATCH(Q$2,'FB 콘텐츠 data'!$A$1:$AH$1,0)),"")</f>
        <v>72</v>
      </c>
      <c r="R5" s="226">
        <f t="shared" si="1"/>
        <v>6.6965620328849035E-2</v>
      </c>
      <c r="T5" s="48">
        <f t="shared" si="2"/>
        <v>3</v>
      </c>
      <c r="U5" s="48">
        <f t="shared" si="3"/>
        <v>12</v>
      </c>
      <c r="V5">
        <f t="shared" si="4"/>
        <v>3</v>
      </c>
      <c r="Y5" s="112"/>
    </row>
    <row r="6" spans="1:25" ht="17.45" customHeight="1">
      <c r="A6" s="123">
        <v>4</v>
      </c>
      <c r="B6" s="223">
        <f>IFERROR(INDEX('FB 콘텐츠 data'!AQ:AQ,MATCH('FB 신규발행'!A6,'FB 콘텐츠 data'!AR:AR,0)),"")</f>
        <v>45470</v>
      </c>
      <c r="C6" s="224" t="str">
        <f>IFERROR(INDEX('FB 콘텐츠 data'!$A$1:$AH$25,MATCH('FB 신규발행'!$A6,'FB 콘텐츠 data'!$AR:$AR,0),MATCH(C$2,'FB 콘텐츠 data'!$A$1:$AH$1,0)),"")</f>
        <v>링크</v>
      </c>
      <c r="D6" s="225" t="str">
        <f>IFERROR(INDEX('FB 콘텐츠 data'!$A$1:$AH$25,MATCH('FB 신규발행'!$A6,'FB 콘텐츠 data'!$AR:$AR,0),MATCH(D$2,'FB 콘텐츠 data'!$A$1:$AH$1,0)),"")</f>
        <v>에너지食 Ep. 2 *뉴스룸 미러링</v>
      </c>
      <c r="E6" s="225">
        <f>IFERROR(INDEX('FB 콘텐츠 data'!$A$1:$AH$25,MATCH('FB 신규발행'!$A6,'FB 콘텐츠 data'!$AR:$AR,0),MATCH(E$2,'FB 콘텐츠 data'!$A$1:$AH$1,0)),"")</f>
        <v>53494</v>
      </c>
      <c r="F6" s="225">
        <f>IFERROR(INDEX('FB 콘텐츠 data'!$A$1:$AH$25,MATCH('FB 신규발행'!$A6,'FB 콘텐츠 data'!$AR:$AR,0),MATCH(F$2,'FB 콘텐츠 data'!$A$1:$AH$1,0)),"")</f>
        <v>32183</v>
      </c>
      <c r="G6" s="225">
        <f>IFERROR(INDEX('FB 콘텐츠 data'!$A$1:$AH$25,MATCH('FB 신규발행'!$A6,'FB 콘텐츠 data'!$AR:$AR,0),MATCH(G$2,'FB 콘텐츠 data'!$A$1:$AH$1,0)),"")</f>
        <v>1088</v>
      </c>
      <c r="H6" s="225">
        <f t="shared" si="0"/>
        <v>1794</v>
      </c>
      <c r="I6" s="225">
        <f>IFERROR(INDEX('FB 콘텐츠 data'!$A$1:$AH$25,MATCH('FB 신규발행'!$A6,'FB 콘텐츠 data'!$AR:$AR,0),MATCH(I$2,'FB 콘텐츠 data'!$A$1:$AH$1,0)),"")</f>
        <v>176</v>
      </c>
      <c r="J6" s="225">
        <f>IFERROR(INDEX('FB 콘텐츠 data'!$A$1:$AH$25,MATCH('FB 신규발행'!$A6,'FB 콘텐츠 data'!$AR:$AR,0),MATCH(J$2,'FB 콘텐츠 data'!$A$1:$AH$1,0)),"")</f>
        <v>21</v>
      </c>
      <c r="K6" s="224">
        <f>IFERROR(INDEX('FB 콘텐츠 data'!$A$1:$AR$25,MATCH('FB 신규발행'!$A6,'FB 콘텐츠 data'!$AR:$AR,0),MATCH(K$2,'FB 콘텐츠 data'!$A$1:$AR$1,0)),"")</f>
        <v>0</v>
      </c>
      <c r="L6" s="225">
        <f>IFERROR(INDEX('FB 콘텐츠 data'!$A$1:$AH$25,MATCH('FB 신규발행'!$A6,'FB 콘텐츠 data'!$AR:$AR,0),MATCH(L$2,'FB 콘텐츠 data'!$A$1:$AH$1,0)),"")</f>
        <v>0</v>
      </c>
      <c r="M6" s="225">
        <f>IFERROR(INDEX('FB 콘텐츠 data'!$A$1:$AH$25,MATCH('FB 신규발행'!$A6,'FB 콘텐츠 data'!$AR:$AR,0),MATCH(M$2,'FB 콘텐츠 data'!$A$1:$AH$1,0)),"")</f>
        <v>0</v>
      </c>
      <c r="N6" s="225">
        <f>IFERROR(INDEX('FB 콘텐츠 data'!$A$1:$AH$25,MATCH('FB 신규발행'!$A6,'FB 콘텐츠 data'!$AR:$AR,0),MATCH(N$2,'FB 콘텐츠 data'!$A$1:$AH$1,0)),"")</f>
        <v>522</v>
      </c>
      <c r="O6" s="225">
        <f>IFERROR(INDEX('FB 콘텐츠 data'!$A$1:$AH$25,MATCH('FB 신규발행'!$A6,'FB 콘텐츠 data'!$AR:$AR,0),MATCH(O$2,'FB 콘텐츠 data'!$A$1:$AH$1,0)),"")</f>
        <v>11</v>
      </c>
      <c r="P6" s="225">
        <f>IFERROR(INDEX('FB 콘텐츠 data'!$A$1:$AH$25,MATCH('FB 신규발행'!$A6,'FB 콘텐츠 data'!$AR:$AR,0),MATCH(P$2,'FB 콘텐츠 data'!$A$1:$AH$1,0)),"")</f>
        <v>1064</v>
      </c>
      <c r="Q6" s="225">
        <f>IFERROR(INDEX('FB 콘텐츠 data'!$A$1:$AH$25,MATCH('FB 신규발행'!$A6,'FB 콘텐츠 data'!$AR:$AR,0),MATCH(Q$2,'FB 콘텐츠 data'!$A$1:$AH$1,0)),"")</f>
        <v>1586</v>
      </c>
      <c r="R6" s="226">
        <f t="shared" si="1"/>
        <v>5.5743715626262312E-2</v>
      </c>
      <c r="T6" s="48">
        <f t="shared" si="2"/>
        <v>4</v>
      </c>
      <c r="U6" s="48">
        <f t="shared" si="3"/>
        <v>2</v>
      </c>
      <c r="V6">
        <f t="shared" si="4"/>
        <v>4</v>
      </c>
      <c r="Y6" s="112"/>
    </row>
    <row r="7" spans="1:25" ht="17.45" customHeight="1">
      <c r="A7" s="123">
        <v>5</v>
      </c>
      <c r="B7" s="223">
        <f>IFERROR(INDEX('FB 콘텐츠 data'!AQ:AQ,MATCH('FB 신규발행'!A7,'FB 콘텐츠 data'!AR:AR,0)),"")</f>
        <v>45460</v>
      </c>
      <c r="C7" s="224" t="str">
        <f>IFERROR(INDEX('FB 콘텐츠 data'!$A$1:$AH$25,MATCH('FB 신규발행'!$A7,'FB 콘텐츠 data'!$AR:$AR,0),MATCH(C$2,'FB 콘텐츠 data'!$A$1:$AH$1,0)),"")</f>
        <v>사진</v>
      </c>
      <c r="D7" s="225" t="str">
        <f>IFERROR(INDEX('FB 콘텐츠 data'!$A$1:$AH$25,MATCH('FB 신규발행'!$A7,'FB 콘텐츠 data'!$AR:$AR,0),MATCH(D$2,'FB 콘텐츠 data'!$A$1:$AH$1,0)),"")</f>
        <v>이노드림(장 자크 루소)</v>
      </c>
      <c r="E7" s="225">
        <f>IFERROR(INDEX('FB 콘텐츠 data'!$A$1:$AH$25,MATCH('FB 신규발행'!$A7,'FB 콘텐츠 data'!$AR:$AR,0),MATCH(E$2,'FB 콘텐츠 data'!$A$1:$AH$1,0)),"")</f>
        <v>4657</v>
      </c>
      <c r="F7" s="225">
        <f>IFERROR(INDEX('FB 콘텐츠 data'!$A$1:$AH$25,MATCH('FB 신규발행'!$A7,'FB 콘텐츠 data'!$AR:$AR,0),MATCH(F$2,'FB 콘텐츠 data'!$A$1:$AH$1,0)),"")</f>
        <v>4090</v>
      </c>
      <c r="G7" s="225">
        <f>IFERROR(INDEX('FB 콘텐츠 data'!$A$1:$AH$25,MATCH('FB 신규발행'!$A7,'FB 콘텐츠 data'!$AR:$AR,0),MATCH(G$2,'FB 콘텐츠 data'!$A$1:$AH$1,0)),"")</f>
        <v>4010</v>
      </c>
      <c r="H7" s="225">
        <f t="shared" si="0"/>
        <v>213</v>
      </c>
      <c r="I7" s="225">
        <f>IFERROR(INDEX('FB 콘텐츠 data'!$A$1:$AH$25,MATCH('FB 신규발행'!$A7,'FB 콘텐츠 data'!$AR:$AR,0),MATCH(I$2,'FB 콘텐츠 data'!$A$1:$AH$1,0)),"")</f>
        <v>129</v>
      </c>
      <c r="J7" s="225">
        <f>IFERROR(INDEX('FB 콘텐츠 data'!$A$1:$AH$25,MATCH('FB 신규발행'!$A7,'FB 콘텐츠 data'!$AR:$AR,0),MATCH(J$2,'FB 콘텐츠 data'!$A$1:$AH$1,0)),"")</f>
        <v>18</v>
      </c>
      <c r="K7" s="224">
        <f>IFERROR(INDEX('FB 콘텐츠 data'!$A$1:$AR$25,MATCH('FB 신규발행'!$A7,'FB 콘텐츠 data'!$AR:$AR,0),MATCH(K$2,'FB 콘텐츠 data'!$A$1:$AR$1,0)),"")</f>
        <v>0</v>
      </c>
      <c r="L7" s="225">
        <f>IFERROR(INDEX('FB 콘텐츠 data'!$A$1:$AH$25,MATCH('FB 신규발행'!$A7,'FB 콘텐츠 data'!$AR:$AR,0),MATCH(L$2,'FB 콘텐츠 data'!$A$1:$AH$1,0)),"")</f>
        <v>0</v>
      </c>
      <c r="M7" s="225">
        <f>IFERROR(INDEX('FB 콘텐츠 data'!$A$1:$AH$25,MATCH('FB 신규발행'!$A7,'FB 콘텐츠 data'!$AR:$AR,0),MATCH(M$2,'FB 콘텐츠 data'!$A$1:$AH$1,0)),"")</f>
        <v>37</v>
      </c>
      <c r="N7" s="225">
        <f>IFERROR(INDEX('FB 콘텐츠 data'!$A$1:$AH$25,MATCH('FB 신규발행'!$A7,'FB 콘텐츠 data'!$AR:$AR,0),MATCH(N$2,'FB 콘텐츠 data'!$A$1:$AH$1,0)),"")</f>
        <v>0</v>
      </c>
      <c r="O7" s="225">
        <f>IFERROR(INDEX('FB 콘텐츠 data'!$A$1:$AH$25,MATCH('FB 신규발행'!$A7,'FB 콘텐츠 data'!$AR:$AR,0),MATCH(O$2,'FB 콘텐츠 data'!$A$1:$AH$1,0)),"")</f>
        <v>6</v>
      </c>
      <c r="P7" s="225">
        <f>IFERROR(INDEX('FB 콘텐츠 data'!$A$1:$AH$25,MATCH('FB 신규발행'!$A7,'FB 콘텐츠 data'!$AR:$AR,0),MATCH(P$2,'FB 콘텐츠 data'!$A$1:$AH$1,0)),"")</f>
        <v>23</v>
      </c>
      <c r="Q7" s="225">
        <f>IFERROR(INDEX('FB 콘텐츠 data'!$A$1:$AH$25,MATCH('FB 신규발행'!$A7,'FB 콘텐츠 data'!$AR:$AR,0),MATCH(Q$2,'FB 콘텐츠 data'!$A$1:$AH$1,0)),"")</f>
        <v>60</v>
      </c>
      <c r="R7" s="226">
        <f t="shared" si="1"/>
        <v>5.2078239608801959E-2</v>
      </c>
      <c r="T7" s="48">
        <f t="shared" si="2"/>
        <v>5</v>
      </c>
      <c r="U7" s="48">
        <f t="shared" si="3"/>
        <v>11</v>
      </c>
      <c r="V7">
        <f t="shared" si="4"/>
        <v>5</v>
      </c>
      <c r="Y7" s="112"/>
    </row>
    <row r="8" spans="1:25" ht="17.45" customHeight="1">
      <c r="A8" s="123">
        <v>6</v>
      </c>
      <c r="B8" s="223">
        <f>IFERROR(INDEX('FB 콘텐츠 data'!AQ:AQ,MATCH('FB 신규발행'!A8,'FB 콘텐츠 data'!AR:AR,0)),"")</f>
        <v>45446</v>
      </c>
      <c r="C8" s="224" t="str">
        <f>IFERROR(INDEX('FB 콘텐츠 data'!$A$1:$AH$25,MATCH('FB 신규발행'!$A8,'FB 콘텐츠 data'!$AR:$AR,0),MATCH(C$2,'FB 콘텐츠 data'!$A$1:$AH$1,0)),"")</f>
        <v>사진</v>
      </c>
      <c r="D8" s="225" t="str">
        <f>IFERROR(INDEX('FB 콘텐츠 data'!$A$1:$AH$25,MATCH('FB 신규발행'!$A8,'FB 콘텐츠 data'!$AR:$AR,0),MATCH(D$2,'FB 콘텐츠 data'!$A$1:$AH$1,0)),"")</f>
        <v>이노드림(장 폴 사르트르)</v>
      </c>
      <c r="E8" s="225">
        <f>IFERROR(INDEX('FB 콘텐츠 data'!$A$1:$AH$25,MATCH('FB 신규발행'!$A8,'FB 콘텐츠 data'!$AR:$AR,0),MATCH(E$2,'FB 콘텐츠 data'!$A$1:$AH$1,0)),"")</f>
        <v>6149</v>
      </c>
      <c r="F8" s="225">
        <f>IFERROR(INDEX('FB 콘텐츠 data'!$A$1:$AH$25,MATCH('FB 신규발행'!$A8,'FB 콘텐츠 data'!$AR:$AR,0),MATCH(F$2,'FB 콘텐츠 data'!$A$1:$AH$1,0)),"")</f>
        <v>5791</v>
      </c>
      <c r="G8" s="225">
        <f>IFERROR(INDEX('FB 콘텐츠 data'!$A$1:$AH$25,MATCH('FB 신규발행'!$A8,'FB 콘텐츠 data'!$AR:$AR,0),MATCH(G$2,'FB 콘텐츠 data'!$A$1:$AH$1,0)),"")</f>
        <v>5734</v>
      </c>
      <c r="H8" s="225">
        <f t="shared" si="0"/>
        <v>285</v>
      </c>
      <c r="I8" s="225">
        <f>IFERROR(INDEX('FB 콘텐츠 data'!$A$1:$AH$25,MATCH('FB 신규발행'!$A8,'FB 콘텐츠 data'!$AR:$AR,0),MATCH(I$2,'FB 콘텐츠 data'!$A$1:$AH$1,0)),"")</f>
        <v>155</v>
      </c>
      <c r="J8" s="225">
        <f>IFERROR(INDEX('FB 콘텐츠 data'!$A$1:$AH$25,MATCH('FB 신규발행'!$A8,'FB 콘텐츠 data'!$AR:$AR,0),MATCH(J$2,'FB 콘텐츠 data'!$A$1:$AH$1,0)),"")</f>
        <v>18</v>
      </c>
      <c r="K8" s="224">
        <f>IFERROR(INDEX('FB 콘텐츠 data'!$A$1:$AR$25,MATCH('FB 신규발행'!$A8,'FB 콘텐츠 data'!$AR:$AR,0),MATCH(K$2,'FB 콘텐츠 data'!$A$1:$AR$1,0)),"")</f>
        <v>0</v>
      </c>
      <c r="L8" s="225">
        <f>IFERROR(INDEX('FB 콘텐츠 data'!$A$1:$AH$25,MATCH('FB 신규발행'!$A8,'FB 콘텐츠 data'!$AR:$AR,0),MATCH(L$2,'FB 콘텐츠 data'!$A$1:$AH$1,0)),"")</f>
        <v>0</v>
      </c>
      <c r="M8" s="225">
        <f>IFERROR(INDEX('FB 콘텐츠 data'!$A$1:$AH$25,MATCH('FB 신규발행'!$A8,'FB 콘텐츠 data'!$AR:$AR,0),MATCH(M$2,'FB 콘텐츠 data'!$A$1:$AH$1,0)),"")</f>
        <v>71</v>
      </c>
      <c r="N8" s="225">
        <f>IFERROR(INDEX('FB 콘텐츠 data'!$A$1:$AH$25,MATCH('FB 신규발행'!$A8,'FB 콘텐츠 data'!$AR:$AR,0),MATCH(N$2,'FB 콘텐츠 data'!$A$1:$AH$1,0)),"")</f>
        <v>0</v>
      </c>
      <c r="O8" s="225">
        <f>IFERROR(INDEX('FB 콘텐츠 data'!$A$1:$AH$25,MATCH('FB 신규발행'!$A8,'FB 콘텐츠 data'!$AR:$AR,0),MATCH(O$2,'FB 콘텐츠 data'!$A$1:$AH$1,0)),"")</f>
        <v>9</v>
      </c>
      <c r="P8" s="225">
        <f>IFERROR(INDEX('FB 콘텐츠 data'!$A$1:$AH$25,MATCH('FB 신규발행'!$A8,'FB 콘텐츠 data'!$AR:$AR,0),MATCH(P$2,'FB 콘텐츠 data'!$A$1:$AH$1,0)),"")</f>
        <v>32</v>
      </c>
      <c r="Q8" s="225">
        <f>IFERROR(INDEX('FB 콘텐츠 data'!$A$1:$AH$25,MATCH('FB 신규발행'!$A8,'FB 콘텐츠 data'!$AR:$AR,0),MATCH(Q$2,'FB 콘텐츠 data'!$A$1:$AH$1,0)),"")</f>
        <v>103</v>
      </c>
      <c r="R8" s="226">
        <f t="shared" si="1"/>
        <v>4.9214298048696252E-2</v>
      </c>
      <c r="T8" s="48">
        <f t="shared" si="2"/>
        <v>6</v>
      </c>
      <c r="U8" s="48">
        <f t="shared" si="3"/>
        <v>10</v>
      </c>
      <c r="V8">
        <f t="shared" si="4"/>
        <v>6</v>
      </c>
      <c r="Y8" s="112"/>
    </row>
    <row r="9" spans="1:25" ht="17.45" customHeight="1">
      <c r="A9" s="123">
        <v>7</v>
      </c>
      <c r="B9" s="223">
        <f>IFERROR(INDEX('FB 콘텐츠 data'!AQ:AQ,MATCH('FB 신규발행'!A9,'FB 콘텐츠 data'!AR:AR,0)),"")</f>
        <v>45453</v>
      </c>
      <c r="C9" s="224" t="str">
        <f>IFERROR(INDEX('FB 콘텐츠 data'!$A$1:$AH$25,MATCH('FB 신규발행'!$A9,'FB 콘텐츠 data'!$AR:$AR,0),MATCH(C$2,'FB 콘텐츠 data'!$A$1:$AH$1,0)),"")</f>
        <v>사진</v>
      </c>
      <c r="D9" s="225" t="str">
        <f>IFERROR(INDEX('FB 콘텐츠 data'!$A$1:$AH$25,MATCH('FB 신규발행'!$A9,'FB 콘텐츠 data'!$AR:$AR,0),MATCH(D$2,'FB 콘텐츠 data'!$A$1:$AH$1,0)),"")</f>
        <v>이노드림(블레즈 파스칼)</v>
      </c>
      <c r="E9" s="225">
        <f>IFERROR(INDEX('FB 콘텐츠 data'!$A$1:$AH$25,MATCH('FB 신규발행'!$A9,'FB 콘텐츠 data'!$AR:$AR,0),MATCH(E$2,'FB 콘텐츠 data'!$A$1:$AH$1,0)),"")</f>
        <v>6572</v>
      </c>
      <c r="F9" s="225">
        <f>IFERROR(INDEX('FB 콘텐츠 data'!$A$1:$AH$25,MATCH('FB 신규발행'!$A9,'FB 콘텐츠 data'!$AR:$AR,0),MATCH(F$2,'FB 콘텐츠 data'!$A$1:$AH$1,0)),"")</f>
        <v>6229</v>
      </c>
      <c r="G9" s="225">
        <f>IFERROR(INDEX('FB 콘텐츠 data'!$A$1:$AH$25,MATCH('FB 신규발행'!$A9,'FB 콘텐츠 data'!$AR:$AR,0),MATCH(G$2,'FB 콘텐츠 data'!$A$1:$AH$1,0)),"")</f>
        <v>6134</v>
      </c>
      <c r="H9" s="225">
        <f t="shared" si="0"/>
        <v>296</v>
      </c>
      <c r="I9" s="225">
        <f>IFERROR(INDEX('FB 콘텐츠 data'!$A$1:$AH$25,MATCH('FB 신규발행'!$A9,'FB 콘텐츠 data'!$AR:$AR,0),MATCH(I$2,'FB 콘텐츠 data'!$A$1:$AH$1,0)),"")</f>
        <v>138</v>
      </c>
      <c r="J9" s="225">
        <f>IFERROR(INDEX('FB 콘텐츠 data'!$A$1:$AH$25,MATCH('FB 신규발행'!$A9,'FB 콘텐츠 data'!$AR:$AR,0),MATCH(J$2,'FB 콘텐츠 data'!$A$1:$AH$1,0)),"")</f>
        <v>22</v>
      </c>
      <c r="K9" s="224">
        <f>IFERROR(INDEX('FB 콘텐츠 data'!$A$1:$AR$25,MATCH('FB 신규발행'!$A9,'FB 콘텐츠 data'!$AR:$AR,0),MATCH(K$2,'FB 콘텐츠 data'!$A$1:$AR$1,0)),"")</f>
        <v>0</v>
      </c>
      <c r="L9" s="225">
        <f>IFERROR(INDEX('FB 콘텐츠 data'!$A$1:$AH$25,MATCH('FB 신규발행'!$A9,'FB 콘텐츠 data'!$AR:$AR,0),MATCH(L$2,'FB 콘텐츠 data'!$A$1:$AH$1,0)),"")</f>
        <v>0</v>
      </c>
      <c r="M9" s="225">
        <f>IFERROR(INDEX('FB 콘텐츠 data'!$A$1:$AH$25,MATCH('FB 신규발행'!$A9,'FB 콘텐츠 data'!$AR:$AR,0),MATCH(M$2,'FB 콘텐츠 data'!$A$1:$AH$1,0)),"")</f>
        <v>90</v>
      </c>
      <c r="N9" s="225">
        <f>IFERROR(INDEX('FB 콘텐츠 data'!$A$1:$AH$25,MATCH('FB 신규발행'!$A9,'FB 콘텐츠 data'!$AR:$AR,0),MATCH(N$2,'FB 콘텐츠 data'!$A$1:$AH$1,0)),"")</f>
        <v>0</v>
      </c>
      <c r="O9" s="225">
        <f>IFERROR(INDEX('FB 콘텐츠 data'!$A$1:$AH$25,MATCH('FB 신규발행'!$A9,'FB 콘텐츠 data'!$AR:$AR,0),MATCH(O$2,'FB 콘텐츠 data'!$A$1:$AH$1,0)),"")</f>
        <v>12</v>
      </c>
      <c r="P9" s="225">
        <f>IFERROR(INDEX('FB 콘텐츠 data'!$A$1:$AH$25,MATCH('FB 신규발행'!$A9,'FB 콘텐츠 data'!$AR:$AR,0),MATCH(P$2,'FB 콘텐츠 data'!$A$1:$AH$1,0)),"")</f>
        <v>34</v>
      </c>
      <c r="Q9" s="225">
        <f>IFERROR(INDEX('FB 콘텐츠 data'!$A$1:$AH$25,MATCH('FB 신규발행'!$A9,'FB 콘텐츠 data'!$AR:$AR,0),MATCH(Q$2,'FB 콘텐츠 data'!$A$1:$AH$1,0)),"")</f>
        <v>124</v>
      </c>
      <c r="R9" s="226">
        <f t="shared" si="1"/>
        <v>4.7519666078022153E-2</v>
      </c>
      <c r="T9" s="48">
        <f t="shared" si="2"/>
        <v>7</v>
      </c>
      <c r="U9" s="48">
        <f t="shared" si="3"/>
        <v>9</v>
      </c>
      <c r="V9">
        <f t="shared" si="4"/>
        <v>7</v>
      </c>
      <c r="Y9" s="112"/>
    </row>
    <row r="10" spans="1:25" ht="17.45" customHeight="1">
      <c r="A10" s="123">
        <v>8</v>
      </c>
      <c r="B10" s="223">
        <f>IFERROR(INDEX('FB 콘텐츠 data'!AQ:AQ,MATCH('FB 신규발행'!A10,'FB 콘텐츠 data'!AR:AR,0)),"")</f>
        <v>45454</v>
      </c>
      <c r="C10" s="224" t="str">
        <f>IFERROR(INDEX('FB 콘텐츠 data'!$A$1:$AH$25,MATCH('FB 신규발행'!$A10,'FB 콘텐츠 data'!$AR:$AR,0),MATCH(C$2,'FB 콘텐츠 data'!$A$1:$AH$1,0)),"")</f>
        <v>링크</v>
      </c>
      <c r="D10" s="225" t="str">
        <f>IFERROR(INDEX('FB 콘텐츠 data'!$A$1:$AH$25,MATCH('FB 신규발행'!$A10,'FB 콘텐츠 data'!$AR:$AR,0),MATCH(D$2,'FB 콘텐츠 data'!$A$1:$AH$1,0)),"")</f>
        <v>6월 CSR 콘텐츠 *뉴스룸 미러링</v>
      </c>
      <c r="E10" s="225">
        <f>IFERROR(INDEX('FB 콘텐츠 data'!$A$1:$AH$25,MATCH('FB 신규발행'!$A10,'FB 콘텐츠 data'!$AR:$AR,0),MATCH(E$2,'FB 콘텐츠 data'!$A$1:$AH$1,0)),"")</f>
        <v>21764</v>
      </c>
      <c r="F10" s="225">
        <f>IFERROR(INDEX('FB 콘텐츠 data'!$A$1:$AH$25,MATCH('FB 신규발행'!$A10,'FB 콘텐츠 data'!$AR:$AR,0),MATCH(F$2,'FB 콘텐츠 data'!$A$1:$AH$1,0)),"")</f>
        <v>17381</v>
      </c>
      <c r="G10" s="225">
        <f>IFERROR(INDEX('FB 콘텐츠 data'!$A$1:$AH$25,MATCH('FB 신규발행'!$A10,'FB 콘텐츠 data'!$AR:$AR,0),MATCH(G$2,'FB 콘텐츠 data'!$A$1:$AH$1,0)),"")</f>
        <v>1211</v>
      </c>
      <c r="H10" s="225">
        <f t="shared" si="0"/>
        <v>522</v>
      </c>
      <c r="I10" s="225">
        <f>IFERROR(INDEX('FB 콘텐츠 data'!$A$1:$AH$25,MATCH('FB 신규발행'!$A10,'FB 콘텐츠 data'!$AR:$AR,0),MATCH(I$2,'FB 콘텐츠 data'!$A$1:$AH$1,0)),"")</f>
        <v>93</v>
      </c>
      <c r="J10" s="225">
        <f>IFERROR(INDEX('FB 콘텐츠 data'!$A$1:$AH$25,MATCH('FB 신규발행'!$A10,'FB 콘텐츠 data'!$AR:$AR,0),MATCH(J$2,'FB 콘텐츠 data'!$A$1:$AH$1,0)),"")</f>
        <v>13</v>
      </c>
      <c r="K10" s="224">
        <f>IFERROR(INDEX('FB 콘텐츠 data'!$A$1:$AR$25,MATCH('FB 신규발행'!$A10,'FB 콘텐츠 data'!$AR:$AR,0),MATCH(K$2,'FB 콘텐츠 data'!$A$1:$AR$1,0)),"")</f>
        <v>0</v>
      </c>
      <c r="L10" s="225">
        <f>IFERROR(INDEX('FB 콘텐츠 data'!$A$1:$AH$25,MATCH('FB 신규발행'!$A10,'FB 콘텐츠 data'!$AR:$AR,0),MATCH(L$2,'FB 콘텐츠 data'!$A$1:$AH$1,0)),"")</f>
        <v>0</v>
      </c>
      <c r="M10" s="225">
        <f>IFERROR(INDEX('FB 콘텐츠 data'!$A$1:$AH$25,MATCH('FB 신규발행'!$A10,'FB 콘텐츠 data'!$AR:$AR,0),MATCH(M$2,'FB 콘텐츠 data'!$A$1:$AH$1,0)),"")</f>
        <v>0</v>
      </c>
      <c r="N10" s="225">
        <f>IFERROR(INDEX('FB 콘텐츠 data'!$A$1:$AH$25,MATCH('FB 신규발행'!$A10,'FB 콘텐츠 data'!$AR:$AR,0),MATCH(N$2,'FB 콘텐츠 data'!$A$1:$AH$1,0)),"")</f>
        <v>287</v>
      </c>
      <c r="O10" s="225">
        <f>IFERROR(INDEX('FB 콘텐츠 data'!$A$1:$AH$25,MATCH('FB 신규발행'!$A10,'FB 콘텐츠 data'!$AR:$AR,0),MATCH(O$2,'FB 콘텐츠 data'!$A$1:$AH$1,0)),"")</f>
        <v>1</v>
      </c>
      <c r="P10" s="225">
        <f>IFERROR(INDEX('FB 콘텐츠 data'!$A$1:$AH$25,MATCH('FB 신규발행'!$A10,'FB 콘텐츠 data'!$AR:$AR,0),MATCH(P$2,'FB 콘텐츠 data'!$A$1:$AH$1,0)),"")</f>
        <v>128</v>
      </c>
      <c r="Q10" s="225">
        <f>IFERROR(INDEX('FB 콘텐츠 data'!$A$1:$AH$25,MATCH('FB 신규발행'!$A10,'FB 콘텐츠 data'!$AR:$AR,0),MATCH(Q$2,'FB 콘텐츠 data'!$A$1:$AH$1,0)),"")</f>
        <v>415</v>
      </c>
      <c r="R10" s="226">
        <f t="shared" si="1"/>
        <v>3.0032794430700189E-2</v>
      </c>
      <c r="T10" s="48">
        <f t="shared" si="2"/>
        <v>8</v>
      </c>
      <c r="U10" s="48">
        <f t="shared" si="3"/>
        <v>6</v>
      </c>
      <c r="V10">
        <f t="shared" si="4"/>
        <v>8</v>
      </c>
      <c r="Y10" s="112"/>
    </row>
    <row r="11" spans="1:25" ht="17.45" customHeight="1">
      <c r="A11" s="123">
        <v>9</v>
      </c>
      <c r="B11" s="223">
        <f>IFERROR(INDEX('FB 콘텐츠 data'!AQ:AQ,MATCH('FB 신규발행'!A11,'FB 콘텐츠 data'!AR:AR,0)),"")</f>
        <v>45456</v>
      </c>
      <c r="C11" s="224" t="str">
        <f>IFERROR(INDEX('FB 콘텐츠 data'!$A$1:$AH$25,MATCH('FB 신규발행'!$A11,'FB 콘텐츠 data'!$AR:$AR,0),MATCH(C$2,'FB 콘텐츠 data'!$A$1:$AH$1,0)),"")</f>
        <v>동영상</v>
      </c>
      <c r="D11" s="225" t="str">
        <f>IFERROR(INDEX('FB 콘텐츠 data'!$A$1:$AH$25,MATCH('FB 신규발행'!$A11,'FB 콘텐츠 data'!$AR:$AR,0),MATCH(D$2,'FB 콘텐츠 data'!$A$1:$AH$1,0)),"")</f>
        <v>세계 헌혈자의 날</v>
      </c>
      <c r="E11" s="225">
        <f>IFERROR(INDEX('FB 콘텐츠 data'!$A$1:$AH$25,MATCH('FB 신규발행'!$A11,'FB 콘텐츠 data'!$AR:$AR,0),MATCH(E$2,'FB 콘텐츠 data'!$A$1:$AH$1,0)),"")</f>
        <v>16595</v>
      </c>
      <c r="F11" s="225">
        <f>IFERROR(INDEX('FB 콘텐츠 data'!$A$1:$AH$25,MATCH('FB 신규발행'!$A11,'FB 콘텐츠 data'!$AR:$AR,0),MATCH(F$2,'FB 콘텐츠 data'!$A$1:$AH$1,0)),"")</f>
        <v>11430</v>
      </c>
      <c r="G11" s="225">
        <f>IFERROR(INDEX('FB 콘텐츠 data'!$A$1:$AH$25,MATCH('FB 신규발행'!$A11,'FB 콘텐츠 data'!$AR:$AR,0),MATCH(G$2,'FB 콘텐츠 data'!$A$1:$AH$1,0)),"")</f>
        <v>1093</v>
      </c>
      <c r="H11" s="225">
        <f t="shared" si="0"/>
        <v>226</v>
      </c>
      <c r="I11" s="225">
        <f>IFERROR(INDEX('FB 콘텐츠 data'!$A$1:$AH$25,MATCH('FB 신규발행'!$A11,'FB 콘텐츠 data'!$AR:$AR,0),MATCH(I$2,'FB 콘텐츠 data'!$A$1:$AH$1,0)),"")</f>
        <v>161</v>
      </c>
      <c r="J11" s="225">
        <f>IFERROR(INDEX('FB 콘텐츠 data'!$A$1:$AH$25,MATCH('FB 신규발행'!$A11,'FB 콘텐츠 data'!$AR:$AR,0),MATCH(J$2,'FB 콘텐츠 data'!$A$1:$AH$1,0)),"")</f>
        <v>18</v>
      </c>
      <c r="K11" s="224">
        <f>IFERROR(INDEX('FB 콘텐츠 data'!$A$1:$AR$25,MATCH('FB 신규발행'!$A11,'FB 콘텐츠 data'!$AR:$AR,0),MATCH(K$2,'FB 콘텐츠 data'!$A$1:$AR$1,0)),"")</f>
        <v>5.0490000000000004</v>
      </c>
      <c r="L11" s="225">
        <f>IFERROR(INDEX('FB 콘텐츠 data'!$A$1:$AH$25,MATCH('FB 신규발행'!$A11,'FB 콘텐츠 data'!$AR:$AR,0),MATCH(L$2,'FB 콘텐츠 data'!$A$1:$AH$1,0)),"")</f>
        <v>3498</v>
      </c>
      <c r="M11" s="225">
        <f>IFERROR(INDEX('FB 콘텐츠 data'!$A$1:$AH$25,MATCH('FB 신규발행'!$A11,'FB 콘텐츠 data'!$AR:$AR,0),MATCH(M$2,'FB 콘텐츠 data'!$A$1:$AH$1,0)),"")</f>
        <v>0</v>
      </c>
      <c r="N11" s="225">
        <f>IFERROR(INDEX('FB 콘텐츠 data'!$A$1:$AH$25,MATCH('FB 신규발행'!$A11,'FB 콘텐츠 data'!$AR:$AR,0),MATCH(N$2,'FB 콘텐츠 data'!$A$1:$AH$1,0)),"")</f>
        <v>3</v>
      </c>
      <c r="O11" s="225">
        <f>IFERROR(INDEX('FB 콘텐츠 data'!$A$1:$AH$25,MATCH('FB 신규발행'!$A11,'FB 콘텐츠 data'!$AR:$AR,0),MATCH(O$2,'FB 콘텐츠 data'!$A$1:$AH$1,0)),"")</f>
        <v>3</v>
      </c>
      <c r="P11" s="225">
        <f>IFERROR(INDEX('FB 콘텐츠 data'!$A$1:$AH$25,MATCH('FB 신규발행'!$A11,'FB 콘텐츠 data'!$AR:$AR,0),MATCH(P$2,'FB 콘텐츠 data'!$A$1:$AH$1,0)),"")</f>
        <v>27</v>
      </c>
      <c r="Q11" s="225">
        <f>IFERROR(INDEX('FB 콘텐츠 data'!$A$1:$AH$25,MATCH('FB 신규발행'!$A11,'FB 콘텐츠 data'!$AR:$AR,0),MATCH(Q$2,'FB 콘텐츠 data'!$A$1:$AH$1,0)),"")</f>
        <v>44</v>
      </c>
      <c r="R11" s="226">
        <f t="shared" si="1"/>
        <v>1.9772528433945755E-2</v>
      </c>
      <c r="T11" s="48">
        <f t="shared" si="2"/>
        <v>9</v>
      </c>
      <c r="U11" s="48">
        <f t="shared" si="3"/>
        <v>7</v>
      </c>
      <c r="V11">
        <f t="shared" si="4"/>
        <v>9</v>
      </c>
      <c r="Y11" s="112"/>
    </row>
    <row r="12" spans="1:25" ht="17.45" customHeight="1">
      <c r="A12" s="123">
        <v>10</v>
      </c>
      <c r="B12" s="223">
        <f>IFERROR(INDEX('FB 콘텐츠 data'!AQ:AQ,MATCH('FB 신규발행'!A12,'FB 콘텐츠 data'!AR:AR,0)),"")</f>
        <v>45453</v>
      </c>
      <c r="C12" s="224" t="str">
        <f>IFERROR(INDEX('FB 콘텐츠 data'!$A$1:$AH$25,MATCH('FB 신규발행'!$A12,'FB 콘텐츠 data'!$AR:$AR,0),MATCH(C$2,'FB 콘텐츠 data'!$A$1:$AH$1,0)),"")</f>
        <v>동영상</v>
      </c>
      <c r="D12" s="225" t="str">
        <f>IFERROR(INDEX('FB 콘텐츠 data'!$A$1:$AH$25,MATCH('FB 신규발행'!$A12,'FB 콘텐츠 data'!$AR:$AR,0),MATCH(D$2,'FB 콘텐츠 data'!$A$1:$AH$1,0)),"")</f>
        <v>슼-떠나요 Ep. 페루</v>
      </c>
      <c r="E12" s="225">
        <f>IFERROR(INDEX('FB 콘텐츠 data'!$A$1:$AH$25,MATCH('FB 신규발행'!$A12,'FB 콘텐츠 data'!$AR:$AR,0),MATCH(E$2,'FB 콘텐츠 data'!$A$1:$AH$1,0)),"")</f>
        <v>35928</v>
      </c>
      <c r="F12" s="225">
        <f>IFERROR(INDEX('FB 콘텐츠 data'!$A$1:$AH$25,MATCH('FB 신규발행'!$A12,'FB 콘텐츠 data'!$AR:$AR,0),MATCH(F$2,'FB 콘텐츠 data'!$A$1:$AH$1,0)),"")</f>
        <v>22095</v>
      </c>
      <c r="G12" s="225">
        <f>IFERROR(INDEX('FB 콘텐츠 data'!$A$1:$AH$25,MATCH('FB 신규발행'!$A12,'FB 콘텐츠 data'!$AR:$AR,0),MATCH(G$2,'FB 콘텐츠 data'!$A$1:$AH$1,0)),"")</f>
        <v>1867</v>
      </c>
      <c r="H12" s="225">
        <f t="shared" si="0"/>
        <v>370</v>
      </c>
      <c r="I12" s="225">
        <f>IFERROR(INDEX('FB 콘텐츠 data'!$A$1:$AH$25,MATCH('FB 신규발행'!$A12,'FB 콘텐츠 data'!$AR:$AR,0),MATCH(I$2,'FB 콘텐츠 data'!$A$1:$AH$1,0)),"")</f>
        <v>243</v>
      </c>
      <c r="J12" s="225">
        <f>IFERROR(INDEX('FB 콘텐츠 data'!$A$1:$AH$25,MATCH('FB 신규발행'!$A12,'FB 콘텐츠 data'!$AR:$AR,0),MATCH(J$2,'FB 콘텐츠 data'!$A$1:$AH$1,0)),"")</f>
        <v>12</v>
      </c>
      <c r="K12" s="224">
        <f>IFERROR(INDEX('FB 콘텐츠 data'!$A$1:$AR$25,MATCH('FB 신규발행'!$A12,'FB 콘텐츠 data'!$AR:$AR,0),MATCH(K$2,'FB 콘텐츠 data'!$A$1:$AR$1,0)),"")</f>
        <v>12.473000000000001</v>
      </c>
      <c r="L12" s="225">
        <f>IFERROR(INDEX('FB 콘텐츠 data'!$A$1:$AH$25,MATCH('FB 신규발행'!$A12,'FB 콘텐츠 data'!$AR:$AR,0),MATCH(L$2,'FB 콘텐츠 data'!$A$1:$AH$1,0)),"")</f>
        <v>7079</v>
      </c>
      <c r="M12" s="225">
        <f>IFERROR(INDEX('FB 콘텐츠 data'!$A$1:$AH$25,MATCH('FB 신규발행'!$A12,'FB 콘텐츠 data'!$AR:$AR,0),MATCH(M$2,'FB 콘텐츠 data'!$A$1:$AH$1,0)),"")</f>
        <v>0</v>
      </c>
      <c r="N12" s="225">
        <f>IFERROR(INDEX('FB 콘텐츠 data'!$A$1:$AH$25,MATCH('FB 신규발행'!$A12,'FB 콘텐츠 data'!$AR:$AR,0),MATCH(N$2,'FB 콘텐츠 data'!$A$1:$AH$1,0)),"")</f>
        <v>6</v>
      </c>
      <c r="O12" s="225">
        <f>IFERROR(INDEX('FB 콘텐츠 data'!$A$1:$AH$25,MATCH('FB 신규발행'!$A12,'FB 콘텐츠 data'!$AR:$AR,0),MATCH(O$2,'FB 콘텐츠 data'!$A$1:$AH$1,0)),"")</f>
        <v>4</v>
      </c>
      <c r="P12" s="225">
        <f>IFERROR(INDEX('FB 콘텐츠 data'!$A$1:$AH$25,MATCH('FB 신규발행'!$A12,'FB 콘텐츠 data'!$AR:$AR,0),MATCH(P$2,'FB 콘텐츠 data'!$A$1:$AH$1,0)),"")</f>
        <v>46</v>
      </c>
      <c r="Q12" s="225">
        <f>IFERROR(INDEX('FB 콘텐츠 data'!$A$1:$AH$25,MATCH('FB 신규발행'!$A12,'FB 콘텐츠 data'!$AR:$AR,0),MATCH(Q$2,'FB 콘텐츠 data'!$A$1:$AH$1,0)),"")</f>
        <v>111</v>
      </c>
      <c r="R12" s="226">
        <f t="shared" si="1"/>
        <v>1.6745870106358904E-2</v>
      </c>
      <c r="T12" s="48">
        <f t="shared" si="2"/>
        <v>10</v>
      </c>
      <c r="U12" s="48">
        <f t="shared" si="3"/>
        <v>4</v>
      </c>
      <c r="V12">
        <f t="shared" si="4"/>
        <v>10</v>
      </c>
      <c r="Y12" s="112"/>
    </row>
    <row r="13" spans="1:25" ht="17.45" customHeight="1">
      <c r="A13" s="123">
        <v>11</v>
      </c>
      <c r="B13" s="223">
        <f>IFERROR(INDEX('FB 콘텐츠 data'!AQ:AQ,MATCH('FB 신규발행'!A13,'FB 콘텐츠 data'!AR:AR,0)),"")</f>
        <v>45448</v>
      </c>
      <c r="C13" s="224" t="str">
        <f>IFERROR(INDEX('FB 콘텐츠 data'!$A$1:$AH$25,MATCH('FB 신규발행'!$A13,'FB 콘텐츠 data'!$AR:$AR,0),MATCH(C$2,'FB 콘텐츠 data'!$A$1:$AH$1,0)),"")</f>
        <v>동영상</v>
      </c>
      <c r="D13" s="225" t="str">
        <f>IFERROR(INDEX('FB 콘텐츠 data'!$A$1:$AH$25,MATCH('FB 신규발행'!$A13,'FB 콘텐츠 data'!$AR:$AR,0),MATCH(D$2,'FB 콘텐츠 data'!$A$1:$AH$1,0)),"")</f>
        <v>세계 환경의 날</v>
      </c>
      <c r="E13" s="225">
        <f>IFERROR(INDEX('FB 콘텐츠 data'!$A$1:$AH$25,MATCH('FB 신규발행'!$A13,'FB 콘텐츠 data'!$AR:$AR,0),MATCH(E$2,'FB 콘텐츠 data'!$A$1:$AH$1,0)),"")</f>
        <v>46636</v>
      </c>
      <c r="F13" s="225">
        <f>IFERROR(INDEX('FB 콘텐츠 data'!$A$1:$AH$25,MATCH('FB 신규발행'!$A13,'FB 콘텐츠 data'!$AR:$AR,0),MATCH(F$2,'FB 콘텐츠 data'!$A$1:$AH$1,0)),"")</f>
        <v>33427</v>
      </c>
      <c r="G13" s="225">
        <f>IFERROR(INDEX('FB 콘텐츠 data'!$A$1:$AH$25,MATCH('FB 신규발행'!$A13,'FB 콘텐츠 data'!$AR:$AR,0),MATCH(G$2,'FB 콘텐츠 data'!$A$1:$AH$1,0)),"")</f>
        <v>4324</v>
      </c>
      <c r="H13" s="225">
        <f t="shared" si="0"/>
        <v>483</v>
      </c>
      <c r="I13" s="225">
        <f>IFERROR(INDEX('FB 콘텐츠 data'!$A$1:$AH$25,MATCH('FB 신규발행'!$A13,'FB 콘텐츠 data'!$AR:$AR,0),MATCH(I$2,'FB 콘텐츠 data'!$A$1:$AH$1,0)),"")</f>
        <v>313</v>
      </c>
      <c r="J13" s="225">
        <f>IFERROR(INDEX('FB 콘텐츠 data'!$A$1:$AH$25,MATCH('FB 신규발행'!$A13,'FB 콘텐츠 data'!$AR:$AR,0),MATCH(J$2,'FB 콘텐츠 data'!$A$1:$AH$1,0)),"")</f>
        <v>17</v>
      </c>
      <c r="K13" s="224">
        <f>IFERROR(INDEX('FB 콘텐츠 data'!$A$1:$AR$25,MATCH('FB 신규발행'!$A13,'FB 콘텐츠 data'!$AR:$AR,0),MATCH(K$2,'FB 콘텐츠 data'!$A$1:$AR$1,0)),"")</f>
        <v>3.9249999999999998</v>
      </c>
      <c r="L13" s="225">
        <f>IFERROR(INDEX('FB 콘텐츠 data'!$A$1:$AH$25,MATCH('FB 신규발행'!$A13,'FB 콘텐츠 data'!$AR:$AR,0),MATCH(L$2,'FB 콘텐츠 data'!$A$1:$AH$1,0)),"")</f>
        <v>13400</v>
      </c>
      <c r="M13" s="225">
        <f>IFERROR(INDEX('FB 콘텐츠 data'!$A$1:$AH$25,MATCH('FB 신규발행'!$A13,'FB 콘텐츠 data'!$AR:$AR,0),MATCH(M$2,'FB 콘텐츠 data'!$A$1:$AH$1,0)),"")</f>
        <v>0</v>
      </c>
      <c r="N13" s="225">
        <f>IFERROR(INDEX('FB 콘텐츠 data'!$A$1:$AH$25,MATCH('FB 신규발행'!$A13,'FB 콘텐츠 data'!$AR:$AR,0),MATCH(N$2,'FB 콘텐츠 data'!$A$1:$AH$1,0)),"")</f>
        <v>14</v>
      </c>
      <c r="O13" s="225">
        <f>IFERROR(INDEX('FB 콘텐츠 data'!$A$1:$AH$25,MATCH('FB 신규발행'!$A13,'FB 콘텐츠 data'!$AR:$AR,0),MATCH(O$2,'FB 콘텐츠 data'!$A$1:$AH$1,0)),"")</f>
        <v>6</v>
      </c>
      <c r="P13" s="225">
        <f>IFERROR(INDEX('FB 콘텐츠 data'!$A$1:$AH$25,MATCH('FB 신규발행'!$A13,'FB 콘텐츠 data'!$AR:$AR,0),MATCH(P$2,'FB 콘텐츠 data'!$A$1:$AH$1,0)),"")</f>
        <v>78</v>
      </c>
      <c r="Q13" s="225">
        <f>IFERROR(INDEX('FB 콘텐츠 data'!$A$1:$AH$25,MATCH('FB 신규발행'!$A13,'FB 콘텐츠 data'!$AR:$AR,0),MATCH(Q$2,'FB 콘텐츠 data'!$A$1:$AH$1,0)),"")</f>
        <v>147</v>
      </c>
      <c r="R13" s="226">
        <f t="shared" si="1"/>
        <v>1.4449397193885183E-2</v>
      </c>
      <c r="T13" s="48">
        <f t="shared" si="2"/>
        <v>11</v>
      </c>
      <c r="U13" s="48">
        <f t="shared" si="3"/>
        <v>3</v>
      </c>
      <c r="V13">
        <f t="shared" si="4"/>
        <v>11</v>
      </c>
      <c r="Y13" s="112"/>
    </row>
    <row r="14" spans="1:25" ht="17.45" customHeight="1">
      <c r="A14" s="123">
        <v>12</v>
      </c>
      <c r="B14" s="223">
        <f>IFERROR(INDEX('FB 콘텐츠 data'!AQ:AQ,MATCH('FB 신규발행'!A14,'FB 콘텐츠 data'!AR:AR,0)),"")</f>
        <v>45447</v>
      </c>
      <c r="C14" s="224" t="str">
        <f>IFERROR(INDEX('FB 콘텐츠 data'!$A$1:$AH$25,MATCH('FB 신규발행'!$A14,'FB 콘텐츠 data'!$AR:$AR,0),MATCH(C$2,'FB 콘텐츠 data'!$A$1:$AH$1,0)),"")</f>
        <v>동영상</v>
      </c>
      <c r="D14" s="225" t="str">
        <f>IFERROR(INDEX('FB 콘텐츠 data'!$A$1:$AH$25,MATCH('FB 신규발행'!$A14,'FB 콘텐츠 data'!$AR:$AR,0),MATCH(D$2,'FB 콘텐츠 data'!$A$1:$AH$1,0)),"")</f>
        <v>에너지食 Ep. 1</v>
      </c>
      <c r="E14" s="225">
        <f>IFERROR(INDEX('FB 콘텐츠 data'!$A$1:$AH$25,MATCH('FB 신규발행'!$A14,'FB 콘텐츠 data'!$AR:$AR,0),MATCH(E$2,'FB 콘텐츠 data'!$A$1:$AH$1,0)),"")</f>
        <v>67484</v>
      </c>
      <c r="F14" s="225">
        <f>IFERROR(INDEX('FB 콘텐츠 data'!$A$1:$AH$25,MATCH('FB 신규발행'!$A14,'FB 콘텐츠 data'!$AR:$AR,0),MATCH(F$2,'FB 콘텐츠 data'!$A$1:$AH$1,0)),"")</f>
        <v>29593</v>
      </c>
      <c r="G14" s="225">
        <f>IFERROR(INDEX('FB 콘텐츠 data'!$A$1:$AH$25,MATCH('FB 신규발행'!$A14,'FB 콘텐츠 data'!$AR:$AR,0),MATCH(G$2,'FB 콘텐츠 data'!$A$1:$AH$1,0)),"")</f>
        <v>2118</v>
      </c>
      <c r="H14" s="225">
        <f t="shared" si="0"/>
        <v>382</v>
      </c>
      <c r="I14" s="225">
        <f>IFERROR(INDEX('FB 콘텐츠 data'!$A$1:$AH$25,MATCH('FB 신규발행'!$A14,'FB 콘텐츠 data'!$AR:$AR,0),MATCH(I$2,'FB 콘텐츠 data'!$A$1:$AH$1,0)),"")</f>
        <v>161</v>
      </c>
      <c r="J14" s="225">
        <f>IFERROR(INDEX('FB 콘텐츠 data'!$A$1:$AH$25,MATCH('FB 신규발행'!$A14,'FB 콘텐츠 data'!$AR:$AR,0),MATCH(J$2,'FB 콘텐츠 data'!$A$1:$AH$1,0)),"")</f>
        <v>10</v>
      </c>
      <c r="K14" s="224">
        <f>IFERROR(INDEX('FB 콘텐츠 data'!$A$1:$AR$25,MATCH('FB 신규발행'!$A14,'FB 콘텐츠 data'!$AR:$AR,0),MATCH(K$2,'FB 콘텐츠 data'!$A$1:$AR$1,0)),"")</f>
        <v>6.6790000000000003</v>
      </c>
      <c r="L14" s="225">
        <f>IFERROR(INDEX('FB 콘텐츠 data'!$A$1:$AH$25,MATCH('FB 신규발행'!$A14,'FB 콘텐츠 data'!$AR:$AR,0),MATCH(L$2,'FB 콘텐츠 data'!$A$1:$AH$1,0)),"")</f>
        <v>19578</v>
      </c>
      <c r="M14" s="225">
        <f>IFERROR(INDEX('FB 콘텐츠 data'!$A$1:$AH$25,MATCH('FB 신규발행'!$A14,'FB 콘텐츠 data'!$AR:$AR,0),MATCH(M$2,'FB 콘텐츠 data'!$A$1:$AH$1,0)),"")</f>
        <v>0</v>
      </c>
      <c r="N14" s="225">
        <f>IFERROR(INDEX('FB 콘텐츠 data'!$A$1:$AH$25,MATCH('FB 신규발행'!$A14,'FB 콘텐츠 data'!$AR:$AR,0),MATCH(N$2,'FB 콘텐츠 data'!$A$1:$AH$1,0)),"")</f>
        <v>4</v>
      </c>
      <c r="O14" s="225">
        <f>IFERROR(INDEX('FB 콘텐츠 data'!$A$1:$AH$25,MATCH('FB 신규발행'!$A14,'FB 콘텐츠 data'!$AR:$AR,0),MATCH(O$2,'FB 콘텐츠 data'!$A$1:$AH$1,0)),"")</f>
        <v>1</v>
      </c>
      <c r="P14" s="225">
        <f>IFERROR(INDEX('FB 콘텐츠 data'!$A$1:$AH$25,MATCH('FB 신규발행'!$A14,'FB 콘텐츠 data'!$AR:$AR,0),MATCH(P$2,'FB 콘텐츠 data'!$A$1:$AH$1,0)),"")</f>
        <v>122</v>
      </c>
      <c r="Q14" s="225">
        <f>IFERROR(INDEX('FB 콘텐츠 data'!$A$1:$AH$25,MATCH('FB 신규발행'!$A14,'FB 콘텐츠 data'!$AR:$AR,0),MATCH(Q$2,'FB 콘텐츠 data'!$A$1:$AH$1,0)),"")</f>
        <v>210</v>
      </c>
      <c r="R14" s="226">
        <f t="shared" si="1"/>
        <v>1.2908458081303011E-2</v>
      </c>
      <c r="T14" s="48">
        <f t="shared" si="2"/>
        <v>12</v>
      </c>
      <c r="U14" s="48">
        <f t="shared" si="3"/>
        <v>1</v>
      </c>
      <c r="V14">
        <f t="shared" si="4"/>
        <v>12</v>
      </c>
      <c r="Y14" s="112"/>
    </row>
    <row r="15" spans="1:25" ht="17.45" customHeight="1">
      <c r="A15" s="123">
        <v>13</v>
      </c>
      <c r="B15" s="223" t="str">
        <f>IFERROR(INDEX('FB 콘텐츠 data'!AQ:AQ,MATCH('FB 신규발행'!A15,'FB 콘텐츠 data'!AR:AR,0)),"")</f>
        <v/>
      </c>
      <c r="C15" s="224" t="str">
        <f>IFERROR(INDEX('FB 콘텐츠 data'!$A$1:$AH$25,MATCH('FB 신규발행'!$A15,'FB 콘텐츠 data'!$AR:$AR,0),MATCH(C$2,'FB 콘텐츠 data'!$A$1:$AH$1,0)),"")</f>
        <v/>
      </c>
      <c r="D15" s="225" t="str">
        <f>IFERROR(INDEX('FB 콘텐츠 data'!$A$1:$AH$25,MATCH('FB 신규발행'!$A15,'FB 콘텐츠 data'!$AR:$AR,0),MATCH(D$2,'FB 콘텐츠 data'!$A$1:$AH$1,0)),"")</f>
        <v/>
      </c>
      <c r="E15" s="225" t="str">
        <f>IFERROR(INDEX('FB 콘텐츠 data'!$A$1:$AH$25,MATCH('FB 신규발행'!$A15,'FB 콘텐츠 data'!$AR:$AR,0),MATCH(E$2,'FB 콘텐츠 data'!$A$1:$AH$1,0)),"")</f>
        <v/>
      </c>
      <c r="F15" s="225" t="str">
        <f>IFERROR(INDEX('FB 콘텐츠 data'!$A$1:$AH$25,MATCH('FB 신규발행'!$A15,'FB 콘텐츠 data'!$AR:$AR,0),MATCH(F$2,'FB 콘텐츠 data'!$A$1:$AH$1,0)),"")</f>
        <v/>
      </c>
      <c r="G15" s="225" t="str">
        <f>IFERROR(INDEX('FB 콘텐츠 data'!$A$1:$AH$25,MATCH('FB 신규발행'!$A15,'FB 콘텐츠 data'!$AR:$AR,0),MATCH(G$2,'FB 콘텐츠 data'!$A$1:$AH$1,0)),"")</f>
        <v/>
      </c>
      <c r="H15" s="225" t="str">
        <f t="shared" si="0"/>
        <v/>
      </c>
      <c r="I15" s="225" t="str">
        <f>IFERROR(INDEX('FB 콘텐츠 data'!$A$1:$AH$25,MATCH('FB 신규발행'!$A15,'FB 콘텐츠 data'!$AR:$AR,0),MATCH(I$2,'FB 콘텐츠 data'!$A$1:$AH$1,0)),"")</f>
        <v/>
      </c>
      <c r="J15" s="225" t="str">
        <f>IFERROR(INDEX('FB 콘텐츠 data'!$A$1:$AH$25,MATCH('FB 신규발행'!$A15,'FB 콘텐츠 data'!$AR:$AR,0),MATCH(J$2,'FB 콘텐츠 data'!$A$1:$AH$1,0)),"")</f>
        <v/>
      </c>
      <c r="K15" s="224" t="str">
        <f>IFERROR(INDEX('FB 콘텐츠 data'!$A$1:$AR$25,MATCH('FB 신규발행'!$A15,'FB 콘텐츠 data'!$AR:$AR,0),MATCH(K$2,'FB 콘텐츠 data'!$A$1:$AR$1,0)),"")</f>
        <v/>
      </c>
      <c r="L15" s="225" t="str">
        <f>IFERROR(INDEX('FB 콘텐츠 data'!$A$1:$AH$25,MATCH('FB 신규발행'!$A15,'FB 콘텐츠 data'!$AR:$AR,0),MATCH(L$2,'FB 콘텐츠 data'!$A$1:$AH$1,0)),"")</f>
        <v/>
      </c>
      <c r="M15" s="225" t="str">
        <f>IFERROR(INDEX('FB 콘텐츠 data'!$A$1:$AH$25,MATCH('FB 신규발행'!$A15,'FB 콘텐츠 data'!$AR:$AR,0),MATCH(M$2,'FB 콘텐츠 data'!$A$1:$AH$1,0)),"")</f>
        <v/>
      </c>
      <c r="N15" s="225" t="str">
        <f>IFERROR(INDEX('FB 콘텐츠 data'!$A$1:$AH$25,MATCH('FB 신규발행'!$A15,'FB 콘텐츠 data'!$AR:$AR,0),MATCH(N$2,'FB 콘텐츠 data'!$A$1:$AH$1,0)),"")</f>
        <v/>
      </c>
      <c r="O15" s="225" t="str">
        <f>IFERROR(INDEX('FB 콘텐츠 data'!$A$1:$AH$25,MATCH('FB 신규발행'!$A15,'FB 콘텐츠 data'!$AR:$AR,0),MATCH(O$2,'FB 콘텐츠 data'!$A$1:$AH$1,0)),"")</f>
        <v/>
      </c>
      <c r="P15" s="225" t="str">
        <f>IFERROR(INDEX('FB 콘텐츠 data'!$A$1:$AH$25,MATCH('FB 신규발행'!$A15,'FB 콘텐츠 data'!$AR:$AR,0),MATCH(P$2,'FB 콘텐츠 data'!$A$1:$AH$1,0)),"")</f>
        <v/>
      </c>
      <c r="Q15" s="225" t="str">
        <f>IFERROR(INDEX('FB 콘텐츠 data'!$A$1:$AH$25,MATCH('FB 신규발행'!$A15,'FB 콘텐츠 data'!$AR:$AR,0),MATCH(Q$2,'FB 콘텐츠 data'!$A$1:$AH$1,0)),"")</f>
        <v/>
      </c>
      <c r="R15" s="226" t="str">
        <f t="shared" si="1"/>
        <v/>
      </c>
      <c r="T15" s="48" t="str">
        <f t="shared" si="2"/>
        <v/>
      </c>
      <c r="U15" s="48" t="str">
        <f t="shared" si="3"/>
        <v/>
      </c>
      <c r="V15" t="str">
        <f t="shared" si="4"/>
        <v/>
      </c>
      <c r="Y15" s="112"/>
    </row>
    <row r="16" spans="1:25" ht="17.45" customHeight="1">
      <c r="A16" s="123">
        <v>14</v>
      </c>
      <c r="B16" s="223" t="str">
        <f>IFERROR(INDEX('FB 콘텐츠 data'!AQ:AQ,MATCH('FB 신규발행'!A16,'FB 콘텐츠 data'!AR:AR,0)),"")</f>
        <v/>
      </c>
      <c r="C16" s="224" t="str">
        <f>IFERROR(INDEX('FB 콘텐츠 data'!$A$1:$AH$25,MATCH('FB 신규발행'!$A16,'FB 콘텐츠 data'!$AR:$AR,0),MATCH(C$2,'FB 콘텐츠 data'!$A$1:$AH$1,0)),"")</f>
        <v/>
      </c>
      <c r="D16" s="225" t="str">
        <f>IFERROR(INDEX('FB 콘텐츠 data'!$A$1:$AH$25,MATCH('FB 신규발행'!$A16,'FB 콘텐츠 data'!$AR:$AR,0),MATCH(D$2,'FB 콘텐츠 data'!$A$1:$AH$1,0)),"")</f>
        <v/>
      </c>
      <c r="E16" s="225" t="str">
        <f>IFERROR(INDEX('FB 콘텐츠 data'!$A$1:$AH$25,MATCH('FB 신규발행'!$A16,'FB 콘텐츠 data'!$AR:$AR,0),MATCH(E$2,'FB 콘텐츠 data'!$A$1:$AH$1,0)),"")</f>
        <v/>
      </c>
      <c r="F16" s="225" t="str">
        <f>IFERROR(INDEX('FB 콘텐츠 data'!$A$1:$AH$25,MATCH('FB 신규발행'!$A16,'FB 콘텐츠 data'!$AR:$AR,0),MATCH(F$2,'FB 콘텐츠 data'!$A$1:$AH$1,0)),"")</f>
        <v/>
      </c>
      <c r="G16" s="225" t="str">
        <f>IFERROR(INDEX('FB 콘텐츠 data'!$A$1:$AH$25,MATCH('FB 신규발행'!$A16,'FB 콘텐츠 data'!$AR:$AR,0),MATCH(G$2,'FB 콘텐츠 data'!$A$1:$AH$1,0)),"")</f>
        <v/>
      </c>
      <c r="H16" s="225" t="str">
        <f t="shared" si="0"/>
        <v/>
      </c>
      <c r="I16" s="225" t="str">
        <f>IFERROR(INDEX('FB 콘텐츠 data'!$A$1:$AH$25,MATCH('FB 신규발행'!$A16,'FB 콘텐츠 data'!$AR:$AR,0),MATCH(I$2,'FB 콘텐츠 data'!$A$1:$AH$1,0)),"")</f>
        <v/>
      </c>
      <c r="J16" s="225" t="str">
        <f>IFERROR(INDEX('FB 콘텐츠 data'!$A$1:$AH$25,MATCH('FB 신규발행'!$A16,'FB 콘텐츠 data'!$AR:$AR,0),MATCH(J$2,'FB 콘텐츠 data'!$A$1:$AH$1,0)),"")</f>
        <v/>
      </c>
      <c r="K16" s="224" t="str">
        <f>IFERROR(INDEX('FB 콘텐츠 data'!$A$1:$AR$25,MATCH('FB 신규발행'!$A16,'FB 콘텐츠 data'!$AR:$AR,0),MATCH(K$2,'FB 콘텐츠 data'!$A$1:$AR$1,0)),"")</f>
        <v/>
      </c>
      <c r="L16" s="225" t="str">
        <f>IFERROR(INDEX('FB 콘텐츠 data'!$A$1:$AH$25,MATCH('FB 신규발행'!$A16,'FB 콘텐츠 data'!$AR:$AR,0),MATCH(L$2,'FB 콘텐츠 data'!$A$1:$AH$1,0)),"")</f>
        <v/>
      </c>
      <c r="M16" s="225" t="str">
        <f>IFERROR(INDEX('FB 콘텐츠 data'!$A$1:$AH$25,MATCH('FB 신규발행'!$A16,'FB 콘텐츠 data'!$AR:$AR,0),MATCH(M$2,'FB 콘텐츠 data'!$A$1:$AH$1,0)),"")</f>
        <v/>
      </c>
      <c r="N16" s="225" t="str">
        <f>IFERROR(INDEX('FB 콘텐츠 data'!$A$1:$AH$25,MATCH('FB 신규발행'!$A16,'FB 콘텐츠 data'!$AR:$AR,0),MATCH(N$2,'FB 콘텐츠 data'!$A$1:$AH$1,0)),"")</f>
        <v/>
      </c>
      <c r="O16" s="225" t="str">
        <f>IFERROR(INDEX('FB 콘텐츠 data'!$A$1:$AH$25,MATCH('FB 신규발행'!$A16,'FB 콘텐츠 data'!$AR:$AR,0),MATCH(O$2,'FB 콘텐츠 data'!$A$1:$AH$1,0)),"")</f>
        <v/>
      </c>
      <c r="P16" s="225" t="str">
        <f>IFERROR(INDEX('FB 콘텐츠 data'!$A$1:$AH$25,MATCH('FB 신규발행'!$A16,'FB 콘텐츠 data'!$AR:$AR,0),MATCH(P$2,'FB 콘텐츠 data'!$A$1:$AH$1,0)),"")</f>
        <v/>
      </c>
      <c r="Q16" s="225" t="str">
        <f>IFERROR(INDEX('FB 콘텐츠 data'!$A$1:$AH$25,MATCH('FB 신규발행'!$A16,'FB 콘텐츠 data'!$AR:$AR,0),MATCH(Q$2,'FB 콘텐츠 data'!$A$1:$AH$1,0)),"")</f>
        <v/>
      </c>
      <c r="R16" s="226" t="str">
        <f t="shared" si="1"/>
        <v/>
      </c>
      <c r="T16" s="48" t="str">
        <f t="shared" si="2"/>
        <v/>
      </c>
      <c r="U16" s="48" t="str">
        <f t="shared" si="3"/>
        <v/>
      </c>
      <c r="V16" t="str">
        <f t="shared" si="4"/>
        <v/>
      </c>
      <c r="Y16" s="112"/>
    </row>
    <row r="17" spans="1:25" ht="17.45" customHeight="1">
      <c r="A17" s="123">
        <v>15</v>
      </c>
      <c r="B17" s="223" t="str">
        <f>IFERROR(INDEX('FB 콘텐츠 data'!AQ:AQ,MATCH('FB 신규발행'!A17,'FB 콘텐츠 data'!AR:AR,0)),"")</f>
        <v/>
      </c>
      <c r="C17" s="224" t="str">
        <f>IFERROR(INDEX('FB 콘텐츠 data'!$A$1:$AH$25,MATCH('FB 신규발행'!$A17,'FB 콘텐츠 data'!$AR:$AR,0),MATCH(C$2,'FB 콘텐츠 data'!$A$1:$AH$1,0)),"")</f>
        <v/>
      </c>
      <c r="D17" s="225" t="str">
        <f>IFERROR(INDEX('FB 콘텐츠 data'!$A$1:$AH$25,MATCH('FB 신규발행'!$A17,'FB 콘텐츠 data'!$AR:$AR,0),MATCH(D$2,'FB 콘텐츠 data'!$A$1:$AH$1,0)),"")</f>
        <v/>
      </c>
      <c r="E17" s="225" t="str">
        <f>IFERROR(INDEX('FB 콘텐츠 data'!$A$1:$AH$25,MATCH('FB 신규발행'!$A17,'FB 콘텐츠 data'!$AR:$AR,0),MATCH(E$2,'FB 콘텐츠 data'!$A$1:$AH$1,0)),"")</f>
        <v/>
      </c>
      <c r="F17" s="225" t="str">
        <f>IFERROR(INDEX('FB 콘텐츠 data'!$A$1:$AH$25,MATCH('FB 신규발행'!$A17,'FB 콘텐츠 data'!$AR:$AR,0),MATCH(F$2,'FB 콘텐츠 data'!$A$1:$AH$1,0)),"")</f>
        <v/>
      </c>
      <c r="G17" s="225" t="str">
        <f>IFERROR(INDEX('FB 콘텐츠 data'!$A$1:$AH$25,MATCH('FB 신규발행'!$A17,'FB 콘텐츠 data'!$AR:$AR,0),MATCH(G$2,'FB 콘텐츠 data'!$A$1:$AH$1,0)),"")</f>
        <v/>
      </c>
      <c r="H17" s="225" t="str">
        <f t="shared" si="0"/>
        <v/>
      </c>
      <c r="I17" s="225" t="str">
        <f>IFERROR(INDEX('FB 콘텐츠 data'!$A$1:$AH$25,MATCH('FB 신규발행'!$A17,'FB 콘텐츠 data'!$AR:$AR,0),MATCH(I$2,'FB 콘텐츠 data'!$A$1:$AH$1,0)),"")</f>
        <v/>
      </c>
      <c r="J17" s="225" t="str">
        <f>IFERROR(INDEX('FB 콘텐츠 data'!$A$1:$AH$25,MATCH('FB 신규발행'!$A17,'FB 콘텐츠 data'!$AR:$AR,0),MATCH(J$2,'FB 콘텐츠 data'!$A$1:$AH$1,0)),"")</f>
        <v/>
      </c>
      <c r="K17" s="224" t="str">
        <f>IFERROR(INDEX('FB 콘텐츠 data'!$A$1:$AR$25,MATCH('FB 신규발행'!$A17,'FB 콘텐츠 data'!$AR:$AR,0),MATCH(K$2,'FB 콘텐츠 data'!$A$1:$AR$1,0)),"")</f>
        <v/>
      </c>
      <c r="L17" s="225" t="str">
        <f>IFERROR(INDEX('FB 콘텐츠 data'!$A$1:$AH$25,MATCH('FB 신규발행'!$A17,'FB 콘텐츠 data'!$AR:$AR,0),MATCH(L$2,'FB 콘텐츠 data'!$A$1:$AH$1,0)),"")</f>
        <v/>
      </c>
      <c r="M17" s="225" t="str">
        <f>IFERROR(INDEX('FB 콘텐츠 data'!$A$1:$AH$25,MATCH('FB 신규발행'!$A17,'FB 콘텐츠 data'!$AR:$AR,0),MATCH(M$2,'FB 콘텐츠 data'!$A$1:$AH$1,0)),"")</f>
        <v/>
      </c>
      <c r="N17" s="225" t="str">
        <f>IFERROR(INDEX('FB 콘텐츠 data'!$A$1:$AH$25,MATCH('FB 신규발행'!$A17,'FB 콘텐츠 data'!$AR:$AR,0),MATCH(N$2,'FB 콘텐츠 data'!$A$1:$AH$1,0)),"")</f>
        <v/>
      </c>
      <c r="O17" s="225" t="str">
        <f>IFERROR(INDEX('FB 콘텐츠 data'!$A$1:$AH$25,MATCH('FB 신규발행'!$A17,'FB 콘텐츠 data'!$AR:$AR,0),MATCH(O$2,'FB 콘텐츠 data'!$A$1:$AH$1,0)),"")</f>
        <v/>
      </c>
      <c r="P17" s="225" t="str">
        <f>IFERROR(INDEX('FB 콘텐츠 data'!$A$1:$AH$25,MATCH('FB 신규발행'!$A17,'FB 콘텐츠 data'!$AR:$AR,0),MATCH(P$2,'FB 콘텐츠 data'!$A$1:$AH$1,0)),"")</f>
        <v/>
      </c>
      <c r="Q17" s="225" t="str">
        <f>IFERROR(INDEX('FB 콘텐츠 data'!$A$1:$AH$25,MATCH('FB 신규발행'!$A17,'FB 콘텐츠 data'!$AR:$AR,0),MATCH(Q$2,'FB 콘텐츠 data'!$A$1:$AH$1,0)),"")</f>
        <v/>
      </c>
      <c r="R17" s="226" t="str">
        <f t="shared" si="1"/>
        <v/>
      </c>
      <c r="T17" s="48" t="str">
        <f t="shared" si="2"/>
        <v/>
      </c>
      <c r="U17" s="48" t="str">
        <f t="shared" si="3"/>
        <v/>
      </c>
      <c r="V17" t="str">
        <f t="shared" si="4"/>
        <v/>
      </c>
      <c r="Y17" s="112"/>
    </row>
    <row r="18" spans="1:25" ht="17.45" customHeight="1">
      <c r="A18" s="123">
        <v>16</v>
      </c>
      <c r="B18" s="223" t="str">
        <f>IFERROR(INDEX('FB 콘텐츠 data'!AQ:AQ,MATCH('FB 신규발행'!A18,'FB 콘텐츠 data'!AR:AR,0)),"")</f>
        <v/>
      </c>
      <c r="C18" s="224" t="str">
        <f>IFERROR(INDEX('FB 콘텐츠 data'!$A$1:$AH$25,MATCH('FB 신규발행'!$A18,'FB 콘텐츠 data'!$AR:$AR,0),MATCH(C$2,'FB 콘텐츠 data'!$A$1:$AH$1,0)),"")</f>
        <v/>
      </c>
      <c r="D18" s="225" t="str">
        <f>IFERROR(INDEX('FB 콘텐츠 data'!$A$1:$AH$25,MATCH('FB 신규발행'!$A18,'FB 콘텐츠 data'!$AR:$AR,0),MATCH(D$2,'FB 콘텐츠 data'!$A$1:$AH$1,0)),"")</f>
        <v/>
      </c>
      <c r="E18" s="225" t="str">
        <f>IFERROR(INDEX('FB 콘텐츠 data'!$A$1:$AH$25,MATCH('FB 신규발행'!$A18,'FB 콘텐츠 data'!$AR:$AR,0),MATCH(E$2,'FB 콘텐츠 data'!$A$1:$AH$1,0)),"")</f>
        <v/>
      </c>
      <c r="F18" s="225" t="str">
        <f>IFERROR(INDEX('FB 콘텐츠 data'!$A$1:$AH$25,MATCH('FB 신규발행'!$A18,'FB 콘텐츠 data'!$AR:$AR,0),MATCH(F$2,'FB 콘텐츠 data'!$A$1:$AH$1,0)),"")</f>
        <v/>
      </c>
      <c r="G18" s="225" t="str">
        <f>IFERROR(INDEX('FB 콘텐츠 data'!$A$1:$AH$25,MATCH('FB 신규발행'!$A18,'FB 콘텐츠 data'!$AR:$AR,0),MATCH(G$2,'FB 콘텐츠 data'!$A$1:$AH$1,0)),"")</f>
        <v/>
      </c>
      <c r="H18" s="225" t="str">
        <f t="shared" si="0"/>
        <v/>
      </c>
      <c r="I18" s="225" t="str">
        <f>IFERROR(INDEX('FB 콘텐츠 data'!$A$1:$AH$25,MATCH('FB 신규발행'!$A18,'FB 콘텐츠 data'!$AR:$AR,0),MATCH(I$2,'FB 콘텐츠 data'!$A$1:$AH$1,0)),"")</f>
        <v/>
      </c>
      <c r="J18" s="225" t="str">
        <f>IFERROR(INDEX('FB 콘텐츠 data'!$A$1:$AH$25,MATCH('FB 신규발행'!$A18,'FB 콘텐츠 data'!$AR:$AR,0),MATCH(J$2,'FB 콘텐츠 data'!$A$1:$AH$1,0)),"")</f>
        <v/>
      </c>
      <c r="K18" s="224" t="str">
        <f>IFERROR(INDEX('FB 콘텐츠 data'!$A$1:$AR$25,MATCH('FB 신규발행'!$A18,'FB 콘텐츠 data'!$AR:$AR,0),MATCH(K$2,'FB 콘텐츠 data'!$A$1:$AR$1,0)),"")</f>
        <v/>
      </c>
      <c r="L18" s="225" t="str">
        <f>IFERROR(INDEX('FB 콘텐츠 data'!$A$1:$AH$25,MATCH('FB 신규발행'!$A18,'FB 콘텐츠 data'!$AR:$AR,0),MATCH(L$2,'FB 콘텐츠 data'!$A$1:$AH$1,0)),"")</f>
        <v/>
      </c>
      <c r="M18" s="225" t="str">
        <f>IFERROR(INDEX('FB 콘텐츠 data'!$A$1:$AH$25,MATCH('FB 신규발행'!$A18,'FB 콘텐츠 data'!$AR:$AR,0),MATCH(M$2,'FB 콘텐츠 data'!$A$1:$AH$1,0)),"")</f>
        <v/>
      </c>
      <c r="N18" s="225" t="str">
        <f>IFERROR(INDEX('FB 콘텐츠 data'!$A$1:$AH$25,MATCH('FB 신규발행'!$A18,'FB 콘텐츠 data'!$AR:$AR,0),MATCH(N$2,'FB 콘텐츠 data'!$A$1:$AH$1,0)),"")</f>
        <v/>
      </c>
      <c r="O18" s="225" t="str">
        <f>IFERROR(INDEX('FB 콘텐츠 data'!$A$1:$AH$25,MATCH('FB 신규발행'!$A18,'FB 콘텐츠 data'!$AR:$AR,0),MATCH(O$2,'FB 콘텐츠 data'!$A$1:$AH$1,0)),"")</f>
        <v/>
      </c>
      <c r="P18" s="225" t="str">
        <f>IFERROR(INDEX('FB 콘텐츠 data'!$A$1:$AH$25,MATCH('FB 신규발행'!$A18,'FB 콘텐츠 data'!$AR:$AR,0),MATCH(P$2,'FB 콘텐츠 data'!$A$1:$AH$1,0)),"")</f>
        <v/>
      </c>
      <c r="Q18" s="225" t="str">
        <f>IFERROR(INDEX('FB 콘텐츠 data'!$A$1:$AH$25,MATCH('FB 신규발행'!$A18,'FB 콘텐츠 data'!$AR:$AR,0),MATCH(Q$2,'FB 콘텐츠 data'!$A$1:$AH$1,0)),"")</f>
        <v/>
      </c>
      <c r="R18" s="226" t="str">
        <f t="shared" si="1"/>
        <v/>
      </c>
      <c r="T18" s="48" t="str">
        <f t="shared" si="2"/>
        <v/>
      </c>
      <c r="U18" s="48" t="str">
        <f t="shared" si="3"/>
        <v/>
      </c>
      <c r="V18" t="str">
        <f t="shared" si="4"/>
        <v/>
      </c>
      <c r="Y18" s="112"/>
    </row>
    <row r="19" spans="1:25" ht="17.45" customHeight="1">
      <c r="A19" s="123">
        <v>17</v>
      </c>
      <c r="B19" s="223" t="str">
        <f>IFERROR(INDEX('FB 콘텐츠 data'!AQ:AQ,MATCH('FB 신규발행'!A19,'FB 콘텐츠 data'!AR:AR,0)),"")</f>
        <v/>
      </c>
      <c r="C19" s="224" t="str">
        <f>IFERROR(INDEX('FB 콘텐츠 data'!$A$1:$AH$25,MATCH('FB 신규발행'!$A19,'FB 콘텐츠 data'!$AR:$AR,0),MATCH(C$2,'FB 콘텐츠 data'!$A$1:$AH$1,0)),"")</f>
        <v/>
      </c>
      <c r="D19" s="225" t="str">
        <f>IFERROR(INDEX('FB 콘텐츠 data'!$A$1:$AH$25,MATCH('FB 신규발행'!$A19,'FB 콘텐츠 data'!$AR:$AR,0),MATCH(D$2,'FB 콘텐츠 data'!$A$1:$AH$1,0)),"")</f>
        <v/>
      </c>
      <c r="E19" s="225" t="str">
        <f>IFERROR(INDEX('FB 콘텐츠 data'!$A$1:$AH$25,MATCH('FB 신규발행'!$A19,'FB 콘텐츠 data'!$AR:$AR,0),MATCH(E$2,'FB 콘텐츠 data'!$A$1:$AH$1,0)),"")</f>
        <v/>
      </c>
      <c r="F19" s="225" t="str">
        <f>IFERROR(INDEX('FB 콘텐츠 data'!$A$1:$AH$25,MATCH('FB 신규발행'!$A19,'FB 콘텐츠 data'!$AR:$AR,0),MATCH(F$2,'FB 콘텐츠 data'!$A$1:$AH$1,0)),"")</f>
        <v/>
      </c>
      <c r="G19" s="225" t="str">
        <f>IFERROR(INDEX('FB 콘텐츠 data'!$A$1:$AH$25,MATCH('FB 신규발행'!$A19,'FB 콘텐츠 data'!$AR:$AR,0),MATCH(G$2,'FB 콘텐츠 data'!$A$1:$AH$1,0)),"")</f>
        <v/>
      </c>
      <c r="H19" s="225" t="str">
        <f t="shared" si="0"/>
        <v/>
      </c>
      <c r="I19" s="225" t="str">
        <f>IFERROR(INDEX('FB 콘텐츠 data'!$A$1:$AH$25,MATCH('FB 신규발행'!$A19,'FB 콘텐츠 data'!$AR:$AR,0),MATCH(I$2,'FB 콘텐츠 data'!$A$1:$AH$1,0)),"")</f>
        <v/>
      </c>
      <c r="J19" s="225" t="str">
        <f>IFERROR(INDEX('FB 콘텐츠 data'!$A$1:$AH$25,MATCH('FB 신규발행'!$A19,'FB 콘텐츠 data'!$AR:$AR,0),MATCH(J$2,'FB 콘텐츠 data'!$A$1:$AH$1,0)),"")</f>
        <v/>
      </c>
      <c r="K19" s="224" t="str">
        <f>IFERROR(INDEX('FB 콘텐츠 data'!$A$1:$AR$25,MATCH('FB 신규발행'!$A19,'FB 콘텐츠 data'!$AR:$AR,0),MATCH(K$2,'FB 콘텐츠 data'!$A$1:$AR$1,0)),"")</f>
        <v/>
      </c>
      <c r="L19" s="225" t="str">
        <f>IFERROR(INDEX('FB 콘텐츠 data'!$A$1:$AH$25,MATCH('FB 신규발행'!$A19,'FB 콘텐츠 data'!$AR:$AR,0),MATCH(L$2,'FB 콘텐츠 data'!$A$1:$AH$1,0)),"")</f>
        <v/>
      </c>
      <c r="M19" s="225" t="str">
        <f>IFERROR(INDEX('FB 콘텐츠 data'!$A$1:$AH$25,MATCH('FB 신규발행'!$A19,'FB 콘텐츠 data'!$AR:$AR,0),MATCH(M$2,'FB 콘텐츠 data'!$A$1:$AH$1,0)),"")</f>
        <v/>
      </c>
      <c r="N19" s="225" t="str">
        <f>IFERROR(INDEX('FB 콘텐츠 data'!$A$1:$AH$25,MATCH('FB 신규발행'!$A19,'FB 콘텐츠 data'!$AR:$AR,0),MATCH(N$2,'FB 콘텐츠 data'!$A$1:$AH$1,0)),"")</f>
        <v/>
      </c>
      <c r="O19" s="225" t="str">
        <f>IFERROR(INDEX('FB 콘텐츠 data'!$A$1:$AH$25,MATCH('FB 신규발행'!$A19,'FB 콘텐츠 data'!$AR:$AR,0),MATCH(O$2,'FB 콘텐츠 data'!$A$1:$AH$1,0)),"")</f>
        <v/>
      </c>
      <c r="P19" s="225" t="str">
        <f>IFERROR(INDEX('FB 콘텐츠 data'!$A$1:$AH$25,MATCH('FB 신규발행'!$A19,'FB 콘텐츠 data'!$AR:$AR,0),MATCH(P$2,'FB 콘텐츠 data'!$A$1:$AH$1,0)),"")</f>
        <v/>
      </c>
      <c r="Q19" s="225" t="str">
        <f>IFERROR(INDEX('FB 콘텐츠 data'!$A$1:$AH$25,MATCH('FB 신규발행'!$A19,'FB 콘텐츠 data'!$AR:$AR,0),MATCH(Q$2,'FB 콘텐츠 data'!$A$1:$AH$1,0)),"")</f>
        <v/>
      </c>
      <c r="R19" s="226" t="str">
        <f t="shared" si="1"/>
        <v/>
      </c>
      <c r="T19" s="48" t="str">
        <f t="shared" si="2"/>
        <v/>
      </c>
      <c r="U19" s="48" t="str">
        <f t="shared" si="3"/>
        <v/>
      </c>
      <c r="V19" t="str">
        <f t="shared" si="4"/>
        <v/>
      </c>
      <c r="Y19" s="112"/>
    </row>
    <row r="20" spans="1:25" ht="17.45" customHeight="1">
      <c r="A20" s="123">
        <v>18</v>
      </c>
      <c r="B20" s="223" t="str">
        <f>IFERROR(INDEX('FB 콘텐츠 data'!AQ:AQ,MATCH('FB 신규발행'!A20,'FB 콘텐츠 data'!AR:AR,0)),"")</f>
        <v/>
      </c>
      <c r="C20" s="224" t="str">
        <f>IFERROR(INDEX('FB 콘텐츠 data'!$A$1:$AH$25,MATCH('FB 신규발행'!$A20,'FB 콘텐츠 data'!$AR:$AR,0),MATCH(C$2,'FB 콘텐츠 data'!$A$1:$AH$1,0)),"")</f>
        <v/>
      </c>
      <c r="D20" s="225" t="str">
        <f>IFERROR(INDEX('FB 콘텐츠 data'!$A$1:$AH$25,MATCH('FB 신규발행'!$A20,'FB 콘텐츠 data'!$AR:$AR,0),MATCH(D$2,'FB 콘텐츠 data'!$A$1:$AH$1,0)),"")</f>
        <v/>
      </c>
      <c r="E20" s="225" t="str">
        <f>IFERROR(INDEX('FB 콘텐츠 data'!$A$1:$AH$25,MATCH('FB 신규발행'!$A20,'FB 콘텐츠 data'!$AR:$AR,0),MATCH(E$2,'FB 콘텐츠 data'!$A$1:$AH$1,0)),"")</f>
        <v/>
      </c>
      <c r="F20" s="225" t="str">
        <f>IFERROR(INDEX('FB 콘텐츠 data'!$A$1:$AH$25,MATCH('FB 신규발행'!$A20,'FB 콘텐츠 data'!$AR:$AR,0),MATCH(F$2,'FB 콘텐츠 data'!$A$1:$AH$1,0)),"")</f>
        <v/>
      </c>
      <c r="G20" s="225" t="str">
        <f>IFERROR(INDEX('FB 콘텐츠 data'!$A$1:$AH$25,MATCH('FB 신규발행'!$A20,'FB 콘텐츠 data'!$AR:$AR,0),MATCH(G$2,'FB 콘텐츠 data'!$A$1:$AH$1,0)),"")</f>
        <v/>
      </c>
      <c r="H20" s="225" t="str">
        <f t="shared" si="0"/>
        <v/>
      </c>
      <c r="I20" s="225" t="str">
        <f>IFERROR(INDEX('FB 콘텐츠 data'!$A$1:$AH$25,MATCH('FB 신규발행'!$A20,'FB 콘텐츠 data'!$AR:$AR,0),MATCH(I$2,'FB 콘텐츠 data'!$A$1:$AH$1,0)),"")</f>
        <v/>
      </c>
      <c r="J20" s="225" t="str">
        <f>IFERROR(INDEX('FB 콘텐츠 data'!$A$1:$AH$25,MATCH('FB 신규발행'!$A20,'FB 콘텐츠 data'!$AR:$AR,0),MATCH(J$2,'FB 콘텐츠 data'!$A$1:$AH$1,0)),"")</f>
        <v/>
      </c>
      <c r="K20" s="224" t="str">
        <f>IFERROR(INDEX('FB 콘텐츠 data'!$A$1:$AR$25,MATCH('FB 신규발행'!$A20,'FB 콘텐츠 data'!$AR:$AR,0),MATCH(K$2,'FB 콘텐츠 data'!$A$1:$AR$1,0)),"")</f>
        <v/>
      </c>
      <c r="L20" s="225" t="str">
        <f>IFERROR(INDEX('FB 콘텐츠 data'!$A$1:$AH$25,MATCH('FB 신규발행'!$A20,'FB 콘텐츠 data'!$AR:$AR,0),MATCH(L$2,'FB 콘텐츠 data'!$A$1:$AH$1,0)),"")</f>
        <v/>
      </c>
      <c r="M20" s="225" t="str">
        <f>IFERROR(INDEX('FB 콘텐츠 data'!$A$1:$AH$25,MATCH('FB 신규발행'!$A20,'FB 콘텐츠 data'!$AR:$AR,0),MATCH(M$2,'FB 콘텐츠 data'!$A$1:$AH$1,0)),"")</f>
        <v/>
      </c>
      <c r="N20" s="225" t="str">
        <f>IFERROR(INDEX('FB 콘텐츠 data'!$A$1:$AH$25,MATCH('FB 신규발행'!$A20,'FB 콘텐츠 data'!$AR:$AR,0),MATCH(N$2,'FB 콘텐츠 data'!$A$1:$AH$1,0)),"")</f>
        <v/>
      </c>
      <c r="O20" s="225" t="str">
        <f>IFERROR(INDEX('FB 콘텐츠 data'!$A$1:$AH$25,MATCH('FB 신규발행'!$A20,'FB 콘텐츠 data'!$AR:$AR,0),MATCH(O$2,'FB 콘텐츠 data'!$A$1:$AH$1,0)),"")</f>
        <v/>
      </c>
      <c r="P20" s="225" t="str">
        <f>IFERROR(INDEX('FB 콘텐츠 data'!$A$1:$AH$25,MATCH('FB 신규발행'!$A20,'FB 콘텐츠 data'!$AR:$AR,0),MATCH(P$2,'FB 콘텐츠 data'!$A$1:$AH$1,0)),"")</f>
        <v/>
      </c>
      <c r="Q20" s="225" t="str">
        <f>IFERROR(INDEX('FB 콘텐츠 data'!$A$1:$AH$25,MATCH('FB 신규발행'!$A20,'FB 콘텐츠 data'!$AR:$AR,0),MATCH(Q$2,'FB 콘텐츠 data'!$A$1:$AH$1,0)),"")</f>
        <v/>
      </c>
      <c r="R20" s="226" t="str">
        <f t="shared" si="1"/>
        <v/>
      </c>
      <c r="T20" s="48" t="str">
        <f t="shared" si="2"/>
        <v/>
      </c>
      <c r="U20" s="48" t="str">
        <f t="shared" si="3"/>
        <v/>
      </c>
      <c r="V20" t="str">
        <f t="shared" si="4"/>
        <v/>
      </c>
      <c r="Y20" s="112"/>
    </row>
    <row r="21" spans="1:25" ht="17.45" customHeight="1">
      <c r="A21" s="123">
        <v>19</v>
      </c>
      <c r="B21" s="223" t="str">
        <f>IFERROR(INDEX('FB 콘텐츠 data'!AQ:AQ,MATCH('FB 신규발행'!A21,'FB 콘텐츠 data'!AR:AR,0)),"")</f>
        <v/>
      </c>
      <c r="C21" s="224" t="str">
        <f>IFERROR(INDEX('FB 콘텐츠 data'!$A$1:$AH$25,MATCH('FB 신규발행'!$A21,'FB 콘텐츠 data'!$AR:$AR,0),MATCH(C$2,'FB 콘텐츠 data'!$A$1:$AH$1,0)),"")</f>
        <v/>
      </c>
      <c r="D21" s="225" t="str">
        <f>IFERROR(INDEX('FB 콘텐츠 data'!$A$1:$AH$25,MATCH('FB 신규발행'!$A21,'FB 콘텐츠 data'!$AR:$AR,0),MATCH(D$2,'FB 콘텐츠 data'!$A$1:$AH$1,0)),"")</f>
        <v/>
      </c>
      <c r="E21" s="225" t="str">
        <f>IFERROR(INDEX('FB 콘텐츠 data'!$A$1:$AH$25,MATCH('FB 신규발행'!$A21,'FB 콘텐츠 data'!$AR:$AR,0),MATCH(E$2,'FB 콘텐츠 data'!$A$1:$AH$1,0)),"")</f>
        <v/>
      </c>
      <c r="F21" s="225" t="str">
        <f>IFERROR(INDEX('FB 콘텐츠 data'!$A$1:$AH$25,MATCH('FB 신규발행'!$A21,'FB 콘텐츠 data'!$AR:$AR,0),MATCH(F$2,'FB 콘텐츠 data'!$A$1:$AH$1,0)),"")</f>
        <v/>
      </c>
      <c r="G21" s="225" t="str">
        <f>IFERROR(INDEX('FB 콘텐츠 data'!$A$1:$AH$25,MATCH('FB 신규발행'!$A21,'FB 콘텐츠 data'!$AR:$AR,0),MATCH(G$2,'FB 콘텐츠 data'!$A$1:$AH$1,0)),"")</f>
        <v/>
      </c>
      <c r="H21" s="225" t="str">
        <f t="shared" si="0"/>
        <v/>
      </c>
      <c r="I21" s="225" t="str">
        <f>IFERROR(INDEX('FB 콘텐츠 data'!$A$1:$AH$25,MATCH('FB 신규발행'!$A21,'FB 콘텐츠 data'!$AR:$AR,0),MATCH(I$2,'FB 콘텐츠 data'!$A$1:$AH$1,0)),"")</f>
        <v/>
      </c>
      <c r="J21" s="225" t="str">
        <f>IFERROR(INDEX('FB 콘텐츠 data'!$A$1:$AH$25,MATCH('FB 신규발행'!$A21,'FB 콘텐츠 data'!$AR:$AR,0),MATCH(J$2,'FB 콘텐츠 data'!$A$1:$AH$1,0)),"")</f>
        <v/>
      </c>
      <c r="K21" s="224" t="str">
        <f>IFERROR(INDEX('FB 콘텐츠 data'!$A$1:$AR$25,MATCH('FB 신규발행'!$A21,'FB 콘텐츠 data'!$AR:$AR,0),MATCH(K$2,'FB 콘텐츠 data'!$A$1:$AR$1,0)),"")</f>
        <v/>
      </c>
      <c r="L21" s="225" t="str">
        <f>IFERROR(INDEX('FB 콘텐츠 data'!$A$1:$AH$25,MATCH('FB 신규발행'!$A21,'FB 콘텐츠 data'!$AR:$AR,0),MATCH(L$2,'FB 콘텐츠 data'!$A$1:$AH$1,0)),"")</f>
        <v/>
      </c>
      <c r="M21" s="225" t="str">
        <f>IFERROR(INDEX('FB 콘텐츠 data'!$A$1:$AH$25,MATCH('FB 신규발행'!$A21,'FB 콘텐츠 data'!$AR:$AR,0),MATCH(M$2,'FB 콘텐츠 data'!$A$1:$AH$1,0)),"")</f>
        <v/>
      </c>
      <c r="N21" s="225" t="str">
        <f>IFERROR(INDEX('FB 콘텐츠 data'!$A$1:$AH$25,MATCH('FB 신규발행'!$A21,'FB 콘텐츠 data'!$AR:$AR,0),MATCH(N$2,'FB 콘텐츠 data'!$A$1:$AH$1,0)),"")</f>
        <v/>
      </c>
      <c r="O21" s="225" t="str">
        <f>IFERROR(INDEX('FB 콘텐츠 data'!$A$1:$AH$25,MATCH('FB 신규발행'!$A21,'FB 콘텐츠 data'!$AR:$AR,0),MATCH(O$2,'FB 콘텐츠 data'!$A$1:$AH$1,0)),"")</f>
        <v/>
      </c>
      <c r="P21" s="225" t="str">
        <f>IFERROR(INDEX('FB 콘텐츠 data'!$A$1:$AH$25,MATCH('FB 신규발행'!$A21,'FB 콘텐츠 data'!$AR:$AR,0),MATCH(P$2,'FB 콘텐츠 data'!$A$1:$AH$1,0)),"")</f>
        <v/>
      </c>
      <c r="Q21" s="225" t="str">
        <f>IFERROR(INDEX('FB 콘텐츠 data'!$A$1:$AH$25,MATCH('FB 신규발행'!$A21,'FB 콘텐츠 data'!$AR:$AR,0),MATCH(Q$2,'FB 콘텐츠 data'!$A$1:$AH$1,0)),"")</f>
        <v/>
      </c>
      <c r="R21" s="226" t="str">
        <f t="shared" si="1"/>
        <v/>
      </c>
      <c r="T21" s="48" t="str">
        <f t="shared" si="2"/>
        <v/>
      </c>
      <c r="U21" s="48" t="str">
        <f t="shared" si="3"/>
        <v/>
      </c>
      <c r="V21" t="str">
        <f t="shared" si="4"/>
        <v/>
      </c>
      <c r="Y21" s="112"/>
    </row>
    <row r="22" spans="1:25" ht="17.45" customHeight="1">
      <c r="A22" s="123">
        <v>20</v>
      </c>
      <c r="B22" s="223" t="str">
        <f>IFERROR(INDEX('FB 콘텐츠 data'!AQ:AQ,MATCH('FB 신규발행'!A22,'FB 콘텐츠 data'!AR:AR,0)),"")</f>
        <v/>
      </c>
      <c r="C22" s="224" t="str">
        <f>IFERROR(INDEX('FB 콘텐츠 data'!$A$1:$AH$25,MATCH('FB 신규발행'!$A22,'FB 콘텐츠 data'!$AR:$AR,0),MATCH(C$2,'FB 콘텐츠 data'!$A$1:$AH$1,0)),"")</f>
        <v/>
      </c>
      <c r="D22" s="225" t="str">
        <f>IFERROR(INDEX('FB 콘텐츠 data'!$A$1:$AH$25,MATCH('FB 신규발행'!$A22,'FB 콘텐츠 data'!$AR:$AR,0),MATCH(D$2,'FB 콘텐츠 data'!$A$1:$AH$1,0)),"")</f>
        <v/>
      </c>
      <c r="E22" s="225" t="str">
        <f>IFERROR(INDEX('FB 콘텐츠 data'!$A$1:$AH$25,MATCH('FB 신규발행'!$A22,'FB 콘텐츠 data'!$AR:$AR,0),MATCH(E$2,'FB 콘텐츠 data'!$A$1:$AH$1,0)),"")</f>
        <v/>
      </c>
      <c r="F22" s="225" t="str">
        <f>IFERROR(INDEX('FB 콘텐츠 data'!$A$1:$AH$25,MATCH('FB 신규발행'!$A22,'FB 콘텐츠 data'!$AR:$AR,0),MATCH(F$2,'FB 콘텐츠 data'!$A$1:$AH$1,0)),"")</f>
        <v/>
      </c>
      <c r="G22" s="225" t="str">
        <f>IFERROR(INDEX('FB 콘텐츠 data'!$A$1:$AH$25,MATCH('FB 신규발행'!$A22,'FB 콘텐츠 data'!$AR:$AR,0),MATCH(G$2,'FB 콘텐츠 data'!$A$1:$AH$1,0)),"")</f>
        <v/>
      </c>
      <c r="H22" s="225" t="str">
        <f t="shared" si="0"/>
        <v/>
      </c>
      <c r="I22" s="225" t="str">
        <f>IFERROR(INDEX('FB 콘텐츠 data'!$A$1:$AH$25,MATCH('FB 신규발행'!$A22,'FB 콘텐츠 data'!$AR:$AR,0),MATCH(I$2,'FB 콘텐츠 data'!$A$1:$AH$1,0)),"")</f>
        <v/>
      </c>
      <c r="J22" s="225" t="str">
        <f>IFERROR(INDEX('FB 콘텐츠 data'!$A$1:$AH$25,MATCH('FB 신규발행'!$A22,'FB 콘텐츠 data'!$AR:$AR,0),MATCH(J$2,'FB 콘텐츠 data'!$A$1:$AH$1,0)),"")</f>
        <v/>
      </c>
      <c r="K22" s="224" t="str">
        <f>IFERROR(INDEX('FB 콘텐츠 data'!$A$1:$AR$25,MATCH('FB 신규발행'!$A22,'FB 콘텐츠 data'!$AR:$AR,0),MATCH(K$2,'FB 콘텐츠 data'!$A$1:$AR$1,0)),"")</f>
        <v/>
      </c>
      <c r="L22" s="225" t="str">
        <f>IFERROR(INDEX('FB 콘텐츠 data'!$A$1:$AH$25,MATCH('FB 신규발행'!$A22,'FB 콘텐츠 data'!$AR:$AR,0),MATCH(L$2,'FB 콘텐츠 data'!$A$1:$AH$1,0)),"")</f>
        <v/>
      </c>
      <c r="M22" s="225" t="str">
        <f>IFERROR(INDEX('FB 콘텐츠 data'!$A$1:$AH$25,MATCH('FB 신규발행'!$A22,'FB 콘텐츠 data'!$AR:$AR,0),MATCH(M$2,'FB 콘텐츠 data'!$A$1:$AH$1,0)),"")</f>
        <v/>
      </c>
      <c r="N22" s="225" t="str">
        <f>IFERROR(INDEX('FB 콘텐츠 data'!$A$1:$AH$25,MATCH('FB 신규발행'!$A22,'FB 콘텐츠 data'!$AR:$AR,0),MATCH(N$2,'FB 콘텐츠 data'!$A$1:$AH$1,0)),"")</f>
        <v/>
      </c>
      <c r="O22" s="225" t="str">
        <f>IFERROR(INDEX('FB 콘텐츠 data'!$A$1:$AH$25,MATCH('FB 신규발행'!$A22,'FB 콘텐츠 data'!$AR:$AR,0),MATCH(O$2,'FB 콘텐츠 data'!$A$1:$AH$1,0)),"")</f>
        <v/>
      </c>
      <c r="P22" s="225" t="str">
        <f>IFERROR(INDEX('FB 콘텐츠 data'!$A$1:$AH$25,MATCH('FB 신규발행'!$A22,'FB 콘텐츠 data'!$AR:$AR,0),MATCH(P$2,'FB 콘텐츠 data'!$A$1:$AH$1,0)),"")</f>
        <v/>
      </c>
      <c r="Q22" s="225" t="str">
        <f>IFERROR(INDEX('FB 콘텐츠 data'!$A$1:$AH$25,MATCH('FB 신규발행'!$A22,'FB 콘텐츠 data'!$AR:$AR,0),MATCH(Q$2,'FB 콘텐츠 data'!$A$1:$AH$1,0)),"")</f>
        <v/>
      </c>
      <c r="R22" s="226" t="str">
        <f t="shared" si="1"/>
        <v/>
      </c>
      <c r="T22" s="48" t="str">
        <f t="shared" si="2"/>
        <v/>
      </c>
      <c r="U22" s="48" t="str">
        <f t="shared" si="3"/>
        <v/>
      </c>
      <c r="V22" t="str">
        <f t="shared" si="4"/>
        <v/>
      </c>
      <c r="Y22" s="112"/>
    </row>
    <row r="23" spans="1:25" ht="17.45" customHeight="1">
      <c r="A23" s="123">
        <v>21</v>
      </c>
      <c r="B23" s="223" t="str">
        <f>IFERROR(INDEX('FB 콘텐츠 data'!AQ:AQ,MATCH('FB 신규발행'!A23,'FB 콘텐츠 data'!AR:AR,0)),"")</f>
        <v/>
      </c>
      <c r="C23" s="224" t="str">
        <f>IFERROR(INDEX('FB 콘텐츠 data'!$A$1:$AH$25,MATCH('FB 신규발행'!$A23,'FB 콘텐츠 data'!$AR:$AR,0),MATCH(C$2,'FB 콘텐츠 data'!$A$1:$AH$1,0)),"")</f>
        <v/>
      </c>
      <c r="D23" s="225" t="str">
        <f>IFERROR(INDEX('FB 콘텐츠 data'!$A$1:$AH$25,MATCH('FB 신규발행'!$A23,'FB 콘텐츠 data'!$AR:$AR,0),MATCH(D$2,'FB 콘텐츠 data'!$A$1:$AH$1,0)),"")</f>
        <v/>
      </c>
      <c r="E23" s="225" t="str">
        <f>IFERROR(INDEX('FB 콘텐츠 data'!$A$1:$AH$25,MATCH('FB 신규발행'!$A23,'FB 콘텐츠 data'!$AR:$AR,0),MATCH(E$2,'FB 콘텐츠 data'!$A$1:$AH$1,0)),"")</f>
        <v/>
      </c>
      <c r="F23" s="225" t="str">
        <f>IFERROR(INDEX('FB 콘텐츠 data'!$A$1:$AH$25,MATCH('FB 신규발행'!$A23,'FB 콘텐츠 data'!$AR:$AR,0),MATCH(F$2,'FB 콘텐츠 data'!$A$1:$AH$1,0)),"")</f>
        <v/>
      </c>
      <c r="G23" s="225" t="str">
        <f>IFERROR(INDEX('FB 콘텐츠 data'!$A$1:$AH$25,MATCH('FB 신규발행'!$A23,'FB 콘텐츠 data'!$AR:$AR,0),MATCH(G$2,'FB 콘텐츠 data'!$A$1:$AH$1,0)),"")</f>
        <v/>
      </c>
      <c r="H23" s="225" t="str">
        <f t="shared" si="0"/>
        <v/>
      </c>
      <c r="I23" s="225" t="str">
        <f>IFERROR(INDEX('FB 콘텐츠 data'!$A$1:$AH$25,MATCH('FB 신규발행'!$A23,'FB 콘텐츠 data'!$AR:$AR,0),MATCH(I$2,'FB 콘텐츠 data'!$A$1:$AH$1,0)),"")</f>
        <v/>
      </c>
      <c r="J23" s="225" t="str">
        <f>IFERROR(INDEX('FB 콘텐츠 data'!$A$1:$AH$25,MATCH('FB 신규발행'!$A23,'FB 콘텐츠 data'!$AR:$AR,0),MATCH(J$2,'FB 콘텐츠 data'!$A$1:$AH$1,0)),"")</f>
        <v/>
      </c>
      <c r="K23" s="224" t="str">
        <f>IFERROR(INDEX('FB 콘텐츠 data'!$A$1:$AR$25,MATCH('FB 신규발행'!$A23,'FB 콘텐츠 data'!$AR:$AR,0),MATCH(K$2,'FB 콘텐츠 data'!$A$1:$AR$1,0)),"")</f>
        <v/>
      </c>
      <c r="L23" s="225" t="str">
        <f>IFERROR(INDEX('FB 콘텐츠 data'!$A$1:$AH$25,MATCH('FB 신규발행'!$A23,'FB 콘텐츠 data'!$AR:$AR,0),MATCH(L$2,'FB 콘텐츠 data'!$A$1:$AH$1,0)),"")</f>
        <v/>
      </c>
      <c r="M23" s="225" t="str">
        <f>IFERROR(INDEX('FB 콘텐츠 data'!$A$1:$AH$25,MATCH('FB 신규발행'!$A23,'FB 콘텐츠 data'!$AR:$AR,0),MATCH(M$2,'FB 콘텐츠 data'!$A$1:$AH$1,0)),"")</f>
        <v/>
      </c>
      <c r="N23" s="225" t="str">
        <f>IFERROR(INDEX('FB 콘텐츠 data'!$A$1:$AH$25,MATCH('FB 신규발행'!$A23,'FB 콘텐츠 data'!$AR:$AR,0),MATCH(N$2,'FB 콘텐츠 data'!$A$1:$AH$1,0)),"")</f>
        <v/>
      </c>
      <c r="O23" s="225" t="str">
        <f>IFERROR(INDEX('FB 콘텐츠 data'!$A$1:$AH$25,MATCH('FB 신규발행'!$A23,'FB 콘텐츠 data'!$AR:$AR,0),MATCH(O$2,'FB 콘텐츠 data'!$A$1:$AH$1,0)),"")</f>
        <v/>
      </c>
      <c r="P23" s="225" t="str">
        <f>IFERROR(INDEX('FB 콘텐츠 data'!$A$1:$AH$25,MATCH('FB 신규발행'!$A23,'FB 콘텐츠 data'!$AR:$AR,0),MATCH(P$2,'FB 콘텐츠 data'!$A$1:$AH$1,0)),"")</f>
        <v/>
      </c>
      <c r="Q23" s="225" t="str">
        <f>IFERROR(INDEX('FB 콘텐츠 data'!$A$1:$AH$25,MATCH('FB 신규발행'!$A23,'FB 콘텐츠 data'!$AR:$AR,0),MATCH(Q$2,'FB 콘텐츠 data'!$A$1:$AH$1,0)),"")</f>
        <v/>
      </c>
      <c r="R23" s="226" t="str">
        <f t="shared" si="1"/>
        <v/>
      </c>
      <c r="T23" s="48" t="str">
        <f t="shared" si="2"/>
        <v/>
      </c>
      <c r="U23" s="48" t="str">
        <f t="shared" si="3"/>
        <v/>
      </c>
      <c r="V23" t="str">
        <f t="shared" si="4"/>
        <v/>
      </c>
      <c r="Y23" s="112"/>
    </row>
    <row r="24" spans="1:25" ht="17.45" customHeight="1">
      <c r="A24" s="123">
        <v>22</v>
      </c>
      <c r="B24" s="223" t="str">
        <f>IFERROR(INDEX('FB 콘텐츠 data'!AQ:AQ,MATCH('FB 신규발행'!A24,'FB 콘텐츠 data'!AR:AR,0)),"")</f>
        <v/>
      </c>
      <c r="C24" s="224" t="str">
        <f>IFERROR(INDEX('FB 콘텐츠 data'!$A$1:$AH$25,MATCH('FB 신규발행'!$A24,'FB 콘텐츠 data'!$AR:$AR,0),MATCH(C$2,'FB 콘텐츠 data'!$A$1:$AH$1,0)),"")</f>
        <v/>
      </c>
      <c r="D24" s="225" t="str">
        <f>IFERROR(INDEX('FB 콘텐츠 data'!$A$1:$AH$25,MATCH('FB 신규발행'!$A24,'FB 콘텐츠 data'!$AR:$AR,0),MATCH(D$2,'FB 콘텐츠 data'!$A$1:$AH$1,0)),"")</f>
        <v/>
      </c>
      <c r="E24" s="225" t="str">
        <f>IFERROR(INDEX('FB 콘텐츠 data'!$A$1:$AH$25,MATCH('FB 신규발행'!$A24,'FB 콘텐츠 data'!$AR:$AR,0),MATCH(E$2,'FB 콘텐츠 data'!$A$1:$AH$1,0)),"")</f>
        <v/>
      </c>
      <c r="F24" s="225" t="str">
        <f>IFERROR(INDEX('FB 콘텐츠 data'!$A$1:$AH$25,MATCH('FB 신규발행'!$A24,'FB 콘텐츠 data'!$AR:$AR,0),MATCH(F$2,'FB 콘텐츠 data'!$A$1:$AH$1,0)),"")</f>
        <v/>
      </c>
      <c r="G24" s="225" t="str">
        <f>IFERROR(INDEX('FB 콘텐츠 data'!$A$1:$AH$25,MATCH('FB 신규발행'!$A24,'FB 콘텐츠 data'!$AR:$AR,0),MATCH(G$2,'FB 콘텐츠 data'!$A$1:$AH$1,0)),"")</f>
        <v/>
      </c>
      <c r="H24" s="225" t="str">
        <f t="shared" si="0"/>
        <v/>
      </c>
      <c r="I24" s="225" t="str">
        <f>IFERROR(INDEX('FB 콘텐츠 data'!$A$1:$AH$25,MATCH('FB 신규발행'!$A24,'FB 콘텐츠 data'!$AR:$AR,0),MATCH(I$2,'FB 콘텐츠 data'!$A$1:$AH$1,0)),"")</f>
        <v/>
      </c>
      <c r="J24" s="225" t="str">
        <f>IFERROR(INDEX('FB 콘텐츠 data'!$A$1:$AH$25,MATCH('FB 신규발행'!$A24,'FB 콘텐츠 data'!$AR:$AR,0),MATCH(J$2,'FB 콘텐츠 data'!$A$1:$AH$1,0)),"")</f>
        <v/>
      </c>
      <c r="K24" s="224" t="str">
        <f>IFERROR(INDEX('FB 콘텐츠 data'!$A$1:$AR$25,MATCH('FB 신규발행'!$A24,'FB 콘텐츠 data'!$AR:$AR,0),MATCH(K$2,'FB 콘텐츠 data'!$A$1:$AR$1,0)),"")</f>
        <v/>
      </c>
      <c r="L24" s="225" t="str">
        <f>IFERROR(INDEX('FB 콘텐츠 data'!$A$1:$AH$25,MATCH('FB 신규발행'!$A24,'FB 콘텐츠 data'!$AR:$AR,0),MATCH(L$2,'FB 콘텐츠 data'!$A$1:$AH$1,0)),"")</f>
        <v/>
      </c>
      <c r="M24" s="225" t="str">
        <f>IFERROR(INDEX('FB 콘텐츠 data'!$A$1:$AH$25,MATCH('FB 신규발행'!$A24,'FB 콘텐츠 data'!$AR:$AR,0),MATCH(M$2,'FB 콘텐츠 data'!$A$1:$AH$1,0)),"")</f>
        <v/>
      </c>
      <c r="N24" s="225" t="str">
        <f>IFERROR(INDEX('FB 콘텐츠 data'!$A$1:$AH$25,MATCH('FB 신규발행'!$A24,'FB 콘텐츠 data'!$AR:$AR,0),MATCH(N$2,'FB 콘텐츠 data'!$A$1:$AH$1,0)),"")</f>
        <v/>
      </c>
      <c r="O24" s="225" t="str">
        <f>IFERROR(INDEX('FB 콘텐츠 data'!$A$1:$AH$25,MATCH('FB 신규발행'!$A24,'FB 콘텐츠 data'!$AR:$AR,0),MATCH(O$2,'FB 콘텐츠 data'!$A$1:$AH$1,0)),"")</f>
        <v/>
      </c>
      <c r="P24" s="225" t="str">
        <f>IFERROR(INDEX('FB 콘텐츠 data'!$A$1:$AH$25,MATCH('FB 신규발행'!$A24,'FB 콘텐츠 data'!$AR:$AR,0),MATCH(P$2,'FB 콘텐츠 data'!$A$1:$AH$1,0)),"")</f>
        <v/>
      </c>
      <c r="Q24" s="225" t="str">
        <f>IFERROR(INDEX('FB 콘텐츠 data'!$A$1:$AH$25,MATCH('FB 신규발행'!$A24,'FB 콘텐츠 data'!$AR:$AR,0),MATCH(Q$2,'FB 콘텐츠 data'!$A$1:$AH$1,0)),"")</f>
        <v/>
      </c>
      <c r="R24" s="226" t="str">
        <f t="shared" si="1"/>
        <v/>
      </c>
      <c r="T24" s="48" t="str">
        <f t="shared" si="2"/>
        <v/>
      </c>
      <c r="U24" s="48" t="str">
        <f t="shared" si="3"/>
        <v/>
      </c>
      <c r="V24" t="str">
        <f t="shared" si="4"/>
        <v/>
      </c>
      <c r="Y24" s="112"/>
    </row>
    <row r="25" spans="1:25" ht="17.45" customHeight="1">
      <c r="A25" s="123">
        <v>23</v>
      </c>
      <c r="B25" s="223" t="str">
        <f>IFERROR(INDEX('FB 콘텐츠 data'!AQ:AQ,MATCH('FB 신규발행'!A25,'FB 콘텐츠 data'!AR:AR,0)),"")</f>
        <v/>
      </c>
      <c r="C25" s="224" t="str">
        <f>IFERROR(INDEX('FB 콘텐츠 data'!$A$1:$AH$25,MATCH('FB 신규발행'!$A25,'FB 콘텐츠 data'!$AR:$AR,0),MATCH(C$2,'FB 콘텐츠 data'!$A$1:$AH$1,0)),"")</f>
        <v/>
      </c>
      <c r="D25" s="225" t="str">
        <f>IFERROR(INDEX('FB 콘텐츠 data'!$A$1:$AH$25,MATCH('FB 신규발행'!$A25,'FB 콘텐츠 data'!$AR:$AR,0),MATCH(D$2,'FB 콘텐츠 data'!$A$1:$AH$1,0)),"")</f>
        <v/>
      </c>
      <c r="E25" s="225" t="str">
        <f>IFERROR(INDEX('FB 콘텐츠 data'!$A$1:$AH$25,MATCH('FB 신규발행'!$A25,'FB 콘텐츠 data'!$AR:$AR,0),MATCH(E$2,'FB 콘텐츠 data'!$A$1:$AH$1,0)),"")</f>
        <v/>
      </c>
      <c r="F25" s="225" t="str">
        <f>IFERROR(INDEX('FB 콘텐츠 data'!$A$1:$AH$25,MATCH('FB 신규발행'!$A25,'FB 콘텐츠 data'!$AR:$AR,0),MATCH(F$2,'FB 콘텐츠 data'!$A$1:$AH$1,0)),"")</f>
        <v/>
      </c>
      <c r="G25" s="225" t="str">
        <f>IFERROR(INDEX('FB 콘텐츠 data'!$A$1:$AH$25,MATCH('FB 신규발행'!$A25,'FB 콘텐츠 data'!$AR:$AR,0),MATCH(G$2,'FB 콘텐츠 data'!$A$1:$AH$1,0)),"")</f>
        <v/>
      </c>
      <c r="H25" s="225" t="str">
        <f t="shared" si="0"/>
        <v/>
      </c>
      <c r="I25" s="225" t="str">
        <f>IFERROR(INDEX('FB 콘텐츠 data'!$A$1:$AH$25,MATCH('FB 신규발행'!$A25,'FB 콘텐츠 data'!$AR:$AR,0),MATCH(I$2,'FB 콘텐츠 data'!$A$1:$AH$1,0)),"")</f>
        <v/>
      </c>
      <c r="J25" s="225" t="str">
        <f>IFERROR(INDEX('FB 콘텐츠 data'!$A$1:$AH$25,MATCH('FB 신규발행'!$A25,'FB 콘텐츠 data'!$AR:$AR,0),MATCH(J$2,'FB 콘텐츠 data'!$A$1:$AH$1,0)),"")</f>
        <v/>
      </c>
      <c r="K25" s="224" t="str">
        <f>IFERROR(INDEX('FB 콘텐츠 data'!$A$1:$AR$25,MATCH('FB 신규발행'!$A25,'FB 콘텐츠 data'!$AR:$AR,0),MATCH(K$2,'FB 콘텐츠 data'!$A$1:$AR$1,0)),"")</f>
        <v/>
      </c>
      <c r="L25" s="225" t="str">
        <f>IFERROR(INDEX('FB 콘텐츠 data'!$A$1:$AH$25,MATCH('FB 신규발행'!$A25,'FB 콘텐츠 data'!$AR:$AR,0),MATCH(L$2,'FB 콘텐츠 data'!$A$1:$AH$1,0)),"")</f>
        <v/>
      </c>
      <c r="M25" s="225" t="str">
        <f>IFERROR(INDEX('FB 콘텐츠 data'!$A$1:$AH$25,MATCH('FB 신규발행'!$A25,'FB 콘텐츠 data'!$AR:$AR,0),MATCH(M$2,'FB 콘텐츠 data'!$A$1:$AH$1,0)),"")</f>
        <v/>
      </c>
      <c r="N25" s="225" t="str">
        <f>IFERROR(INDEX('FB 콘텐츠 data'!$A$1:$AH$25,MATCH('FB 신규발행'!$A25,'FB 콘텐츠 data'!$AR:$AR,0),MATCH(N$2,'FB 콘텐츠 data'!$A$1:$AH$1,0)),"")</f>
        <v/>
      </c>
      <c r="O25" s="225" t="str">
        <f>IFERROR(INDEX('FB 콘텐츠 data'!$A$1:$AH$25,MATCH('FB 신규발행'!$A25,'FB 콘텐츠 data'!$AR:$AR,0),MATCH(O$2,'FB 콘텐츠 data'!$A$1:$AH$1,0)),"")</f>
        <v/>
      </c>
      <c r="P25" s="225" t="str">
        <f>IFERROR(INDEX('FB 콘텐츠 data'!$A$1:$AH$25,MATCH('FB 신규발행'!$A25,'FB 콘텐츠 data'!$AR:$AR,0),MATCH(P$2,'FB 콘텐츠 data'!$A$1:$AH$1,0)),"")</f>
        <v/>
      </c>
      <c r="Q25" s="225" t="str">
        <f>IFERROR(INDEX('FB 콘텐츠 data'!$A$1:$AH$25,MATCH('FB 신규발행'!$A25,'FB 콘텐츠 data'!$AR:$AR,0),MATCH(Q$2,'FB 콘텐츠 data'!$A$1:$AH$1,0)),"")</f>
        <v/>
      </c>
      <c r="R25" s="226" t="str">
        <f t="shared" si="1"/>
        <v/>
      </c>
      <c r="T25" s="48" t="str">
        <f t="shared" si="2"/>
        <v/>
      </c>
      <c r="U25" s="48" t="str">
        <f t="shared" si="3"/>
        <v/>
      </c>
      <c r="V25" t="str">
        <f t="shared" si="4"/>
        <v/>
      </c>
      <c r="Y25" s="112"/>
    </row>
    <row r="26" spans="1:25" ht="17.45" customHeight="1">
      <c r="A26" s="123">
        <v>24</v>
      </c>
      <c r="B26" s="223" t="str">
        <f>IFERROR(INDEX('FB 콘텐츠 data'!AQ:AQ,MATCH('FB 신규발행'!A26,'FB 콘텐츠 data'!AR:AR,0)),"")</f>
        <v/>
      </c>
      <c r="C26" s="224" t="str">
        <f>IFERROR(INDEX('FB 콘텐츠 data'!$A$1:$AH$25,MATCH('FB 신규발행'!$A26,'FB 콘텐츠 data'!$AR:$AR,0),MATCH(C$2,'FB 콘텐츠 data'!$A$1:$AH$1,0)),"")</f>
        <v/>
      </c>
      <c r="D26" s="225" t="str">
        <f>IFERROR(INDEX('FB 콘텐츠 data'!$A$1:$AH$25,MATCH('FB 신규발행'!$A26,'FB 콘텐츠 data'!$AR:$AR,0),MATCH(D$2,'FB 콘텐츠 data'!$A$1:$AH$1,0)),"")</f>
        <v/>
      </c>
      <c r="E26" s="225" t="str">
        <f>IFERROR(INDEX('FB 콘텐츠 data'!$A$1:$AH$25,MATCH('FB 신규발행'!$A26,'FB 콘텐츠 data'!$AR:$AR,0),MATCH(E$2,'FB 콘텐츠 data'!$A$1:$AH$1,0)),"")</f>
        <v/>
      </c>
      <c r="F26" s="225" t="str">
        <f>IFERROR(INDEX('FB 콘텐츠 data'!$A$1:$AH$25,MATCH('FB 신규발행'!$A26,'FB 콘텐츠 data'!$AR:$AR,0),MATCH(F$2,'FB 콘텐츠 data'!$A$1:$AH$1,0)),"")</f>
        <v/>
      </c>
      <c r="G26" s="225" t="str">
        <f>IFERROR(INDEX('FB 콘텐츠 data'!$A$1:$AH$25,MATCH('FB 신규발행'!$A26,'FB 콘텐츠 data'!$AR:$AR,0),MATCH(G$2,'FB 콘텐츠 data'!$A$1:$AH$1,0)),"")</f>
        <v/>
      </c>
      <c r="H26" s="225" t="str">
        <f t="shared" si="0"/>
        <v/>
      </c>
      <c r="I26" s="225" t="str">
        <f>IFERROR(INDEX('FB 콘텐츠 data'!$A$1:$AH$25,MATCH('FB 신규발행'!$A26,'FB 콘텐츠 data'!$AR:$AR,0),MATCH(I$2,'FB 콘텐츠 data'!$A$1:$AH$1,0)),"")</f>
        <v/>
      </c>
      <c r="J26" s="225" t="str">
        <f>IFERROR(INDEX('FB 콘텐츠 data'!$A$1:$AH$25,MATCH('FB 신규발행'!$A26,'FB 콘텐츠 data'!$AR:$AR,0),MATCH(J$2,'FB 콘텐츠 data'!$A$1:$AH$1,0)),"")</f>
        <v/>
      </c>
      <c r="K26" s="224" t="str">
        <f>IFERROR(INDEX('FB 콘텐츠 data'!$A$1:$AR$25,MATCH('FB 신규발행'!$A26,'FB 콘텐츠 data'!$AR:$AR,0),MATCH(K$2,'FB 콘텐츠 data'!$A$1:$AR$1,0)),"")</f>
        <v/>
      </c>
      <c r="L26" s="225" t="str">
        <f>IFERROR(INDEX('FB 콘텐츠 data'!$A$1:$AH$25,MATCH('FB 신규발행'!$A26,'FB 콘텐츠 data'!$AR:$AR,0),MATCH(L$2,'FB 콘텐츠 data'!$A$1:$AH$1,0)),"")</f>
        <v/>
      </c>
      <c r="M26" s="225" t="str">
        <f>IFERROR(INDEX('FB 콘텐츠 data'!$A$1:$AH$25,MATCH('FB 신규발행'!$A26,'FB 콘텐츠 data'!$AR:$AR,0),MATCH(M$2,'FB 콘텐츠 data'!$A$1:$AH$1,0)),"")</f>
        <v/>
      </c>
      <c r="N26" s="225" t="str">
        <f>IFERROR(INDEX('FB 콘텐츠 data'!$A$1:$AH$25,MATCH('FB 신규발행'!$A26,'FB 콘텐츠 data'!$AR:$AR,0),MATCH(N$2,'FB 콘텐츠 data'!$A$1:$AH$1,0)),"")</f>
        <v/>
      </c>
      <c r="O26" s="225" t="str">
        <f>IFERROR(INDEX('FB 콘텐츠 data'!$A$1:$AH$25,MATCH('FB 신규발행'!$A26,'FB 콘텐츠 data'!$AR:$AR,0),MATCH(O$2,'FB 콘텐츠 data'!$A$1:$AH$1,0)),"")</f>
        <v/>
      </c>
      <c r="P26" s="225" t="str">
        <f>IFERROR(INDEX('FB 콘텐츠 data'!$A$1:$AH$25,MATCH('FB 신규발행'!$A26,'FB 콘텐츠 data'!$AR:$AR,0),MATCH(P$2,'FB 콘텐츠 data'!$A$1:$AH$1,0)),"")</f>
        <v/>
      </c>
      <c r="Q26" s="225" t="str">
        <f>IFERROR(INDEX('FB 콘텐츠 data'!$A$1:$AH$25,MATCH('FB 신규발행'!$A26,'FB 콘텐츠 data'!$AR:$AR,0),MATCH(Q$2,'FB 콘텐츠 data'!$A$1:$AH$1,0)),"")</f>
        <v/>
      </c>
      <c r="R26" s="226" t="str">
        <f t="shared" si="1"/>
        <v/>
      </c>
      <c r="T26" s="48" t="str">
        <f t="shared" si="2"/>
        <v/>
      </c>
      <c r="U26" s="48" t="str">
        <f t="shared" si="3"/>
        <v/>
      </c>
      <c r="V26" t="str">
        <f t="shared" si="4"/>
        <v/>
      </c>
      <c r="Y26" s="112"/>
    </row>
    <row r="27" spans="1:25" ht="17.45" customHeight="1">
      <c r="A27" s="123">
        <v>25</v>
      </c>
      <c r="B27" s="223" t="str">
        <f>IFERROR(INDEX('FB 콘텐츠 data'!AQ:AQ,MATCH('FB 신규발행'!A27,'FB 콘텐츠 data'!AR:AR,0)),"")</f>
        <v/>
      </c>
      <c r="C27" s="224" t="str">
        <f>IFERROR(INDEX('FB 콘텐츠 data'!$A$1:$AH$25,MATCH('FB 신규발행'!$A27,'FB 콘텐츠 data'!$AR:$AR,0),MATCH(C$2,'FB 콘텐츠 data'!$A$1:$AH$1,0)),"")</f>
        <v/>
      </c>
      <c r="D27" s="225" t="str">
        <f>IFERROR(INDEX('FB 콘텐츠 data'!$A$1:$AH$25,MATCH('FB 신규발행'!$A27,'FB 콘텐츠 data'!$AR:$AR,0),MATCH(D$2,'FB 콘텐츠 data'!$A$1:$AH$1,0)),"")</f>
        <v/>
      </c>
      <c r="E27" s="225" t="str">
        <f>IFERROR(INDEX('FB 콘텐츠 data'!$A$1:$AH$25,MATCH('FB 신규발행'!$A27,'FB 콘텐츠 data'!$AR:$AR,0),MATCH(E$2,'FB 콘텐츠 data'!$A$1:$AH$1,0)),"")</f>
        <v/>
      </c>
      <c r="F27" s="225" t="str">
        <f>IFERROR(INDEX('FB 콘텐츠 data'!$A$1:$AH$25,MATCH('FB 신규발행'!$A27,'FB 콘텐츠 data'!$AR:$AR,0),MATCH(F$2,'FB 콘텐츠 data'!$A$1:$AH$1,0)),"")</f>
        <v/>
      </c>
      <c r="G27" s="225" t="str">
        <f>IFERROR(INDEX('FB 콘텐츠 data'!$A$1:$AH$25,MATCH('FB 신규발행'!$A27,'FB 콘텐츠 data'!$AR:$AR,0),MATCH(G$2,'FB 콘텐츠 data'!$A$1:$AH$1,0)),"")</f>
        <v/>
      </c>
      <c r="H27" s="225" t="str">
        <f t="shared" si="0"/>
        <v/>
      </c>
      <c r="I27" s="225" t="str">
        <f>IFERROR(INDEX('FB 콘텐츠 data'!$A$1:$AH$25,MATCH('FB 신규발행'!$A27,'FB 콘텐츠 data'!$AR:$AR,0),MATCH(I$2,'FB 콘텐츠 data'!$A$1:$AH$1,0)),"")</f>
        <v/>
      </c>
      <c r="J27" s="225" t="str">
        <f>IFERROR(INDEX('FB 콘텐츠 data'!$A$1:$AH$25,MATCH('FB 신규발행'!$A27,'FB 콘텐츠 data'!$AR:$AR,0),MATCH(J$2,'FB 콘텐츠 data'!$A$1:$AH$1,0)),"")</f>
        <v/>
      </c>
      <c r="K27" s="224" t="str">
        <f>IFERROR(INDEX('FB 콘텐츠 data'!$A$1:$AR$25,MATCH('FB 신규발행'!$A27,'FB 콘텐츠 data'!$AR:$AR,0),MATCH(K$2,'FB 콘텐츠 data'!$A$1:$AR$1,0)),"")</f>
        <v/>
      </c>
      <c r="L27" s="225" t="str">
        <f>IFERROR(INDEX('FB 콘텐츠 data'!$A$1:$AH$25,MATCH('FB 신규발행'!$A27,'FB 콘텐츠 data'!$AR:$AR,0),MATCH(L$2,'FB 콘텐츠 data'!$A$1:$AH$1,0)),"")</f>
        <v/>
      </c>
      <c r="M27" s="225" t="str">
        <f>IFERROR(INDEX('FB 콘텐츠 data'!$A$1:$AH$25,MATCH('FB 신규발행'!$A27,'FB 콘텐츠 data'!$AR:$AR,0),MATCH(M$2,'FB 콘텐츠 data'!$A$1:$AH$1,0)),"")</f>
        <v/>
      </c>
      <c r="N27" s="225" t="str">
        <f>IFERROR(INDEX('FB 콘텐츠 data'!$A$1:$AH$25,MATCH('FB 신규발행'!$A27,'FB 콘텐츠 data'!$AR:$AR,0),MATCH(N$2,'FB 콘텐츠 data'!$A$1:$AH$1,0)),"")</f>
        <v/>
      </c>
      <c r="O27" s="225" t="str">
        <f>IFERROR(INDEX('FB 콘텐츠 data'!$A$1:$AH$25,MATCH('FB 신규발행'!$A27,'FB 콘텐츠 data'!$AR:$AR,0),MATCH(O$2,'FB 콘텐츠 data'!$A$1:$AH$1,0)),"")</f>
        <v/>
      </c>
      <c r="P27" s="225" t="str">
        <f>IFERROR(INDEX('FB 콘텐츠 data'!$A$1:$AH$25,MATCH('FB 신규발행'!$A27,'FB 콘텐츠 data'!$AR:$AR,0),MATCH(P$2,'FB 콘텐츠 data'!$A$1:$AH$1,0)),"")</f>
        <v/>
      </c>
      <c r="Q27" s="225" t="str">
        <f>IFERROR(INDEX('FB 콘텐츠 data'!$A$1:$AH$25,MATCH('FB 신규발행'!$A27,'FB 콘텐츠 data'!$AR:$AR,0),MATCH(Q$2,'FB 콘텐츠 data'!$A$1:$AH$1,0)),"")</f>
        <v/>
      </c>
      <c r="R27" s="226" t="str">
        <f t="shared" si="1"/>
        <v/>
      </c>
      <c r="T27" s="48" t="str">
        <f t="shared" si="2"/>
        <v/>
      </c>
      <c r="U27" s="48" t="str">
        <f t="shared" si="3"/>
        <v/>
      </c>
      <c r="V27" t="str">
        <f t="shared" si="4"/>
        <v/>
      </c>
      <c r="Y27" s="112"/>
    </row>
    <row r="28" spans="1:25" ht="17.45" customHeight="1">
      <c r="A28" s="123">
        <v>26</v>
      </c>
      <c r="B28" s="223" t="str">
        <f>IFERROR(INDEX('FB 콘텐츠 data'!AQ:AQ,MATCH('FB 신규발행'!A28,'FB 콘텐츠 data'!AR:AR,0)),"")</f>
        <v/>
      </c>
      <c r="C28" s="224" t="str">
        <f>IFERROR(INDEX('FB 콘텐츠 data'!$A$1:$AH$25,MATCH('FB 신규발행'!$A28,'FB 콘텐츠 data'!$AR:$AR,0),MATCH(C$2,'FB 콘텐츠 data'!$A$1:$AH$1,0)),"")</f>
        <v/>
      </c>
      <c r="D28" s="225" t="str">
        <f>IFERROR(INDEX('FB 콘텐츠 data'!$A$1:$AH$25,MATCH('FB 신규발행'!$A28,'FB 콘텐츠 data'!$AR:$AR,0),MATCH(D$2,'FB 콘텐츠 data'!$A$1:$AH$1,0)),"")</f>
        <v/>
      </c>
      <c r="E28" s="225" t="str">
        <f>IFERROR(INDEX('FB 콘텐츠 data'!$A$1:$AH$25,MATCH('FB 신규발행'!$A28,'FB 콘텐츠 data'!$AR:$AR,0),MATCH(E$2,'FB 콘텐츠 data'!$A$1:$AH$1,0)),"")</f>
        <v/>
      </c>
      <c r="F28" s="225" t="str">
        <f>IFERROR(INDEX('FB 콘텐츠 data'!$A$1:$AH$25,MATCH('FB 신규발행'!$A28,'FB 콘텐츠 data'!$AR:$AR,0),MATCH(F$2,'FB 콘텐츠 data'!$A$1:$AH$1,0)),"")</f>
        <v/>
      </c>
      <c r="G28" s="225" t="str">
        <f>IFERROR(INDEX('FB 콘텐츠 data'!$A$1:$AH$25,MATCH('FB 신규발행'!$A28,'FB 콘텐츠 data'!$AR:$AR,0),MATCH(G$2,'FB 콘텐츠 data'!$A$1:$AH$1,0)),"")</f>
        <v/>
      </c>
      <c r="H28" s="225" t="str">
        <f t="shared" si="0"/>
        <v/>
      </c>
      <c r="I28" s="225" t="str">
        <f>IFERROR(INDEX('FB 콘텐츠 data'!$A$1:$AH$25,MATCH('FB 신규발행'!$A28,'FB 콘텐츠 data'!$AR:$AR,0),MATCH(I$2,'FB 콘텐츠 data'!$A$1:$AH$1,0)),"")</f>
        <v/>
      </c>
      <c r="J28" s="225" t="str">
        <f>IFERROR(INDEX('FB 콘텐츠 data'!$A$1:$AH$25,MATCH('FB 신규발행'!$A28,'FB 콘텐츠 data'!$AR:$AR,0),MATCH(J$2,'FB 콘텐츠 data'!$A$1:$AH$1,0)),"")</f>
        <v/>
      </c>
      <c r="K28" s="224" t="str">
        <f>IFERROR(INDEX('FB 콘텐츠 data'!$A$1:$AR$25,MATCH('FB 신규발행'!$A28,'FB 콘텐츠 data'!$AR:$AR,0),MATCH(K$2,'FB 콘텐츠 data'!$A$1:$AR$1,0)),"")</f>
        <v/>
      </c>
      <c r="L28" s="225" t="str">
        <f>IFERROR(INDEX('FB 콘텐츠 data'!$A$1:$AH$25,MATCH('FB 신규발행'!$A28,'FB 콘텐츠 data'!$AR:$AR,0),MATCH(L$2,'FB 콘텐츠 data'!$A$1:$AH$1,0)),"")</f>
        <v/>
      </c>
      <c r="M28" s="225" t="str">
        <f>IFERROR(INDEX('FB 콘텐츠 data'!$A$1:$AH$25,MATCH('FB 신규발행'!$A28,'FB 콘텐츠 data'!$AR:$AR,0),MATCH(M$2,'FB 콘텐츠 data'!$A$1:$AH$1,0)),"")</f>
        <v/>
      </c>
      <c r="N28" s="225" t="str">
        <f>IFERROR(INDEX('FB 콘텐츠 data'!$A$1:$AH$25,MATCH('FB 신규발행'!$A28,'FB 콘텐츠 data'!$AR:$AR,0),MATCH(N$2,'FB 콘텐츠 data'!$A$1:$AH$1,0)),"")</f>
        <v/>
      </c>
      <c r="O28" s="225" t="str">
        <f>IFERROR(INDEX('FB 콘텐츠 data'!$A$1:$AH$25,MATCH('FB 신규발행'!$A28,'FB 콘텐츠 data'!$AR:$AR,0),MATCH(O$2,'FB 콘텐츠 data'!$A$1:$AH$1,0)),"")</f>
        <v/>
      </c>
      <c r="P28" s="225" t="str">
        <f>IFERROR(INDEX('FB 콘텐츠 data'!$A$1:$AH$25,MATCH('FB 신규발행'!$A28,'FB 콘텐츠 data'!$AR:$AR,0),MATCH(P$2,'FB 콘텐츠 data'!$A$1:$AH$1,0)),"")</f>
        <v/>
      </c>
      <c r="Q28" s="225" t="str">
        <f>IFERROR(INDEX('FB 콘텐츠 data'!$A$1:$AH$25,MATCH('FB 신규발행'!$A28,'FB 콘텐츠 data'!$AR:$AR,0),MATCH(Q$2,'FB 콘텐츠 data'!$A$1:$AH$1,0)),"")</f>
        <v/>
      </c>
      <c r="R28" s="226" t="str">
        <f t="shared" si="1"/>
        <v/>
      </c>
      <c r="T28" s="48" t="str">
        <f t="shared" si="2"/>
        <v/>
      </c>
      <c r="U28" s="48" t="str">
        <f t="shared" si="3"/>
        <v/>
      </c>
      <c r="V28" t="str">
        <f t="shared" si="4"/>
        <v/>
      </c>
      <c r="Y28" s="112"/>
    </row>
    <row r="29" spans="1:25" ht="17.45" customHeight="1">
      <c r="A29" s="123">
        <v>27</v>
      </c>
      <c r="B29" s="223" t="str">
        <f>IFERROR(INDEX('FB 콘텐츠 data'!AQ:AQ,MATCH('FB 신규발행'!A29,'FB 콘텐츠 data'!AR:AR,0)),"")</f>
        <v/>
      </c>
      <c r="C29" s="224" t="str">
        <f>IFERROR(INDEX('FB 콘텐츠 data'!$A$1:$AH$25,MATCH('FB 신규발행'!$A29,'FB 콘텐츠 data'!$AR:$AR,0),MATCH(C$2,'FB 콘텐츠 data'!$A$1:$AH$1,0)),"")</f>
        <v/>
      </c>
      <c r="D29" s="225" t="str">
        <f>IFERROR(INDEX('FB 콘텐츠 data'!$A$1:$AH$25,MATCH('FB 신규발행'!$A29,'FB 콘텐츠 data'!$AR:$AR,0),MATCH(D$2,'FB 콘텐츠 data'!$A$1:$AH$1,0)),"")</f>
        <v/>
      </c>
      <c r="E29" s="225" t="str">
        <f>IFERROR(INDEX('FB 콘텐츠 data'!$A$1:$AH$25,MATCH('FB 신규발행'!$A29,'FB 콘텐츠 data'!$AR:$AR,0),MATCH(E$2,'FB 콘텐츠 data'!$A$1:$AH$1,0)),"")</f>
        <v/>
      </c>
      <c r="F29" s="225" t="str">
        <f>IFERROR(INDEX('FB 콘텐츠 data'!$A$1:$AH$25,MATCH('FB 신규발행'!$A29,'FB 콘텐츠 data'!$AR:$AR,0),MATCH(F$2,'FB 콘텐츠 data'!$A$1:$AH$1,0)),"")</f>
        <v/>
      </c>
      <c r="G29" s="225" t="str">
        <f>IFERROR(INDEX('FB 콘텐츠 data'!$A$1:$AH$25,MATCH('FB 신규발행'!$A29,'FB 콘텐츠 data'!$AR:$AR,0),MATCH(G$2,'FB 콘텐츠 data'!$A$1:$AH$1,0)),"")</f>
        <v/>
      </c>
      <c r="H29" s="225" t="str">
        <f t="shared" si="0"/>
        <v/>
      </c>
      <c r="I29" s="225" t="str">
        <f>IFERROR(INDEX('FB 콘텐츠 data'!$A$1:$AH$25,MATCH('FB 신규발행'!$A29,'FB 콘텐츠 data'!$AR:$AR,0),MATCH(I$2,'FB 콘텐츠 data'!$A$1:$AH$1,0)),"")</f>
        <v/>
      </c>
      <c r="J29" s="225" t="str">
        <f>IFERROR(INDEX('FB 콘텐츠 data'!$A$1:$AH$25,MATCH('FB 신규발행'!$A29,'FB 콘텐츠 data'!$AR:$AR,0),MATCH(J$2,'FB 콘텐츠 data'!$A$1:$AH$1,0)),"")</f>
        <v/>
      </c>
      <c r="K29" s="224" t="str">
        <f>IFERROR(INDEX('FB 콘텐츠 data'!$A$1:$AR$25,MATCH('FB 신규발행'!$A29,'FB 콘텐츠 data'!$AR:$AR,0),MATCH(K$2,'FB 콘텐츠 data'!$A$1:$AR$1,0)),"")</f>
        <v/>
      </c>
      <c r="L29" s="225" t="str">
        <f>IFERROR(INDEX('FB 콘텐츠 data'!$A$1:$AH$25,MATCH('FB 신규발행'!$A29,'FB 콘텐츠 data'!$AR:$AR,0),MATCH(L$2,'FB 콘텐츠 data'!$A$1:$AH$1,0)),"")</f>
        <v/>
      </c>
      <c r="M29" s="225" t="str">
        <f>IFERROR(INDEX('FB 콘텐츠 data'!$A$1:$AH$25,MATCH('FB 신규발행'!$A29,'FB 콘텐츠 data'!$AR:$AR,0),MATCH(M$2,'FB 콘텐츠 data'!$A$1:$AH$1,0)),"")</f>
        <v/>
      </c>
      <c r="N29" s="225" t="str">
        <f>IFERROR(INDEX('FB 콘텐츠 data'!$A$1:$AH$25,MATCH('FB 신규발행'!$A29,'FB 콘텐츠 data'!$AR:$AR,0),MATCH(N$2,'FB 콘텐츠 data'!$A$1:$AH$1,0)),"")</f>
        <v/>
      </c>
      <c r="O29" s="225" t="str">
        <f>IFERROR(INDEX('FB 콘텐츠 data'!$A$1:$AH$25,MATCH('FB 신규발행'!$A29,'FB 콘텐츠 data'!$AR:$AR,0),MATCH(O$2,'FB 콘텐츠 data'!$A$1:$AH$1,0)),"")</f>
        <v/>
      </c>
      <c r="P29" s="225" t="str">
        <f>IFERROR(INDEX('FB 콘텐츠 data'!$A$1:$AH$25,MATCH('FB 신규발행'!$A29,'FB 콘텐츠 data'!$AR:$AR,0),MATCH(P$2,'FB 콘텐츠 data'!$A$1:$AH$1,0)),"")</f>
        <v/>
      </c>
      <c r="Q29" s="225" t="str">
        <f>IFERROR(INDEX('FB 콘텐츠 data'!$A$1:$AH$25,MATCH('FB 신규발행'!$A29,'FB 콘텐츠 data'!$AR:$AR,0),MATCH(Q$2,'FB 콘텐츠 data'!$A$1:$AH$1,0)),"")</f>
        <v/>
      </c>
      <c r="R29" s="226" t="str">
        <f t="shared" si="1"/>
        <v/>
      </c>
      <c r="T29" s="48" t="str">
        <f t="shared" si="2"/>
        <v/>
      </c>
      <c r="U29" s="48" t="str">
        <f t="shared" si="3"/>
        <v/>
      </c>
      <c r="V29" t="str">
        <f t="shared" si="4"/>
        <v/>
      </c>
      <c r="Y29" s="112"/>
    </row>
    <row r="30" spans="1:25" ht="17.45" customHeight="1">
      <c r="A30" s="123">
        <v>28</v>
      </c>
      <c r="B30" s="223" t="str">
        <f>IFERROR(INDEX('FB 콘텐츠 data'!AQ:AQ,MATCH('FB 신규발행'!A30,'FB 콘텐츠 data'!AR:AR,0)),"")</f>
        <v/>
      </c>
      <c r="C30" s="224" t="str">
        <f>IFERROR(INDEX('FB 콘텐츠 data'!$A$1:$AH$25,MATCH('FB 신규발행'!$A30,'FB 콘텐츠 data'!$AR:$AR,0),MATCH(C$2,'FB 콘텐츠 data'!$A$1:$AH$1,0)),"")</f>
        <v/>
      </c>
      <c r="D30" s="225" t="str">
        <f>IFERROR(INDEX('FB 콘텐츠 data'!$A$1:$AH$25,MATCH('FB 신규발행'!$A30,'FB 콘텐츠 data'!$AR:$AR,0),MATCH(D$2,'FB 콘텐츠 data'!$A$1:$AH$1,0)),"")</f>
        <v/>
      </c>
      <c r="E30" s="225" t="str">
        <f>IFERROR(INDEX('FB 콘텐츠 data'!$A$1:$AH$25,MATCH('FB 신규발행'!$A30,'FB 콘텐츠 data'!$AR:$AR,0),MATCH(E$2,'FB 콘텐츠 data'!$A$1:$AH$1,0)),"")</f>
        <v/>
      </c>
      <c r="F30" s="225" t="str">
        <f>IFERROR(INDEX('FB 콘텐츠 data'!$A$1:$AH$25,MATCH('FB 신규발행'!$A30,'FB 콘텐츠 data'!$AR:$AR,0),MATCH(F$2,'FB 콘텐츠 data'!$A$1:$AH$1,0)),"")</f>
        <v/>
      </c>
      <c r="G30" s="225" t="str">
        <f>IFERROR(INDEX('FB 콘텐츠 data'!$A$1:$AH$25,MATCH('FB 신규발행'!$A30,'FB 콘텐츠 data'!$AR:$AR,0),MATCH(G$2,'FB 콘텐츠 data'!$A$1:$AH$1,0)),"")</f>
        <v/>
      </c>
      <c r="H30" s="225" t="str">
        <f t="shared" si="0"/>
        <v/>
      </c>
      <c r="I30" s="225" t="str">
        <f>IFERROR(INDEX('FB 콘텐츠 data'!$A$1:$AH$25,MATCH('FB 신규발행'!$A30,'FB 콘텐츠 data'!$AR:$AR,0),MATCH(I$2,'FB 콘텐츠 data'!$A$1:$AH$1,0)),"")</f>
        <v/>
      </c>
      <c r="J30" s="225" t="str">
        <f>IFERROR(INDEX('FB 콘텐츠 data'!$A$1:$AH$25,MATCH('FB 신규발행'!$A30,'FB 콘텐츠 data'!$AR:$AR,0),MATCH(J$2,'FB 콘텐츠 data'!$A$1:$AH$1,0)),"")</f>
        <v/>
      </c>
      <c r="K30" s="224" t="str">
        <f>IFERROR(INDEX('FB 콘텐츠 data'!$A$1:$AR$25,MATCH('FB 신규발행'!$A30,'FB 콘텐츠 data'!$AR:$AR,0),MATCH(K$2,'FB 콘텐츠 data'!$A$1:$AR$1,0)),"")</f>
        <v/>
      </c>
      <c r="L30" s="225" t="str">
        <f>IFERROR(INDEX('FB 콘텐츠 data'!$A$1:$AH$25,MATCH('FB 신규발행'!$A30,'FB 콘텐츠 data'!$AR:$AR,0),MATCH(L$2,'FB 콘텐츠 data'!$A$1:$AH$1,0)),"")</f>
        <v/>
      </c>
      <c r="M30" s="225" t="str">
        <f>IFERROR(INDEX('FB 콘텐츠 data'!$A$1:$AH$25,MATCH('FB 신규발행'!$A30,'FB 콘텐츠 data'!$AR:$AR,0),MATCH(M$2,'FB 콘텐츠 data'!$A$1:$AH$1,0)),"")</f>
        <v/>
      </c>
      <c r="N30" s="225" t="str">
        <f>IFERROR(INDEX('FB 콘텐츠 data'!$A$1:$AH$25,MATCH('FB 신규발행'!$A30,'FB 콘텐츠 data'!$AR:$AR,0),MATCH(N$2,'FB 콘텐츠 data'!$A$1:$AH$1,0)),"")</f>
        <v/>
      </c>
      <c r="O30" s="225" t="str">
        <f>IFERROR(INDEX('FB 콘텐츠 data'!$A$1:$AH$25,MATCH('FB 신규발행'!$A30,'FB 콘텐츠 data'!$AR:$AR,0),MATCH(O$2,'FB 콘텐츠 data'!$A$1:$AH$1,0)),"")</f>
        <v/>
      </c>
      <c r="P30" s="225" t="str">
        <f>IFERROR(INDEX('FB 콘텐츠 data'!$A$1:$AH$25,MATCH('FB 신규발행'!$A30,'FB 콘텐츠 data'!$AR:$AR,0),MATCH(P$2,'FB 콘텐츠 data'!$A$1:$AH$1,0)),"")</f>
        <v/>
      </c>
      <c r="Q30" s="225" t="str">
        <f>IFERROR(INDEX('FB 콘텐츠 data'!$A$1:$AH$25,MATCH('FB 신규발행'!$A30,'FB 콘텐츠 data'!$AR:$AR,0),MATCH(Q$2,'FB 콘텐츠 data'!$A$1:$AH$1,0)),"")</f>
        <v/>
      </c>
      <c r="R30" s="226" t="str">
        <f t="shared" si="1"/>
        <v/>
      </c>
      <c r="T30" s="48" t="str">
        <f t="shared" si="2"/>
        <v/>
      </c>
      <c r="U30" s="48" t="str">
        <f t="shared" si="3"/>
        <v/>
      </c>
      <c r="V30" t="str">
        <f t="shared" si="4"/>
        <v/>
      </c>
      <c r="Y30" s="112"/>
    </row>
    <row r="31" spans="1:25" ht="17.45" customHeight="1">
      <c r="A31" s="123">
        <v>29</v>
      </c>
      <c r="B31" s="223" t="str">
        <f>IFERROR(INDEX('FB 콘텐츠 data'!AQ:AQ,MATCH('FB 신규발행'!A31,'FB 콘텐츠 data'!AR:AR,0)),"")</f>
        <v/>
      </c>
      <c r="C31" s="224" t="str">
        <f>IFERROR(INDEX('FB 콘텐츠 data'!$A$1:$AH$25,MATCH('FB 신규발행'!$A31,'FB 콘텐츠 data'!$AR:$AR,0),MATCH(C$2,'FB 콘텐츠 data'!$A$1:$AH$1,0)),"")</f>
        <v/>
      </c>
      <c r="D31" s="225" t="str">
        <f>IFERROR(INDEX('FB 콘텐츠 data'!$A$1:$AH$25,MATCH('FB 신규발행'!$A31,'FB 콘텐츠 data'!$AR:$AR,0),MATCH(D$2,'FB 콘텐츠 data'!$A$1:$AH$1,0)),"")</f>
        <v/>
      </c>
      <c r="E31" s="225" t="str">
        <f>IFERROR(INDEX('FB 콘텐츠 data'!$A$1:$AH$25,MATCH('FB 신규발행'!$A31,'FB 콘텐츠 data'!$AR:$AR,0),MATCH(E$2,'FB 콘텐츠 data'!$A$1:$AH$1,0)),"")</f>
        <v/>
      </c>
      <c r="F31" s="225" t="str">
        <f>IFERROR(INDEX('FB 콘텐츠 data'!$A$1:$AH$25,MATCH('FB 신규발행'!$A31,'FB 콘텐츠 data'!$AR:$AR,0),MATCH(F$2,'FB 콘텐츠 data'!$A$1:$AH$1,0)),"")</f>
        <v/>
      </c>
      <c r="G31" s="225" t="str">
        <f>IFERROR(INDEX('FB 콘텐츠 data'!$A$1:$AH$25,MATCH('FB 신규발행'!$A31,'FB 콘텐츠 data'!$AR:$AR,0),MATCH(G$2,'FB 콘텐츠 data'!$A$1:$AH$1,0)),"")</f>
        <v/>
      </c>
      <c r="H31" s="225" t="str">
        <f t="shared" si="0"/>
        <v/>
      </c>
      <c r="I31" s="225" t="str">
        <f>IFERROR(INDEX('FB 콘텐츠 data'!$A$1:$AH$25,MATCH('FB 신규발행'!$A31,'FB 콘텐츠 data'!$AR:$AR,0),MATCH(I$2,'FB 콘텐츠 data'!$A$1:$AH$1,0)),"")</f>
        <v/>
      </c>
      <c r="J31" s="225" t="str">
        <f>IFERROR(INDEX('FB 콘텐츠 data'!$A$1:$AH$25,MATCH('FB 신규발행'!$A31,'FB 콘텐츠 data'!$AR:$AR,0),MATCH(J$2,'FB 콘텐츠 data'!$A$1:$AH$1,0)),"")</f>
        <v/>
      </c>
      <c r="K31" s="224" t="str">
        <f>IFERROR(INDEX('FB 콘텐츠 data'!$A$1:$AR$25,MATCH('FB 신규발행'!$A31,'FB 콘텐츠 data'!$AR:$AR,0),MATCH(K$2,'FB 콘텐츠 data'!$A$1:$AR$1,0)),"")</f>
        <v/>
      </c>
      <c r="L31" s="225" t="str">
        <f>IFERROR(INDEX('FB 콘텐츠 data'!$A$1:$AH$25,MATCH('FB 신규발행'!$A31,'FB 콘텐츠 data'!$AR:$AR,0),MATCH(L$2,'FB 콘텐츠 data'!$A$1:$AH$1,0)),"")</f>
        <v/>
      </c>
      <c r="M31" s="225" t="str">
        <f>IFERROR(INDEX('FB 콘텐츠 data'!$A$1:$AH$25,MATCH('FB 신규발행'!$A31,'FB 콘텐츠 data'!$AR:$AR,0),MATCH(M$2,'FB 콘텐츠 data'!$A$1:$AH$1,0)),"")</f>
        <v/>
      </c>
      <c r="N31" s="225" t="str">
        <f>IFERROR(INDEX('FB 콘텐츠 data'!$A$1:$AH$25,MATCH('FB 신규발행'!$A31,'FB 콘텐츠 data'!$AR:$AR,0),MATCH(N$2,'FB 콘텐츠 data'!$A$1:$AH$1,0)),"")</f>
        <v/>
      </c>
      <c r="O31" s="225" t="str">
        <f>IFERROR(INDEX('FB 콘텐츠 data'!$A$1:$AH$25,MATCH('FB 신규발행'!$A31,'FB 콘텐츠 data'!$AR:$AR,0),MATCH(O$2,'FB 콘텐츠 data'!$A$1:$AH$1,0)),"")</f>
        <v/>
      </c>
      <c r="P31" s="225" t="str">
        <f>IFERROR(INDEX('FB 콘텐츠 data'!$A$1:$AH$25,MATCH('FB 신규발행'!$A31,'FB 콘텐츠 data'!$AR:$AR,0),MATCH(P$2,'FB 콘텐츠 data'!$A$1:$AH$1,0)),"")</f>
        <v/>
      </c>
      <c r="Q31" s="225" t="str">
        <f>IFERROR(INDEX('FB 콘텐츠 data'!$A$1:$AH$25,MATCH('FB 신규발행'!$A31,'FB 콘텐츠 data'!$AR:$AR,0),MATCH(Q$2,'FB 콘텐츠 data'!$A$1:$AH$1,0)),"")</f>
        <v/>
      </c>
      <c r="R31" s="226" t="str">
        <f t="shared" si="1"/>
        <v/>
      </c>
      <c r="T31" s="48" t="str">
        <f t="shared" si="2"/>
        <v/>
      </c>
      <c r="U31" s="48" t="str">
        <f t="shared" si="3"/>
        <v/>
      </c>
      <c r="V31" t="str">
        <f t="shared" si="4"/>
        <v/>
      </c>
      <c r="Y31" s="112"/>
    </row>
    <row r="32" spans="1:25" ht="17.45" customHeight="1">
      <c r="A32" s="123">
        <v>30</v>
      </c>
      <c r="B32" s="223" t="str">
        <f>IFERROR(INDEX('FB 콘텐츠 data'!AQ:AQ,MATCH('FB 신규발행'!A32,'FB 콘텐츠 data'!AR:AR,0)),"")</f>
        <v/>
      </c>
      <c r="C32" s="224" t="str">
        <f>IFERROR(INDEX('FB 콘텐츠 data'!$A$1:$AH$25,MATCH('FB 신규발행'!$A32,'FB 콘텐츠 data'!$AR:$AR,0),MATCH(C$2,'FB 콘텐츠 data'!$A$1:$AH$1,0)),"")</f>
        <v/>
      </c>
      <c r="D32" s="225" t="str">
        <f>IFERROR(INDEX('FB 콘텐츠 data'!$A$1:$AH$25,MATCH('FB 신규발행'!$A32,'FB 콘텐츠 data'!$AR:$AR,0),MATCH(D$2,'FB 콘텐츠 data'!$A$1:$AH$1,0)),"")</f>
        <v/>
      </c>
      <c r="E32" s="225" t="str">
        <f>IFERROR(INDEX('FB 콘텐츠 data'!$A$1:$AH$25,MATCH('FB 신규발행'!$A32,'FB 콘텐츠 data'!$AR:$AR,0),MATCH(E$2,'FB 콘텐츠 data'!$A$1:$AH$1,0)),"")</f>
        <v/>
      </c>
      <c r="F32" s="225" t="str">
        <f>IFERROR(INDEX('FB 콘텐츠 data'!$A$1:$AH$25,MATCH('FB 신규발행'!$A32,'FB 콘텐츠 data'!$AR:$AR,0),MATCH(F$2,'FB 콘텐츠 data'!$A$1:$AH$1,0)),"")</f>
        <v/>
      </c>
      <c r="G32" s="225" t="str">
        <f>IFERROR(INDEX('FB 콘텐츠 data'!$A$1:$AH$25,MATCH('FB 신규발행'!$A32,'FB 콘텐츠 data'!$AR:$AR,0),MATCH(G$2,'FB 콘텐츠 data'!$A$1:$AH$1,0)),"")</f>
        <v/>
      </c>
      <c r="H32" s="225" t="str">
        <f t="shared" si="0"/>
        <v/>
      </c>
      <c r="I32" s="225" t="str">
        <f>IFERROR(INDEX('FB 콘텐츠 data'!$A$1:$AH$25,MATCH('FB 신규발행'!$A32,'FB 콘텐츠 data'!$AR:$AR,0),MATCH(I$2,'FB 콘텐츠 data'!$A$1:$AH$1,0)),"")</f>
        <v/>
      </c>
      <c r="J32" s="225" t="str">
        <f>IFERROR(INDEX('FB 콘텐츠 data'!$A$1:$AH$25,MATCH('FB 신규발행'!$A32,'FB 콘텐츠 data'!$AR:$AR,0),MATCH(J$2,'FB 콘텐츠 data'!$A$1:$AH$1,0)),"")</f>
        <v/>
      </c>
      <c r="K32" s="224" t="str">
        <f>IFERROR(INDEX('FB 콘텐츠 data'!$A$1:$AR$25,MATCH('FB 신규발행'!$A32,'FB 콘텐츠 data'!$AR:$AR,0),MATCH(K$2,'FB 콘텐츠 data'!$A$1:$AR$1,0)),"")</f>
        <v/>
      </c>
      <c r="L32" s="225" t="str">
        <f>IFERROR(INDEX('FB 콘텐츠 data'!$A$1:$AH$25,MATCH('FB 신규발행'!$A32,'FB 콘텐츠 data'!$AR:$AR,0),MATCH(L$2,'FB 콘텐츠 data'!$A$1:$AH$1,0)),"")</f>
        <v/>
      </c>
      <c r="M32" s="225" t="str">
        <f>IFERROR(INDEX('FB 콘텐츠 data'!$A$1:$AH$25,MATCH('FB 신규발행'!$A32,'FB 콘텐츠 data'!$AR:$AR,0),MATCH(M$2,'FB 콘텐츠 data'!$A$1:$AH$1,0)),"")</f>
        <v/>
      </c>
      <c r="N32" s="225" t="str">
        <f>IFERROR(INDEX('FB 콘텐츠 data'!$A$1:$AH$25,MATCH('FB 신규발행'!$A32,'FB 콘텐츠 data'!$AR:$AR,0),MATCH(N$2,'FB 콘텐츠 data'!$A$1:$AH$1,0)),"")</f>
        <v/>
      </c>
      <c r="O32" s="225" t="str">
        <f>IFERROR(INDEX('FB 콘텐츠 data'!$A$1:$AH$25,MATCH('FB 신규발행'!$A32,'FB 콘텐츠 data'!$AR:$AR,0),MATCH(O$2,'FB 콘텐츠 data'!$A$1:$AH$1,0)),"")</f>
        <v/>
      </c>
      <c r="P32" s="225" t="str">
        <f>IFERROR(INDEX('FB 콘텐츠 data'!$A$1:$AH$25,MATCH('FB 신규발행'!$A32,'FB 콘텐츠 data'!$AR:$AR,0),MATCH(P$2,'FB 콘텐츠 data'!$A$1:$AH$1,0)),"")</f>
        <v/>
      </c>
      <c r="Q32" s="225" t="str">
        <f>IFERROR(INDEX('FB 콘텐츠 data'!$A$1:$AH$25,MATCH('FB 신규발행'!$A32,'FB 콘텐츠 data'!$AR:$AR,0),MATCH(Q$2,'FB 콘텐츠 data'!$A$1:$AH$1,0)),"")</f>
        <v/>
      </c>
      <c r="R32" s="226" t="str">
        <f t="shared" si="1"/>
        <v/>
      </c>
      <c r="T32" s="48" t="str">
        <f t="shared" si="2"/>
        <v/>
      </c>
      <c r="U32" s="48" t="str">
        <f t="shared" si="3"/>
        <v/>
      </c>
      <c r="V32" t="str">
        <f t="shared" si="4"/>
        <v/>
      </c>
      <c r="Y32" s="112"/>
    </row>
    <row r="33" spans="1:25" ht="17.45" customHeight="1">
      <c r="A33" s="123">
        <v>31</v>
      </c>
      <c r="B33" s="223" t="str">
        <f>IFERROR(INDEX('FB 콘텐츠 data'!AQ:AQ,MATCH('FB 신규발행'!A33,'FB 콘텐츠 data'!AR:AR,0)),"")</f>
        <v/>
      </c>
      <c r="C33" s="224" t="str">
        <f>IFERROR(INDEX('FB 콘텐츠 data'!$A$1:$AH$25,MATCH('FB 신규발행'!$A33,'FB 콘텐츠 data'!$AR:$AR,0),MATCH(C$2,'FB 콘텐츠 data'!$A$1:$AH$1,0)),"")</f>
        <v/>
      </c>
      <c r="D33" s="225" t="str">
        <f>IFERROR(INDEX('FB 콘텐츠 data'!$A$1:$AH$25,MATCH('FB 신규발행'!$A33,'FB 콘텐츠 data'!$AR:$AR,0),MATCH(D$2,'FB 콘텐츠 data'!$A$1:$AH$1,0)),"")</f>
        <v/>
      </c>
      <c r="E33" s="225" t="str">
        <f>IFERROR(INDEX('FB 콘텐츠 data'!$A$1:$AH$25,MATCH('FB 신규발행'!$A33,'FB 콘텐츠 data'!$AR:$AR,0),MATCH(E$2,'FB 콘텐츠 data'!$A$1:$AH$1,0)),"")</f>
        <v/>
      </c>
      <c r="F33" s="225" t="str">
        <f>IFERROR(INDEX('FB 콘텐츠 data'!$A$1:$AH$25,MATCH('FB 신규발행'!$A33,'FB 콘텐츠 data'!$AR:$AR,0),MATCH(F$2,'FB 콘텐츠 data'!$A$1:$AH$1,0)),"")</f>
        <v/>
      </c>
      <c r="G33" s="225" t="str">
        <f>IFERROR(INDEX('FB 콘텐츠 data'!$A$1:$AH$25,MATCH('FB 신규발행'!$A33,'FB 콘텐츠 data'!$AR:$AR,0),MATCH(G$2,'FB 콘텐츠 data'!$A$1:$AH$1,0)),"")</f>
        <v/>
      </c>
      <c r="H33" s="225" t="str">
        <f t="shared" si="0"/>
        <v/>
      </c>
      <c r="I33" s="225" t="str">
        <f>IFERROR(INDEX('FB 콘텐츠 data'!$A$1:$AH$25,MATCH('FB 신규발행'!$A33,'FB 콘텐츠 data'!$AR:$AR,0),MATCH(I$2,'FB 콘텐츠 data'!$A$1:$AH$1,0)),"")</f>
        <v/>
      </c>
      <c r="J33" s="225" t="str">
        <f>IFERROR(INDEX('FB 콘텐츠 data'!$A$1:$AH$25,MATCH('FB 신규발행'!$A33,'FB 콘텐츠 data'!$AR:$AR,0),MATCH(J$2,'FB 콘텐츠 data'!$A$1:$AH$1,0)),"")</f>
        <v/>
      </c>
      <c r="K33" s="224" t="str">
        <f>IFERROR(INDEX('FB 콘텐츠 data'!$A$1:$AR$25,MATCH('FB 신규발행'!$A33,'FB 콘텐츠 data'!$AR:$AR,0),MATCH(K$2,'FB 콘텐츠 data'!$A$1:$AR$1,0)),"")</f>
        <v/>
      </c>
      <c r="L33" s="225" t="str">
        <f>IFERROR(INDEX('FB 콘텐츠 data'!$A$1:$AH$25,MATCH('FB 신규발행'!$A33,'FB 콘텐츠 data'!$AR:$AR,0),MATCH(L$2,'FB 콘텐츠 data'!$A$1:$AH$1,0)),"")</f>
        <v/>
      </c>
      <c r="M33" s="225" t="str">
        <f>IFERROR(INDEX('FB 콘텐츠 data'!$A$1:$AH$25,MATCH('FB 신규발행'!$A33,'FB 콘텐츠 data'!$AR:$AR,0),MATCH(M$2,'FB 콘텐츠 data'!$A$1:$AH$1,0)),"")</f>
        <v/>
      </c>
      <c r="N33" s="225" t="str">
        <f>IFERROR(INDEX('FB 콘텐츠 data'!$A$1:$AH$25,MATCH('FB 신규발행'!$A33,'FB 콘텐츠 data'!$AR:$AR,0),MATCH(N$2,'FB 콘텐츠 data'!$A$1:$AH$1,0)),"")</f>
        <v/>
      </c>
      <c r="O33" s="225" t="str">
        <f>IFERROR(INDEX('FB 콘텐츠 data'!$A$1:$AH$25,MATCH('FB 신규발행'!$A33,'FB 콘텐츠 data'!$AR:$AR,0),MATCH(O$2,'FB 콘텐츠 data'!$A$1:$AH$1,0)),"")</f>
        <v/>
      </c>
      <c r="P33" s="225" t="str">
        <f>IFERROR(INDEX('FB 콘텐츠 data'!$A$1:$AH$25,MATCH('FB 신규발행'!$A33,'FB 콘텐츠 data'!$AR:$AR,0),MATCH(P$2,'FB 콘텐츠 data'!$A$1:$AH$1,0)),"")</f>
        <v/>
      </c>
      <c r="Q33" s="225" t="str">
        <f>IFERROR(INDEX('FB 콘텐츠 data'!$A$1:$AH$25,MATCH('FB 신규발행'!$A33,'FB 콘텐츠 data'!$AR:$AR,0),MATCH(Q$2,'FB 콘텐츠 data'!$A$1:$AH$1,0)),"")</f>
        <v/>
      </c>
      <c r="R33" s="226" t="str">
        <f t="shared" si="1"/>
        <v/>
      </c>
      <c r="T33" s="48" t="str">
        <f t="shared" si="2"/>
        <v/>
      </c>
      <c r="U33" s="48" t="str">
        <f t="shared" si="3"/>
        <v/>
      </c>
      <c r="V33" t="str">
        <f t="shared" si="4"/>
        <v/>
      </c>
      <c r="Y33" s="112"/>
    </row>
    <row r="34" spans="1:25" ht="17.45" customHeight="1">
      <c r="A34" s="123">
        <v>32</v>
      </c>
      <c r="B34" s="223" t="str">
        <f>IFERROR(INDEX('FB 콘텐츠 data'!AQ:AQ,MATCH('FB 신규발행'!A34,'FB 콘텐츠 data'!AR:AR,0)),"")</f>
        <v/>
      </c>
      <c r="C34" s="224" t="str">
        <f>IFERROR(INDEX('FB 콘텐츠 data'!$A$1:$AH$25,MATCH('FB 신규발행'!$A34,'FB 콘텐츠 data'!$AR:$AR,0),MATCH(C$2,'FB 콘텐츠 data'!$A$1:$AH$1,0)),"")</f>
        <v/>
      </c>
      <c r="D34" s="225" t="str">
        <f>IFERROR(INDEX('FB 콘텐츠 data'!$A$1:$AH$25,MATCH('FB 신규발행'!$A34,'FB 콘텐츠 data'!$AR:$AR,0),MATCH(D$2,'FB 콘텐츠 data'!$A$1:$AH$1,0)),"")</f>
        <v/>
      </c>
      <c r="E34" s="225" t="str">
        <f>IFERROR(INDEX('FB 콘텐츠 data'!$A$1:$AH$25,MATCH('FB 신규발행'!$A34,'FB 콘텐츠 data'!$AR:$AR,0),MATCH(E$2,'FB 콘텐츠 data'!$A$1:$AH$1,0)),"")</f>
        <v/>
      </c>
      <c r="F34" s="225" t="str">
        <f>IFERROR(INDEX('FB 콘텐츠 data'!$A$1:$AH$25,MATCH('FB 신규발행'!$A34,'FB 콘텐츠 data'!$AR:$AR,0),MATCH(F$2,'FB 콘텐츠 data'!$A$1:$AH$1,0)),"")</f>
        <v/>
      </c>
      <c r="G34" s="225" t="str">
        <f>IFERROR(INDEX('FB 콘텐츠 data'!$A$1:$AH$25,MATCH('FB 신규발행'!$A34,'FB 콘텐츠 data'!$AR:$AR,0),MATCH(G$2,'FB 콘텐츠 data'!$A$1:$AH$1,0)),"")</f>
        <v/>
      </c>
      <c r="H34" s="225" t="str">
        <f t="shared" si="0"/>
        <v/>
      </c>
      <c r="I34" s="225" t="str">
        <f>IFERROR(INDEX('FB 콘텐츠 data'!$A$1:$AH$25,MATCH('FB 신규발행'!$A34,'FB 콘텐츠 data'!$AR:$AR,0),MATCH(I$2,'FB 콘텐츠 data'!$A$1:$AH$1,0)),"")</f>
        <v/>
      </c>
      <c r="J34" s="225" t="str">
        <f>IFERROR(INDEX('FB 콘텐츠 data'!$A$1:$AH$25,MATCH('FB 신규발행'!$A34,'FB 콘텐츠 data'!$AR:$AR,0),MATCH(J$2,'FB 콘텐츠 data'!$A$1:$AH$1,0)),"")</f>
        <v/>
      </c>
      <c r="K34" s="224" t="str">
        <f>IFERROR(INDEX('FB 콘텐츠 data'!$A$1:$AR$25,MATCH('FB 신규발행'!$A34,'FB 콘텐츠 data'!$AR:$AR,0),MATCH(K$2,'FB 콘텐츠 data'!$A$1:$AR$1,0)),"")</f>
        <v/>
      </c>
      <c r="L34" s="225" t="str">
        <f>IFERROR(INDEX('FB 콘텐츠 data'!$A$1:$AH$25,MATCH('FB 신규발행'!$A34,'FB 콘텐츠 data'!$AR:$AR,0),MATCH(L$2,'FB 콘텐츠 data'!$A$1:$AH$1,0)),"")</f>
        <v/>
      </c>
      <c r="M34" s="225" t="str">
        <f>IFERROR(INDEX('FB 콘텐츠 data'!$A$1:$AH$25,MATCH('FB 신규발행'!$A34,'FB 콘텐츠 data'!$AR:$AR,0),MATCH(M$2,'FB 콘텐츠 data'!$A$1:$AH$1,0)),"")</f>
        <v/>
      </c>
      <c r="N34" s="225" t="str">
        <f>IFERROR(INDEX('FB 콘텐츠 data'!$A$1:$AH$25,MATCH('FB 신규발행'!$A34,'FB 콘텐츠 data'!$AR:$AR,0),MATCH(N$2,'FB 콘텐츠 data'!$A$1:$AH$1,0)),"")</f>
        <v/>
      </c>
      <c r="O34" s="225" t="str">
        <f>IFERROR(INDEX('FB 콘텐츠 data'!$A$1:$AH$25,MATCH('FB 신규발행'!$A34,'FB 콘텐츠 data'!$AR:$AR,0),MATCH(O$2,'FB 콘텐츠 data'!$A$1:$AH$1,0)),"")</f>
        <v/>
      </c>
      <c r="P34" s="225" t="str">
        <f>IFERROR(INDEX('FB 콘텐츠 data'!$A$1:$AH$25,MATCH('FB 신규발행'!$A34,'FB 콘텐츠 data'!$AR:$AR,0),MATCH(P$2,'FB 콘텐츠 data'!$A$1:$AH$1,0)),"")</f>
        <v/>
      </c>
      <c r="Q34" s="225" t="str">
        <f>IFERROR(INDEX('FB 콘텐츠 data'!$A$1:$AH$25,MATCH('FB 신규발행'!$A34,'FB 콘텐츠 data'!$AR:$AR,0),MATCH(Q$2,'FB 콘텐츠 data'!$A$1:$AH$1,0)),"")</f>
        <v/>
      </c>
      <c r="R34" s="226" t="str">
        <f t="shared" si="1"/>
        <v/>
      </c>
      <c r="T34" s="48" t="str">
        <f t="shared" si="2"/>
        <v/>
      </c>
      <c r="U34" s="48" t="str">
        <f t="shared" si="3"/>
        <v/>
      </c>
      <c r="Y34" s="112"/>
    </row>
    <row r="35" spans="1:25" ht="17.45" customHeight="1">
      <c r="A35" s="123">
        <v>33</v>
      </c>
      <c r="B35" s="223" t="str">
        <f>IFERROR(INDEX('FB 콘텐츠 data'!AQ:AQ,MATCH('FB 신규발행'!A35,'FB 콘텐츠 data'!AR:AR,0)),"")</f>
        <v/>
      </c>
      <c r="C35" s="224" t="str">
        <f>IFERROR(INDEX('FB 콘텐츠 data'!$A$1:$AH$25,MATCH('FB 신규발행'!$A35,'FB 콘텐츠 data'!$AR:$AR,0),MATCH(C$2,'FB 콘텐츠 data'!$A$1:$AH$1,0)),"")</f>
        <v/>
      </c>
      <c r="D35" s="225" t="str">
        <f>IFERROR(INDEX('FB 콘텐츠 data'!$A$1:$AH$25,MATCH('FB 신규발행'!$A35,'FB 콘텐츠 data'!$AR:$AR,0),MATCH(D$2,'FB 콘텐츠 data'!$A$1:$AH$1,0)),"")</f>
        <v/>
      </c>
      <c r="E35" s="225" t="str">
        <f>IFERROR(INDEX('FB 콘텐츠 data'!$A$1:$AH$25,MATCH('FB 신규발행'!$A35,'FB 콘텐츠 data'!$AR:$AR,0),MATCH(E$2,'FB 콘텐츠 data'!$A$1:$AH$1,0)),"")</f>
        <v/>
      </c>
      <c r="F35" s="225" t="str">
        <f>IFERROR(INDEX('FB 콘텐츠 data'!$A$1:$AH$25,MATCH('FB 신규발행'!$A35,'FB 콘텐츠 data'!$AR:$AR,0),MATCH(F$2,'FB 콘텐츠 data'!$A$1:$AH$1,0)),"")</f>
        <v/>
      </c>
      <c r="G35" s="225" t="str">
        <f>IFERROR(INDEX('FB 콘텐츠 data'!$A$1:$AH$25,MATCH('FB 신규발행'!$A35,'FB 콘텐츠 data'!$AR:$AR,0),MATCH(G$2,'FB 콘텐츠 data'!$A$1:$AH$1,0)),"")</f>
        <v/>
      </c>
      <c r="H35" s="225" t="str">
        <f t="shared" ref="H35:H66" si="5">IF(B35="","",I35+J35+O35+Q35)</f>
        <v/>
      </c>
      <c r="I35" s="225" t="str">
        <f>IFERROR(INDEX('FB 콘텐츠 data'!$A$1:$AH$25,MATCH('FB 신규발행'!$A35,'FB 콘텐츠 data'!$AR:$AR,0),MATCH(I$2,'FB 콘텐츠 data'!$A$1:$AH$1,0)),"")</f>
        <v/>
      </c>
      <c r="J35" s="225" t="str">
        <f>IFERROR(INDEX('FB 콘텐츠 data'!$A$1:$AH$25,MATCH('FB 신규발행'!$A35,'FB 콘텐츠 data'!$AR:$AR,0),MATCH(J$2,'FB 콘텐츠 data'!$A$1:$AH$1,0)),"")</f>
        <v/>
      </c>
      <c r="K35" s="224" t="str">
        <f>IFERROR(INDEX('FB 콘텐츠 data'!$A$1:$AR$25,MATCH('FB 신규발행'!$A35,'FB 콘텐츠 data'!$AR:$AR,0),MATCH(K$2,'FB 콘텐츠 data'!$A$1:$AR$1,0)),"")</f>
        <v/>
      </c>
      <c r="L35" s="225" t="str">
        <f>IFERROR(INDEX('FB 콘텐츠 data'!$A$1:$AH$25,MATCH('FB 신규발행'!$A35,'FB 콘텐츠 data'!$AR:$AR,0),MATCH(L$2,'FB 콘텐츠 data'!$A$1:$AH$1,0)),"")</f>
        <v/>
      </c>
      <c r="M35" s="225" t="str">
        <f>IFERROR(INDEX('FB 콘텐츠 data'!$A$1:$AH$25,MATCH('FB 신규발행'!$A35,'FB 콘텐츠 data'!$AR:$AR,0),MATCH(M$2,'FB 콘텐츠 data'!$A$1:$AH$1,0)),"")</f>
        <v/>
      </c>
      <c r="N35" s="225" t="str">
        <f>IFERROR(INDEX('FB 콘텐츠 data'!$A$1:$AH$25,MATCH('FB 신규발행'!$A35,'FB 콘텐츠 data'!$AR:$AR,0),MATCH(N$2,'FB 콘텐츠 data'!$A$1:$AH$1,0)),"")</f>
        <v/>
      </c>
      <c r="O35" s="225" t="str">
        <f>IFERROR(INDEX('FB 콘텐츠 data'!$A$1:$AH$25,MATCH('FB 신규발행'!$A35,'FB 콘텐츠 data'!$AR:$AR,0),MATCH(O$2,'FB 콘텐츠 data'!$A$1:$AH$1,0)),"")</f>
        <v/>
      </c>
      <c r="P35" s="225" t="str">
        <f>IFERROR(INDEX('FB 콘텐츠 data'!$A$1:$AH$25,MATCH('FB 신규발행'!$A35,'FB 콘텐츠 data'!$AR:$AR,0),MATCH(P$2,'FB 콘텐츠 data'!$A$1:$AH$1,0)),"")</f>
        <v/>
      </c>
      <c r="Q35" s="225" t="str">
        <f>IFERROR(INDEX('FB 콘텐츠 data'!$A$1:$AH$25,MATCH('FB 신규발행'!$A35,'FB 콘텐츠 data'!$AR:$AR,0),MATCH(Q$2,'FB 콘텐츠 data'!$A$1:$AH$1,0)),"")</f>
        <v/>
      </c>
      <c r="R35" s="226" t="str">
        <f t="shared" ref="R35:R66" si="6">IFERROR(H35/F35,"")</f>
        <v/>
      </c>
      <c r="T35" s="48" t="str">
        <f t="shared" ref="T35:T66" si="7">IFERROR(RANK(R35,$R$3:$R$82,0),"")</f>
        <v/>
      </c>
      <c r="U35" s="48" t="str">
        <f t="shared" ref="U35:U66" si="8">IFERROR(RANK(E35,$E$3:$E$82,0),"")</f>
        <v/>
      </c>
      <c r="Y35" s="112"/>
    </row>
    <row r="36" spans="1:25" ht="17.45" customHeight="1">
      <c r="A36" s="123">
        <v>34</v>
      </c>
      <c r="B36" s="223" t="str">
        <f>IFERROR(INDEX('FB 콘텐츠 data'!AQ:AQ,MATCH('FB 신규발행'!A36,'FB 콘텐츠 data'!AR:AR,0)),"")</f>
        <v/>
      </c>
      <c r="C36" s="224" t="str">
        <f>IFERROR(INDEX('FB 콘텐츠 data'!$A$1:$AH$25,MATCH('FB 신규발행'!$A36,'FB 콘텐츠 data'!$AR:$AR,0),MATCH(C$2,'FB 콘텐츠 data'!$A$1:$AH$1,0)),"")</f>
        <v/>
      </c>
      <c r="D36" s="225" t="str">
        <f>IFERROR(INDEX('FB 콘텐츠 data'!$A$1:$AH$25,MATCH('FB 신규발행'!$A36,'FB 콘텐츠 data'!$AR:$AR,0),MATCH(D$2,'FB 콘텐츠 data'!$A$1:$AH$1,0)),"")</f>
        <v/>
      </c>
      <c r="E36" s="225" t="str">
        <f>IFERROR(INDEX('FB 콘텐츠 data'!$A$1:$AH$25,MATCH('FB 신규발행'!$A36,'FB 콘텐츠 data'!$AR:$AR,0),MATCH(E$2,'FB 콘텐츠 data'!$A$1:$AH$1,0)),"")</f>
        <v/>
      </c>
      <c r="F36" s="225" t="str">
        <f>IFERROR(INDEX('FB 콘텐츠 data'!$A$1:$AH$25,MATCH('FB 신규발행'!$A36,'FB 콘텐츠 data'!$AR:$AR,0),MATCH(F$2,'FB 콘텐츠 data'!$A$1:$AH$1,0)),"")</f>
        <v/>
      </c>
      <c r="G36" s="225" t="str">
        <f>IFERROR(INDEX('FB 콘텐츠 data'!$A$1:$AH$25,MATCH('FB 신규발행'!$A36,'FB 콘텐츠 data'!$AR:$AR,0),MATCH(G$2,'FB 콘텐츠 data'!$A$1:$AH$1,0)),"")</f>
        <v/>
      </c>
      <c r="H36" s="225" t="str">
        <f t="shared" si="5"/>
        <v/>
      </c>
      <c r="I36" s="225" t="str">
        <f>IFERROR(INDEX('FB 콘텐츠 data'!$A$1:$AH$25,MATCH('FB 신규발행'!$A36,'FB 콘텐츠 data'!$AR:$AR,0),MATCH(I$2,'FB 콘텐츠 data'!$A$1:$AH$1,0)),"")</f>
        <v/>
      </c>
      <c r="J36" s="225" t="str">
        <f>IFERROR(INDEX('FB 콘텐츠 data'!$A$1:$AH$25,MATCH('FB 신규발행'!$A36,'FB 콘텐츠 data'!$AR:$AR,0),MATCH(J$2,'FB 콘텐츠 data'!$A$1:$AH$1,0)),"")</f>
        <v/>
      </c>
      <c r="K36" s="224" t="str">
        <f>IFERROR(INDEX('FB 콘텐츠 data'!$A$1:$AR$25,MATCH('FB 신규발행'!$A36,'FB 콘텐츠 data'!$AR:$AR,0),MATCH(K$2,'FB 콘텐츠 data'!$A$1:$AR$1,0)),"")</f>
        <v/>
      </c>
      <c r="L36" s="225" t="str">
        <f>IFERROR(INDEX('FB 콘텐츠 data'!$A$1:$AH$25,MATCH('FB 신규발행'!$A36,'FB 콘텐츠 data'!$AR:$AR,0),MATCH(L$2,'FB 콘텐츠 data'!$A$1:$AH$1,0)),"")</f>
        <v/>
      </c>
      <c r="M36" s="225" t="str">
        <f>IFERROR(INDEX('FB 콘텐츠 data'!$A$1:$AH$25,MATCH('FB 신규발행'!$A36,'FB 콘텐츠 data'!$AR:$AR,0),MATCH(M$2,'FB 콘텐츠 data'!$A$1:$AH$1,0)),"")</f>
        <v/>
      </c>
      <c r="N36" s="225" t="str">
        <f>IFERROR(INDEX('FB 콘텐츠 data'!$A$1:$AH$25,MATCH('FB 신규발행'!$A36,'FB 콘텐츠 data'!$AR:$AR,0),MATCH(N$2,'FB 콘텐츠 data'!$A$1:$AH$1,0)),"")</f>
        <v/>
      </c>
      <c r="O36" s="225" t="str">
        <f>IFERROR(INDEX('FB 콘텐츠 data'!$A$1:$AH$25,MATCH('FB 신규발행'!$A36,'FB 콘텐츠 data'!$AR:$AR,0),MATCH(O$2,'FB 콘텐츠 data'!$A$1:$AH$1,0)),"")</f>
        <v/>
      </c>
      <c r="P36" s="225" t="str">
        <f>IFERROR(INDEX('FB 콘텐츠 data'!$A$1:$AH$25,MATCH('FB 신규발행'!$A36,'FB 콘텐츠 data'!$AR:$AR,0),MATCH(P$2,'FB 콘텐츠 data'!$A$1:$AH$1,0)),"")</f>
        <v/>
      </c>
      <c r="Q36" s="225" t="str">
        <f>IFERROR(INDEX('FB 콘텐츠 data'!$A$1:$AH$25,MATCH('FB 신규발행'!$A36,'FB 콘텐츠 data'!$AR:$AR,0),MATCH(Q$2,'FB 콘텐츠 data'!$A$1:$AH$1,0)),"")</f>
        <v/>
      </c>
      <c r="R36" s="226" t="str">
        <f t="shared" si="6"/>
        <v/>
      </c>
      <c r="T36" s="48" t="str">
        <f t="shared" si="7"/>
        <v/>
      </c>
      <c r="U36" s="48" t="str">
        <f t="shared" si="8"/>
        <v/>
      </c>
      <c r="Y36" s="112"/>
    </row>
    <row r="37" spans="1:25" ht="17.45" customHeight="1">
      <c r="A37" s="123">
        <v>35</v>
      </c>
      <c r="B37" s="223" t="str">
        <f>IFERROR(INDEX('FB 콘텐츠 data'!AQ:AQ,MATCH('FB 신규발행'!A37,'FB 콘텐츠 data'!AR:AR,0)),"")</f>
        <v/>
      </c>
      <c r="C37" s="224" t="str">
        <f>IFERROR(INDEX('FB 콘텐츠 data'!$A$1:$AH$25,MATCH('FB 신규발행'!$A37,'FB 콘텐츠 data'!$AR:$AR,0),MATCH(C$2,'FB 콘텐츠 data'!$A$1:$AH$1,0)),"")</f>
        <v/>
      </c>
      <c r="D37" s="225" t="str">
        <f>IFERROR(INDEX('FB 콘텐츠 data'!$A$1:$AH$25,MATCH('FB 신규발행'!$A37,'FB 콘텐츠 data'!$AR:$AR,0),MATCH(D$2,'FB 콘텐츠 data'!$A$1:$AH$1,0)),"")</f>
        <v/>
      </c>
      <c r="E37" s="225" t="str">
        <f>IFERROR(INDEX('FB 콘텐츠 data'!$A$1:$AH$25,MATCH('FB 신규발행'!$A37,'FB 콘텐츠 data'!$AR:$AR,0),MATCH(E$2,'FB 콘텐츠 data'!$A$1:$AH$1,0)),"")</f>
        <v/>
      </c>
      <c r="F37" s="225" t="str">
        <f>IFERROR(INDEX('FB 콘텐츠 data'!$A$1:$AH$25,MATCH('FB 신규발행'!$A37,'FB 콘텐츠 data'!$AR:$AR,0),MATCH(F$2,'FB 콘텐츠 data'!$A$1:$AH$1,0)),"")</f>
        <v/>
      </c>
      <c r="G37" s="225" t="str">
        <f>IFERROR(INDEX('FB 콘텐츠 data'!$A$1:$AH$25,MATCH('FB 신규발행'!$A37,'FB 콘텐츠 data'!$AR:$AR,0),MATCH(G$2,'FB 콘텐츠 data'!$A$1:$AH$1,0)),"")</f>
        <v/>
      </c>
      <c r="H37" s="225" t="str">
        <f t="shared" si="5"/>
        <v/>
      </c>
      <c r="I37" s="225" t="str">
        <f>IFERROR(INDEX('FB 콘텐츠 data'!$A$1:$AH$25,MATCH('FB 신규발행'!$A37,'FB 콘텐츠 data'!$AR:$AR,0),MATCH(I$2,'FB 콘텐츠 data'!$A$1:$AH$1,0)),"")</f>
        <v/>
      </c>
      <c r="J37" s="225" t="str">
        <f>IFERROR(INDEX('FB 콘텐츠 data'!$A$1:$AH$25,MATCH('FB 신규발행'!$A37,'FB 콘텐츠 data'!$AR:$AR,0),MATCH(J$2,'FB 콘텐츠 data'!$A$1:$AH$1,0)),"")</f>
        <v/>
      </c>
      <c r="K37" s="224" t="str">
        <f>IFERROR(INDEX('FB 콘텐츠 data'!$A$1:$AR$25,MATCH('FB 신규발행'!$A37,'FB 콘텐츠 data'!$AR:$AR,0),MATCH(K$2,'FB 콘텐츠 data'!$A$1:$AR$1,0)),"")</f>
        <v/>
      </c>
      <c r="L37" s="225" t="str">
        <f>IFERROR(INDEX('FB 콘텐츠 data'!$A$1:$AH$25,MATCH('FB 신규발행'!$A37,'FB 콘텐츠 data'!$AR:$AR,0),MATCH(L$2,'FB 콘텐츠 data'!$A$1:$AH$1,0)),"")</f>
        <v/>
      </c>
      <c r="M37" s="225" t="str">
        <f>IFERROR(INDEX('FB 콘텐츠 data'!$A$1:$AH$25,MATCH('FB 신규발행'!$A37,'FB 콘텐츠 data'!$AR:$AR,0),MATCH(M$2,'FB 콘텐츠 data'!$A$1:$AH$1,0)),"")</f>
        <v/>
      </c>
      <c r="N37" s="225" t="str">
        <f>IFERROR(INDEX('FB 콘텐츠 data'!$A$1:$AH$25,MATCH('FB 신규발행'!$A37,'FB 콘텐츠 data'!$AR:$AR,0),MATCH(N$2,'FB 콘텐츠 data'!$A$1:$AH$1,0)),"")</f>
        <v/>
      </c>
      <c r="O37" s="225" t="str">
        <f>IFERROR(INDEX('FB 콘텐츠 data'!$A$1:$AH$25,MATCH('FB 신규발행'!$A37,'FB 콘텐츠 data'!$AR:$AR,0),MATCH(O$2,'FB 콘텐츠 data'!$A$1:$AH$1,0)),"")</f>
        <v/>
      </c>
      <c r="P37" s="225" t="str">
        <f>IFERROR(INDEX('FB 콘텐츠 data'!$A$1:$AH$25,MATCH('FB 신규발행'!$A37,'FB 콘텐츠 data'!$AR:$AR,0),MATCH(P$2,'FB 콘텐츠 data'!$A$1:$AH$1,0)),"")</f>
        <v/>
      </c>
      <c r="Q37" s="225" t="str">
        <f>IFERROR(INDEX('FB 콘텐츠 data'!$A$1:$AH$25,MATCH('FB 신규발행'!$A37,'FB 콘텐츠 data'!$AR:$AR,0),MATCH(Q$2,'FB 콘텐츠 data'!$A$1:$AH$1,0)),"")</f>
        <v/>
      </c>
      <c r="R37" s="226" t="str">
        <f t="shared" si="6"/>
        <v/>
      </c>
      <c r="T37" s="48" t="str">
        <f t="shared" si="7"/>
        <v/>
      </c>
      <c r="U37" s="48" t="str">
        <f t="shared" si="8"/>
        <v/>
      </c>
      <c r="Y37" s="112"/>
    </row>
    <row r="38" spans="1:25" ht="17.45" customHeight="1">
      <c r="A38" s="123">
        <v>36</v>
      </c>
      <c r="B38" s="223" t="str">
        <f>IFERROR(INDEX('FB 콘텐츠 data'!AQ:AQ,MATCH('FB 신규발행'!A38,'FB 콘텐츠 data'!AR:AR,0)),"")</f>
        <v/>
      </c>
      <c r="C38" s="224" t="str">
        <f>IFERROR(INDEX('FB 콘텐츠 data'!$A$1:$AH$25,MATCH('FB 신규발행'!$A38,'FB 콘텐츠 data'!$AR:$AR,0),MATCH(C$2,'FB 콘텐츠 data'!$A$1:$AH$1,0)),"")</f>
        <v/>
      </c>
      <c r="D38" s="225" t="str">
        <f>IFERROR(INDEX('FB 콘텐츠 data'!$A$1:$AH$25,MATCH('FB 신규발행'!$A38,'FB 콘텐츠 data'!$AR:$AR,0),MATCH(D$2,'FB 콘텐츠 data'!$A$1:$AH$1,0)),"")</f>
        <v/>
      </c>
      <c r="E38" s="225" t="str">
        <f>IFERROR(INDEX('FB 콘텐츠 data'!$A$1:$AH$25,MATCH('FB 신규발행'!$A38,'FB 콘텐츠 data'!$AR:$AR,0),MATCH(E$2,'FB 콘텐츠 data'!$A$1:$AH$1,0)),"")</f>
        <v/>
      </c>
      <c r="F38" s="225" t="str">
        <f>IFERROR(INDEX('FB 콘텐츠 data'!$A$1:$AH$25,MATCH('FB 신규발행'!$A38,'FB 콘텐츠 data'!$AR:$AR,0),MATCH(F$2,'FB 콘텐츠 data'!$A$1:$AH$1,0)),"")</f>
        <v/>
      </c>
      <c r="G38" s="225" t="str">
        <f>IFERROR(INDEX('FB 콘텐츠 data'!$A$1:$AH$25,MATCH('FB 신규발행'!$A38,'FB 콘텐츠 data'!$AR:$AR,0),MATCH(G$2,'FB 콘텐츠 data'!$A$1:$AH$1,0)),"")</f>
        <v/>
      </c>
      <c r="H38" s="225" t="str">
        <f t="shared" si="5"/>
        <v/>
      </c>
      <c r="I38" s="225" t="str">
        <f>IFERROR(INDEX('FB 콘텐츠 data'!$A$1:$AH$25,MATCH('FB 신규발행'!$A38,'FB 콘텐츠 data'!$AR:$AR,0),MATCH(I$2,'FB 콘텐츠 data'!$A$1:$AH$1,0)),"")</f>
        <v/>
      </c>
      <c r="J38" s="225" t="str">
        <f>IFERROR(INDEX('FB 콘텐츠 data'!$A$1:$AH$25,MATCH('FB 신규발행'!$A38,'FB 콘텐츠 data'!$AR:$AR,0),MATCH(J$2,'FB 콘텐츠 data'!$A$1:$AH$1,0)),"")</f>
        <v/>
      </c>
      <c r="K38" s="224" t="str">
        <f>IFERROR(INDEX('FB 콘텐츠 data'!$A$1:$AR$25,MATCH('FB 신규발행'!$A38,'FB 콘텐츠 data'!$AR:$AR,0),MATCH(K$2,'FB 콘텐츠 data'!$A$1:$AR$1,0)),"")</f>
        <v/>
      </c>
      <c r="L38" s="225" t="str">
        <f>IFERROR(INDEX('FB 콘텐츠 data'!$A$1:$AH$25,MATCH('FB 신규발행'!$A38,'FB 콘텐츠 data'!$AR:$AR,0),MATCH(L$2,'FB 콘텐츠 data'!$A$1:$AH$1,0)),"")</f>
        <v/>
      </c>
      <c r="M38" s="225" t="str">
        <f>IFERROR(INDEX('FB 콘텐츠 data'!$A$1:$AH$25,MATCH('FB 신규발행'!$A38,'FB 콘텐츠 data'!$AR:$AR,0),MATCH(M$2,'FB 콘텐츠 data'!$A$1:$AH$1,0)),"")</f>
        <v/>
      </c>
      <c r="N38" s="225" t="str">
        <f>IFERROR(INDEX('FB 콘텐츠 data'!$A$1:$AH$25,MATCH('FB 신규발행'!$A38,'FB 콘텐츠 data'!$AR:$AR,0),MATCH(N$2,'FB 콘텐츠 data'!$A$1:$AH$1,0)),"")</f>
        <v/>
      </c>
      <c r="O38" s="225" t="str">
        <f>IFERROR(INDEX('FB 콘텐츠 data'!$A$1:$AH$25,MATCH('FB 신규발행'!$A38,'FB 콘텐츠 data'!$AR:$AR,0),MATCH(O$2,'FB 콘텐츠 data'!$A$1:$AH$1,0)),"")</f>
        <v/>
      </c>
      <c r="P38" s="225" t="str">
        <f>IFERROR(INDEX('FB 콘텐츠 data'!$A$1:$AH$25,MATCH('FB 신규발행'!$A38,'FB 콘텐츠 data'!$AR:$AR,0),MATCH(P$2,'FB 콘텐츠 data'!$A$1:$AH$1,0)),"")</f>
        <v/>
      </c>
      <c r="Q38" s="225" t="str">
        <f>IFERROR(INDEX('FB 콘텐츠 data'!$A$1:$AH$25,MATCH('FB 신규발행'!$A38,'FB 콘텐츠 data'!$AR:$AR,0),MATCH(Q$2,'FB 콘텐츠 data'!$A$1:$AH$1,0)),"")</f>
        <v/>
      </c>
      <c r="R38" s="226" t="str">
        <f t="shared" si="6"/>
        <v/>
      </c>
      <c r="T38" s="48" t="str">
        <f t="shared" si="7"/>
        <v/>
      </c>
      <c r="U38" s="48" t="str">
        <f t="shared" si="8"/>
        <v/>
      </c>
      <c r="Y38" s="112"/>
    </row>
    <row r="39" spans="1:25" ht="17.45" customHeight="1">
      <c r="A39" s="123">
        <v>37</v>
      </c>
      <c r="B39" s="223" t="str">
        <f>IFERROR(INDEX('FB 콘텐츠 data'!AQ:AQ,MATCH('FB 신규발행'!A39,'FB 콘텐츠 data'!AR:AR,0)),"")</f>
        <v/>
      </c>
      <c r="C39" s="224" t="str">
        <f>IFERROR(INDEX('FB 콘텐츠 data'!$A$1:$AH$25,MATCH('FB 신규발행'!$A39,'FB 콘텐츠 data'!$AR:$AR,0),MATCH(C$2,'FB 콘텐츠 data'!$A$1:$AH$1,0)),"")</f>
        <v/>
      </c>
      <c r="D39" s="225" t="str">
        <f>IFERROR(INDEX('FB 콘텐츠 data'!$A$1:$AH$25,MATCH('FB 신규발행'!$A39,'FB 콘텐츠 data'!$AR:$AR,0),MATCH(D$2,'FB 콘텐츠 data'!$A$1:$AH$1,0)),"")</f>
        <v/>
      </c>
      <c r="E39" s="225" t="str">
        <f>IFERROR(INDEX('FB 콘텐츠 data'!$A$1:$AH$25,MATCH('FB 신규발행'!$A39,'FB 콘텐츠 data'!$AR:$AR,0),MATCH(E$2,'FB 콘텐츠 data'!$A$1:$AH$1,0)),"")</f>
        <v/>
      </c>
      <c r="F39" s="225" t="str">
        <f>IFERROR(INDEX('FB 콘텐츠 data'!$A$1:$AH$25,MATCH('FB 신규발행'!$A39,'FB 콘텐츠 data'!$AR:$AR,0),MATCH(F$2,'FB 콘텐츠 data'!$A$1:$AH$1,0)),"")</f>
        <v/>
      </c>
      <c r="G39" s="225" t="str">
        <f>IFERROR(INDEX('FB 콘텐츠 data'!$A$1:$AH$25,MATCH('FB 신규발행'!$A39,'FB 콘텐츠 data'!$AR:$AR,0),MATCH(G$2,'FB 콘텐츠 data'!$A$1:$AH$1,0)),"")</f>
        <v/>
      </c>
      <c r="H39" s="225" t="str">
        <f t="shared" si="5"/>
        <v/>
      </c>
      <c r="I39" s="225" t="str">
        <f>IFERROR(INDEX('FB 콘텐츠 data'!$A$1:$AH$25,MATCH('FB 신규발행'!$A39,'FB 콘텐츠 data'!$AR:$AR,0),MATCH(I$2,'FB 콘텐츠 data'!$A$1:$AH$1,0)),"")</f>
        <v/>
      </c>
      <c r="J39" s="225" t="str">
        <f>IFERROR(INDEX('FB 콘텐츠 data'!$A$1:$AH$25,MATCH('FB 신규발행'!$A39,'FB 콘텐츠 data'!$AR:$AR,0),MATCH(J$2,'FB 콘텐츠 data'!$A$1:$AH$1,0)),"")</f>
        <v/>
      </c>
      <c r="K39" s="224" t="str">
        <f>IFERROR(INDEX('FB 콘텐츠 data'!$A$1:$AR$25,MATCH('FB 신규발행'!$A39,'FB 콘텐츠 data'!$AR:$AR,0),MATCH(K$2,'FB 콘텐츠 data'!$A$1:$AR$1,0)),"")</f>
        <v/>
      </c>
      <c r="L39" s="225" t="str">
        <f>IFERROR(INDEX('FB 콘텐츠 data'!$A$1:$AH$25,MATCH('FB 신규발행'!$A39,'FB 콘텐츠 data'!$AR:$AR,0),MATCH(L$2,'FB 콘텐츠 data'!$A$1:$AH$1,0)),"")</f>
        <v/>
      </c>
      <c r="M39" s="225" t="str">
        <f>IFERROR(INDEX('FB 콘텐츠 data'!$A$1:$AH$25,MATCH('FB 신규발행'!$A39,'FB 콘텐츠 data'!$AR:$AR,0),MATCH(M$2,'FB 콘텐츠 data'!$A$1:$AH$1,0)),"")</f>
        <v/>
      </c>
      <c r="N39" s="225" t="str">
        <f>IFERROR(INDEX('FB 콘텐츠 data'!$A$1:$AH$25,MATCH('FB 신규발행'!$A39,'FB 콘텐츠 data'!$AR:$AR,0),MATCH(N$2,'FB 콘텐츠 data'!$A$1:$AH$1,0)),"")</f>
        <v/>
      </c>
      <c r="O39" s="225" t="str">
        <f>IFERROR(INDEX('FB 콘텐츠 data'!$A$1:$AH$25,MATCH('FB 신규발행'!$A39,'FB 콘텐츠 data'!$AR:$AR,0),MATCH(O$2,'FB 콘텐츠 data'!$A$1:$AH$1,0)),"")</f>
        <v/>
      </c>
      <c r="P39" s="225" t="str">
        <f>IFERROR(INDEX('FB 콘텐츠 data'!$A$1:$AH$25,MATCH('FB 신규발행'!$A39,'FB 콘텐츠 data'!$AR:$AR,0),MATCH(P$2,'FB 콘텐츠 data'!$A$1:$AH$1,0)),"")</f>
        <v/>
      </c>
      <c r="Q39" s="225" t="str">
        <f>IFERROR(INDEX('FB 콘텐츠 data'!$A$1:$AH$25,MATCH('FB 신규발행'!$A39,'FB 콘텐츠 data'!$AR:$AR,0),MATCH(Q$2,'FB 콘텐츠 data'!$A$1:$AH$1,0)),"")</f>
        <v/>
      </c>
      <c r="R39" s="226" t="str">
        <f t="shared" si="6"/>
        <v/>
      </c>
      <c r="T39" s="48" t="str">
        <f t="shared" si="7"/>
        <v/>
      </c>
      <c r="U39" s="48" t="str">
        <f t="shared" si="8"/>
        <v/>
      </c>
      <c r="Y39" s="112"/>
    </row>
    <row r="40" spans="1:25" ht="17.45" customHeight="1">
      <c r="A40" s="123">
        <v>38</v>
      </c>
      <c r="B40" s="223" t="str">
        <f>IFERROR(INDEX('FB 콘텐츠 data'!AQ:AQ,MATCH('FB 신규발행'!A40,'FB 콘텐츠 data'!AR:AR,0)),"")</f>
        <v/>
      </c>
      <c r="C40" s="224" t="str">
        <f>IFERROR(INDEX('FB 콘텐츠 data'!$A$1:$AH$25,MATCH('FB 신규발행'!$A40,'FB 콘텐츠 data'!$AR:$AR,0),MATCH(C$2,'FB 콘텐츠 data'!$A$1:$AH$1,0)),"")</f>
        <v/>
      </c>
      <c r="D40" s="225" t="str">
        <f>IFERROR(INDEX('FB 콘텐츠 data'!$A$1:$AH$25,MATCH('FB 신규발행'!$A40,'FB 콘텐츠 data'!$AR:$AR,0),MATCH(D$2,'FB 콘텐츠 data'!$A$1:$AH$1,0)),"")</f>
        <v/>
      </c>
      <c r="E40" s="225" t="str">
        <f>IFERROR(INDEX('FB 콘텐츠 data'!$A$1:$AH$25,MATCH('FB 신규발행'!$A40,'FB 콘텐츠 data'!$AR:$AR,0),MATCH(E$2,'FB 콘텐츠 data'!$A$1:$AH$1,0)),"")</f>
        <v/>
      </c>
      <c r="F40" s="225" t="str">
        <f>IFERROR(INDEX('FB 콘텐츠 data'!$A$1:$AH$25,MATCH('FB 신규발행'!$A40,'FB 콘텐츠 data'!$AR:$AR,0),MATCH(F$2,'FB 콘텐츠 data'!$A$1:$AH$1,0)),"")</f>
        <v/>
      </c>
      <c r="G40" s="225" t="str">
        <f>IFERROR(INDEX('FB 콘텐츠 data'!$A$1:$AH$25,MATCH('FB 신규발행'!$A40,'FB 콘텐츠 data'!$AR:$AR,0),MATCH(G$2,'FB 콘텐츠 data'!$A$1:$AH$1,0)),"")</f>
        <v/>
      </c>
      <c r="H40" s="225" t="str">
        <f t="shared" si="5"/>
        <v/>
      </c>
      <c r="I40" s="225" t="str">
        <f>IFERROR(INDEX('FB 콘텐츠 data'!$A$1:$AH$25,MATCH('FB 신규발행'!$A40,'FB 콘텐츠 data'!$AR:$AR,0),MATCH(I$2,'FB 콘텐츠 data'!$A$1:$AH$1,0)),"")</f>
        <v/>
      </c>
      <c r="J40" s="225" t="str">
        <f>IFERROR(INDEX('FB 콘텐츠 data'!$A$1:$AH$25,MATCH('FB 신규발행'!$A40,'FB 콘텐츠 data'!$AR:$AR,0),MATCH(J$2,'FB 콘텐츠 data'!$A$1:$AH$1,0)),"")</f>
        <v/>
      </c>
      <c r="K40" s="224" t="str">
        <f>IFERROR(INDEX('FB 콘텐츠 data'!$A$1:$AR$25,MATCH('FB 신규발행'!$A40,'FB 콘텐츠 data'!$AR:$AR,0),MATCH(K$2,'FB 콘텐츠 data'!$A$1:$AR$1,0)),"")</f>
        <v/>
      </c>
      <c r="L40" s="225" t="str">
        <f>IFERROR(INDEX('FB 콘텐츠 data'!$A$1:$AH$25,MATCH('FB 신규발행'!$A40,'FB 콘텐츠 data'!$AR:$AR,0),MATCH(L$2,'FB 콘텐츠 data'!$A$1:$AH$1,0)),"")</f>
        <v/>
      </c>
      <c r="M40" s="225" t="str">
        <f>IFERROR(INDEX('FB 콘텐츠 data'!$A$1:$AH$25,MATCH('FB 신규발행'!$A40,'FB 콘텐츠 data'!$AR:$AR,0),MATCH(M$2,'FB 콘텐츠 data'!$A$1:$AH$1,0)),"")</f>
        <v/>
      </c>
      <c r="N40" s="225" t="str">
        <f>IFERROR(INDEX('FB 콘텐츠 data'!$A$1:$AH$25,MATCH('FB 신규발행'!$A40,'FB 콘텐츠 data'!$AR:$AR,0),MATCH(N$2,'FB 콘텐츠 data'!$A$1:$AH$1,0)),"")</f>
        <v/>
      </c>
      <c r="O40" s="225" t="str">
        <f>IFERROR(INDEX('FB 콘텐츠 data'!$A$1:$AH$25,MATCH('FB 신규발행'!$A40,'FB 콘텐츠 data'!$AR:$AR,0),MATCH(O$2,'FB 콘텐츠 data'!$A$1:$AH$1,0)),"")</f>
        <v/>
      </c>
      <c r="P40" s="225" t="str">
        <f>IFERROR(INDEX('FB 콘텐츠 data'!$A$1:$AH$25,MATCH('FB 신규발행'!$A40,'FB 콘텐츠 data'!$AR:$AR,0),MATCH(P$2,'FB 콘텐츠 data'!$A$1:$AH$1,0)),"")</f>
        <v/>
      </c>
      <c r="Q40" s="225" t="str">
        <f>IFERROR(INDEX('FB 콘텐츠 data'!$A$1:$AH$25,MATCH('FB 신규발행'!$A40,'FB 콘텐츠 data'!$AR:$AR,0),MATCH(Q$2,'FB 콘텐츠 data'!$A$1:$AH$1,0)),"")</f>
        <v/>
      </c>
      <c r="R40" s="226" t="str">
        <f t="shared" si="6"/>
        <v/>
      </c>
      <c r="T40" s="48" t="str">
        <f t="shared" si="7"/>
        <v/>
      </c>
      <c r="U40" s="48" t="str">
        <f t="shared" si="8"/>
        <v/>
      </c>
      <c r="Y40" s="112"/>
    </row>
    <row r="41" spans="1:25" ht="17.45" customHeight="1">
      <c r="A41" s="123">
        <v>39</v>
      </c>
      <c r="B41" s="223" t="str">
        <f>IFERROR(INDEX('FB 콘텐츠 data'!AQ:AQ,MATCH('FB 신규발행'!A41,'FB 콘텐츠 data'!AR:AR,0)),"")</f>
        <v/>
      </c>
      <c r="C41" s="224" t="str">
        <f>IFERROR(INDEX('FB 콘텐츠 data'!$A$1:$AH$25,MATCH('FB 신규발행'!$A41,'FB 콘텐츠 data'!$AR:$AR,0),MATCH(C$2,'FB 콘텐츠 data'!$A$1:$AH$1,0)),"")</f>
        <v/>
      </c>
      <c r="D41" s="225" t="str">
        <f>IFERROR(INDEX('FB 콘텐츠 data'!$A$1:$AH$25,MATCH('FB 신규발행'!$A41,'FB 콘텐츠 data'!$AR:$AR,0),MATCH(D$2,'FB 콘텐츠 data'!$A$1:$AH$1,0)),"")</f>
        <v/>
      </c>
      <c r="E41" s="225" t="str">
        <f>IFERROR(INDEX('FB 콘텐츠 data'!$A$1:$AH$25,MATCH('FB 신규발행'!$A41,'FB 콘텐츠 data'!$AR:$AR,0),MATCH(E$2,'FB 콘텐츠 data'!$A$1:$AH$1,0)),"")</f>
        <v/>
      </c>
      <c r="F41" s="225" t="str">
        <f>IFERROR(INDEX('FB 콘텐츠 data'!$A$1:$AH$25,MATCH('FB 신규발행'!$A41,'FB 콘텐츠 data'!$AR:$AR,0),MATCH(F$2,'FB 콘텐츠 data'!$A$1:$AH$1,0)),"")</f>
        <v/>
      </c>
      <c r="G41" s="225" t="str">
        <f>IFERROR(INDEX('FB 콘텐츠 data'!$A$1:$AH$25,MATCH('FB 신규발행'!$A41,'FB 콘텐츠 data'!$AR:$AR,0),MATCH(G$2,'FB 콘텐츠 data'!$A$1:$AH$1,0)),"")</f>
        <v/>
      </c>
      <c r="H41" s="225" t="str">
        <f t="shared" si="5"/>
        <v/>
      </c>
      <c r="I41" s="225" t="str">
        <f>IFERROR(INDEX('FB 콘텐츠 data'!$A$1:$AH$25,MATCH('FB 신규발행'!$A41,'FB 콘텐츠 data'!$AR:$AR,0),MATCH(I$2,'FB 콘텐츠 data'!$A$1:$AH$1,0)),"")</f>
        <v/>
      </c>
      <c r="J41" s="225" t="str">
        <f>IFERROR(INDEX('FB 콘텐츠 data'!$A$1:$AH$25,MATCH('FB 신규발행'!$A41,'FB 콘텐츠 data'!$AR:$AR,0),MATCH(J$2,'FB 콘텐츠 data'!$A$1:$AH$1,0)),"")</f>
        <v/>
      </c>
      <c r="K41" s="224" t="str">
        <f>IFERROR(INDEX('FB 콘텐츠 data'!$A$1:$AR$25,MATCH('FB 신규발행'!$A41,'FB 콘텐츠 data'!$AR:$AR,0),MATCH(K$2,'FB 콘텐츠 data'!$A$1:$AR$1,0)),"")</f>
        <v/>
      </c>
      <c r="L41" s="225" t="str">
        <f>IFERROR(INDEX('FB 콘텐츠 data'!$A$1:$AH$25,MATCH('FB 신규발행'!$A41,'FB 콘텐츠 data'!$AR:$AR,0),MATCH(L$2,'FB 콘텐츠 data'!$A$1:$AH$1,0)),"")</f>
        <v/>
      </c>
      <c r="M41" s="225" t="str">
        <f>IFERROR(INDEX('FB 콘텐츠 data'!$A$1:$AH$25,MATCH('FB 신규발행'!$A41,'FB 콘텐츠 data'!$AR:$AR,0),MATCH(M$2,'FB 콘텐츠 data'!$A$1:$AH$1,0)),"")</f>
        <v/>
      </c>
      <c r="N41" s="225" t="str">
        <f>IFERROR(INDEX('FB 콘텐츠 data'!$A$1:$AH$25,MATCH('FB 신규발행'!$A41,'FB 콘텐츠 data'!$AR:$AR,0),MATCH(N$2,'FB 콘텐츠 data'!$A$1:$AH$1,0)),"")</f>
        <v/>
      </c>
      <c r="O41" s="225" t="str">
        <f>IFERROR(INDEX('FB 콘텐츠 data'!$A$1:$AH$25,MATCH('FB 신규발행'!$A41,'FB 콘텐츠 data'!$AR:$AR,0),MATCH(O$2,'FB 콘텐츠 data'!$A$1:$AH$1,0)),"")</f>
        <v/>
      </c>
      <c r="P41" s="225" t="str">
        <f>IFERROR(INDEX('FB 콘텐츠 data'!$A$1:$AH$25,MATCH('FB 신규발행'!$A41,'FB 콘텐츠 data'!$AR:$AR,0),MATCH(P$2,'FB 콘텐츠 data'!$A$1:$AH$1,0)),"")</f>
        <v/>
      </c>
      <c r="Q41" s="225" t="str">
        <f>IFERROR(INDEX('FB 콘텐츠 data'!$A$1:$AH$25,MATCH('FB 신규발행'!$A41,'FB 콘텐츠 data'!$AR:$AR,0),MATCH(Q$2,'FB 콘텐츠 data'!$A$1:$AH$1,0)),"")</f>
        <v/>
      </c>
      <c r="R41" s="226" t="str">
        <f t="shared" si="6"/>
        <v/>
      </c>
      <c r="T41" s="48" t="str">
        <f t="shared" si="7"/>
        <v/>
      </c>
      <c r="U41" s="48" t="str">
        <f t="shared" si="8"/>
        <v/>
      </c>
      <c r="Y41" s="112"/>
    </row>
    <row r="42" spans="1:25" ht="17.45" customHeight="1">
      <c r="A42" s="123">
        <v>40</v>
      </c>
      <c r="B42" s="223" t="str">
        <f>IFERROR(INDEX('FB 콘텐츠 data'!AQ:AQ,MATCH('FB 신규발행'!A42,'FB 콘텐츠 data'!AR:AR,0)),"")</f>
        <v/>
      </c>
      <c r="C42" s="224" t="str">
        <f>IFERROR(INDEX('FB 콘텐츠 data'!$A$1:$AH$25,MATCH('FB 신규발행'!$A42,'FB 콘텐츠 data'!$AR:$AR,0),MATCH(C$2,'FB 콘텐츠 data'!$A$1:$AH$1,0)),"")</f>
        <v/>
      </c>
      <c r="D42" s="225" t="str">
        <f>IFERROR(INDEX('FB 콘텐츠 data'!$A$1:$AH$25,MATCH('FB 신규발행'!$A42,'FB 콘텐츠 data'!$AR:$AR,0),MATCH(D$2,'FB 콘텐츠 data'!$A$1:$AH$1,0)),"")</f>
        <v/>
      </c>
      <c r="E42" s="225" t="str">
        <f>IFERROR(INDEX('FB 콘텐츠 data'!$A$1:$AH$25,MATCH('FB 신규발행'!$A42,'FB 콘텐츠 data'!$AR:$AR,0),MATCH(E$2,'FB 콘텐츠 data'!$A$1:$AH$1,0)),"")</f>
        <v/>
      </c>
      <c r="F42" s="225" t="str">
        <f>IFERROR(INDEX('FB 콘텐츠 data'!$A$1:$AH$25,MATCH('FB 신규발행'!$A42,'FB 콘텐츠 data'!$AR:$AR,0),MATCH(F$2,'FB 콘텐츠 data'!$A$1:$AH$1,0)),"")</f>
        <v/>
      </c>
      <c r="G42" s="225" t="str">
        <f>IFERROR(INDEX('FB 콘텐츠 data'!$A$1:$AH$25,MATCH('FB 신규발행'!$A42,'FB 콘텐츠 data'!$AR:$AR,0),MATCH(G$2,'FB 콘텐츠 data'!$A$1:$AH$1,0)),"")</f>
        <v/>
      </c>
      <c r="H42" s="225" t="str">
        <f t="shared" si="5"/>
        <v/>
      </c>
      <c r="I42" s="225" t="str">
        <f>IFERROR(INDEX('FB 콘텐츠 data'!$A$1:$AH$25,MATCH('FB 신규발행'!$A42,'FB 콘텐츠 data'!$AR:$AR,0),MATCH(I$2,'FB 콘텐츠 data'!$A$1:$AH$1,0)),"")</f>
        <v/>
      </c>
      <c r="J42" s="225" t="str">
        <f>IFERROR(INDEX('FB 콘텐츠 data'!$A$1:$AH$25,MATCH('FB 신규발행'!$A42,'FB 콘텐츠 data'!$AR:$AR,0),MATCH(J$2,'FB 콘텐츠 data'!$A$1:$AH$1,0)),"")</f>
        <v/>
      </c>
      <c r="K42" s="224" t="str">
        <f>IFERROR(INDEX('FB 콘텐츠 data'!$A$1:$AR$25,MATCH('FB 신규발행'!$A42,'FB 콘텐츠 data'!$AR:$AR,0),MATCH(K$2,'FB 콘텐츠 data'!$A$1:$AR$1,0)),"")</f>
        <v/>
      </c>
      <c r="L42" s="225" t="str">
        <f>IFERROR(INDEX('FB 콘텐츠 data'!$A$1:$AH$25,MATCH('FB 신규발행'!$A42,'FB 콘텐츠 data'!$AR:$AR,0),MATCH(L$2,'FB 콘텐츠 data'!$A$1:$AH$1,0)),"")</f>
        <v/>
      </c>
      <c r="M42" s="225" t="str">
        <f>IFERROR(INDEX('FB 콘텐츠 data'!$A$1:$AH$25,MATCH('FB 신규발행'!$A42,'FB 콘텐츠 data'!$AR:$AR,0),MATCH(M$2,'FB 콘텐츠 data'!$A$1:$AH$1,0)),"")</f>
        <v/>
      </c>
      <c r="N42" s="225" t="str">
        <f>IFERROR(INDEX('FB 콘텐츠 data'!$A$1:$AH$25,MATCH('FB 신규발행'!$A42,'FB 콘텐츠 data'!$AR:$AR,0),MATCH(N$2,'FB 콘텐츠 data'!$A$1:$AH$1,0)),"")</f>
        <v/>
      </c>
      <c r="O42" s="225" t="str">
        <f>IFERROR(INDEX('FB 콘텐츠 data'!$A$1:$AH$25,MATCH('FB 신규발행'!$A42,'FB 콘텐츠 data'!$AR:$AR,0),MATCH(O$2,'FB 콘텐츠 data'!$A$1:$AH$1,0)),"")</f>
        <v/>
      </c>
      <c r="P42" s="225" t="str">
        <f>IFERROR(INDEX('FB 콘텐츠 data'!$A$1:$AH$25,MATCH('FB 신규발행'!$A42,'FB 콘텐츠 data'!$AR:$AR,0),MATCH(P$2,'FB 콘텐츠 data'!$A$1:$AH$1,0)),"")</f>
        <v/>
      </c>
      <c r="Q42" s="225" t="str">
        <f>IFERROR(INDEX('FB 콘텐츠 data'!$A$1:$AH$25,MATCH('FB 신규발행'!$A42,'FB 콘텐츠 data'!$AR:$AR,0),MATCH(Q$2,'FB 콘텐츠 data'!$A$1:$AH$1,0)),"")</f>
        <v/>
      </c>
      <c r="R42" s="226" t="str">
        <f t="shared" si="6"/>
        <v/>
      </c>
      <c r="T42" s="48" t="str">
        <f t="shared" si="7"/>
        <v/>
      </c>
      <c r="U42" s="48" t="str">
        <f t="shared" si="8"/>
        <v/>
      </c>
      <c r="Y42" s="112"/>
    </row>
    <row r="43" spans="1:25" ht="17.45" customHeight="1">
      <c r="A43" s="123">
        <v>41</v>
      </c>
      <c r="B43" s="223" t="str">
        <f>IFERROR(INDEX('FB 콘텐츠 data'!AQ:AQ,MATCH('FB 신규발행'!A43,'FB 콘텐츠 data'!AR:AR,0)),"")</f>
        <v/>
      </c>
      <c r="C43" s="224" t="str">
        <f>IFERROR(INDEX('FB 콘텐츠 data'!$A$1:$AH$25,MATCH('FB 신규발행'!$A43,'FB 콘텐츠 data'!$AR:$AR,0),MATCH(C$2,'FB 콘텐츠 data'!$A$1:$AH$1,0)),"")</f>
        <v/>
      </c>
      <c r="D43" s="225" t="str">
        <f>IFERROR(INDEX('FB 콘텐츠 data'!$A$1:$AH$25,MATCH('FB 신규발행'!$A43,'FB 콘텐츠 data'!$AR:$AR,0),MATCH(D$2,'FB 콘텐츠 data'!$A$1:$AH$1,0)),"")</f>
        <v/>
      </c>
      <c r="E43" s="225" t="str">
        <f>IFERROR(INDEX('FB 콘텐츠 data'!$A$1:$AH$25,MATCH('FB 신규발행'!$A43,'FB 콘텐츠 data'!$AR:$AR,0),MATCH(E$2,'FB 콘텐츠 data'!$A$1:$AH$1,0)),"")</f>
        <v/>
      </c>
      <c r="F43" s="225" t="str">
        <f>IFERROR(INDEX('FB 콘텐츠 data'!$A$1:$AH$25,MATCH('FB 신규발행'!$A43,'FB 콘텐츠 data'!$AR:$AR,0),MATCH(F$2,'FB 콘텐츠 data'!$A$1:$AH$1,0)),"")</f>
        <v/>
      </c>
      <c r="G43" s="225" t="str">
        <f>IFERROR(INDEX('FB 콘텐츠 data'!$A$1:$AH$25,MATCH('FB 신규발행'!$A43,'FB 콘텐츠 data'!$AR:$AR,0),MATCH(G$2,'FB 콘텐츠 data'!$A$1:$AH$1,0)),"")</f>
        <v/>
      </c>
      <c r="H43" s="225" t="str">
        <f t="shared" si="5"/>
        <v/>
      </c>
      <c r="I43" s="225" t="str">
        <f>IFERROR(INDEX('FB 콘텐츠 data'!$A$1:$AH$25,MATCH('FB 신규발행'!$A43,'FB 콘텐츠 data'!$AR:$AR,0),MATCH(I$2,'FB 콘텐츠 data'!$A$1:$AH$1,0)),"")</f>
        <v/>
      </c>
      <c r="J43" s="225" t="str">
        <f>IFERROR(INDEX('FB 콘텐츠 data'!$A$1:$AH$25,MATCH('FB 신규발행'!$A43,'FB 콘텐츠 data'!$AR:$AR,0),MATCH(J$2,'FB 콘텐츠 data'!$A$1:$AH$1,0)),"")</f>
        <v/>
      </c>
      <c r="K43" s="224" t="str">
        <f>IFERROR(INDEX('FB 콘텐츠 data'!$A$1:$AR$25,MATCH('FB 신규발행'!$A43,'FB 콘텐츠 data'!$AR:$AR,0),MATCH(K$2,'FB 콘텐츠 data'!$A$1:$AR$1,0)),"")</f>
        <v/>
      </c>
      <c r="L43" s="225" t="str">
        <f>IFERROR(INDEX('FB 콘텐츠 data'!$A$1:$AH$25,MATCH('FB 신규발행'!$A43,'FB 콘텐츠 data'!$AR:$AR,0),MATCH(L$2,'FB 콘텐츠 data'!$A$1:$AH$1,0)),"")</f>
        <v/>
      </c>
      <c r="M43" s="225" t="str">
        <f>IFERROR(INDEX('FB 콘텐츠 data'!$A$1:$AH$25,MATCH('FB 신규발행'!$A43,'FB 콘텐츠 data'!$AR:$AR,0),MATCH(M$2,'FB 콘텐츠 data'!$A$1:$AH$1,0)),"")</f>
        <v/>
      </c>
      <c r="N43" s="225" t="str">
        <f>IFERROR(INDEX('FB 콘텐츠 data'!$A$1:$AH$25,MATCH('FB 신규발행'!$A43,'FB 콘텐츠 data'!$AR:$AR,0),MATCH(N$2,'FB 콘텐츠 data'!$A$1:$AH$1,0)),"")</f>
        <v/>
      </c>
      <c r="O43" s="225" t="str">
        <f>IFERROR(INDEX('FB 콘텐츠 data'!$A$1:$AH$25,MATCH('FB 신규발행'!$A43,'FB 콘텐츠 data'!$AR:$AR,0),MATCH(O$2,'FB 콘텐츠 data'!$A$1:$AH$1,0)),"")</f>
        <v/>
      </c>
      <c r="P43" s="225" t="str">
        <f>IFERROR(INDEX('FB 콘텐츠 data'!$A$1:$AH$25,MATCH('FB 신규발행'!$A43,'FB 콘텐츠 data'!$AR:$AR,0),MATCH(P$2,'FB 콘텐츠 data'!$A$1:$AH$1,0)),"")</f>
        <v/>
      </c>
      <c r="Q43" s="225" t="str">
        <f>IFERROR(INDEX('FB 콘텐츠 data'!$A$1:$AH$25,MATCH('FB 신규발행'!$A43,'FB 콘텐츠 data'!$AR:$AR,0),MATCH(Q$2,'FB 콘텐츠 data'!$A$1:$AH$1,0)),"")</f>
        <v/>
      </c>
      <c r="R43" s="226" t="str">
        <f t="shared" si="6"/>
        <v/>
      </c>
      <c r="T43" s="48" t="str">
        <f t="shared" si="7"/>
        <v/>
      </c>
      <c r="U43" s="48" t="str">
        <f t="shared" si="8"/>
        <v/>
      </c>
      <c r="Y43" s="112"/>
    </row>
    <row r="44" spans="1:25" ht="17.45" customHeight="1">
      <c r="A44" s="123">
        <v>42</v>
      </c>
      <c r="B44" s="223" t="str">
        <f>IFERROR(INDEX('FB 콘텐츠 data'!AQ:AQ,MATCH('FB 신규발행'!A44,'FB 콘텐츠 data'!AR:AR,0)),"")</f>
        <v/>
      </c>
      <c r="C44" s="224" t="str">
        <f>IFERROR(INDEX('FB 콘텐츠 data'!$A$1:$AH$25,MATCH('FB 신규발행'!$A44,'FB 콘텐츠 data'!$AR:$AR,0),MATCH(C$2,'FB 콘텐츠 data'!$A$1:$AH$1,0)),"")</f>
        <v/>
      </c>
      <c r="D44" s="225" t="str">
        <f>IFERROR(INDEX('FB 콘텐츠 data'!$A$1:$AH$25,MATCH('FB 신규발행'!$A44,'FB 콘텐츠 data'!$AR:$AR,0),MATCH(D$2,'FB 콘텐츠 data'!$A$1:$AH$1,0)),"")</f>
        <v/>
      </c>
      <c r="E44" s="225" t="str">
        <f>IFERROR(INDEX('FB 콘텐츠 data'!$A$1:$AH$25,MATCH('FB 신규발행'!$A44,'FB 콘텐츠 data'!$AR:$AR,0),MATCH(E$2,'FB 콘텐츠 data'!$A$1:$AH$1,0)),"")</f>
        <v/>
      </c>
      <c r="F44" s="225" t="str">
        <f>IFERROR(INDEX('FB 콘텐츠 data'!$A$1:$AH$25,MATCH('FB 신규발행'!$A44,'FB 콘텐츠 data'!$AR:$AR,0),MATCH(F$2,'FB 콘텐츠 data'!$A$1:$AH$1,0)),"")</f>
        <v/>
      </c>
      <c r="G44" s="225" t="str">
        <f>IFERROR(INDEX('FB 콘텐츠 data'!$A$1:$AH$25,MATCH('FB 신규발행'!$A44,'FB 콘텐츠 data'!$AR:$AR,0),MATCH(G$2,'FB 콘텐츠 data'!$A$1:$AH$1,0)),"")</f>
        <v/>
      </c>
      <c r="H44" s="225" t="str">
        <f t="shared" si="5"/>
        <v/>
      </c>
      <c r="I44" s="225" t="str">
        <f>IFERROR(INDEX('FB 콘텐츠 data'!$A$1:$AH$25,MATCH('FB 신규발행'!$A44,'FB 콘텐츠 data'!$AR:$AR,0),MATCH(I$2,'FB 콘텐츠 data'!$A$1:$AH$1,0)),"")</f>
        <v/>
      </c>
      <c r="J44" s="225" t="str">
        <f>IFERROR(INDEX('FB 콘텐츠 data'!$A$1:$AH$25,MATCH('FB 신규발행'!$A44,'FB 콘텐츠 data'!$AR:$AR,0),MATCH(J$2,'FB 콘텐츠 data'!$A$1:$AH$1,0)),"")</f>
        <v/>
      </c>
      <c r="K44" s="224" t="str">
        <f>IFERROR(INDEX('FB 콘텐츠 data'!$A$1:$AR$25,MATCH('FB 신규발행'!$A44,'FB 콘텐츠 data'!$AR:$AR,0),MATCH(K$2,'FB 콘텐츠 data'!$A$1:$AR$1,0)),"")</f>
        <v/>
      </c>
      <c r="L44" s="225" t="str">
        <f>IFERROR(INDEX('FB 콘텐츠 data'!$A$1:$AH$25,MATCH('FB 신규발행'!$A44,'FB 콘텐츠 data'!$AR:$AR,0),MATCH(L$2,'FB 콘텐츠 data'!$A$1:$AH$1,0)),"")</f>
        <v/>
      </c>
      <c r="M44" s="225" t="str">
        <f>IFERROR(INDEX('FB 콘텐츠 data'!$A$1:$AH$25,MATCH('FB 신규발행'!$A44,'FB 콘텐츠 data'!$AR:$AR,0),MATCH(M$2,'FB 콘텐츠 data'!$A$1:$AH$1,0)),"")</f>
        <v/>
      </c>
      <c r="N44" s="225" t="str">
        <f>IFERROR(INDEX('FB 콘텐츠 data'!$A$1:$AH$25,MATCH('FB 신규발행'!$A44,'FB 콘텐츠 data'!$AR:$AR,0),MATCH(N$2,'FB 콘텐츠 data'!$A$1:$AH$1,0)),"")</f>
        <v/>
      </c>
      <c r="O44" s="225" t="str">
        <f>IFERROR(INDEX('FB 콘텐츠 data'!$A$1:$AH$25,MATCH('FB 신규발행'!$A44,'FB 콘텐츠 data'!$AR:$AR,0),MATCH(O$2,'FB 콘텐츠 data'!$A$1:$AH$1,0)),"")</f>
        <v/>
      </c>
      <c r="P44" s="225" t="str">
        <f>IFERROR(INDEX('FB 콘텐츠 data'!$A$1:$AH$25,MATCH('FB 신규발행'!$A44,'FB 콘텐츠 data'!$AR:$AR,0),MATCH(P$2,'FB 콘텐츠 data'!$A$1:$AH$1,0)),"")</f>
        <v/>
      </c>
      <c r="Q44" s="225" t="str">
        <f>IFERROR(INDEX('FB 콘텐츠 data'!$A$1:$AH$25,MATCH('FB 신규발행'!$A44,'FB 콘텐츠 data'!$AR:$AR,0),MATCH(Q$2,'FB 콘텐츠 data'!$A$1:$AH$1,0)),"")</f>
        <v/>
      </c>
      <c r="R44" s="226" t="str">
        <f t="shared" si="6"/>
        <v/>
      </c>
      <c r="T44" s="48" t="str">
        <f t="shared" si="7"/>
        <v/>
      </c>
      <c r="U44" s="48" t="str">
        <f t="shared" si="8"/>
        <v/>
      </c>
      <c r="Y44" s="112"/>
    </row>
    <row r="45" spans="1:25" ht="17.45" customHeight="1">
      <c r="A45" s="123">
        <v>43</v>
      </c>
      <c r="B45" s="223" t="str">
        <f>IFERROR(INDEX('FB 콘텐츠 data'!AQ:AQ,MATCH('FB 신규발행'!A45,'FB 콘텐츠 data'!AR:AR,0)),"")</f>
        <v/>
      </c>
      <c r="C45" s="224" t="str">
        <f>IFERROR(INDEX('FB 콘텐츠 data'!$A$1:$AH$25,MATCH('FB 신규발행'!$A45,'FB 콘텐츠 data'!$AR:$AR,0),MATCH(C$2,'FB 콘텐츠 data'!$A$1:$AH$1,0)),"")</f>
        <v/>
      </c>
      <c r="D45" s="225" t="str">
        <f>IFERROR(INDEX('FB 콘텐츠 data'!$A$1:$AH$25,MATCH('FB 신규발행'!$A45,'FB 콘텐츠 data'!$AR:$AR,0),MATCH(D$2,'FB 콘텐츠 data'!$A$1:$AH$1,0)),"")</f>
        <v/>
      </c>
      <c r="E45" s="225" t="str">
        <f>IFERROR(INDEX('FB 콘텐츠 data'!$A$1:$AH$25,MATCH('FB 신규발행'!$A45,'FB 콘텐츠 data'!$AR:$AR,0),MATCH(E$2,'FB 콘텐츠 data'!$A$1:$AH$1,0)),"")</f>
        <v/>
      </c>
      <c r="F45" s="225" t="str">
        <f>IFERROR(INDEX('FB 콘텐츠 data'!$A$1:$AH$25,MATCH('FB 신규발행'!$A45,'FB 콘텐츠 data'!$AR:$AR,0),MATCH(F$2,'FB 콘텐츠 data'!$A$1:$AH$1,0)),"")</f>
        <v/>
      </c>
      <c r="G45" s="225" t="str">
        <f>IFERROR(INDEX('FB 콘텐츠 data'!$A$1:$AH$25,MATCH('FB 신규발행'!$A45,'FB 콘텐츠 data'!$AR:$AR,0),MATCH(G$2,'FB 콘텐츠 data'!$A$1:$AH$1,0)),"")</f>
        <v/>
      </c>
      <c r="H45" s="225" t="str">
        <f t="shared" si="5"/>
        <v/>
      </c>
      <c r="I45" s="225" t="str">
        <f>IFERROR(INDEX('FB 콘텐츠 data'!$A$1:$AH$25,MATCH('FB 신규발행'!$A45,'FB 콘텐츠 data'!$AR:$AR,0),MATCH(I$2,'FB 콘텐츠 data'!$A$1:$AH$1,0)),"")</f>
        <v/>
      </c>
      <c r="J45" s="225" t="str">
        <f>IFERROR(INDEX('FB 콘텐츠 data'!$A$1:$AH$25,MATCH('FB 신규발행'!$A45,'FB 콘텐츠 data'!$AR:$AR,0),MATCH(J$2,'FB 콘텐츠 data'!$A$1:$AH$1,0)),"")</f>
        <v/>
      </c>
      <c r="K45" s="224" t="str">
        <f>IFERROR(INDEX('FB 콘텐츠 data'!$A$1:$AR$25,MATCH('FB 신규발행'!$A45,'FB 콘텐츠 data'!$AR:$AR,0),MATCH(K$2,'FB 콘텐츠 data'!$A$1:$AR$1,0)),"")</f>
        <v/>
      </c>
      <c r="L45" s="225" t="str">
        <f>IFERROR(INDEX('FB 콘텐츠 data'!$A$1:$AH$25,MATCH('FB 신규발행'!$A45,'FB 콘텐츠 data'!$AR:$AR,0),MATCH(L$2,'FB 콘텐츠 data'!$A$1:$AH$1,0)),"")</f>
        <v/>
      </c>
      <c r="M45" s="225" t="str">
        <f>IFERROR(INDEX('FB 콘텐츠 data'!$A$1:$AH$25,MATCH('FB 신규발행'!$A45,'FB 콘텐츠 data'!$AR:$AR,0),MATCH(M$2,'FB 콘텐츠 data'!$A$1:$AH$1,0)),"")</f>
        <v/>
      </c>
      <c r="N45" s="225" t="str">
        <f>IFERROR(INDEX('FB 콘텐츠 data'!$A$1:$AH$25,MATCH('FB 신규발행'!$A45,'FB 콘텐츠 data'!$AR:$AR,0),MATCH(N$2,'FB 콘텐츠 data'!$A$1:$AH$1,0)),"")</f>
        <v/>
      </c>
      <c r="O45" s="225" t="str">
        <f>IFERROR(INDEX('FB 콘텐츠 data'!$A$1:$AH$25,MATCH('FB 신규발행'!$A45,'FB 콘텐츠 data'!$AR:$AR,0),MATCH(O$2,'FB 콘텐츠 data'!$A$1:$AH$1,0)),"")</f>
        <v/>
      </c>
      <c r="P45" s="225" t="str">
        <f>IFERROR(INDEX('FB 콘텐츠 data'!$A$1:$AH$25,MATCH('FB 신규발행'!$A45,'FB 콘텐츠 data'!$AR:$AR,0),MATCH(P$2,'FB 콘텐츠 data'!$A$1:$AH$1,0)),"")</f>
        <v/>
      </c>
      <c r="Q45" s="225" t="str">
        <f>IFERROR(INDEX('FB 콘텐츠 data'!$A$1:$AH$25,MATCH('FB 신규발행'!$A45,'FB 콘텐츠 data'!$AR:$AR,0),MATCH(Q$2,'FB 콘텐츠 data'!$A$1:$AH$1,0)),"")</f>
        <v/>
      </c>
      <c r="R45" s="226" t="str">
        <f t="shared" si="6"/>
        <v/>
      </c>
      <c r="T45" s="48" t="str">
        <f t="shared" si="7"/>
        <v/>
      </c>
      <c r="U45" s="48" t="str">
        <f t="shared" si="8"/>
        <v/>
      </c>
      <c r="Y45" s="112"/>
    </row>
    <row r="46" spans="1:25" ht="17.45" customHeight="1">
      <c r="A46" s="123">
        <v>44</v>
      </c>
      <c r="B46" s="223" t="str">
        <f>IFERROR(INDEX('FB 콘텐츠 data'!AQ:AQ,MATCH('FB 신규발행'!A46,'FB 콘텐츠 data'!AR:AR,0)),"")</f>
        <v/>
      </c>
      <c r="C46" s="224" t="str">
        <f>IFERROR(INDEX('FB 콘텐츠 data'!$A$1:$AH$25,MATCH('FB 신규발행'!$A46,'FB 콘텐츠 data'!$AR:$AR,0),MATCH(C$2,'FB 콘텐츠 data'!$A$1:$AH$1,0)),"")</f>
        <v/>
      </c>
      <c r="D46" s="225" t="str">
        <f>IFERROR(INDEX('FB 콘텐츠 data'!$A$1:$AH$25,MATCH('FB 신규발행'!$A46,'FB 콘텐츠 data'!$AR:$AR,0),MATCH(D$2,'FB 콘텐츠 data'!$A$1:$AH$1,0)),"")</f>
        <v/>
      </c>
      <c r="E46" s="225" t="str">
        <f>IFERROR(INDEX('FB 콘텐츠 data'!$A$1:$AH$25,MATCH('FB 신규발행'!$A46,'FB 콘텐츠 data'!$AR:$AR,0),MATCH(E$2,'FB 콘텐츠 data'!$A$1:$AH$1,0)),"")</f>
        <v/>
      </c>
      <c r="F46" s="225" t="str">
        <f>IFERROR(INDEX('FB 콘텐츠 data'!$A$1:$AH$25,MATCH('FB 신규발행'!$A46,'FB 콘텐츠 data'!$AR:$AR,0),MATCH(F$2,'FB 콘텐츠 data'!$A$1:$AH$1,0)),"")</f>
        <v/>
      </c>
      <c r="G46" s="225" t="str">
        <f>IFERROR(INDEX('FB 콘텐츠 data'!$A$1:$AH$25,MATCH('FB 신규발행'!$A46,'FB 콘텐츠 data'!$AR:$AR,0),MATCH(G$2,'FB 콘텐츠 data'!$A$1:$AH$1,0)),"")</f>
        <v/>
      </c>
      <c r="H46" s="225" t="str">
        <f t="shared" si="5"/>
        <v/>
      </c>
      <c r="I46" s="225" t="str">
        <f>IFERROR(INDEX('FB 콘텐츠 data'!$A$1:$AH$25,MATCH('FB 신규발행'!$A46,'FB 콘텐츠 data'!$AR:$AR,0),MATCH(I$2,'FB 콘텐츠 data'!$A$1:$AH$1,0)),"")</f>
        <v/>
      </c>
      <c r="J46" s="225" t="str">
        <f>IFERROR(INDEX('FB 콘텐츠 data'!$A$1:$AH$25,MATCH('FB 신규발행'!$A46,'FB 콘텐츠 data'!$AR:$AR,0),MATCH(J$2,'FB 콘텐츠 data'!$A$1:$AH$1,0)),"")</f>
        <v/>
      </c>
      <c r="K46" s="224" t="str">
        <f>IFERROR(INDEX('FB 콘텐츠 data'!$A$1:$AR$25,MATCH('FB 신규발행'!$A46,'FB 콘텐츠 data'!$AR:$AR,0),MATCH(K$2,'FB 콘텐츠 data'!$A$1:$AR$1,0)),"")</f>
        <v/>
      </c>
      <c r="L46" s="225" t="str">
        <f>IFERROR(INDEX('FB 콘텐츠 data'!$A$1:$AH$25,MATCH('FB 신규발행'!$A46,'FB 콘텐츠 data'!$AR:$AR,0),MATCH(L$2,'FB 콘텐츠 data'!$A$1:$AH$1,0)),"")</f>
        <v/>
      </c>
      <c r="M46" s="225" t="str">
        <f>IFERROR(INDEX('FB 콘텐츠 data'!$A$1:$AH$25,MATCH('FB 신규발행'!$A46,'FB 콘텐츠 data'!$AR:$AR,0),MATCH(M$2,'FB 콘텐츠 data'!$A$1:$AH$1,0)),"")</f>
        <v/>
      </c>
      <c r="N46" s="225" t="str">
        <f>IFERROR(INDEX('FB 콘텐츠 data'!$A$1:$AH$25,MATCH('FB 신규발행'!$A46,'FB 콘텐츠 data'!$AR:$AR,0),MATCH(N$2,'FB 콘텐츠 data'!$A$1:$AH$1,0)),"")</f>
        <v/>
      </c>
      <c r="O46" s="225" t="str">
        <f>IFERROR(INDEX('FB 콘텐츠 data'!$A$1:$AH$25,MATCH('FB 신규발행'!$A46,'FB 콘텐츠 data'!$AR:$AR,0),MATCH(O$2,'FB 콘텐츠 data'!$A$1:$AH$1,0)),"")</f>
        <v/>
      </c>
      <c r="P46" s="225" t="str">
        <f>IFERROR(INDEX('FB 콘텐츠 data'!$A$1:$AH$25,MATCH('FB 신규발행'!$A46,'FB 콘텐츠 data'!$AR:$AR,0),MATCH(P$2,'FB 콘텐츠 data'!$A$1:$AH$1,0)),"")</f>
        <v/>
      </c>
      <c r="Q46" s="225" t="str">
        <f>IFERROR(INDEX('FB 콘텐츠 data'!$A$1:$AH$25,MATCH('FB 신규발행'!$A46,'FB 콘텐츠 data'!$AR:$AR,0),MATCH(Q$2,'FB 콘텐츠 data'!$A$1:$AH$1,0)),"")</f>
        <v/>
      </c>
      <c r="R46" s="226" t="str">
        <f t="shared" si="6"/>
        <v/>
      </c>
      <c r="T46" s="48" t="str">
        <f t="shared" si="7"/>
        <v/>
      </c>
      <c r="U46" s="48" t="str">
        <f t="shared" si="8"/>
        <v/>
      </c>
      <c r="Y46" s="112"/>
    </row>
    <row r="47" spans="1:25" ht="17.45" customHeight="1">
      <c r="A47" s="123">
        <v>45</v>
      </c>
      <c r="B47" s="223" t="str">
        <f>IFERROR(INDEX('FB 콘텐츠 data'!AQ:AQ,MATCH('FB 신규발행'!A47,'FB 콘텐츠 data'!AR:AR,0)),"")</f>
        <v/>
      </c>
      <c r="C47" s="224" t="str">
        <f>IFERROR(INDEX('FB 콘텐츠 data'!$A$1:$AH$25,MATCH('FB 신규발행'!$A47,'FB 콘텐츠 data'!$AR:$AR,0),MATCH(C$2,'FB 콘텐츠 data'!$A$1:$AH$1,0)),"")</f>
        <v/>
      </c>
      <c r="D47" s="225" t="str">
        <f>IFERROR(INDEX('FB 콘텐츠 data'!$A$1:$AH$25,MATCH('FB 신규발행'!$A47,'FB 콘텐츠 data'!$AR:$AR,0),MATCH(D$2,'FB 콘텐츠 data'!$A$1:$AH$1,0)),"")</f>
        <v/>
      </c>
      <c r="E47" s="225" t="str">
        <f>IFERROR(INDEX('FB 콘텐츠 data'!$A$1:$AH$25,MATCH('FB 신규발행'!$A47,'FB 콘텐츠 data'!$AR:$AR,0),MATCH(E$2,'FB 콘텐츠 data'!$A$1:$AH$1,0)),"")</f>
        <v/>
      </c>
      <c r="F47" s="225" t="str">
        <f>IFERROR(INDEX('FB 콘텐츠 data'!$A$1:$AH$25,MATCH('FB 신규발행'!$A47,'FB 콘텐츠 data'!$AR:$AR,0),MATCH(F$2,'FB 콘텐츠 data'!$A$1:$AH$1,0)),"")</f>
        <v/>
      </c>
      <c r="G47" s="225" t="str">
        <f>IFERROR(INDEX('FB 콘텐츠 data'!$A$1:$AH$25,MATCH('FB 신규발행'!$A47,'FB 콘텐츠 data'!$AR:$AR,0),MATCH(G$2,'FB 콘텐츠 data'!$A$1:$AH$1,0)),"")</f>
        <v/>
      </c>
      <c r="H47" s="225" t="str">
        <f t="shared" si="5"/>
        <v/>
      </c>
      <c r="I47" s="225" t="str">
        <f>IFERROR(INDEX('FB 콘텐츠 data'!$A$1:$AH$25,MATCH('FB 신규발행'!$A47,'FB 콘텐츠 data'!$AR:$AR,0),MATCH(I$2,'FB 콘텐츠 data'!$A$1:$AH$1,0)),"")</f>
        <v/>
      </c>
      <c r="J47" s="225" t="str">
        <f>IFERROR(INDEX('FB 콘텐츠 data'!$A$1:$AH$25,MATCH('FB 신규발행'!$A47,'FB 콘텐츠 data'!$AR:$AR,0),MATCH(J$2,'FB 콘텐츠 data'!$A$1:$AH$1,0)),"")</f>
        <v/>
      </c>
      <c r="K47" s="224" t="str">
        <f>IFERROR(INDEX('FB 콘텐츠 data'!$A$1:$AR$25,MATCH('FB 신규발행'!$A47,'FB 콘텐츠 data'!$AR:$AR,0),MATCH(K$2,'FB 콘텐츠 data'!$A$1:$AR$1,0)),"")</f>
        <v/>
      </c>
      <c r="L47" s="225" t="str">
        <f>IFERROR(INDEX('FB 콘텐츠 data'!$A$1:$AH$25,MATCH('FB 신규발행'!$A47,'FB 콘텐츠 data'!$AR:$AR,0),MATCH(L$2,'FB 콘텐츠 data'!$A$1:$AH$1,0)),"")</f>
        <v/>
      </c>
      <c r="M47" s="225" t="str">
        <f>IFERROR(INDEX('FB 콘텐츠 data'!$A$1:$AH$25,MATCH('FB 신규발행'!$A47,'FB 콘텐츠 data'!$AR:$AR,0),MATCH(M$2,'FB 콘텐츠 data'!$A$1:$AH$1,0)),"")</f>
        <v/>
      </c>
      <c r="N47" s="225" t="str">
        <f>IFERROR(INDEX('FB 콘텐츠 data'!$A$1:$AH$25,MATCH('FB 신규발행'!$A47,'FB 콘텐츠 data'!$AR:$AR,0),MATCH(N$2,'FB 콘텐츠 data'!$A$1:$AH$1,0)),"")</f>
        <v/>
      </c>
      <c r="O47" s="225" t="str">
        <f>IFERROR(INDEX('FB 콘텐츠 data'!$A$1:$AH$25,MATCH('FB 신규발행'!$A47,'FB 콘텐츠 data'!$AR:$AR,0),MATCH(O$2,'FB 콘텐츠 data'!$A$1:$AH$1,0)),"")</f>
        <v/>
      </c>
      <c r="P47" s="225" t="str">
        <f>IFERROR(INDEX('FB 콘텐츠 data'!$A$1:$AH$25,MATCH('FB 신규발행'!$A47,'FB 콘텐츠 data'!$AR:$AR,0),MATCH(P$2,'FB 콘텐츠 data'!$A$1:$AH$1,0)),"")</f>
        <v/>
      </c>
      <c r="Q47" s="225" t="str">
        <f>IFERROR(INDEX('FB 콘텐츠 data'!$A$1:$AH$25,MATCH('FB 신규발행'!$A47,'FB 콘텐츠 data'!$AR:$AR,0),MATCH(Q$2,'FB 콘텐츠 data'!$A$1:$AH$1,0)),"")</f>
        <v/>
      </c>
      <c r="R47" s="226" t="str">
        <f t="shared" si="6"/>
        <v/>
      </c>
      <c r="T47" s="48" t="str">
        <f t="shared" si="7"/>
        <v/>
      </c>
      <c r="U47" s="48" t="str">
        <f t="shared" si="8"/>
        <v/>
      </c>
      <c r="Y47" s="112"/>
    </row>
    <row r="48" spans="1:25" ht="17.45" customHeight="1">
      <c r="A48" s="123">
        <v>46</v>
      </c>
      <c r="B48" s="223" t="str">
        <f>IFERROR(INDEX('FB 콘텐츠 data'!AQ:AQ,MATCH('FB 신규발행'!A48,'FB 콘텐츠 data'!AR:AR,0)),"")</f>
        <v/>
      </c>
      <c r="C48" s="224" t="str">
        <f>IFERROR(INDEX('FB 콘텐츠 data'!$A$1:$AH$25,MATCH('FB 신규발행'!$A48,'FB 콘텐츠 data'!$AR:$AR,0),MATCH(C$2,'FB 콘텐츠 data'!$A$1:$AH$1,0)),"")</f>
        <v/>
      </c>
      <c r="D48" s="225" t="str">
        <f>IFERROR(INDEX('FB 콘텐츠 data'!$A$1:$AH$25,MATCH('FB 신규발행'!$A48,'FB 콘텐츠 data'!$AR:$AR,0),MATCH(D$2,'FB 콘텐츠 data'!$A$1:$AH$1,0)),"")</f>
        <v/>
      </c>
      <c r="E48" s="225" t="str">
        <f>IFERROR(INDEX('FB 콘텐츠 data'!$A$1:$AH$25,MATCH('FB 신규발행'!$A48,'FB 콘텐츠 data'!$AR:$AR,0),MATCH(E$2,'FB 콘텐츠 data'!$A$1:$AH$1,0)),"")</f>
        <v/>
      </c>
      <c r="F48" s="225" t="str">
        <f>IFERROR(INDEX('FB 콘텐츠 data'!$A$1:$AH$25,MATCH('FB 신규발행'!$A48,'FB 콘텐츠 data'!$AR:$AR,0),MATCH(F$2,'FB 콘텐츠 data'!$A$1:$AH$1,0)),"")</f>
        <v/>
      </c>
      <c r="G48" s="225" t="str">
        <f>IFERROR(INDEX('FB 콘텐츠 data'!$A$1:$AH$25,MATCH('FB 신규발행'!$A48,'FB 콘텐츠 data'!$AR:$AR,0),MATCH(G$2,'FB 콘텐츠 data'!$A$1:$AH$1,0)),"")</f>
        <v/>
      </c>
      <c r="H48" s="225" t="str">
        <f t="shared" si="5"/>
        <v/>
      </c>
      <c r="I48" s="225" t="str">
        <f>IFERROR(INDEX('FB 콘텐츠 data'!$A$1:$AH$25,MATCH('FB 신규발행'!$A48,'FB 콘텐츠 data'!$AR:$AR,0),MATCH(I$2,'FB 콘텐츠 data'!$A$1:$AH$1,0)),"")</f>
        <v/>
      </c>
      <c r="J48" s="225" t="str">
        <f>IFERROR(INDEX('FB 콘텐츠 data'!$A$1:$AH$25,MATCH('FB 신규발행'!$A48,'FB 콘텐츠 data'!$AR:$AR,0),MATCH(J$2,'FB 콘텐츠 data'!$A$1:$AH$1,0)),"")</f>
        <v/>
      </c>
      <c r="K48" s="224" t="str">
        <f>IFERROR(INDEX('FB 콘텐츠 data'!$A$1:$AR$25,MATCH('FB 신규발행'!$A48,'FB 콘텐츠 data'!$AR:$AR,0),MATCH(K$2,'FB 콘텐츠 data'!$A$1:$AR$1,0)),"")</f>
        <v/>
      </c>
      <c r="L48" s="225" t="str">
        <f>IFERROR(INDEX('FB 콘텐츠 data'!$A$1:$AH$25,MATCH('FB 신규발행'!$A48,'FB 콘텐츠 data'!$AR:$AR,0),MATCH(L$2,'FB 콘텐츠 data'!$A$1:$AH$1,0)),"")</f>
        <v/>
      </c>
      <c r="M48" s="225" t="str">
        <f>IFERROR(INDEX('FB 콘텐츠 data'!$A$1:$AH$25,MATCH('FB 신규발행'!$A48,'FB 콘텐츠 data'!$AR:$AR,0),MATCH(M$2,'FB 콘텐츠 data'!$A$1:$AH$1,0)),"")</f>
        <v/>
      </c>
      <c r="N48" s="225" t="str">
        <f>IFERROR(INDEX('FB 콘텐츠 data'!$A$1:$AH$25,MATCH('FB 신규발행'!$A48,'FB 콘텐츠 data'!$AR:$AR,0),MATCH(N$2,'FB 콘텐츠 data'!$A$1:$AH$1,0)),"")</f>
        <v/>
      </c>
      <c r="O48" s="225" t="str">
        <f>IFERROR(INDEX('FB 콘텐츠 data'!$A$1:$AH$25,MATCH('FB 신규발행'!$A48,'FB 콘텐츠 data'!$AR:$AR,0),MATCH(O$2,'FB 콘텐츠 data'!$A$1:$AH$1,0)),"")</f>
        <v/>
      </c>
      <c r="P48" s="225" t="str">
        <f>IFERROR(INDEX('FB 콘텐츠 data'!$A$1:$AH$25,MATCH('FB 신규발행'!$A48,'FB 콘텐츠 data'!$AR:$AR,0),MATCH(P$2,'FB 콘텐츠 data'!$A$1:$AH$1,0)),"")</f>
        <v/>
      </c>
      <c r="Q48" s="225" t="str">
        <f>IFERROR(INDEX('FB 콘텐츠 data'!$A$1:$AH$25,MATCH('FB 신규발행'!$A48,'FB 콘텐츠 data'!$AR:$AR,0),MATCH(Q$2,'FB 콘텐츠 data'!$A$1:$AH$1,0)),"")</f>
        <v/>
      </c>
      <c r="R48" s="226" t="str">
        <f t="shared" si="6"/>
        <v/>
      </c>
      <c r="T48" s="48" t="str">
        <f t="shared" si="7"/>
        <v/>
      </c>
      <c r="U48" s="48" t="str">
        <f t="shared" si="8"/>
        <v/>
      </c>
      <c r="Y48" s="112"/>
    </row>
    <row r="49" spans="1:25" ht="17.45" customHeight="1">
      <c r="A49" s="123">
        <v>47</v>
      </c>
      <c r="B49" s="223" t="str">
        <f>IFERROR(INDEX('FB 콘텐츠 data'!AQ:AQ,MATCH('FB 신규발행'!A49,'FB 콘텐츠 data'!AR:AR,0)),"")</f>
        <v/>
      </c>
      <c r="C49" s="224" t="str">
        <f>IFERROR(INDEX('FB 콘텐츠 data'!$A$1:$AH$25,MATCH('FB 신규발행'!$A49,'FB 콘텐츠 data'!$AR:$AR,0),MATCH(C$2,'FB 콘텐츠 data'!$A$1:$AH$1,0)),"")</f>
        <v/>
      </c>
      <c r="D49" s="225" t="str">
        <f>IFERROR(INDEX('FB 콘텐츠 data'!$A$1:$AH$25,MATCH('FB 신규발행'!$A49,'FB 콘텐츠 data'!$AR:$AR,0),MATCH(D$2,'FB 콘텐츠 data'!$A$1:$AH$1,0)),"")</f>
        <v/>
      </c>
      <c r="E49" s="225" t="str">
        <f>IFERROR(INDEX('FB 콘텐츠 data'!$A$1:$AH$25,MATCH('FB 신규발행'!$A49,'FB 콘텐츠 data'!$AR:$AR,0),MATCH(E$2,'FB 콘텐츠 data'!$A$1:$AH$1,0)),"")</f>
        <v/>
      </c>
      <c r="F49" s="225" t="str">
        <f>IFERROR(INDEX('FB 콘텐츠 data'!$A$1:$AH$25,MATCH('FB 신규발행'!$A49,'FB 콘텐츠 data'!$AR:$AR,0),MATCH(F$2,'FB 콘텐츠 data'!$A$1:$AH$1,0)),"")</f>
        <v/>
      </c>
      <c r="G49" s="225" t="str">
        <f>IFERROR(INDEX('FB 콘텐츠 data'!$A$1:$AH$25,MATCH('FB 신규발행'!$A49,'FB 콘텐츠 data'!$AR:$AR,0),MATCH(G$2,'FB 콘텐츠 data'!$A$1:$AH$1,0)),"")</f>
        <v/>
      </c>
      <c r="H49" s="225" t="str">
        <f t="shared" si="5"/>
        <v/>
      </c>
      <c r="I49" s="225" t="str">
        <f>IFERROR(INDEX('FB 콘텐츠 data'!$A$1:$AH$25,MATCH('FB 신규발행'!$A49,'FB 콘텐츠 data'!$AR:$AR,0),MATCH(I$2,'FB 콘텐츠 data'!$A$1:$AH$1,0)),"")</f>
        <v/>
      </c>
      <c r="J49" s="225" t="str">
        <f>IFERROR(INDEX('FB 콘텐츠 data'!$A$1:$AH$25,MATCH('FB 신규발행'!$A49,'FB 콘텐츠 data'!$AR:$AR,0),MATCH(J$2,'FB 콘텐츠 data'!$A$1:$AH$1,0)),"")</f>
        <v/>
      </c>
      <c r="K49" s="224" t="str">
        <f>IFERROR(INDEX('FB 콘텐츠 data'!$A$1:$AR$25,MATCH('FB 신규발행'!$A49,'FB 콘텐츠 data'!$AR:$AR,0),MATCH(K$2,'FB 콘텐츠 data'!$A$1:$AR$1,0)),"")</f>
        <v/>
      </c>
      <c r="L49" s="225" t="str">
        <f>IFERROR(INDEX('FB 콘텐츠 data'!$A$1:$AH$25,MATCH('FB 신규발행'!$A49,'FB 콘텐츠 data'!$AR:$AR,0),MATCH(L$2,'FB 콘텐츠 data'!$A$1:$AH$1,0)),"")</f>
        <v/>
      </c>
      <c r="M49" s="225" t="str">
        <f>IFERROR(INDEX('FB 콘텐츠 data'!$A$1:$AH$25,MATCH('FB 신규발행'!$A49,'FB 콘텐츠 data'!$AR:$AR,0),MATCH(M$2,'FB 콘텐츠 data'!$A$1:$AH$1,0)),"")</f>
        <v/>
      </c>
      <c r="N49" s="225" t="str">
        <f>IFERROR(INDEX('FB 콘텐츠 data'!$A$1:$AH$25,MATCH('FB 신규발행'!$A49,'FB 콘텐츠 data'!$AR:$AR,0),MATCH(N$2,'FB 콘텐츠 data'!$A$1:$AH$1,0)),"")</f>
        <v/>
      </c>
      <c r="O49" s="225" t="str">
        <f>IFERROR(INDEX('FB 콘텐츠 data'!$A$1:$AH$25,MATCH('FB 신규발행'!$A49,'FB 콘텐츠 data'!$AR:$AR,0),MATCH(O$2,'FB 콘텐츠 data'!$A$1:$AH$1,0)),"")</f>
        <v/>
      </c>
      <c r="P49" s="225" t="str">
        <f>IFERROR(INDEX('FB 콘텐츠 data'!$A$1:$AH$25,MATCH('FB 신규발행'!$A49,'FB 콘텐츠 data'!$AR:$AR,0),MATCH(P$2,'FB 콘텐츠 data'!$A$1:$AH$1,0)),"")</f>
        <v/>
      </c>
      <c r="Q49" s="225" t="str">
        <f>IFERROR(INDEX('FB 콘텐츠 data'!$A$1:$AH$25,MATCH('FB 신규발행'!$A49,'FB 콘텐츠 data'!$AR:$AR,0),MATCH(Q$2,'FB 콘텐츠 data'!$A$1:$AH$1,0)),"")</f>
        <v/>
      </c>
      <c r="R49" s="226" t="str">
        <f t="shared" si="6"/>
        <v/>
      </c>
      <c r="T49" s="48" t="str">
        <f t="shared" si="7"/>
        <v/>
      </c>
      <c r="U49" s="48" t="str">
        <f t="shared" si="8"/>
        <v/>
      </c>
      <c r="Y49" s="112"/>
    </row>
    <row r="50" spans="1:25" ht="17.45" customHeight="1">
      <c r="A50" s="123">
        <v>48</v>
      </c>
      <c r="B50" s="223" t="str">
        <f>IFERROR(INDEX('FB 콘텐츠 data'!AQ:AQ,MATCH('FB 신규발행'!A50,'FB 콘텐츠 data'!AR:AR,0)),"")</f>
        <v/>
      </c>
      <c r="C50" s="224" t="str">
        <f>IFERROR(INDEX('FB 콘텐츠 data'!$A$1:$AH$25,MATCH('FB 신규발행'!$A50,'FB 콘텐츠 data'!$AR:$AR,0),MATCH(C$2,'FB 콘텐츠 data'!$A$1:$AH$1,0)),"")</f>
        <v/>
      </c>
      <c r="D50" s="225" t="str">
        <f>IFERROR(INDEX('FB 콘텐츠 data'!$A$1:$AH$25,MATCH('FB 신규발행'!$A50,'FB 콘텐츠 data'!$AR:$AR,0),MATCH(D$2,'FB 콘텐츠 data'!$A$1:$AH$1,0)),"")</f>
        <v/>
      </c>
      <c r="E50" s="225" t="str">
        <f>IFERROR(INDEX('FB 콘텐츠 data'!$A$1:$AH$25,MATCH('FB 신규발행'!$A50,'FB 콘텐츠 data'!$AR:$AR,0),MATCH(E$2,'FB 콘텐츠 data'!$A$1:$AH$1,0)),"")</f>
        <v/>
      </c>
      <c r="F50" s="225" t="str">
        <f>IFERROR(INDEX('FB 콘텐츠 data'!$A$1:$AH$25,MATCH('FB 신규발행'!$A50,'FB 콘텐츠 data'!$AR:$AR,0),MATCH(F$2,'FB 콘텐츠 data'!$A$1:$AH$1,0)),"")</f>
        <v/>
      </c>
      <c r="G50" s="225" t="str">
        <f>IFERROR(INDEX('FB 콘텐츠 data'!$A$1:$AH$25,MATCH('FB 신규발행'!$A50,'FB 콘텐츠 data'!$AR:$AR,0),MATCH(G$2,'FB 콘텐츠 data'!$A$1:$AH$1,0)),"")</f>
        <v/>
      </c>
      <c r="H50" s="225" t="str">
        <f t="shared" si="5"/>
        <v/>
      </c>
      <c r="I50" s="225" t="str">
        <f>IFERROR(INDEX('FB 콘텐츠 data'!$A$1:$AH$25,MATCH('FB 신규발행'!$A50,'FB 콘텐츠 data'!$AR:$AR,0),MATCH(I$2,'FB 콘텐츠 data'!$A$1:$AH$1,0)),"")</f>
        <v/>
      </c>
      <c r="J50" s="225" t="str">
        <f>IFERROR(INDEX('FB 콘텐츠 data'!$A$1:$AH$25,MATCH('FB 신규발행'!$A50,'FB 콘텐츠 data'!$AR:$AR,0),MATCH(J$2,'FB 콘텐츠 data'!$A$1:$AH$1,0)),"")</f>
        <v/>
      </c>
      <c r="K50" s="224" t="str">
        <f>IFERROR(INDEX('FB 콘텐츠 data'!$A$1:$AR$25,MATCH('FB 신규발행'!$A50,'FB 콘텐츠 data'!$AR:$AR,0),MATCH(K$2,'FB 콘텐츠 data'!$A$1:$AR$1,0)),"")</f>
        <v/>
      </c>
      <c r="L50" s="225" t="str">
        <f>IFERROR(INDEX('FB 콘텐츠 data'!$A$1:$AH$25,MATCH('FB 신규발행'!$A50,'FB 콘텐츠 data'!$AR:$AR,0),MATCH(L$2,'FB 콘텐츠 data'!$A$1:$AH$1,0)),"")</f>
        <v/>
      </c>
      <c r="M50" s="225" t="str">
        <f>IFERROR(INDEX('FB 콘텐츠 data'!$A$1:$AH$25,MATCH('FB 신규발행'!$A50,'FB 콘텐츠 data'!$AR:$AR,0),MATCH(M$2,'FB 콘텐츠 data'!$A$1:$AH$1,0)),"")</f>
        <v/>
      </c>
      <c r="N50" s="225" t="str">
        <f>IFERROR(INDEX('FB 콘텐츠 data'!$A$1:$AH$25,MATCH('FB 신규발행'!$A50,'FB 콘텐츠 data'!$AR:$AR,0),MATCH(N$2,'FB 콘텐츠 data'!$A$1:$AH$1,0)),"")</f>
        <v/>
      </c>
      <c r="O50" s="225" t="str">
        <f>IFERROR(INDEX('FB 콘텐츠 data'!$A$1:$AH$25,MATCH('FB 신규발행'!$A50,'FB 콘텐츠 data'!$AR:$AR,0),MATCH(O$2,'FB 콘텐츠 data'!$A$1:$AH$1,0)),"")</f>
        <v/>
      </c>
      <c r="P50" s="225" t="str">
        <f>IFERROR(INDEX('FB 콘텐츠 data'!$A$1:$AH$25,MATCH('FB 신규발행'!$A50,'FB 콘텐츠 data'!$AR:$AR,0),MATCH(P$2,'FB 콘텐츠 data'!$A$1:$AH$1,0)),"")</f>
        <v/>
      </c>
      <c r="Q50" s="225" t="str">
        <f>IFERROR(INDEX('FB 콘텐츠 data'!$A$1:$AH$25,MATCH('FB 신규발행'!$A50,'FB 콘텐츠 data'!$AR:$AR,0),MATCH(Q$2,'FB 콘텐츠 data'!$A$1:$AH$1,0)),"")</f>
        <v/>
      </c>
      <c r="R50" s="226" t="str">
        <f t="shared" si="6"/>
        <v/>
      </c>
      <c r="T50" s="48" t="str">
        <f t="shared" si="7"/>
        <v/>
      </c>
      <c r="U50" s="48" t="str">
        <f t="shared" si="8"/>
        <v/>
      </c>
      <c r="Y50" s="112"/>
    </row>
    <row r="51" spans="1:25" ht="17.45" customHeight="1">
      <c r="A51" s="123">
        <v>49</v>
      </c>
      <c r="B51" s="223" t="str">
        <f>IFERROR(INDEX('FB 콘텐츠 data'!AQ:AQ,MATCH('FB 신규발행'!A51,'FB 콘텐츠 data'!AR:AR,0)),"")</f>
        <v/>
      </c>
      <c r="C51" s="224" t="str">
        <f>IFERROR(INDEX('FB 콘텐츠 data'!$A$1:$AH$25,MATCH('FB 신규발행'!$A51,'FB 콘텐츠 data'!$AR:$AR,0),MATCH(C$2,'FB 콘텐츠 data'!$A$1:$AH$1,0)),"")</f>
        <v/>
      </c>
      <c r="D51" s="225" t="str">
        <f>IFERROR(INDEX('FB 콘텐츠 data'!$A$1:$AH$25,MATCH('FB 신규발행'!$A51,'FB 콘텐츠 data'!$AR:$AR,0),MATCH(D$2,'FB 콘텐츠 data'!$A$1:$AH$1,0)),"")</f>
        <v/>
      </c>
      <c r="E51" s="225" t="str">
        <f>IFERROR(INDEX('FB 콘텐츠 data'!$A$1:$AH$25,MATCH('FB 신규발행'!$A51,'FB 콘텐츠 data'!$AR:$AR,0),MATCH(E$2,'FB 콘텐츠 data'!$A$1:$AH$1,0)),"")</f>
        <v/>
      </c>
      <c r="F51" s="225" t="str">
        <f>IFERROR(INDEX('FB 콘텐츠 data'!$A$1:$AH$25,MATCH('FB 신규발행'!$A51,'FB 콘텐츠 data'!$AR:$AR,0),MATCH(F$2,'FB 콘텐츠 data'!$A$1:$AH$1,0)),"")</f>
        <v/>
      </c>
      <c r="G51" s="225" t="str">
        <f>IFERROR(INDEX('FB 콘텐츠 data'!$A$1:$AH$25,MATCH('FB 신규발행'!$A51,'FB 콘텐츠 data'!$AR:$AR,0),MATCH(G$2,'FB 콘텐츠 data'!$A$1:$AH$1,0)),"")</f>
        <v/>
      </c>
      <c r="H51" s="225" t="str">
        <f t="shared" si="5"/>
        <v/>
      </c>
      <c r="I51" s="225" t="str">
        <f>IFERROR(INDEX('FB 콘텐츠 data'!$A$1:$AH$25,MATCH('FB 신규발행'!$A51,'FB 콘텐츠 data'!$AR:$AR,0),MATCH(I$2,'FB 콘텐츠 data'!$A$1:$AH$1,0)),"")</f>
        <v/>
      </c>
      <c r="J51" s="225" t="str">
        <f>IFERROR(INDEX('FB 콘텐츠 data'!$A$1:$AH$25,MATCH('FB 신규발행'!$A51,'FB 콘텐츠 data'!$AR:$AR,0),MATCH(J$2,'FB 콘텐츠 data'!$A$1:$AH$1,0)),"")</f>
        <v/>
      </c>
      <c r="K51" s="224" t="str">
        <f>IFERROR(INDEX('FB 콘텐츠 data'!$A$1:$AR$25,MATCH('FB 신규발행'!$A51,'FB 콘텐츠 data'!$AR:$AR,0),MATCH(K$2,'FB 콘텐츠 data'!$A$1:$AR$1,0)),"")</f>
        <v/>
      </c>
      <c r="L51" s="225" t="str">
        <f>IFERROR(INDEX('FB 콘텐츠 data'!$A$1:$AH$25,MATCH('FB 신규발행'!$A51,'FB 콘텐츠 data'!$AR:$AR,0),MATCH(L$2,'FB 콘텐츠 data'!$A$1:$AH$1,0)),"")</f>
        <v/>
      </c>
      <c r="M51" s="225" t="str">
        <f>IFERROR(INDEX('FB 콘텐츠 data'!$A$1:$AH$25,MATCH('FB 신규발행'!$A51,'FB 콘텐츠 data'!$AR:$AR,0),MATCH(M$2,'FB 콘텐츠 data'!$A$1:$AH$1,0)),"")</f>
        <v/>
      </c>
      <c r="N51" s="225" t="str">
        <f>IFERROR(INDEX('FB 콘텐츠 data'!$A$1:$AH$25,MATCH('FB 신규발행'!$A51,'FB 콘텐츠 data'!$AR:$AR,0),MATCH(N$2,'FB 콘텐츠 data'!$A$1:$AH$1,0)),"")</f>
        <v/>
      </c>
      <c r="O51" s="225" t="str">
        <f>IFERROR(INDEX('FB 콘텐츠 data'!$A$1:$AH$25,MATCH('FB 신규발행'!$A51,'FB 콘텐츠 data'!$AR:$AR,0),MATCH(O$2,'FB 콘텐츠 data'!$A$1:$AH$1,0)),"")</f>
        <v/>
      </c>
      <c r="P51" s="225" t="str">
        <f>IFERROR(INDEX('FB 콘텐츠 data'!$A$1:$AH$25,MATCH('FB 신규발행'!$A51,'FB 콘텐츠 data'!$AR:$AR,0),MATCH(P$2,'FB 콘텐츠 data'!$A$1:$AH$1,0)),"")</f>
        <v/>
      </c>
      <c r="Q51" s="225" t="str">
        <f>IFERROR(INDEX('FB 콘텐츠 data'!$A$1:$AH$25,MATCH('FB 신규발행'!$A51,'FB 콘텐츠 data'!$AR:$AR,0),MATCH(Q$2,'FB 콘텐츠 data'!$A$1:$AH$1,0)),"")</f>
        <v/>
      </c>
      <c r="R51" s="226" t="str">
        <f t="shared" si="6"/>
        <v/>
      </c>
      <c r="T51" s="48" t="str">
        <f t="shared" si="7"/>
        <v/>
      </c>
      <c r="U51" s="48" t="str">
        <f t="shared" si="8"/>
        <v/>
      </c>
      <c r="Y51" s="112"/>
    </row>
    <row r="52" spans="1:25" ht="17.45" customHeight="1">
      <c r="A52" s="123">
        <v>50</v>
      </c>
      <c r="B52" s="223" t="str">
        <f>IFERROR(INDEX('FB 콘텐츠 data'!AQ:AQ,MATCH('FB 신규발행'!A52,'FB 콘텐츠 data'!AR:AR,0)),"")</f>
        <v/>
      </c>
      <c r="C52" s="224" t="str">
        <f>IFERROR(INDEX('FB 콘텐츠 data'!$A$1:$AH$25,MATCH('FB 신규발행'!$A52,'FB 콘텐츠 data'!$AR:$AR,0),MATCH(C$2,'FB 콘텐츠 data'!$A$1:$AH$1,0)),"")</f>
        <v/>
      </c>
      <c r="D52" s="225" t="str">
        <f>IFERROR(INDEX('FB 콘텐츠 data'!$A$1:$AH$25,MATCH('FB 신규발행'!$A52,'FB 콘텐츠 data'!$AR:$AR,0),MATCH(D$2,'FB 콘텐츠 data'!$A$1:$AH$1,0)),"")</f>
        <v/>
      </c>
      <c r="E52" s="225" t="str">
        <f>IFERROR(INDEX('FB 콘텐츠 data'!$A$1:$AH$25,MATCH('FB 신규발행'!$A52,'FB 콘텐츠 data'!$AR:$AR,0),MATCH(E$2,'FB 콘텐츠 data'!$A$1:$AH$1,0)),"")</f>
        <v/>
      </c>
      <c r="F52" s="225" t="str">
        <f>IFERROR(INDEX('FB 콘텐츠 data'!$A$1:$AH$25,MATCH('FB 신규발행'!$A52,'FB 콘텐츠 data'!$AR:$AR,0),MATCH(F$2,'FB 콘텐츠 data'!$A$1:$AH$1,0)),"")</f>
        <v/>
      </c>
      <c r="G52" s="225" t="str">
        <f>IFERROR(INDEX('FB 콘텐츠 data'!$A$1:$AH$25,MATCH('FB 신규발행'!$A52,'FB 콘텐츠 data'!$AR:$AR,0),MATCH(G$2,'FB 콘텐츠 data'!$A$1:$AH$1,0)),"")</f>
        <v/>
      </c>
      <c r="H52" s="225" t="str">
        <f t="shared" si="5"/>
        <v/>
      </c>
      <c r="I52" s="225" t="str">
        <f>IFERROR(INDEX('FB 콘텐츠 data'!$A$1:$AH$25,MATCH('FB 신규발행'!$A52,'FB 콘텐츠 data'!$AR:$AR,0),MATCH(I$2,'FB 콘텐츠 data'!$A$1:$AH$1,0)),"")</f>
        <v/>
      </c>
      <c r="J52" s="225" t="str">
        <f>IFERROR(INDEX('FB 콘텐츠 data'!$A$1:$AH$25,MATCH('FB 신규발행'!$A52,'FB 콘텐츠 data'!$AR:$AR,0),MATCH(J$2,'FB 콘텐츠 data'!$A$1:$AH$1,0)),"")</f>
        <v/>
      </c>
      <c r="K52" s="224" t="str">
        <f>IFERROR(INDEX('FB 콘텐츠 data'!$A$1:$AR$25,MATCH('FB 신규발행'!$A52,'FB 콘텐츠 data'!$AR:$AR,0),MATCH(K$2,'FB 콘텐츠 data'!$A$1:$AR$1,0)),"")</f>
        <v/>
      </c>
      <c r="L52" s="225" t="str">
        <f>IFERROR(INDEX('FB 콘텐츠 data'!$A$1:$AH$25,MATCH('FB 신규발행'!$A52,'FB 콘텐츠 data'!$AR:$AR,0),MATCH(L$2,'FB 콘텐츠 data'!$A$1:$AH$1,0)),"")</f>
        <v/>
      </c>
      <c r="M52" s="225" t="str">
        <f>IFERROR(INDEX('FB 콘텐츠 data'!$A$1:$AH$25,MATCH('FB 신규발행'!$A52,'FB 콘텐츠 data'!$AR:$AR,0),MATCH(M$2,'FB 콘텐츠 data'!$A$1:$AH$1,0)),"")</f>
        <v/>
      </c>
      <c r="N52" s="225" t="str">
        <f>IFERROR(INDEX('FB 콘텐츠 data'!$A$1:$AH$25,MATCH('FB 신규발행'!$A52,'FB 콘텐츠 data'!$AR:$AR,0),MATCH(N$2,'FB 콘텐츠 data'!$A$1:$AH$1,0)),"")</f>
        <v/>
      </c>
      <c r="O52" s="225" t="str">
        <f>IFERROR(INDEX('FB 콘텐츠 data'!$A$1:$AH$25,MATCH('FB 신규발행'!$A52,'FB 콘텐츠 data'!$AR:$AR,0),MATCH(O$2,'FB 콘텐츠 data'!$A$1:$AH$1,0)),"")</f>
        <v/>
      </c>
      <c r="P52" s="225" t="str">
        <f>IFERROR(INDEX('FB 콘텐츠 data'!$A$1:$AH$25,MATCH('FB 신규발행'!$A52,'FB 콘텐츠 data'!$AR:$AR,0),MATCH(P$2,'FB 콘텐츠 data'!$A$1:$AH$1,0)),"")</f>
        <v/>
      </c>
      <c r="Q52" s="225" t="str">
        <f>IFERROR(INDEX('FB 콘텐츠 data'!$A$1:$AH$25,MATCH('FB 신규발행'!$A52,'FB 콘텐츠 data'!$AR:$AR,0),MATCH(Q$2,'FB 콘텐츠 data'!$A$1:$AH$1,0)),"")</f>
        <v/>
      </c>
      <c r="R52" s="226" t="str">
        <f t="shared" si="6"/>
        <v/>
      </c>
      <c r="T52" s="48" t="str">
        <f t="shared" si="7"/>
        <v/>
      </c>
      <c r="U52" s="48" t="str">
        <f t="shared" si="8"/>
        <v/>
      </c>
      <c r="Y52" s="112"/>
    </row>
    <row r="53" spans="1:25" ht="17.45" customHeight="1">
      <c r="A53" s="123">
        <v>51</v>
      </c>
      <c r="B53" s="223" t="str">
        <f>IFERROR(INDEX('FB 콘텐츠 data'!AQ:AQ,MATCH('FB 신규발행'!A53,'FB 콘텐츠 data'!AR:AR,0)),"")</f>
        <v/>
      </c>
      <c r="C53" s="224" t="str">
        <f>IFERROR(INDEX('FB 콘텐츠 data'!$A$1:$AH$25,MATCH('FB 신규발행'!$A53,'FB 콘텐츠 data'!$AR:$AR,0),MATCH(C$2,'FB 콘텐츠 data'!$A$1:$AH$1,0)),"")</f>
        <v/>
      </c>
      <c r="D53" s="225" t="str">
        <f>IFERROR(INDEX('FB 콘텐츠 data'!$A$1:$AH$25,MATCH('FB 신규발행'!$A53,'FB 콘텐츠 data'!$AR:$AR,0),MATCH(D$2,'FB 콘텐츠 data'!$A$1:$AH$1,0)),"")</f>
        <v/>
      </c>
      <c r="E53" s="225" t="str">
        <f>IFERROR(INDEX('FB 콘텐츠 data'!$A$1:$AH$25,MATCH('FB 신규발행'!$A53,'FB 콘텐츠 data'!$AR:$AR,0),MATCH(E$2,'FB 콘텐츠 data'!$A$1:$AH$1,0)),"")</f>
        <v/>
      </c>
      <c r="F53" s="225" t="str">
        <f>IFERROR(INDEX('FB 콘텐츠 data'!$A$1:$AH$25,MATCH('FB 신규발행'!$A53,'FB 콘텐츠 data'!$AR:$AR,0),MATCH(F$2,'FB 콘텐츠 data'!$A$1:$AH$1,0)),"")</f>
        <v/>
      </c>
      <c r="G53" s="225" t="str">
        <f>IFERROR(INDEX('FB 콘텐츠 data'!$A$1:$AH$25,MATCH('FB 신규발행'!$A53,'FB 콘텐츠 data'!$AR:$AR,0),MATCH(G$2,'FB 콘텐츠 data'!$A$1:$AH$1,0)),"")</f>
        <v/>
      </c>
      <c r="H53" s="225" t="str">
        <f t="shared" si="5"/>
        <v/>
      </c>
      <c r="I53" s="225" t="str">
        <f>IFERROR(INDEX('FB 콘텐츠 data'!$A$1:$AH$25,MATCH('FB 신규발행'!$A53,'FB 콘텐츠 data'!$AR:$AR,0),MATCH(I$2,'FB 콘텐츠 data'!$A$1:$AH$1,0)),"")</f>
        <v/>
      </c>
      <c r="J53" s="225" t="str">
        <f>IFERROR(INDEX('FB 콘텐츠 data'!$A$1:$AH$25,MATCH('FB 신규발행'!$A53,'FB 콘텐츠 data'!$AR:$AR,0),MATCH(J$2,'FB 콘텐츠 data'!$A$1:$AH$1,0)),"")</f>
        <v/>
      </c>
      <c r="K53" s="224" t="str">
        <f>IFERROR(INDEX('FB 콘텐츠 data'!$A$1:$AR$25,MATCH('FB 신규발행'!$A53,'FB 콘텐츠 data'!$AR:$AR,0),MATCH(K$2,'FB 콘텐츠 data'!$A$1:$AR$1,0)),"")</f>
        <v/>
      </c>
      <c r="L53" s="225" t="str">
        <f>IFERROR(INDEX('FB 콘텐츠 data'!$A$1:$AH$25,MATCH('FB 신규발행'!$A53,'FB 콘텐츠 data'!$AR:$AR,0),MATCH(L$2,'FB 콘텐츠 data'!$A$1:$AH$1,0)),"")</f>
        <v/>
      </c>
      <c r="M53" s="225" t="str">
        <f>IFERROR(INDEX('FB 콘텐츠 data'!$A$1:$AH$25,MATCH('FB 신규발행'!$A53,'FB 콘텐츠 data'!$AR:$AR,0),MATCH(M$2,'FB 콘텐츠 data'!$A$1:$AH$1,0)),"")</f>
        <v/>
      </c>
      <c r="N53" s="225" t="str">
        <f>IFERROR(INDEX('FB 콘텐츠 data'!$A$1:$AH$25,MATCH('FB 신규발행'!$A53,'FB 콘텐츠 data'!$AR:$AR,0),MATCH(N$2,'FB 콘텐츠 data'!$A$1:$AH$1,0)),"")</f>
        <v/>
      </c>
      <c r="O53" s="225" t="str">
        <f>IFERROR(INDEX('FB 콘텐츠 data'!$A$1:$AH$25,MATCH('FB 신규발행'!$A53,'FB 콘텐츠 data'!$AR:$AR,0),MATCH(O$2,'FB 콘텐츠 data'!$A$1:$AH$1,0)),"")</f>
        <v/>
      </c>
      <c r="P53" s="225" t="str">
        <f>IFERROR(INDEX('FB 콘텐츠 data'!$A$1:$AH$25,MATCH('FB 신규발행'!$A53,'FB 콘텐츠 data'!$AR:$AR,0),MATCH(P$2,'FB 콘텐츠 data'!$A$1:$AH$1,0)),"")</f>
        <v/>
      </c>
      <c r="Q53" s="225" t="str">
        <f>IFERROR(INDEX('FB 콘텐츠 data'!$A$1:$AH$25,MATCH('FB 신규발행'!$A53,'FB 콘텐츠 data'!$AR:$AR,0),MATCH(Q$2,'FB 콘텐츠 data'!$A$1:$AH$1,0)),"")</f>
        <v/>
      </c>
      <c r="R53" s="226" t="str">
        <f t="shared" si="6"/>
        <v/>
      </c>
      <c r="T53" s="48" t="str">
        <f t="shared" si="7"/>
        <v/>
      </c>
      <c r="U53" s="48" t="str">
        <f t="shared" si="8"/>
        <v/>
      </c>
      <c r="Y53" s="112"/>
    </row>
    <row r="54" spans="1:25" ht="17.45" customHeight="1">
      <c r="A54" s="123">
        <v>52</v>
      </c>
      <c r="B54" s="223" t="str">
        <f>IFERROR(INDEX('FB 콘텐츠 data'!AQ:AQ,MATCH('FB 신규발행'!A54,'FB 콘텐츠 data'!AR:AR,0)),"")</f>
        <v/>
      </c>
      <c r="C54" s="224" t="str">
        <f>IFERROR(INDEX('FB 콘텐츠 data'!$A$1:$AH$25,MATCH('FB 신규발행'!$A54,'FB 콘텐츠 data'!$AR:$AR,0),MATCH(C$2,'FB 콘텐츠 data'!$A$1:$AH$1,0)),"")</f>
        <v/>
      </c>
      <c r="D54" s="225" t="str">
        <f>IFERROR(INDEX('FB 콘텐츠 data'!$A$1:$AH$25,MATCH('FB 신규발행'!$A54,'FB 콘텐츠 data'!$AR:$AR,0),MATCH(D$2,'FB 콘텐츠 data'!$A$1:$AH$1,0)),"")</f>
        <v/>
      </c>
      <c r="E54" s="225" t="str">
        <f>IFERROR(INDEX('FB 콘텐츠 data'!$A$1:$AH$25,MATCH('FB 신규발행'!$A54,'FB 콘텐츠 data'!$AR:$AR,0),MATCH(E$2,'FB 콘텐츠 data'!$A$1:$AH$1,0)),"")</f>
        <v/>
      </c>
      <c r="F54" s="225" t="str">
        <f>IFERROR(INDEX('FB 콘텐츠 data'!$A$1:$AH$25,MATCH('FB 신규발행'!$A54,'FB 콘텐츠 data'!$AR:$AR,0),MATCH(F$2,'FB 콘텐츠 data'!$A$1:$AH$1,0)),"")</f>
        <v/>
      </c>
      <c r="G54" s="225" t="str">
        <f>IFERROR(INDEX('FB 콘텐츠 data'!$A$1:$AH$25,MATCH('FB 신규발행'!$A54,'FB 콘텐츠 data'!$AR:$AR,0),MATCH(G$2,'FB 콘텐츠 data'!$A$1:$AH$1,0)),"")</f>
        <v/>
      </c>
      <c r="H54" s="225" t="str">
        <f t="shared" si="5"/>
        <v/>
      </c>
      <c r="I54" s="225" t="str">
        <f>IFERROR(INDEX('FB 콘텐츠 data'!$A$1:$AH$25,MATCH('FB 신규발행'!$A54,'FB 콘텐츠 data'!$AR:$AR,0),MATCH(I$2,'FB 콘텐츠 data'!$A$1:$AH$1,0)),"")</f>
        <v/>
      </c>
      <c r="J54" s="225" t="str">
        <f>IFERROR(INDEX('FB 콘텐츠 data'!$A$1:$AH$25,MATCH('FB 신규발행'!$A54,'FB 콘텐츠 data'!$AR:$AR,0),MATCH(J$2,'FB 콘텐츠 data'!$A$1:$AH$1,0)),"")</f>
        <v/>
      </c>
      <c r="K54" s="224" t="str">
        <f>IFERROR(INDEX('FB 콘텐츠 data'!$A$1:$AR$25,MATCH('FB 신규발행'!$A54,'FB 콘텐츠 data'!$AR:$AR,0),MATCH(K$2,'FB 콘텐츠 data'!$A$1:$AR$1,0)),"")</f>
        <v/>
      </c>
      <c r="L54" s="225" t="str">
        <f>IFERROR(INDEX('FB 콘텐츠 data'!$A$1:$AH$25,MATCH('FB 신규발행'!$A54,'FB 콘텐츠 data'!$AR:$AR,0),MATCH(L$2,'FB 콘텐츠 data'!$A$1:$AH$1,0)),"")</f>
        <v/>
      </c>
      <c r="M54" s="225" t="str">
        <f>IFERROR(INDEX('FB 콘텐츠 data'!$A$1:$AH$25,MATCH('FB 신규발행'!$A54,'FB 콘텐츠 data'!$AR:$AR,0),MATCH(M$2,'FB 콘텐츠 data'!$A$1:$AH$1,0)),"")</f>
        <v/>
      </c>
      <c r="N54" s="225" t="str">
        <f>IFERROR(INDEX('FB 콘텐츠 data'!$A$1:$AH$25,MATCH('FB 신규발행'!$A54,'FB 콘텐츠 data'!$AR:$AR,0),MATCH(N$2,'FB 콘텐츠 data'!$A$1:$AH$1,0)),"")</f>
        <v/>
      </c>
      <c r="O54" s="225" t="str">
        <f>IFERROR(INDEX('FB 콘텐츠 data'!$A$1:$AH$25,MATCH('FB 신규발행'!$A54,'FB 콘텐츠 data'!$AR:$AR,0),MATCH(O$2,'FB 콘텐츠 data'!$A$1:$AH$1,0)),"")</f>
        <v/>
      </c>
      <c r="P54" s="225" t="str">
        <f>IFERROR(INDEX('FB 콘텐츠 data'!$A$1:$AH$25,MATCH('FB 신규발행'!$A54,'FB 콘텐츠 data'!$AR:$AR,0),MATCH(P$2,'FB 콘텐츠 data'!$A$1:$AH$1,0)),"")</f>
        <v/>
      </c>
      <c r="Q54" s="225" t="str">
        <f>IFERROR(INDEX('FB 콘텐츠 data'!$A$1:$AH$25,MATCH('FB 신규발행'!$A54,'FB 콘텐츠 data'!$AR:$AR,0),MATCH(Q$2,'FB 콘텐츠 data'!$A$1:$AH$1,0)),"")</f>
        <v/>
      </c>
      <c r="R54" s="226" t="str">
        <f t="shared" si="6"/>
        <v/>
      </c>
      <c r="T54" s="48" t="str">
        <f t="shared" si="7"/>
        <v/>
      </c>
      <c r="U54" s="48" t="str">
        <f t="shared" si="8"/>
        <v/>
      </c>
      <c r="Y54" s="112"/>
    </row>
    <row r="55" spans="1:25" ht="17.45" customHeight="1">
      <c r="A55" s="123">
        <v>53</v>
      </c>
      <c r="B55" s="223" t="str">
        <f>IFERROR(INDEX('FB 콘텐츠 data'!AQ:AQ,MATCH('FB 신규발행'!A55,'FB 콘텐츠 data'!AR:AR,0)),"")</f>
        <v/>
      </c>
      <c r="C55" s="224" t="str">
        <f>IFERROR(INDEX('FB 콘텐츠 data'!$A$1:$AH$25,MATCH('FB 신규발행'!$A55,'FB 콘텐츠 data'!$AR:$AR,0),MATCH(C$2,'FB 콘텐츠 data'!$A$1:$AH$1,0)),"")</f>
        <v/>
      </c>
      <c r="D55" s="225" t="str">
        <f>IFERROR(INDEX('FB 콘텐츠 data'!$A$1:$AH$25,MATCH('FB 신규발행'!$A55,'FB 콘텐츠 data'!$AR:$AR,0),MATCH(D$2,'FB 콘텐츠 data'!$A$1:$AH$1,0)),"")</f>
        <v/>
      </c>
      <c r="E55" s="225" t="str">
        <f>IFERROR(INDEX('FB 콘텐츠 data'!$A$1:$AH$25,MATCH('FB 신규발행'!$A55,'FB 콘텐츠 data'!$AR:$AR,0),MATCH(E$2,'FB 콘텐츠 data'!$A$1:$AH$1,0)),"")</f>
        <v/>
      </c>
      <c r="F55" s="225" t="str">
        <f>IFERROR(INDEX('FB 콘텐츠 data'!$A$1:$AH$25,MATCH('FB 신규발행'!$A55,'FB 콘텐츠 data'!$AR:$AR,0),MATCH(F$2,'FB 콘텐츠 data'!$A$1:$AH$1,0)),"")</f>
        <v/>
      </c>
      <c r="G55" s="225" t="str">
        <f>IFERROR(INDEX('FB 콘텐츠 data'!$A$1:$AH$25,MATCH('FB 신규발행'!$A55,'FB 콘텐츠 data'!$AR:$AR,0),MATCH(G$2,'FB 콘텐츠 data'!$A$1:$AH$1,0)),"")</f>
        <v/>
      </c>
      <c r="H55" s="225" t="str">
        <f t="shared" si="5"/>
        <v/>
      </c>
      <c r="I55" s="225" t="str">
        <f>IFERROR(INDEX('FB 콘텐츠 data'!$A$1:$AH$25,MATCH('FB 신규발행'!$A55,'FB 콘텐츠 data'!$AR:$AR,0),MATCH(I$2,'FB 콘텐츠 data'!$A$1:$AH$1,0)),"")</f>
        <v/>
      </c>
      <c r="J55" s="225" t="str">
        <f>IFERROR(INDEX('FB 콘텐츠 data'!$A$1:$AH$25,MATCH('FB 신규발행'!$A55,'FB 콘텐츠 data'!$AR:$AR,0),MATCH(J$2,'FB 콘텐츠 data'!$A$1:$AH$1,0)),"")</f>
        <v/>
      </c>
      <c r="K55" s="224" t="str">
        <f>IFERROR(INDEX('FB 콘텐츠 data'!$A$1:$AR$25,MATCH('FB 신규발행'!$A55,'FB 콘텐츠 data'!$AR:$AR,0),MATCH(K$2,'FB 콘텐츠 data'!$A$1:$AR$1,0)),"")</f>
        <v/>
      </c>
      <c r="L55" s="225" t="str">
        <f>IFERROR(INDEX('FB 콘텐츠 data'!$A$1:$AH$25,MATCH('FB 신규발행'!$A55,'FB 콘텐츠 data'!$AR:$AR,0),MATCH(L$2,'FB 콘텐츠 data'!$A$1:$AH$1,0)),"")</f>
        <v/>
      </c>
      <c r="M55" s="225" t="str">
        <f>IFERROR(INDEX('FB 콘텐츠 data'!$A$1:$AH$25,MATCH('FB 신규발행'!$A55,'FB 콘텐츠 data'!$AR:$AR,0),MATCH(M$2,'FB 콘텐츠 data'!$A$1:$AH$1,0)),"")</f>
        <v/>
      </c>
      <c r="N55" s="225" t="str">
        <f>IFERROR(INDEX('FB 콘텐츠 data'!$A$1:$AH$25,MATCH('FB 신규발행'!$A55,'FB 콘텐츠 data'!$AR:$AR,0),MATCH(N$2,'FB 콘텐츠 data'!$A$1:$AH$1,0)),"")</f>
        <v/>
      </c>
      <c r="O55" s="225" t="str">
        <f>IFERROR(INDEX('FB 콘텐츠 data'!$A$1:$AH$25,MATCH('FB 신규발행'!$A55,'FB 콘텐츠 data'!$AR:$AR,0),MATCH(O$2,'FB 콘텐츠 data'!$A$1:$AH$1,0)),"")</f>
        <v/>
      </c>
      <c r="P55" s="225" t="str">
        <f>IFERROR(INDEX('FB 콘텐츠 data'!$A$1:$AH$25,MATCH('FB 신규발행'!$A55,'FB 콘텐츠 data'!$AR:$AR,0),MATCH(P$2,'FB 콘텐츠 data'!$A$1:$AH$1,0)),"")</f>
        <v/>
      </c>
      <c r="Q55" s="225" t="str">
        <f>IFERROR(INDEX('FB 콘텐츠 data'!$A$1:$AH$25,MATCH('FB 신규발행'!$A55,'FB 콘텐츠 data'!$AR:$AR,0),MATCH(Q$2,'FB 콘텐츠 data'!$A$1:$AH$1,0)),"")</f>
        <v/>
      </c>
      <c r="R55" s="226" t="str">
        <f t="shared" si="6"/>
        <v/>
      </c>
      <c r="T55" s="48" t="str">
        <f t="shared" si="7"/>
        <v/>
      </c>
      <c r="U55" s="48" t="str">
        <f t="shared" si="8"/>
        <v/>
      </c>
      <c r="Y55" s="112"/>
    </row>
    <row r="56" spans="1:25" ht="17.45" customHeight="1">
      <c r="A56" s="123">
        <v>54</v>
      </c>
      <c r="B56" s="223" t="str">
        <f>IFERROR(INDEX('FB 콘텐츠 data'!AQ:AQ,MATCH('FB 신규발행'!A56,'FB 콘텐츠 data'!AR:AR,0)),"")</f>
        <v/>
      </c>
      <c r="C56" s="224" t="str">
        <f>IFERROR(INDEX('FB 콘텐츠 data'!$A$1:$AH$25,MATCH('FB 신규발행'!$A56,'FB 콘텐츠 data'!$AR:$AR,0),MATCH(C$2,'FB 콘텐츠 data'!$A$1:$AH$1,0)),"")</f>
        <v/>
      </c>
      <c r="D56" s="225" t="str">
        <f>IFERROR(INDEX('FB 콘텐츠 data'!$A$1:$AH$25,MATCH('FB 신규발행'!$A56,'FB 콘텐츠 data'!$AR:$AR,0),MATCH(D$2,'FB 콘텐츠 data'!$A$1:$AH$1,0)),"")</f>
        <v/>
      </c>
      <c r="E56" s="225" t="str">
        <f>IFERROR(INDEX('FB 콘텐츠 data'!$A$1:$AH$25,MATCH('FB 신규발행'!$A56,'FB 콘텐츠 data'!$AR:$AR,0),MATCH(E$2,'FB 콘텐츠 data'!$A$1:$AH$1,0)),"")</f>
        <v/>
      </c>
      <c r="F56" s="225" t="str">
        <f>IFERROR(INDEX('FB 콘텐츠 data'!$A$1:$AH$25,MATCH('FB 신규발행'!$A56,'FB 콘텐츠 data'!$AR:$AR,0),MATCH(F$2,'FB 콘텐츠 data'!$A$1:$AH$1,0)),"")</f>
        <v/>
      </c>
      <c r="G56" s="225" t="str">
        <f>IFERROR(INDEX('FB 콘텐츠 data'!$A$1:$AH$25,MATCH('FB 신규발행'!$A56,'FB 콘텐츠 data'!$AR:$AR,0),MATCH(G$2,'FB 콘텐츠 data'!$A$1:$AH$1,0)),"")</f>
        <v/>
      </c>
      <c r="H56" s="225" t="str">
        <f t="shared" si="5"/>
        <v/>
      </c>
      <c r="I56" s="225" t="str">
        <f>IFERROR(INDEX('FB 콘텐츠 data'!$A$1:$AH$25,MATCH('FB 신규발행'!$A56,'FB 콘텐츠 data'!$AR:$AR,0),MATCH(I$2,'FB 콘텐츠 data'!$A$1:$AH$1,0)),"")</f>
        <v/>
      </c>
      <c r="J56" s="225" t="str">
        <f>IFERROR(INDEX('FB 콘텐츠 data'!$A$1:$AH$25,MATCH('FB 신규발행'!$A56,'FB 콘텐츠 data'!$AR:$AR,0),MATCH(J$2,'FB 콘텐츠 data'!$A$1:$AH$1,0)),"")</f>
        <v/>
      </c>
      <c r="K56" s="224" t="str">
        <f>IFERROR(INDEX('FB 콘텐츠 data'!$A$1:$AR$25,MATCH('FB 신규발행'!$A56,'FB 콘텐츠 data'!$AR:$AR,0),MATCH(K$2,'FB 콘텐츠 data'!$A$1:$AR$1,0)),"")</f>
        <v/>
      </c>
      <c r="L56" s="225" t="str">
        <f>IFERROR(INDEX('FB 콘텐츠 data'!$A$1:$AH$25,MATCH('FB 신규발행'!$A56,'FB 콘텐츠 data'!$AR:$AR,0),MATCH(L$2,'FB 콘텐츠 data'!$A$1:$AH$1,0)),"")</f>
        <v/>
      </c>
      <c r="M56" s="225" t="str">
        <f>IFERROR(INDEX('FB 콘텐츠 data'!$A$1:$AH$25,MATCH('FB 신규발행'!$A56,'FB 콘텐츠 data'!$AR:$AR,0),MATCH(M$2,'FB 콘텐츠 data'!$A$1:$AH$1,0)),"")</f>
        <v/>
      </c>
      <c r="N56" s="225" t="str">
        <f>IFERROR(INDEX('FB 콘텐츠 data'!$A$1:$AH$25,MATCH('FB 신규발행'!$A56,'FB 콘텐츠 data'!$AR:$AR,0),MATCH(N$2,'FB 콘텐츠 data'!$A$1:$AH$1,0)),"")</f>
        <v/>
      </c>
      <c r="O56" s="225" t="str">
        <f>IFERROR(INDEX('FB 콘텐츠 data'!$A$1:$AH$25,MATCH('FB 신규발행'!$A56,'FB 콘텐츠 data'!$AR:$AR,0),MATCH(O$2,'FB 콘텐츠 data'!$A$1:$AH$1,0)),"")</f>
        <v/>
      </c>
      <c r="P56" s="225" t="str">
        <f>IFERROR(INDEX('FB 콘텐츠 data'!$A$1:$AH$25,MATCH('FB 신규발행'!$A56,'FB 콘텐츠 data'!$AR:$AR,0),MATCH(P$2,'FB 콘텐츠 data'!$A$1:$AH$1,0)),"")</f>
        <v/>
      </c>
      <c r="Q56" s="225" t="str">
        <f>IFERROR(INDEX('FB 콘텐츠 data'!$A$1:$AH$25,MATCH('FB 신규발행'!$A56,'FB 콘텐츠 data'!$AR:$AR,0),MATCH(Q$2,'FB 콘텐츠 data'!$A$1:$AH$1,0)),"")</f>
        <v/>
      </c>
      <c r="R56" s="226" t="str">
        <f t="shared" si="6"/>
        <v/>
      </c>
      <c r="T56" s="48" t="str">
        <f t="shared" si="7"/>
        <v/>
      </c>
      <c r="U56" s="48" t="str">
        <f t="shared" si="8"/>
        <v/>
      </c>
      <c r="Y56" s="112"/>
    </row>
    <row r="57" spans="1:25" ht="17.45" customHeight="1">
      <c r="A57" s="123">
        <v>55</v>
      </c>
      <c r="B57" s="223" t="str">
        <f>IFERROR(INDEX('FB 콘텐츠 data'!AQ:AQ,MATCH('FB 신규발행'!A57,'FB 콘텐츠 data'!AR:AR,0)),"")</f>
        <v/>
      </c>
      <c r="C57" s="224" t="str">
        <f>IFERROR(INDEX('FB 콘텐츠 data'!$A$1:$AH$25,MATCH('FB 신규발행'!$A57,'FB 콘텐츠 data'!$AR:$AR,0),MATCH(C$2,'FB 콘텐츠 data'!$A$1:$AH$1,0)),"")</f>
        <v/>
      </c>
      <c r="D57" s="225" t="str">
        <f>IFERROR(INDEX('FB 콘텐츠 data'!$A$1:$AH$25,MATCH('FB 신규발행'!$A57,'FB 콘텐츠 data'!$AR:$AR,0),MATCH(D$2,'FB 콘텐츠 data'!$A$1:$AH$1,0)),"")</f>
        <v/>
      </c>
      <c r="E57" s="225" t="str">
        <f>IFERROR(INDEX('FB 콘텐츠 data'!$A$1:$AH$25,MATCH('FB 신규발행'!$A57,'FB 콘텐츠 data'!$AR:$AR,0),MATCH(E$2,'FB 콘텐츠 data'!$A$1:$AH$1,0)),"")</f>
        <v/>
      </c>
      <c r="F57" s="225" t="str">
        <f>IFERROR(INDEX('FB 콘텐츠 data'!$A$1:$AH$25,MATCH('FB 신규발행'!$A57,'FB 콘텐츠 data'!$AR:$AR,0),MATCH(F$2,'FB 콘텐츠 data'!$A$1:$AH$1,0)),"")</f>
        <v/>
      </c>
      <c r="G57" s="225" t="str">
        <f>IFERROR(INDEX('FB 콘텐츠 data'!$A$1:$AH$25,MATCH('FB 신규발행'!$A57,'FB 콘텐츠 data'!$AR:$AR,0),MATCH(G$2,'FB 콘텐츠 data'!$A$1:$AH$1,0)),"")</f>
        <v/>
      </c>
      <c r="H57" s="225" t="str">
        <f t="shared" si="5"/>
        <v/>
      </c>
      <c r="I57" s="225" t="str">
        <f>IFERROR(INDEX('FB 콘텐츠 data'!$A$1:$AH$25,MATCH('FB 신규발행'!$A57,'FB 콘텐츠 data'!$AR:$AR,0),MATCH(I$2,'FB 콘텐츠 data'!$A$1:$AH$1,0)),"")</f>
        <v/>
      </c>
      <c r="J57" s="225" t="str">
        <f>IFERROR(INDEX('FB 콘텐츠 data'!$A$1:$AH$25,MATCH('FB 신규발행'!$A57,'FB 콘텐츠 data'!$AR:$AR,0),MATCH(J$2,'FB 콘텐츠 data'!$A$1:$AH$1,0)),"")</f>
        <v/>
      </c>
      <c r="K57" s="224" t="str">
        <f>IFERROR(INDEX('FB 콘텐츠 data'!$A$1:$AR$25,MATCH('FB 신규발행'!$A57,'FB 콘텐츠 data'!$AR:$AR,0),MATCH(K$2,'FB 콘텐츠 data'!$A$1:$AR$1,0)),"")</f>
        <v/>
      </c>
      <c r="L57" s="225" t="str">
        <f>IFERROR(INDEX('FB 콘텐츠 data'!$A$1:$AH$25,MATCH('FB 신규발행'!$A57,'FB 콘텐츠 data'!$AR:$AR,0),MATCH(L$2,'FB 콘텐츠 data'!$A$1:$AH$1,0)),"")</f>
        <v/>
      </c>
      <c r="M57" s="225" t="str">
        <f>IFERROR(INDEX('FB 콘텐츠 data'!$A$1:$AH$25,MATCH('FB 신규발행'!$A57,'FB 콘텐츠 data'!$AR:$AR,0),MATCH(M$2,'FB 콘텐츠 data'!$A$1:$AH$1,0)),"")</f>
        <v/>
      </c>
      <c r="N57" s="225" t="str">
        <f>IFERROR(INDEX('FB 콘텐츠 data'!$A$1:$AH$25,MATCH('FB 신규발행'!$A57,'FB 콘텐츠 data'!$AR:$AR,0),MATCH(N$2,'FB 콘텐츠 data'!$A$1:$AH$1,0)),"")</f>
        <v/>
      </c>
      <c r="O57" s="225" t="str">
        <f>IFERROR(INDEX('FB 콘텐츠 data'!$A$1:$AH$25,MATCH('FB 신규발행'!$A57,'FB 콘텐츠 data'!$AR:$AR,0),MATCH(O$2,'FB 콘텐츠 data'!$A$1:$AH$1,0)),"")</f>
        <v/>
      </c>
      <c r="P57" s="225" t="str">
        <f>IFERROR(INDEX('FB 콘텐츠 data'!$A$1:$AH$25,MATCH('FB 신규발행'!$A57,'FB 콘텐츠 data'!$AR:$AR,0),MATCH(P$2,'FB 콘텐츠 data'!$A$1:$AH$1,0)),"")</f>
        <v/>
      </c>
      <c r="Q57" s="225" t="str">
        <f>IFERROR(INDEX('FB 콘텐츠 data'!$A$1:$AH$25,MATCH('FB 신규발행'!$A57,'FB 콘텐츠 data'!$AR:$AR,0),MATCH(Q$2,'FB 콘텐츠 data'!$A$1:$AH$1,0)),"")</f>
        <v/>
      </c>
      <c r="R57" s="226" t="str">
        <f t="shared" si="6"/>
        <v/>
      </c>
      <c r="T57" s="48" t="str">
        <f t="shared" si="7"/>
        <v/>
      </c>
      <c r="U57" s="48" t="str">
        <f t="shared" si="8"/>
        <v/>
      </c>
      <c r="Y57" s="112"/>
    </row>
    <row r="58" spans="1:25" ht="17.45" customHeight="1">
      <c r="A58" s="123">
        <v>56</v>
      </c>
      <c r="B58" s="223" t="str">
        <f>IFERROR(INDEX('FB 콘텐츠 data'!AQ:AQ,MATCH('FB 신규발행'!A58,'FB 콘텐츠 data'!AR:AR,0)),"")</f>
        <v/>
      </c>
      <c r="C58" s="224" t="str">
        <f>IFERROR(INDEX('FB 콘텐츠 data'!$A$1:$AH$25,MATCH('FB 신규발행'!$A58,'FB 콘텐츠 data'!$AR:$AR,0),MATCH(C$2,'FB 콘텐츠 data'!$A$1:$AH$1,0)),"")</f>
        <v/>
      </c>
      <c r="D58" s="225" t="str">
        <f>IFERROR(INDEX('FB 콘텐츠 data'!$A$1:$AH$25,MATCH('FB 신규발행'!$A58,'FB 콘텐츠 data'!$AR:$AR,0),MATCH(D$2,'FB 콘텐츠 data'!$A$1:$AH$1,0)),"")</f>
        <v/>
      </c>
      <c r="E58" s="225" t="str">
        <f>IFERROR(INDEX('FB 콘텐츠 data'!$A$1:$AH$25,MATCH('FB 신규발행'!$A58,'FB 콘텐츠 data'!$AR:$AR,0),MATCH(E$2,'FB 콘텐츠 data'!$A$1:$AH$1,0)),"")</f>
        <v/>
      </c>
      <c r="F58" s="225" t="str">
        <f>IFERROR(INDEX('FB 콘텐츠 data'!$A$1:$AH$25,MATCH('FB 신규발행'!$A58,'FB 콘텐츠 data'!$AR:$AR,0),MATCH(F$2,'FB 콘텐츠 data'!$A$1:$AH$1,0)),"")</f>
        <v/>
      </c>
      <c r="G58" s="225" t="str">
        <f>IFERROR(INDEX('FB 콘텐츠 data'!$A$1:$AH$25,MATCH('FB 신규발행'!$A58,'FB 콘텐츠 data'!$AR:$AR,0),MATCH(G$2,'FB 콘텐츠 data'!$A$1:$AH$1,0)),"")</f>
        <v/>
      </c>
      <c r="H58" s="225" t="str">
        <f t="shared" si="5"/>
        <v/>
      </c>
      <c r="I58" s="225" t="str">
        <f>IFERROR(INDEX('FB 콘텐츠 data'!$A$1:$AH$25,MATCH('FB 신규발행'!$A58,'FB 콘텐츠 data'!$AR:$AR,0),MATCH(I$2,'FB 콘텐츠 data'!$A$1:$AH$1,0)),"")</f>
        <v/>
      </c>
      <c r="J58" s="225" t="str">
        <f>IFERROR(INDEX('FB 콘텐츠 data'!$A$1:$AH$25,MATCH('FB 신규발행'!$A58,'FB 콘텐츠 data'!$AR:$AR,0),MATCH(J$2,'FB 콘텐츠 data'!$A$1:$AH$1,0)),"")</f>
        <v/>
      </c>
      <c r="K58" s="224" t="str">
        <f>IFERROR(INDEX('FB 콘텐츠 data'!$A$1:$AR$25,MATCH('FB 신규발행'!$A58,'FB 콘텐츠 data'!$AR:$AR,0),MATCH(K$2,'FB 콘텐츠 data'!$A$1:$AR$1,0)),"")</f>
        <v/>
      </c>
      <c r="L58" s="225" t="str">
        <f>IFERROR(INDEX('FB 콘텐츠 data'!$A$1:$AH$25,MATCH('FB 신규발행'!$A58,'FB 콘텐츠 data'!$AR:$AR,0),MATCH(L$2,'FB 콘텐츠 data'!$A$1:$AH$1,0)),"")</f>
        <v/>
      </c>
      <c r="M58" s="225" t="str">
        <f>IFERROR(INDEX('FB 콘텐츠 data'!$A$1:$AH$25,MATCH('FB 신규발행'!$A58,'FB 콘텐츠 data'!$AR:$AR,0),MATCH(M$2,'FB 콘텐츠 data'!$A$1:$AH$1,0)),"")</f>
        <v/>
      </c>
      <c r="N58" s="225" t="str">
        <f>IFERROR(INDEX('FB 콘텐츠 data'!$A$1:$AH$25,MATCH('FB 신규발행'!$A58,'FB 콘텐츠 data'!$AR:$AR,0),MATCH(N$2,'FB 콘텐츠 data'!$A$1:$AH$1,0)),"")</f>
        <v/>
      </c>
      <c r="O58" s="225" t="str">
        <f>IFERROR(INDEX('FB 콘텐츠 data'!$A$1:$AH$25,MATCH('FB 신규발행'!$A58,'FB 콘텐츠 data'!$AR:$AR,0),MATCH(O$2,'FB 콘텐츠 data'!$A$1:$AH$1,0)),"")</f>
        <v/>
      </c>
      <c r="P58" s="225" t="str">
        <f>IFERROR(INDEX('FB 콘텐츠 data'!$A$1:$AH$25,MATCH('FB 신규발행'!$A58,'FB 콘텐츠 data'!$AR:$AR,0),MATCH(P$2,'FB 콘텐츠 data'!$A$1:$AH$1,0)),"")</f>
        <v/>
      </c>
      <c r="Q58" s="225" t="str">
        <f>IFERROR(INDEX('FB 콘텐츠 data'!$A$1:$AH$25,MATCH('FB 신규발행'!$A58,'FB 콘텐츠 data'!$AR:$AR,0),MATCH(Q$2,'FB 콘텐츠 data'!$A$1:$AH$1,0)),"")</f>
        <v/>
      </c>
      <c r="R58" s="226" t="str">
        <f t="shared" si="6"/>
        <v/>
      </c>
      <c r="T58" s="48" t="str">
        <f t="shared" si="7"/>
        <v/>
      </c>
      <c r="U58" s="48" t="str">
        <f t="shared" si="8"/>
        <v/>
      </c>
      <c r="Y58" s="112"/>
    </row>
    <row r="59" spans="1:25" ht="17.45" customHeight="1">
      <c r="A59" s="123">
        <v>57</v>
      </c>
      <c r="B59" s="223" t="str">
        <f>IFERROR(INDEX('FB 콘텐츠 data'!AQ:AQ,MATCH('FB 신규발행'!A59,'FB 콘텐츠 data'!AR:AR,0)),"")</f>
        <v/>
      </c>
      <c r="C59" s="224" t="str">
        <f>IFERROR(INDEX('FB 콘텐츠 data'!$A$1:$AH$25,MATCH('FB 신규발행'!$A59,'FB 콘텐츠 data'!$AR:$AR,0),MATCH(C$2,'FB 콘텐츠 data'!$A$1:$AH$1,0)),"")</f>
        <v/>
      </c>
      <c r="D59" s="225" t="str">
        <f>IFERROR(INDEX('FB 콘텐츠 data'!$A$1:$AH$25,MATCH('FB 신규발행'!$A59,'FB 콘텐츠 data'!$AR:$AR,0),MATCH(D$2,'FB 콘텐츠 data'!$A$1:$AH$1,0)),"")</f>
        <v/>
      </c>
      <c r="E59" s="225" t="str">
        <f>IFERROR(INDEX('FB 콘텐츠 data'!$A$1:$AH$25,MATCH('FB 신규발행'!$A59,'FB 콘텐츠 data'!$AR:$AR,0),MATCH(E$2,'FB 콘텐츠 data'!$A$1:$AH$1,0)),"")</f>
        <v/>
      </c>
      <c r="F59" s="225" t="str">
        <f>IFERROR(INDEX('FB 콘텐츠 data'!$A$1:$AH$25,MATCH('FB 신규발행'!$A59,'FB 콘텐츠 data'!$AR:$AR,0),MATCH(F$2,'FB 콘텐츠 data'!$A$1:$AH$1,0)),"")</f>
        <v/>
      </c>
      <c r="G59" s="225" t="str">
        <f>IFERROR(INDEX('FB 콘텐츠 data'!$A$1:$AH$25,MATCH('FB 신규발행'!$A59,'FB 콘텐츠 data'!$AR:$AR,0),MATCH(G$2,'FB 콘텐츠 data'!$A$1:$AH$1,0)),"")</f>
        <v/>
      </c>
      <c r="H59" s="225" t="str">
        <f t="shared" si="5"/>
        <v/>
      </c>
      <c r="I59" s="225" t="str">
        <f>IFERROR(INDEX('FB 콘텐츠 data'!$A$1:$AH$25,MATCH('FB 신규발행'!$A59,'FB 콘텐츠 data'!$AR:$AR,0),MATCH(I$2,'FB 콘텐츠 data'!$A$1:$AH$1,0)),"")</f>
        <v/>
      </c>
      <c r="J59" s="225" t="str">
        <f>IFERROR(INDEX('FB 콘텐츠 data'!$A$1:$AH$25,MATCH('FB 신규발행'!$A59,'FB 콘텐츠 data'!$AR:$AR,0),MATCH(J$2,'FB 콘텐츠 data'!$A$1:$AH$1,0)),"")</f>
        <v/>
      </c>
      <c r="K59" s="224" t="str">
        <f>IFERROR(INDEX('FB 콘텐츠 data'!$A$1:$AR$25,MATCH('FB 신규발행'!$A59,'FB 콘텐츠 data'!$AR:$AR,0),MATCH(K$2,'FB 콘텐츠 data'!$A$1:$AR$1,0)),"")</f>
        <v/>
      </c>
      <c r="L59" s="225" t="str">
        <f>IFERROR(INDEX('FB 콘텐츠 data'!$A$1:$AH$25,MATCH('FB 신규발행'!$A59,'FB 콘텐츠 data'!$AR:$AR,0),MATCH(L$2,'FB 콘텐츠 data'!$A$1:$AH$1,0)),"")</f>
        <v/>
      </c>
      <c r="M59" s="225" t="str">
        <f>IFERROR(INDEX('FB 콘텐츠 data'!$A$1:$AH$25,MATCH('FB 신규발행'!$A59,'FB 콘텐츠 data'!$AR:$AR,0),MATCH(M$2,'FB 콘텐츠 data'!$A$1:$AH$1,0)),"")</f>
        <v/>
      </c>
      <c r="N59" s="225" t="str">
        <f>IFERROR(INDEX('FB 콘텐츠 data'!$A$1:$AH$25,MATCH('FB 신규발행'!$A59,'FB 콘텐츠 data'!$AR:$AR,0),MATCH(N$2,'FB 콘텐츠 data'!$A$1:$AH$1,0)),"")</f>
        <v/>
      </c>
      <c r="O59" s="225" t="str">
        <f>IFERROR(INDEX('FB 콘텐츠 data'!$A$1:$AH$25,MATCH('FB 신규발행'!$A59,'FB 콘텐츠 data'!$AR:$AR,0),MATCH(O$2,'FB 콘텐츠 data'!$A$1:$AH$1,0)),"")</f>
        <v/>
      </c>
      <c r="P59" s="225" t="str">
        <f>IFERROR(INDEX('FB 콘텐츠 data'!$A$1:$AH$25,MATCH('FB 신규발행'!$A59,'FB 콘텐츠 data'!$AR:$AR,0),MATCH(P$2,'FB 콘텐츠 data'!$A$1:$AH$1,0)),"")</f>
        <v/>
      </c>
      <c r="Q59" s="225" t="str">
        <f>IFERROR(INDEX('FB 콘텐츠 data'!$A$1:$AH$25,MATCH('FB 신규발행'!$A59,'FB 콘텐츠 data'!$AR:$AR,0),MATCH(Q$2,'FB 콘텐츠 data'!$A$1:$AH$1,0)),"")</f>
        <v/>
      </c>
      <c r="R59" s="226" t="str">
        <f t="shared" si="6"/>
        <v/>
      </c>
      <c r="T59" s="48" t="str">
        <f t="shared" si="7"/>
        <v/>
      </c>
      <c r="U59" s="48" t="str">
        <f t="shared" si="8"/>
        <v/>
      </c>
      <c r="Y59" s="112"/>
    </row>
    <row r="60" spans="1:25" ht="17.45" customHeight="1">
      <c r="A60" s="123">
        <v>58</v>
      </c>
      <c r="B60" s="223" t="str">
        <f>IFERROR(INDEX('FB 콘텐츠 data'!AQ:AQ,MATCH('FB 신규발행'!A60,'FB 콘텐츠 data'!AR:AR,0)),"")</f>
        <v/>
      </c>
      <c r="C60" s="224" t="str">
        <f>IFERROR(INDEX('FB 콘텐츠 data'!$A$1:$AH$25,MATCH('FB 신규발행'!$A60,'FB 콘텐츠 data'!$AR:$AR,0),MATCH(C$2,'FB 콘텐츠 data'!$A$1:$AH$1,0)),"")</f>
        <v/>
      </c>
      <c r="D60" s="225" t="str">
        <f>IFERROR(INDEX('FB 콘텐츠 data'!$A$1:$AH$25,MATCH('FB 신규발행'!$A60,'FB 콘텐츠 data'!$AR:$AR,0),MATCH(D$2,'FB 콘텐츠 data'!$A$1:$AH$1,0)),"")</f>
        <v/>
      </c>
      <c r="E60" s="225" t="str">
        <f>IFERROR(INDEX('FB 콘텐츠 data'!$A$1:$AH$25,MATCH('FB 신규발행'!$A60,'FB 콘텐츠 data'!$AR:$AR,0),MATCH(E$2,'FB 콘텐츠 data'!$A$1:$AH$1,0)),"")</f>
        <v/>
      </c>
      <c r="F60" s="225" t="str">
        <f>IFERROR(INDEX('FB 콘텐츠 data'!$A$1:$AH$25,MATCH('FB 신규발행'!$A60,'FB 콘텐츠 data'!$AR:$AR,0),MATCH(F$2,'FB 콘텐츠 data'!$A$1:$AH$1,0)),"")</f>
        <v/>
      </c>
      <c r="G60" s="225" t="str">
        <f>IFERROR(INDEX('FB 콘텐츠 data'!$A$1:$AH$25,MATCH('FB 신규발행'!$A60,'FB 콘텐츠 data'!$AR:$AR,0),MATCH(G$2,'FB 콘텐츠 data'!$A$1:$AH$1,0)),"")</f>
        <v/>
      </c>
      <c r="H60" s="225" t="str">
        <f t="shared" si="5"/>
        <v/>
      </c>
      <c r="I60" s="225" t="str">
        <f>IFERROR(INDEX('FB 콘텐츠 data'!$A$1:$AH$25,MATCH('FB 신규발행'!$A60,'FB 콘텐츠 data'!$AR:$AR,0),MATCH(I$2,'FB 콘텐츠 data'!$A$1:$AH$1,0)),"")</f>
        <v/>
      </c>
      <c r="J60" s="225" t="str">
        <f>IFERROR(INDEX('FB 콘텐츠 data'!$A$1:$AH$25,MATCH('FB 신규발행'!$A60,'FB 콘텐츠 data'!$AR:$AR,0),MATCH(J$2,'FB 콘텐츠 data'!$A$1:$AH$1,0)),"")</f>
        <v/>
      </c>
      <c r="K60" s="224" t="str">
        <f>IFERROR(INDEX('FB 콘텐츠 data'!$A$1:$AR$25,MATCH('FB 신규발행'!$A60,'FB 콘텐츠 data'!$AR:$AR,0),MATCH(K$2,'FB 콘텐츠 data'!$A$1:$AR$1,0)),"")</f>
        <v/>
      </c>
      <c r="L60" s="225" t="str">
        <f>IFERROR(INDEX('FB 콘텐츠 data'!$A$1:$AH$25,MATCH('FB 신규발행'!$A60,'FB 콘텐츠 data'!$AR:$AR,0),MATCH(L$2,'FB 콘텐츠 data'!$A$1:$AH$1,0)),"")</f>
        <v/>
      </c>
      <c r="M60" s="225" t="str">
        <f>IFERROR(INDEX('FB 콘텐츠 data'!$A$1:$AH$25,MATCH('FB 신규발행'!$A60,'FB 콘텐츠 data'!$AR:$AR,0),MATCH(M$2,'FB 콘텐츠 data'!$A$1:$AH$1,0)),"")</f>
        <v/>
      </c>
      <c r="N60" s="225" t="str">
        <f>IFERROR(INDEX('FB 콘텐츠 data'!$A$1:$AH$25,MATCH('FB 신규발행'!$A60,'FB 콘텐츠 data'!$AR:$AR,0),MATCH(N$2,'FB 콘텐츠 data'!$A$1:$AH$1,0)),"")</f>
        <v/>
      </c>
      <c r="O60" s="225" t="str">
        <f>IFERROR(INDEX('FB 콘텐츠 data'!$A$1:$AH$25,MATCH('FB 신규발행'!$A60,'FB 콘텐츠 data'!$AR:$AR,0),MATCH(O$2,'FB 콘텐츠 data'!$A$1:$AH$1,0)),"")</f>
        <v/>
      </c>
      <c r="P60" s="225" t="str">
        <f>IFERROR(INDEX('FB 콘텐츠 data'!$A$1:$AH$25,MATCH('FB 신규발행'!$A60,'FB 콘텐츠 data'!$AR:$AR,0),MATCH(P$2,'FB 콘텐츠 data'!$A$1:$AH$1,0)),"")</f>
        <v/>
      </c>
      <c r="Q60" s="225" t="str">
        <f>IFERROR(INDEX('FB 콘텐츠 data'!$A$1:$AH$25,MATCH('FB 신규발행'!$A60,'FB 콘텐츠 data'!$AR:$AR,0),MATCH(Q$2,'FB 콘텐츠 data'!$A$1:$AH$1,0)),"")</f>
        <v/>
      </c>
      <c r="R60" s="226" t="str">
        <f t="shared" si="6"/>
        <v/>
      </c>
      <c r="T60" s="48" t="str">
        <f t="shared" si="7"/>
        <v/>
      </c>
      <c r="U60" s="48" t="str">
        <f t="shared" si="8"/>
        <v/>
      </c>
      <c r="Y60" s="112"/>
    </row>
    <row r="61" spans="1:25" ht="17.45" customHeight="1">
      <c r="A61" s="123">
        <v>59</v>
      </c>
      <c r="B61" s="223" t="str">
        <f>IFERROR(INDEX('FB 콘텐츠 data'!AQ:AQ,MATCH('FB 신규발행'!A61,'FB 콘텐츠 data'!AR:AR,0)),"")</f>
        <v/>
      </c>
      <c r="C61" s="224" t="str">
        <f>IFERROR(INDEX('FB 콘텐츠 data'!$A$1:$AH$25,MATCH('FB 신규발행'!$A61,'FB 콘텐츠 data'!$AR:$AR,0),MATCH(C$2,'FB 콘텐츠 data'!$A$1:$AH$1,0)),"")</f>
        <v/>
      </c>
      <c r="D61" s="225" t="str">
        <f>IFERROR(INDEX('FB 콘텐츠 data'!$A$1:$AH$25,MATCH('FB 신규발행'!$A61,'FB 콘텐츠 data'!$AR:$AR,0),MATCH(D$2,'FB 콘텐츠 data'!$A$1:$AH$1,0)),"")</f>
        <v/>
      </c>
      <c r="E61" s="225" t="str">
        <f>IFERROR(INDEX('FB 콘텐츠 data'!$A$1:$AH$25,MATCH('FB 신규발행'!$A61,'FB 콘텐츠 data'!$AR:$AR,0),MATCH(E$2,'FB 콘텐츠 data'!$A$1:$AH$1,0)),"")</f>
        <v/>
      </c>
      <c r="F61" s="225" t="str">
        <f>IFERROR(INDEX('FB 콘텐츠 data'!$A$1:$AH$25,MATCH('FB 신규발행'!$A61,'FB 콘텐츠 data'!$AR:$AR,0),MATCH(F$2,'FB 콘텐츠 data'!$A$1:$AH$1,0)),"")</f>
        <v/>
      </c>
      <c r="G61" s="225" t="str">
        <f>IFERROR(INDEX('FB 콘텐츠 data'!$A$1:$AH$25,MATCH('FB 신규발행'!$A61,'FB 콘텐츠 data'!$AR:$AR,0),MATCH(G$2,'FB 콘텐츠 data'!$A$1:$AH$1,0)),"")</f>
        <v/>
      </c>
      <c r="H61" s="225" t="str">
        <f t="shared" si="5"/>
        <v/>
      </c>
      <c r="I61" s="225" t="str">
        <f>IFERROR(INDEX('FB 콘텐츠 data'!$A$1:$AH$25,MATCH('FB 신규발행'!$A61,'FB 콘텐츠 data'!$AR:$AR,0),MATCH(I$2,'FB 콘텐츠 data'!$A$1:$AH$1,0)),"")</f>
        <v/>
      </c>
      <c r="J61" s="225" t="str">
        <f>IFERROR(INDEX('FB 콘텐츠 data'!$A$1:$AH$25,MATCH('FB 신규발행'!$A61,'FB 콘텐츠 data'!$AR:$AR,0),MATCH(J$2,'FB 콘텐츠 data'!$A$1:$AH$1,0)),"")</f>
        <v/>
      </c>
      <c r="K61" s="224" t="str">
        <f>IFERROR(INDEX('FB 콘텐츠 data'!$A$1:$AR$25,MATCH('FB 신규발행'!$A61,'FB 콘텐츠 data'!$AR:$AR,0),MATCH(K$2,'FB 콘텐츠 data'!$A$1:$AR$1,0)),"")</f>
        <v/>
      </c>
      <c r="L61" s="225" t="str">
        <f>IFERROR(INDEX('FB 콘텐츠 data'!$A$1:$AH$25,MATCH('FB 신규발행'!$A61,'FB 콘텐츠 data'!$AR:$AR,0),MATCH(L$2,'FB 콘텐츠 data'!$A$1:$AH$1,0)),"")</f>
        <v/>
      </c>
      <c r="M61" s="225" t="str">
        <f>IFERROR(INDEX('FB 콘텐츠 data'!$A$1:$AH$25,MATCH('FB 신규발행'!$A61,'FB 콘텐츠 data'!$AR:$AR,0),MATCH(M$2,'FB 콘텐츠 data'!$A$1:$AH$1,0)),"")</f>
        <v/>
      </c>
      <c r="N61" s="225" t="str">
        <f>IFERROR(INDEX('FB 콘텐츠 data'!$A$1:$AH$25,MATCH('FB 신규발행'!$A61,'FB 콘텐츠 data'!$AR:$AR,0),MATCH(N$2,'FB 콘텐츠 data'!$A$1:$AH$1,0)),"")</f>
        <v/>
      </c>
      <c r="O61" s="225" t="str">
        <f>IFERROR(INDEX('FB 콘텐츠 data'!$A$1:$AH$25,MATCH('FB 신규발행'!$A61,'FB 콘텐츠 data'!$AR:$AR,0),MATCH(O$2,'FB 콘텐츠 data'!$A$1:$AH$1,0)),"")</f>
        <v/>
      </c>
      <c r="P61" s="225" t="str">
        <f>IFERROR(INDEX('FB 콘텐츠 data'!$A$1:$AH$25,MATCH('FB 신규발행'!$A61,'FB 콘텐츠 data'!$AR:$AR,0),MATCH(P$2,'FB 콘텐츠 data'!$A$1:$AH$1,0)),"")</f>
        <v/>
      </c>
      <c r="Q61" s="225" t="str">
        <f>IFERROR(INDEX('FB 콘텐츠 data'!$A$1:$AH$25,MATCH('FB 신규발행'!$A61,'FB 콘텐츠 data'!$AR:$AR,0),MATCH(Q$2,'FB 콘텐츠 data'!$A$1:$AH$1,0)),"")</f>
        <v/>
      </c>
      <c r="R61" s="226" t="str">
        <f t="shared" si="6"/>
        <v/>
      </c>
      <c r="T61" s="48" t="str">
        <f t="shared" si="7"/>
        <v/>
      </c>
      <c r="U61" s="48" t="str">
        <f t="shared" si="8"/>
        <v/>
      </c>
      <c r="Y61" s="112"/>
    </row>
    <row r="62" spans="1:25" ht="17.45" customHeight="1">
      <c r="A62" s="123">
        <v>60</v>
      </c>
      <c r="B62" s="223" t="str">
        <f>IFERROR(INDEX('FB 콘텐츠 data'!AQ:AQ,MATCH('FB 신규발행'!A62,'FB 콘텐츠 data'!AR:AR,0)),"")</f>
        <v/>
      </c>
      <c r="C62" s="224" t="str">
        <f>IFERROR(INDEX('FB 콘텐츠 data'!$A$1:$AH$25,MATCH('FB 신규발행'!$A62,'FB 콘텐츠 data'!$AR:$AR,0),MATCH(C$2,'FB 콘텐츠 data'!$A$1:$AH$1,0)),"")</f>
        <v/>
      </c>
      <c r="D62" s="225" t="str">
        <f>IFERROR(INDEX('FB 콘텐츠 data'!$A$1:$AH$25,MATCH('FB 신규발행'!$A62,'FB 콘텐츠 data'!$AR:$AR,0),MATCH(D$2,'FB 콘텐츠 data'!$A$1:$AH$1,0)),"")</f>
        <v/>
      </c>
      <c r="E62" s="225" t="str">
        <f>IFERROR(INDEX('FB 콘텐츠 data'!$A$1:$AH$25,MATCH('FB 신규발행'!$A62,'FB 콘텐츠 data'!$AR:$AR,0),MATCH(E$2,'FB 콘텐츠 data'!$A$1:$AH$1,0)),"")</f>
        <v/>
      </c>
      <c r="F62" s="225" t="str">
        <f>IFERROR(INDEX('FB 콘텐츠 data'!$A$1:$AH$25,MATCH('FB 신규발행'!$A62,'FB 콘텐츠 data'!$AR:$AR,0),MATCH(F$2,'FB 콘텐츠 data'!$A$1:$AH$1,0)),"")</f>
        <v/>
      </c>
      <c r="G62" s="225" t="str">
        <f>IFERROR(INDEX('FB 콘텐츠 data'!$A$1:$AH$25,MATCH('FB 신규발행'!$A62,'FB 콘텐츠 data'!$AR:$AR,0),MATCH(G$2,'FB 콘텐츠 data'!$A$1:$AH$1,0)),"")</f>
        <v/>
      </c>
      <c r="H62" s="225" t="str">
        <f t="shared" si="5"/>
        <v/>
      </c>
      <c r="I62" s="225" t="str">
        <f>IFERROR(INDEX('FB 콘텐츠 data'!$A$1:$AH$25,MATCH('FB 신규발행'!$A62,'FB 콘텐츠 data'!$AR:$AR,0),MATCH(I$2,'FB 콘텐츠 data'!$A$1:$AH$1,0)),"")</f>
        <v/>
      </c>
      <c r="J62" s="225" t="str">
        <f>IFERROR(INDEX('FB 콘텐츠 data'!$A$1:$AH$25,MATCH('FB 신규발행'!$A62,'FB 콘텐츠 data'!$AR:$AR,0),MATCH(J$2,'FB 콘텐츠 data'!$A$1:$AH$1,0)),"")</f>
        <v/>
      </c>
      <c r="K62" s="224" t="str">
        <f>IFERROR(INDEX('FB 콘텐츠 data'!$A$1:$AR$25,MATCH('FB 신규발행'!$A62,'FB 콘텐츠 data'!$AR:$AR,0),MATCH(K$2,'FB 콘텐츠 data'!$A$1:$AR$1,0)),"")</f>
        <v/>
      </c>
      <c r="L62" s="225" t="str">
        <f>IFERROR(INDEX('FB 콘텐츠 data'!$A$1:$AH$25,MATCH('FB 신규발행'!$A62,'FB 콘텐츠 data'!$AR:$AR,0),MATCH(L$2,'FB 콘텐츠 data'!$A$1:$AH$1,0)),"")</f>
        <v/>
      </c>
      <c r="M62" s="225" t="str">
        <f>IFERROR(INDEX('FB 콘텐츠 data'!$A$1:$AH$25,MATCH('FB 신규발행'!$A62,'FB 콘텐츠 data'!$AR:$AR,0),MATCH(M$2,'FB 콘텐츠 data'!$A$1:$AH$1,0)),"")</f>
        <v/>
      </c>
      <c r="N62" s="225" t="str">
        <f>IFERROR(INDEX('FB 콘텐츠 data'!$A$1:$AH$25,MATCH('FB 신규발행'!$A62,'FB 콘텐츠 data'!$AR:$AR,0),MATCH(N$2,'FB 콘텐츠 data'!$A$1:$AH$1,0)),"")</f>
        <v/>
      </c>
      <c r="O62" s="225" t="str">
        <f>IFERROR(INDEX('FB 콘텐츠 data'!$A$1:$AH$25,MATCH('FB 신규발행'!$A62,'FB 콘텐츠 data'!$AR:$AR,0),MATCH(O$2,'FB 콘텐츠 data'!$A$1:$AH$1,0)),"")</f>
        <v/>
      </c>
      <c r="P62" s="225" t="str">
        <f>IFERROR(INDEX('FB 콘텐츠 data'!$A$1:$AH$25,MATCH('FB 신규발행'!$A62,'FB 콘텐츠 data'!$AR:$AR,0),MATCH(P$2,'FB 콘텐츠 data'!$A$1:$AH$1,0)),"")</f>
        <v/>
      </c>
      <c r="Q62" s="225" t="str">
        <f>IFERROR(INDEX('FB 콘텐츠 data'!$A$1:$AH$25,MATCH('FB 신규발행'!$A62,'FB 콘텐츠 data'!$AR:$AR,0),MATCH(Q$2,'FB 콘텐츠 data'!$A$1:$AH$1,0)),"")</f>
        <v/>
      </c>
      <c r="R62" s="226" t="str">
        <f t="shared" si="6"/>
        <v/>
      </c>
      <c r="T62" s="48" t="str">
        <f t="shared" si="7"/>
        <v/>
      </c>
      <c r="U62" s="48" t="str">
        <f t="shared" si="8"/>
        <v/>
      </c>
      <c r="Y62" s="112"/>
    </row>
    <row r="63" spans="1:25" ht="17.45" customHeight="1">
      <c r="A63" s="123">
        <v>61</v>
      </c>
      <c r="B63" s="223" t="str">
        <f>IFERROR(INDEX('FB 콘텐츠 data'!AQ:AQ,MATCH('FB 신규발행'!A63,'FB 콘텐츠 data'!AR:AR,0)),"")</f>
        <v/>
      </c>
      <c r="C63" s="224" t="str">
        <f>IFERROR(INDEX('FB 콘텐츠 data'!$A$1:$AH$25,MATCH('FB 신규발행'!$A63,'FB 콘텐츠 data'!$AR:$AR,0),MATCH(C$2,'FB 콘텐츠 data'!$A$1:$AH$1,0)),"")</f>
        <v/>
      </c>
      <c r="D63" s="225" t="str">
        <f>IFERROR(INDEX('FB 콘텐츠 data'!$A$1:$AH$25,MATCH('FB 신규발행'!$A63,'FB 콘텐츠 data'!$AR:$AR,0),MATCH(D$2,'FB 콘텐츠 data'!$A$1:$AH$1,0)),"")</f>
        <v/>
      </c>
      <c r="E63" s="225" t="str">
        <f>IFERROR(INDEX('FB 콘텐츠 data'!$A$1:$AH$25,MATCH('FB 신규발행'!$A63,'FB 콘텐츠 data'!$AR:$AR,0),MATCH(E$2,'FB 콘텐츠 data'!$A$1:$AH$1,0)),"")</f>
        <v/>
      </c>
      <c r="F63" s="225" t="str">
        <f>IFERROR(INDEX('FB 콘텐츠 data'!$A$1:$AH$25,MATCH('FB 신규발행'!$A63,'FB 콘텐츠 data'!$AR:$AR,0),MATCH(F$2,'FB 콘텐츠 data'!$A$1:$AH$1,0)),"")</f>
        <v/>
      </c>
      <c r="G63" s="225" t="str">
        <f>IFERROR(INDEX('FB 콘텐츠 data'!$A$1:$AH$25,MATCH('FB 신규발행'!$A63,'FB 콘텐츠 data'!$AR:$AR,0),MATCH(G$2,'FB 콘텐츠 data'!$A$1:$AH$1,0)),"")</f>
        <v/>
      </c>
      <c r="H63" s="225" t="str">
        <f t="shared" si="5"/>
        <v/>
      </c>
      <c r="I63" s="225" t="str">
        <f>IFERROR(INDEX('FB 콘텐츠 data'!$A$1:$AH$25,MATCH('FB 신규발행'!$A63,'FB 콘텐츠 data'!$AR:$AR,0),MATCH(I$2,'FB 콘텐츠 data'!$A$1:$AH$1,0)),"")</f>
        <v/>
      </c>
      <c r="J63" s="225" t="str">
        <f>IFERROR(INDEX('FB 콘텐츠 data'!$A$1:$AH$25,MATCH('FB 신규발행'!$A63,'FB 콘텐츠 data'!$AR:$AR,0),MATCH(J$2,'FB 콘텐츠 data'!$A$1:$AH$1,0)),"")</f>
        <v/>
      </c>
      <c r="K63" s="224" t="str">
        <f>IFERROR(INDEX('FB 콘텐츠 data'!$A$1:$AR$25,MATCH('FB 신규발행'!$A63,'FB 콘텐츠 data'!$AR:$AR,0),MATCH(K$2,'FB 콘텐츠 data'!$A$1:$AR$1,0)),"")</f>
        <v/>
      </c>
      <c r="L63" s="225" t="str">
        <f>IFERROR(INDEX('FB 콘텐츠 data'!$A$1:$AH$25,MATCH('FB 신규발행'!$A63,'FB 콘텐츠 data'!$AR:$AR,0),MATCH(L$2,'FB 콘텐츠 data'!$A$1:$AH$1,0)),"")</f>
        <v/>
      </c>
      <c r="M63" s="225" t="str">
        <f>IFERROR(INDEX('FB 콘텐츠 data'!$A$1:$AH$25,MATCH('FB 신규발행'!$A63,'FB 콘텐츠 data'!$AR:$AR,0),MATCH(M$2,'FB 콘텐츠 data'!$A$1:$AH$1,0)),"")</f>
        <v/>
      </c>
      <c r="N63" s="225" t="str">
        <f>IFERROR(INDEX('FB 콘텐츠 data'!$A$1:$AH$25,MATCH('FB 신규발행'!$A63,'FB 콘텐츠 data'!$AR:$AR,0),MATCH(N$2,'FB 콘텐츠 data'!$A$1:$AH$1,0)),"")</f>
        <v/>
      </c>
      <c r="O63" s="225" t="str">
        <f>IFERROR(INDEX('FB 콘텐츠 data'!$A$1:$AH$25,MATCH('FB 신규발행'!$A63,'FB 콘텐츠 data'!$AR:$AR,0),MATCH(O$2,'FB 콘텐츠 data'!$A$1:$AH$1,0)),"")</f>
        <v/>
      </c>
      <c r="P63" s="225" t="str">
        <f>IFERROR(INDEX('FB 콘텐츠 data'!$A$1:$AH$25,MATCH('FB 신규발행'!$A63,'FB 콘텐츠 data'!$AR:$AR,0),MATCH(P$2,'FB 콘텐츠 data'!$A$1:$AH$1,0)),"")</f>
        <v/>
      </c>
      <c r="Q63" s="225" t="str">
        <f>IFERROR(INDEX('FB 콘텐츠 data'!$A$1:$AH$25,MATCH('FB 신규발행'!$A63,'FB 콘텐츠 data'!$AR:$AR,0),MATCH(Q$2,'FB 콘텐츠 data'!$A$1:$AH$1,0)),"")</f>
        <v/>
      </c>
      <c r="R63" s="226" t="str">
        <f t="shared" si="6"/>
        <v/>
      </c>
      <c r="T63" s="48" t="str">
        <f t="shared" si="7"/>
        <v/>
      </c>
      <c r="U63" s="48" t="str">
        <f t="shared" si="8"/>
        <v/>
      </c>
      <c r="Y63" s="112"/>
    </row>
    <row r="64" spans="1:25" ht="17.45" customHeight="1">
      <c r="A64" s="123">
        <v>62</v>
      </c>
      <c r="B64" s="223" t="str">
        <f>IFERROR(INDEX('FB 콘텐츠 data'!AQ:AQ,MATCH('FB 신규발행'!A64,'FB 콘텐츠 data'!AR:AR,0)),"")</f>
        <v/>
      </c>
      <c r="C64" s="224" t="str">
        <f>IFERROR(INDEX('FB 콘텐츠 data'!$A$1:$AH$25,MATCH('FB 신규발행'!$A64,'FB 콘텐츠 data'!$AR:$AR,0),MATCH(C$2,'FB 콘텐츠 data'!$A$1:$AH$1,0)),"")</f>
        <v/>
      </c>
      <c r="D64" s="225" t="str">
        <f>IFERROR(INDEX('FB 콘텐츠 data'!$A$1:$AH$25,MATCH('FB 신규발행'!$A64,'FB 콘텐츠 data'!$AR:$AR,0),MATCH(D$2,'FB 콘텐츠 data'!$A$1:$AH$1,0)),"")</f>
        <v/>
      </c>
      <c r="E64" s="225" t="str">
        <f>IFERROR(INDEX('FB 콘텐츠 data'!$A$1:$AH$25,MATCH('FB 신규발행'!$A64,'FB 콘텐츠 data'!$AR:$AR,0),MATCH(E$2,'FB 콘텐츠 data'!$A$1:$AH$1,0)),"")</f>
        <v/>
      </c>
      <c r="F64" s="225" t="str">
        <f>IFERROR(INDEX('FB 콘텐츠 data'!$A$1:$AH$25,MATCH('FB 신규발행'!$A64,'FB 콘텐츠 data'!$AR:$AR,0),MATCH(F$2,'FB 콘텐츠 data'!$A$1:$AH$1,0)),"")</f>
        <v/>
      </c>
      <c r="G64" s="225" t="str">
        <f>IFERROR(INDEX('FB 콘텐츠 data'!$A$1:$AH$25,MATCH('FB 신규발행'!$A64,'FB 콘텐츠 data'!$AR:$AR,0),MATCH(G$2,'FB 콘텐츠 data'!$A$1:$AH$1,0)),"")</f>
        <v/>
      </c>
      <c r="H64" s="225" t="str">
        <f t="shared" si="5"/>
        <v/>
      </c>
      <c r="I64" s="225" t="str">
        <f>IFERROR(INDEX('FB 콘텐츠 data'!$A$1:$AH$25,MATCH('FB 신규발행'!$A64,'FB 콘텐츠 data'!$AR:$AR,0),MATCH(I$2,'FB 콘텐츠 data'!$A$1:$AH$1,0)),"")</f>
        <v/>
      </c>
      <c r="J64" s="225" t="str">
        <f>IFERROR(INDEX('FB 콘텐츠 data'!$A$1:$AH$25,MATCH('FB 신규발행'!$A64,'FB 콘텐츠 data'!$AR:$AR,0),MATCH(J$2,'FB 콘텐츠 data'!$A$1:$AH$1,0)),"")</f>
        <v/>
      </c>
      <c r="K64" s="224" t="str">
        <f>IFERROR(INDEX('FB 콘텐츠 data'!$A$1:$AR$25,MATCH('FB 신규발행'!$A64,'FB 콘텐츠 data'!$AR:$AR,0),MATCH(K$2,'FB 콘텐츠 data'!$A$1:$AR$1,0)),"")</f>
        <v/>
      </c>
      <c r="L64" s="225" t="str">
        <f>IFERROR(INDEX('FB 콘텐츠 data'!$A$1:$AH$25,MATCH('FB 신규발행'!$A64,'FB 콘텐츠 data'!$AR:$AR,0),MATCH(L$2,'FB 콘텐츠 data'!$A$1:$AH$1,0)),"")</f>
        <v/>
      </c>
      <c r="M64" s="225" t="str">
        <f>IFERROR(INDEX('FB 콘텐츠 data'!$A$1:$AH$25,MATCH('FB 신규발행'!$A64,'FB 콘텐츠 data'!$AR:$AR,0),MATCH(M$2,'FB 콘텐츠 data'!$A$1:$AH$1,0)),"")</f>
        <v/>
      </c>
      <c r="N64" s="225" t="str">
        <f>IFERROR(INDEX('FB 콘텐츠 data'!$A$1:$AH$25,MATCH('FB 신규발행'!$A64,'FB 콘텐츠 data'!$AR:$AR,0),MATCH(N$2,'FB 콘텐츠 data'!$A$1:$AH$1,0)),"")</f>
        <v/>
      </c>
      <c r="O64" s="225" t="str">
        <f>IFERROR(INDEX('FB 콘텐츠 data'!$A$1:$AH$25,MATCH('FB 신규발행'!$A64,'FB 콘텐츠 data'!$AR:$AR,0),MATCH(O$2,'FB 콘텐츠 data'!$A$1:$AH$1,0)),"")</f>
        <v/>
      </c>
      <c r="P64" s="225" t="str">
        <f>IFERROR(INDEX('FB 콘텐츠 data'!$A$1:$AH$25,MATCH('FB 신규발행'!$A64,'FB 콘텐츠 data'!$AR:$AR,0),MATCH(P$2,'FB 콘텐츠 data'!$A$1:$AH$1,0)),"")</f>
        <v/>
      </c>
      <c r="Q64" s="225" t="str">
        <f>IFERROR(INDEX('FB 콘텐츠 data'!$A$1:$AH$25,MATCH('FB 신규발행'!$A64,'FB 콘텐츠 data'!$AR:$AR,0),MATCH(Q$2,'FB 콘텐츠 data'!$A$1:$AH$1,0)),"")</f>
        <v/>
      </c>
      <c r="R64" s="226" t="str">
        <f t="shared" si="6"/>
        <v/>
      </c>
      <c r="T64" s="48" t="str">
        <f t="shared" si="7"/>
        <v/>
      </c>
      <c r="U64" s="48" t="str">
        <f t="shared" si="8"/>
        <v/>
      </c>
      <c r="Y64" s="112"/>
    </row>
    <row r="65" spans="1:25" ht="17.45" customHeight="1">
      <c r="A65" s="123">
        <v>63</v>
      </c>
      <c r="B65" s="223" t="str">
        <f>IFERROR(INDEX('FB 콘텐츠 data'!AQ:AQ,MATCH('FB 신규발행'!A65,'FB 콘텐츠 data'!AR:AR,0)),"")</f>
        <v/>
      </c>
      <c r="C65" s="224" t="str">
        <f>IFERROR(INDEX('FB 콘텐츠 data'!$A$1:$AH$25,MATCH('FB 신규발행'!$A65,'FB 콘텐츠 data'!$AR:$AR,0),MATCH(C$2,'FB 콘텐츠 data'!$A$1:$AH$1,0)),"")</f>
        <v/>
      </c>
      <c r="D65" s="225" t="str">
        <f>IFERROR(INDEX('FB 콘텐츠 data'!$A$1:$AH$25,MATCH('FB 신규발행'!$A65,'FB 콘텐츠 data'!$AR:$AR,0),MATCH(D$2,'FB 콘텐츠 data'!$A$1:$AH$1,0)),"")</f>
        <v/>
      </c>
      <c r="E65" s="225" t="str">
        <f>IFERROR(INDEX('FB 콘텐츠 data'!$A$1:$AH$25,MATCH('FB 신규발행'!$A65,'FB 콘텐츠 data'!$AR:$AR,0),MATCH(E$2,'FB 콘텐츠 data'!$A$1:$AH$1,0)),"")</f>
        <v/>
      </c>
      <c r="F65" s="225" t="str">
        <f>IFERROR(INDEX('FB 콘텐츠 data'!$A$1:$AH$25,MATCH('FB 신규발행'!$A65,'FB 콘텐츠 data'!$AR:$AR,0),MATCH(F$2,'FB 콘텐츠 data'!$A$1:$AH$1,0)),"")</f>
        <v/>
      </c>
      <c r="G65" s="225" t="str">
        <f>IFERROR(INDEX('FB 콘텐츠 data'!$A$1:$AH$25,MATCH('FB 신규발행'!$A65,'FB 콘텐츠 data'!$AR:$AR,0),MATCH(G$2,'FB 콘텐츠 data'!$A$1:$AH$1,0)),"")</f>
        <v/>
      </c>
      <c r="H65" s="225" t="str">
        <f t="shared" si="5"/>
        <v/>
      </c>
      <c r="I65" s="225" t="str">
        <f>IFERROR(INDEX('FB 콘텐츠 data'!$A$1:$AH$25,MATCH('FB 신규발행'!$A65,'FB 콘텐츠 data'!$AR:$AR,0),MATCH(I$2,'FB 콘텐츠 data'!$A$1:$AH$1,0)),"")</f>
        <v/>
      </c>
      <c r="J65" s="225" t="str">
        <f>IFERROR(INDEX('FB 콘텐츠 data'!$A$1:$AH$25,MATCH('FB 신규발행'!$A65,'FB 콘텐츠 data'!$AR:$AR,0),MATCH(J$2,'FB 콘텐츠 data'!$A$1:$AH$1,0)),"")</f>
        <v/>
      </c>
      <c r="K65" s="224" t="str">
        <f>IFERROR(INDEX('FB 콘텐츠 data'!$A$1:$AR$25,MATCH('FB 신규발행'!$A65,'FB 콘텐츠 data'!$AR:$AR,0),MATCH(K$2,'FB 콘텐츠 data'!$A$1:$AR$1,0)),"")</f>
        <v/>
      </c>
      <c r="L65" s="225" t="str">
        <f>IFERROR(INDEX('FB 콘텐츠 data'!$A$1:$AH$25,MATCH('FB 신규발행'!$A65,'FB 콘텐츠 data'!$AR:$AR,0),MATCH(L$2,'FB 콘텐츠 data'!$A$1:$AH$1,0)),"")</f>
        <v/>
      </c>
      <c r="M65" s="225" t="str">
        <f>IFERROR(INDEX('FB 콘텐츠 data'!$A$1:$AH$25,MATCH('FB 신규발행'!$A65,'FB 콘텐츠 data'!$AR:$AR,0),MATCH(M$2,'FB 콘텐츠 data'!$A$1:$AH$1,0)),"")</f>
        <v/>
      </c>
      <c r="N65" s="225" t="str">
        <f>IFERROR(INDEX('FB 콘텐츠 data'!$A$1:$AH$25,MATCH('FB 신규발행'!$A65,'FB 콘텐츠 data'!$AR:$AR,0),MATCH(N$2,'FB 콘텐츠 data'!$A$1:$AH$1,0)),"")</f>
        <v/>
      </c>
      <c r="O65" s="225" t="str">
        <f>IFERROR(INDEX('FB 콘텐츠 data'!$A$1:$AH$25,MATCH('FB 신규발행'!$A65,'FB 콘텐츠 data'!$AR:$AR,0),MATCH(O$2,'FB 콘텐츠 data'!$A$1:$AH$1,0)),"")</f>
        <v/>
      </c>
      <c r="P65" s="225" t="str">
        <f>IFERROR(INDEX('FB 콘텐츠 data'!$A$1:$AH$25,MATCH('FB 신규발행'!$A65,'FB 콘텐츠 data'!$AR:$AR,0),MATCH(P$2,'FB 콘텐츠 data'!$A$1:$AH$1,0)),"")</f>
        <v/>
      </c>
      <c r="Q65" s="225" t="str">
        <f>IFERROR(INDEX('FB 콘텐츠 data'!$A$1:$AH$25,MATCH('FB 신규발행'!$A65,'FB 콘텐츠 data'!$AR:$AR,0),MATCH(Q$2,'FB 콘텐츠 data'!$A$1:$AH$1,0)),"")</f>
        <v/>
      </c>
      <c r="R65" s="226" t="str">
        <f t="shared" si="6"/>
        <v/>
      </c>
      <c r="T65" s="48" t="str">
        <f t="shared" si="7"/>
        <v/>
      </c>
      <c r="U65" s="48" t="str">
        <f t="shared" si="8"/>
        <v/>
      </c>
      <c r="Y65" s="112"/>
    </row>
    <row r="66" spans="1:25" ht="17.45" customHeight="1">
      <c r="A66" s="123">
        <v>64</v>
      </c>
      <c r="B66" s="223" t="str">
        <f>IFERROR(INDEX('FB 콘텐츠 data'!AQ:AQ,MATCH('FB 신규발행'!A66,'FB 콘텐츠 data'!AR:AR,0)),"")</f>
        <v/>
      </c>
      <c r="C66" s="224" t="str">
        <f>IFERROR(INDEX('FB 콘텐츠 data'!$A$1:$AH$25,MATCH('FB 신규발행'!$A66,'FB 콘텐츠 data'!$AR:$AR,0),MATCH(C$2,'FB 콘텐츠 data'!$A$1:$AH$1,0)),"")</f>
        <v/>
      </c>
      <c r="D66" s="225" t="str">
        <f>IFERROR(INDEX('FB 콘텐츠 data'!$A$1:$AH$25,MATCH('FB 신규발행'!$A66,'FB 콘텐츠 data'!$AR:$AR,0),MATCH(D$2,'FB 콘텐츠 data'!$A$1:$AH$1,0)),"")</f>
        <v/>
      </c>
      <c r="E66" s="225" t="str">
        <f>IFERROR(INDEX('FB 콘텐츠 data'!$A$1:$AH$25,MATCH('FB 신규발행'!$A66,'FB 콘텐츠 data'!$AR:$AR,0),MATCH(E$2,'FB 콘텐츠 data'!$A$1:$AH$1,0)),"")</f>
        <v/>
      </c>
      <c r="F66" s="225" t="str">
        <f>IFERROR(INDEX('FB 콘텐츠 data'!$A$1:$AH$25,MATCH('FB 신규발행'!$A66,'FB 콘텐츠 data'!$AR:$AR,0),MATCH(F$2,'FB 콘텐츠 data'!$A$1:$AH$1,0)),"")</f>
        <v/>
      </c>
      <c r="G66" s="225" t="str">
        <f>IFERROR(INDEX('FB 콘텐츠 data'!$A$1:$AH$25,MATCH('FB 신규발행'!$A66,'FB 콘텐츠 data'!$AR:$AR,0),MATCH(G$2,'FB 콘텐츠 data'!$A$1:$AH$1,0)),"")</f>
        <v/>
      </c>
      <c r="H66" s="225" t="str">
        <f t="shared" si="5"/>
        <v/>
      </c>
      <c r="I66" s="225" t="str">
        <f>IFERROR(INDEX('FB 콘텐츠 data'!$A$1:$AH$25,MATCH('FB 신규발행'!$A66,'FB 콘텐츠 data'!$AR:$AR,0),MATCH(I$2,'FB 콘텐츠 data'!$A$1:$AH$1,0)),"")</f>
        <v/>
      </c>
      <c r="J66" s="225" t="str">
        <f>IFERROR(INDEX('FB 콘텐츠 data'!$A$1:$AH$25,MATCH('FB 신규발행'!$A66,'FB 콘텐츠 data'!$AR:$AR,0),MATCH(J$2,'FB 콘텐츠 data'!$A$1:$AH$1,0)),"")</f>
        <v/>
      </c>
      <c r="K66" s="224" t="str">
        <f>IFERROR(INDEX('FB 콘텐츠 data'!$A$1:$AR$25,MATCH('FB 신규발행'!$A66,'FB 콘텐츠 data'!$AR:$AR,0),MATCH(K$2,'FB 콘텐츠 data'!$A$1:$AR$1,0)),"")</f>
        <v/>
      </c>
      <c r="L66" s="225" t="str">
        <f>IFERROR(INDEX('FB 콘텐츠 data'!$A$1:$AH$25,MATCH('FB 신규발행'!$A66,'FB 콘텐츠 data'!$AR:$AR,0),MATCH(L$2,'FB 콘텐츠 data'!$A$1:$AH$1,0)),"")</f>
        <v/>
      </c>
      <c r="M66" s="225" t="str">
        <f>IFERROR(INDEX('FB 콘텐츠 data'!$A$1:$AH$25,MATCH('FB 신규발행'!$A66,'FB 콘텐츠 data'!$AR:$AR,0),MATCH(M$2,'FB 콘텐츠 data'!$A$1:$AH$1,0)),"")</f>
        <v/>
      </c>
      <c r="N66" s="225" t="str">
        <f>IFERROR(INDEX('FB 콘텐츠 data'!$A$1:$AH$25,MATCH('FB 신규발행'!$A66,'FB 콘텐츠 data'!$AR:$AR,0),MATCH(N$2,'FB 콘텐츠 data'!$A$1:$AH$1,0)),"")</f>
        <v/>
      </c>
      <c r="O66" s="225" t="str">
        <f>IFERROR(INDEX('FB 콘텐츠 data'!$A$1:$AH$25,MATCH('FB 신규발행'!$A66,'FB 콘텐츠 data'!$AR:$AR,0),MATCH(O$2,'FB 콘텐츠 data'!$A$1:$AH$1,0)),"")</f>
        <v/>
      </c>
      <c r="P66" s="225" t="str">
        <f>IFERROR(INDEX('FB 콘텐츠 data'!$A$1:$AH$25,MATCH('FB 신규발행'!$A66,'FB 콘텐츠 data'!$AR:$AR,0),MATCH(P$2,'FB 콘텐츠 data'!$A$1:$AH$1,0)),"")</f>
        <v/>
      </c>
      <c r="Q66" s="225" t="str">
        <f>IFERROR(INDEX('FB 콘텐츠 data'!$A$1:$AH$25,MATCH('FB 신규발행'!$A66,'FB 콘텐츠 data'!$AR:$AR,0),MATCH(Q$2,'FB 콘텐츠 data'!$A$1:$AH$1,0)),"")</f>
        <v/>
      </c>
      <c r="R66" s="226" t="str">
        <f t="shared" si="6"/>
        <v/>
      </c>
      <c r="T66" s="48" t="str">
        <f t="shared" si="7"/>
        <v/>
      </c>
      <c r="U66" s="48" t="str">
        <f t="shared" si="8"/>
        <v/>
      </c>
      <c r="Y66" s="112"/>
    </row>
    <row r="67" spans="1:25" ht="17.45" customHeight="1">
      <c r="A67" s="123">
        <v>65</v>
      </c>
      <c r="B67" s="223" t="str">
        <f>IFERROR(INDEX('FB 콘텐츠 data'!AQ:AQ,MATCH('FB 신규발행'!A67,'FB 콘텐츠 data'!AR:AR,0)),"")</f>
        <v/>
      </c>
      <c r="C67" s="224" t="str">
        <f>IFERROR(INDEX('FB 콘텐츠 data'!$A$1:$AH$25,MATCH('FB 신규발행'!$A67,'FB 콘텐츠 data'!$AR:$AR,0),MATCH(C$2,'FB 콘텐츠 data'!$A$1:$AH$1,0)),"")</f>
        <v/>
      </c>
      <c r="D67" s="225" t="str">
        <f>IFERROR(INDEX('FB 콘텐츠 data'!$A$1:$AH$25,MATCH('FB 신규발행'!$A67,'FB 콘텐츠 data'!$AR:$AR,0),MATCH(D$2,'FB 콘텐츠 data'!$A$1:$AH$1,0)),"")</f>
        <v/>
      </c>
      <c r="E67" s="225" t="str">
        <f>IFERROR(INDEX('FB 콘텐츠 data'!$A$1:$AH$25,MATCH('FB 신규발행'!$A67,'FB 콘텐츠 data'!$AR:$AR,0),MATCH(E$2,'FB 콘텐츠 data'!$A$1:$AH$1,0)),"")</f>
        <v/>
      </c>
      <c r="F67" s="225" t="str">
        <f>IFERROR(INDEX('FB 콘텐츠 data'!$A$1:$AH$25,MATCH('FB 신규발행'!$A67,'FB 콘텐츠 data'!$AR:$AR,0),MATCH(F$2,'FB 콘텐츠 data'!$A$1:$AH$1,0)),"")</f>
        <v/>
      </c>
      <c r="G67" s="225" t="str">
        <f>IFERROR(INDEX('FB 콘텐츠 data'!$A$1:$AH$25,MATCH('FB 신규발행'!$A67,'FB 콘텐츠 data'!$AR:$AR,0),MATCH(G$2,'FB 콘텐츠 data'!$A$1:$AH$1,0)),"")</f>
        <v/>
      </c>
      <c r="H67" s="225" t="str">
        <f t="shared" ref="H67:H82" si="9">IF(B67="","",I67+J67+O67+Q67)</f>
        <v/>
      </c>
      <c r="I67" s="225" t="str">
        <f>IFERROR(INDEX('FB 콘텐츠 data'!$A$1:$AH$25,MATCH('FB 신규발행'!$A67,'FB 콘텐츠 data'!$AR:$AR,0),MATCH(I$2,'FB 콘텐츠 data'!$A$1:$AH$1,0)),"")</f>
        <v/>
      </c>
      <c r="J67" s="225" t="str">
        <f>IFERROR(INDEX('FB 콘텐츠 data'!$A$1:$AH$25,MATCH('FB 신규발행'!$A67,'FB 콘텐츠 data'!$AR:$AR,0),MATCH(J$2,'FB 콘텐츠 data'!$A$1:$AH$1,0)),"")</f>
        <v/>
      </c>
      <c r="K67" s="224" t="str">
        <f>IFERROR(INDEX('FB 콘텐츠 data'!$A$1:$AR$25,MATCH('FB 신규발행'!$A67,'FB 콘텐츠 data'!$AR:$AR,0),MATCH(K$2,'FB 콘텐츠 data'!$A$1:$AR$1,0)),"")</f>
        <v/>
      </c>
      <c r="L67" s="225" t="str">
        <f>IFERROR(INDEX('FB 콘텐츠 data'!$A$1:$AH$25,MATCH('FB 신규발행'!$A67,'FB 콘텐츠 data'!$AR:$AR,0),MATCH(L$2,'FB 콘텐츠 data'!$A$1:$AH$1,0)),"")</f>
        <v/>
      </c>
      <c r="M67" s="225" t="str">
        <f>IFERROR(INDEX('FB 콘텐츠 data'!$A$1:$AH$25,MATCH('FB 신규발행'!$A67,'FB 콘텐츠 data'!$AR:$AR,0),MATCH(M$2,'FB 콘텐츠 data'!$A$1:$AH$1,0)),"")</f>
        <v/>
      </c>
      <c r="N67" s="225" t="str">
        <f>IFERROR(INDEX('FB 콘텐츠 data'!$A$1:$AH$25,MATCH('FB 신규발행'!$A67,'FB 콘텐츠 data'!$AR:$AR,0),MATCH(N$2,'FB 콘텐츠 data'!$A$1:$AH$1,0)),"")</f>
        <v/>
      </c>
      <c r="O67" s="225" t="str">
        <f>IFERROR(INDEX('FB 콘텐츠 data'!$A$1:$AH$25,MATCH('FB 신규발행'!$A67,'FB 콘텐츠 data'!$AR:$AR,0),MATCH(O$2,'FB 콘텐츠 data'!$A$1:$AH$1,0)),"")</f>
        <v/>
      </c>
      <c r="P67" s="225" t="str">
        <f>IFERROR(INDEX('FB 콘텐츠 data'!$A$1:$AH$25,MATCH('FB 신규발행'!$A67,'FB 콘텐츠 data'!$AR:$AR,0),MATCH(P$2,'FB 콘텐츠 data'!$A$1:$AH$1,0)),"")</f>
        <v/>
      </c>
      <c r="Q67" s="225" t="str">
        <f>IFERROR(INDEX('FB 콘텐츠 data'!$A$1:$AH$25,MATCH('FB 신규발행'!$A67,'FB 콘텐츠 data'!$AR:$AR,0),MATCH(Q$2,'FB 콘텐츠 data'!$A$1:$AH$1,0)),"")</f>
        <v/>
      </c>
      <c r="R67" s="226" t="str">
        <f t="shared" ref="R67:R82" si="10">IFERROR(H67/F67,"")</f>
        <v/>
      </c>
      <c r="T67" s="48" t="str">
        <f t="shared" ref="T67:T82" si="11">IFERROR(RANK(R67,$R$3:$R$82,0),"")</f>
        <v/>
      </c>
      <c r="U67" s="48" t="str">
        <f t="shared" ref="U67:U82" si="12">IFERROR(RANK(E67,$E$3:$E$82,0),"")</f>
        <v/>
      </c>
      <c r="Y67" s="112"/>
    </row>
    <row r="68" spans="1:25" ht="17.45" customHeight="1">
      <c r="A68" s="123">
        <v>66</v>
      </c>
      <c r="B68" s="223" t="str">
        <f>IFERROR(INDEX('FB 콘텐츠 data'!AQ:AQ,MATCH('FB 신규발행'!A68,'FB 콘텐츠 data'!AR:AR,0)),"")</f>
        <v/>
      </c>
      <c r="C68" s="224" t="str">
        <f>IFERROR(INDEX('FB 콘텐츠 data'!$A$1:$AH$25,MATCH('FB 신규발행'!$A68,'FB 콘텐츠 data'!$AR:$AR,0),MATCH(C$2,'FB 콘텐츠 data'!$A$1:$AH$1,0)),"")</f>
        <v/>
      </c>
      <c r="D68" s="225" t="str">
        <f>IFERROR(INDEX('FB 콘텐츠 data'!$A$1:$AH$25,MATCH('FB 신규발행'!$A68,'FB 콘텐츠 data'!$AR:$AR,0),MATCH(D$2,'FB 콘텐츠 data'!$A$1:$AH$1,0)),"")</f>
        <v/>
      </c>
      <c r="E68" s="225" t="str">
        <f>IFERROR(INDEX('FB 콘텐츠 data'!$A$1:$AH$25,MATCH('FB 신규발행'!$A68,'FB 콘텐츠 data'!$AR:$AR,0),MATCH(E$2,'FB 콘텐츠 data'!$A$1:$AH$1,0)),"")</f>
        <v/>
      </c>
      <c r="F68" s="225" t="str">
        <f>IFERROR(INDEX('FB 콘텐츠 data'!$A$1:$AH$25,MATCH('FB 신규발행'!$A68,'FB 콘텐츠 data'!$AR:$AR,0),MATCH(F$2,'FB 콘텐츠 data'!$A$1:$AH$1,0)),"")</f>
        <v/>
      </c>
      <c r="G68" s="225" t="str">
        <f>IFERROR(INDEX('FB 콘텐츠 data'!$A$1:$AH$25,MATCH('FB 신규발행'!$A68,'FB 콘텐츠 data'!$AR:$AR,0),MATCH(G$2,'FB 콘텐츠 data'!$A$1:$AH$1,0)),"")</f>
        <v/>
      </c>
      <c r="H68" s="225" t="str">
        <f t="shared" si="9"/>
        <v/>
      </c>
      <c r="I68" s="225" t="str">
        <f>IFERROR(INDEX('FB 콘텐츠 data'!$A$1:$AH$25,MATCH('FB 신규발행'!$A68,'FB 콘텐츠 data'!$AR:$AR,0),MATCH(I$2,'FB 콘텐츠 data'!$A$1:$AH$1,0)),"")</f>
        <v/>
      </c>
      <c r="J68" s="225" t="str">
        <f>IFERROR(INDEX('FB 콘텐츠 data'!$A$1:$AH$25,MATCH('FB 신규발행'!$A68,'FB 콘텐츠 data'!$AR:$AR,0),MATCH(J$2,'FB 콘텐츠 data'!$A$1:$AH$1,0)),"")</f>
        <v/>
      </c>
      <c r="K68" s="224" t="str">
        <f>IFERROR(INDEX('FB 콘텐츠 data'!$A$1:$AR$25,MATCH('FB 신규발행'!$A68,'FB 콘텐츠 data'!$AR:$AR,0),MATCH(K$2,'FB 콘텐츠 data'!$A$1:$AR$1,0)),"")</f>
        <v/>
      </c>
      <c r="L68" s="225" t="str">
        <f>IFERROR(INDEX('FB 콘텐츠 data'!$A$1:$AH$25,MATCH('FB 신규발행'!$A68,'FB 콘텐츠 data'!$AR:$AR,0),MATCH(L$2,'FB 콘텐츠 data'!$A$1:$AH$1,0)),"")</f>
        <v/>
      </c>
      <c r="M68" s="225" t="str">
        <f>IFERROR(INDEX('FB 콘텐츠 data'!$A$1:$AH$25,MATCH('FB 신규발행'!$A68,'FB 콘텐츠 data'!$AR:$AR,0),MATCH(M$2,'FB 콘텐츠 data'!$A$1:$AH$1,0)),"")</f>
        <v/>
      </c>
      <c r="N68" s="225" t="str">
        <f>IFERROR(INDEX('FB 콘텐츠 data'!$A$1:$AH$25,MATCH('FB 신규발행'!$A68,'FB 콘텐츠 data'!$AR:$AR,0),MATCH(N$2,'FB 콘텐츠 data'!$A$1:$AH$1,0)),"")</f>
        <v/>
      </c>
      <c r="O68" s="225" t="str">
        <f>IFERROR(INDEX('FB 콘텐츠 data'!$A$1:$AH$25,MATCH('FB 신규발행'!$A68,'FB 콘텐츠 data'!$AR:$AR,0),MATCH(O$2,'FB 콘텐츠 data'!$A$1:$AH$1,0)),"")</f>
        <v/>
      </c>
      <c r="P68" s="225" t="str">
        <f>IFERROR(INDEX('FB 콘텐츠 data'!$A$1:$AH$25,MATCH('FB 신규발행'!$A68,'FB 콘텐츠 data'!$AR:$AR,0),MATCH(P$2,'FB 콘텐츠 data'!$A$1:$AH$1,0)),"")</f>
        <v/>
      </c>
      <c r="Q68" s="225" t="str">
        <f>IFERROR(INDEX('FB 콘텐츠 data'!$A$1:$AH$25,MATCH('FB 신규발행'!$A68,'FB 콘텐츠 data'!$AR:$AR,0),MATCH(Q$2,'FB 콘텐츠 data'!$A$1:$AH$1,0)),"")</f>
        <v/>
      </c>
      <c r="R68" s="226" t="str">
        <f t="shared" si="10"/>
        <v/>
      </c>
      <c r="T68" s="48" t="str">
        <f t="shared" si="11"/>
        <v/>
      </c>
      <c r="U68" s="48" t="str">
        <f t="shared" si="12"/>
        <v/>
      </c>
      <c r="Y68" s="112"/>
    </row>
    <row r="69" spans="1:25" ht="17.45" customHeight="1">
      <c r="A69" s="123">
        <v>67</v>
      </c>
      <c r="B69" s="223" t="str">
        <f>IFERROR(INDEX('FB 콘텐츠 data'!AQ:AQ,MATCH('FB 신규발행'!A69,'FB 콘텐츠 data'!AR:AR,0)),"")</f>
        <v/>
      </c>
      <c r="C69" s="224" t="str">
        <f>IFERROR(INDEX('FB 콘텐츠 data'!$A$1:$AH$25,MATCH('FB 신규발행'!$A69,'FB 콘텐츠 data'!$AR:$AR,0),MATCH(C$2,'FB 콘텐츠 data'!$A$1:$AH$1,0)),"")</f>
        <v/>
      </c>
      <c r="D69" s="225" t="str">
        <f>IFERROR(INDEX('FB 콘텐츠 data'!$A$1:$AH$25,MATCH('FB 신규발행'!$A69,'FB 콘텐츠 data'!$AR:$AR,0),MATCH(D$2,'FB 콘텐츠 data'!$A$1:$AH$1,0)),"")</f>
        <v/>
      </c>
      <c r="E69" s="225" t="str">
        <f>IFERROR(INDEX('FB 콘텐츠 data'!$A$1:$AH$25,MATCH('FB 신규발행'!$A69,'FB 콘텐츠 data'!$AR:$AR,0),MATCH(E$2,'FB 콘텐츠 data'!$A$1:$AH$1,0)),"")</f>
        <v/>
      </c>
      <c r="F69" s="225" t="str">
        <f>IFERROR(INDEX('FB 콘텐츠 data'!$A$1:$AH$25,MATCH('FB 신규발행'!$A69,'FB 콘텐츠 data'!$AR:$AR,0),MATCH(F$2,'FB 콘텐츠 data'!$A$1:$AH$1,0)),"")</f>
        <v/>
      </c>
      <c r="G69" s="225" t="str">
        <f>IFERROR(INDEX('FB 콘텐츠 data'!$A$1:$AH$25,MATCH('FB 신규발행'!$A69,'FB 콘텐츠 data'!$AR:$AR,0),MATCH(G$2,'FB 콘텐츠 data'!$A$1:$AH$1,0)),"")</f>
        <v/>
      </c>
      <c r="H69" s="225" t="str">
        <f t="shared" si="9"/>
        <v/>
      </c>
      <c r="I69" s="225" t="str">
        <f>IFERROR(INDEX('FB 콘텐츠 data'!$A$1:$AH$25,MATCH('FB 신규발행'!$A69,'FB 콘텐츠 data'!$AR:$AR,0),MATCH(I$2,'FB 콘텐츠 data'!$A$1:$AH$1,0)),"")</f>
        <v/>
      </c>
      <c r="J69" s="225" t="str">
        <f>IFERROR(INDEX('FB 콘텐츠 data'!$A$1:$AH$25,MATCH('FB 신규발행'!$A69,'FB 콘텐츠 data'!$AR:$AR,0),MATCH(J$2,'FB 콘텐츠 data'!$A$1:$AH$1,0)),"")</f>
        <v/>
      </c>
      <c r="K69" s="224" t="str">
        <f>IFERROR(INDEX('FB 콘텐츠 data'!$A$1:$AR$25,MATCH('FB 신규발행'!$A69,'FB 콘텐츠 data'!$AR:$AR,0),MATCH(K$2,'FB 콘텐츠 data'!$A$1:$AR$1,0)),"")</f>
        <v/>
      </c>
      <c r="L69" s="225" t="str">
        <f>IFERROR(INDEX('FB 콘텐츠 data'!$A$1:$AH$25,MATCH('FB 신규발행'!$A69,'FB 콘텐츠 data'!$AR:$AR,0),MATCH(L$2,'FB 콘텐츠 data'!$A$1:$AH$1,0)),"")</f>
        <v/>
      </c>
      <c r="M69" s="225" t="str">
        <f>IFERROR(INDEX('FB 콘텐츠 data'!$A$1:$AH$25,MATCH('FB 신규발행'!$A69,'FB 콘텐츠 data'!$AR:$AR,0),MATCH(M$2,'FB 콘텐츠 data'!$A$1:$AH$1,0)),"")</f>
        <v/>
      </c>
      <c r="N69" s="225" t="str">
        <f>IFERROR(INDEX('FB 콘텐츠 data'!$A$1:$AH$25,MATCH('FB 신규발행'!$A69,'FB 콘텐츠 data'!$AR:$AR,0),MATCH(N$2,'FB 콘텐츠 data'!$A$1:$AH$1,0)),"")</f>
        <v/>
      </c>
      <c r="O69" s="225" t="str">
        <f>IFERROR(INDEX('FB 콘텐츠 data'!$A$1:$AH$25,MATCH('FB 신규발행'!$A69,'FB 콘텐츠 data'!$AR:$AR,0),MATCH(O$2,'FB 콘텐츠 data'!$A$1:$AH$1,0)),"")</f>
        <v/>
      </c>
      <c r="P69" s="225" t="str">
        <f>IFERROR(INDEX('FB 콘텐츠 data'!$A$1:$AH$25,MATCH('FB 신규발행'!$A69,'FB 콘텐츠 data'!$AR:$AR,0),MATCH(P$2,'FB 콘텐츠 data'!$A$1:$AH$1,0)),"")</f>
        <v/>
      </c>
      <c r="Q69" s="225" t="str">
        <f>IFERROR(INDEX('FB 콘텐츠 data'!$A$1:$AH$25,MATCH('FB 신규발행'!$A69,'FB 콘텐츠 data'!$AR:$AR,0),MATCH(Q$2,'FB 콘텐츠 data'!$A$1:$AH$1,0)),"")</f>
        <v/>
      </c>
      <c r="R69" s="226" t="str">
        <f t="shared" si="10"/>
        <v/>
      </c>
      <c r="T69" s="48" t="str">
        <f t="shared" si="11"/>
        <v/>
      </c>
      <c r="U69" s="48" t="str">
        <f t="shared" si="12"/>
        <v/>
      </c>
      <c r="Y69" s="112"/>
    </row>
    <row r="70" spans="1:25" ht="17.45" customHeight="1">
      <c r="A70" s="123">
        <v>68</v>
      </c>
      <c r="B70" s="223" t="str">
        <f>IFERROR(INDEX('FB 콘텐츠 data'!AQ:AQ,MATCH('FB 신규발행'!A70,'FB 콘텐츠 data'!AR:AR,0)),"")</f>
        <v/>
      </c>
      <c r="C70" s="224" t="str">
        <f>IFERROR(INDEX('FB 콘텐츠 data'!$A$1:$AH$25,MATCH('FB 신규발행'!$A70,'FB 콘텐츠 data'!$AR:$AR,0),MATCH(C$2,'FB 콘텐츠 data'!$A$1:$AH$1,0)),"")</f>
        <v/>
      </c>
      <c r="D70" s="225" t="str">
        <f>IFERROR(INDEX('FB 콘텐츠 data'!$A$1:$AH$25,MATCH('FB 신규발행'!$A70,'FB 콘텐츠 data'!$AR:$AR,0),MATCH(D$2,'FB 콘텐츠 data'!$A$1:$AH$1,0)),"")</f>
        <v/>
      </c>
      <c r="E70" s="225" t="str">
        <f>IFERROR(INDEX('FB 콘텐츠 data'!$A$1:$AH$25,MATCH('FB 신규발행'!$A70,'FB 콘텐츠 data'!$AR:$AR,0),MATCH(E$2,'FB 콘텐츠 data'!$A$1:$AH$1,0)),"")</f>
        <v/>
      </c>
      <c r="F70" s="225" t="str">
        <f>IFERROR(INDEX('FB 콘텐츠 data'!$A$1:$AH$25,MATCH('FB 신규발행'!$A70,'FB 콘텐츠 data'!$AR:$AR,0),MATCH(F$2,'FB 콘텐츠 data'!$A$1:$AH$1,0)),"")</f>
        <v/>
      </c>
      <c r="G70" s="225" t="str">
        <f>IFERROR(INDEX('FB 콘텐츠 data'!$A$1:$AH$25,MATCH('FB 신규발행'!$A70,'FB 콘텐츠 data'!$AR:$AR,0),MATCH(G$2,'FB 콘텐츠 data'!$A$1:$AH$1,0)),"")</f>
        <v/>
      </c>
      <c r="H70" s="225" t="str">
        <f t="shared" si="9"/>
        <v/>
      </c>
      <c r="I70" s="225" t="str">
        <f>IFERROR(INDEX('FB 콘텐츠 data'!$A$1:$AH$25,MATCH('FB 신규발행'!$A70,'FB 콘텐츠 data'!$AR:$AR,0),MATCH(I$2,'FB 콘텐츠 data'!$A$1:$AH$1,0)),"")</f>
        <v/>
      </c>
      <c r="J70" s="225" t="str">
        <f>IFERROR(INDEX('FB 콘텐츠 data'!$A$1:$AH$25,MATCH('FB 신규발행'!$A70,'FB 콘텐츠 data'!$AR:$AR,0),MATCH(J$2,'FB 콘텐츠 data'!$A$1:$AH$1,0)),"")</f>
        <v/>
      </c>
      <c r="K70" s="224" t="str">
        <f>IFERROR(INDEX('FB 콘텐츠 data'!$A$1:$AR$25,MATCH('FB 신규발행'!$A70,'FB 콘텐츠 data'!$AR:$AR,0),MATCH(K$2,'FB 콘텐츠 data'!$A$1:$AR$1,0)),"")</f>
        <v/>
      </c>
      <c r="L70" s="225" t="str">
        <f>IFERROR(INDEX('FB 콘텐츠 data'!$A$1:$AH$25,MATCH('FB 신규발행'!$A70,'FB 콘텐츠 data'!$AR:$AR,0),MATCH(L$2,'FB 콘텐츠 data'!$A$1:$AH$1,0)),"")</f>
        <v/>
      </c>
      <c r="M70" s="225" t="str">
        <f>IFERROR(INDEX('FB 콘텐츠 data'!$A$1:$AH$25,MATCH('FB 신규발행'!$A70,'FB 콘텐츠 data'!$AR:$AR,0),MATCH(M$2,'FB 콘텐츠 data'!$A$1:$AH$1,0)),"")</f>
        <v/>
      </c>
      <c r="N70" s="225" t="str">
        <f>IFERROR(INDEX('FB 콘텐츠 data'!$A$1:$AH$25,MATCH('FB 신규발행'!$A70,'FB 콘텐츠 data'!$AR:$AR,0),MATCH(N$2,'FB 콘텐츠 data'!$A$1:$AH$1,0)),"")</f>
        <v/>
      </c>
      <c r="O70" s="225" t="str">
        <f>IFERROR(INDEX('FB 콘텐츠 data'!$A$1:$AH$25,MATCH('FB 신규발행'!$A70,'FB 콘텐츠 data'!$AR:$AR,0),MATCH(O$2,'FB 콘텐츠 data'!$A$1:$AH$1,0)),"")</f>
        <v/>
      </c>
      <c r="P70" s="225" t="str">
        <f>IFERROR(INDEX('FB 콘텐츠 data'!$A$1:$AH$25,MATCH('FB 신규발행'!$A70,'FB 콘텐츠 data'!$AR:$AR,0),MATCH(P$2,'FB 콘텐츠 data'!$A$1:$AH$1,0)),"")</f>
        <v/>
      </c>
      <c r="Q70" s="225" t="str">
        <f>IFERROR(INDEX('FB 콘텐츠 data'!$A$1:$AH$25,MATCH('FB 신규발행'!$A70,'FB 콘텐츠 data'!$AR:$AR,0),MATCH(Q$2,'FB 콘텐츠 data'!$A$1:$AH$1,0)),"")</f>
        <v/>
      </c>
      <c r="R70" s="226" t="str">
        <f t="shared" si="10"/>
        <v/>
      </c>
      <c r="T70" s="48" t="str">
        <f t="shared" si="11"/>
        <v/>
      </c>
      <c r="U70" s="48" t="str">
        <f t="shared" si="12"/>
        <v/>
      </c>
      <c r="Y70" s="112"/>
    </row>
    <row r="71" spans="1:25" ht="17.45" customHeight="1">
      <c r="A71" s="123">
        <v>69</v>
      </c>
      <c r="B71" s="223" t="str">
        <f>IFERROR(INDEX('FB 콘텐츠 data'!AQ:AQ,MATCH('FB 신규발행'!A71,'FB 콘텐츠 data'!AR:AR,0)),"")</f>
        <v/>
      </c>
      <c r="C71" s="224" t="str">
        <f>IFERROR(INDEX('FB 콘텐츠 data'!$A$1:$AH$25,MATCH('FB 신규발행'!$A71,'FB 콘텐츠 data'!$AR:$AR,0),MATCH(C$2,'FB 콘텐츠 data'!$A$1:$AH$1,0)),"")</f>
        <v/>
      </c>
      <c r="D71" s="225" t="str">
        <f>IFERROR(INDEX('FB 콘텐츠 data'!$A$1:$AH$25,MATCH('FB 신규발행'!$A71,'FB 콘텐츠 data'!$AR:$AR,0),MATCH(D$2,'FB 콘텐츠 data'!$A$1:$AH$1,0)),"")</f>
        <v/>
      </c>
      <c r="E71" s="225" t="str">
        <f>IFERROR(INDEX('FB 콘텐츠 data'!$A$1:$AH$25,MATCH('FB 신규발행'!$A71,'FB 콘텐츠 data'!$AR:$AR,0),MATCH(E$2,'FB 콘텐츠 data'!$A$1:$AH$1,0)),"")</f>
        <v/>
      </c>
      <c r="F71" s="225" t="str">
        <f>IFERROR(INDEX('FB 콘텐츠 data'!$A$1:$AH$25,MATCH('FB 신규발행'!$A71,'FB 콘텐츠 data'!$AR:$AR,0),MATCH(F$2,'FB 콘텐츠 data'!$A$1:$AH$1,0)),"")</f>
        <v/>
      </c>
      <c r="G71" s="225" t="str">
        <f>IFERROR(INDEX('FB 콘텐츠 data'!$A$1:$AH$25,MATCH('FB 신규발행'!$A71,'FB 콘텐츠 data'!$AR:$AR,0),MATCH(G$2,'FB 콘텐츠 data'!$A$1:$AH$1,0)),"")</f>
        <v/>
      </c>
      <c r="H71" s="225" t="str">
        <f t="shared" si="9"/>
        <v/>
      </c>
      <c r="I71" s="225" t="str">
        <f>IFERROR(INDEX('FB 콘텐츠 data'!$A$1:$AH$25,MATCH('FB 신규발행'!$A71,'FB 콘텐츠 data'!$AR:$AR,0),MATCH(I$2,'FB 콘텐츠 data'!$A$1:$AH$1,0)),"")</f>
        <v/>
      </c>
      <c r="J71" s="225" t="str">
        <f>IFERROR(INDEX('FB 콘텐츠 data'!$A$1:$AH$25,MATCH('FB 신규발행'!$A71,'FB 콘텐츠 data'!$AR:$AR,0),MATCH(J$2,'FB 콘텐츠 data'!$A$1:$AH$1,0)),"")</f>
        <v/>
      </c>
      <c r="K71" s="224" t="str">
        <f>IFERROR(INDEX('FB 콘텐츠 data'!$A$1:$AR$25,MATCH('FB 신규발행'!$A71,'FB 콘텐츠 data'!$AR:$AR,0),MATCH(K$2,'FB 콘텐츠 data'!$A$1:$AR$1,0)),"")</f>
        <v/>
      </c>
      <c r="L71" s="225" t="str">
        <f>IFERROR(INDEX('FB 콘텐츠 data'!$A$1:$AH$25,MATCH('FB 신규발행'!$A71,'FB 콘텐츠 data'!$AR:$AR,0),MATCH(L$2,'FB 콘텐츠 data'!$A$1:$AH$1,0)),"")</f>
        <v/>
      </c>
      <c r="M71" s="225" t="str">
        <f>IFERROR(INDEX('FB 콘텐츠 data'!$A$1:$AH$25,MATCH('FB 신규발행'!$A71,'FB 콘텐츠 data'!$AR:$AR,0),MATCH(M$2,'FB 콘텐츠 data'!$A$1:$AH$1,0)),"")</f>
        <v/>
      </c>
      <c r="N71" s="225" t="str">
        <f>IFERROR(INDEX('FB 콘텐츠 data'!$A$1:$AH$25,MATCH('FB 신규발행'!$A71,'FB 콘텐츠 data'!$AR:$AR,0),MATCH(N$2,'FB 콘텐츠 data'!$A$1:$AH$1,0)),"")</f>
        <v/>
      </c>
      <c r="O71" s="225" t="str">
        <f>IFERROR(INDEX('FB 콘텐츠 data'!$A$1:$AH$25,MATCH('FB 신규발행'!$A71,'FB 콘텐츠 data'!$AR:$AR,0),MATCH(O$2,'FB 콘텐츠 data'!$A$1:$AH$1,0)),"")</f>
        <v/>
      </c>
      <c r="P71" s="225" t="str">
        <f>IFERROR(INDEX('FB 콘텐츠 data'!$A$1:$AH$25,MATCH('FB 신규발행'!$A71,'FB 콘텐츠 data'!$AR:$AR,0),MATCH(P$2,'FB 콘텐츠 data'!$A$1:$AH$1,0)),"")</f>
        <v/>
      </c>
      <c r="Q71" s="225" t="str">
        <f>IFERROR(INDEX('FB 콘텐츠 data'!$A$1:$AH$25,MATCH('FB 신규발행'!$A71,'FB 콘텐츠 data'!$AR:$AR,0),MATCH(Q$2,'FB 콘텐츠 data'!$A$1:$AH$1,0)),"")</f>
        <v/>
      </c>
      <c r="R71" s="226" t="str">
        <f t="shared" si="10"/>
        <v/>
      </c>
      <c r="T71" s="48" t="str">
        <f t="shared" si="11"/>
        <v/>
      </c>
      <c r="U71" s="48" t="str">
        <f t="shared" si="12"/>
        <v/>
      </c>
      <c r="Y71" s="112"/>
    </row>
    <row r="72" spans="1:25" ht="17.45" customHeight="1">
      <c r="A72" s="123">
        <v>70</v>
      </c>
      <c r="B72" s="223" t="str">
        <f>IFERROR(INDEX('FB 콘텐츠 data'!AQ:AQ,MATCH('FB 신규발행'!A72,'FB 콘텐츠 data'!AR:AR,0)),"")</f>
        <v/>
      </c>
      <c r="C72" s="224" t="str">
        <f>IFERROR(INDEX('FB 콘텐츠 data'!$A$1:$AH$25,MATCH('FB 신규발행'!$A72,'FB 콘텐츠 data'!$AR:$AR,0),MATCH(C$2,'FB 콘텐츠 data'!$A$1:$AH$1,0)),"")</f>
        <v/>
      </c>
      <c r="D72" s="225" t="str">
        <f>IFERROR(INDEX('FB 콘텐츠 data'!$A$1:$AH$25,MATCH('FB 신규발행'!$A72,'FB 콘텐츠 data'!$AR:$AR,0),MATCH(D$2,'FB 콘텐츠 data'!$A$1:$AH$1,0)),"")</f>
        <v/>
      </c>
      <c r="E72" s="225" t="str">
        <f>IFERROR(INDEX('FB 콘텐츠 data'!$A$1:$AH$25,MATCH('FB 신규발행'!$A72,'FB 콘텐츠 data'!$AR:$AR,0),MATCH(E$2,'FB 콘텐츠 data'!$A$1:$AH$1,0)),"")</f>
        <v/>
      </c>
      <c r="F72" s="225" t="str">
        <f>IFERROR(INDEX('FB 콘텐츠 data'!$A$1:$AH$25,MATCH('FB 신규발행'!$A72,'FB 콘텐츠 data'!$AR:$AR,0),MATCH(F$2,'FB 콘텐츠 data'!$A$1:$AH$1,0)),"")</f>
        <v/>
      </c>
      <c r="G72" s="225" t="str">
        <f>IFERROR(INDEX('FB 콘텐츠 data'!$A$1:$AH$25,MATCH('FB 신규발행'!$A72,'FB 콘텐츠 data'!$AR:$AR,0),MATCH(G$2,'FB 콘텐츠 data'!$A$1:$AH$1,0)),"")</f>
        <v/>
      </c>
      <c r="H72" s="225" t="str">
        <f t="shared" si="9"/>
        <v/>
      </c>
      <c r="I72" s="225" t="str">
        <f>IFERROR(INDEX('FB 콘텐츠 data'!$A$1:$AH$25,MATCH('FB 신규발행'!$A72,'FB 콘텐츠 data'!$AR:$AR,0),MATCH(I$2,'FB 콘텐츠 data'!$A$1:$AH$1,0)),"")</f>
        <v/>
      </c>
      <c r="J72" s="225" t="str">
        <f>IFERROR(INDEX('FB 콘텐츠 data'!$A$1:$AH$25,MATCH('FB 신규발행'!$A72,'FB 콘텐츠 data'!$AR:$AR,0),MATCH(J$2,'FB 콘텐츠 data'!$A$1:$AH$1,0)),"")</f>
        <v/>
      </c>
      <c r="K72" s="224" t="str">
        <f>IFERROR(INDEX('FB 콘텐츠 data'!$A$1:$AR$25,MATCH('FB 신규발행'!$A72,'FB 콘텐츠 data'!$AR:$AR,0),MATCH(K$2,'FB 콘텐츠 data'!$A$1:$AR$1,0)),"")</f>
        <v/>
      </c>
      <c r="L72" s="225" t="str">
        <f>IFERROR(INDEX('FB 콘텐츠 data'!$A$1:$AH$25,MATCH('FB 신규발행'!$A72,'FB 콘텐츠 data'!$AR:$AR,0),MATCH(L$2,'FB 콘텐츠 data'!$A$1:$AH$1,0)),"")</f>
        <v/>
      </c>
      <c r="M72" s="225" t="str">
        <f>IFERROR(INDEX('FB 콘텐츠 data'!$A$1:$AH$25,MATCH('FB 신규발행'!$A72,'FB 콘텐츠 data'!$AR:$AR,0),MATCH(M$2,'FB 콘텐츠 data'!$A$1:$AH$1,0)),"")</f>
        <v/>
      </c>
      <c r="N72" s="225" t="str">
        <f>IFERROR(INDEX('FB 콘텐츠 data'!$A$1:$AH$25,MATCH('FB 신규발행'!$A72,'FB 콘텐츠 data'!$AR:$AR,0),MATCH(N$2,'FB 콘텐츠 data'!$A$1:$AH$1,0)),"")</f>
        <v/>
      </c>
      <c r="O72" s="225" t="str">
        <f>IFERROR(INDEX('FB 콘텐츠 data'!$A$1:$AH$25,MATCH('FB 신규발행'!$A72,'FB 콘텐츠 data'!$AR:$AR,0),MATCH(O$2,'FB 콘텐츠 data'!$A$1:$AH$1,0)),"")</f>
        <v/>
      </c>
      <c r="P72" s="225" t="str">
        <f>IFERROR(INDEX('FB 콘텐츠 data'!$A$1:$AH$25,MATCH('FB 신규발행'!$A72,'FB 콘텐츠 data'!$AR:$AR,0),MATCH(P$2,'FB 콘텐츠 data'!$A$1:$AH$1,0)),"")</f>
        <v/>
      </c>
      <c r="Q72" s="225" t="str">
        <f>IFERROR(INDEX('FB 콘텐츠 data'!$A$1:$AH$25,MATCH('FB 신규발행'!$A72,'FB 콘텐츠 data'!$AR:$AR,0),MATCH(Q$2,'FB 콘텐츠 data'!$A$1:$AH$1,0)),"")</f>
        <v/>
      </c>
      <c r="R72" s="226" t="str">
        <f t="shared" si="10"/>
        <v/>
      </c>
      <c r="T72" s="48" t="str">
        <f t="shared" si="11"/>
        <v/>
      </c>
      <c r="U72" s="48" t="str">
        <f t="shared" si="12"/>
        <v/>
      </c>
      <c r="Y72" s="112"/>
    </row>
    <row r="73" spans="1:25" ht="17.45" customHeight="1">
      <c r="A73" s="123">
        <v>71</v>
      </c>
      <c r="B73" s="223" t="str">
        <f>IFERROR(INDEX('FB 콘텐츠 data'!AQ:AQ,MATCH('FB 신규발행'!A73,'FB 콘텐츠 data'!AR:AR,0)),"")</f>
        <v/>
      </c>
      <c r="C73" s="224" t="str">
        <f>IFERROR(INDEX('FB 콘텐츠 data'!$A$1:$AH$25,MATCH('FB 신규발행'!$A73,'FB 콘텐츠 data'!$AR:$AR,0),MATCH(C$2,'FB 콘텐츠 data'!$A$1:$AH$1,0)),"")</f>
        <v/>
      </c>
      <c r="D73" s="225" t="str">
        <f>IFERROR(INDEX('FB 콘텐츠 data'!$A$1:$AH$25,MATCH('FB 신규발행'!$A73,'FB 콘텐츠 data'!$AR:$AR,0),MATCH(D$2,'FB 콘텐츠 data'!$A$1:$AH$1,0)),"")</f>
        <v/>
      </c>
      <c r="E73" s="225" t="str">
        <f>IFERROR(INDEX('FB 콘텐츠 data'!$A$1:$AH$25,MATCH('FB 신규발행'!$A73,'FB 콘텐츠 data'!$AR:$AR,0),MATCH(E$2,'FB 콘텐츠 data'!$A$1:$AH$1,0)),"")</f>
        <v/>
      </c>
      <c r="F73" s="225" t="str">
        <f>IFERROR(INDEX('FB 콘텐츠 data'!$A$1:$AH$25,MATCH('FB 신규발행'!$A73,'FB 콘텐츠 data'!$AR:$AR,0),MATCH(F$2,'FB 콘텐츠 data'!$A$1:$AH$1,0)),"")</f>
        <v/>
      </c>
      <c r="G73" s="225" t="str">
        <f>IFERROR(INDEX('FB 콘텐츠 data'!$A$1:$AH$25,MATCH('FB 신규발행'!$A73,'FB 콘텐츠 data'!$AR:$AR,0),MATCH(G$2,'FB 콘텐츠 data'!$A$1:$AH$1,0)),"")</f>
        <v/>
      </c>
      <c r="H73" s="225" t="str">
        <f t="shared" si="9"/>
        <v/>
      </c>
      <c r="I73" s="225" t="str">
        <f>IFERROR(INDEX('FB 콘텐츠 data'!$A$1:$AH$25,MATCH('FB 신규발행'!$A73,'FB 콘텐츠 data'!$AR:$AR,0),MATCH(I$2,'FB 콘텐츠 data'!$A$1:$AH$1,0)),"")</f>
        <v/>
      </c>
      <c r="J73" s="225" t="str">
        <f>IFERROR(INDEX('FB 콘텐츠 data'!$A$1:$AH$25,MATCH('FB 신규발행'!$A73,'FB 콘텐츠 data'!$AR:$AR,0),MATCH(J$2,'FB 콘텐츠 data'!$A$1:$AH$1,0)),"")</f>
        <v/>
      </c>
      <c r="K73" s="224" t="str">
        <f>IFERROR(INDEX('FB 콘텐츠 data'!$A$1:$AR$25,MATCH('FB 신규발행'!$A73,'FB 콘텐츠 data'!$AR:$AR,0),MATCH(K$2,'FB 콘텐츠 data'!$A$1:$AR$1,0)),"")</f>
        <v/>
      </c>
      <c r="L73" s="225" t="str">
        <f>IFERROR(INDEX('FB 콘텐츠 data'!$A$1:$AH$25,MATCH('FB 신규발행'!$A73,'FB 콘텐츠 data'!$AR:$AR,0),MATCH(L$2,'FB 콘텐츠 data'!$A$1:$AH$1,0)),"")</f>
        <v/>
      </c>
      <c r="M73" s="225" t="str">
        <f>IFERROR(INDEX('FB 콘텐츠 data'!$A$1:$AH$25,MATCH('FB 신규발행'!$A73,'FB 콘텐츠 data'!$AR:$AR,0),MATCH(M$2,'FB 콘텐츠 data'!$A$1:$AH$1,0)),"")</f>
        <v/>
      </c>
      <c r="N73" s="225" t="str">
        <f>IFERROR(INDEX('FB 콘텐츠 data'!$A$1:$AH$25,MATCH('FB 신규발행'!$A73,'FB 콘텐츠 data'!$AR:$AR,0),MATCH(N$2,'FB 콘텐츠 data'!$A$1:$AH$1,0)),"")</f>
        <v/>
      </c>
      <c r="O73" s="225" t="str">
        <f>IFERROR(INDEX('FB 콘텐츠 data'!$A$1:$AH$25,MATCH('FB 신규발행'!$A73,'FB 콘텐츠 data'!$AR:$AR,0),MATCH(O$2,'FB 콘텐츠 data'!$A$1:$AH$1,0)),"")</f>
        <v/>
      </c>
      <c r="P73" s="225" t="str">
        <f>IFERROR(INDEX('FB 콘텐츠 data'!$A$1:$AH$25,MATCH('FB 신규발행'!$A73,'FB 콘텐츠 data'!$AR:$AR,0),MATCH(P$2,'FB 콘텐츠 data'!$A$1:$AH$1,0)),"")</f>
        <v/>
      </c>
      <c r="Q73" s="225" t="str">
        <f>IFERROR(INDEX('FB 콘텐츠 data'!$A$1:$AH$25,MATCH('FB 신규발행'!$A73,'FB 콘텐츠 data'!$AR:$AR,0),MATCH(Q$2,'FB 콘텐츠 data'!$A$1:$AH$1,0)),"")</f>
        <v/>
      </c>
      <c r="R73" s="226" t="str">
        <f t="shared" si="10"/>
        <v/>
      </c>
      <c r="T73" s="48" t="str">
        <f t="shared" si="11"/>
        <v/>
      </c>
      <c r="U73" s="48" t="str">
        <f t="shared" si="12"/>
        <v/>
      </c>
      <c r="Y73" s="112"/>
    </row>
    <row r="74" spans="1:25" ht="17.45" customHeight="1">
      <c r="A74" s="123">
        <v>72</v>
      </c>
      <c r="B74" s="223" t="str">
        <f>IFERROR(INDEX('FB 콘텐츠 data'!AQ:AQ,MATCH('FB 신규발행'!A74,'FB 콘텐츠 data'!AR:AR,0)),"")</f>
        <v/>
      </c>
      <c r="C74" s="224" t="str">
        <f>IFERROR(INDEX('FB 콘텐츠 data'!$A$1:$AH$25,MATCH('FB 신규발행'!$A74,'FB 콘텐츠 data'!$AR:$AR,0),MATCH(C$2,'FB 콘텐츠 data'!$A$1:$AH$1,0)),"")</f>
        <v/>
      </c>
      <c r="D74" s="225" t="str">
        <f>IFERROR(INDEX('FB 콘텐츠 data'!$A$1:$AH$25,MATCH('FB 신규발행'!$A74,'FB 콘텐츠 data'!$AR:$AR,0),MATCH(D$2,'FB 콘텐츠 data'!$A$1:$AH$1,0)),"")</f>
        <v/>
      </c>
      <c r="E74" s="225" t="str">
        <f>IFERROR(INDEX('FB 콘텐츠 data'!$A$1:$AH$25,MATCH('FB 신규발행'!$A74,'FB 콘텐츠 data'!$AR:$AR,0),MATCH(E$2,'FB 콘텐츠 data'!$A$1:$AH$1,0)),"")</f>
        <v/>
      </c>
      <c r="F74" s="225" t="str">
        <f>IFERROR(INDEX('FB 콘텐츠 data'!$A$1:$AH$25,MATCH('FB 신규발행'!$A74,'FB 콘텐츠 data'!$AR:$AR,0),MATCH(F$2,'FB 콘텐츠 data'!$A$1:$AH$1,0)),"")</f>
        <v/>
      </c>
      <c r="G74" s="225" t="str">
        <f>IFERROR(INDEX('FB 콘텐츠 data'!$A$1:$AH$25,MATCH('FB 신규발행'!$A74,'FB 콘텐츠 data'!$AR:$AR,0),MATCH(G$2,'FB 콘텐츠 data'!$A$1:$AH$1,0)),"")</f>
        <v/>
      </c>
      <c r="H74" s="225" t="str">
        <f t="shared" si="9"/>
        <v/>
      </c>
      <c r="I74" s="225" t="str">
        <f>IFERROR(INDEX('FB 콘텐츠 data'!$A$1:$AH$25,MATCH('FB 신규발행'!$A74,'FB 콘텐츠 data'!$AR:$AR,0),MATCH(I$2,'FB 콘텐츠 data'!$A$1:$AH$1,0)),"")</f>
        <v/>
      </c>
      <c r="J74" s="225" t="str">
        <f>IFERROR(INDEX('FB 콘텐츠 data'!$A$1:$AH$25,MATCH('FB 신규발행'!$A74,'FB 콘텐츠 data'!$AR:$AR,0),MATCH(J$2,'FB 콘텐츠 data'!$A$1:$AH$1,0)),"")</f>
        <v/>
      </c>
      <c r="K74" s="224" t="str">
        <f>IFERROR(INDEX('FB 콘텐츠 data'!$A$1:$AR$25,MATCH('FB 신규발행'!$A74,'FB 콘텐츠 data'!$AR:$AR,0),MATCH(K$2,'FB 콘텐츠 data'!$A$1:$AR$1,0)),"")</f>
        <v/>
      </c>
      <c r="L74" s="225" t="str">
        <f>IFERROR(INDEX('FB 콘텐츠 data'!$A$1:$AH$25,MATCH('FB 신규발행'!$A74,'FB 콘텐츠 data'!$AR:$AR,0),MATCH(L$2,'FB 콘텐츠 data'!$A$1:$AH$1,0)),"")</f>
        <v/>
      </c>
      <c r="M74" s="225" t="str">
        <f>IFERROR(INDEX('FB 콘텐츠 data'!$A$1:$AH$25,MATCH('FB 신규발행'!$A74,'FB 콘텐츠 data'!$AR:$AR,0),MATCH(M$2,'FB 콘텐츠 data'!$A$1:$AH$1,0)),"")</f>
        <v/>
      </c>
      <c r="N74" s="225" t="str">
        <f>IFERROR(INDEX('FB 콘텐츠 data'!$A$1:$AH$25,MATCH('FB 신규발행'!$A74,'FB 콘텐츠 data'!$AR:$AR,0),MATCH(N$2,'FB 콘텐츠 data'!$A$1:$AH$1,0)),"")</f>
        <v/>
      </c>
      <c r="O74" s="225" t="str">
        <f>IFERROR(INDEX('FB 콘텐츠 data'!$A$1:$AH$25,MATCH('FB 신규발행'!$A74,'FB 콘텐츠 data'!$AR:$AR,0),MATCH(O$2,'FB 콘텐츠 data'!$A$1:$AH$1,0)),"")</f>
        <v/>
      </c>
      <c r="P74" s="225" t="str">
        <f>IFERROR(INDEX('FB 콘텐츠 data'!$A$1:$AH$25,MATCH('FB 신규발행'!$A74,'FB 콘텐츠 data'!$AR:$AR,0),MATCH(P$2,'FB 콘텐츠 data'!$A$1:$AH$1,0)),"")</f>
        <v/>
      </c>
      <c r="Q74" s="225" t="str">
        <f>IFERROR(INDEX('FB 콘텐츠 data'!$A$1:$AH$25,MATCH('FB 신규발행'!$A74,'FB 콘텐츠 data'!$AR:$AR,0),MATCH(Q$2,'FB 콘텐츠 data'!$A$1:$AH$1,0)),"")</f>
        <v/>
      </c>
      <c r="R74" s="226" t="str">
        <f t="shared" si="10"/>
        <v/>
      </c>
      <c r="T74" s="48" t="str">
        <f t="shared" si="11"/>
        <v/>
      </c>
      <c r="U74" s="48" t="str">
        <f t="shared" si="12"/>
        <v/>
      </c>
      <c r="Y74" s="112"/>
    </row>
    <row r="75" spans="1:25" ht="17.45" customHeight="1">
      <c r="A75" s="123">
        <v>73</v>
      </c>
      <c r="B75" s="223" t="str">
        <f>IFERROR(INDEX('FB 콘텐츠 data'!AQ:AQ,MATCH('FB 신규발행'!A75,'FB 콘텐츠 data'!AR:AR,0)),"")</f>
        <v/>
      </c>
      <c r="C75" s="224" t="str">
        <f>IFERROR(INDEX('FB 콘텐츠 data'!$A$1:$AH$25,MATCH('FB 신규발행'!$A75,'FB 콘텐츠 data'!$AR:$AR,0),MATCH(C$2,'FB 콘텐츠 data'!$A$1:$AH$1,0)),"")</f>
        <v/>
      </c>
      <c r="D75" s="225" t="str">
        <f>IFERROR(INDEX('FB 콘텐츠 data'!$A$1:$AH$25,MATCH('FB 신규발행'!$A75,'FB 콘텐츠 data'!$AR:$AR,0),MATCH(D$2,'FB 콘텐츠 data'!$A$1:$AH$1,0)),"")</f>
        <v/>
      </c>
      <c r="E75" s="225" t="str">
        <f>IFERROR(INDEX('FB 콘텐츠 data'!$A$1:$AH$25,MATCH('FB 신규발행'!$A75,'FB 콘텐츠 data'!$AR:$AR,0),MATCH(E$2,'FB 콘텐츠 data'!$A$1:$AH$1,0)),"")</f>
        <v/>
      </c>
      <c r="F75" s="225" t="str">
        <f>IFERROR(INDEX('FB 콘텐츠 data'!$A$1:$AH$25,MATCH('FB 신규발행'!$A75,'FB 콘텐츠 data'!$AR:$AR,0),MATCH(F$2,'FB 콘텐츠 data'!$A$1:$AH$1,0)),"")</f>
        <v/>
      </c>
      <c r="G75" s="225" t="str">
        <f>IFERROR(INDEX('FB 콘텐츠 data'!$A$1:$AH$25,MATCH('FB 신규발행'!$A75,'FB 콘텐츠 data'!$AR:$AR,0),MATCH(G$2,'FB 콘텐츠 data'!$A$1:$AH$1,0)),"")</f>
        <v/>
      </c>
      <c r="H75" s="225" t="str">
        <f t="shared" si="9"/>
        <v/>
      </c>
      <c r="I75" s="225" t="str">
        <f>IFERROR(INDEX('FB 콘텐츠 data'!$A$1:$AH$25,MATCH('FB 신규발행'!$A75,'FB 콘텐츠 data'!$AR:$AR,0),MATCH(I$2,'FB 콘텐츠 data'!$A$1:$AH$1,0)),"")</f>
        <v/>
      </c>
      <c r="J75" s="225" t="str">
        <f>IFERROR(INDEX('FB 콘텐츠 data'!$A$1:$AH$25,MATCH('FB 신규발행'!$A75,'FB 콘텐츠 data'!$AR:$AR,0),MATCH(J$2,'FB 콘텐츠 data'!$A$1:$AH$1,0)),"")</f>
        <v/>
      </c>
      <c r="K75" s="224" t="str">
        <f>IFERROR(INDEX('FB 콘텐츠 data'!$A$1:$AR$25,MATCH('FB 신규발행'!$A75,'FB 콘텐츠 data'!$AR:$AR,0),MATCH(K$2,'FB 콘텐츠 data'!$A$1:$AR$1,0)),"")</f>
        <v/>
      </c>
      <c r="L75" s="225" t="str">
        <f>IFERROR(INDEX('FB 콘텐츠 data'!$A$1:$AH$25,MATCH('FB 신규발행'!$A75,'FB 콘텐츠 data'!$AR:$AR,0),MATCH(L$2,'FB 콘텐츠 data'!$A$1:$AH$1,0)),"")</f>
        <v/>
      </c>
      <c r="M75" s="225" t="str">
        <f>IFERROR(INDEX('FB 콘텐츠 data'!$A$1:$AH$25,MATCH('FB 신규발행'!$A75,'FB 콘텐츠 data'!$AR:$AR,0),MATCH(M$2,'FB 콘텐츠 data'!$A$1:$AH$1,0)),"")</f>
        <v/>
      </c>
      <c r="N75" s="225" t="str">
        <f>IFERROR(INDEX('FB 콘텐츠 data'!$A$1:$AH$25,MATCH('FB 신규발행'!$A75,'FB 콘텐츠 data'!$AR:$AR,0),MATCH(N$2,'FB 콘텐츠 data'!$A$1:$AH$1,0)),"")</f>
        <v/>
      </c>
      <c r="O75" s="225" t="str">
        <f>IFERROR(INDEX('FB 콘텐츠 data'!$A$1:$AH$25,MATCH('FB 신규발행'!$A75,'FB 콘텐츠 data'!$AR:$AR,0),MATCH(O$2,'FB 콘텐츠 data'!$A$1:$AH$1,0)),"")</f>
        <v/>
      </c>
      <c r="P75" s="225" t="str">
        <f>IFERROR(INDEX('FB 콘텐츠 data'!$A$1:$AH$25,MATCH('FB 신규발행'!$A75,'FB 콘텐츠 data'!$AR:$AR,0),MATCH(P$2,'FB 콘텐츠 data'!$A$1:$AH$1,0)),"")</f>
        <v/>
      </c>
      <c r="Q75" s="225" t="str">
        <f>IFERROR(INDEX('FB 콘텐츠 data'!$A$1:$AH$25,MATCH('FB 신규발행'!$A75,'FB 콘텐츠 data'!$AR:$AR,0),MATCH(Q$2,'FB 콘텐츠 data'!$A$1:$AH$1,0)),"")</f>
        <v/>
      </c>
      <c r="R75" s="226" t="str">
        <f t="shared" si="10"/>
        <v/>
      </c>
      <c r="T75" s="48" t="str">
        <f t="shared" si="11"/>
        <v/>
      </c>
      <c r="U75" s="48" t="str">
        <f t="shared" si="12"/>
        <v/>
      </c>
      <c r="Y75" s="112"/>
    </row>
    <row r="76" spans="1:25" ht="17.45" customHeight="1">
      <c r="A76" s="123">
        <v>74</v>
      </c>
      <c r="B76" s="223" t="str">
        <f>IFERROR(INDEX('FB 콘텐츠 data'!AQ:AQ,MATCH('FB 신규발행'!A76,'FB 콘텐츠 data'!AR:AR,0)),"")</f>
        <v/>
      </c>
      <c r="C76" s="224" t="str">
        <f>IFERROR(INDEX('FB 콘텐츠 data'!$A$1:$AH$25,MATCH('FB 신규발행'!$A76,'FB 콘텐츠 data'!$AR:$AR,0),MATCH(C$2,'FB 콘텐츠 data'!$A$1:$AH$1,0)),"")</f>
        <v/>
      </c>
      <c r="D76" s="225" t="str">
        <f>IFERROR(INDEX('FB 콘텐츠 data'!$A$1:$AH$25,MATCH('FB 신규발행'!$A76,'FB 콘텐츠 data'!$AR:$AR,0),MATCH(D$2,'FB 콘텐츠 data'!$A$1:$AH$1,0)),"")</f>
        <v/>
      </c>
      <c r="E76" s="225" t="str">
        <f>IFERROR(INDEX('FB 콘텐츠 data'!$A$1:$AH$25,MATCH('FB 신규발행'!$A76,'FB 콘텐츠 data'!$AR:$AR,0),MATCH(E$2,'FB 콘텐츠 data'!$A$1:$AH$1,0)),"")</f>
        <v/>
      </c>
      <c r="F76" s="225" t="str">
        <f>IFERROR(INDEX('FB 콘텐츠 data'!$A$1:$AH$25,MATCH('FB 신규발행'!$A76,'FB 콘텐츠 data'!$AR:$AR,0),MATCH(F$2,'FB 콘텐츠 data'!$A$1:$AH$1,0)),"")</f>
        <v/>
      </c>
      <c r="G76" s="225" t="str">
        <f>IFERROR(INDEX('FB 콘텐츠 data'!$A$1:$AH$25,MATCH('FB 신규발행'!$A76,'FB 콘텐츠 data'!$AR:$AR,0),MATCH(G$2,'FB 콘텐츠 data'!$A$1:$AH$1,0)),"")</f>
        <v/>
      </c>
      <c r="H76" s="225" t="str">
        <f t="shared" si="9"/>
        <v/>
      </c>
      <c r="I76" s="225" t="str">
        <f>IFERROR(INDEX('FB 콘텐츠 data'!$A$1:$AH$25,MATCH('FB 신규발행'!$A76,'FB 콘텐츠 data'!$AR:$AR,0),MATCH(I$2,'FB 콘텐츠 data'!$A$1:$AH$1,0)),"")</f>
        <v/>
      </c>
      <c r="J76" s="225" t="str">
        <f>IFERROR(INDEX('FB 콘텐츠 data'!$A$1:$AH$25,MATCH('FB 신규발행'!$A76,'FB 콘텐츠 data'!$AR:$AR,0),MATCH(J$2,'FB 콘텐츠 data'!$A$1:$AH$1,0)),"")</f>
        <v/>
      </c>
      <c r="K76" s="224" t="str">
        <f>IFERROR(INDEX('FB 콘텐츠 data'!$A$1:$AR$25,MATCH('FB 신규발행'!$A76,'FB 콘텐츠 data'!$AR:$AR,0),MATCH(K$2,'FB 콘텐츠 data'!$A$1:$AR$1,0)),"")</f>
        <v/>
      </c>
      <c r="L76" s="225" t="str">
        <f>IFERROR(INDEX('FB 콘텐츠 data'!$A$1:$AH$25,MATCH('FB 신규발행'!$A76,'FB 콘텐츠 data'!$AR:$AR,0),MATCH(L$2,'FB 콘텐츠 data'!$A$1:$AH$1,0)),"")</f>
        <v/>
      </c>
      <c r="M76" s="225" t="str">
        <f>IFERROR(INDEX('FB 콘텐츠 data'!$A$1:$AH$25,MATCH('FB 신규발행'!$A76,'FB 콘텐츠 data'!$AR:$AR,0),MATCH(M$2,'FB 콘텐츠 data'!$A$1:$AH$1,0)),"")</f>
        <v/>
      </c>
      <c r="N76" s="225" t="str">
        <f>IFERROR(INDEX('FB 콘텐츠 data'!$A$1:$AH$25,MATCH('FB 신규발행'!$A76,'FB 콘텐츠 data'!$AR:$AR,0),MATCH(N$2,'FB 콘텐츠 data'!$A$1:$AH$1,0)),"")</f>
        <v/>
      </c>
      <c r="O76" s="225" t="str">
        <f>IFERROR(INDEX('FB 콘텐츠 data'!$A$1:$AH$25,MATCH('FB 신규발행'!$A76,'FB 콘텐츠 data'!$AR:$AR,0),MATCH(O$2,'FB 콘텐츠 data'!$A$1:$AH$1,0)),"")</f>
        <v/>
      </c>
      <c r="P76" s="225" t="str">
        <f>IFERROR(INDEX('FB 콘텐츠 data'!$A$1:$AH$25,MATCH('FB 신규발행'!$A76,'FB 콘텐츠 data'!$AR:$AR,0),MATCH(P$2,'FB 콘텐츠 data'!$A$1:$AH$1,0)),"")</f>
        <v/>
      </c>
      <c r="Q76" s="225" t="str">
        <f>IFERROR(INDEX('FB 콘텐츠 data'!$A$1:$AH$25,MATCH('FB 신규발행'!$A76,'FB 콘텐츠 data'!$AR:$AR,0),MATCH(Q$2,'FB 콘텐츠 data'!$A$1:$AH$1,0)),"")</f>
        <v/>
      </c>
      <c r="R76" s="226" t="str">
        <f t="shared" si="10"/>
        <v/>
      </c>
      <c r="T76" s="48" t="str">
        <f t="shared" si="11"/>
        <v/>
      </c>
      <c r="U76" s="48" t="str">
        <f t="shared" si="12"/>
        <v/>
      </c>
      <c r="Y76" s="112"/>
    </row>
    <row r="77" spans="1:25" ht="17.45" customHeight="1">
      <c r="A77" s="123">
        <v>75</v>
      </c>
      <c r="B77" s="223" t="str">
        <f>IFERROR(INDEX('FB 콘텐츠 data'!AQ:AQ,MATCH('FB 신규발행'!A77,'FB 콘텐츠 data'!AR:AR,0)),"")</f>
        <v/>
      </c>
      <c r="C77" s="224" t="str">
        <f>IFERROR(INDEX('FB 콘텐츠 data'!$A$1:$AH$25,MATCH('FB 신규발행'!$A77,'FB 콘텐츠 data'!$AR:$AR,0),MATCH(C$2,'FB 콘텐츠 data'!$A$1:$AH$1,0)),"")</f>
        <v/>
      </c>
      <c r="D77" s="225" t="str">
        <f>IFERROR(INDEX('FB 콘텐츠 data'!$A$1:$AH$25,MATCH('FB 신규발행'!$A77,'FB 콘텐츠 data'!$AR:$AR,0),MATCH(D$2,'FB 콘텐츠 data'!$A$1:$AH$1,0)),"")</f>
        <v/>
      </c>
      <c r="E77" s="225" t="str">
        <f>IFERROR(INDEX('FB 콘텐츠 data'!$A$1:$AH$25,MATCH('FB 신규발행'!$A77,'FB 콘텐츠 data'!$AR:$AR,0),MATCH(E$2,'FB 콘텐츠 data'!$A$1:$AH$1,0)),"")</f>
        <v/>
      </c>
      <c r="F77" s="225" t="str">
        <f>IFERROR(INDEX('FB 콘텐츠 data'!$A$1:$AH$25,MATCH('FB 신규발행'!$A77,'FB 콘텐츠 data'!$AR:$AR,0),MATCH(F$2,'FB 콘텐츠 data'!$A$1:$AH$1,0)),"")</f>
        <v/>
      </c>
      <c r="G77" s="225" t="str">
        <f>IFERROR(INDEX('FB 콘텐츠 data'!$A$1:$AH$25,MATCH('FB 신규발행'!$A77,'FB 콘텐츠 data'!$AR:$AR,0),MATCH(G$2,'FB 콘텐츠 data'!$A$1:$AH$1,0)),"")</f>
        <v/>
      </c>
      <c r="H77" s="225" t="str">
        <f t="shared" si="9"/>
        <v/>
      </c>
      <c r="I77" s="225" t="str">
        <f>IFERROR(INDEX('FB 콘텐츠 data'!$A$1:$AH$25,MATCH('FB 신규발행'!$A77,'FB 콘텐츠 data'!$AR:$AR,0),MATCH(I$2,'FB 콘텐츠 data'!$A$1:$AH$1,0)),"")</f>
        <v/>
      </c>
      <c r="J77" s="225" t="str">
        <f>IFERROR(INDEX('FB 콘텐츠 data'!$A$1:$AH$25,MATCH('FB 신규발행'!$A77,'FB 콘텐츠 data'!$AR:$AR,0),MATCH(J$2,'FB 콘텐츠 data'!$A$1:$AH$1,0)),"")</f>
        <v/>
      </c>
      <c r="K77" s="224" t="str">
        <f>IFERROR(INDEX('FB 콘텐츠 data'!$A$1:$AR$25,MATCH('FB 신규발행'!$A77,'FB 콘텐츠 data'!$AR:$AR,0),MATCH(K$2,'FB 콘텐츠 data'!$A$1:$AR$1,0)),"")</f>
        <v/>
      </c>
      <c r="L77" s="225" t="str">
        <f>IFERROR(INDEX('FB 콘텐츠 data'!$A$1:$AH$25,MATCH('FB 신규발행'!$A77,'FB 콘텐츠 data'!$AR:$AR,0),MATCH(L$2,'FB 콘텐츠 data'!$A$1:$AH$1,0)),"")</f>
        <v/>
      </c>
      <c r="M77" s="225" t="str">
        <f>IFERROR(INDEX('FB 콘텐츠 data'!$A$1:$AH$25,MATCH('FB 신규발행'!$A77,'FB 콘텐츠 data'!$AR:$AR,0),MATCH(M$2,'FB 콘텐츠 data'!$A$1:$AH$1,0)),"")</f>
        <v/>
      </c>
      <c r="N77" s="225" t="str">
        <f>IFERROR(INDEX('FB 콘텐츠 data'!$A$1:$AH$25,MATCH('FB 신규발행'!$A77,'FB 콘텐츠 data'!$AR:$AR,0),MATCH(N$2,'FB 콘텐츠 data'!$A$1:$AH$1,0)),"")</f>
        <v/>
      </c>
      <c r="O77" s="225" t="str">
        <f>IFERROR(INDEX('FB 콘텐츠 data'!$A$1:$AH$25,MATCH('FB 신규발행'!$A77,'FB 콘텐츠 data'!$AR:$AR,0),MATCH(O$2,'FB 콘텐츠 data'!$A$1:$AH$1,0)),"")</f>
        <v/>
      </c>
      <c r="P77" s="225" t="str">
        <f>IFERROR(INDEX('FB 콘텐츠 data'!$A$1:$AH$25,MATCH('FB 신규발행'!$A77,'FB 콘텐츠 data'!$AR:$AR,0),MATCH(P$2,'FB 콘텐츠 data'!$A$1:$AH$1,0)),"")</f>
        <v/>
      </c>
      <c r="Q77" s="225" t="str">
        <f>IFERROR(INDEX('FB 콘텐츠 data'!$A$1:$AH$25,MATCH('FB 신규발행'!$A77,'FB 콘텐츠 data'!$AR:$AR,0),MATCH(Q$2,'FB 콘텐츠 data'!$A$1:$AH$1,0)),"")</f>
        <v/>
      </c>
      <c r="R77" s="226" t="str">
        <f t="shared" si="10"/>
        <v/>
      </c>
      <c r="T77" s="48" t="str">
        <f t="shared" si="11"/>
        <v/>
      </c>
      <c r="U77" s="48" t="str">
        <f t="shared" si="12"/>
        <v/>
      </c>
      <c r="Y77" s="112"/>
    </row>
    <row r="78" spans="1:25" ht="17.45" customHeight="1">
      <c r="A78" s="123">
        <v>76</v>
      </c>
      <c r="B78" s="223" t="str">
        <f>IFERROR(INDEX('FB 콘텐츠 data'!AQ:AQ,MATCH('FB 신규발행'!A78,'FB 콘텐츠 data'!AR:AR,0)),"")</f>
        <v/>
      </c>
      <c r="C78" s="224" t="str">
        <f>IFERROR(INDEX('FB 콘텐츠 data'!$A$1:$AH$25,MATCH('FB 신규발행'!$A78,'FB 콘텐츠 data'!$AR:$AR,0),MATCH(C$2,'FB 콘텐츠 data'!$A$1:$AH$1,0)),"")</f>
        <v/>
      </c>
      <c r="D78" s="225" t="str">
        <f>IFERROR(INDEX('FB 콘텐츠 data'!$A$1:$AH$25,MATCH('FB 신규발행'!$A78,'FB 콘텐츠 data'!$AR:$AR,0),MATCH(D$2,'FB 콘텐츠 data'!$A$1:$AH$1,0)),"")</f>
        <v/>
      </c>
      <c r="E78" s="225" t="str">
        <f>IFERROR(INDEX('FB 콘텐츠 data'!$A$1:$AH$25,MATCH('FB 신규발행'!$A78,'FB 콘텐츠 data'!$AR:$AR,0),MATCH(E$2,'FB 콘텐츠 data'!$A$1:$AH$1,0)),"")</f>
        <v/>
      </c>
      <c r="F78" s="225" t="str">
        <f>IFERROR(INDEX('FB 콘텐츠 data'!$A$1:$AH$25,MATCH('FB 신규발행'!$A78,'FB 콘텐츠 data'!$AR:$AR,0),MATCH(F$2,'FB 콘텐츠 data'!$A$1:$AH$1,0)),"")</f>
        <v/>
      </c>
      <c r="G78" s="225" t="str">
        <f>IFERROR(INDEX('FB 콘텐츠 data'!$A$1:$AH$25,MATCH('FB 신규발행'!$A78,'FB 콘텐츠 data'!$AR:$AR,0),MATCH(G$2,'FB 콘텐츠 data'!$A$1:$AH$1,0)),"")</f>
        <v/>
      </c>
      <c r="H78" s="225" t="str">
        <f t="shared" si="9"/>
        <v/>
      </c>
      <c r="I78" s="225" t="str">
        <f>IFERROR(INDEX('FB 콘텐츠 data'!$A$1:$AH$25,MATCH('FB 신규발행'!$A78,'FB 콘텐츠 data'!$AR:$AR,0),MATCH(I$2,'FB 콘텐츠 data'!$A$1:$AH$1,0)),"")</f>
        <v/>
      </c>
      <c r="J78" s="225" t="str">
        <f>IFERROR(INDEX('FB 콘텐츠 data'!$A$1:$AH$25,MATCH('FB 신규발행'!$A78,'FB 콘텐츠 data'!$AR:$AR,0),MATCH(J$2,'FB 콘텐츠 data'!$A$1:$AH$1,0)),"")</f>
        <v/>
      </c>
      <c r="K78" s="224" t="str">
        <f>IFERROR(INDEX('FB 콘텐츠 data'!$A$1:$AR$25,MATCH('FB 신규발행'!$A78,'FB 콘텐츠 data'!$AR:$AR,0),MATCH(K$2,'FB 콘텐츠 data'!$A$1:$AR$1,0)),"")</f>
        <v/>
      </c>
      <c r="L78" s="225" t="str">
        <f>IFERROR(INDEX('FB 콘텐츠 data'!$A$1:$AH$25,MATCH('FB 신규발행'!$A78,'FB 콘텐츠 data'!$AR:$AR,0),MATCH(L$2,'FB 콘텐츠 data'!$A$1:$AH$1,0)),"")</f>
        <v/>
      </c>
      <c r="M78" s="225" t="str">
        <f>IFERROR(INDEX('FB 콘텐츠 data'!$A$1:$AH$25,MATCH('FB 신규발행'!$A78,'FB 콘텐츠 data'!$AR:$AR,0),MATCH(M$2,'FB 콘텐츠 data'!$A$1:$AH$1,0)),"")</f>
        <v/>
      </c>
      <c r="N78" s="225" t="str">
        <f>IFERROR(INDEX('FB 콘텐츠 data'!$A$1:$AH$25,MATCH('FB 신규발행'!$A78,'FB 콘텐츠 data'!$AR:$AR,0),MATCH(N$2,'FB 콘텐츠 data'!$A$1:$AH$1,0)),"")</f>
        <v/>
      </c>
      <c r="O78" s="225" t="str">
        <f>IFERROR(INDEX('FB 콘텐츠 data'!$A$1:$AH$25,MATCH('FB 신규발행'!$A78,'FB 콘텐츠 data'!$AR:$AR,0),MATCH(O$2,'FB 콘텐츠 data'!$A$1:$AH$1,0)),"")</f>
        <v/>
      </c>
      <c r="P78" s="225" t="str">
        <f>IFERROR(INDEX('FB 콘텐츠 data'!$A$1:$AH$25,MATCH('FB 신규발행'!$A78,'FB 콘텐츠 data'!$AR:$AR,0),MATCH(P$2,'FB 콘텐츠 data'!$A$1:$AH$1,0)),"")</f>
        <v/>
      </c>
      <c r="Q78" s="225" t="str">
        <f>IFERROR(INDEX('FB 콘텐츠 data'!$A$1:$AH$25,MATCH('FB 신규발행'!$A78,'FB 콘텐츠 data'!$AR:$AR,0),MATCH(Q$2,'FB 콘텐츠 data'!$A$1:$AH$1,0)),"")</f>
        <v/>
      </c>
      <c r="R78" s="226" t="str">
        <f t="shared" si="10"/>
        <v/>
      </c>
      <c r="T78" s="48" t="str">
        <f t="shared" si="11"/>
        <v/>
      </c>
      <c r="U78" s="48" t="str">
        <f t="shared" si="12"/>
        <v/>
      </c>
      <c r="Y78" s="112"/>
    </row>
    <row r="79" spans="1:25" ht="17.45" customHeight="1">
      <c r="A79" s="123">
        <v>77</v>
      </c>
      <c r="B79" s="223" t="str">
        <f>IFERROR(INDEX('FB 콘텐츠 data'!AQ:AQ,MATCH('FB 신규발행'!A79,'FB 콘텐츠 data'!AR:AR,0)),"")</f>
        <v/>
      </c>
      <c r="C79" s="224" t="str">
        <f>IFERROR(INDEX('FB 콘텐츠 data'!$A$1:$AH$25,MATCH('FB 신규발행'!$A79,'FB 콘텐츠 data'!$AR:$AR,0),MATCH(C$2,'FB 콘텐츠 data'!$A$1:$AH$1,0)),"")</f>
        <v/>
      </c>
      <c r="D79" s="225" t="str">
        <f>IFERROR(INDEX('FB 콘텐츠 data'!$A$1:$AH$25,MATCH('FB 신규발행'!$A79,'FB 콘텐츠 data'!$AR:$AR,0),MATCH(D$2,'FB 콘텐츠 data'!$A$1:$AH$1,0)),"")</f>
        <v/>
      </c>
      <c r="E79" s="225" t="str">
        <f>IFERROR(INDEX('FB 콘텐츠 data'!$A$1:$AH$25,MATCH('FB 신규발행'!$A79,'FB 콘텐츠 data'!$AR:$AR,0),MATCH(E$2,'FB 콘텐츠 data'!$A$1:$AH$1,0)),"")</f>
        <v/>
      </c>
      <c r="F79" s="225" t="str">
        <f>IFERROR(INDEX('FB 콘텐츠 data'!$A$1:$AH$25,MATCH('FB 신규발행'!$A79,'FB 콘텐츠 data'!$AR:$AR,0),MATCH(F$2,'FB 콘텐츠 data'!$A$1:$AH$1,0)),"")</f>
        <v/>
      </c>
      <c r="G79" s="225" t="str">
        <f>IFERROR(INDEX('FB 콘텐츠 data'!$A$1:$AH$25,MATCH('FB 신규발행'!$A79,'FB 콘텐츠 data'!$AR:$AR,0),MATCH(G$2,'FB 콘텐츠 data'!$A$1:$AH$1,0)),"")</f>
        <v/>
      </c>
      <c r="H79" s="225" t="str">
        <f t="shared" si="9"/>
        <v/>
      </c>
      <c r="I79" s="225" t="str">
        <f>IFERROR(INDEX('FB 콘텐츠 data'!$A$1:$AH$25,MATCH('FB 신규발행'!$A79,'FB 콘텐츠 data'!$AR:$AR,0),MATCH(I$2,'FB 콘텐츠 data'!$A$1:$AH$1,0)),"")</f>
        <v/>
      </c>
      <c r="J79" s="225" t="str">
        <f>IFERROR(INDEX('FB 콘텐츠 data'!$A$1:$AH$25,MATCH('FB 신규발행'!$A79,'FB 콘텐츠 data'!$AR:$AR,0),MATCH(J$2,'FB 콘텐츠 data'!$A$1:$AH$1,0)),"")</f>
        <v/>
      </c>
      <c r="K79" s="224" t="str">
        <f>IFERROR(INDEX('FB 콘텐츠 data'!$A$1:$AR$25,MATCH('FB 신규발행'!$A79,'FB 콘텐츠 data'!$AR:$AR,0),MATCH(K$2,'FB 콘텐츠 data'!$A$1:$AR$1,0)),"")</f>
        <v/>
      </c>
      <c r="L79" s="225" t="str">
        <f>IFERROR(INDEX('FB 콘텐츠 data'!$A$1:$AH$25,MATCH('FB 신규발행'!$A79,'FB 콘텐츠 data'!$AR:$AR,0),MATCH(L$2,'FB 콘텐츠 data'!$A$1:$AH$1,0)),"")</f>
        <v/>
      </c>
      <c r="M79" s="225" t="str">
        <f>IFERROR(INDEX('FB 콘텐츠 data'!$A$1:$AH$25,MATCH('FB 신규발행'!$A79,'FB 콘텐츠 data'!$AR:$AR,0),MATCH(M$2,'FB 콘텐츠 data'!$A$1:$AH$1,0)),"")</f>
        <v/>
      </c>
      <c r="N79" s="225" t="str">
        <f>IFERROR(INDEX('FB 콘텐츠 data'!$A$1:$AH$25,MATCH('FB 신규발행'!$A79,'FB 콘텐츠 data'!$AR:$AR,0),MATCH(N$2,'FB 콘텐츠 data'!$A$1:$AH$1,0)),"")</f>
        <v/>
      </c>
      <c r="O79" s="225" t="str">
        <f>IFERROR(INDEX('FB 콘텐츠 data'!$A$1:$AH$25,MATCH('FB 신규발행'!$A79,'FB 콘텐츠 data'!$AR:$AR,0),MATCH(O$2,'FB 콘텐츠 data'!$A$1:$AH$1,0)),"")</f>
        <v/>
      </c>
      <c r="P79" s="225" t="str">
        <f>IFERROR(INDEX('FB 콘텐츠 data'!$A$1:$AH$25,MATCH('FB 신규발행'!$A79,'FB 콘텐츠 data'!$AR:$AR,0),MATCH(P$2,'FB 콘텐츠 data'!$A$1:$AH$1,0)),"")</f>
        <v/>
      </c>
      <c r="Q79" s="225" t="str">
        <f>IFERROR(INDEX('FB 콘텐츠 data'!$A$1:$AH$25,MATCH('FB 신규발행'!$A79,'FB 콘텐츠 data'!$AR:$AR,0),MATCH(Q$2,'FB 콘텐츠 data'!$A$1:$AH$1,0)),"")</f>
        <v/>
      </c>
      <c r="R79" s="226" t="str">
        <f t="shared" si="10"/>
        <v/>
      </c>
      <c r="T79" s="48" t="str">
        <f t="shared" si="11"/>
        <v/>
      </c>
      <c r="U79" s="48" t="str">
        <f t="shared" si="12"/>
        <v/>
      </c>
      <c r="Y79" s="112"/>
    </row>
    <row r="80" spans="1:25" ht="17.45" customHeight="1">
      <c r="A80" s="123">
        <v>78</v>
      </c>
      <c r="B80" s="223" t="str">
        <f>IFERROR(INDEX('FB 콘텐츠 data'!AQ:AQ,MATCH('FB 신규발행'!A80,'FB 콘텐츠 data'!AR:AR,0)),"")</f>
        <v/>
      </c>
      <c r="C80" s="224" t="str">
        <f>IFERROR(INDEX('FB 콘텐츠 data'!$A$1:$AH$25,MATCH('FB 신규발행'!$A80,'FB 콘텐츠 data'!$AR:$AR,0),MATCH(C$2,'FB 콘텐츠 data'!$A$1:$AH$1,0)),"")</f>
        <v/>
      </c>
      <c r="D80" s="225" t="str">
        <f>IFERROR(INDEX('FB 콘텐츠 data'!$A$1:$AH$25,MATCH('FB 신규발행'!$A80,'FB 콘텐츠 data'!$AR:$AR,0),MATCH(D$2,'FB 콘텐츠 data'!$A$1:$AH$1,0)),"")</f>
        <v/>
      </c>
      <c r="E80" s="225" t="str">
        <f>IFERROR(INDEX('FB 콘텐츠 data'!$A$1:$AH$25,MATCH('FB 신규발행'!$A80,'FB 콘텐츠 data'!$AR:$AR,0),MATCH(E$2,'FB 콘텐츠 data'!$A$1:$AH$1,0)),"")</f>
        <v/>
      </c>
      <c r="F80" s="225" t="str">
        <f>IFERROR(INDEX('FB 콘텐츠 data'!$A$1:$AH$25,MATCH('FB 신규발행'!$A80,'FB 콘텐츠 data'!$AR:$AR,0),MATCH(F$2,'FB 콘텐츠 data'!$A$1:$AH$1,0)),"")</f>
        <v/>
      </c>
      <c r="G80" s="225" t="str">
        <f>IFERROR(INDEX('FB 콘텐츠 data'!$A$1:$AH$25,MATCH('FB 신규발행'!$A80,'FB 콘텐츠 data'!$AR:$AR,0),MATCH(G$2,'FB 콘텐츠 data'!$A$1:$AH$1,0)),"")</f>
        <v/>
      </c>
      <c r="H80" s="225" t="str">
        <f t="shared" si="9"/>
        <v/>
      </c>
      <c r="I80" s="225" t="str">
        <f>IFERROR(INDEX('FB 콘텐츠 data'!$A$1:$AH$25,MATCH('FB 신규발행'!$A80,'FB 콘텐츠 data'!$AR:$AR,0),MATCH(I$2,'FB 콘텐츠 data'!$A$1:$AH$1,0)),"")</f>
        <v/>
      </c>
      <c r="J80" s="225" t="str">
        <f>IFERROR(INDEX('FB 콘텐츠 data'!$A$1:$AH$25,MATCH('FB 신규발행'!$A80,'FB 콘텐츠 data'!$AR:$AR,0),MATCH(J$2,'FB 콘텐츠 data'!$A$1:$AH$1,0)),"")</f>
        <v/>
      </c>
      <c r="K80" s="224" t="str">
        <f>IFERROR(INDEX('FB 콘텐츠 data'!$A$1:$AR$25,MATCH('FB 신규발행'!$A80,'FB 콘텐츠 data'!$AR:$AR,0),MATCH(K$2,'FB 콘텐츠 data'!$A$1:$AR$1,0)),"")</f>
        <v/>
      </c>
      <c r="L80" s="225" t="str">
        <f>IFERROR(INDEX('FB 콘텐츠 data'!$A$1:$AH$25,MATCH('FB 신규발행'!$A80,'FB 콘텐츠 data'!$AR:$AR,0),MATCH(L$2,'FB 콘텐츠 data'!$A$1:$AH$1,0)),"")</f>
        <v/>
      </c>
      <c r="M80" s="225" t="str">
        <f>IFERROR(INDEX('FB 콘텐츠 data'!$A$1:$AH$25,MATCH('FB 신규발행'!$A80,'FB 콘텐츠 data'!$AR:$AR,0),MATCH(M$2,'FB 콘텐츠 data'!$A$1:$AH$1,0)),"")</f>
        <v/>
      </c>
      <c r="N80" s="225" t="str">
        <f>IFERROR(INDEX('FB 콘텐츠 data'!$A$1:$AH$25,MATCH('FB 신규발행'!$A80,'FB 콘텐츠 data'!$AR:$AR,0),MATCH(N$2,'FB 콘텐츠 data'!$A$1:$AH$1,0)),"")</f>
        <v/>
      </c>
      <c r="O80" s="225" t="str">
        <f>IFERROR(INDEX('FB 콘텐츠 data'!$A$1:$AH$25,MATCH('FB 신규발행'!$A80,'FB 콘텐츠 data'!$AR:$AR,0),MATCH(O$2,'FB 콘텐츠 data'!$A$1:$AH$1,0)),"")</f>
        <v/>
      </c>
      <c r="P80" s="225" t="str">
        <f>IFERROR(INDEX('FB 콘텐츠 data'!$A$1:$AH$25,MATCH('FB 신규발행'!$A80,'FB 콘텐츠 data'!$AR:$AR,0),MATCH(P$2,'FB 콘텐츠 data'!$A$1:$AH$1,0)),"")</f>
        <v/>
      </c>
      <c r="Q80" s="225" t="str">
        <f>IFERROR(INDEX('FB 콘텐츠 data'!$A$1:$AH$25,MATCH('FB 신규발행'!$A80,'FB 콘텐츠 data'!$AR:$AR,0),MATCH(Q$2,'FB 콘텐츠 data'!$A$1:$AH$1,0)),"")</f>
        <v/>
      </c>
      <c r="R80" s="226" t="str">
        <f t="shared" si="10"/>
        <v/>
      </c>
      <c r="T80" s="48" t="str">
        <f t="shared" si="11"/>
        <v/>
      </c>
      <c r="U80" s="48" t="str">
        <f t="shared" si="12"/>
        <v/>
      </c>
      <c r="Y80" s="112"/>
    </row>
    <row r="81" spans="1:25" ht="17.45" customHeight="1">
      <c r="A81" s="123">
        <v>79</v>
      </c>
      <c r="B81" s="223" t="str">
        <f>IFERROR(INDEX('FB 콘텐츠 data'!AQ:AQ,MATCH('FB 신규발행'!A81,'FB 콘텐츠 data'!AR:AR,0)),"")</f>
        <v/>
      </c>
      <c r="C81" s="224" t="str">
        <f>IFERROR(INDEX('FB 콘텐츠 data'!$A$1:$AH$25,MATCH('FB 신규발행'!$A81,'FB 콘텐츠 data'!$AR:$AR,0),MATCH(C$2,'FB 콘텐츠 data'!$A$1:$AH$1,0)),"")</f>
        <v/>
      </c>
      <c r="D81" s="225" t="str">
        <f>IFERROR(INDEX('FB 콘텐츠 data'!$A$1:$AH$25,MATCH('FB 신규발행'!$A81,'FB 콘텐츠 data'!$AR:$AR,0),MATCH(D$2,'FB 콘텐츠 data'!$A$1:$AH$1,0)),"")</f>
        <v/>
      </c>
      <c r="E81" s="225" t="str">
        <f>IFERROR(INDEX('FB 콘텐츠 data'!$A$1:$AH$25,MATCH('FB 신규발행'!$A81,'FB 콘텐츠 data'!$AR:$AR,0),MATCH(E$2,'FB 콘텐츠 data'!$A$1:$AH$1,0)),"")</f>
        <v/>
      </c>
      <c r="F81" s="225" t="str">
        <f>IFERROR(INDEX('FB 콘텐츠 data'!$A$1:$AH$25,MATCH('FB 신규발행'!$A81,'FB 콘텐츠 data'!$AR:$AR,0),MATCH(F$2,'FB 콘텐츠 data'!$A$1:$AH$1,0)),"")</f>
        <v/>
      </c>
      <c r="G81" s="225" t="str">
        <f>IFERROR(INDEX('FB 콘텐츠 data'!$A$1:$AH$25,MATCH('FB 신규발행'!$A81,'FB 콘텐츠 data'!$AR:$AR,0),MATCH(G$2,'FB 콘텐츠 data'!$A$1:$AH$1,0)),"")</f>
        <v/>
      </c>
      <c r="H81" s="225" t="str">
        <f t="shared" si="9"/>
        <v/>
      </c>
      <c r="I81" s="225" t="str">
        <f>IFERROR(INDEX('FB 콘텐츠 data'!$A$1:$AH$25,MATCH('FB 신규발행'!$A81,'FB 콘텐츠 data'!$AR:$AR,0),MATCH(I$2,'FB 콘텐츠 data'!$A$1:$AH$1,0)),"")</f>
        <v/>
      </c>
      <c r="J81" s="225" t="str">
        <f>IFERROR(INDEX('FB 콘텐츠 data'!$A$1:$AH$25,MATCH('FB 신규발행'!$A81,'FB 콘텐츠 data'!$AR:$AR,0),MATCH(J$2,'FB 콘텐츠 data'!$A$1:$AH$1,0)),"")</f>
        <v/>
      </c>
      <c r="K81" s="224" t="str">
        <f>IFERROR(INDEX('FB 콘텐츠 data'!$A$1:$AR$25,MATCH('FB 신규발행'!$A81,'FB 콘텐츠 data'!$AR:$AR,0),MATCH(K$2,'FB 콘텐츠 data'!$A$1:$AR$1,0)),"")</f>
        <v/>
      </c>
      <c r="L81" s="225" t="str">
        <f>IFERROR(INDEX('FB 콘텐츠 data'!$A$1:$AH$25,MATCH('FB 신규발행'!$A81,'FB 콘텐츠 data'!$AR:$AR,0),MATCH(L$2,'FB 콘텐츠 data'!$A$1:$AH$1,0)),"")</f>
        <v/>
      </c>
      <c r="M81" s="225" t="str">
        <f>IFERROR(INDEX('FB 콘텐츠 data'!$A$1:$AH$25,MATCH('FB 신규발행'!$A81,'FB 콘텐츠 data'!$AR:$AR,0),MATCH(M$2,'FB 콘텐츠 data'!$A$1:$AH$1,0)),"")</f>
        <v/>
      </c>
      <c r="N81" s="225" t="str">
        <f>IFERROR(INDEX('FB 콘텐츠 data'!$A$1:$AH$25,MATCH('FB 신규발행'!$A81,'FB 콘텐츠 data'!$AR:$AR,0),MATCH(N$2,'FB 콘텐츠 data'!$A$1:$AH$1,0)),"")</f>
        <v/>
      </c>
      <c r="O81" s="225" t="str">
        <f>IFERROR(INDEX('FB 콘텐츠 data'!$A$1:$AH$25,MATCH('FB 신규발행'!$A81,'FB 콘텐츠 data'!$AR:$AR,0),MATCH(O$2,'FB 콘텐츠 data'!$A$1:$AH$1,0)),"")</f>
        <v/>
      </c>
      <c r="P81" s="225" t="str">
        <f>IFERROR(INDEX('FB 콘텐츠 data'!$A$1:$AH$25,MATCH('FB 신규발행'!$A81,'FB 콘텐츠 data'!$AR:$AR,0),MATCH(P$2,'FB 콘텐츠 data'!$A$1:$AH$1,0)),"")</f>
        <v/>
      </c>
      <c r="Q81" s="225" t="str">
        <f>IFERROR(INDEX('FB 콘텐츠 data'!$A$1:$AH$25,MATCH('FB 신규발행'!$A81,'FB 콘텐츠 data'!$AR:$AR,0),MATCH(Q$2,'FB 콘텐츠 data'!$A$1:$AH$1,0)),"")</f>
        <v/>
      </c>
      <c r="R81" s="226" t="str">
        <f t="shared" si="10"/>
        <v/>
      </c>
      <c r="T81" s="48" t="str">
        <f t="shared" si="11"/>
        <v/>
      </c>
      <c r="U81" s="48" t="str">
        <f t="shared" si="12"/>
        <v/>
      </c>
      <c r="Y81" s="112"/>
    </row>
    <row r="82" spans="1:25" ht="17.45" customHeight="1">
      <c r="A82" s="123">
        <v>80</v>
      </c>
      <c r="B82" s="223" t="str">
        <f>IFERROR(INDEX('FB 콘텐츠 data'!AQ:AQ,MATCH('FB 신규발행'!A82,'FB 콘텐츠 data'!AR:AR,0)),"")</f>
        <v/>
      </c>
      <c r="C82" s="224" t="str">
        <f>IFERROR(INDEX('FB 콘텐츠 data'!$A$1:$AH$25,MATCH('FB 신규발행'!$A82,'FB 콘텐츠 data'!$AR:$AR,0),MATCH(C$2,'FB 콘텐츠 data'!$A$1:$AH$1,0)),"")</f>
        <v/>
      </c>
      <c r="D82" s="225" t="str">
        <f>IFERROR(INDEX('FB 콘텐츠 data'!$A$1:$AH$25,MATCH('FB 신규발행'!$A82,'FB 콘텐츠 data'!$AR:$AR,0),MATCH(D$2,'FB 콘텐츠 data'!$A$1:$AH$1,0)),"")</f>
        <v/>
      </c>
      <c r="E82" s="225" t="str">
        <f>IFERROR(INDEX('FB 콘텐츠 data'!$A$1:$AH$25,MATCH('FB 신규발행'!$A82,'FB 콘텐츠 data'!$AR:$AR,0),MATCH(E$2,'FB 콘텐츠 data'!$A$1:$AH$1,0)),"")</f>
        <v/>
      </c>
      <c r="F82" s="225" t="str">
        <f>IFERROR(INDEX('FB 콘텐츠 data'!$A$1:$AH$25,MATCH('FB 신규발행'!$A82,'FB 콘텐츠 data'!$AR:$AR,0),MATCH(F$2,'FB 콘텐츠 data'!$A$1:$AH$1,0)),"")</f>
        <v/>
      </c>
      <c r="G82" s="225" t="str">
        <f>IFERROR(INDEX('FB 콘텐츠 data'!$A$1:$AH$25,MATCH('FB 신규발행'!$A82,'FB 콘텐츠 data'!$AR:$AR,0),MATCH(G$2,'FB 콘텐츠 data'!$A$1:$AH$1,0)),"")</f>
        <v/>
      </c>
      <c r="H82" s="225" t="str">
        <f t="shared" si="9"/>
        <v/>
      </c>
      <c r="I82" s="225" t="str">
        <f>IFERROR(INDEX('FB 콘텐츠 data'!$A$1:$AH$25,MATCH('FB 신규발행'!$A82,'FB 콘텐츠 data'!$AR:$AR,0),MATCH(I$2,'FB 콘텐츠 data'!$A$1:$AH$1,0)),"")</f>
        <v/>
      </c>
      <c r="J82" s="225" t="str">
        <f>IFERROR(INDEX('FB 콘텐츠 data'!$A$1:$AH$25,MATCH('FB 신규발행'!$A82,'FB 콘텐츠 data'!$AR:$AR,0),MATCH(J$2,'FB 콘텐츠 data'!$A$1:$AH$1,0)),"")</f>
        <v/>
      </c>
      <c r="K82" s="224" t="str">
        <f>IFERROR(INDEX('FB 콘텐츠 data'!$A$1:$AR$25,MATCH('FB 신규발행'!$A82,'FB 콘텐츠 data'!$AR:$AR,0),MATCH(K$2,'FB 콘텐츠 data'!$A$1:$AR$1,0)),"")</f>
        <v/>
      </c>
      <c r="L82" s="225" t="str">
        <f>IFERROR(INDEX('FB 콘텐츠 data'!$A$1:$AH$25,MATCH('FB 신규발행'!$A82,'FB 콘텐츠 data'!$AR:$AR,0),MATCH(L$2,'FB 콘텐츠 data'!$A$1:$AH$1,0)),"")</f>
        <v/>
      </c>
      <c r="M82" s="225" t="str">
        <f>IFERROR(INDEX('FB 콘텐츠 data'!$A$1:$AH$25,MATCH('FB 신규발행'!$A82,'FB 콘텐츠 data'!$AR:$AR,0),MATCH(M$2,'FB 콘텐츠 data'!$A$1:$AH$1,0)),"")</f>
        <v/>
      </c>
      <c r="N82" s="225" t="str">
        <f>IFERROR(INDEX('FB 콘텐츠 data'!$A$1:$AH$25,MATCH('FB 신규발행'!$A82,'FB 콘텐츠 data'!$AR:$AR,0),MATCH(N$2,'FB 콘텐츠 data'!$A$1:$AH$1,0)),"")</f>
        <v/>
      </c>
      <c r="O82" s="225" t="str">
        <f>IFERROR(INDEX('FB 콘텐츠 data'!$A$1:$AH$25,MATCH('FB 신규발행'!$A82,'FB 콘텐츠 data'!$AR:$AR,0),MATCH(O$2,'FB 콘텐츠 data'!$A$1:$AH$1,0)),"")</f>
        <v/>
      </c>
      <c r="P82" s="225" t="str">
        <f>IFERROR(INDEX('FB 콘텐츠 data'!$A$1:$AH$25,MATCH('FB 신규발행'!$A82,'FB 콘텐츠 data'!$AR:$AR,0),MATCH(P$2,'FB 콘텐츠 data'!$A$1:$AH$1,0)),"")</f>
        <v/>
      </c>
      <c r="Q82" s="225" t="str">
        <f>IFERROR(INDEX('FB 콘텐츠 data'!$A$1:$AH$25,MATCH('FB 신규발행'!$A82,'FB 콘텐츠 data'!$AR:$AR,0),MATCH(Q$2,'FB 콘텐츠 data'!$A$1:$AH$1,0)),"")</f>
        <v/>
      </c>
      <c r="R82" s="226" t="str">
        <f t="shared" si="10"/>
        <v/>
      </c>
      <c r="T82" s="48" t="str">
        <f t="shared" si="11"/>
        <v/>
      </c>
      <c r="U82" s="48" t="str">
        <f t="shared" si="12"/>
        <v/>
      </c>
      <c r="Y82" s="112"/>
    </row>
  </sheetData>
  <phoneticPr fontId="1" type="noConversion"/>
  <conditionalFormatting sqref="E1:R1048576">
    <cfRule type="expression" dxfId="2" priority="1">
      <formula>AND(E1&lt;&gt;"",E1&lt;&gt;0,E1=MAX(E$1:E$95))</formula>
    </cfRule>
  </conditionalFormatting>
  <pageMargins left="0.7" right="0.7" top="0.75" bottom="0.75" header="0.3" footer="0.3"/>
  <pageSetup paperSize="9" orientation="portrait" r:id="rId1"/>
  <ignoredErrors>
    <ignoredError sqref="H3 H4:H82 K3:K82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9" tint="0.79998168889431442"/>
  </sheetPr>
  <dimension ref="A1:S33"/>
  <sheetViews>
    <sheetView workbookViewId="0">
      <selection activeCell="K2" sqref="K2"/>
    </sheetView>
  </sheetViews>
  <sheetFormatPr defaultColWidth="8.75" defaultRowHeight="14.25"/>
  <cols>
    <col min="1" max="2" width="8.75" style="52"/>
    <col min="3" max="3" width="9.125" style="52" bestFit="1" customWidth="1"/>
    <col min="4" max="18" width="8.75" style="52"/>
    <col min="19" max="19" width="8.75" style="59"/>
    <col min="20" max="16384" width="8.75" style="52"/>
  </cols>
  <sheetData>
    <row r="1" spans="1:19" s="51" customFormat="1">
      <c r="S1" s="59"/>
    </row>
    <row r="2" spans="1:19" s="102" customFormat="1">
      <c r="A2" s="126" t="str">
        <f>HYPERLINK(INDEX('FB 콘텐츠 data'!E:E,MATCH(INDEX('FB 신규발행'!$A:$A,MATCH(1,'FB 신규발행'!$T:$T,0)),'FB 콘텐츠 data'!AR:AR,0)),INDEX('FB 신규발행'!$D:$D,MATCH(1,'FB 신규발행'!$T:$T,0)))</f>
        <v>[EVENT] 에너지食 Ep. 2</v>
      </c>
      <c r="B2" s="124"/>
      <c r="D2" s="124"/>
      <c r="F2" s="126" t="str">
        <f>HYPERLINK(INDEX('FB 콘텐츠 data'!E:E,MATCH(INDEX('FB 신규발행'!$A:$A,MATCH(2,'FB 신규발행'!$T:$T,0)),'FB 콘텐츠 data'!AR:AR,0)),INDEX('FB 신규발행'!$D:$D,MATCH(2,'FB 신규발행'!$T:$T,0)))</f>
        <v>우리나라 옥상은 왜 녹색일까? *뉴스룸 미러링</v>
      </c>
      <c r="G2" s="124"/>
      <c r="I2" s="124"/>
      <c r="K2" s="126" t="str">
        <f>HYPERLINK(INDEX('FB 콘텐츠 data'!E:E,MATCH(INDEX('FB 신규발행'!$A:$A,MATCH(3,'FB 신규발행'!$T:$T,0)),'FB 콘텐츠 data'!AR:AR,0)),INDEX('FB 신규발행'!$D:$D,MATCH(3,'FB 신규발행'!$T:$T,0)))</f>
        <v>이노드림(엘버트 허버드)</v>
      </c>
      <c r="L2" s="124"/>
      <c r="M2" s="124"/>
      <c r="N2" s="124"/>
      <c r="Q2" s="102" t="s">
        <v>105</v>
      </c>
      <c r="S2" s="125"/>
    </row>
    <row r="3" spans="1:19" ht="16.5">
      <c r="D3" s="60"/>
      <c r="I3" s="60"/>
      <c r="N3" s="60"/>
      <c r="Q3" s="102" t="s">
        <v>106</v>
      </c>
      <c r="R3" s="52">
        <f>MATCH(A6,'FB 신규발행'!$D2:$R2,FALSE)</f>
        <v>12</v>
      </c>
    </row>
    <row r="4" spans="1:19" ht="15" thickBot="1">
      <c r="A4" s="53" t="s">
        <v>140</v>
      </c>
      <c r="B4" s="61">
        <f>VLOOKUP(INDEX('FB 신규발행'!$D:$D,MATCH(1,'FB 신규발행'!$T:$T,0)),'FB 신규발행'!$D:$R,MATCH(A4,'FB 신규발행'!$D$2:$R$2,FALSE),FALSE)</f>
        <v>5073</v>
      </c>
      <c r="C4" s="54" t="s">
        <v>57</v>
      </c>
      <c r="D4" s="61">
        <f>VLOOKUP(INDEX('FB 신규발행'!$D:$D,MATCH(1,'FB 신규발행'!$T:$T,0)),'FB 신규발행'!$D:$R,MATCH(C4,'FB 신규발행'!$D$2:$R$2,FALSE),FALSE)</f>
        <v>6797</v>
      </c>
      <c r="F4" s="53" t="s">
        <v>140</v>
      </c>
      <c r="G4" s="61">
        <f>VLOOKUP(INDEX('FB 신규발행'!$D:$D,MATCH(2,'FB 신규발행'!$T:$T,0)),'FB 신규발행'!$D:$R,MATCH(F4,'FB 신규발행'!$D$2:$R$2,FALSE),FALSE)</f>
        <v>24249</v>
      </c>
      <c r="H4" s="54" t="s">
        <v>57</v>
      </c>
      <c r="I4" s="61">
        <f>VLOOKUP(INDEX('FB 신규발행'!$D:$D,MATCH(2,'FB 신규발행'!$T:$T,0)),'FB 신규발행'!$D:$R,MATCH(H4,'FB 신규발행'!$D$2:$R$2,FALSE),FALSE)</f>
        <v>30669</v>
      </c>
      <c r="K4" s="53" t="s">
        <v>140</v>
      </c>
      <c r="L4" s="61">
        <f>VLOOKUP(INDEX('FB 신규발행'!$D:$D,MATCH(3,'FB 신규발행'!$T:$T,0)),'FB 신규발행'!$D:$R,MATCH(K4,'FB 신규발행'!$D$2:$R$2,FALSE),FALSE)</f>
        <v>3345</v>
      </c>
      <c r="M4" s="54" t="s">
        <v>57</v>
      </c>
      <c r="N4" s="61">
        <f>VLOOKUP(INDEX('FB 신규발행'!$D:$D,MATCH(3,'FB 신규발행'!$T:$T,0)),'FB 신규발행'!$D:$R,MATCH(M4,'FB 신규발행'!$D$2:$R$2,FALSE),FALSE)</f>
        <v>3525</v>
      </c>
      <c r="Q4" s="102"/>
    </row>
    <row r="5" spans="1:19" ht="15.75" thickTop="1" thickBot="1">
      <c r="A5" s="55" t="s">
        <v>19</v>
      </c>
      <c r="B5" s="61">
        <f>VLOOKUP(INDEX('FB 신규발행'!$D:$D,MATCH(1,'FB 신규발행'!$T:$T,0)),'FB 신규발행'!$D:$R,MATCH(A5,'FB 신규발행'!$D$2:$R$2,FALSE),FALSE)</f>
        <v>308</v>
      </c>
      <c r="C5" s="56" t="s">
        <v>20</v>
      </c>
      <c r="D5" s="61">
        <f>VLOOKUP(INDEX('FB 신규발행'!$D:$D,MATCH(1,'FB 신규발행'!$T:$T,0)),'FB 신규발행'!$D:$R,MATCH(C5,'FB 신규발행'!$D$2:$R$2,FALSE),FALSE)</f>
        <v>236</v>
      </c>
      <c r="F5" s="55" t="s">
        <v>19</v>
      </c>
      <c r="G5" s="61">
        <f>VLOOKUP(INDEX('FB 신규발행'!$D:$D,MATCH(2,'FB 신규발행'!$T:$T,0)),'FB 신규발행'!$D:$R,MATCH(F5,'FB 신규발행'!$D$2:$R$2,FALSE),FALSE)</f>
        <v>107</v>
      </c>
      <c r="H5" s="56" t="s">
        <v>20</v>
      </c>
      <c r="I5" s="61">
        <f>VLOOKUP(INDEX('FB 신규발행'!$D:$D,MATCH(2,'FB 신규발행'!$T:$T,0)),'FB 신규발행'!$D:$R,MATCH(H5,'FB 신규발행'!$D$2:$R$2,FALSE),FALSE)</f>
        <v>18</v>
      </c>
      <c r="K5" s="55" t="s">
        <v>19</v>
      </c>
      <c r="L5" s="61">
        <f>VLOOKUP(INDEX('FB 신규발행'!$D:$D,MATCH(3,'FB 신규발행'!$T:$T,0)),'FB 신규발행'!$D:$R,MATCH(K5,'FB 신규발행'!$D$2:$R$2,FALSE),FALSE)</f>
        <v>120</v>
      </c>
      <c r="M5" s="56" t="s">
        <v>20</v>
      </c>
      <c r="N5" s="61">
        <f>VLOOKUP(INDEX('FB 신규발행'!$D:$D,MATCH(3,'FB 신규발행'!$T:$T,0)),'FB 신규발행'!$D:$R,MATCH(M5,'FB 신규발행'!$D$2:$R$2,FALSE),FALSE)</f>
        <v>24</v>
      </c>
      <c r="Q5" s="102"/>
    </row>
    <row r="6" spans="1:19" ht="15.75" thickTop="1" thickBot="1">
      <c r="A6" s="57" t="s">
        <v>47</v>
      </c>
      <c r="B6" s="61">
        <f>VLOOKUP(INDEX('FB 신규발행'!$D:$D,MATCH(1,'FB 신규발행'!$T:$T,0)),'FB 신규발행'!$D:$R,MATCH(A6,'FB 신규발행'!$D$2:$R$2,FALSE),FALSE)</f>
        <v>48</v>
      </c>
      <c r="C6" s="56" t="s">
        <v>58</v>
      </c>
      <c r="D6" s="61">
        <f>VLOOKUP(INDEX('FB 신규발행'!$D:$D,MATCH(1,'FB 신규발행'!$T:$T,0)),'FB 신규발행'!$D:$R,MATCH(C6,'FB 신규발행'!$D$2:$R$2,FALSE),FALSE)</f>
        <v>162</v>
      </c>
      <c r="F6" s="57" t="s">
        <v>47</v>
      </c>
      <c r="G6" s="61">
        <f>VLOOKUP(INDEX('FB 신규발행'!$D:$D,MATCH(2,'FB 신규발행'!$T:$T,0)),'FB 신규발행'!$D:$R,MATCH(F6,'FB 신규발행'!$D$2:$R$2,FALSE),FALSE)</f>
        <v>9</v>
      </c>
      <c r="H6" s="56" t="s">
        <v>58</v>
      </c>
      <c r="I6" s="61">
        <f>VLOOKUP(INDEX('FB 신규발행'!$D:$D,MATCH(2,'FB 신규발행'!$T:$T,0)),'FB 신규발행'!$D:$R,MATCH(H6,'FB 신규발행'!$D$2:$R$2,FALSE),FALSE)</f>
        <v>1920</v>
      </c>
      <c r="K6" s="57" t="s">
        <v>47</v>
      </c>
      <c r="L6" s="61">
        <f>VLOOKUP(INDEX('FB 신규발행'!$D:$D,MATCH(3,'FB 신규발행'!$T:$T,0)),'FB 신규발행'!$D:$R,MATCH(K6,'FB 신규발행'!$D$2:$R$2,FALSE),FALSE)</f>
        <v>8</v>
      </c>
      <c r="M6" s="56" t="s">
        <v>58</v>
      </c>
      <c r="N6" s="61">
        <f>VLOOKUP(INDEX('FB 신규발행'!$D:$D,MATCH(3,'FB 신규발행'!$T:$T,0)),'FB 신규발행'!$D:$R,MATCH(M6,'FB 신규발행'!$D$2:$R$2,FALSE),FALSE)</f>
        <v>72</v>
      </c>
      <c r="Q6" s="102"/>
    </row>
    <row r="7" spans="1:19" ht="15.75" thickTop="1" thickBot="1">
      <c r="A7" s="58" t="s">
        <v>84</v>
      </c>
      <c r="B7" s="61">
        <f>VLOOKUP(INDEX('FB 신규발행'!$D:$D,MATCH(1,'FB 신규발행'!$T:$T,0)),'FB 신규발행'!$D:$R,MATCH(A7,'FB 신규발행'!$D$2:$R$2,FALSE),FALSE)</f>
        <v>754</v>
      </c>
      <c r="C7" s="56" t="s">
        <v>85</v>
      </c>
      <c r="D7" s="86">
        <f>B7/B4</f>
        <v>0.14863000197122017</v>
      </c>
      <c r="F7" s="58" t="s">
        <v>56</v>
      </c>
      <c r="G7" s="61">
        <f>VLOOKUP(INDEX('FB 신규발행'!$D:$D,MATCH(2,'FB 신규발행'!$T:$T,0)),'FB 신규발행'!$D:$R,MATCH(F7,'FB 신규발행'!$D$2:$R$2,FALSE),FALSE)</f>
        <v>2054</v>
      </c>
      <c r="H7" s="56" t="s">
        <v>61</v>
      </c>
      <c r="I7" s="86">
        <f>G7/G4</f>
        <v>8.4704523897892695E-2</v>
      </c>
      <c r="K7" s="58" t="s">
        <v>56</v>
      </c>
      <c r="L7" s="61">
        <f>VLOOKUP(INDEX('FB 신규발행'!$D:$D,MATCH(3,'FB 신규발행'!$T:$T,0)),'FB 신규발행'!$D:$R,MATCH(K7,'FB 신규발행'!$D$2:$R$2,FALSE),FALSE)</f>
        <v>224</v>
      </c>
      <c r="M7" s="56" t="s">
        <v>61</v>
      </c>
      <c r="N7" s="86">
        <f>L7/L4</f>
        <v>6.6965620328849035E-2</v>
      </c>
    </row>
    <row r="8" spans="1:19" ht="15" thickTop="1"/>
    <row r="9" spans="1:19">
      <c r="B9" s="59"/>
    </row>
    <row r="10" spans="1:19">
      <c r="B10" s="52" t="s">
        <v>71</v>
      </c>
    </row>
    <row r="11" spans="1:19">
      <c r="B11" s="52" t="s">
        <v>110</v>
      </c>
    </row>
    <row r="24" spans="3:3" ht="16.5">
      <c r="C24" s="115"/>
    </row>
    <row r="25" spans="3:3" ht="16.5">
      <c r="C25" s="115"/>
    </row>
    <row r="33" spans="3:3" ht="16.5">
      <c r="C33" s="11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7" tint="0.79998168889431442"/>
  </sheetPr>
  <dimension ref="A1:W99"/>
  <sheetViews>
    <sheetView topLeftCell="B1" workbookViewId="0">
      <selection activeCell="S3" sqref="S3"/>
    </sheetView>
  </sheetViews>
  <sheetFormatPr defaultRowHeight="16.5"/>
  <cols>
    <col min="1" max="1" width="60.25" style="50" customWidth="1"/>
    <col min="2" max="2" width="8.75" style="50"/>
    <col min="3" max="3" width="10.75" style="50" bestFit="1" customWidth="1"/>
    <col min="4" max="15" width="8.75" style="50"/>
    <col min="16" max="17" width="9" style="50"/>
    <col min="18" max="18" width="10.875" bestFit="1" customWidth="1"/>
  </cols>
  <sheetData>
    <row r="1" spans="1:23">
      <c r="A1" s="50" t="s">
        <v>35</v>
      </c>
      <c r="B1" s="50" t="s">
        <v>36</v>
      </c>
      <c r="C1" s="50" t="s">
        <v>37</v>
      </c>
      <c r="D1" s="50" t="s">
        <v>39</v>
      </c>
      <c r="E1" s="50" t="s">
        <v>42</v>
      </c>
      <c r="F1" s="50" t="s">
        <v>117</v>
      </c>
      <c r="G1" s="50" t="s">
        <v>46</v>
      </c>
      <c r="H1" s="50" t="s">
        <v>50</v>
      </c>
      <c r="I1" s="50" t="s">
        <v>70</v>
      </c>
      <c r="J1" s="50" t="s">
        <v>47</v>
      </c>
      <c r="K1" s="50" t="s">
        <v>90</v>
      </c>
      <c r="L1" s="50" t="s">
        <v>75</v>
      </c>
      <c r="M1" s="50" t="s">
        <v>122</v>
      </c>
      <c r="N1" s="50" t="s">
        <v>195</v>
      </c>
      <c r="O1" s="50" t="s">
        <v>19</v>
      </c>
      <c r="P1" s="50" t="s">
        <v>20</v>
      </c>
      <c r="Q1" s="50" t="s">
        <v>76</v>
      </c>
    </row>
    <row r="2" spans="1:23">
      <c r="A2" s="50" t="s">
        <v>212</v>
      </c>
      <c r="B2" s="50">
        <v>0</v>
      </c>
      <c r="C2" s="116">
        <v>45446</v>
      </c>
      <c r="D2" s="50" t="s">
        <v>237</v>
      </c>
      <c r="E2" s="50" t="s">
        <v>196</v>
      </c>
      <c r="G2" s="50" t="s">
        <v>137</v>
      </c>
      <c r="H2" s="50">
        <v>5908</v>
      </c>
      <c r="I2" s="50">
        <v>4157</v>
      </c>
      <c r="J2" s="50">
        <v>1</v>
      </c>
      <c r="K2" s="50">
        <v>9</v>
      </c>
      <c r="L2" s="50">
        <v>0</v>
      </c>
      <c r="M2" s="50" t="s">
        <v>194</v>
      </c>
      <c r="N2" s="50" t="s">
        <v>194</v>
      </c>
      <c r="O2" s="50">
        <v>1118</v>
      </c>
      <c r="P2" s="50">
        <v>3</v>
      </c>
      <c r="Q2" s="50">
        <v>24</v>
      </c>
      <c r="R2" s="38">
        <f>IF(C2="","",IFERROR(DATE(MID(C2,7,4),LEFT(C2,2),MID(C2,4,2)),C2))</f>
        <v>45446</v>
      </c>
      <c r="S2">
        <f>IFERROR(RANK(V2,V:V,0)+COUNTIF($V$1:V1,V2),"")</f>
        <v>3</v>
      </c>
      <c r="V2" s="222">
        <f>IFERROR((INDEX($A$1:$Q$150,ROW(),MATCH("좋아요",$A$1:$Q$1,0))+INDEX($A$1:$Q$150,ROW(),MATCH("공유",$A$1:$Q$1,0))+INDEX($A$1:$Q$150,ROW(),MATCH("댓글",$A$1:$Q$1,0))+INDEX($A$1:$Q$150,ROW(),MATCH("저장",$A$1:$Q$1,0)))/INDEX($A$1:$Q$150,ROW(),MATCH("도달",$A$1:$Q$1,0)),"")</f>
        <v>0.27567957661775316</v>
      </c>
      <c r="W2" s="117" t="s">
        <v>124</v>
      </c>
    </row>
    <row r="3" spans="1:23">
      <c r="A3" s="50" t="s">
        <v>214</v>
      </c>
      <c r="B3" s="50">
        <v>153</v>
      </c>
      <c r="C3" s="116">
        <v>45447</v>
      </c>
      <c r="D3" s="50" t="s">
        <v>238</v>
      </c>
      <c r="E3" s="50" t="s">
        <v>197</v>
      </c>
      <c r="G3" s="50" t="s">
        <v>137</v>
      </c>
      <c r="H3" s="50">
        <v>8937</v>
      </c>
      <c r="I3" s="50">
        <v>4349</v>
      </c>
      <c r="J3" s="50">
        <v>0</v>
      </c>
      <c r="K3" s="50" t="s">
        <v>194</v>
      </c>
      <c r="L3" s="50">
        <v>0</v>
      </c>
      <c r="M3" s="50">
        <v>9882</v>
      </c>
      <c r="N3" s="50">
        <v>3.472222222222222E-3</v>
      </c>
      <c r="O3" s="50">
        <v>1150</v>
      </c>
      <c r="P3" s="50">
        <v>2</v>
      </c>
      <c r="Q3" s="50">
        <v>1</v>
      </c>
      <c r="R3" s="38">
        <f t="shared" ref="R3:R66" si="0">IF(C3="","",IFERROR(DATE(MID(C3,7,4),LEFT(C3,2),MID(C3,4,2)),C3))</f>
        <v>45447</v>
      </c>
      <c r="S3">
        <f>IFERROR(RANK(V3,V:V,0)+COUNTIF($V$1:V2,V3),"")</f>
        <v>4</v>
      </c>
      <c r="V3" s="222">
        <f t="shared" ref="V3:V66" si="1">IFERROR((INDEX($A$1:$Q$150,ROW(),MATCH("좋아요",$A$1:$Q$1,0))+INDEX($A$1:$Q$150,ROW(),MATCH("공유",$A$1:$Q$1,0))+INDEX($A$1:$Q$150,ROW(),MATCH("댓글",$A$1:$Q$1,0))+INDEX($A$1:$Q$150,ROW(),MATCH("저장",$A$1:$Q$1,0)))/INDEX($A$1:$Q$150,ROW(),MATCH("도달",$A$1:$Q$1,0)),"")</f>
        <v>0.26511841802713265</v>
      </c>
      <c r="W3" s="117"/>
    </row>
    <row r="4" spans="1:23">
      <c r="A4" s="50" t="s">
        <v>216</v>
      </c>
      <c r="B4" s="50">
        <v>31</v>
      </c>
      <c r="C4" s="116">
        <v>45448</v>
      </c>
      <c r="D4" s="50" t="s">
        <v>239</v>
      </c>
      <c r="E4" s="50" t="s">
        <v>197</v>
      </c>
      <c r="G4" s="50" t="s">
        <v>137</v>
      </c>
      <c r="H4" s="50">
        <v>31464</v>
      </c>
      <c r="I4" s="50">
        <v>25591</v>
      </c>
      <c r="J4" s="50">
        <v>1</v>
      </c>
      <c r="K4" s="50" t="s">
        <v>194</v>
      </c>
      <c r="L4" s="50">
        <v>0</v>
      </c>
      <c r="M4" s="50">
        <v>32504</v>
      </c>
      <c r="N4" s="50">
        <v>3.472222222222222E-3</v>
      </c>
      <c r="O4" s="50">
        <v>817</v>
      </c>
      <c r="P4" s="50">
        <v>5</v>
      </c>
      <c r="Q4" s="50">
        <v>5</v>
      </c>
      <c r="R4" s="38">
        <f t="shared" si="0"/>
        <v>45448</v>
      </c>
      <c r="S4">
        <f>IFERROR(RANK(V4,V:V,0)+COUNTIF($V$1:V3,V4),"")</f>
        <v>9</v>
      </c>
      <c r="V4" s="222">
        <f t="shared" si="1"/>
        <v>3.2355124848579581E-2</v>
      </c>
      <c r="W4" s="117"/>
    </row>
    <row r="5" spans="1:23">
      <c r="A5" s="50" t="s">
        <v>218</v>
      </c>
      <c r="B5" s="50">
        <v>0</v>
      </c>
      <c r="C5" s="116">
        <v>45453</v>
      </c>
      <c r="D5" s="50" t="s">
        <v>240</v>
      </c>
      <c r="E5" s="50" t="s">
        <v>196</v>
      </c>
      <c r="G5" s="50" t="s">
        <v>137</v>
      </c>
      <c r="H5" s="50">
        <v>8423</v>
      </c>
      <c r="I5" s="50">
        <v>5781</v>
      </c>
      <c r="J5" s="50">
        <v>7</v>
      </c>
      <c r="K5" s="50">
        <v>10</v>
      </c>
      <c r="L5" s="50">
        <v>0</v>
      </c>
      <c r="M5" s="50" t="s">
        <v>194</v>
      </c>
      <c r="N5" s="50" t="s">
        <v>194</v>
      </c>
      <c r="O5" s="50">
        <v>1445</v>
      </c>
      <c r="P5" s="50">
        <v>11</v>
      </c>
      <c r="Q5" s="50">
        <v>56</v>
      </c>
      <c r="R5" s="38">
        <f t="shared" si="0"/>
        <v>45453</v>
      </c>
      <c r="S5">
        <f>IFERROR(RANK(V5,V:V,0)+COUNTIF($V$1:V4,V5),"")</f>
        <v>5</v>
      </c>
      <c r="V5" s="222">
        <f t="shared" si="1"/>
        <v>0.26275730842414807</v>
      </c>
      <c r="W5" s="117"/>
    </row>
    <row r="6" spans="1:23">
      <c r="A6" s="50" t="s">
        <v>220</v>
      </c>
      <c r="B6" s="50">
        <v>144</v>
      </c>
      <c r="C6" s="116">
        <v>45453</v>
      </c>
      <c r="D6" s="50" t="s">
        <v>241</v>
      </c>
      <c r="E6" s="50" t="s">
        <v>197</v>
      </c>
      <c r="G6" s="50" t="s">
        <v>137</v>
      </c>
      <c r="H6" s="50">
        <v>47767</v>
      </c>
      <c r="I6" s="50">
        <v>28683</v>
      </c>
      <c r="J6" s="50">
        <v>4</v>
      </c>
      <c r="K6" s="50" t="s">
        <v>194</v>
      </c>
      <c r="L6" s="50">
        <v>11</v>
      </c>
      <c r="M6" s="50">
        <v>47394</v>
      </c>
      <c r="N6" s="50">
        <v>3.472222222222222E-3</v>
      </c>
      <c r="O6" s="50">
        <v>1221</v>
      </c>
      <c r="P6" s="50">
        <v>4</v>
      </c>
      <c r="Q6" s="50">
        <v>16</v>
      </c>
      <c r="R6" s="38">
        <f t="shared" si="0"/>
        <v>45453</v>
      </c>
      <c r="S6">
        <f>IFERROR(RANK(V6,V:V,0)+COUNTIF($V$1:V5,V6),"")</f>
        <v>8</v>
      </c>
      <c r="V6" s="222">
        <f t="shared" si="1"/>
        <v>4.3405501516577766E-2</v>
      </c>
      <c r="W6" s="117"/>
    </row>
    <row r="7" spans="1:23">
      <c r="A7" s="50" t="s">
        <v>224</v>
      </c>
      <c r="B7" s="50">
        <v>33</v>
      </c>
      <c r="C7" s="116">
        <v>45456</v>
      </c>
      <c r="D7" s="50" t="s">
        <v>242</v>
      </c>
      <c r="E7" s="50" t="s">
        <v>197</v>
      </c>
      <c r="G7" s="50" t="s">
        <v>137</v>
      </c>
      <c r="H7" s="50">
        <v>16207</v>
      </c>
      <c r="I7" s="50">
        <v>12847</v>
      </c>
      <c r="J7" s="50">
        <v>2</v>
      </c>
      <c r="K7" s="50" t="s">
        <v>194</v>
      </c>
      <c r="L7" s="50">
        <v>0</v>
      </c>
      <c r="M7" s="50">
        <v>17262</v>
      </c>
      <c r="N7" s="50">
        <v>2.0833333333333333E-3</v>
      </c>
      <c r="O7" s="50">
        <v>745</v>
      </c>
      <c r="P7" s="50">
        <v>10</v>
      </c>
      <c r="Q7" s="50">
        <v>5</v>
      </c>
      <c r="R7" s="38">
        <f t="shared" si="0"/>
        <v>45456</v>
      </c>
      <c r="S7">
        <f>IFERROR(RANK(V7,V:V,0)+COUNTIF($V$1:V6,V7),"")</f>
        <v>7</v>
      </c>
      <c r="V7" s="222">
        <f t="shared" si="1"/>
        <v>5.9313458394956019E-2</v>
      </c>
      <c r="W7" s="117"/>
    </row>
    <row r="8" spans="1:23">
      <c r="A8" s="50" t="s">
        <v>226</v>
      </c>
      <c r="B8" s="50">
        <v>0</v>
      </c>
      <c r="C8" s="116">
        <v>45460</v>
      </c>
      <c r="D8" s="50" t="s">
        <v>243</v>
      </c>
      <c r="E8" s="50" t="s">
        <v>196</v>
      </c>
      <c r="G8" s="50" t="s">
        <v>137</v>
      </c>
      <c r="H8" s="50">
        <v>8576</v>
      </c>
      <c r="I8" s="50">
        <v>6068</v>
      </c>
      <c r="J8" s="50">
        <v>5</v>
      </c>
      <c r="K8" s="50">
        <v>120</v>
      </c>
      <c r="L8" s="50">
        <v>16</v>
      </c>
      <c r="M8" s="50" t="s">
        <v>194</v>
      </c>
      <c r="N8" s="50" t="s">
        <v>194</v>
      </c>
      <c r="O8" s="50">
        <v>824</v>
      </c>
      <c r="P8" s="50">
        <v>7</v>
      </c>
      <c r="Q8" s="50">
        <v>37</v>
      </c>
      <c r="R8" s="38">
        <f t="shared" si="0"/>
        <v>45460</v>
      </c>
      <c r="S8">
        <f>IFERROR(RANK(V8,V:V,0)+COUNTIF($V$1:V7,V8),"")</f>
        <v>6</v>
      </c>
      <c r="V8" s="222">
        <f t="shared" si="1"/>
        <v>0.14386947923533289</v>
      </c>
      <c r="W8" s="117"/>
    </row>
    <row r="9" spans="1:23">
      <c r="A9" s="50" t="s">
        <v>230</v>
      </c>
      <c r="B9" s="50">
        <v>0</v>
      </c>
      <c r="C9" s="116">
        <v>45467</v>
      </c>
      <c r="D9" s="50" t="s">
        <v>244</v>
      </c>
      <c r="E9" s="50" t="s">
        <v>196</v>
      </c>
      <c r="G9" s="50" t="s">
        <v>137</v>
      </c>
      <c r="H9" s="50">
        <v>7067</v>
      </c>
      <c r="I9" s="50">
        <v>4532</v>
      </c>
      <c r="J9" s="50">
        <v>3</v>
      </c>
      <c r="K9" s="50">
        <v>11</v>
      </c>
      <c r="L9" s="50">
        <v>0</v>
      </c>
      <c r="M9" s="50" t="s">
        <v>194</v>
      </c>
      <c r="N9" s="50" t="s">
        <v>194</v>
      </c>
      <c r="O9" s="50">
        <v>1231</v>
      </c>
      <c r="P9" s="50">
        <v>0</v>
      </c>
      <c r="Q9" s="50">
        <v>33</v>
      </c>
      <c r="R9" s="38">
        <f t="shared" si="0"/>
        <v>45467</v>
      </c>
      <c r="S9">
        <f>IFERROR(RANK(V9,V:V,0)+COUNTIF($V$1:V8,V9),"")</f>
        <v>2</v>
      </c>
      <c r="V9" s="222">
        <f t="shared" si="1"/>
        <v>0.27956751985878198</v>
      </c>
      <c r="W9" s="117"/>
    </row>
    <row r="10" spans="1:23">
      <c r="A10" s="50" t="s">
        <v>234</v>
      </c>
      <c r="B10" s="50">
        <v>25</v>
      </c>
      <c r="C10" s="116">
        <v>45471</v>
      </c>
      <c r="D10" s="50" t="s">
        <v>245</v>
      </c>
      <c r="E10" s="50" t="s">
        <v>197</v>
      </c>
      <c r="G10" s="50" t="s">
        <v>137</v>
      </c>
      <c r="H10" s="50">
        <v>2049</v>
      </c>
      <c r="I10" s="50">
        <v>1700</v>
      </c>
      <c r="J10" s="50">
        <v>80</v>
      </c>
      <c r="K10" s="50">
        <v>150</v>
      </c>
      <c r="L10" s="50">
        <v>37</v>
      </c>
      <c r="M10" s="50">
        <v>4164</v>
      </c>
      <c r="N10" s="50">
        <v>6.9444444444444441E-3</v>
      </c>
      <c r="O10" s="50">
        <v>388</v>
      </c>
      <c r="P10" s="50">
        <v>419</v>
      </c>
      <c r="Q10" s="50">
        <v>50</v>
      </c>
      <c r="R10" s="38">
        <f t="shared" si="0"/>
        <v>45471</v>
      </c>
      <c r="S10">
        <f>IFERROR(RANK(V10,V:V,0)+COUNTIF($V$1:V9,V10),"")</f>
        <v>1</v>
      </c>
      <c r="V10" s="222">
        <f t="shared" si="1"/>
        <v>0.55117647058823527</v>
      </c>
      <c r="W10" s="117"/>
    </row>
    <row r="11" spans="1:23">
      <c r="C11" s="116"/>
      <c r="R11" s="38" t="str">
        <f t="shared" si="0"/>
        <v/>
      </c>
      <c r="S11" t="str">
        <f>IFERROR(RANK(V11,V:V,0)+COUNTIF($V$1:V10,V11),"")</f>
        <v/>
      </c>
      <c r="V11" s="222" t="str">
        <f t="shared" si="1"/>
        <v/>
      </c>
      <c r="W11" s="117"/>
    </row>
    <row r="12" spans="1:23">
      <c r="C12" s="116"/>
      <c r="R12" s="38" t="str">
        <f t="shared" si="0"/>
        <v/>
      </c>
      <c r="S12" t="str">
        <f>IFERROR(RANK(V12,V:V,0)+COUNTIF($V$1:V11,V12),"")</f>
        <v/>
      </c>
      <c r="V12" s="222" t="str">
        <f t="shared" si="1"/>
        <v/>
      </c>
      <c r="W12" s="117"/>
    </row>
    <row r="13" spans="1:23">
      <c r="C13" s="116"/>
      <c r="R13" s="38" t="str">
        <f t="shared" si="0"/>
        <v/>
      </c>
      <c r="S13" t="str">
        <f>IFERROR(RANK(V13,V:V,0)+COUNTIF($V$1:V12,V13),"")</f>
        <v/>
      </c>
      <c r="V13" s="222" t="str">
        <f t="shared" si="1"/>
        <v/>
      </c>
      <c r="W13" s="117"/>
    </row>
    <row r="14" spans="1:23">
      <c r="C14" s="116"/>
      <c r="R14" s="38" t="str">
        <f t="shared" si="0"/>
        <v/>
      </c>
      <c r="S14" t="str">
        <f>IFERROR(RANK(V14,V:V,0)+COUNTIF($V$1:V13,V14),"")</f>
        <v/>
      </c>
      <c r="V14" s="222" t="str">
        <f t="shared" si="1"/>
        <v/>
      </c>
      <c r="W14" s="117"/>
    </row>
    <row r="15" spans="1:23">
      <c r="C15" s="116"/>
      <c r="R15" s="38" t="str">
        <f t="shared" si="0"/>
        <v/>
      </c>
      <c r="S15" t="str">
        <f>IFERROR(RANK(V15,V:V,0)+COUNTIF($V$1:V14,V15),"")</f>
        <v/>
      </c>
      <c r="V15" s="222" t="str">
        <f t="shared" si="1"/>
        <v/>
      </c>
      <c r="W15" s="117"/>
    </row>
    <row r="16" spans="1:23">
      <c r="C16" s="116"/>
      <c r="R16" s="38" t="str">
        <f t="shared" si="0"/>
        <v/>
      </c>
      <c r="S16" t="str">
        <f>IFERROR(RANK(V16,V:V,0)+COUNTIF($V$1:V15,V16),"")</f>
        <v/>
      </c>
      <c r="V16" s="222" t="str">
        <f t="shared" si="1"/>
        <v/>
      </c>
      <c r="W16" s="117"/>
    </row>
    <row r="17" spans="3:23">
      <c r="C17" s="116"/>
      <c r="R17" s="38" t="str">
        <f t="shared" si="0"/>
        <v/>
      </c>
      <c r="S17" t="str">
        <f>IFERROR(RANK(V17,V:V,0)+COUNTIF($V$1:V16,V17),"")</f>
        <v/>
      </c>
      <c r="V17" s="222" t="str">
        <f t="shared" si="1"/>
        <v/>
      </c>
      <c r="W17" s="117"/>
    </row>
    <row r="18" spans="3:23">
      <c r="R18" s="38" t="str">
        <f t="shared" si="0"/>
        <v/>
      </c>
      <c r="S18" t="str">
        <f>IFERROR(RANK(V18,V:V,0)+COUNTIF($V$1:V17,V18),"")</f>
        <v/>
      </c>
      <c r="V18" s="222" t="str">
        <f t="shared" si="1"/>
        <v/>
      </c>
      <c r="W18" s="117"/>
    </row>
    <row r="19" spans="3:23">
      <c r="R19" s="38" t="str">
        <f t="shared" si="0"/>
        <v/>
      </c>
      <c r="S19" t="str">
        <f>IFERROR(RANK(V19,V:V,0)+COUNTIF($V$1:V18,V19),"")</f>
        <v/>
      </c>
      <c r="V19" s="222" t="str">
        <f t="shared" si="1"/>
        <v/>
      </c>
      <c r="W19" s="117"/>
    </row>
    <row r="20" spans="3:23">
      <c r="R20" s="38" t="str">
        <f t="shared" si="0"/>
        <v/>
      </c>
      <c r="S20" t="str">
        <f>IFERROR(RANK(V20,V:V,0)+COUNTIF($V$1:V19,V20),"")</f>
        <v/>
      </c>
      <c r="V20" s="222" t="str">
        <f t="shared" si="1"/>
        <v/>
      </c>
      <c r="W20" s="117"/>
    </row>
    <row r="21" spans="3:23">
      <c r="R21" s="38" t="str">
        <f t="shared" si="0"/>
        <v/>
      </c>
      <c r="S21" t="str">
        <f>IFERROR(RANK(V21,V:V,0)+COUNTIF($V$1:V20,V21),"")</f>
        <v/>
      </c>
      <c r="V21" s="222" t="str">
        <f t="shared" si="1"/>
        <v/>
      </c>
      <c r="W21" s="117"/>
    </row>
    <row r="22" spans="3:23">
      <c r="R22" s="38" t="str">
        <f t="shared" si="0"/>
        <v/>
      </c>
      <c r="S22" t="str">
        <f>IFERROR(RANK(V22,V:V,0)+COUNTIF($V$1:V21,V22),"")</f>
        <v/>
      </c>
      <c r="V22" s="222" t="str">
        <f t="shared" si="1"/>
        <v/>
      </c>
      <c r="W22" s="117"/>
    </row>
    <row r="23" spans="3:23">
      <c r="R23" s="38" t="str">
        <f t="shared" si="0"/>
        <v/>
      </c>
      <c r="S23" t="str">
        <f>IFERROR(RANK(V23,V:V,0)+COUNTIF($V$1:V22,V23),"")</f>
        <v/>
      </c>
      <c r="V23" s="222" t="str">
        <f t="shared" si="1"/>
        <v/>
      </c>
      <c r="W23" s="117"/>
    </row>
    <row r="24" spans="3:23">
      <c r="R24" s="38" t="str">
        <f t="shared" si="0"/>
        <v/>
      </c>
      <c r="S24" t="str">
        <f>IFERROR(RANK(V24,V:V,0)+COUNTIF($V$1:V23,V24),"")</f>
        <v/>
      </c>
      <c r="V24" s="222" t="str">
        <f t="shared" si="1"/>
        <v/>
      </c>
      <c r="W24" s="117"/>
    </row>
    <row r="25" spans="3:23">
      <c r="R25" s="38" t="str">
        <f t="shared" si="0"/>
        <v/>
      </c>
      <c r="S25" t="str">
        <f>IFERROR(RANK(V25,V:V,0)+COUNTIF($V$1:V24,V25),"")</f>
        <v/>
      </c>
      <c r="V25" s="222" t="str">
        <f t="shared" si="1"/>
        <v/>
      </c>
      <c r="W25" s="117"/>
    </row>
    <row r="26" spans="3:23">
      <c r="R26" s="38" t="str">
        <f t="shared" si="0"/>
        <v/>
      </c>
      <c r="S26" t="str">
        <f>IFERROR(RANK(V26,V:V,0)+COUNTIF($V$1:V25,V26),"")</f>
        <v/>
      </c>
      <c r="V26" s="222" t="str">
        <f t="shared" si="1"/>
        <v/>
      </c>
      <c r="W26" s="117"/>
    </row>
    <row r="27" spans="3:23">
      <c r="R27" s="38" t="str">
        <f t="shared" si="0"/>
        <v/>
      </c>
      <c r="S27" t="str">
        <f>IFERROR(RANK(V27,V:V,0)+COUNTIF($V$1:V26,V27),"")</f>
        <v/>
      </c>
      <c r="V27" s="222" t="str">
        <f t="shared" si="1"/>
        <v/>
      </c>
      <c r="W27" s="117"/>
    </row>
    <row r="28" spans="3:23">
      <c r="R28" s="38" t="str">
        <f t="shared" si="0"/>
        <v/>
      </c>
      <c r="S28" t="str">
        <f>IFERROR(RANK(V28,V:V,0)+COUNTIF($V$1:V27,V28),"")</f>
        <v/>
      </c>
      <c r="V28" s="222" t="str">
        <f t="shared" si="1"/>
        <v/>
      </c>
      <c r="W28" s="117"/>
    </row>
    <row r="29" spans="3:23">
      <c r="R29" s="38" t="str">
        <f t="shared" si="0"/>
        <v/>
      </c>
      <c r="S29" t="str">
        <f>IFERROR(RANK(V29,V:V,0)+COUNTIF($V$1:V28,V29),"")</f>
        <v/>
      </c>
      <c r="V29" s="222" t="str">
        <f t="shared" si="1"/>
        <v/>
      </c>
      <c r="W29" s="117"/>
    </row>
    <row r="30" spans="3:23">
      <c r="R30" s="38" t="str">
        <f t="shared" si="0"/>
        <v/>
      </c>
      <c r="S30" t="str">
        <f>IFERROR(RANK(V30,V:V,0)+COUNTIF($V$1:V29,V30),"")</f>
        <v/>
      </c>
      <c r="V30" s="222" t="str">
        <f t="shared" si="1"/>
        <v/>
      </c>
      <c r="W30" s="117"/>
    </row>
    <row r="31" spans="3:23">
      <c r="R31" s="38" t="str">
        <f t="shared" si="0"/>
        <v/>
      </c>
      <c r="S31" t="str">
        <f>IFERROR(RANK(V31,V:V,0)+COUNTIF($V$1:V30,V31),"")</f>
        <v/>
      </c>
      <c r="V31" s="222" t="str">
        <f t="shared" si="1"/>
        <v/>
      </c>
      <c r="W31" s="117"/>
    </row>
    <row r="32" spans="3:23">
      <c r="R32" s="38" t="str">
        <f t="shared" si="0"/>
        <v/>
      </c>
      <c r="S32" t="str">
        <f>IFERROR(RANK(V32,V:V,0)+COUNTIF($V$1:V31,V32),"")</f>
        <v/>
      </c>
      <c r="V32" s="222" t="str">
        <f t="shared" si="1"/>
        <v/>
      </c>
      <c r="W32" s="117"/>
    </row>
    <row r="33" spans="18:23">
      <c r="R33" s="38" t="str">
        <f t="shared" si="0"/>
        <v/>
      </c>
      <c r="S33" t="str">
        <f>IFERROR(RANK(V33,V:V,0)+COUNTIF($V$1:V32,V33),"")</f>
        <v/>
      </c>
      <c r="V33" s="222" t="str">
        <f t="shared" si="1"/>
        <v/>
      </c>
      <c r="W33" s="117"/>
    </row>
    <row r="34" spans="18:23">
      <c r="R34" s="38" t="str">
        <f t="shared" si="0"/>
        <v/>
      </c>
      <c r="S34" t="str">
        <f>IFERROR(RANK(V34,V:V,0)+COUNTIF($V$1:V33,V34),"")</f>
        <v/>
      </c>
      <c r="V34" s="222" t="str">
        <f t="shared" si="1"/>
        <v/>
      </c>
      <c r="W34" s="117"/>
    </row>
    <row r="35" spans="18:23">
      <c r="R35" s="38" t="str">
        <f t="shared" si="0"/>
        <v/>
      </c>
      <c r="S35" t="str">
        <f>IFERROR(RANK(V35,V:V,0)+COUNTIF($V$1:V34,V35),"")</f>
        <v/>
      </c>
      <c r="V35" s="222" t="str">
        <f t="shared" si="1"/>
        <v/>
      </c>
      <c r="W35" s="117"/>
    </row>
    <row r="36" spans="18:23">
      <c r="R36" s="38" t="str">
        <f t="shared" si="0"/>
        <v/>
      </c>
      <c r="S36" t="str">
        <f>IFERROR(RANK(V36,V:V,0)+COUNTIF($V$1:V35,V36),"")</f>
        <v/>
      </c>
      <c r="V36" s="222" t="str">
        <f t="shared" si="1"/>
        <v/>
      </c>
      <c r="W36" s="117"/>
    </row>
    <row r="37" spans="18:23">
      <c r="R37" s="38" t="str">
        <f t="shared" si="0"/>
        <v/>
      </c>
      <c r="S37" t="str">
        <f>IFERROR(RANK(V37,V:V,0)+COUNTIF($V$1:V36,V37),"")</f>
        <v/>
      </c>
      <c r="V37" s="222" t="str">
        <f t="shared" si="1"/>
        <v/>
      </c>
      <c r="W37" s="117"/>
    </row>
    <row r="38" spans="18:23">
      <c r="R38" s="38" t="str">
        <f t="shared" si="0"/>
        <v/>
      </c>
      <c r="S38" t="str">
        <f>IFERROR(RANK(V38,V:V,0)+COUNTIF($V$1:V37,V38),"")</f>
        <v/>
      </c>
      <c r="V38" s="222" t="str">
        <f t="shared" si="1"/>
        <v/>
      </c>
      <c r="W38" s="117"/>
    </row>
    <row r="39" spans="18:23">
      <c r="R39" s="38" t="str">
        <f t="shared" si="0"/>
        <v/>
      </c>
      <c r="S39" t="str">
        <f>IFERROR(RANK(V39,V:V,0)+COUNTIF($V$1:V38,V39),"")</f>
        <v/>
      </c>
      <c r="V39" s="222" t="str">
        <f t="shared" si="1"/>
        <v/>
      </c>
      <c r="W39" s="117"/>
    </row>
    <row r="40" spans="18:23">
      <c r="R40" s="38" t="str">
        <f t="shared" si="0"/>
        <v/>
      </c>
      <c r="S40" t="str">
        <f>IFERROR(RANK(V40,V:V,0)+COUNTIF($V$1:V39,V40),"")</f>
        <v/>
      </c>
      <c r="V40" s="222" t="str">
        <f t="shared" si="1"/>
        <v/>
      </c>
      <c r="W40" s="117"/>
    </row>
    <row r="41" spans="18:23">
      <c r="R41" s="38" t="str">
        <f t="shared" si="0"/>
        <v/>
      </c>
      <c r="S41" t="str">
        <f>IFERROR(RANK(V41,V:V,0)+COUNTIF($V$1:V40,V41),"")</f>
        <v/>
      </c>
      <c r="V41" s="222" t="str">
        <f t="shared" si="1"/>
        <v/>
      </c>
      <c r="W41" s="117"/>
    </row>
    <row r="42" spans="18:23">
      <c r="R42" s="38" t="str">
        <f t="shared" si="0"/>
        <v/>
      </c>
      <c r="S42" t="str">
        <f>IFERROR(RANK(V42,V:V,0)+COUNTIF($V$1:V41,V42),"")</f>
        <v/>
      </c>
      <c r="V42" s="222" t="str">
        <f t="shared" si="1"/>
        <v/>
      </c>
      <c r="W42" s="117"/>
    </row>
    <row r="43" spans="18:23">
      <c r="R43" s="38" t="str">
        <f t="shared" si="0"/>
        <v/>
      </c>
      <c r="S43" t="str">
        <f>IFERROR(RANK(V43,V:V,0)+COUNTIF($V$1:V42,V43),"")</f>
        <v/>
      </c>
      <c r="V43" s="222" t="str">
        <f t="shared" si="1"/>
        <v/>
      </c>
      <c r="W43" s="117"/>
    </row>
    <row r="44" spans="18:23">
      <c r="R44" s="38" t="str">
        <f t="shared" si="0"/>
        <v/>
      </c>
      <c r="S44" t="str">
        <f>IFERROR(RANK(V44,V:V,0)+COUNTIF($V$1:V43,V44),"")</f>
        <v/>
      </c>
      <c r="V44" s="222" t="str">
        <f t="shared" si="1"/>
        <v/>
      </c>
    </row>
    <row r="45" spans="18:23">
      <c r="R45" s="38" t="str">
        <f t="shared" si="0"/>
        <v/>
      </c>
      <c r="S45" t="str">
        <f>IFERROR(RANK(V45,V:V,0)+COUNTIF($V$1:V44,V45),"")</f>
        <v/>
      </c>
      <c r="V45" s="222" t="str">
        <f t="shared" si="1"/>
        <v/>
      </c>
    </row>
    <row r="46" spans="18:23">
      <c r="R46" s="38" t="str">
        <f t="shared" si="0"/>
        <v/>
      </c>
      <c r="S46" t="str">
        <f>IFERROR(RANK(V46,V:V,0)+COUNTIF($V$1:V45,V46),"")</f>
        <v/>
      </c>
      <c r="V46" s="222" t="str">
        <f t="shared" si="1"/>
        <v/>
      </c>
    </row>
    <row r="47" spans="18:23">
      <c r="R47" s="38" t="str">
        <f t="shared" si="0"/>
        <v/>
      </c>
      <c r="S47" t="str">
        <f>IFERROR(RANK(V47,V:V,0)+COUNTIF($V$1:V46,V47),"")</f>
        <v/>
      </c>
      <c r="V47" s="222" t="str">
        <f t="shared" si="1"/>
        <v/>
      </c>
    </row>
    <row r="48" spans="18:23">
      <c r="R48" s="38" t="str">
        <f t="shared" si="0"/>
        <v/>
      </c>
      <c r="S48" t="str">
        <f>IFERROR(RANK(V48,V:V,0)+COUNTIF($V$1:V47,V48),"")</f>
        <v/>
      </c>
      <c r="V48" s="222" t="str">
        <f t="shared" si="1"/>
        <v/>
      </c>
    </row>
    <row r="49" spans="18:22">
      <c r="R49" s="38" t="str">
        <f t="shared" si="0"/>
        <v/>
      </c>
      <c r="S49" t="str">
        <f>IFERROR(RANK(V49,V:V,0)+COUNTIF($V$1:V48,V49),"")</f>
        <v/>
      </c>
      <c r="V49" s="222" t="str">
        <f t="shared" si="1"/>
        <v/>
      </c>
    </row>
    <row r="50" spans="18:22">
      <c r="R50" s="38" t="str">
        <f t="shared" si="0"/>
        <v/>
      </c>
      <c r="S50" t="str">
        <f>IFERROR(RANK(V50,V:V,0)+COUNTIF($V$1:V49,V50),"")</f>
        <v/>
      </c>
      <c r="V50" s="222" t="str">
        <f t="shared" si="1"/>
        <v/>
      </c>
    </row>
    <row r="51" spans="18:22">
      <c r="R51" s="38" t="str">
        <f t="shared" si="0"/>
        <v/>
      </c>
      <c r="S51" t="str">
        <f>IFERROR(RANK(V51,V:V,0)+COUNTIF($V$1:V50,V51),"")</f>
        <v/>
      </c>
      <c r="V51" s="222" t="str">
        <f t="shared" si="1"/>
        <v/>
      </c>
    </row>
    <row r="52" spans="18:22">
      <c r="R52" s="38" t="str">
        <f t="shared" si="0"/>
        <v/>
      </c>
      <c r="S52" t="str">
        <f>IFERROR(RANK(V52,V:V,0)+COUNTIF($V$1:V51,V52),"")</f>
        <v/>
      </c>
      <c r="V52" s="222" t="str">
        <f t="shared" si="1"/>
        <v/>
      </c>
    </row>
    <row r="53" spans="18:22">
      <c r="R53" s="38" t="str">
        <f t="shared" si="0"/>
        <v/>
      </c>
      <c r="S53" t="str">
        <f>IFERROR(RANK(V53,V:V,0)+COUNTIF($V$1:V52,V53),"")</f>
        <v/>
      </c>
      <c r="V53" s="222" t="str">
        <f t="shared" si="1"/>
        <v/>
      </c>
    </row>
    <row r="54" spans="18:22">
      <c r="R54" s="38" t="str">
        <f t="shared" si="0"/>
        <v/>
      </c>
      <c r="S54" t="str">
        <f>IFERROR(RANK(V54,V:V,0)+COUNTIF($V$1:V53,V54),"")</f>
        <v/>
      </c>
      <c r="V54" s="222" t="str">
        <f t="shared" si="1"/>
        <v/>
      </c>
    </row>
    <row r="55" spans="18:22">
      <c r="R55" s="38" t="str">
        <f t="shared" si="0"/>
        <v/>
      </c>
      <c r="S55" t="str">
        <f>IFERROR(RANK(V55,V:V,0)+COUNTIF($V$1:V54,V55),"")</f>
        <v/>
      </c>
      <c r="V55" s="222" t="str">
        <f t="shared" si="1"/>
        <v/>
      </c>
    </row>
    <row r="56" spans="18:22">
      <c r="R56" s="38" t="str">
        <f t="shared" si="0"/>
        <v/>
      </c>
      <c r="S56" t="str">
        <f>IFERROR(RANK(V56,V:V,0)+COUNTIF($V$1:V55,V56),"")</f>
        <v/>
      </c>
      <c r="V56" s="222" t="str">
        <f t="shared" si="1"/>
        <v/>
      </c>
    </row>
    <row r="57" spans="18:22">
      <c r="R57" s="38" t="str">
        <f t="shared" si="0"/>
        <v/>
      </c>
      <c r="S57" t="str">
        <f>IFERROR(RANK(V57,V:V,0)+COUNTIF($V$1:V56,V57),"")</f>
        <v/>
      </c>
      <c r="V57" s="222" t="str">
        <f t="shared" si="1"/>
        <v/>
      </c>
    </row>
    <row r="58" spans="18:22">
      <c r="R58" s="38" t="str">
        <f t="shared" si="0"/>
        <v/>
      </c>
      <c r="S58" t="str">
        <f>IFERROR(RANK(V58,V:V,0)+COUNTIF($V$1:V57,V58),"")</f>
        <v/>
      </c>
      <c r="V58" s="222" t="str">
        <f t="shared" si="1"/>
        <v/>
      </c>
    </row>
    <row r="59" spans="18:22">
      <c r="R59" s="38" t="str">
        <f t="shared" si="0"/>
        <v/>
      </c>
      <c r="S59" t="str">
        <f>IFERROR(RANK(V59,V:V,0)+COUNTIF($V$1:V58,V59),"")</f>
        <v/>
      </c>
      <c r="V59" s="222" t="str">
        <f t="shared" si="1"/>
        <v/>
      </c>
    </row>
    <row r="60" spans="18:22">
      <c r="R60" s="38" t="str">
        <f t="shared" si="0"/>
        <v/>
      </c>
      <c r="S60" t="str">
        <f>IFERROR(RANK(V60,V:V,0)+COUNTIF($V$1:V59,V60),"")</f>
        <v/>
      </c>
      <c r="V60" s="222" t="str">
        <f t="shared" si="1"/>
        <v/>
      </c>
    </row>
    <row r="61" spans="18:22">
      <c r="R61" s="38" t="str">
        <f t="shared" si="0"/>
        <v/>
      </c>
      <c r="S61" t="str">
        <f>IFERROR(RANK(V61,V:V,0)+COUNTIF($V$1:V60,V61),"")</f>
        <v/>
      </c>
      <c r="V61" s="222" t="str">
        <f t="shared" si="1"/>
        <v/>
      </c>
    </row>
    <row r="62" spans="18:22">
      <c r="R62" s="38" t="str">
        <f t="shared" si="0"/>
        <v/>
      </c>
      <c r="S62" t="str">
        <f>IFERROR(RANK(V62,V:V,0)+COUNTIF($V$1:V61,V62),"")</f>
        <v/>
      </c>
      <c r="V62" s="222" t="str">
        <f t="shared" si="1"/>
        <v/>
      </c>
    </row>
    <row r="63" spans="18:22">
      <c r="R63" s="38" t="str">
        <f t="shared" si="0"/>
        <v/>
      </c>
      <c r="S63" t="str">
        <f>IFERROR(RANK(V63,V:V,0)+COUNTIF($V$1:V62,V63),"")</f>
        <v/>
      </c>
      <c r="V63" s="222" t="str">
        <f t="shared" si="1"/>
        <v/>
      </c>
    </row>
    <row r="64" spans="18:22">
      <c r="R64" s="38" t="str">
        <f t="shared" si="0"/>
        <v/>
      </c>
      <c r="S64" t="str">
        <f>IFERROR(RANK(V64,V:V,0)+COUNTIF($V$1:V63,V64),"")</f>
        <v/>
      </c>
      <c r="V64" s="222" t="str">
        <f t="shared" si="1"/>
        <v/>
      </c>
    </row>
    <row r="65" spans="18:22">
      <c r="R65" s="38" t="str">
        <f t="shared" si="0"/>
        <v/>
      </c>
      <c r="S65" t="str">
        <f>IFERROR(RANK(V65,V:V,0)+COUNTIF($V$1:V64,V65),"")</f>
        <v/>
      </c>
      <c r="V65" s="222" t="str">
        <f t="shared" si="1"/>
        <v/>
      </c>
    </row>
    <row r="66" spans="18:22">
      <c r="R66" s="38" t="str">
        <f t="shared" si="0"/>
        <v/>
      </c>
      <c r="S66" t="str">
        <f>IFERROR(RANK(V66,V:V,0)+COUNTIF($V$1:V65,V66),"")</f>
        <v/>
      </c>
      <c r="V66" s="222" t="str">
        <f t="shared" si="1"/>
        <v/>
      </c>
    </row>
    <row r="67" spans="18:22">
      <c r="R67" s="38" t="str">
        <f t="shared" ref="R67:R99" si="2">IF(C67="","",IFERROR(DATE(MID(C67,7,4),LEFT(C67,2),MID(C67,4,2)),C67))</f>
        <v/>
      </c>
      <c r="S67" t="str">
        <f>IFERROR(RANK(V67,V:V,0)+COUNTIF($V$1:V66,V67),"")</f>
        <v/>
      </c>
      <c r="V67" s="222" t="str">
        <f t="shared" ref="V67:V99" si="3">IFERROR((INDEX($A$1:$Q$150,ROW(),MATCH("좋아요",$A$1:$Q$1,0))+INDEX($A$1:$Q$150,ROW(),MATCH("공유",$A$1:$Q$1,0))+INDEX($A$1:$Q$150,ROW(),MATCH("댓글",$A$1:$Q$1,0))+INDEX($A$1:$Q$150,ROW(),MATCH("저장",$A$1:$Q$1,0)))/INDEX($A$1:$Q$150,ROW(),MATCH("도달",$A$1:$Q$1,0)),"")</f>
        <v/>
      </c>
    </row>
    <row r="68" spans="18:22">
      <c r="R68" s="38" t="str">
        <f t="shared" si="2"/>
        <v/>
      </c>
      <c r="S68" t="str">
        <f>IFERROR(RANK(V68,V:V,0)+COUNTIF($V$1:V67,V68),"")</f>
        <v/>
      </c>
      <c r="V68" s="222" t="str">
        <f t="shared" si="3"/>
        <v/>
      </c>
    </row>
    <row r="69" spans="18:22">
      <c r="R69" s="38" t="str">
        <f t="shared" si="2"/>
        <v/>
      </c>
      <c r="S69" t="str">
        <f>IFERROR(RANK(V69,V:V,0)+COUNTIF($V$1:V68,V69),"")</f>
        <v/>
      </c>
      <c r="V69" s="222" t="str">
        <f t="shared" si="3"/>
        <v/>
      </c>
    </row>
    <row r="70" spans="18:22">
      <c r="R70" s="38" t="str">
        <f t="shared" si="2"/>
        <v/>
      </c>
      <c r="S70" t="str">
        <f>IFERROR(RANK(V70,V:V,0)+COUNTIF($V$1:V69,V70),"")</f>
        <v/>
      </c>
      <c r="V70" s="222" t="str">
        <f t="shared" si="3"/>
        <v/>
      </c>
    </row>
    <row r="71" spans="18:22">
      <c r="R71" s="38" t="str">
        <f t="shared" si="2"/>
        <v/>
      </c>
      <c r="S71" t="str">
        <f>IFERROR(RANK(V71,V:V,0)+COUNTIF($V$1:V70,V71),"")</f>
        <v/>
      </c>
      <c r="V71" s="222" t="str">
        <f t="shared" si="3"/>
        <v/>
      </c>
    </row>
    <row r="72" spans="18:22">
      <c r="R72" s="38" t="str">
        <f t="shared" si="2"/>
        <v/>
      </c>
      <c r="S72" t="str">
        <f>IFERROR(RANK(V72,V:V,0)+COUNTIF($V$1:V71,V72),"")</f>
        <v/>
      </c>
      <c r="V72" s="222" t="str">
        <f t="shared" si="3"/>
        <v/>
      </c>
    </row>
    <row r="73" spans="18:22">
      <c r="R73" s="38" t="str">
        <f t="shared" si="2"/>
        <v/>
      </c>
      <c r="S73" t="str">
        <f>IFERROR(RANK(V73,V:V,0)+COUNTIF($V$1:V72,V73),"")</f>
        <v/>
      </c>
      <c r="V73" s="222" t="str">
        <f t="shared" si="3"/>
        <v/>
      </c>
    </row>
    <row r="74" spans="18:22">
      <c r="R74" s="38" t="str">
        <f t="shared" si="2"/>
        <v/>
      </c>
      <c r="S74" t="str">
        <f>IFERROR(RANK(V74,V:V,0)+COUNTIF($V$1:V73,V74),"")</f>
        <v/>
      </c>
      <c r="V74" s="222" t="str">
        <f t="shared" si="3"/>
        <v/>
      </c>
    </row>
    <row r="75" spans="18:22">
      <c r="R75" s="38" t="str">
        <f t="shared" si="2"/>
        <v/>
      </c>
      <c r="S75" t="str">
        <f>IFERROR(RANK(V75,V:V,0)+COUNTIF($V$1:V74,V75),"")</f>
        <v/>
      </c>
      <c r="V75" s="222" t="str">
        <f t="shared" si="3"/>
        <v/>
      </c>
    </row>
    <row r="76" spans="18:22">
      <c r="R76" s="38" t="str">
        <f t="shared" si="2"/>
        <v/>
      </c>
      <c r="S76" t="str">
        <f>IFERROR(RANK(V76,V:V,0)+COUNTIF($V$1:V75,V76),"")</f>
        <v/>
      </c>
      <c r="V76" s="222" t="str">
        <f t="shared" si="3"/>
        <v/>
      </c>
    </row>
    <row r="77" spans="18:22">
      <c r="R77" s="38" t="str">
        <f t="shared" si="2"/>
        <v/>
      </c>
      <c r="S77" t="str">
        <f>IFERROR(RANK(V77,V:V,0)+COUNTIF($V$1:V76,V77),"")</f>
        <v/>
      </c>
      <c r="V77" s="222" t="str">
        <f t="shared" si="3"/>
        <v/>
      </c>
    </row>
    <row r="78" spans="18:22">
      <c r="R78" s="38" t="str">
        <f t="shared" si="2"/>
        <v/>
      </c>
      <c r="S78" t="str">
        <f>IFERROR(RANK(V78,V:V,0)+COUNTIF($V$1:V77,V78),"")</f>
        <v/>
      </c>
      <c r="V78" s="222" t="str">
        <f t="shared" si="3"/>
        <v/>
      </c>
    </row>
    <row r="79" spans="18:22">
      <c r="R79" s="38" t="str">
        <f t="shared" si="2"/>
        <v/>
      </c>
      <c r="S79" t="str">
        <f>IFERROR(RANK(V79,V:V,0)+COUNTIF($V$1:V78,V79),"")</f>
        <v/>
      </c>
      <c r="V79" s="222" t="str">
        <f t="shared" si="3"/>
        <v/>
      </c>
    </row>
    <row r="80" spans="18:22">
      <c r="R80" s="38" t="str">
        <f t="shared" si="2"/>
        <v/>
      </c>
      <c r="S80" t="str">
        <f>IFERROR(RANK(V80,V:V,0)+COUNTIF($V$1:V79,V80),"")</f>
        <v/>
      </c>
      <c r="V80" s="222" t="str">
        <f t="shared" si="3"/>
        <v/>
      </c>
    </row>
    <row r="81" spans="18:22">
      <c r="R81" s="38" t="str">
        <f t="shared" si="2"/>
        <v/>
      </c>
      <c r="S81" t="str">
        <f>IFERROR(RANK(V81,V:V,0)+COUNTIF($V$1:V80,V81),"")</f>
        <v/>
      </c>
      <c r="V81" s="222" t="str">
        <f t="shared" si="3"/>
        <v/>
      </c>
    </row>
    <row r="82" spans="18:22">
      <c r="R82" s="38" t="str">
        <f t="shared" si="2"/>
        <v/>
      </c>
      <c r="S82" t="str">
        <f>IFERROR(RANK(V82,V:V,0)+COUNTIF($V$1:V81,V82),"")</f>
        <v/>
      </c>
      <c r="V82" s="222" t="str">
        <f t="shared" si="3"/>
        <v/>
      </c>
    </row>
    <row r="83" spans="18:22">
      <c r="R83" s="38" t="str">
        <f t="shared" si="2"/>
        <v/>
      </c>
      <c r="S83" t="str">
        <f>IFERROR(RANK(V83,V:V,0)+COUNTIF($V$1:V82,V83),"")</f>
        <v/>
      </c>
      <c r="V83" s="222" t="str">
        <f t="shared" si="3"/>
        <v/>
      </c>
    </row>
    <row r="84" spans="18:22">
      <c r="R84" s="38" t="str">
        <f t="shared" si="2"/>
        <v/>
      </c>
      <c r="S84" t="str">
        <f>IFERROR(RANK(V84,V:V,0)+COUNTIF($V$1:V83,V84),"")</f>
        <v/>
      </c>
      <c r="V84" s="222" t="str">
        <f t="shared" si="3"/>
        <v/>
      </c>
    </row>
    <row r="85" spans="18:22">
      <c r="R85" s="38" t="str">
        <f t="shared" si="2"/>
        <v/>
      </c>
      <c r="S85" t="str">
        <f>IFERROR(RANK(V85,V:V,0)+COUNTIF($V$1:V84,V85),"")</f>
        <v/>
      </c>
      <c r="V85" s="222" t="str">
        <f t="shared" si="3"/>
        <v/>
      </c>
    </row>
    <row r="86" spans="18:22">
      <c r="R86" s="38" t="str">
        <f t="shared" si="2"/>
        <v/>
      </c>
      <c r="S86" t="str">
        <f>IFERROR(RANK(V86,V:V,0)+COUNTIF($V$1:V85,V86),"")</f>
        <v/>
      </c>
      <c r="V86" s="222" t="str">
        <f t="shared" si="3"/>
        <v/>
      </c>
    </row>
    <row r="87" spans="18:22">
      <c r="R87" s="38" t="str">
        <f t="shared" si="2"/>
        <v/>
      </c>
      <c r="S87" t="str">
        <f>IFERROR(RANK(V87,V:V,0)+COUNTIF($V$1:V86,V87),"")</f>
        <v/>
      </c>
      <c r="V87" s="222" t="str">
        <f t="shared" si="3"/>
        <v/>
      </c>
    </row>
    <row r="88" spans="18:22">
      <c r="R88" s="38" t="str">
        <f t="shared" si="2"/>
        <v/>
      </c>
      <c r="S88" t="str">
        <f>IFERROR(RANK(V88,V:V,0)+COUNTIF($V$1:V87,V88),"")</f>
        <v/>
      </c>
      <c r="V88" s="222" t="str">
        <f t="shared" si="3"/>
        <v/>
      </c>
    </row>
    <row r="89" spans="18:22">
      <c r="R89" s="38" t="str">
        <f t="shared" si="2"/>
        <v/>
      </c>
      <c r="S89" t="str">
        <f>IFERROR(RANK(V89,V:V,0)+COUNTIF($V$1:V88,V89),"")</f>
        <v/>
      </c>
      <c r="V89" s="222" t="str">
        <f t="shared" si="3"/>
        <v/>
      </c>
    </row>
    <row r="90" spans="18:22">
      <c r="R90" s="38" t="str">
        <f t="shared" si="2"/>
        <v/>
      </c>
      <c r="S90" t="str">
        <f>IFERROR(RANK(V90,V:V,0)+COUNTIF($V$1:V89,V90),"")</f>
        <v/>
      </c>
      <c r="V90" s="222" t="str">
        <f t="shared" si="3"/>
        <v/>
      </c>
    </row>
    <row r="91" spans="18:22">
      <c r="R91" s="38" t="str">
        <f t="shared" si="2"/>
        <v/>
      </c>
      <c r="S91" t="str">
        <f>IFERROR(RANK(V91,V:V,0)+COUNTIF($V$1:V90,V91),"")</f>
        <v/>
      </c>
      <c r="V91" s="222" t="str">
        <f t="shared" si="3"/>
        <v/>
      </c>
    </row>
    <row r="92" spans="18:22">
      <c r="R92" s="38" t="str">
        <f t="shared" si="2"/>
        <v/>
      </c>
      <c r="S92" t="str">
        <f>IFERROR(RANK(V92,V:V,0)+COUNTIF($V$1:V91,V92),"")</f>
        <v/>
      </c>
      <c r="V92" s="222" t="str">
        <f t="shared" si="3"/>
        <v/>
      </c>
    </row>
    <row r="93" spans="18:22">
      <c r="R93" s="38" t="str">
        <f t="shared" si="2"/>
        <v/>
      </c>
      <c r="S93" t="str">
        <f>IFERROR(RANK(V93,V:V,0)+COUNTIF($V$1:V92,V93),"")</f>
        <v/>
      </c>
      <c r="V93" s="222" t="str">
        <f t="shared" si="3"/>
        <v/>
      </c>
    </row>
    <row r="94" spans="18:22">
      <c r="R94" s="38" t="str">
        <f t="shared" si="2"/>
        <v/>
      </c>
      <c r="S94" t="str">
        <f>IFERROR(RANK(V94,V:V,0)+COUNTIF($V$1:V93,V94),"")</f>
        <v/>
      </c>
      <c r="V94" s="222" t="str">
        <f t="shared" si="3"/>
        <v/>
      </c>
    </row>
    <row r="95" spans="18:22">
      <c r="R95" s="38" t="str">
        <f t="shared" si="2"/>
        <v/>
      </c>
      <c r="S95" t="str">
        <f>IFERROR(RANK(V95,V:V,0)+COUNTIF($V$1:V94,V95),"")</f>
        <v/>
      </c>
      <c r="V95" s="222" t="str">
        <f t="shared" si="3"/>
        <v/>
      </c>
    </row>
    <row r="96" spans="18:22">
      <c r="R96" s="38" t="str">
        <f t="shared" si="2"/>
        <v/>
      </c>
      <c r="S96" t="str">
        <f>IFERROR(RANK(V96,V:V,0)+COUNTIF($V$1:V95,V96),"")</f>
        <v/>
      </c>
      <c r="V96" s="222" t="str">
        <f t="shared" si="3"/>
        <v/>
      </c>
    </row>
    <row r="97" spans="18:22">
      <c r="R97" s="38" t="str">
        <f t="shared" si="2"/>
        <v/>
      </c>
      <c r="S97" t="str">
        <f>IFERROR(RANK(V97,V:V,0)+COUNTIF($V$1:V96,V97),"")</f>
        <v/>
      </c>
      <c r="V97" s="222" t="str">
        <f t="shared" si="3"/>
        <v/>
      </c>
    </row>
    <row r="98" spans="18:22">
      <c r="R98" s="38" t="str">
        <f t="shared" si="2"/>
        <v/>
      </c>
      <c r="S98" t="str">
        <f>IFERROR(RANK(V98,V:V,0)+COUNTIF($V$1:V97,V98),"")</f>
        <v/>
      </c>
      <c r="V98" s="222" t="str">
        <f t="shared" si="3"/>
        <v/>
      </c>
    </row>
    <row r="99" spans="18:22">
      <c r="R99" s="38" t="str">
        <f t="shared" si="2"/>
        <v/>
      </c>
      <c r="S99" t="str">
        <f>IFERROR(RANK(V99,V:V,0)+COUNTIF($V$1:V98,V99),"")</f>
        <v/>
      </c>
      <c r="V99" s="222" t="str">
        <f t="shared" si="3"/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>
    <tabColor theme="7" tint="0.79998168889431442"/>
  </sheetPr>
  <dimension ref="A1:U43"/>
  <sheetViews>
    <sheetView workbookViewId="0">
      <selection activeCell="U8" sqref="U8"/>
    </sheetView>
  </sheetViews>
  <sheetFormatPr defaultRowHeight="16.5"/>
  <cols>
    <col min="1" max="17" width="8.75" style="43"/>
  </cols>
  <sheetData>
    <row r="1" spans="1:21">
      <c r="A1" s="43" t="s">
        <v>199</v>
      </c>
      <c r="B1" s="43" t="s">
        <v>74</v>
      </c>
      <c r="C1" s="43" t="s">
        <v>37</v>
      </c>
      <c r="D1" s="43" t="s">
        <v>42</v>
      </c>
      <c r="E1" s="43" t="s">
        <v>46</v>
      </c>
      <c r="F1" s="43" t="s">
        <v>50</v>
      </c>
      <c r="G1" s="43" t="s">
        <v>70</v>
      </c>
      <c r="H1" s="43" t="s">
        <v>47</v>
      </c>
      <c r="I1" s="43" t="s">
        <v>90</v>
      </c>
      <c r="J1" s="43" t="s">
        <v>91</v>
      </c>
      <c r="K1" s="43" t="s">
        <v>93</v>
      </c>
      <c r="L1" s="43" t="s">
        <v>52</v>
      </c>
      <c r="M1" s="43" t="s">
        <v>75</v>
      </c>
      <c r="N1" s="43" t="s">
        <v>92</v>
      </c>
    </row>
    <row r="2" spans="1:21">
      <c r="A2" s="43" t="s">
        <v>246</v>
      </c>
      <c r="B2" s="43" t="s">
        <v>210</v>
      </c>
      <c r="C2" s="43">
        <v>45447</v>
      </c>
      <c r="D2" s="43" t="s">
        <v>211</v>
      </c>
      <c r="E2" s="43" t="s">
        <v>137</v>
      </c>
      <c r="F2" s="43">
        <v>323</v>
      </c>
      <c r="G2" s="43">
        <v>323</v>
      </c>
      <c r="H2" s="43">
        <v>0</v>
      </c>
      <c r="I2" s="43">
        <v>10</v>
      </c>
      <c r="J2" s="43">
        <v>0</v>
      </c>
      <c r="K2" s="43">
        <v>394</v>
      </c>
      <c r="L2" s="43">
        <v>2</v>
      </c>
      <c r="R2">
        <f>IF(COUNTIF($C$2:C2, C2) = 1, 1, 0)</f>
        <v>1</v>
      </c>
      <c r="U2" s="117" t="s">
        <v>124</v>
      </c>
    </row>
    <row r="3" spans="1:21">
      <c r="A3" s="43" t="s">
        <v>216</v>
      </c>
      <c r="B3" s="43" t="s">
        <v>210</v>
      </c>
      <c r="C3" s="43">
        <v>45448</v>
      </c>
      <c r="D3" s="43" t="s">
        <v>211</v>
      </c>
      <c r="E3" s="43" t="s">
        <v>137</v>
      </c>
      <c r="F3" s="43">
        <v>284</v>
      </c>
      <c r="G3" s="43">
        <v>280</v>
      </c>
      <c r="H3" s="43">
        <v>0</v>
      </c>
      <c r="I3" s="43">
        <v>6</v>
      </c>
      <c r="J3" s="43">
        <v>0</v>
      </c>
      <c r="K3" s="43">
        <v>332</v>
      </c>
      <c r="R3">
        <f>IF(COUNTIF($C$2:C3, C3) = 1, 1, 0)</f>
        <v>1</v>
      </c>
      <c r="U3" s="112"/>
    </row>
    <row r="4" spans="1:21">
      <c r="A4" s="43" t="s">
        <v>220</v>
      </c>
      <c r="B4" s="43" t="s">
        <v>210</v>
      </c>
      <c r="C4" s="43">
        <v>45453</v>
      </c>
      <c r="D4" s="43" t="s">
        <v>211</v>
      </c>
      <c r="E4" s="43" t="s">
        <v>137</v>
      </c>
      <c r="F4" s="43">
        <v>299</v>
      </c>
      <c r="G4" s="43">
        <v>299</v>
      </c>
      <c r="H4" s="43">
        <v>0</v>
      </c>
      <c r="I4" s="43">
        <v>7</v>
      </c>
      <c r="J4" s="43">
        <v>0</v>
      </c>
      <c r="K4" s="43">
        <v>342</v>
      </c>
      <c r="M4" s="43">
        <v>1</v>
      </c>
      <c r="R4">
        <f>IF(COUNTIF($C$2:C4, C4) = 1, 1, 0)</f>
        <v>1</v>
      </c>
      <c r="U4" s="112"/>
    </row>
    <row r="5" spans="1:21">
      <c r="A5" s="43" t="s">
        <v>247</v>
      </c>
      <c r="B5" s="43" t="s">
        <v>210</v>
      </c>
      <c r="C5" s="43">
        <v>45454</v>
      </c>
      <c r="D5" s="43" t="s">
        <v>211</v>
      </c>
      <c r="E5" s="43" t="s">
        <v>137</v>
      </c>
      <c r="F5" s="43">
        <v>344</v>
      </c>
      <c r="G5" s="43">
        <v>344</v>
      </c>
      <c r="H5" s="43">
        <v>0</v>
      </c>
      <c r="I5" s="43">
        <v>2</v>
      </c>
      <c r="J5" s="43">
        <v>0</v>
      </c>
      <c r="K5" s="43">
        <v>405</v>
      </c>
      <c r="L5" s="43">
        <v>6</v>
      </c>
      <c r="R5">
        <f>IF(COUNTIF($C$2:C5, C5) = 1, 1, 0)</f>
        <v>1</v>
      </c>
      <c r="U5" s="112"/>
    </row>
    <row r="6" spans="1:21">
      <c r="A6" s="43" t="s">
        <v>224</v>
      </c>
      <c r="B6" s="43" t="s">
        <v>210</v>
      </c>
      <c r="C6" s="43">
        <v>45456</v>
      </c>
      <c r="D6" s="43" t="s">
        <v>211</v>
      </c>
      <c r="E6" s="43" t="s">
        <v>137</v>
      </c>
      <c r="F6" s="43">
        <v>279</v>
      </c>
      <c r="G6" s="43">
        <v>273</v>
      </c>
      <c r="H6" s="43">
        <v>0</v>
      </c>
      <c r="I6" s="43">
        <v>3</v>
      </c>
      <c r="J6" s="43">
        <v>0</v>
      </c>
      <c r="K6" s="43">
        <v>311</v>
      </c>
      <c r="R6">
        <f>IF(COUNTIF($C$2:C6, C6) = 1, 1, 0)</f>
        <v>1</v>
      </c>
      <c r="U6" s="112"/>
    </row>
    <row r="7" spans="1:21">
      <c r="A7" s="43" t="s">
        <v>248</v>
      </c>
      <c r="B7" s="43" t="s">
        <v>210</v>
      </c>
      <c r="C7" s="43">
        <v>45463</v>
      </c>
      <c r="D7" s="43" t="s">
        <v>211</v>
      </c>
      <c r="E7" s="43" t="s">
        <v>137</v>
      </c>
      <c r="F7" s="43">
        <v>434</v>
      </c>
      <c r="G7" s="43">
        <v>429</v>
      </c>
      <c r="H7" s="43">
        <v>0</v>
      </c>
      <c r="I7" s="43">
        <v>14</v>
      </c>
      <c r="J7" s="43">
        <v>0</v>
      </c>
      <c r="K7" s="43">
        <v>572</v>
      </c>
      <c r="L7" s="43">
        <v>25</v>
      </c>
      <c r="M7" s="43">
        <v>1</v>
      </c>
      <c r="R7">
        <f>IF(COUNTIF($C$2:C7, C7) = 1, 1, 0)</f>
        <v>1</v>
      </c>
      <c r="U7" s="112"/>
    </row>
    <row r="8" spans="1:21">
      <c r="A8" s="43" t="s">
        <v>249</v>
      </c>
      <c r="B8" s="43" t="s">
        <v>210</v>
      </c>
      <c r="C8" s="43">
        <v>45470</v>
      </c>
      <c r="D8" s="43" t="s">
        <v>211</v>
      </c>
      <c r="E8" s="43" t="s">
        <v>137</v>
      </c>
      <c r="F8" s="43">
        <v>415</v>
      </c>
      <c r="G8" s="43">
        <v>413</v>
      </c>
      <c r="H8" s="43">
        <v>0</v>
      </c>
      <c r="I8" s="43">
        <v>4</v>
      </c>
      <c r="J8" s="43">
        <v>0</v>
      </c>
      <c r="K8" s="43">
        <v>520</v>
      </c>
      <c r="L8" s="43">
        <v>10</v>
      </c>
      <c r="R8">
        <f>IF(COUNTIF($C$2:C8, C8) = 1, 1, 0)</f>
        <v>1</v>
      </c>
      <c r="U8" s="112"/>
    </row>
    <row r="9" spans="1:21">
      <c r="A9" s="43" t="s">
        <v>234</v>
      </c>
      <c r="B9" s="43" t="s">
        <v>210</v>
      </c>
      <c r="C9" s="43">
        <v>45471</v>
      </c>
      <c r="D9" s="43" t="s">
        <v>211</v>
      </c>
      <c r="E9" s="43" t="s">
        <v>137</v>
      </c>
      <c r="F9" s="43">
        <v>271</v>
      </c>
      <c r="G9" s="43">
        <v>271</v>
      </c>
      <c r="H9" s="43">
        <v>0</v>
      </c>
      <c r="I9" s="43">
        <v>15</v>
      </c>
      <c r="J9" s="43">
        <v>1</v>
      </c>
      <c r="K9" s="43">
        <v>350</v>
      </c>
      <c r="L9" s="43">
        <v>6</v>
      </c>
      <c r="N9" s="43">
        <v>4</v>
      </c>
      <c r="R9">
        <f>IF(COUNTIF($C$2:C9, C9) = 1, 1, 0)</f>
        <v>1</v>
      </c>
      <c r="U9" s="112"/>
    </row>
    <row r="10" spans="1:21">
      <c r="R10">
        <f>IF(COUNTIF($C$2:C10, C10) = 1, 1, 0)</f>
        <v>0</v>
      </c>
      <c r="U10" s="112"/>
    </row>
    <row r="11" spans="1:21">
      <c r="R11">
        <f>IF(COUNTIF($C$2:C11, C11) = 1, 1, 0)</f>
        <v>0</v>
      </c>
      <c r="U11" s="112"/>
    </row>
    <row r="12" spans="1:21">
      <c r="R12">
        <f>IF(COUNTIF($C$2:C12, C12) = 1, 1, 0)</f>
        <v>0</v>
      </c>
      <c r="U12" s="112"/>
    </row>
    <row r="13" spans="1:21">
      <c r="R13">
        <f>IF(COUNTIF($C$2:C13, C13) = 1, 1, 0)</f>
        <v>0</v>
      </c>
      <c r="U13" s="112"/>
    </row>
    <row r="14" spans="1:21">
      <c r="R14">
        <f>IF(COUNTIF($C$2:C14, C14) = 1, 1, 0)</f>
        <v>0</v>
      </c>
      <c r="U14" s="112"/>
    </row>
    <row r="15" spans="1:21">
      <c r="R15">
        <f>IF(COUNTIF($C$2:C15, C15) = 1, 1, 0)</f>
        <v>0</v>
      </c>
      <c r="U15" s="112"/>
    </row>
    <row r="16" spans="1:21">
      <c r="R16">
        <f>IF(COUNTIF($C$2:C16, C16) = 1, 1, 0)</f>
        <v>0</v>
      </c>
      <c r="U16" s="112"/>
    </row>
    <row r="17" spans="18:21">
      <c r="R17">
        <f>IF(COUNTIF($C$2:C17, C17) = 1, 1, 0)</f>
        <v>0</v>
      </c>
      <c r="U17" s="112"/>
    </row>
    <row r="18" spans="18:21">
      <c r="R18">
        <f>IF(COUNTIF($C$2:C18, C18) = 1, 1, 0)</f>
        <v>0</v>
      </c>
      <c r="U18" s="112"/>
    </row>
    <row r="19" spans="18:21">
      <c r="U19" s="112"/>
    </row>
    <row r="20" spans="18:21">
      <c r="U20" s="112"/>
    </row>
    <row r="21" spans="18:21">
      <c r="U21" s="112"/>
    </row>
    <row r="22" spans="18:21">
      <c r="U22" s="112"/>
    </row>
    <row r="23" spans="18:21">
      <c r="U23" s="112"/>
    </row>
    <row r="24" spans="18:21">
      <c r="U24" s="112"/>
    </row>
    <row r="25" spans="18:21">
      <c r="U25" s="112"/>
    </row>
    <row r="26" spans="18:21">
      <c r="U26" s="112"/>
    </row>
    <row r="27" spans="18:21">
      <c r="U27" s="112"/>
    </row>
    <row r="28" spans="18:21">
      <c r="U28" s="112"/>
    </row>
    <row r="29" spans="18:21">
      <c r="U29" s="112"/>
    </row>
    <row r="30" spans="18:21">
      <c r="U30" s="112"/>
    </row>
    <row r="31" spans="18:21">
      <c r="U31" s="112"/>
    </row>
    <row r="32" spans="18:21">
      <c r="U32" s="112"/>
    </row>
    <row r="33" spans="21:21">
      <c r="U33" s="112"/>
    </row>
    <row r="34" spans="21:21">
      <c r="U34" s="112"/>
    </row>
    <row r="35" spans="21:21">
      <c r="U35" s="112"/>
    </row>
    <row r="36" spans="21:21">
      <c r="U36" s="112"/>
    </row>
    <row r="37" spans="21:21">
      <c r="U37" s="112"/>
    </row>
    <row r="38" spans="21:21">
      <c r="U38" s="112"/>
    </row>
    <row r="39" spans="21:21">
      <c r="U39" s="112"/>
    </row>
    <row r="40" spans="21:21">
      <c r="U40" s="112"/>
    </row>
    <row r="41" spans="21:21">
      <c r="U41" s="112"/>
    </row>
    <row r="42" spans="21:21">
      <c r="U42" s="112"/>
    </row>
    <row r="43" spans="21:21">
      <c r="U43" s="112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theme="9" tint="0.79998168889431442"/>
  </sheetPr>
  <dimension ref="A1:Z75"/>
  <sheetViews>
    <sheetView topLeftCell="C1" zoomScaleNormal="100" workbookViewId="0">
      <selection activeCell="R6" sqref="R6"/>
    </sheetView>
  </sheetViews>
  <sheetFormatPr defaultColWidth="8.75" defaultRowHeight="16.5"/>
  <cols>
    <col min="1" max="5" width="18.5" style="63" customWidth="1"/>
    <col min="6" max="9" width="8.75" style="63"/>
    <col min="10" max="13" width="12.75" style="63" customWidth="1"/>
    <col min="14" max="16384" width="8.75" style="63"/>
  </cols>
  <sheetData>
    <row r="1" spans="1:26">
      <c r="A1" s="62" t="s">
        <v>62</v>
      </c>
      <c r="B1" s="62" t="s">
        <v>73</v>
      </c>
      <c r="C1" s="62" t="s">
        <v>176</v>
      </c>
      <c r="D1" s="62" t="s">
        <v>64</v>
      </c>
      <c r="E1" s="62" t="s">
        <v>65</v>
      </c>
      <c r="F1" s="62" t="s">
        <v>56</v>
      </c>
      <c r="G1" s="62" t="s">
        <v>66</v>
      </c>
    </row>
    <row r="2" spans="1:26" ht="17.25" thickBot="1">
      <c r="A2" s="105">
        <v>45078</v>
      </c>
      <c r="B2" s="84">
        <v>25330</v>
      </c>
      <c r="C2" s="84">
        <v>469</v>
      </c>
      <c r="D2" s="84">
        <v>5</v>
      </c>
      <c r="E2" s="84">
        <v>301819</v>
      </c>
      <c r="F2" s="84">
        <v>251</v>
      </c>
      <c r="G2" s="85">
        <v>3.1854287574416566E-4</v>
      </c>
    </row>
    <row r="3" spans="1:26">
      <c r="A3" s="100">
        <v>45108</v>
      </c>
      <c r="B3" s="64">
        <v>24784</v>
      </c>
      <c r="C3" s="64">
        <v>648</v>
      </c>
      <c r="D3" s="64">
        <v>14</v>
      </c>
      <c r="E3" s="64">
        <v>787963</v>
      </c>
      <c r="F3" s="64">
        <v>2050</v>
      </c>
      <c r="G3" s="65">
        <v>2.6016450010977674E-3</v>
      </c>
      <c r="I3" s="213" t="s">
        <v>59</v>
      </c>
      <c r="J3" s="214"/>
      <c r="K3" s="214"/>
      <c r="L3" s="214"/>
      <c r="M3" s="214"/>
      <c r="N3" s="214"/>
      <c r="O3" s="215"/>
      <c r="Q3" s="118" t="s">
        <v>125</v>
      </c>
    </row>
    <row r="4" spans="1:26">
      <c r="A4" s="100">
        <v>45139</v>
      </c>
      <c r="B4" s="64">
        <v>24120</v>
      </c>
      <c r="C4" s="64">
        <v>340</v>
      </c>
      <c r="D4" s="64">
        <v>17</v>
      </c>
      <c r="E4" s="64">
        <v>592629</v>
      </c>
      <c r="F4" s="64">
        <v>6971</v>
      </c>
      <c r="G4" s="65">
        <v>1.1762839820528526E-2</v>
      </c>
      <c r="I4" s="95" t="s">
        <v>11</v>
      </c>
      <c r="J4" s="94" t="s">
        <v>101</v>
      </c>
      <c r="K4" s="94" t="s">
        <v>176</v>
      </c>
      <c r="L4" s="94" t="s">
        <v>102</v>
      </c>
      <c r="M4" s="94" t="s">
        <v>70</v>
      </c>
      <c r="N4" s="94" t="s">
        <v>48</v>
      </c>
      <c r="O4" s="96" t="s">
        <v>103</v>
      </c>
      <c r="Q4" s="111"/>
    </row>
    <row r="5" spans="1:26" ht="17.25" thickBot="1">
      <c r="A5" s="100">
        <v>45170</v>
      </c>
      <c r="B5" s="64">
        <v>24351</v>
      </c>
      <c r="C5" s="64">
        <v>823</v>
      </c>
      <c r="D5" s="64">
        <v>14</v>
      </c>
      <c r="E5" s="64">
        <v>1575986</v>
      </c>
      <c r="F5" s="64">
        <v>15843</v>
      </c>
      <c r="G5" s="65">
        <v>1.0052754275735952E-2</v>
      </c>
      <c r="I5" s="98">
        <f>일일data!$A$4</f>
        <v>45444</v>
      </c>
      <c r="J5" s="68">
        <f>VLOOKUP(EOMONTH(일일data!$A$4,0),일일data!$A:$Z,21,FALSE)</f>
        <v>24386</v>
      </c>
      <c r="K5" s="68" cm="1">
        <f t="array" ref="K5">INDEX('구글시트 data'!O:O,COUNTA('구글시트 data'!O:O))</f>
        <v>337</v>
      </c>
      <c r="L5" s="68">
        <f>COUNTA('IG 콘텐츠 data'!A:A)-1</f>
        <v>9</v>
      </c>
      <c r="M5" s="68" cm="1">
        <f t="array" ref="M5">INDEX('구글시트 data'!H:H,COUNTA('구글시트 data'!H:H))</f>
        <v>165188</v>
      </c>
      <c r="N5" s="88">
        <v>10531</v>
      </c>
      <c r="O5" s="69">
        <f>N5/M5</f>
        <v>6.3751604232752987E-2</v>
      </c>
      <c r="Q5" s="111"/>
    </row>
    <row r="6" spans="1:26">
      <c r="A6" s="100" t="s">
        <v>113</v>
      </c>
      <c r="B6" s="64">
        <v>24169</v>
      </c>
      <c r="C6" s="64">
        <v>525</v>
      </c>
      <c r="D6" s="64">
        <v>16</v>
      </c>
      <c r="E6" s="64">
        <v>2154607</v>
      </c>
      <c r="F6" s="64">
        <v>26366</v>
      </c>
      <c r="G6" s="65">
        <v>1.2237034410451651E-2</v>
      </c>
      <c r="Q6" s="111"/>
      <c r="R6" s="219" t="str">
        <f>"팔로워 "&amp;TEXT(ABS(INDEX(B:B,COUNTA(B:B))-INDEX(B:B,COUNTA(B:B)-1)),"#,###")&amp;"명"&amp;CHAR(10)&amp;"("&amp;TEXT((INDEX(B:B,COUNTA(B:B))-INDEX(B:B,COUNTA(B:B)-1))/INDEX(B:B,COUNTA(B:B)-1),"0.##%")&amp;IF(INDEX(B:B,COUNTA(B:B))&gt;INDEX(B:B,COUNTA(B:B)-1),") 증가",") 감소")</f>
        <v>팔로워 47명
(-0.19%) 감소</v>
      </c>
    </row>
    <row r="7" spans="1:26">
      <c r="A7" s="100" t="s">
        <v>116</v>
      </c>
      <c r="B7" s="64">
        <v>24349</v>
      </c>
      <c r="C7" s="64">
        <v>720</v>
      </c>
      <c r="D7" s="64">
        <v>13</v>
      </c>
      <c r="E7" s="64">
        <v>707256</v>
      </c>
      <c r="F7" s="64">
        <v>19575</v>
      </c>
      <c r="G7" s="65">
        <v>2.767738979945027E-2</v>
      </c>
      <c r="J7" s="212" t="str">
        <f>IF(I5=INDEX(A:A,COUNTA(A:A)),"현재 장표 작업 완료, ppt에 아래 표 붙여넣으시오","위의 초록셀을 왼쪽 표에 값붙하시오")</f>
        <v>현재 장표 작업 완료, ppt에 아래 표 붙여넣으시오</v>
      </c>
      <c r="K7" s="212"/>
      <c r="L7" s="212"/>
      <c r="M7" s="212"/>
      <c r="Q7" s="111"/>
    </row>
    <row r="8" spans="1:26">
      <c r="A8" s="100">
        <v>45261</v>
      </c>
      <c r="B8" s="64">
        <v>24077</v>
      </c>
      <c r="C8" s="64">
        <v>205</v>
      </c>
      <c r="D8" s="64">
        <v>15</v>
      </c>
      <c r="E8" s="64">
        <v>389586</v>
      </c>
      <c r="F8" s="64">
        <v>9936</v>
      </c>
      <c r="G8" s="65">
        <v>2.5503996550184042E-2</v>
      </c>
      <c r="Q8" s="111"/>
    </row>
    <row r="9" spans="1:26">
      <c r="A9" s="100">
        <v>45292</v>
      </c>
      <c r="B9" s="64">
        <v>23803</v>
      </c>
      <c r="C9" s="64">
        <v>184</v>
      </c>
      <c r="D9" s="64">
        <v>16</v>
      </c>
      <c r="E9" s="64">
        <v>339172</v>
      </c>
      <c r="F9" s="64">
        <v>14189</v>
      </c>
      <c r="G9" s="65">
        <v>4.1834231599306548E-2</v>
      </c>
      <c r="Q9" s="111"/>
      <c r="R9" s="63" t="str" cm="1">
        <f t="array" ref="R9">MONTH(INDEX(A:A,COUNTA(A:A)))+1&amp;"월 1일 기준 팬 수 "&amp;TEXT(INDEX(B:B,COUNTA(B:B)),"#,###")&amp;"명으로 전월 대비 "&amp;IF(INDEX(B:B,COUNTA(B:B))&gt;INDEX(B:B,COUNTA(B:B)-1),TEXT(ABS((INDEX(B:B,COUNTA(B:B))-INDEX(B:B,COUNTA(B:B)-1))/INDEX(B:B,COUNTA(B:B)-1)),"0.00%")&amp;" 증가",TEXT(ABS((INDEX(B:B,COUNTA(B:B))-INDEX(B:B,COUNTA(B:B)-1))/INDEX(B:B,COUNTA(B:B)-1)),"0.00%")&amp;" 감소")</f>
        <v>7월 1일 기준 팬 수 24,386명으로 전월 대비 0.19% 감소</v>
      </c>
    </row>
    <row r="10" spans="1:26">
      <c r="A10" s="100">
        <v>45323</v>
      </c>
      <c r="B10" s="64">
        <v>23534</v>
      </c>
      <c r="C10" s="64">
        <v>156</v>
      </c>
      <c r="D10" s="64">
        <v>10</v>
      </c>
      <c r="E10" s="64">
        <v>157953</v>
      </c>
      <c r="F10" s="64">
        <v>7821</v>
      </c>
      <c r="G10" s="65">
        <v>4.9514729064975026E-2</v>
      </c>
      <c r="J10" s="208" t="s">
        <v>67</v>
      </c>
      <c r="K10" s="208"/>
      <c r="L10" s="208"/>
      <c r="M10" s="208"/>
      <c r="Q10" s="111"/>
      <c r="R10" s="63" t="str" cm="1">
        <f t="array" ref="R10">"신규 팔로워 "&amp;TEXT(L13,"#,###")&amp;"로 전월 대비 "&amp;IF(L13&gt;=K13,TEXT((L13-K13)/K13,"#.#0%")&amp;" 증가",TEXT(ABS((L13-K13)/K13),"#.#0%")&amp;" 감소")&amp;", 팔로워 이탈 "&amp;INDEX('구글시트 data'!Q:Q,COUNTA('구글시트 data'!Q:Q))&amp;"로 전월 대비 "&amp;IF(INDEX('구글시트 data'!Q:Q,COUNTA('구글시트 data'!Q:Q))&gt;INDEX('구글시트 data'!Q:Q,COUNTA('구글시트 data'!Q:Q)-1),TEXT((INDEX('구글시트 data'!Q:Q,COUNTA('구글시트 data'!Q:Q))-INDEX('구글시트 data'!Q:Q,COUNTA('구글시트 data'!Q:Q)-1))/INDEX('구글시트 data'!Q:Q,COUNTA('구글시트 data'!Q:Q)-1),"#.#0%")&amp;" 증가",TEXT(ABS((INDEX('구글시트 data'!Q:Q,COUNTA('구글시트 data'!Q:Q))-INDEX('구글시트 data'!Q:Q,COUNTA('구글시트 data'!Q:Q)-1))/INDEX('구글시트 data'!Q:Q,COUNTA('구글시트 data'!Q:Q)-1)),"#.#0%")&amp;" 감소")</f>
        <v>신규 팔로워 337로 전월 대비 55.25% 감소, 팔로워 이탈 366로 전월 대비 21.29% 감소</v>
      </c>
    </row>
    <row r="11" spans="1:26">
      <c r="A11" s="100">
        <v>45352</v>
      </c>
      <c r="B11" s="64">
        <v>24159</v>
      </c>
      <c r="C11" s="64">
        <v>1071</v>
      </c>
      <c r="D11" s="64">
        <v>11</v>
      </c>
      <c r="E11" s="64">
        <v>151612</v>
      </c>
      <c r="F11" s="64">
        <v>9364</v>
      </c>
      <c r="G11" s="65">
        <v>6.1762921140806795E-2</v>
      </c>
      <c r="J11" s="71" t="s">
        <v>126</v>
      </c>
      <c r="K11" s="107">
        <f>INDEX(A:A,COUNTA(B:B)-1)</f>
        <v>45413</v>
      </c>
      <c r="L11" s="107">
        <f>INDEX(A:A,COUNTA(B:B))</f>
        <v>45444</v>
      </c>
      <c r="M11" s="70" t="s">
        <v>72</v>
      </c>
      <c r="Q11" s="111"/>
      <c r="R11" s="63" t="str">
        <f>"포스팅 발행 수 "&amp;TEXT(L14,"#,###")&amp;"로 전월 대비 "&amp;IF(L14&gt;=K14,TEXT((L14-K14)/K14,"#.#0%")&amp;" 증가",TEXT(ABS((L14-K14)/K14),"#.#0%")&amp;" 감소")</f>
        <v>포스팅 발행 수 9로 전월 대비 18.18% 감소</v>
      </c>
    </row>
    <row r="12" spans="1:26">
      <c r="A12" s="100">
        <v>45383</v>
      </c>
      <c r="B12" s="64">
        <v>24029</v>
      </c>
      <c r="C12" s="64">
        <v>353</v>
      </c>
      <c r="D12" s="64">
        <v>11</v>
      </c>
      <c r="E12" s="64">
        <v>126532</v>
      </c>
      <c r="F12" s="64">
        <v>7486</v>
      </c>
      <c r="G12" s="65">
        <v>5.9162899503682864E-2</v>
      </c>
      <c r="J12" s="71" t="s">
        <v>79</v>
      </c>
      <c r="K12" s="72">
        <f>INDEX(B:B,COUNTA(B:B)-1)</f>
        <v>24433</v>
      </c>
      <c r="L12" s="72">
        <f>INDEX(B:B,COUNTA(B:B))</f>
        <v>24386</v>
      </c>
      <c r="M12" s="72" t="str">
        <f>IF(K12&gt;L12,"▼ "&amp;TEXT(ABS((L12-K12)/K12),"0.00%"),"▲ "&amp;TEXT(ABS((L12-K12)/K12),"0.00%"))</f>
        <v>▼ 0.19%</v>
      </c>
      <c r="P12" s="66"/>
      <c r="Q12" s="111"/>
      <c r="R12" s="63" t="str">
        <f>"콘텐츠 도달 "&amp;TEXT(L15,"#,###")&amp;"로 전월 대비 "&amp;IF(L15&gt;=K15,TEXT((L15-K15)/K15,"#.#0%")&amp;" 증가",TEXT(ABS((L15-K15)/K15),"#.#0%")&amp;" 감소")</f>
        <v>콘텐츠 도달 165,188로 전월 대비 73.11% 증가</v>
      </c>
    </row>
    <row r="13" spans="1:26">
      <c r="A13" s="100">
        <v>45413</v>
      </c>
      <c r="B13" s="64">
        <v>24433</v>
      </c>
      <c r="C13" s="64">
        <v>753</v>
      </c>
      <c r="D13" s="64">
        <v>11</v>
      </c>
      <c r="E13" s="64">
        <v>95424</v>
      </c>
      <c r="F13" s="64">
        <v>13330</v>
      </c>
      <c r="G13" s="65">
        <v>0.13969232059020792</v>
      </c>
      <c r="J13" s="71" t="s">
        <v>176</v>
      </c>
      <c r="K13" s="72">
        <f>INDEX(C:C,COUNTA(C:C)-1)</f>
        <v>753</v>
      </c>
      <c r="L13" s="72">
        <f>INDEX(C:C,COUNTA(C:C))</f>
        <v>337</v>
      </c>
      <c r="M13" s="72" t="str">
        <f>IF(K13&gt;L13,"▼ "&amp;TEXT(ABS((L13-K13)/K13),"0.00%"),"▲ "&amp;TEXT(ABS((L13-K13)/K13),"0.00%"))</f>
        <v>▼ 55.25%</v>
      </c>
      <c r="P13" s="66"/>
      <c r="Q13" s="111"/>
      <c r="R13" s="63" t="str">
        <f>"콘텐츠 참여 "&amp;TEXT(L16,"#,###")&amp;"로 전월 대비 "&amp;IF(L16&gt;=K16,TEXT((L16-K16)/K16,"#.#0%")&amp;" 증가",TEXT(ABS((L16-K16)/K16),"#.#0%")&amp;" 감소")</f>
        <v>콘텐츠 참여 10,531로 전월 대비 21.0% 감소</v>
      </c>
    </row>
    <row r="14" spans="1:26">
      <c r="A14" s="100">
        <v>45444</v>
      </c>
      <c r="B14" s="64">
        <v>24386</v>
      </c>
      <c r="C14" s="64">
        <v>337</v>
      </c>
      <c r="D14" s="64">
        <v>9</v>
      </c>
      <c r="E14" s="64">
        <v>165188</v>
      </c>
      <c r="F14" s="64">
        <v>10531</v>
      </c>
      <c r="G14" s="65">
        <v>6.3751604232752987E-2</v>
      </c>
      <c r="J14" s="71" t="s">
        <v>17</v>
      </c>
      <c r="K14" s="73">
        <f>INDEX(D:D,COUNTA(D:D)-1)</f>
        <v>11</v>
      </c>
      <c r="L14" s="72">
        <f>INDEX(D:D,COUNTA(D:D))</f>
        <v>9</v>
      </c>
      <c r="M14" s="72" t="str">
        <f t="shared" ref="M14:M16" si="0">IF(K14&gt;L14,"▼ "&amp;TEXT(ABS((L14-K14)/K14),"0.00%"),"▲ "&amp;TEXT(ABS((L14-K14)/K14),"0.00%"))</f>
        <v>▼ 18.18%</v>
      </c>
      <c r="P14" s="66"/>
      <c r="Q14" s="111"/>
      <c r="R14" s="63" t="str">
        <f>"콘텐츠 평균 도달 "&amp;TEXT(L15/L14,"#,###")&amp;"으로 전월 대비 "&amp;IF(L15/L14&gt;K15/K14,TEXT(((L15/L14-K15/K14)/(K15/K14)),"#.##%")&amp;" 증가",TEXT(ABS((L15/L14-K15/K14)/(K15/K14)),"#.##%")&amp;" 감소")</f>
        <v>콘텐츠 평균 도달 18,354으로 전월 대비 111.58% 증가</v>
      </c>
    </row>
    <row r="15" spans="1:26">
      <c r="A15" s="100"/>
      <c r="B15" s="64"/>
      <c r="C15" s="64"/>
      <c r="D15" s="64"/>
      <c r="E15" s="64"/>
      <c r="F15" s="64"/>
      <c r="G15" s="65"/>
      <c r="J15" s="71" t="s">
        <v>18</v>
      </c>
      <c r="K15" s="72">
        <f>INDEX(E:E,COUNTA(D:D)-1)</f>
        <v>95424</v>
      </c>
      <c r="L15" s="72">
        <f>INDEX(E:E,COUNTA(D:D))</f>
        <v>165188</v>
      </c>
      <c r="M15" s="72" t="str">
        <f t="shared" si="0"/>
        <v>▲ 73.11%</v>
      </c>
      <c r="P15" s="66"/>
      <c r="Q15" s="111"/>
      <c r="Z15" s="119"/>
    </row>
    <row r="16" spans="1:26">
      <c r="A16" s="100"/>
      <c r="B16" s="64"/>
      <c r="C16" s="64"/>
      <c r="D16" s="64"/>
      <c r="E16" s="64"/>
      <c r="F16" s="64"/>
      <c r="G16" s="65"/>
      <c r="J16" s="71" t="s">
        <v>60</v>
      </c>
      <c r="K16" s="72">
        <f>INDEX(F:F,COUNTA(D:D)-1)</f>
        <v>13330</v>
      </c>
      <c r="L16" s="72">
        <f>INDEX(F:F,COUNTA(D:D))</f>
        <v>10531</v>
      </c>
      <c r="M16" s="72" t="str">
        <f t="shared" si="0"/>
        <v>▼ 21.00%</v>
      </c>
      <c r="P16" s="66"/>
      <c r="Q16" s="111"/>
    </row>
    <row r="17" spans="1:17">
      <c r="A17" s="100"/>
      <c r="B17" s="64"/>
      <c r="C17" s="64"/>
      <c r="D17" s="64"/>
      <c r="E17" s="64"/>
      <c r="F17" s="64"/>
      <c r="G17" s="65"/>
      <c r="J17" s="71" t="s">
        <v>61</v>
      </c>
      <c r="K17" s="74">
        <f>INDEX(G:G,COUNTA(D:D)-1)</f>
        <v>0.13969232059020792</v>
      </c>
      <c r="L17" s="74">
        <f>INDEX(G:G,COUNTA(D:D))</f>
        <v>6.3751604232752987E-2</v>
      </c>
      <c r="M17" s="72" t="str">
        <f>IF(K17&gt;L17,"▼ "&amp;TEXT(100*ABS(L17-K17),"0.00")&amp;"%p","▲ "&amp;TEXT(100*ABS(L17-K17),"0.00")&amp;"%p")</f>
        <v>▼ 7.59%p</v>
      </c>
      <c r="P17" s="66"/>
      <c r="Q17" s="111"/>
    </row>
    <row r="18" spans="1:17">
      <c r="A18" s="100"/>
      <c r="B18" s="64"/>
      <c r="C18" s="64"/>
      <c r="D18" s="64"/>
      <c r="E18" s="64"/>
      <c r="F18" s="64"/>
      <c r="G18" s="65"/>
      <c r="J18" s="67"/>
      <c r="Q18" s="111"/>
    </row>
    <row r="19" spans="1:17">
      <c r="A19" s="100"/>
      <c r="B19" s="64"/>
      <c r="C19" s="64"/>
      <c r="D19" s="64"/>
      <c r="E19" s="64"/>
      <c r="F19" s="64"/>
      <c r="G19" s="65"/>
      <c r="Q19" s="111"/>
    </row>
    <row r="20" spans="1:17">
      <c r="A20" s="100"/>
      <c r="B20" s="64"/>
      <c r="C20" s="64"/>
      <c r="D20" s="64"/>
      <c r="E20" s="64"/>
      <c r="F20" s="64"/>
      <c r="G20" s="65"/>
      <c r="Q20" s="111"/>
    </row>
    <row r="21" spans="1:17">
      <c r="A21" s="100"/>
      <c r="B21" s="64"/>
      <c r="C21" s="64"/>
      <c r="D21" s="64"/>
      <c r="E21" s="64"/>
      <c r="F21" s="64"/>
      <c r="G21" s="65"/>
      <c r="Q21" s="111"/>
    </row>
    <row r="22" spans="1:17">
      <c r="A22" s="100"/>
      <c r="B22" s="64"/>
      <c r="C22" s="64"/>
      <c r="D22" s="64"/>
      <c r="E22" s="64"/>
      <c r="F22" s="64"/>
      <c r="G22" s="65"/>
      <c r="Q22" s="111"/>
    </row>
    <row r="23" spans="1:17">
      <c r="A23" s="100"/>
      <c r="B23" s="64"/>
      <c r="C23" s="64"/>
      <c r="D23" s="64"/>
      <c r="E23" s="64"/>
      <c r="F23" s="64"/>
      <c r="G23" s="65"/>
      <c r="Q23" s="111"/>
    </row>
    <row r="24" spans="1:17">
      <c r="A24" s="100"/>
      <c r="B24" s="64"/>
      <c r="C24" s="64"/>
      <c r="D24" s="64"/>
      <c r="E24" s="64"/>
      <c r="F24" s="64"/>
      <c r="G24" s="65"/>
      <c r="Q24" s="111"/>
    </row>
    <row r="25" spans="1:17">
      <c r="A25" s="100"/>
      <c r="B25" s="64"/>
      <c r="C25" s="64"/>
      <c r="D25" s="64"/>
      <c r="E25" s="64"/>
      <c r="F25" s="64"/>
      <c r="G25" s="65"/>
      <c r="Q25" s="111"/>
    </row>
    <row r="26" spans="1:17">
      <c r="A26" s="100"/>
      <c r="B26" s="64"/>
      <c r="C26" s="64"/>
      <c r="D26" s="64"/>
      <c r="E26" s="64"/>
      <c r="F26" s="64"/>
      <c r="G26" s="65"/>
      <c r="Q26" s="111"/>
    </row>
    <row r="27" spans="1:17">
      <c r="A27" s="100"/>
      <c r="B27" s="64"/>
      <c r="C27" s="64"/>
      <c r="D27" s="64"/>
      <c r="E27" s="64"/>
      <c r="F27" s="64"/>
      <c r="G27" s="65"/>
      <c r="Q27" s="111"/>
    </row>
    <row r="28" spans="1:17">
      <c r="A28" s="100"/>
      <c r="B28" s="64"/>
      <c r="C28" s="64"/>
      <c r="D28" s="64"/>
      <c r="E28" s="64"/>
      <c r="F28" s="64"/>
      <c r="G28" s="65"/>
      <c r="Q28" s="111"/>
    </row>
    <row r="29" spans="1:17">
      <c r="A29" s="100"/>
      <c r="B29" s="64"/>
      <c r="C29" s="64"/>
      <c r="D29" s="64"/>
      <c r="E29" s="64"/>
      <c r="F29" s="64"/>
      <c r="G29" s="65"/>
      <c r="Q29" s="111"/>
    </row>
    <row r="30" spans="1:17">
      <c r="A30" s="100"/>
      <c r="B30" s="64"/>
      <c r="C30" s="64"/>
      <c r="D30" s="64"/>
      <c r="E30" s="64"/>
      <c r="F30" s="64"/>
      <c r="G30" s="65"/>
      <c r="Q30" s="111"/>
    </row>
    <row r="31" spans="1:17">
      <c r="A31" s="100"/>
      <c r="B31" s="64"/>
      <c r="C31" s="64"/>
      <c r="D31" s="64"/>
      <c r="E31" s="64"/>
      <c r="F31" s="64"/>
      <c r="G31" s="65"/>
      <c r="Q31" s="111"/>
    </row>
    <row r="32" spans="1:17">
      <c r="A32" s="100"/>
      <c r="B32" s="64"/>
      <c r="C32" s="64"/>
      <c r="D32" s="64"/>
      <c r="E32" s="64"/>
      <c r="F32" s="64"/>
      <c r="G32" s="65"/>
      <c r="Q32" s="111"/>
    </row>
    <row r="33" spans="1:17">
      <c r="A33" s="100"/>
      <c r="B33" s="64"/>
      <c r="C33" s="64"/>
      <c r="D33" s="64"/>
      <c r="E33" s="64"/>
      <c r="F33" s="64"/>
      <c r="G33" s="65"/>
      <c r="Q33" s="111"/>
    </row>
    <row r="34" spans="1:17">
      <c r="A34" s="100"/>
      <c r="B34" s="64"/>
      <c r="C34" s="64"/>
      <c r="D34" s="64"/>
      <c r="E34" s="64"/>
      <c r="F34" s="64"/>
      <c r="G34" s="65"/>
      <c r="Q34" s="111"/>
    </row>
    <row r="35" spans="1:17">
      <c r="A35" s="100"/>
      <c r="B35" s="64"/>
      <c r="C35" s="64"/>
      <c r="D35" s="64"/>
      <c r="E35" s="64"/>
      <c r="F35" s="64"/>
      <c r="G35" s="65"/>
      <c r="Q35" s="111"/>
    </row>
    <row r="36" spans="1:17">
      <c r="A36" s="100"/>
      <c r="B36" s="64"/>
      <c r="C36" s="64"/>
      <c r="D36" s="64"/>
      <c r="E36" s="64"/>
      <c r="F36" s="64"/>
      <c r="G36" s="65"/>
      <c r="Q36" s="111"/>
    </row>
    <row r="37" spans="1:17">
      <c r="A37" s="100"/>
      <c r="B37" s="64"/>
      <c r="C37" s="64"/>
      <c r="D37" s="64"/>
      <c r="E37" s="64"/>
      <c r="F37" s="64"/>
      <c r="G37" s="65"/>
      <c r="Q37" s="111"/>
    </row>
    <row r="38" spans="1:17">
      <c r="A38" s="100"/>
      <c r="B38" s="64"/>
      <c r="C38" s="64"/>
      <c r="D38" s="64"/>
      <c r="E38" s="64"/>
      <c r="F38" s="64"/>
      <c r="G38" s="65"/>
      <c r="Q38" s="111"/>
    </row>
    <row r="39" spans="1:17">
      <c r="A39" s="100"/>
      <c r="B39" s="64"/>
      <c r="C39" s="64"/>
      <c r="D39" s="64"/>
      <c r="E39" s="64"/>
      <c r="F39" s="64"/>
      <c r="G39" s="65"/>
      <c r="Q39" s="111"/>
    </row>
    <row r="40" spans="1:17">
      <c r="A40" s="100"/>
      <c r="B40" s="64"/>
      <c r="C40" s="64"/>
      <c r="D40" s="64"/>
      <c r="E40" s="64"/>
      <c r="F40" s="64"/>
      <c r="G40" s="65"/>
      <c r="Q40" s="111"/>
    </row>
    <row r="41" spans="1:17">
      <c r="A41" s="100"/>
      <c r="B41" s="64"/>
      <c r="C41" s="64"/>
      <c r="D41" s="64"/>
      <c r="E41" s="64"/>
      <c r="F41" s="64"/>
      <c r="G41" s="65"/>
      <c r="Q41" s="111"/>
    </row>
    <row r="42" spans="1:17">
      <c r="A42" s="100"/>
      <c r="B42" s="64"/>
      <c r="C42" s="64"/>
      <c r="D42" s="64"/>
      <c r="E42" s="64"/>
      <c r="F42" s="64"/>
      <c r="G42" s="65"/>
      <c r="Q42" s="111"/>
    </row>
    <row r="43" spans="1:17">
      <c r="A43" s="100"/>
      <c r="B43" s="64"/>
      <c r="C43" s="64"/>
      <c r="D43" s="64"/>
      <c r="E43" s="64"/>
      <c r="F43" s="64"/>
      <c r="G43" s="65"/>
      <c r="Q43" s="111"/>
    </row>
    <row r="44" spans="1:17">
      <c r="A44" s="100"/>
      <c r="B44" s="64"/>
      <c r="C44" s="64"/>
      <c r="D44" s="64"/>
      <c r="E44" s="64"/>
      <c r="F44" s="64"/>
      <c r="G44" s="65"/>
      <c r="Q44" s="111"/>
    </row>
    <row r="45" spans="1:17">
      <c r="A45" s="100"/>
      <c r="B45" s="64"/>
      <c r="C45" s="64"/>
      <c r="D45" s="64"/>
      <c r="E45" s="64"/>
      <c r="F45" s="64"/>
      <c r="G45" s="65"/>
      <c r="Q45" s="111"/>
    </row>
    <row r="46" spans="1:17">
      <c r="A46" s="100"/>
      <c r="B46" s="64"/>
      <c r="C46" s="64"/>
      <c r="D46" s="64"/>
      <c r="E46" s="64"/>
      <c r="F46" s="64"/>
      <c r="G46" s="65"/>
      <c r="Q46" s="111"/>
    </row>
    <row r="47" spans="1:17">
      <c r="A47" s="100"/>
      <c r="B47" s="64"/>
      <c r="C47" s="64"/>
      <c r="D47" s="64"/>
      <c r="E47" s="64"/>
      <c r="F47" s="64"/>
      <c r="G47" s="65"/>
      <c r="Q47" s="111"/>
    </row>
    <row r="48" spans="1:17">
      <c r="A48" s="100"/>
      <c r="B48" s="64"/>
      <c r="C48" s="64"/>
      <c r="D48" s="64"/>
      <c r="E48" s="64"/>
      <c r="F48" s="64"/>
      <c r="G48" s="65"/>
      <c r="Q48" s="111"/>
    </row>
    <row r="49" spans="1:17">
      <c r="A49" s="100"/>
      <c r="B49" s="64"/>
      <c r="C49" s="64"/>
      <c r="D49" s="64"/>
      <c r="E49" s="64"/>
      <c r="F49" s="64"/>
      <c r="G49" s="65"/>
      <c r="Q49" s="111"/>
    </row>
    <row r="50" spans="1:17">
      <c r="A50" s="100"/>
      <c r="B50" s="64"/>
      <c r="C50" s="64"/>
      <c r="D50" s="64"/>
      <c r="E50" s="64"/>
      <c r="F50" s="64"/>
      <c r="G50" s="65"/>
      <c r="Q50" s="111"/>
    </row>
    <row r="51" spans="1:17">
      <c r="A51" s="100"/>
      <c r="B51" s="64"/>
      <c r="C51" s="64"/>
      <c r="D51" s="64"/>
      <c r="E51" s="64"/>
      <c r="F51" s="64"/>
      <c r="G51" s="65"/>
      <c r="Q51" s="111"/>
    </row>
    <row r="52" spans="1:17">
      <c r="A52" s="100"/>
      <c r="B52" s="64"/>
      <c r="C52" s="64"/>
      <c r="D52" s="64"/>
      <c r="E52" s="64"/>
      <c r="F52" s="64"/>
      <c r="G52" s="65"/>
      <c r="Q52" s="111"/>
    </row>
    <row r="53" spans="1:17">
      <c r="A53" s="100"/>
      <c r="B53" s="64"/>
      <c r="C53" s="64"/>
      <c r="D53" s="64"/>
      <c r="E53" s="64"/>
      <c r="F53" s="64"/>
      <c r="G53" s="65"/>
      <c r="Q53" s="111"/>
    </row>
    <row r="54" spans="1:17">
      <c r="A54" s="100"/>
      <c r="B54" s="64"/>
      <c r="C54" s="64"/>
      <c r="D54" s="64"/>
      <c r="E54" s="64"/>
      <c r="F54" s="64"/>
      <c r="G54" s="65"/>
      <c r="Q54" s="111"/>
    </row>
    <row r="55" spans="1:17">
      <c r="A55" s="100"/>
      <c r="B55" s="64"/>
      <c r="C55" s="64"/>
      <c r="D55" s="64"/>
      <c r="E55" s="64"/>
      <c r="F55" s="64"/>
      <c r="G55" s="65"/>
      <c r="Q55" s="111"/>
    </row>
    <row r="56" spans="1:17">
      <c r="A56" s="100"/>
      <c r="B56" s="64"/>
      <c r="C56" s="64"/>
      <c r="D56" s="64"/>
      <c r="E56" s="64"/>
      <c r="F56" s="64"/>
      <c r="G56" s="65"/>
      <c r="Q56" s="111"/>
    </row>
    <row r="57" spans="1:17">
      <c r="A57" s="100"/>
      <c r="B57" s="64"/>
      <c r="C57" s="64"/>
      <c r="D57" s="64"/>
      <c r="E57" s="64"/>
      <c r="F57" s="64"/>
      <c r="G57" s="65"/>
      <c r="Q57" s="111"/>
    </row>
    <row r="58" spans="1:17">
      <c r="A58" s="100"/>
      <c r="B58" s="64"/>
      <c r="C58" s="64"/>
      <c r="D58" s="64"/>
      <c r="E58" s="64"/>
      <c r="F58" s="64"/>
      <c r="G58" s="65"/>
      <c r="Q58" s="111"/>
    </row>
    <row r="59" spans="1:17">
      <c r="A59" s="100"/>
      <c r="B59" s="64"/>
      <c r="C59" s="64"/>
      <c r="D59" s="64"/>
      <c r="E59" s="64"/>
      <c r="F59" s="64"/>
      <c r="G59" s="65"/>
      <c r="Q59" s="111"/>
    </row>
    <row r="60" spans="1:17">
      <c r="A60" s="100"/>
      <c r="B60" s="64"/>
      <c r="C60" s="64"/>
      <c r="D60" s="64"/>
      <c r="E60" s="64"/>
      <c r="F60" s="64"/>
      <c r="G60" s="65"/>
      <c r="Q60" s="111"/>
    </row>
    <row r="61" spans="1:17">
      <c r="A61" s="100"/>
      <c r="B61" s="64"/>
      <c r="C61" s="64"/>
      <c r="D61" s="64"/>
      <c r="E61" s="64"/>
      <c r="F61" s="64"/>
      <c r="G61" s="65"/>
      <c r="Q61" s="111"/>
    </row>
    <row r="62" spans="1:17">
      <c r="A62" s="100"/>
      <c r="B62" s="64"/>
      <c r="C62" s="64"/>
      <c r="D62" s="64"/>
      <c r="E62" s="64"/>
      <c r="F62" s="64"/>
      <c r="G62" s="65"/>
      <c r="Q62" s="111"/>
    </row>
    <row r="63" spans="1:17">
      <c r="A63" s="100"/>
      <c r="B63" s="64"/>
      <c r="C63" s="64"/>
      <c r="D63" s="64"/>
      <c r="E63" s="64"/>
      <c r="F63" s="64"/>
      <c r="G63" s="65"/>
      <c r="Q63" s="111"/>
    </row>
    <row r="64" spans="1:17">
      <c r="A64" s="100"/>
      <c r="B64" s="64"/>
      <c r="C64" s="64"/>
      <c r="D64" s="64"/>
      <c r="E64" s="64"/>
      <c r="F64" s="64"/>
      <c r="G64" s="65"/>
      <c r="Q64" s="111"/>
    </row>
    <row r="65" spans="1:17">
      <c r="A65" s="100"/>
      <c r="B65" s="64"/>
      <c r="C65" s="64"/>
      <c r="D65" s="64"/>
      <c r="E65" s="64"/>
      <c r="F65" s="64"/>
      <c r="G65" s="65"/>
      <c r="Q65" s="111"/>
    </row>
    <row r="66" spans="1:17">
      <c r="A66" s="100"/>
      <c r="B66" s="64"/>
      <c r="C66" s="64"/>
      <c r="D66" s="64"/>
      <c r="E66" s="64"/>
      <c r="F66" s="64"/>
      <c r="G66" s="65"/>
      <c r="Q66" s="111"/>
    </row>
    <row r="67" spans="1:17">
      <c r="A67" s="100"/>
      <c r="B67" s="64"/>
      <c r="C67" s="64"/>
      <c r="D67" s="64"/>
      <c r="E67" s="64"/>
      <c r="F67" s="64"/>
      <c r="G67" s="65"/>
      <c r="Q67" s="111"/>
    </row>
    <row r="68" spans="1:17">
      <c r="A68" s="100"/>
      <c r="B68" s="64"/>
      <c r="C68" s="64"/>
      <c r="D68" s="64"/>
      <c r="E68" s="64"/>
      <c r="F68" s="64"/>
      <c r="G68" s="65"/>
      <c r="Q68" s="111"/>
    </row>
    <row r="69" spans="1:17">
      <c r="A69" s="100"/>
      <c r="B69" s="64"/>
      <c r="C69" s="64"/>
      <c r="D69" s="64"/>
      <c r="E69" s="64"/>
      <c r="F69" s="64"/>
      <c r="G69" s="65"/>
      <c r="Q69" s="111"/>
    </row>
    <row r="70" spans="1:17">
      <c r="A70" s="100"/>
      <c r="B70" s="64"/>
      <c r="C70" s="64"/>
      <c r="D70" s="64"/>
      <c r="E70" s="64"/>
      <c r="F70" s="64"/>
      <c r="G70" s="65"/>
    </row>
    <row r="71" spans="1:17">
      <c r="A71" s="100"/>
      <c r="B71" s="64"/>
      <c r="C71" s="64"/>
      <c r="D71" s="64"/>
      <c r="E71" s="64"/>
      <c r="F71" s="64"/>
      <c r="G71" s="65"/>
    </row>
    <row r="72" spans="1:17">
      <c r="A72" s="100"/>
      <c r="B72" s="64"/>
      <c r="C72" s="64"/>
      <c r="D72" s="64"/>
      <c r="E72" s="64"/>
      <c r="F72" s="64"/>
      <c r="G72" s="65"/>
    </row>
    <row r="73" spans="1:17">
      <c r="A73" s="100"/>
      <c r="B73" s="64"/>
      <c r="C73" s="64"/>
      <c r="D73" s="64"/>
      <c r="E73" s="64"/>
      <c r="F73" s="64"/>
      <c r="G73" s="65"/>
    </row>
    <row r="74" spans="1:17">
      <c r="A74" s="100"/>
      <c r="B74" s="64"/>
      <c r="C74" s="64"/>
      <c r="D74" s="64"/>
      <c r="E74" s="64"/>
      <c r="F74" s="64"/>
      <c r="G74" s="65"/>
    </row>
    <row r="75" spans="1:17">
      <c r="A75" s="100"/>
      <c r="B75" s="64"/>
      <c r="C75" s="64"/>
      <c r="D75" s="64"/>
      <c r="E75" s="64"/>
      <c r="F75" s="64"/>
      <c r="G75" s="65"/>
    </row>
  </sheetData>
  <mergeCells count="3">
    <mergeCell ref="J7:M7"/>
    <mergeCell ref="J10:M10"/>
    <mergeCell ref="I3:O3"/>
  </mergeCells>
  <phoneticPr fontId="1" type="noConversion"/>
  <conditionalFormatting sqref="J7:M7">
    <cfRule type="containsText" dxfId="1" priority="1" operator="containsText" text="값붙">
      <formula>NOT(ISERROR(SEARCH("값붙",J7)))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tabColor theme="9" tint="0.79998168889431442"/>
  </sheetPr>
  <dimension ref="A1:X42"/>
  <sheetViews>
    <sheetView tabSelected="1" topLeftCell="B1" workbookViewId="0">
      <selection activeCell="S11" sqref="A11:XFD11"/>
    </sheetView>
  </sheetViews>
  <sheetFormatPr defaultRowHeight="16.5"/>
  <cols>
    <col min="1" max="1" width="8.75"/>
    <col min="2" max="2" width="10" customWidth="1"/>
    <col min="3" max="3" width="9.25" customWidth="1"/>
    <col min="4" max="4" width="52.75" customWidth="1"/>
    <col min="12" max="15" width="9" customWidth="1"/>
    <col min="16" max="16" width="10.625" customWidth="1"/>
    <col min="17" max="17" width="9" customWidth="1"/>
    <col min="18" max="18" width="9.25" style="229" customWidth="1"/>
    <col min="19" max="20" width="9" style="229" customWidth="1"/>
    <col min="21" max="21" width="9" style="229"/>
    <col min="23" max="23" width="11" style="112" bestFit="1" customWidth="1"/>
  </cols>
  <sheetData>
    <row r="1" spans="1:24">
      <c r="B1" t="s">
        <v>94</v>
      </c>
      <c r="D1" s="48" t="str">
        <f ca="1">"인스타그램 스토리 총 "&amp;SUM('IG story data'!R:R)&amp;"건 게시, "&amp;W4&amp;" "&amp;X4&amp;"건, "&amp;W5&amp;" "&amp;X5&amp;"건, "&amp;W6&amp;" "&amp;X6&amp;"건, "&amp;W7&amp;" "&amp;X7&amp;"건"</f>
        <v>인스타그램 스토리 총 8건 게시, 노출 2649건, 도달 2632건, 프로필 방문 61건, 링크 클릭 49건</v>
      </c>
      <c r="W1" s="117" t="s">
        <v>123</v>
      </c>
    </row>
    <row r="2" spans="1:24">
      <c r="P2" s="46"/>
      <c r="W2" s="117"/>
    </row>
    <row r="3" spans="1:24" ht="24.75" thickBot="1">
      <c r="B3" s="44" t="s">
        <v>99</v>
      </c>
      <c r="C3" s="44" t="s">
        <v>55</v>
      </c>
      <c r="D3" s="49" t="s">
        <v>198</v>
      </c>
      <c r="E3" s="44" t="s">
        <v>57</v>
      </c>
      <c r="F3" s="44" t="s">
        <v>77</v>
      </c>
      <c r="G3" s="44" t="s">
        <v>47</v>
      </c>
      <c r="H3" s="44" t="s">
        <v>200</v>
      </c>
      <c r="I3" s="44" t="s">
        <v>130</v>
      </c>
      <c r="J3" s="44" t="s">
        <v>131</v>
      </c>
      <c r="K3" s="44" t="s">
        <v>250</v>
      </c>
      <c r="L3" s="44" t="s">
        <v>19</v>
      </c>
      <c r="M3" s="44" t="s">
        <v>20</v>
      </c>
      <c r="N3" s="44" t="s">
        <v>78</v>
      </c>
      <c r="O3" s="44" t="s">
        <v>56</v>
      </c>
      <c r="P3" s="44" t="s">
        <v>87</v>
      </c>
      <c r="W3" s="117" t="s">
        <v>201</v>
      </c>
    </row>
    <row r="4" spans="1:24" ht="17.45" customHeight="1">
      <c r="A4">
        <v>1</v>
      </c>
      <c r="B4" s="223">
        <f>IFERROR(INDEX('IG 콘텐츠 data'!R:R,MATCH('IG 신규발행'!A4,'IG 콘텐츠 data'!S:S,0)),"")</f>
        <v>45471</v>
      </c>
      <c r="C4" s="225" t="str">
        <f>IFERROR(IF(INDEX('IG 콘텐츠 data'!$A$1:$AJ$25,MATCH('IG 신규발행'!$A4,'IG 콘텐츠 data'!$S:$S,0),MATCH(C$3,'IG 콘텐츠 data'!$A$1:$O$1,0))="IG 이미지","이미지",IF(INDEX('IG 콘텐츠 data'!$A$1:$AJ$25,MATCH('IG 신규발행'!$A4,'IG 콘텐츠 data'!$S:$S,0),MATCH(C$3,'IG 콘텐츠 data'!$A$1:$O$1,0))="IG 슬라이드","슬라이드",IF(INDEX('IG 콘텐츠 data'!$A$1:$AJ$25,MATCH('IG 신규발행'!$A4,'IG 콘텐츠 data'!$S:$S,0),MATCH(C$3,'IG 콘텐츠 data'!$A$1:$O$1,0))="Instagram 릴스","영상"))),"")</f>
        <v>영상</v>
      </c>
      <c r="D4" s="225" t="str">
        <f>IFERROR(INDEX('IG 콘텐츠 data'!$A$1:$AJ$25,MATCH('IG 신규발행'!$A4,'IG 콘텐츠 data'!$S:$S,0),MATCH(D$3,'IG 콘텐츠 data'!$A$1:$Q$1,0)),"")</f>
        <v>[EVENT] 에너지食 Ep. 2</v>
      </c>
      <c r="E4" s="225">
        <f>IFERROR(INDEX('IG 콘텐츠 data'!$A$1:$AJ$25,MATCH('IG 신규발행'!$A4,'IG 콘텐츠 data'!$S:$S,0),MATCH(E$3,'IG 콘텐츠 data'!$A$1:$Q$1,0)),"")</f>
        <v>2049</v>
      </c>
      <c r="F4" s="225">
        <f>IFERROR(INDEX('IG 콘텐츠 data'!$A$1:$AJ$25,MATCH('IG 신규발행'!$A4,'IG 콘텐츠 data'!$S:$S,0),MATCH(F$3,'IG 콘텐츠 data'!$A$1:$Q$1,0)),"")</f>
        <v>1700</v>
      </c>
      <c r="G4" s="225">
        <f>IFERROR(INDEX('IG 콘텐츠 data'!$A$1:$AJ$25,MATCH('IG 신규발행'!$A4,'IG 콘텐츠 data'!$S:$S,0),MATCH(G$3,'IG 콘텐츠 data'!$A$1:$Q$1,0)),"")</f>
        <v>80</v>
      </c>
      <c r="H4" s="225">
        <f>IFERROR(INDEX('IG 콘텐츠 data'!$A$1:$AJ$25,MATCH('IG 신규발행'!$A4,'IG 콘텐츠 data'!$S:$S,0),MATCH(H$3,'IG 콘텐츠 data'!$A$1:$Q$1,0)),"")</f>
        <v>150</v>
      </c>
      <c r="I4" s="225">
        <f>IFERROR(INDEX('IG 콘텐츠 data'!$A$1:$AJ$25,MATCH('IG 신규발행'!$A4,'IG 콘텐츠 data'!$S:$S,0),MATCH(I$3,'IG 콘텐츠 data'!$A$1:$Q$1,0)),"")</f>
        <v>37</v>
      </c>
      <c r="J4" s="225">
        <f>IFERROR(INDEX('IG 콘텐츠 data'!$A$1:$AJ$25,MATCH('IG 신규발행'!$A4,'IG 콘텐츠 data'!$S:$S,0),MATCH(J$3,'IG 콘텐츠 data'!$A$1:$Q$1,0)),"")</f>
        <v>4164</v>
      </c>
      <c r="K4" s="228">
        <f>IFERROR(INDEX('IG 콘텐츠 data'!$A$1:$AJ$25,MATCH('IG 신규발행'!$A4,'IG 콘텐츠 data'!$S:$S,0),MATCH(K$3,'IG 콘텐츠 data'!$A$1:$Q$1,0)),"")</f>
        <v>6.9444444444444441E-3</v>
      </c>
      <c r="L4" s="225">
        <f>IFERROR(INDEX('IG 콘텐츠 data'!$A$1:$AJ$25,MATCH('IG 신규발행'!$A4,'IG 콘텐츠 data'!$S:$S,0),MATCH(L$3,'IG 콘텐츠 data'!$A$1:$Q$1,0)),"")</f>
        <v>388</v>
      </c>
      <c r="M4" s="225">
        <f>IFERROR(INDEX('IG 콘텐츠 data'!$A$1:$AJ$25,MATCH('IG 신규발행'!$A4,'IG 콘텐츠 data'!$S:$S,0),MATCH(M$3,'IG 콘텐츠 data'!$A$1:$Q$1,0)),"")</f>
        <v>419</v>
      </c>
      <c r="N4" s="225">
        <f>IFERROR(INDEX('IG 콘텐츠 data'!$A$1:$AJ$25,MATCH('IG 신규발행'!$A4,'IG 콘텐츠 data'!$S:$S,0),MATCH(N$3,'IG 콘텐츠 data'!$A$1:$Q$1,0)),"")</f>
        <v>50</v>
      </c>
      <c r="O4" s="225">
        <f>IF(B4="","",SUM(L4:N4)+G4)</f>
        <v>937</v>
      </c>
      <c r="P4" s="226">
        <f>IFERROR(O4/F4,"")</f>
        <v>0.55117647058823527</v>
      </c>
      <c r="R4" s="229">
        <f>RANK(N4,$N$4:$N$42,0)</f>
        <v>2</v>
      </c>
      <c r="S4" s="229">
        <f>RANK(J4,$J$4:$J$42,0)</f>
        <v>5</v>
      </c>
      <c r="W4" s="183" t="s">
        <v>57</v>
      </c>
      <c r="X4" s="180">
        <f ca="1">SUM(INDIRECT("'IG STORY DATA'!R"&amp;1&amp;"C"&amp;(MATCH(W4,'IG story data'!$A$1:$U$1,0)),FALSE):INDIRECT("'IG STORY DATA'!R"&amp;30&amp;"C"&amp;(MATCH(W4,'IG story data'!$A$1:$U$1,0)),FALSE))</f>
        <v>2649</v>
      </c>
    </row>
    <row r="5" spans="1:24" ht="17.45" customHeight="1">
      <c r="A5">
        <v>2</v>
      </c>
      <c r="B5" s="223">
        <f>IFERROR(INDEX('IG 콘텐츠 data'!R:R,MATCH('IG 신규발행'!A5,'IG 콘텐츠 data'!S:S,0)),"")</f>
        <v>45467</v>
      </c>
      <c r="C5" s="225" t="str">
        <f>IFERROR(IF(INDEX('IG 콘텐츠 data'!$A$1:$AJ$25,MATCH('IG 신규발행'!$A5,'IG 콘텐츠 data'!$S:$S,0),MATCH(C$3,'IG 콘텐츠 data'!$A$1:$O$1,0))="IG 이미지","이미지",IF(INDEX('IG 콘텐츠 data'!$A$1:$AJ$25,MATCH('IG 신규발행'!$A5,'IG 콘텐츠 data'!$S:$S,0),MATCH(C$3,'IG 콘텐츠 data'!$A$1:$O$1,0))="IG 슬라이드","슬라이드",IF(INDEX('IG 콘텐츠 data'!$A$1:$AJ$25,MATCH('IG 신규발행'!$A5,'IG 콘텐츠 data'!$S:$S,0),MATCH(C$3,'IG 콘텐츠 data'!$A$1:$O$1,0))="Instagram 릴스","영상"))),"")</f>
        <v>이미지</v>
      </c>
      <c r="D5" s="225" t="str">
        <f>IFERROR(INDEX('IG 콘텐츠 data'!$A$1:$AJ$25,MATCH('IG 신규발행'!$A5,'IG 콘텐츠 data'!$S:$S,0),MATCH(D$3,'IG 콘텐츠 data'!$A$1:$Q$1,0)),"")</f>
        <v>이노드림(엘버트 허버드)</v>
      </c>
      <c r="E5" s="225">
        <f>IFERROR(INDEX('IG 콘텐츠 data'!$A$1:$AJ$25,MATCH('IG 신규발행'!$A5,'IG 콘텐츠 data'!$S:$S,0),MATCH(E$3,'IG 콘텐츠 data'!$A$1:$Q$1,0)),"")</f>
        <v>7067</v>
      </c>
      <c r="F5" s="225">
        <f>IFERROR(INDEX('IG 콘텐츠 data'!$A$1:$AJ$25,MATCH('IG 신규발행'!$A5,'IG 콘텐츠 data'!$S:$S,0),MATCH(F$3,'IG 콘텐츠 data'!$A$1:$Q$1,0)),"")</f>
        <v>4532</v>
      </c>
      <c r="G5" s="225">
        <f>IFERROR(INDEX('IG 콘텐츠 data'!$A$1:$AJ$25,MATCH('IG 신규발행'!$A5,'IG 콘텐츠 data'!$S:$S,0),MATCH(G$3,'IG 콘텐츠 data'!$A$1:$Q$1,0)),"")</f>
        <v>3</v>
      </c>
      <c r="H5" s="225">
        <f>IFERROR(INDEX('IG 콘텐츠 data'!$A$1:$AJ$25,MATCH('IG 신규발행'!$A5,'IG 콘텐츠 data'!$S:$S,0),MATCH(H$3,'IG 콘텐츠 data'!$A$1:$Q$1,0)),"")</f>
        <v>11</v>
      </c>
      <c r="I5" s="225">
        <f>IFERROR(INDEX('IG 콘텐츠 data'!$A$1:$AJ$25,MATCH('IG 신규발행'!$A5,'IG 콘텐츠 data'!$S:$S,0),MATCH(I$3,'IG 콘텐츠 data'!$A$1:$Q$1,0)),"")</f>
        <v>0</v>
      </c>
      <c r="J5" s="225" t="str">
        <f>IFERROR(INDEX('IG 콘텐츠 data'!$A$1:$AJ$25,MATCH('IG 신규발행'!$A5,'IG 콘텐츠 data'!$S:$S,0),MATCH(J$3,'IG 콘텐츠 data'!$A$1:$Q$1,0)),"")</f>
        <v>-</v>
      </c>
      <c r="K5" s="228" t="str">
        <f>IFERROR(INDEX('IG 콘텐츠 data'!$A$1:$AJ$25,MATCH('IG 신규발행'!$A5,'IG 콘텐츠 data'!$S:$S,0),MATCH(K$3,'IG 콘텐츠 data'!$A$1:$Q$1,0)),"")</f>
        <v>-</v>
      </c>
      <c r="L5" s="225">
        <f>IFERROR(INDEX('IG 콘텐츠 data'!$A$1:$AJ$25,MATCH('IG 신규발행'!$A5,'IG 콘텐츠 data'!$S:$S,0),MATCH(L$3,'IG 콘텐츠 data'!$A$1:$Q$1,0)),"")</f>
        <v>1231</v>
      </c>
      <c r="M5" s="225">
        <f>IFERROR(INDEX('IG 콘텐츠 data'!$A$1:$AJ$25,MATCH('IG 신규발행'!$A5,'IG 콘텐츠 data'!$S:$S,0),MATCH(M$3,'IG 콘텐츠 data'!$A$1:$Q$1,0)),"")</f>
        <v>0</v>
      </c>
      <c r="N5" s="225">
        <f>IFERROR(INDEX('IG 콘텐츠 data'!$A$1:$AJ$25,MATCH('IG 신규발행'!$A5,'IG 콘텐츠 data'!$S:$S,0),MATCH(N$3,'IG 콘텐츠 data'!$A$1:$Q$1,0)),"")</f>
        <v>33</v>
      </c>
      <c r="O5" s="225">
        <f>IF(B5="","",SUM(L5:N5)+G5)</f>
        <v>1267</v>
      </c>
      <c r="P5" s="226">
        <f>IFERROR(O5/F5,"")</f>
        <v>0.27956751985878198</v>
      </c>
      <c r="R5" s="229">
        <f t="shared" ref="R5:R42" si="0">RANK(N5,$N$4:$N$42,0)</f>
        <v>4</v>
      </c>
      <c r="S5" s="229" t="e">
        <f t="shared" ref="S5:S42" si="1">RANK(J5,$J$4:$J$42,0)</f>
        <v>#VALUE!</v>
      </c>
      <c r="W5" s="184" t="s">
        <v>65</v>
      </c>
      <c r="X5" s="181">
        <f ca="1">SUM(INDIRECT("'IG STORY DATA'!R"&amp;1&amp;"C"&amp;(MATCH(W5,'IG story data'!$A$1:$U$1,0)),FALSE):INDIRECT("'IG STORY DATA'!R"&amp;30&amp;"C"&amp;(MATCH(W5,'IG story data'!$A$1:$U$1,0)),FALSE))</f>
        <v>2632</v>
      </c>
    </row>
    <row r="6" spans="1:24" ht="17.45" customHeight="1">
      <c r="A6">
        <v>3</v>
      </c>
      <c r="B6" s="223">
        <f>IFERROR(INDEX('IG 콘텐츠 data'!R:R,MATCH('IG 신규발행'!A6,'IG 콘텐츠 data'!S:S,0)),"")</f>
        <v>45446</v>
      </c>
      <c r="C6" s="225" t="str">
        <f>IFERROR(IF(INDEX('IG 콘텐츠 data'!$A$1:$AJ$25,MATCH('IG 신규발행'!$A6,'IG 콘텐츠 data'!$S:$S,0),MATCH(C$3,'IG 콘텐츠 data'!$A$1:$O$1,0))="IG 이미지","이미지",IF(INDEX('IG 콘텐츠 data'!$A$1:$AJ$25,MATCH('IG 신규발행'!$A6,'IG 콘텐츠 data'!$S:$S,0),MATCH(C$3,'IG 콘텐츠 data'!$A$1:$O$1,0))="IG 슬라이드","슬라이드",IF(INDEX('IG 콘텐츠 data'!$A$1:$AJ$25,MATCH('IG 신규발행'!$A6,'IG 콘텐츠 data'!$S:$S,0),MATCH(C$3,'IG 콘텐츠 data'!$A$1:$O$1,0))="Instagram 릴스","영상"))),"")</f>
        <v>이미지</v>
      </c>
      <c r="D6" s="225" t="str">
        <f>IFERROR(INDEX('IG 콘텐츠 data'!$A$1:$AJ$25,MATCH('IG 신규발행'!$A6,'IG 콘텐츠 data'!$S:$S,0),MATCH(D$3,'IG 콘텐츠 data'!$A$1:$Q$1,0)),"")</f>
        <v>이노드림(장 폴 사르트르)</v>
      </c>
      <c r="E6" s="225">
        <f>IFERROR(INDEX('IG 콘텐츠 data'!$A$1:$AJ$25,MATCH('IG 신규발행'!$A6,'IG 콘텐츠 data'!$S:$S,0),MATCH(E$3,'IG 콘텐츠 data'!$A$1:$Q$1,0)),"")</f>
        <v>5908</v>
      </c>
      <c r="F6" s="225">
        <f>IFERROR(INDEX('IG 콘텐츠 data'!$A$1:$AJ$25,MATCH('IG 신규발행'!$A6,'IG 콘텐츠 data'!$S:$S,0),MATCH(F$3,'IG 콘텐츠 data'!$A$1:$Q$1,0)),"")</f>
        <v>4157</v>
      </c>
      <c r="G6" s="225">
        <f>IFERROR(INDEX('IG 콘텐츠 data'!$A$1:$AJ$25,MATCH('IG 신규발행'!$A6,'IG 콘텐츠 data'!$S:$S,0),MATCH(G$3,'IG 콘텐츠 data'!$A$1:$Q$1,0)),"")</f>
        <v>1</v>
      </c>
      <c r="H6" s="225">
        <f>IFERROR(INDEX('IG 콘텐츠 data'!$A$1:$AJ$25,MATCH('IG 신규발행'!$A6,'IG 콘텐츠 data'!$S:$S,0),MATCH(H$3,'IG 콘텐츠 data'!$A$1:$Q$1,0)),"")</f>
        <v>9</v>
      </c>
      <c r="I6" s="225">
        <f>IFERROR(INDEX('IG 콘텐츠 data'!$A$1:$AJ$25,MATCH('IG 신규발행'!$A6,'IG 콘텐츠 data'!$S:$S,0),MATCH(I$3,'IG 콘텐츠 data'!$A$1:$Q$1,0)),"")</f>
        <v>0</v>
      </c>
      <c r="J6" s="225" t="str">
        <f>IFERROR(INDEX('IG 콘텐츠 data'!$A$1:$AJ$25,MATCH('IG 신규발행'!$A6,'IG 콘텐츠 data'!$S:$S,0),MATCH(J$3,'IG 콘텐츠 data'!$A$1:$Q$1,0)),"")</f>
        <v>-</v>
      </c>
      <c r="K6" s="228" t="str">
        <f>IFERROR(INDEX('IG 콘텐츠 data'!$A$1:$AJ$25,MATCH('IG 신규발행'!$A6,'IG 콘텐츠 data'!$S:$S,0),MATCH(K$3,'IG 콘텐츠 data'!$A$1:$Q$1,0)),"")</f>
        <v>-</v>
      </c>
      <c r="L6" s="225">
        <f>IFERROR(INDEX('IG 콘텐츠 data'!$A$1:$AJ$25,MATCH('IG 신규발행'!$A6,'IG 콘텐츠 data'!$S:$S,0),MATCH(L$3,'IG 콘텐츠 data'!$A$1:$Q$1,0)),"")</f>
        <v>1118</v>
      </c>
      <c r="M6" s="225">
        <f>IFERROR(INDEX('IG 콘텐츠 data'!$A$1:$AJ$25,MATCH('IG 신규발행'!$A6,'IG 콘텐츠 data'!$S:$S,0),MATCH(M$3,'IG 콘텐츠 data'!$A$1:$Q$1,0)),"")</f>
        <v>3</v>
      </c>
      <c r="N6" s="225">
        <f>IFERROR(INDEX('IG 콘텐츠 data'!$A$1:$AJ$25,MATCH('IG 신규발행'!$A6,'IG 콘텐츠 data'!$S:$S,0),MATCH(N$3,'IG 콘텐츠 data'!$A$1:$Q$1,0)),"")</f>
        <v>24</v>
      </c>
      <c r="O6" s="225">
        <f>IF(B6="","",SUM(L6:N6)+G6)</f>
        <v>1146</v>
      </c>
      <c r="P6" s="226">
        <f>IFERROR(O6/F6,"")</f>
        <v>0.27567957661775316</v>
      </c>
      <c r="R6" s="229">
        <f t="shared" si="0"/>
        <v>5</v>
      </c>
      <c r="S6" s="229" t="e">
        <f t="shared" si="1"/>
        <v>#VALUE!</v>
      </c>
      <c r="W6" s="184" t="s">
        <v>200</v>
      </c>
      <c r="X6" s="181">
        <f ca="1">SUM(INDIRECT("'IG STORY DATA'!R"&amp;1&amp;"C"&amp;(MATCH(W6,'IG story data'!$A$1:$U$1,0)),FALSE):INDIRECT("'IG STORY DATA'!R"&amp;30&amp;"C"&amp;(MATCH(W6,'IG story data'!$A$1:$U$1,0)),FALSE))</f>
        <v>61</v>
      </c>
    </row>
    <row r="7" spans="1:24" ht="17.45" customHeight="1" thickBot="1">
      <c r="A7">
        <v>4</v>
      </c>
      <c r="B7" s="223">
        <f>IFERROR(INDEX('IG 콘텐츠 data'!R:R,MATCH('IG 신규발행'!A7,'IG 콘텐츠 data'!S:S,0)),"")</f>
        <v>45447</v>
      </c>
      <c r="C7" s="225" t="str">
        <f>IFERROR(IF(INDEX('IG 콘텐츠 data'!$A$1:$AJ$25,MATCH('IG 신규발행'!$A7,'IG 콘텐츠 data'!$S:$S,0),MATCH(C$3,'IG 콘텐츠 data'!$A$1:$O$1,0))="IG 이미지","이미지",IF(INDEX('IG 콘텐츠 data'!$A$1:$AJ$25,MATCH('IG 신규발행'!$A7,'IG 콘텐츠 data'!$S:$S,0),MATCH(C$3,'IG 콘텐츠 data'!$A$1:$O$1,0))="IG 슬라이드","슬라이드",IF(INDEX('IG 콘텐츠 data'!$A$1:$AJ$25,MATCH('IG 신규발행'!$A7,'IG 콘텐츠 data'!$S:$S,0),MATCH(C$3,'IG 콘텐츠 data'!$A$1:$O$1,0))="Instagram 릴스","영상"))),"")</f>
        <v>영상</v>
      </c>
      <c r="D7" s="225" t="str">
        <f>IFERROR(INDEX('IG 콘텐츠 data'!$A$1:$AJ$25,MATCH('IG 신규발행'!$A7,'IG 콘텐츠 data'!$S:$S,0),MATCH(D$3,'IG 콘텐츠 data'!$A$1:$Q$1,0)),"")</f>
        <v>에너지食 Ep. 1</v>
      </c>
      <c r="E7" s="225">
        <f>IFERROR(INDEX('IG 콘텐츠 data'!$A$1:$AJ$25,MATCH('IG 신규발행'!$A7,'IG 콘텐츠 data'!$S:$S,0),MATCH(E$3,'IG 콘텐츠 data'!$A$1:$Q$1,0)),"")</f>
        <v>8937</v>
      </c>
      <c r="F7" s="225">
        <f>IFERROR(INDEX('IG 콘텐츠 data'!$A$1:$AJ$25,MATCH('IG 신규발행'!$A7,'IG 콘텐츠 data'!$S:$S,0),MATCH(F$3,'IG 콘텐츠 data'!$A$1:$Q$1,0)),"")</f>
        <v>4349</v>
      </c>
      <c r="G7" s="225">
        <f>IFERROR(INDEX('IG 콘텐츠 data'!$A$1:$AJ$25,MATCH('IG 신규발행'!$A7,'IG 콘텐츠 data'!$S:$S,0),MATCH(G$3,'IG 콘텐츠 data'!$A$1:$Q$1,0)),"")</f>
        <v>0</v>
      </c>
      <c r="H7" s="225" t="str">
        <f>IFERROR(INDEX('IG 콘텐츠 data'!$A$1:$AJ$25,MATCH('IG 신규발행'!$A7,'IG 콘텐츠 data'!$S:$S,0),MATCH(H$3,'IG 콘텐츠 data'!$A$1:$Q$1,0)),"")</f>
        <v>-</v>
      </c>
      <c r="I7" s="225">
        <f>IFERROR(INDEX('IG 콘텐츠 data'!$A$1:$AJ$25,MATCH('IG 신규발행'!$A7,'IG 콘텐츠 data'!$S:$S,0),MATCH(I$3,'IG 콘텐츠 data'!$A$1:$Q$1,0)),"")</f>
        <v>0</v>
      </c>
      <c r="J7" s="225">
        <f>IFERROR(INDEX('IG 콘텐츠 data'!$A$1:$AJ$25,MATCH('IG 신규발행'!$A7,'IG 콘텐츠 data'!$S:$S,0),MATCH(J$3,'IG 콘텐츠 data'!$A$1:$Q$1,0)),"")</f>
        <v>9882</v>
      </c>
      <c r="K7" s="228">
        <f>IFERROR(INDEX('IG 콘텐츠 data'!$A$1:$AJ$25,MATCH('IG 신규발행'!$A7,'IG 콘텐츠 data'!$S:$S,0),MATCH(K$3,'IG 콘텐츠 data'!$A$1:$Q$1,0)),"")</f>
        <v>3.472222222222222E-3</v>
      </c>
      <c r="L7" s="225">
        <f>IFERROR(INDEX('IG 콘텐츠 data'!$A$1:$AJ$25,MATCH('IG 신규발행'!$A7,'IG 콘텐츠 data'!$S:$S,0),MATCH(L$3,'IG 콘텐츠 data'!$A$1:$Q$1,0)),"")</f>
        <v>1150</v>
      </c>
      <c r="M7" s="225">
        <f>IFERROR(INDEX('IG 콘텐츠 data'!$A$1:$AJ$25,MATCH('IG 신규발행'!$A7,'IG 콘텐츠 data'!$S:$S,0),MATCH(M$3,'IG 콘텐츠 data'!$A$1:$Q$1,0)),"")</f>
        <v>2</v>
      </c>
      <c r="N7" s="225">
        <f>IFERROR(INDEX('IG 콘텐츠 data'!$A$1:$AJ$25,MATCH('IG 신규발행'!$A7,'IG 콘텐츠 data'!$S:$S,0),MATCH(N$3,'IG 콘텐츠 data'!$A$1:$Q$1,0)),"")</f>
        <v>1</v>
      </c>
      <c r="O7" s="225">
        <f>IF(B7="","",SUM(L7:N7)+G7)</f>
        <v>1153</v>
      </c>
      <c r="P7" s="226">
        <f>IFERROR(O7/F7,"")</f>
        <v>0.26511841802713265</v>
      </c>
      <c r="R7" s="229">
        <f t="shared" si="0"/>
        <v>9</v>
      </c>
      <c r="S7" s="229">
        <f t="shared" si="1"/>
        <v>4</v>
      </c>
      <c r="W7" s="185" t="s">
        <v>127</v>
      </c>
      <c r="X7" s="182">
        <f ca="1">SUM(INDIRECT("'IG STORY DATA'!R"&amp;1&amp;"C"&amp;(MATCH(W7,'IG story data'!$A$1:$U$1,0)),FALSE):INDIRECT("'IG STORY DATA'!R"&amp;30&amp;"C"&amp;(MATCH(W7,'IG story data'!$A$1:$U$1,0)),FALSE))</f>
        <v>49</v>
      </c>
    </row>
    <row r="8" spans="1:24" ht="17.45" customHeight="1">
      <c r="A8">
        <v>5</v>
      </c>
      <c r="B8" s="223">
        <f>IFERROR(INDEX('IG 콘텐츠 data'!R:R,MATCH('IG 신규발행'!A8,'IG 콘텐츠 data'!S:S,0)),"")</f>
        <v>45453</v>
      </c>
      <c r="C8" s="225" t="str">
        <f>IFERROR(IF(INDEX('IG 콘텐츠 data'!$A$1:$AJ$25,MATCH('IG 신규발행'!$A8,'IG 콘텐츠 data'!$S:$S,0),MATCH(C$3,'IG 콘텐츠 data'!$A$1:$O$1,0))="IG 이미지","이미지",IF(INDEX('IG 콘텐츠 data'!$A$1:$AJ$25,MATCH('IG 신규발행'!$A8,'IG 콘텐츠 data'!$S:$S,0),MATCH(C$3,'IG 콘텐츠 data'!$A$1:$O$1,0))="IG 슬라이드","슬라이드",IF(INDEX('IG 콘텐츠 data'!$A$1:$AJ$25,MATCH('IG 신규발행'!$A8,'IG 콘텐츠 data'!$S:$S,0),MATCH(C$3,'IG 콘텐츠 data'!$A$1:$O$1,0))="Instagram 릴스","영상"))),"")</f>
        <v>이미지</v>
      </c>
      <c r="D8" s="225" t="str">
        <f>IFERROR(INDEX('IG 콘텐츠 data'!$A$1:$AJ$25,MATCH('IG 신규발행'!$A8,'IG 콘텐츠 data'!$S:$S,0),MATCH(D$3,'IG 콘텐츠 data'!$A$1:$Q$1,0)),"")</f>
        <v>이노드림(블레즈 파스칼)</v>
      </c>
      <c r="E8" s="225">
        <f>IFERROR(INDEX('IG 콘텐츠 data'!$A$1:$AJ$25,MATCH('IG 신규발행'!$A8,'IG 콘텐츠 data'!$S:$S,0),MATCH(E$3,'IG 콘텐츠 data'!$A$1:$Q$1,0)),"")</f>
        <v>8423</v>
      </c>
      <c r="F8" s="225">
        <f>IFERROR(INDEX('IG 콘텐츠 data'!$A$1:$AJ$25,MATCH('IG 신규발행'!$A8,'IG 콘텐츠 data'!$S:$S,0),MATCH(F$3,'IG 콘텐츠 data'!$A$1:$Q$1,0)),"")</f>
        <v>5781</v>
      </c>
      <c r="G8" s="225">
        <f>IFERROR(INDEX('IG 콘텐츠 data'!$A$1:$AJ$25,MATCH('IG 신규발행'!$A8,'IG 콘텐츠 data'!$S:$S,0),MATCH(G$3,'IG 콘텐츠 data'!$A$1:$Q$1,0)),"")</f>
        <v>7</v>
      </c>
      <c r="H8" s="225">
        <f>IFERROR(INDEX('IG 콘텐츠 data'!$A$1:$AJ$25,MATCH('IG 신규발행'!$A8,'IG 콘텐츠 data'!$S:$S,0),MATCH(H$3,'IG 콘텐츠 data'!$A$1:$Q$1,0)),"")</f>
        <v>10</v>
      </c>
      <c r="I8" s="225">
        <f>IFERROR(INDEX('IG 콘텐츠 data'!$A$1:$AJ$25,MATCH('IG 신규발행'!$A8,'IG 콘텐츠 data'!$S:$S,0),MATCH(I$3,'IG 콘텐츠 data'!$A$1:$Q$1,0)),"")</f>
        <v>0</v>
      </c>
      <c r="J8" s="225" t="str">
        <f>IFERROR(INDEX('IG 콘텐츠 data'!$A$1:$AJ$25,MATCH('IG 신규발행'!$A8,'IG 콘텐츠 data'!$S:$S,0),MATCH(J$3,'IG 콘텐츠 data'!$A$1:$Q$1,0)),"")</f>
        <v>-</v>
      </c>
      <c r="K8" s="228" t="str">
        <f>IFERROR(INDEX('IG 콘텐츠 data'!$A$1:$AJ$25,MATCH('IG 신규발행'!$A8,'IG 콘텐츠 data'!$S:$S,0),MATCH(K$3,'IG 콘텐츠 data'!$A$1:$Q$1,0)),"")</f>
        <v>-</v>
      </c>
      <c r="L8" s="225">
        <f>IFERROR(INDEX('IG 콘텐츠 data'!$A$1:$AJ$25,MATCH('IG 신규발행'!$A8,'IG 콘텐츠 data'!$S:$S,0),MATCH(L$3,'IG 콘텐츠 data'!$A$1:$Q$1,0)),"")</f>
        <v>1445</v>
      </c>
      <c r="M8" s="225">
        <f>IFERROR(INDEX('IG 콘텐츠 data'!$A$1:$AJ$25,MATCH('IG 신규발행'!$A8,'IG 콘텐츠 data'!$S:$S,0),MATCH(M$3,'IG 콘텐츠 data'!$A$1:$Q$1,0)),"")</f>
        <v>11</v>
      </c>
      <c r="N8" s="225">
        <f>IFERROR(INDEX('IG 콘텐츠 data'!$A$1:$AJ$25,MATCH('IG 신규발행'!$A8,'IG 콘텐츠 data'!$S:$S,0),MATCH(N$3,'IG 콘텐츠 data'!$A$1:$Q$1,0)),"")</f>
        <v>56</v>
      </c>
      <c r="O8" s="225">
        <f>IF(B8="","",SUM(L8:N8)+G8)</f>
        <v>1519</v>
      </c>
      <c r="P8" s="226">
        <f>IFERROR(O8/F8,"")</f>
        <v>0.26275730842414807</v>
      </c>
      <c r="R8" s="229">
        <f t="shared" si="0"/>
        <v>1</v>
      </c>
      <c r="S8" s="229" t="e">
        <f t="shared" si="1"/>
        <v>#VALUE!</v>
      </c>
      <c r="W8" s="117"/>
    </row>
    <row r="9" spans="1:24" ht="17.45" customHeight="1">
      <c r="A9">
        <v>6</v>
      </c>
      <c r="B9" s="223">
        <f>IFERROR(INDEX('IG 콘텐츠 data'!R:R,MATCH('IG 신규발행'!A9,'IG 콘텐츠 data'!S:S,0)),"")</f>
        <v>45460</v>
      </c>
      <c r="C9" s="225" t="str">
        <f>IFERROR(IF(INDEX('IG 콘텐츠 data'!$A$1:$AJ$25,MATCH('IG 신규발행'!$A9,'IG 콘텐츠 data'!$S:$S,0),MATCH(C$3,'IG 콘텐츠 data'!$A$1:$O$1,0))="IG 이미지","이미지",IF(INDEX('IG 콘텐츠 data'!$A$1:$AJ$25,MATCH('IG 신규발행'!$A9,'IG 콘텐츠 data'!$S:$S,0),MATCH(C$3,'IG 콘텐츠 data'!$A$1:$O$1,0))="IG 슬라이드","슬라이드",IF(INDEX('IG 콘텐츠 data'!$A$1:$AJ$25,MATCH('IG 신규발행'!$A9,'IG 콘텐츠 data'!$S:$S,0),MATCH(C$3,'IG 콘텐츠 data'!$A$1:$O$1,0))="Instagram 릴스","영상"))),"")</f>
        <v>이미지</v>
      </c>
      <c r="D9" s="225" t="str">
        <f>IFERROR(INDEX('IG 콘텐츠 data'!$A$1:$AJ$25,MATCH('IG 신규발행'!$A9,'IG 콘텐츠 data'!$S:$S,0),MATCH(D$3,'IG 콘텐츠 data'!$A$1:$Q$1,0)),"")</f>
        <v>이노드림(장 자크 루소)</v>
      </c>
      <c r="E9" s="225">
        <f>IFERROR(INDEX('IG 콘텐츠 data'!$A$1:$AJ$25,MATCH('IG 신규발행'!$A9,'IG 콘텐츠 data'!$S:$S,0),MATCH(E$3,'IG 콘텐츠 data'!$A$1:$Q$1,0)),"")</f>
        <v>8576</v>
      </c>
      <c r="F9" s="225">
        <f>IFERROR(INDEX('IG 콘텐츠 data'!$A$1:$AJ$25,MATCH('IG 신규발행'!$A9,'IG 콘텐츠 data'!$S:$S,0),MATCH(F$3,'IG 콘텐츠 data'!$A$1:$Q$1,0)),"")</f>
        <v>6068</v>
      </c>
      <c r="G9" s="225">
        <f>IFERROR(INDEX('IG 콘텐츠 data'!$A$1:$AJ$25,MATCH('IG 신규발행'!$A9,'IG 콘텐츠 data'!$S:$S,0),MATCH(G$3,'IG 콘텐츠 data'!$A$1:$Q$1,0)),"")</f>
        <v>5</v>
      </c>
      <c r="H9" s="225">
        <f>IFERROR(INDEX('IG 콘텐츠 data'!$A$1:$AJ$25,MATCH('IG 신규발행'!$A9,'IG 콘텐츠 data'!$S:$S,0),MATCH(H$3,'IG 콘텐츠 data'!$A$1:$Q$1,0)),"")</f>
        <v>120</v>
      </c>
      <c r="I9" s="225">
        <f>IFERROR(INDEX('IG 콘텐츠 data'!$A$1:$AJ$25,MATCH('IG 신규발행'!$A9,'IG 콘텐츠 data'!$S:$S,0),MATCH(I$3,'IG 콘텐츠 data'!$A$1:$Q$1,0)),"")</f>
        <v>16</v>
      </c>
      <c r="J9" s="225" t="str">
        <f>IFERROR(INDEX('IG 콘텐츠 data'!$A$1:$AJ$25,MATCH('IG 신규발행'!$A9,'IG 콘텐츠 data'!$S:$S,0),MATCH(J$3,'IG 콘텐츠 data'!$A$1:$Q$1,0)),"")</f>
        <v>-</v>
      </c>
      <c r="K9" s="228" t="str">
        <f>IFERROR(INDEX('IG 콘텐츠 data'!$A$1:$AJ$25,MATCH('IG 신규발행'!$A9,'IG 콘텐츠 data'!$S:$S,0),MATCH(K$3,'IG 콘텐츠 data'!$A$1:$Q$1,0)),"")</f>
        <v>-</v>
      </c>
      <c r="L9" s="225">
        <f>IFERROR(INDEX('IG 콘텐츠 data'!$A$1:$AJ$25,MATCH('IG 신규발행'!$A9,'IG 콘텐츠 data'!$S:$S,0),MATCH(L$3,'IG 콘텐츠 data'!$A$1:$Q$1,0)),"")</f>
        <v>824</v>
      </c>
      <c r="M9" s="225">
        <f>IFERROR(INDEX('IG 콘텐츠 data'!$A$1:$AJ$25,MATCH('IG 신규발행'!$A9,'IG 콘텐츠 data'!$S:$S,0),MATCH(M$3,'IG 콘텐츠 data'!$A$1:$Q$1,0)),"")</f>
        <v>7</v>
      </c>
      <c r="N9" s="225">
        <f>IFERROR(INDEX('IG 콘텐츠 data'!$A$1:$AJ$25,MATCH('IG 신규발행'!$A9,'IG 콘텐츠 data'!$S:$S,0),MATCH(N$3,'IG 콘텐츠 data'!$A$1:$Q$1,0)),"")</f>
        <v>37</v>
      </c>
      <c r="O9" s="225">
        <f>IF(B9="","",SUM(L9:N9)+G9)</f>
        <v>873</v>
      </c>
      <c r="P9" s="226">
        <f>IFERROR(O9/F9,"")</f>
        <v>0.14386947923533289</v>
      </c>
      <c r="R9" s="229">
        <f t="shared" si="0"/>
        <v>3</v>
      </c>
      <c r="S9" s="229" t="e">
        <f t="shared" si="1"/>
        <v>#VALUE!</v>
      </c>
      <c r="W9" s="117"/>
    </row>
    <row r="10" spans="1:24" ht="17.45" customHeight="1">
      <c r="A10">
        <v>7</v>
      </c>
      <c r="B10" s="223">
        <f>IFERROR(INDEX('IG 콘텐츠 data'!R:R,MATCH('IG 신규발행'!A10,'IG 콘텐츠 data'!S:S,0)),"")</f>
        <v>45456</v>
      </c>
      <c r="C10" s="225" t="str">
        <f>IFERROR(IF(INDEX('IG 콘텐츠 data'!$A$1:$AJ$25,MATCH('IG 신규발행'!$A10,'IG 콘텐츠 data'!$S:$S,0),MATCH(C$3,'IG 콘텐츠 data'!$A$1:$O$1,0))="IG 이미지","이미지",IF(INDEX('IG 콘텐츠 data'!$A$1:$AJ$25,MATCH('IG 신규발행'!$A10,'IG 콘텐츠 data'!$S:$S,0),MATCH(C$3,'IG 콘텐츠 data'!$A$1:$O$1,0))="IG 슬라이드","슬라이드",IF(INDEX('IG 콘텐츠 data'!$A$1:$AJ$25,MATCH('IG 신규발행'!$A10,'IG 콘텐츠 data'!$S:$S,0),MATCH(C$3,'IG 콘텐츠 data'!$A$1:$O$1,0))="Instagram 릴스","영상"))),"")</f>
        <v>영상</v>
      </c>
      <c r="D10" s="225" t="str">
        <f>IFERROR(INDEX('IG 콘텐츠 data'!$A$1:$AJ$25,MATCH('IG 신규발행'!$A10,'IG 콘텐츠 data'!$S:$S,0),MATCH(D$3,'IG 콘텐츠 data'!$A$1:$Q$1,0)),"")</f>
        <v>세계 헌혈자의 날</v>
      </c>
      <c r="E10" s="225">
        <f>IFERROR(INDEX('IG 콘텐츠 data'!$A$1:$AJ$25,MATCH('IG 신규발행'!$A10,'IG 콘텐츠 data'!$S:$S,0),MATCH(E$3,'IG 콘텐츠 data'!$A$1:$Q$1,0)),"")</f>
        <v>16207</v>
      </c>
      <c r="F10" s="225">
        <f>IFERROR(INDEX('IG 콘텐츠 data'!$A$1:$AJ$25,MATCH('IG 신규발행'!$A10,'IG 콘텐츠 data'!$S:$S,0),MATCH(F$3,'IG 콘텐츠 data'!$A$1:$Q$1,0)),"")</f>
        <v>12847</v>
      </c>
      <c r="G10" s="225">
        <f>IFERROR(INDEX('IG 콘텐츠 data'!$A$1:$AJ$25,MATCH('IG 신규발행'!$A10,'IG 콘텐츠 data'!$S:$S,0),MATCH(G$3,'IG 콘텐츠 data'!$A$1:$Q$1,0)),"")</f>
        <v>2</v>
      </c>
      <c r="H10" s="225" t="str">
        <f>IFERROR(INDEX('IG 콘텐츠 data'!$A$1:$AJ$25,MATCH('IG 신규발행'!$A10,'IG 콘텐츠 data'!$S:$S,0),MATCH(H$3,'IG 콘텐츠 data'!$A$1:$Q$1,0)),"")</f>
        <v>-</v>
      </c>
      <c r="I10" s="225">
        <f>IFERROR(INDEX('IG 콘텐츠 data'!$A$1:$AJ$25,MATCH('IG 신규발행'!$A10,'IG 콘텐츠 data'!$S:$S,0),MATCH(I$3,'IG 콘텐츠 data'!$A$1:$Q$1,0)),"")</f>
        <v>0</v>
      </c>
      <c r="J10" s="225">
        <f>IFERROR(INDEX('IG 콘텐츠 data'!$A$1:$AJ$25,MATCH('IG 신규발행'!$A10,'IG 콘텐츠 data'!$S:$S,0),MATCH(J$3,'IG 콘텐츠 data'!$A$1:$Q$1,0)),"")</f>
        <v>17262</v>
      </c>
      <c r="K10" s="228">
        <f>IFERROR(INDEX('IG 콘텐츠 data'!$A$1:$AJ$25,MATCH('IG 신규발행'!$A10,'IG 콘텐츠 data'!$S:$S,0),MATCH(K$3,'IG 콘텐츠 data'!$A$1:$Q$1,0)),"")</f>
        <v>2.0833333333333333E-3</v>
      </c>
      <c r="L10" s="225">
        <f>IFERROR(INDEX('IG 콘텐츠 data'!$A$1:$AJ$25,MATCH('IG 신규발행'!$A10,'IG 콘텐츠 data'!$S:$S,0),MATCH(L$3,'IG 콘텐츠 data'!$A$1:$Q$1,0)),"")</f>
        <v>745</v>
      </c>
      <c r="M10" s="225">
        <f>IFERROR(INDEX('IG 콘텐츠 data'!$A$1:$AJ$25,MATCH('IG 신규발행'!$A10,'IG 콘텐츠 data'!$S:$S,0),MATCH(M$3,'IG 콘텐츠 data'!$A$1:$Q$1,0)),"")</f>
        <v>10</v>
      </c>
      <c r="N10" s="225">
        <f>IFERROR(INDEX('IG 콘텐츠 data'!$A$1:$AJ$25,MATCH('IG 신규발행'!$A10,'IG 콘텐츠 data'!$S:$S,0),MATCH(N$3,'IG 콘텐츠 data'!$A$1:$Q$1,0)),"")</f>
        <v>5</v>
      </c>
      <c r="O10" s="225">
        <f>IF(B10="","",SUM(L10:N10)+G10)</f>
        <v>762</v>
      </c>
      <c r="P10" s="226">
        <f>IFERROR(O10/F10,"")</f>
        <v>5.9313458394956019E-2</v>
      </c>
      <c r="R10" s="229">
        <f t="shared" si="0"/>
        <v>7</v>
      </c>
      <c r="S10" s="229">
        <f t="shared" si="1"/>
        <v>3</v>
      </c>
      <c r="W10" s="117"/>
    </row>
    <row r="11" spans="1:24" ht="17.45" customHeight="1">
      <c r="A11">
        <v>8</v>
      </c>
      <c r="B11" s="223">
        <f>IFERROR(INDEX('IG 콘텐츠 data'!R:R,MATCH('IG 신규발행'!A11,'IG 콘텐츠 data'!S:S,0)),"")</f>
        <v>45453</v>
      </c>
      <c r="C11" s="225" t="str">
        <f>IFERROR(IF(INDEX('IG 콘텐츠 data'!$A$1:$AJ$25,MATCH('IG 신규발행'!$A11,'IG 콘텐츠 data'!$S:$S,0),MATCH(C$3,'IG 콘텐츠 data'!$A$1:$O$1,0))="IG 이미지","이미지",IF(INDEX('IG 콘텐츠 data'!$A$1:$AJ$25,MATCH('IG 신규발행'!$A11,'IG 콘텐츠 data'!$S:$S,0),MATCH(C$3,'IG 콘텐츠 data'!$A$1:$O$1,0))="IG 슬라이드","슬라이드",IF(INDEX('IG 콘텐츠 data'!$A$1:$AJ$25,MATCH('IG 신규발행'!$A11,'IG 콘텐츠 data'!$S:$S,0),MATCH(C$3,'IG 콘텐츠 data'!$A$1:$O$1,0))="Instagram 릴스","영상"))),"")</f>
        <v>영상</v>
      </c>
      <c r="D11" s="225" t="str">
        <f>IFERROR(INDEX('IG 콘텐츠 data'!$A$1:$AJ$25,MATCH('IG 신규발행'!$A11,'IG 콘텐츠 data'!$S:$S,0),MATCH(D$3,'IG 콘텐츠 data'!$A$1:$Q$1,0)),"")</f>
        <v>슼-떠나요 Ep. 페루</v>
      </c>
      <c r="E11" s="225">
        <f>IFERROR(INDEX('IG 콘텐츠 data'!$A$1:$AJ$25,MATCH('IG 신규발행'!$A11,'IG 콘텐츠 data'!$S:$S,0),MATCH(E$3,'IG 콘텐츠 data'!$A$1:$Q$1,0)),"")</f>
        <v>47767</v>
      </c>
      <c r="F11" s="225">
        <f>IFERROR(INDEX('IG 콘텐츠 data'!$A$1:$AJ$25,MATCH('IG 신규발행'!$A11,'IG 콘텐츠 data'!$S:$S,0),MATCH(F$3,'IG 콘텐츠 data'!$A$1:$Q$1,0)),"")</f>
        <v>28683</v>
      </c>
      <c r="G11" s="225">
        <f>IFERROR(INDEX('IG 콘텐츠 data'!$A$1:$AJ$25,MATCH('IG 신규발행'!$A11,'IG 콘텐츠 data'!$S:$S,0),MATCH(G$3,'IG 콘텐츠 data'!$A$1:$Q$1,0)),"")</f>
        <v>4</v>
      </c>
      <c r="H11" s="225" t="str">
        <f>IFERROR(INDEX('IG 콘텐츠 data'!$A$1:$AJ$25,MATCH('IG 신규발행'!$A11,'IG 콘텐츠 data'!$S:$S,0),MATCH(H$3,'IG 콘텐츠 data'!$A$1:$Q$1,0)),"")</f>
        <v>-</v>
      </c>
      <c r="I11" s="225">
        <f>IFERROR(INDEX('IG 콘텐츠 data'!$A$1:$AJ$25,MATCH('IG 신규발행'!$A11,'IG 콘텐츠 data'!$S:$S,0),MATCH(I$3,'IG 콘텐츠 data'!$A$1:$Q$1,0)),"")</f>
        <v>11</v>
      </c>
      <c r="J11" s="225">
        <f>IFERROR(INDEX('IG 콘텐츠 data'!$A$1:$AJ$25,MATCH('IG 신규발행'!$A11,'IG 콘텐츠 data'!$S:$S,0),MATCH(J$3,'IG 콘텐츠 data'!$A$1:$Q$1,0)),"")</f>
        <v>47394</v>
      </c>
      <c r="K11" s="228">
        <f>IFERROR(INDEX('IG 콘텐츠 data'!$A$1:$AJ$25,MATCH('IG 신규발행'!$A11,'IG 콘텐츠 data'!$S:$S,0),MATCH(K$3,'IG 콘텐츠 data'!$A$1:$Q$1,0)),"")</f>
        <v>3.472222222222222E-3</v>
      </c>
      <c r="L11" s="225">
        <f>IFERROR(INDEX('IG 콘텐츠 data'!$A$1:$AJ$25,MATCH('IG 신규발행'!$A11,'IG 콘텐츠 data'!$S:$S,0),MATCH(L$3,'IG 콘텐츠 data'!$A$1:$Q$1,0)),"")</f>
        <v>1221</v>
      </c>
      <c r="M11" s="225">
        <f>IFERROR(INDEX('IG 콘텐츠 data'!$A$1:$AJ$25,MATCH('IG 신규발행'!$A11,'IG 콘텐츠 data'!$S:$S,0),MATCH(M$3,'IG 콘텐츠 data'!$A$1:$Q$1,0)),"")</f>
        <v>4</v>
      </c>
      <c r="N11" s="225">
        <f>IFERROR(INDEX('IG 콘텐츠 data'!$A$1:$AJ$25,MATCH('IG 신규발행'!$A11,'IG 콘텐츠 data'!$S:$S,0),MATCH(N$3,'IG 콘텐츠 data'!$A$1:$Q$1,0)),"")</f>
        <v>16</v>
      </c>
      <c r="O11" s="225">
        <f>IF(B11="","",SUM(L11:N11)+G11)</f>
        <v>1245</v>
      </c>
      <c r="P11" s="226">
        <f>IFERROR(O11/F11,"")</f>
        <v>4.3405501516577766E-2</v>
      </c>
      <c r="R11" s="229">
        <f t="shared" si="0"/>
        <v>6</v>
      </c>
      <c r="S11" s="229">
        <f t="shared" si="1"/>
        <v>1</v>
      </c>
      <c r="W11" s="117"/>
    </row>
    <row r="12" spans="1:24" ht="17.45" customHeight="1">
      <c r="A12">
        <v>9</v>
      </c>
      <c r="B12" s="223">
        <f>IFERROR(INDEX('IG 콘텐츠 data'!R:R,MATCH('IG 신규발행'!A12,'IG 콘텐츠 data'!S:S,0)),"")</f>
        <v>45448</v>
      </c>
      <c r="C12" s="225" t="str">
        <f>IFERROR(IF(INDEX('IG 콘텐츠 data'!$A$1:$AJ$25,MATCH('IG 신규발행'!$A12,'IG 콘텐츠 data'!$S:$S,0),MATCH(C$3,'IG 콘텐츠 data'!$A$1:$O$1,0))="IG 이미지","이미지",IF(INDEX('IG 콘텐츠 data'!$A$1:$AJ$25,MATCH('IG 신규발행'!$A12,'IG 콘텐츠 data'!$S:$S,0),MATCH(C$3,'IG 콘텐츠 data'!$A$1:$O$1,0))="IG 슬라이드","슬라이드",IF(INDEX('IG 콘텐츠 data'!$A$1:$AJ$25,MATCH('IG 신규발행'!$A12,'IG 콘텐츠 data'!$S:$S,0),MATCH(C$3,'IG 콘텐츠 data'!$A$1:$O$1,0))="Instagram 릴스","영상"))),"")</f>
        <v>영상</v>
      </c>
      <c r="D12" s="225" t="str">
        <f>IFERROR(INDEX('IG 콘텐츠 data'!$A$1:$AJ$25,MATCH('IG 신규발행'!$A12,'IG 콘텐츠 data'!$S:$S,0),MATCH(D$3,'IG 콘텐츠 data'!$A$1:$Q$1,0)),"")</f>
        <v>세계 환경의 날</v>
      </c>
      <c r="E12" s="225">
        <f>IFERROR(INDEX('IG 콘텐츠 data'!$A$1:$AJ$25,MATCH('IG 신규발행'!$A12,'IG 콘텐츠 data'!$S:$S,0),MATCH(E$3,'IG 콘텐츠 data'!$A$1:$Q$1,0)),"")</f>
        <v>31464</v>
      </c>
      <c r="F12" s="225">
        <f>IFERROR(INDEX('IG 콘텐츠 data'!$A$1:$AJ$25,MATCH('IG 신규발행'!$A12,'IG 콘텐츠 data'!$S:$S,0),MATCH(F$3,'IG 콘텐츠 data'!$A$1:$Q$1,0)),"")</f>
        <v>25591</v>
      </c>
      <c r="G12" s="225">
        <f>IFERROR(INDEX('IG 콘텐츠 data'!$A$1:$AJ$25,MATCH('IG 신규발행'!$A12,'IG 콘텐츠 data'!$S:$S,0),MATCH(G$3,'IG 콘텐츠 data'!$A$1:$Q$1,0)),"")</f>
        <v>1</v>
      </c>
      <c r="H12" s="225" t="str">
        <f>IFERROR(INDEX('IG 콘텐츠 data'!$A$1:$AJ$25,MATCH('IG 신규발행'!$A12,'IG 콘텐츠 data'!$S:$S,0),MATCH(H$3,'IG 콘텐츠 data'!$A$1:$Q$1,0)),"")</f>
        <v>-</v>
      </c>
      <c r="I12" s="225">
        <f>IFERROR(INDEX('IG 콘텐츠 data'!$A$1:$AJ$25,MATCH('IG 신규발행'!$A12,'IG 콘텐츠 data'!$S:$S,0),MATCH(I$3,'IG 콘텐츠 data'!$A$1:$Q$1,0)),"")</f>
        <v>0</v>
      </c>
      <c r="J12" s="225">
        <f>IFERROR(INDEX('IG 콘텐츠 data'!$A$1:$AJ$25,MATCH('IG 신규발행'!$A12,'IG 콘텐츠 data'!$S:$S,0),MATCH(J$3,'IG 콘텐츠 data'!$A$1:$Q$1,0)),"")</f>
        <v>32504</v>
      </c>
      <c r="K12" s="228">
        <f>IFERROR(INDEX('IG 콘텐츠 data'!$A$1:$AJ$25,MATCH('IG 신규발행'!$A12,'IG 콘텐츠 data'!$S:$S,0),MATCH(K$3,'IG 콘텐츠 data'!$A$1:$Q$1,0)),"")</f>
        <v>3.472222222222222E-3</v>
      </c>
      <c r="L12" s="225">
        <f>IFERROR(INDEX('IG 콘텐츠 data'!$A$1:$AJ$25,MATCH('IG 신규발행'!$A12,'IG 콘텐츠 data'!$S:$S,0),MATCH(L$3,'IG 콘텐츠 data'!$A$1:$Q$1,0)),"")</f>
        <v>817</v>
      </c>
      <c r="M12" s="225">
        <f>IFERROR(INDEX('IG 콘텐츠 data'!$A$1:$AJ$25,MATCH('IG 신규발행'!$A12,'IG 콘텐츠 data'!$S:$S,0),MATCH(M$3,'IG 콘텐츠 data'!$A$1:$Q$1,0)),"")</f>
        <v>5</v>
      </c>
      <c r="N12" s="225">
        <f>IFERROR(INDEX('IG 콘텐츠 data'!$A$1:$AJ$25,MATCH('IG 신규발행'!$A12,'IG 콘텐츠 data'!$S:$S,0),MATCH(N$3,'IG 콘텐츠 data'!$A$1:$Q$1,0)),"")</f>
        <v>5</v>
      </c>
      <c r="O12" s="225">
        <f>IF(B12="","",SUM(L12:N12)+G12)</f>
        <v>828</v>
      </c>
      <c r="P12" s="226">
        <f>IFERROR(O12/F12,"")</f>
        <v>3.2355124848579581E-2</v>
      </c>
      <c r="R12" s="229">
        <f t="shared" si="0"/>
        <v>7</v>
      </c>
      <c r="S12" s="229">
        <f t="shared" si="1"/>
        <v>2</v>
      </c>
      <c r="W12" s="117"/>
    </row>
    <row r="13" spans="1:24" ht="17.45" customHeight="1">
      <c r="A13">
        <v>10</v>
      </c>
      <c r="B13" s="227" t="str">
        <f>IFERROR(INDEX('IG 콘텐츠 data'!R:R,MATCH('IG 신규발행'!A13,'IG 콘텐츠 data'!S:S,0)),"")</f>
        <v/>
      </c>
      <c r="C13" s="225" t="str">
        <f>IFERROR(IF(INDEX('IG 콘텐츠 data'!$A$1:$AJ$25,MATCH('IG 신규발행'!$A13,'IG 콘텐츠 data'!$S:$S,0),MATCH(C$3,'IG 콘텐츠 data'!$A$1:$O$1,0))="IG 이미지","이미지",IF(INDEX('IG 콘텐츠 data'!$A$1:$AJ$25,MATCH('IG 신규발행'!$A13,'IG 콘텐츠 data'!$S:$S,0),MATCH(C$3,'IG 콘텐츠 data'!$A$1:$O$1,0))="IG 슬라이드","슬라이드",IF(INDEX('IG 콘텐츠 data'!$A$1:$AJ$25,MATCH('IG 신규발행'!$A13,'IG 콘텐츠 data'!$S:$S,0),MATCH(C$3,'IG 콘텐츠 data'!$A$1:$O$1,0))="Instagram 릴스","영상"))),"")</f>
        <v/>
      </c>
      <c r="D13" s="225" t="str">
        <f>IFERROR(INDEX('IG 콘텐츠 data'!$A$1:$AJ$25,MATCH('IG 신규발행'!$A13,'IG 콘텐츠 data'!$S:$S,0),MATCH(D$3,'IG 콘텐츠 data'!$A$1:$Q$1,0)),"")</f>
        <v/>
      </c>
      <c r="E13" s="225" t="str">
        <f>IFERROR(INDEX('IG 콘텐츠 data'!$A$1:$AJ$25,MATCH('IG 신규발행'!$A13,'IG 콘텐츠 data'!$S:$S,0),MATCH(E$3,'IG 콘텐츠 data'!$A$1:$Q$1,0)),"")</f>
        <v/>
      </c>
      <c r="F13" s="225" t="str">
        <f>IFERROR(INDEX('IG 콘텐츠 data'!$A$1:$AJ$25,MATCH('IG 신규발행'!$A13,'IG 콘텐츠 data'!$S:$S,0),MATCH(F$3,'IG 콘텐츠 data'!$A$1:$Q$1,0)),"")</f>
        <v/>
      </c>
      <c r="G13" s="225" t="str">
        <f>IFERROR(INDEX('IG 콘텐츠 data'!$A$1:$AJ$25,MATCH('IG 신규발행'!$A13,'IG 콘텐츠 data'!$S:$S,0),MATCH(G$3,'IG 콘텐츠 data'!$A$1:$Q$1,0)),"")</f>
        <v/>
      </c>
      <c r="H13" s="225" t="str">
        <f>IFERROR(INDEX('IG 콘텐츠 data'!$A$1:$AJ$25,MATCH('IG 신규발행'!$A13,'IG 콘텐츠 data'!$S:$S,0),MATCH(H$3,'IG 콘텐츠 data'!$A$1:$Q$1,0)),"")</f>
        <v/>
      </c>
      <c r="I13" s="225" t="str">
        <f>IFERROR(INDEX('IG 콘텐츠 data'!$A$1:$AJ$25,MATCH('IG 신규발행'!$A13,'IG 콘텐츠 data'!$S:$S,0),MATCH(I$3,'IG 콘텐츠 data'!$A$1:$Q$1,0)),"")</f>
        <v/>
      </c>
      <c r="J13" s="225" t="str">
        <f>IFERROR(INDEX('IG 콘텐츠 data'!$A$1:$AJ$25,MATCH('IG 신규발행'!$A13,'IG 콘텐츠 data'!$S:$S,0),MATCH(J$3,'IG 콘텐츠 data'!$A$1:$Q$1,0)),"")</f>
        <v/>
      </c>
      <c r="K13" s="228" t="str">
        <f>IFERROR(INDEX('IG 콘텐츠 data'!$A$1:$AJ$25,MATCH('IG 신규발행'!$A13,'IG 콘텐츠 data'!$S:$S,0),MATCH(K$3,'IG 콘텐츠 data'!$A$1:$Q$1,0)),"")</f>
        <v/>
      </c>
      <c r="L13" s="225" t="str">
        <f>IFERROR(INDEX('IG 콘텐츠 data'!$A$1:$AJ$25,MATCH('IG 신규발행'!$A13,'IG 콘텐츠 data'!$S:$S,0),MATCH(L$3,'IG 콘텐츠 data'!$A$1:$Q$1,0)),"")</f>
        <v/>
      </c>
      <c r="M13" s="225" t="str">
        <f>IFERROR(INDEX('IG 콘텐츠 data'!$A$1:$AJ$25,MATCH('IG 신규발행'!$A13,'IG 콘텐츠 data'!$S:$S,0),MATCH(M$3,'IG 콘텐츠 data'!$A$1:$Q$1,0)),"")</f>
        <v/>
      </c>
      <c r="N13" s="225" t="str">
        <f>IFERROR(INDEX('IG 콘텐츠 data'!$A$1:$AJ$25,MATCH('IG 신규발행'!$A13,'IG 콘텐츠 data'!$S:$S,0),MATCH(N$3,'IG 콘텐츠 data'!$A$1:$Q$1,0)),"")</f>
        <v/>
      </c>
      <c r="O13" s="225" t="str">
        <f>IF(B13="","",SUM(L13:N13)+G13)</f>
        <v/>
      </c>
      <c r="P13" s="226" t="str">
        <f>IFERROR(O13/F13,"")</f>
        <v/>
      </c>
      <c r="R13" s="229" t="e">
        <f t="shared" si="0"/>
        <v>#VALUE!</v>
      </c>
      <c r="S13" s="229" t="e">
        <f t="shared" si="1"/>
        <v>#VALUE!</v>
      </c>
      <c r="W13" s="117"/>
    </row>
    <row r="14" spans="1:24" ht="17.45" customHeight="1">
      <c r="A14">
        <v>11</v>
      </c>
      <c r="B14" s="227" t="str">
        <f>IFERROR(INDEX('IG 콘텐츠 data'!R:R,MATCH('IG 신규발행'!A14,'IG 콘텐츠 data'!S:S,0)),"")</f>
        <v/>
      </c>
      <c r="C14" s="225" t="str">
        <f>IFERROR(IF(INDEX('IG 콘텐츠 data'!$A$1:$AJ$25,MATCH('IG 신규발행'!$A14,'IG 콘텐츠 data'!$S:$S,0),MATCH(C$3,'IG 콘텐츠 data'!$A$1:$O$1,0))="IG 이미지","이미지",IF(INDEX('IG 콘텐츠 data'!$A$1:$AJ$25,MATCH('IG 신규발행'!$A14,'IG 콘텐츠 data'!$S:$S,0),MATCH(C$3,'IG 콘텐츠 data'!$A$1:$O$1,0))="IG 슬라이드","슬라이드",IF(INDEX('IG 콘텐츠 data'!$A$1:$AJ$25,MATCH('IG 신규발행'!$A14,'IG 콘텐츠 data'!$S:$S,0),MATCH(C$3,'IG 콘텐츠 data'!$A$1:$O$1,0))="Instagram 릴스","영상"))),"")</f>
        <v/>
      </c>
      <c r="D14" s="225" t="str">
        <f>IFERROR(INDEX('IG 콘텐츠 data'!$A$1:$AJ$25,MATCH('IG 신규발행'!$A14,'IG 콘텐츠 data'!$S:$S,0),MATCH(D$3,'IG 콘텐츠 data'!$A$1:$Q$1,0)),"")</f>
        <v/>
      </c>
      <c r="E14" s="225" t="str">
        <f>IFERROR(INDEX('IG 콘텐츠 data'!$A$1:$AJ$25,MATCH('IG 신규발행'!$A14,'IG 콘텐츠 data'!$S:$S,0),MATCH(E$3,'IG 콘텐츠 data'!$A$1:$Q$1,0)),"")</f>
        <v/>
      </c>
      <c r="F14" s="225" t="str">
        <f>IFERROR(INDEX('IG 콘텐츠 data'!$A$1:$AJ$25,MATCH('IG 신규발행'!$A14,'IG 콘텐츠 data'!$S:$S,0),MATCH(F$3,'IG 콘텐츠 data'!$A$1:$Q$1,0)),"")</f>
        <v/>
      </c>
      <c r="G14" s="225" t="str">
        <f>IFERROR(INDEX('IG 콘텐츠 data'!$A$1:$AJ$25,MATCH('IG 신규발행'!$A14,'IG 콘텐츠 data'!$S:$S,0),MATCH(G$3,'IG 콘텐츠 data'!$A$1:$Q$1,0)),"")</f>
        <v/>
      </c>
      <c r="H14" s="225" t="str">
        <f>IFERROR(INDEX('IG 콘텐츠 data'!$A$1:$AJ$25,MATCH('IG 신규발행'!$A14,'IG 콘텐츠 data'!$S:$S,0),MATCH(H$3,'IG 콘텐츠 data'!$A$1:$Q$1,0)),"")</f>
        <v/>
      </c>
      <c r="I14" s="225" t="str">
        <f>IFERROR(INDEX('IG 콘텐츠 data'!$A$1:$AJ$25,MATCH('IG 신규발행'!$A14,'IG 콘텐츠 data'!$S:$S,0),MATCH(I$3,'IG 콘텐츠 data'!$A$1:$Q$1,0)),"")</f>
        <v/>
      </c>
      <c r="J14" s="225" t="str">
        <f>IFERROR(INDEX('IG 콘텐츠 data'!$A$1:$AJ$25,MATCH('IG 신규발행'!$A14,'IG 콘텐츠 data'!$S:$S,0),MATCH(J$3,'IG 콘텐츠 data'!$A$1:$Q$1,0)),"")</f>
        <v/>
      </c>
      <c r="K14" s="228" t="str">
        <f>IFERROR(INDEX('IG 콘텐츠 data'!$A$1:$AJ$25,MATCH('IG 신규발행'!$A14,'IG 콘텐츠 data'!$S:$S,0),MATCH(K$3,'IG 콘텐츠 data'!$A$1:$Q$1,0)),"")</f>
        <v/>
      </c>
      <c r="L14" s="225" t="str">
        <f>IFERROR(INDEX('IG 콘텐츠 data'!$A$1:$AJ$25,MATCH('IG 신규발행'!$A14,'IG 콘텐츠 data'!$S:$S,0),MATCH(L$3,'IG 콘텐츠 data'!$A$1:$Q$1,0)),"")</f>
        <v/>
      </c>
      <c r="M14" s="225" t="str">
        <f>IFERROR(INDEX('IG 콘텐츠 data'!$A$1:$AJ$25,MATCH('IG 신규발행'!$A14,'IG 콘텐츠 data'!$S:$S,0),MATCH(M$3,'IG 콘텐츠 data'!$A$1:$Q$1,0)),"")</f>
        <v/>
      </c>
      <c r="N14" s="225" t="str">
        <f>IFERROR(INDEX('IG 콘텐츠 data'!$A$1:$AJ$25,MATCH('IG 신규발행'!$A14,'IG 콘텐츠 data'!$S:$S,0),MATCH(N$3,'IG 콘텐츠 data'!$A$1:$Q$1,0)),"")</f>
        <v/>
      </c>
      <c r="O14" s="225" t="str">
        <f>IF(B14="","",SUM(L14:N14)+G14)</f>
        <v/>
      </c>
      <c r="P14" s="226" t="str">
        <f>IFERROR(O14/F14,"")</f>
        <v/>
      </c>
      <c r="R14" s="229" t="e">
        <f t="shared" si="0"/>
        <v>#VALUE!</v>
      </c>
      <c r="S14" s="229" t="e">
        <f t="shared" si="1"/>
        <v>#VALUE!</v>
      </c>
      <c r="W14" s="117"/>
    </row>
    <row r="15" spans="1:24" ht="17.45" customHeight="1">
      <c r="A15">
        <v>12</v>
      </c>
      <c r="B15" s="227" t="str">
        <f>IFERROR(INDEX('IG 콘텐츠 data'!R:R,MATCH('IG 신규발행'!A15,'IG 콘텐츠 data'!S:S,0)),"")</f>
        <v/>
      </c>
      <c r="C15" s="225" t="str">
        <f>IFERROR(IF(INDEX('IG 콘텐츠 data'!$A$1:$AJ$25,MATCH('IG 신규발행'!$A15,'IG 콘텐츠 data'!$S:$S,0),MATCH(C$3,'IG 콘텐츠 data'!$A$1:$O$1,0))="IG 이미지","이미지",IF(INDEX('IG 콘텐츠 data'!$A$1:$AJ$25,MATCH('IG 신규발행'!$A15,'IG 콘텐츠 data'!$S:$S,0),MATCH(C$3,'IG 콘텐츠 data'!$A$1:$O$1,0))="IG 슬라이드","슬라이드",IF(INDEX('IG 콘텐츠 data'!$A$1:$AJ$25,MATCH('IG 신규발행'!$A15,'IG 콘텐츠 data'!$S:$S,0),MATCH(C$3,'IG 콘텐츠 data'!$A$1:$O$1,0))="Instagram 릴스","영상"))),"")</f>
        <v/>
      </c>
      <c r="D15" s="225" t="str">
        <f>IFERROR(INDEX('IG 콘텐츠 data'!$A$1:$AJ$25,MATCH('IG 신규발행'!$A15,'IG 콘텐츠 data'!$S:$S,0),MATCH(D$3,'IG 콘텐츠 data'!$A$1:$Q$1,0)),"")</f>
        <v/>
      </c>
      <c r="E15" s="225" t="str">
        <f>IFERROR(INDEX('IG 콘텐츠 data'!$A$1:$AJ$25,MATCH('IG 신규발행'!$A15,'IG 콘텐츠 data'!$S:$S,0),MATCH(E$3,'IG 콘텐츠 data'!$A$1:$Q$1,0)),"")</f>
        <v/>
      </c>
      <c r="F15" s="225" t="str">
        <f>IFERROR(INDEX('IG 콘텐츠 data'!$A$1:$AJ$25,MATCH('IG 신규발행'!$A15,'IG 콘텐츠 data'!$S:$S,0),MATCH(F$3,'IG 콘텐츠 data'!$A$1:$Q$1,0)),"")</f>
        <v/>
      </c>
      <c r="G15" s="225" t="str">
        <f>IFERROR(INDEX('IG 콘텐츠 data'!$A$1:$AJ$25,MATCH('IG 신규발행'!$A15,'IG 콘텐츠 data'!$S:$S,0),MATCH(G$3,'IG 콘텐츠 data'!$A$1:$Q$1,0)),"")</f>
        <v/>
      </c>
      <c r="H15" s="225" t="str">
        <f>IFERROR(INDEX('IG 콘텐츠 data'!$A$1:$AJ$25,MATCH('IG 신규발행'!$A15,'IG 콘텐츠 data'!$S:$S,0),MATCH(H$3,'IG 콘텐츠 data'!$A$1:$Q$1,0)),"")</f>
        <v/>
      </c>
      <c r="I15" s="225" t="str">
        <f>IFERROR(INDEX('IG 콘텐츠 data'!$A$1:$AJ$25,MATCH('IG 신규발행'!$A15,'IG 콘텐츠 data'!$S:$S,0),MATCH(I$3,'IG 콘텐츠 data'!$A$1:$Q$1,0)),"")</f>
        <v/>
      </c>
      <c r="J15" s="225" t="str">
        <f>IFERROR(INDEX('IG 콘텐츠 data'!$A$1:$AJ$25,MATCH('IG 신규발행'!$A15,'IG 콘텐츠 data'!$S:$S,0),MATCH(J$3,'IG 콘텐츠 data'!$A$1:$Q$1,0)),"")</f>
        <v/>
      </c>
      <c r="K15" s="228" t="str">
        <f>IFERROR(INDEX('IG 콘텐츠 data'!$A$1:$AJ$25,MATCH('IG 신규발행'!$A15,'IG 콘텐츠 data'!$S:$S,0),MATCH(K$3,'IG 콘텐츠 data'!$A$1:$Q$1,0)),"")</f>
        <v/>
      </c>
      <c r="L15" s="225" t="str">
        <f>IFERROR(INDEX('IG 콘텐츠 data'!$A$1:$AJ$25,MATCH('IG 신규발행'!$A15,'IG 콘텐츠 data'!$S:$S,0),MATCH(L$3,'IG 콘텐츠 data'!$A$1:$Q$1,0)),"")</f>
        <v/>
      </c>
      <c r="M15" s="225" t="str">
        <f>IFERROR(INDEX('IG 콘텐츠 data'!$A$1:$AJ$25,MATCH('IG 신규발행'!$A15,'IG 콘텐츠 data'!$S:$S,0),MATCH(M$3,'IG 콘텐츠 data'!$A$1:$Q$1,0)),"")</f>
        <v/>
      </c>
      <c r="N15" s="225" t="str">
        <f>IFERROR(INDEX('IG 콘텐츠 data'!$A$1:$AJ$25,MATCH('IG 신규발행'!$A15,'IG 콘텐츠 data'!$S:$S,0),MATCH(N$3,'IG 콘텐츠 data'!$A$1:$Q$1,0)),"")</f>
        <v/>
      </c>
      <c r="O15" s="225" t="str">
        <f>IF(B15="","",SUM(L15:N15)+G15)</f>
        <v/>
      </c>
      <c r="P15" s="226" t="str">
        <f>IFERROR(O15/F15,"")</f>
        <v/>
      </c>
      <c r="R15" s="229" t="e">
        <f t="shared" si="0"/>
        <v>#VALUE!</v>
      </c>
      <c r="S15" s="229" t="e">
        <f t="shared" si="1"/>
        <v>#VALUE!</v>
      </c>
      <c r="W15" s="117"/>
    </row>
    <row r="16" spans="1:24" ht="17.45" customHeight="1">
      <c r="B16" s="227" t="str">
        <f>IFERROR(INDEX('IG 콘텐츠 data'!R:R,MATCH('IG 신규발행'!A16,'IG 콘텐츠 data'!S:S,0)),"")</f>
        <v/>
      </c>
      <c r="C16" s="225" t="str">
        <f>IFERROR(IF(INDEX('IG 콘텐츠 data'!$A$1:$AJ$25,MATCH('IG 신규발행'!$A16,'IG 콘텐츠 data'!$S:$S,0),MATCH(C$3,'IG 콘텐츠 data'!$A$1:$O$1,0))="IG 이미지","이미지",IF(INDEX('IG 콘텐츠 data'!$A$1:$AJ$25,MATCH('IG 신규발행'!$A16,'IG 콘텐츠 data'!$S:$S,0),MATCH(C$3,'IG 콘텐츠 data'!$A$1:$O$1,0))="IG 슬라이드","슬라이드",IF(INDEX('IG 콘텐츠 data'!$A$1:$AJ$25,MATCH('IG 신규발행'!$A16,'IG 콘텐츠 data'!$S:$S,0),MATCH(C$3,'IG 콘텐츠 data'!$A$1:$O$1,0))="Instagram 릴스","영상"))),"")</f>
        <v/>
      </c>
      <c r="D16" s="225" t="str">
        <f>IFERROR(INDEX('IG 콘텐츠 data'!$A$1:$AJ$25,MATCH('IG 신규발행'!$A16,'IG 콘텐츠 data'!$S:$S,0),MATCH(D$3,'IG 콘텐츠 data'!$A$1:$Q$1,0)),"")</f>
        <v/>
      </c>
      <c r="E16" s="225" t="str">
        <f>IFERROR(INDEX('IG 콘텐츠 data'!$A$1:$AJ$25,MATCH('IG 신규발행'!$A16,'IG 콘텐츠 data'!$S:$S,0),MATCH(E$3,'IG 콘텐츠 data'!$A$1:$Q$1,0)),"")</f>
        <v/>
      </c>
      <c r="F16" s="225" t="str">
        <f>IFERROR(INDEX('IG 콘텐츠 data'!$A$1:$AJ$25,MATCH('IG 신규발행'!$A16,'IG 콘텐츠 data'!$S:$S,0),MATCH(F$3,'IG 콘텐츠 data'!$A$1:$Q$1,0)),"")</f>
        <v/>
      </c>
      <c r="G16" s="225" t="str">
        <f>IFERROR(INDEX('IG 콘텐츠 data'!$A$1:$AJ$25,MATCH('IG 신규발행'!$A16,'IG 콘텐츠 data'!$S:$S,0),MATCH(G$3,'IG 콘텐츠 data'!$A$1:$Q$1,0)),"")</f>
        <v/>
      </c>
      <c r="H16" s="225" t="str">
        <f>IFERROR(INDEX('IG 콘텐츠 data'!$A$1:$AJ$25,MATCH('IG 신규발행'!$A16,'IG 콘텐츠 data'!$S:$S,0),MATCH(H$3,'IG 콘텐츠 data'!$A$1:$Q$1,0)),"")</f>
        <v/>
      </c>
      <c r="I16" s="225" t="str">
        <f>IFERROR(INDEX('IG 콘텐츠 data'!$A$1:$AJ$25,MATCH('IG 신규발행'!$A16,'IG 콘텐츠 data'!$S:$S,0),MATCH(I$3,'IG 콘텐츠 data'!$A$1:$Q$1,0)),"")</f>
        <v/>
      </c>
      <c r="J16" s="225" t="str">
        <f>IFERROR(INDEX('IG 콘텐츠 data'!$A$1:$AJ$25,MATCH('IG 신규발행'!$A16,'IG 콘텐츠 data'!$S:$S,0),MATCH(J$3,'IG 콘텐츠 data'!$A$1:$Q$1,0)),"")</f>
        <v/>
      </c>
      <c r="K16" s="228" t="str">
        <f>IFERROR(INDEX('IG 콘텐츠 data'!$A$1:$AJ$25,MATCH('IG 신규발행'!$A16,'IG 콘텐츠 data'!$S:$S,0),MATCH(K$3,'IG 콘텐츠 data'!$A$1:$Q$1,0)),"")</f>
        <v/>
      </c>
      <c r="L16" s="225" t="str">
        <f>IFERROR(INDEX('IG 콘텐츠 data'!$A$1:$AJ$25,MATCH('IG 신규발행'!$A16,'IG 콘텐츠 data'!$S:$S,0),MATCH(L$3,'IG 콘텐츠 data'!$A$1:$Q$1,0)),"")</f>
        <v/>
      </c>
      <c r="M16" s="225" t="str">
        <f>IFERROR(INDEX('IG 콘텐츠 data'!$A$1:$AJ$25,MATCH('IG 신규발행'!$A16,'IG 콘텐츠 data'!$S:$S,0),MATCH(M$3,'IG 콘텐츠 data'!$A$1:$Q$1,0)),"")</f>
        <v/>
      </c>
      <c r="N16" s="225" t="str">
        <f>IFERROR(INDEX('IG 콘텐츠 data'!$A$1:$AJ$25,MATCH('IG 신규발행'!$A16,'IG 콘텐츠 data'!$S:$S,0),MATCH(N$3,'IG 콘텐츠 data'!$A$1:$Q$1,0)),"")</f>
        <v/>
      </c>
      <c r="O16" s="225" t="str">
        <f>IF(B16="","",SUM(L16:N16)+G16)</f>
        <v/>
      </c>
      <c r="P16" s="226" t="str">
        <f>IFERROR(O16/F16,"")</f>
        <v/>
      </c>
      <c r="R16" s="229" t="e">
        <f t="shared" si="0"/>
        <v>#VALUE!</v>
      </c>
      <c r="S16" s="229" t="e">
        <f t="shared" si="1"/>
        <v>#VALUE!</v>
      </c>
      <c r="W16" s="117"/>
    </row>
    <row r="17" spans="1:23" ht="17.45" customHeight="1">
      <c r="A17">
        <v>14</v>
      </c>
      <c r="B17" s="227" t="str">
        <f>IFERROR(INDEX('IG 콘텐츠 data'!R:R,MATCH('IG 신규발행'!A17,'IG 콘텐츠 data'!S:S,0)),"")</f>
        <v/>
      </c>
      <c r="C17" s="225" t="str">
        <f>IFERROR(IF(INDEX('IG 콘텐츠 data'!$A$1:$AJ$25,MATCH('IG 신규발행'!$A17,'IG 콘텐츠 data'!$S:$S,0),MATCH(C$3,'IG 콘텐츠 data'!$A$1:$O$1,0))="IG 이미지","이미지",IF(INDEX('IG 콘텐츠 data'!$A$1:$AJ$25,MATCH('IG 신규발행'!$A17,'IG 콘텐츠 data'!$S:$S,0),MATCH(C$3,'IG 콘텐츠 data'!$A$1:$O$1,0))="IG 슬라이드","슬라이드",IF(INDEX('IG 콘텐츠 data'!$A$1:$AJ$25,MATCH('IG 신규발행'!$A17,'IG 콘텐츠 data'!$S:$S,0),MATCH(C$3,'IG 콘텐츠 data'!$A$1:$O$1,0))="Instagram 릴스","영상"))),"")</f>
        <v/>
      </c>
      <c r="D17" s="225" t="str">
        <f>IFERROR(INDEX('IG 콘텐츠 data'!$A$1:$AJ$25,MATCH('IG 신규발행'!$A17,'IG 콘텐츠 data'!$S:$S,0),MATCH(D$3,'IG 콘텐츠 data'!$A$1:$Q$1,0)),"")</f>
        <v/>
      </c>
      <c r="E17" s="225" t="str">
        <f>IFERROR(INDEX('IG 콘텐츠 data'!$A$1:$AJ$25,MATCH('IG 신규발행'!$A17,'IG 콘텐츠 data'!$S:$S,0),MATCH(E$3,'IG 콘텐츠 data'!$A$1:$Q$1,0)),"")</f>
        <v/>
      </c>
      <c r="F17" s="225" t="str">
        <f>IFERROR(INDEX('IG 콘텐츠 data'!$A$1:$AJ$25,MATCH('IG 신규발행'!$A17,'IG 콘텐츠 data'!$S:$S,0),MATCH(F$3,'IG 콘텐츠 data'!$A$1:$Q$1,0)),"")</f>
        <v/>
      </c>
      <c r="G17" s="225" t="str">
        <f>IFERROR(INDEX('IG 콘텐츠 data'!$A$1:$AJ$25,MATCH('IG 신규발행'!$A17,'IG 콘텐츠 data'!$S:$S,0),MATCH(G$3,'IG 콘텐츠 data'!$A$1:$Q$1,0)),"")</f>
        <v/>
      </c>
      <c r="H17" s="225" t="str">
        <f>IFERROR(INDEX('IG 콘텐츠 data'!$A$1:$AJ$25,MATCH('IG 신규발행'!$A17,'IG 콘텐츠 data'!$S:$S,0),MATCH(H$3,'IG 콘텐츠 data'!$A$1:$Q$1,0)),"")</f>
        <v/>
      </c>
      <c r="I17" s="225" t="str">
        <f>IFERROR(INDEX('IG 콘텐츠 data'!$A$1:$AJ$25,MATCH('IG 신규발행'!$A17,'IG 콘텐츠 data'!$S:$S,0),MATCH(I$3,'IG 콘텐츠 data'!$A$1:$Q$1,0)),"")</f>
        <v/>
      </c>
      <c r="J17" s="225" t="str">
        <f>IFERROR(INDEX('IG 콘텐츠 data'!$A$1:$AJ$25,MATCH('IG 신규발행'!$A17,'IG 콘텐츠 data'!$S:$S,0),MATCH(J$3,'IG 콘텐츠 data'!$A$1:$Q$1,0)),"")</f>
        <v/>
      </c>
      <c r="K17" s="228" t="str">
        <f>IFERROR(INDEX('IG 콘텐츠 data'!$A$1:$AJ$25,MATCH('IG 신규발행'!$A17,'IG 콘텐츠 data'!$S:$S,0),MATCH(K$3,'IG 콘텐츠 data'!$A$1:$Q$1,0)),"")</f>
        <v/>
      </c>
      <c r="L17" s="225" t="str">
        <f>IFERROR(INDEX('IG 콘텐츠 data'!$A$1:$AJ$25,MATCH('IG 신규발행'!$A17,'IG 콘텐츠 data'!$S:$S,0),MATCH(L$3,'IG 콘텐츠 data'!$A$1:$Q$1,0)),"")</f>
        <v/>
      </c>
      <c r="M17" s="225" t="str">
        <f>IFERROR(INDEX('IG 콘텐츠 data'!$A$1:$AJ$25,MATCH('IG 신규발행'!$A17,'IG 콘텐츠 data'!$S:$S,0),MATCH(M$3,'IG 콘텐츠 data'!$A$1:$Q$1,0)),"")</f>
        <v/>
      </c>
      <c r="N17" s="225" t="str">
        <f>IFERROR(INDEX('IG 콘텐츠 data'!$A$1:$AJ$25,MATCH('IG 신규발행'!$A17,'IG 콘텐츠 data'!$S:$S,0),MATCH(N$3,'IG 콘텐츠 data'!$A$1:$Q$1,0)),"")</f>
        <v/>
      </c>
      <c r="O17" s="225" t="str">
        <f>IF(B17="","",SUM(L17:N17)+G17)</f>
        <v/>
      </c>
      <c r="P17" s="226" t="str">
        <f>IFERROR(O17/F17,"")</f>
        <v/>
      </c>
      <c r="R17" s="229" t="e">
        <f t="shared" si="0"/>
        <v>#VALUE!</v>
      </c>
      <c r="S17" s="229" t="e">
        <f t="shared" si="1"/>
        <v>#VALUE!</v>
      </c>
      <c r="W17" s="117"/>
    </row>
    <row r="18" spans="1:23" ht="17.45" customHeight="1">
      <c r="A18">
        <v>15</v>
      </c>
      <c r="B18" s="227" t="str">
        <f>IFERROR(INDEX('IG 콘텐츠 data'!R:R,MATCH('IG 신규발행'!A18,'IG 콘텐츠 data'!S:S,0)),"")</f>
        <v/>
      </c>
      <c r="C18" s="225" t="str">
        <f>IFERROR(IF(INDEX('IG 콘텐츠 data'!$A$1:$AJ$25,MATCH('IG 신규발행'!$A18,'IG 콘텐츠 data'!$S:$S,0),MATCH(C$3,'IG 콘텐츠 data'!$A$1:$O$1,0))="IG 이미지","이미지",IF(INDEX('IG 콘텐츠 data'!$A$1:$AJ$25,MATCH('IG 신규발행'!$A18,'IG 콘텐츠 data'!$S:$S,0),MATCH(C$3,'IG 콘텐츠 data'!$A$1:$O$1,0))="IG 슬라이드","슬라이드",IF(INDEX('IG 콘텐츠 data'!$A$1:$AJ$25,MATCH('IG 신규발행'!$A18,'IG 콘텐츠 data'!$S:$S,0),MATCH(C$3,'IG 콘텐츠 data'!$A$1:$O$1,0))="Instagram 릴스","영상"))),"")</f>
        <v/>
      </c>
      <c r="D18" s="225" t="str">
        <f>IFERROR(INDEX('IG 콘텐츠 data'!$A$1:$AJ$25,MATCH('IG 신규발행'!$A18,'IG 콘텐츠 data'!$S:$S,0),MATCH(D$3,'IG 콘텐츠 data'!$A$1:$Q$1,0)),"")</f>
        <v/>
      </c>
      <c r="E18" s="225" t="str">
        <f>IFERROR(INDEX('IG 콘텐츠 data'!$A$1:$AJ$25,MATCH('IG 신규발행'!$A18,'IG 콘텐츠 data'!$S:$S,0),MATCH(E$3,'IG 콘텐츠 data'!$A$1:$Q$1,0)),"")</f>
        <v/>
      </c>
      <c r="F18" s="225" t="str">
        <f>IFERROR(INDEX('IG 콘텐츠 data'!$A$1:$AJ$25,MATCH('IG 신규발행'!$A18,'IG 콘텐츠 data'!$S:$S,0),MATCH(F$3,'IG 콘텐츠 data'!$A$1:$Q$1,0)),"")</f>
        <v/>
      </c>
      <c r="G18" s="225" t="str">
        <f>IFERROR(INDEX('IG 콘텐츠 data'!$A$1:$AJ$25,MATCH('IG 신규발행'!$A18,'IG 콘텐츠 data'!$S:$S,0),MATCH(G$3,'IG 콘텐츠 data'!$A$1:$Q$1,0)),"")</f>
        <v/>
      </c>
      <c r="H18" s="225" t="str">
        <f>IFERROR(INDEX('IG 콘텐츠 data'!$A$1:$AJ$25,MATCH('IG 신규발행'!$A18,'IG 콘텐츠 data'!$S:$S,0),MATCH(H$3,'IG 콘텐츠 data'!$A$1:$Q$1,0)),"")</f>
        <v/>
      </c>
      <c r="I18" s="225" t="str">
        <f>IFERROR(INDEX('IG 콘텐츠 data'!$A$1:$AJ$25,MATCH('IG 신규발행'!$A18,'IG 콘텐츠 data'!$S:$S,0),MATCH(I$3,'IG 콘텐츠 data'!$A$1:$Q$1,0)),"")</f>
        <v/>
      </c>
      <c r="J18" s="225" t="str">
        <f>IFERROR(INDEX('IG 콘텐츠 data'!$A$1:$AJ$25,MATCH('IG 신규발행'!$A18,'IG 콘텐츠 data'!$S:$S,0),MATCH(J$3,'IG 콘텐츠 data'!$A$1:$Q$1,0)),"")</f>
        <v/>
      </c>
      <c r="K18" s="228" t="str">
        <f>IFERROR(INDEX('IG 콘텐츠 data'!$A$1:$AJ$25,MATCH('IG 신규발행'!$A18,'IG 콘텐츠 data'!$S:$S,0),MATCH(K$3,'IG 콘텐츠 data'!$A$1:$Q$1,0)),"")</f>
        <v/>
      </c>
      <c r="L18" s="225" t="str">
        <f>IFERROR(INDEX('IG 콘텐츠 data'!$A$1:$AJ$25,MATCH('IG 신규발행'!$A18,'IG 콘텐츠 data'!$S:$S,0),MATCH(L$3,'IG 콘텐츠 data'!$A$1:$Q$1,0)),"")</f>
        <v/>
      </c>
      <c r="M18" s="225" t="str">
        <f>IFERROR(INDEX('IG 콘텐츠 data'!$A$1:$AJ$25,MATCH('IG 신규발행'!$A18,'IG 콘텐츠 data'!$S:$S,0),MATCH(M$3,'IG 콘텐츠 data'!$A$1:$Q$1,0)),"")</f>
        <v/>
      </c>
      <c r="N18" s="225" t="str">
        <f>IFERROR(INDEX('IG 콘텐츠 data'!$A$1:$AJ$25,MATCH('IG 신규발행'!$A18,'IG 콘텐츠 data'!$S:$S,0),MATCH(N$3,'IG 콘텐츠 data'!$A$1:$Q$1,0)),"")</f>
        <v/>
      </c>
      <c r="O18" s="225" t="str">
        <f>IF(B18="","",SUM(L18:N18)+G18)</f>
        <v/>
      </c>
      <c r="P18" s="226" t="str">
        <f>IFERROR(O18/F18,"")</f>
        <v/>
      </c>
      <c r="R18" s="229" t="e">
        <f t="shared" si="0"/>
        <v>#VALUE!</v>
      </c>
      <c r="S18" s="229" t="e">
        <f t="shared" si="1"/>
        <v>#VALUE!</v>
      </c>
      <c r="W18" s="117"/>
    </row>
    <row r="19" spans="1:23" ht="17.45" customHeight="1">
      <c r="A19">
        <v>16</v>
      </c>
      <c r="B19" s="227" t="str">
        <f>IFERROR(INDEX('IG 콘텐츠 data'!R:R,MATCH('IG 신규발행'!A19,'IG 콘텐츠 data'!S:S,0)),"")</f>
        <v/>
      </c>
      <c r="C19" s="225" t="str">
        <f>IFERROR(IF(INDEX('IG 콘텐츠 data'!$A$1:$AJ$25,MATCH('IG 신규발행'!$A19,'IG 콘텐츠 data'!$S:$S,0),MATCH(C$3,'IG 콘텐츠 data'!$A$1:$O$1,0))="IG 이미지","이미지",IF(INDEX('IG 콘텐츠 data'!$A$1:$AJ$25,MATCH('IG 신규발행'!$A19,'IG 콘텐츠 data'!$S:$S,0),MATCH(C$3,'IG 콘텐츠 data'!$A$1:$O$1,0))="IG 슬라이드","슬라이드",IF(INDEX('IG 콘텐츠 data'!$A$1:$AJ$25,MATCH('IG 신규발행'!$A19,'IG 콘텐츠 data'!$S:$S,0),MATCH(C$3,'IG 콘텐츠 data'!$A$1:$O$1,0))="Instagram 릴스","영상"))),"")</f>
        <v/>
      </c>
      <c r="D19" s="225" t="str">
        <f>IFERROR(INDEX('IG 콘텐츠 data'!$A$1:$AJ$25,MATCH('IG 신규발행'!$A19,'IG 콘텐츠 data'!$S:$S,0),MATCH(D$3,'IG 콘텐츠 data'!$A$1:$Q$1,0)),"")</f>
        <v/>
      </c>
      <c r="E19" s="225" t="str">
        <f>IFERROR(INDEX('IG 콘텐츠 data'!$A$1:$AJ$25,MATCH('IG 신규발행'!$A19,'IG 콘텐츠 data'!$S:$S,0),MATCH(E$3,'IG 콘텐츠 data'!$A$1:$Q$1,0)),"")</f>
        <v/>
      </c>
      <c r="F19" s="225" t="str">
        <f>IFERROR(INDEX('IG 콘텐츠 data'!$A$1:$AJ$25,MATCH('IG 신규발행'!$A19,'IG 콘텐츠 data'!$S:$S,0),MATCH(F$3,'IG 콘텐츠 data'!$A$1:$Q$1,0)),"")</f>
        <v/>
      </c>
      <c r="G19" s="225" t="str">
        <f>IFERROR(INDEX('IG 콘텐츠 data'!$A$1:$AJ$25,MATCH('IG 신규발행'!$A19,'IG 콘텐츠 data'!$S:$S,0),MATCH(G$3,'IG 콘텐츠 data'!$A$1:$Q$1,0)),"")</f>
        <v/>
      </c>
      <c r="H19" s="225" t="str">
        <f>IFERROR(INDEX('IG 콘텐츠 data'!$A$1:$AJ$25,MATCH('IG 신규발행'!$A19,'IG 콘텐츠 data'!$S:$S,0),MATCH(H$3,'IG 콘텐츠 data'!$A$1:$Q$1,0)),"")</f>
        <v/>
      </c>
      <c r="I19" s="225" t="str">
        <f>IFERROR(INDEX('IG 콘텐츠 data'!$A$1:$AJ$25,MATCH('IG 신규발행'!$A19,'IG 콘텐츠 data'!$S:$S,0),MATCH(I$3,'IG 콘텐츠 data'!$A$1:$Q$1,0)),"")</f>
        <v/>
      </c>
      <c r="J19" s="225" t="str">
        <f>IFERROR(INDEX('IG 콘텐츠 data'!$A$1:$AJ$25,MATCH('IG 신규발행'!$A19,'IG 콘텐츠 data'!$S:$S,0),MATCH(J$3,'IG 콘텐츠 data'!$A$1:$Q$1,0)),"")</f>
        <v/>
      </c>
      <c r="K19" s="228" t="str">
        <f>IFERROR(INDEX('IG 콘텐츠 data'!$A$1:$AJ$25,MATCH('IG 신규발행'!$A19,'IG 콘텐츠 data'!$S:$S,0),MATCH(K$3,'IG 콘텐츠 data'!$A$1:$Q$1,0)),"")</f>
        <v/>
      </c>
      <c r="L19" s="225" t="str">
        <f>IFERROR(INDEX('IG 콘텐츠 data'!$A$1:$AJ$25,MATCH('IG 신규발행'!$A19,'IG 콘텐츠 data'!$S:$S,0),MATCH(L$3,'IG 콘텐츠 data'!$A$1:$Q$1,0)),"")</f>
        <v/>
      </c>
      <c r="M19" s="225" t="str">
        <f>IFERROR(INDEX('IG 콘텐츠 data'!$A$1:$AJ$25,MATCH('IG 신규발행'!$A19,'IG 콘텐츠 data'!$S:$S,0),MATCH(M$3,'IG 콘텐츠 data'!$A$1:$Q$1,0)),"")</f>
        <v/>
      </c>
      <c r="N19" s="225" t="str">
        <f>IFERROR(INDEX('IG 콘텐츠 data'!$A$1:$AJ$25,MATCH('IG 신규발행'!$A19,'IG 콘텐츠 data'!$S:$S,0),MATCH(N$3,'IG 콘텐츠 data'!$A$1:$Q$1,0)),"")</f>
        <v/>
      </c>
      <c r="O19" s="225" t="str">
        <f>IF(B19="","",SUM(L19:N19)+G19)</f>
        <v/>
      </c>
      <c r="P19" s="226" t="str">
        <f>IFERROR(O19/F19,"")</f>
        <v/>
      </c>
      <c r="R19" s="229" t="e">
        <f t="shared" si="0"/>
        <v>#VALUE!</v>
      </c>
      <c r="S19" s="229" t="e">
        <f t="shared" si="1"/>
        <v>#VALUE!</v>
      </c>
      <c r="W19" s="117"/>
    </row>
    <row r="20" spans="1:23" ht="17.45" customHeight="1">
      <c r="A20">
        <v>17</v>
      </c>
      <c r="B20" s="227" t="str">
        <f>IFERROR(INDEX('IG 콘텐츠 data'!R:R,MATCH('IG 신규발행'!A20,'IG 콘텐츠 data'!S:S,0)),"")</f>
        <v/>
      </c>
      <c r="C20" s="225" t="str">
        <f>IFERROR(IF(INDEX('IG 콘텐츠 data'!$A$1:$AJ$25,MATCH('IG 신규발행'!$A20,'IG 콘텐츠 data'!$S:$S,0),MATCH(C$3,'IG 콘텐츠 data'!$A$1:$O$1,0))="IG 이미지","이미지",IF(INDEX('IG 콘텐츠 data'!$A$1:$AJ$25,MATCH('IG 신규발행'!$A20,'IG 콘텐츠 data'!$S:$S,0),MATCH(C$3,'IG 콘텐츠 data'!$A$1:$O$1,0))="IG 슬라이드","슬라이드",IF(INDEX('IG 콘텐츠 data'!$A$1:$AJ$25,MATCH('IG 신규발행'!$A20,'IG 콘텐츠 data'!$S:$S,0),MATCH(C$3,'IG 콘텐츠 data'!$A$1:$O$1,0))="Instagram 릴스","영상"))),"")</f>
        <v/>
      </c>
      <c r="D20" s="225" t="str">
        <f>IFERROR(INDEX('IG 콘텐츠 data'!$A$1:$AJ$25,MATCH('IG 신규발행'!$A20,'IG 콘텐츠 data'!$S:$S,0),MATCH(D$3,'IG 콘텐츠 data'!$A$1:$Q$1,0)),"")</f>
        <v/>
      </c>
      <c r="E20" s="225" t="str">
        <f>IFERROR(INDEX('IG 콘텐츠 data'!$A$1:$AJ$25,MATCH('IG 신규발행'!$A20,'IG 콘텐츠 data'!$S:$S,0),MATCH(E$3,'IG 콘텐츠 data'!$A$1:$Q$1,0)),"")</f>
        <v/>
      </c>
      <c r="F20" s="225" t="str">
        <f>IFERROR(INDEX('IG 콘텐츠 data'!$A$1:$AJ$25,MATCH('IG 신규발행'!$A20,'IG 콘텐츠 data'!$S:$S,0),MATCH(F$3,'IG 콘텐츠 data'!$A$1:$Q$1,0)),"")</f>
        <v/>
      </c>
      <c r="G20" s="225" t="str">
        <f>IFERROR(INDEX('IG 콘텐츠 data'!$A$1:$AJ$25,MATCH('IG 신규발행'!$A20,'IG 콘텐츠 data'!$S:$S,0),MATCH(G$3,'IG 콘텐츠 data'!$A$1:$Q$1,0)),"")</f>
        <v/>
      </c>
      <c r="H20" s="225" t="str">
        <f>IFERROR(INDEX('IG 콘텐츠 data'!$A$1:$AJ$25,MATCH('IG 신규발행'!$A20,'IG 콘텐츠 data'!$S:$S,0),MATCH(H$3,'IG 콘텐츠 data'!$A$1:$Q$1,0)),"")</f>
        <v/>
      </c>
      <c r="I20" s="225" t="str">
        <f>IFERROR(INDEX('IG 콘텐츠 data'!$A$1:$AJ$25,MATCH('IG 신규발행'!$A20,'IG 콘텐츠 data'!$S:$S,0),MATCH(I$3,'IG 콘텐츠 data'!$A$1:$Q$1,0)),"")</f>
        <v/>
      </c>
      <c r="J20" s="225" t="str">
        <f>IFERROR(INDEX('IG 콘텐츠 data'!$A$1:$AJ$25,MATCH('IG 신규발행'!$A20,'IG 콘텐츠 data'!$S:$S,0),MATCH(J$3,'IG 콘텐츠 data'!$A$1:$Q$1,0)),"")</f>
        <v/>
      </c>
      <c r="K20" s="228" t="str">
        <f>IFERROR(INDEX('IG 콘텐츠 data'!$A$1:$AJ$25,MATCH('IG 신규발행'!$A20,'IG 콘텐츠 data'!$S:$S,0),MATCH(K$3,'IG 콘텐츠 data'!$A$1:$Q$1,0)),"")</f>
        <v/>
      </c>
      <c r="L20" s="225" t="str">
        <f>IFERROR(INDEX('IG 콘텐츠 data'!$A$1:$AJ$25,MATCH('IG 신규발행'!$A20,'IG 콘텐츠 data'!$S:$S,0),MATCH(L$3,'IG 콘텐츠 data'!$A$1:$Q$1,0)),"")</f>
        <v/>
      </c>
      <c r="M20" s="225" t="str">
        <f>IFERROR(INDEX('IG 콘텐츠 data'!$A$1:$AJ$25,MATCH('IG 신규발행'!$A20,'IG 콘텐츠 data'!$S:$S,0),MATCH(M$3,'IG 콘텐츠 data'!$A$1:$Q$1,0)),"")</f>
        <v/>
      </c>
      <c r="N20" s="225" t="str">
        <f>IFERROR(INDEX('IG 콘텐츠 data'!$A$1:$AJ$25,MATCH('IG 신규발행'!$A20,'IG 콘텐츠 data'!$S:$S,0),MATCH(N$3,'IG 콘텐츠 data'!$A$1:$Q$1,0)),"")</f>
        <v/>
      </c>
      <c r="O20" s="225" t="str">
        <f>IF(B20="","",SUM(L20:N20)+G20)</f>
        <v/>
      </c>
      <c r="P20" s="226" t="str">
        <f>IFERROR(O20/F20,"")</f>
        <v/>
      </c>
      <c r="R20" s="229" t="e">
        <f t="shared" si="0"/>
        <v>#VALUE!</v>
      </c>
      <c r="S20" s="229" t="e">
        <f t="shared" si="1"/>
        <v>#VALUE!</v>
      </c>
      <c r="W20" s="117"/>
    </row>
    <row r="21" spans="1:23" ht="17.45" customHeight="1">
      <c r="A21">
        <v>18</v>
      </c>
      <c r="B21" s="227" t="str">
        <f>IFERROR(INDEX('IG 콘텐츠 data'!R:R,MATCH('IG 신규발행'!A21,'IG 콘텐츠 data'!S:S,0)),"")</f>
        <v/>
      </c>
      <c r="C21" s="225" t="str">
        <f>IFERROR(IF(INDEX('IG 콘텐츠 data'!$A$1:$AJ$25,MATCH('IG 신규발행'!$A21,'IG 콘텐츠 data'!$S:$S,0),MATCH(C$3,'IG 콘텐츠 data'!$A$1:$O$1,0))="IG 이미지","이미지",IF(INDEX('IG 콘텐츠 data'!$A$1:$AJ$25,MATCH('IG 신규발행'!$A21,'IG 콘텐츠 data'!$S:$S,0),MATCH(C$3,'IG 콘텐츠 data'!$A$1:$O$1,0))="IG 슬라이드","슬라이드",IF(INDEX('IG 콘텐츠 data'!$A$1:$AJ$25,MATCH('IG 신규발행'!$A21,'IG 콘텐츠 data'!$S:$S,0),MATCH(C$3,'IG 콘텐츠 data'!$A$1:$O$1,0))="Instagram 릴스","영상"))),"")</f>
        <v/>
      </c>
      <c r="D21" s="225" t="str">
        <f>IFERROR(INDEX('IG 콘텐츠 data'!$A$1:$AJ$25,MATCH('IG 신규발행'!$A21,'IG 콘텐츠 data'!$S:$S,0),MATCH(D$3,'IG 콘텐츠 data'!$A$1:$Q$1,0)),"")</f>
        <v/>
      </c>
      <c r="E21" s="225" t="str">
        <f>IFERROR(INDEX('IG 콘텐츠 data'!$A$1:$AJ$25,MATCH('IG 신규발행'!$A21,'IG 콘텐츠 data'!$S:$S,0),MATCH(E$3,'IG 콘텐츠 data'!$A$1:$Q$1,0)),"")</f>
        <v/>
      </c>
      <c r="F21" s="225" t="str">
        <f>IFERROR(INDEX('IG 콘텐츠 data'!$A$1:$AJ$25,MATCH('IG 신규발행'!$A21,'IG 콘텐츠 data'!$S:$S,0),MATCH(F$3,'IG 콘텐츠 data'!$A$1:$Q$1,0)),"")</f>
        <v/>
      </c>
      <c r="G21" s="225" t="str">
        <f>IFERROR(INDEX('IG 콘텐츠 data'!$A$1:$AJ$25,MATCH('IG 신규발행'!$A21,'IG 콘텐츠 data'!$S:$S,0),MATCH(G$3,'IG 콘텐츠 data'!$A$1:$Q$1,0)),"")</f>
        <v/>
      </c>
      <c r="H21" s="225" t="str">
        <f>IFERROR(INDEX('IG 콘텐츠 data'!$A$1:$AJ$25,MATCH('IG 신규발행'!$A21,'IG 콘텐츠 data'!$S:$S,0),MATCH(H$3,'IG 콘텐츠 data'!$A$1:$Q$1,0)),"")</f>
        <v/>
      </c>
      <c r="I21" s="225" t="str">
        <f>IFERROR(INDEX('IG 콘텐츠 data'!$A$1:$AJ$25,MATCH('IG 신규발행'!$A21,'IG 콘텐츠 data'!$S:$S,0),MATCH(I$3,'IG 콘텐츠 data'!$A$1:$Q$1,0)),"")</f>
        <v/>
      </c>
      <c r="J21" s="225" t="str">
        <f>IFERROR(INDEX('IG 콘텐츠 data'!$A$1:$AJ$25,MATCH('IG 신규발행'!$A21,'IG 콘텐츠 data'!$S:$S,0),MATCH(J$3,'IG 콘텐츠 data'!$A$1:$Q$1,0)),"")</f>
        <v/>
      </c>
      <c r="K21" s="228" t="str">
        <f>IFERROR(INDEX('IG 콘텐츠 data'!$A$1:$AJ$25,MATCH('IG 신규발행'!$A21,'IG 콘텐츠 data'!$S:$S,0),MATCH(K$3,'IG 콘텐츠 data'!$A$1:$Q$1,0)),"")</f>
        <v/>
      </c>
      <c r="L21" s="225" t="str">
        <f>IFERROR(INDEX('IG 콘텐츠 data'!$A$1:$AJ$25,MATCH('IG 신규발행'!$A21,'IG 콘텐츠 data'!$S:$S,0),MATCH(L$3,'IG 콘텐츠 data'!$A$1:$Q$1,0)),"")</f>
        <v/>
      </c>
      <c r="M21" s="225" t="str">
        <f>IFERROR(INDEX('IG 콘텐츠 data'!$A$1:$AJ$25,MATCH('IG 신규발행'!$A21,'IG 콘텐츠 data'!$S:$S,0),MATCH(M$3,'IG 콘텐츠 data'!$A$1:$Q$1,0)),"")</f>
        <v/>
      </c>
      <c r="N21" s="225" t="str">
        <f>IFERROR(INDEX('IG 콘텐츠 data'!$A$1:$AJ$25,MATCH('IG 신규발행'!$A21,'IG 콘텐츠 data'!$S:$S,0),MATCH(N$3,'IG 콘텐츠 data'!$A$1:$Q$1,0)),"")</f>
        <v/>
      </c>
      <c r="O21" s="225" t="str">
        <f>IF(B21="","",SUM(L21:N21)+G21)</f>
        <v/>
      </c>
      <c r="P21" s="226" t="str">
        <f>IFERROR(O21/F21,"")</f>
        <v/>
      </c>
      <c r="R21" s="229" t="e">
        <f t="shared" si="0"/>
        <v>#VALUE!</v>
      </c>
      <c r="S21" s="229" t="e">
        <f t="shared" si="1"/>
        <v>#VALUE!</v>
      </c>
      <c r="W21" s="117"/>
    </row>
    <row r="22" spans="1:23" ht="17.45" customHeight="1">
      <c r="A22">
        <v>19</v>
      </c>
      <c r="B22" s="227" t="str">
        <f>IFERROR(INDEX('IG 콘텐츠 data'!R:R,MATCH('IG 신규발행'!A22,'IG 콘텐츠 data'!S:S,0)),"")</f>
        <v/>
      </c>
      <c r="C22" s="225" t="str">
        <f>IFERROR(IF(INDEX('IG 콘텐츠 data'!$A$1:$AJ$25,MATCH('IG 신규발행'!$A22,'IG 콘텐츠 data'!$S:$S,0),MATCH(C$3,'IG 콘텐츠 data'!$A$1:$O$1,0))="IG 이미지","이미지",IF(INDEX('IG 콘텐츠 data'!$A$1:$AJ$25,MATCH('IG 신규발행'!$A22,'IG 콘텐츠 data'!$S:$S,0),MATCH(C$3,'IG 콘텐츠 data'!$A$1:$O$1,0))="IG 슬라이드","슬라이드",IF(INDEX('IG 콘텐츠 data'!$A$1:$AJ$25,MATCH('IG 신규발행'!$A22,'IG 콘텐츠 data'!$S:$S,0),MATCH(C$3,'IG 콘텐츠 data'!$A$1:$O$1,0))="Instagram 릴스","영상"))),"")</f>
        <v/>
      </c>
      <c r="D22" s="225" t="str">
        <f>IFERROR(INDEX('IG 콘텐츠 data'!$A$1:$AJ$25,MATCH('IG 신규발행'!$A22,'IG 콘텐츠 data'!$S:$S,0),MATCH(D$3,'IG 콘텐츠 data'!$A$1:$Q$1,0)),"")</f>
        <v/>
      </c>
      <c r="E22" s="225" t="str">
        <f>IFERROR(INDEX('IG 콘텐츠 data'!$A$1:$AJ$25,MATCH('IG 신규발행'!$A22,'IG 콘텐츠 data'!$S:$S,0),MATCH(E$3,'IG 콘텐츠 data'!$A$1:$Q$1,0)),"")</f>
        <v/>
      </c>
      <c r="F22" s="225" t="str">
        <f>IFERROR(INDEX('IG 콘텐츠 data'!$A$1:$AJ$25,MATCH('IG 신규발행'!$A22,'IG 콘텐츠 data'!$S:$S,0),MATCH(F$3,'IG 콘텐츠 data'!$A$1:$Q$1,0)),"")</f>
        <v/>
      </c>
      <c r="G22" s="225" t="str">
        <f>IFERROR(INDEX('IG 콘텐츠 data'!$A$1:$AJ$25,MATCH('IG 신규발행'!$A22,'IG 콘텐츠 data'!$S:$S,0),MATCH(G$3,'IG 콘텐츠 data'!$A$1:$Q$1,0)),"")</f>
        <v/>
      </c>
      <c r="H22" s="225" t="str">
        <f>IFERROR(INDEX('IG 콘텐츠 data'!$A$1:$AJ$25,MATCH('IG 신규발행'!$A22,'IG 콘텐츠 data'!$S:$S,0),MATCH(H$3,'IG 콘텐츠 data'!$A$1:$Q$1,0)),"")</f>
        <v/>
      </c>
      <c r="I22" s="225" t="str">
        <f>IFERROR(INDEX('IG 콘텐츠 data'!$A$1:$AJ$25,MATCH('IG 신규발행'!$A22,'IG 콘텐츠 data'!$S:$S,0),MATCH(I$3,'IG 콘텐츠 data'!$A$1:$Q$1,0)),"")</f>
        <v/>
      </c>
      <c r="J22" s="225" t="str">
        <f>IFERROR(INDEX('IG 콘텐츠 data'!$A$1:$AJ$25,MATCH('IG 신규발행'!$A22,'IG 콘텐츠 data'!$S:$S,0),MATCH(J$3,'IG 콘텐츠 data'!$A$1:$Q$1,0)),"")</f>
        <v/>
      </c>
      <c r="K22" s="228" t="str">
        <f>IFERROR(INDEX('IG 콘텐츠 data'!$A$1:$AJ$25,MATCH('IG 신규발행'!$A22,'IG 콘텐츠 data'!$S:$S,0),MATCH(K$3,'IG 콘텐츠 data'!$A$1:$Q$1,0)),"")</f>
        <v/>
      </c>
      <c r="L22" s="225" t="str">
        <f>IFERROR(INDEX('IG 콘텐츠 data'!$A$1:$AJ$25,MATCH('IG 신규발행'!$A22,'IG 콘텐츠 data'!$S:$S,0),MATCH(L$3,'IG 콘텐츠 data'!$A$1:$Q$1,0)),"")</f>
        <v/>
      </c>
      <c r="M22" s="225" t="str">
        <f>IFERROR(INDEX('IG 콘텐츠 data'!$A$1:$AJ$25,MATCH('IG 신규발행'!$A22,'IG 콘텐츠 data'!$S:$S,0),MATCH(M$3,'IG 콘텐츠 data'!$A$1:$Q$1,0)),"")</f>
        <v/>
      </c>
      <c r="N22" s="225" t="str">
        <f>IFERROR(INDEX('IG 콘텐츠 data'!$A$1:$AJ$25,MATCH('IG 신규발행'!$A22,'IG 콘텐츠 data'!$S:$S,0),MATCH(N$3,'IG 콘텐츠 data'!$A$1:$Q$1,0)),"")</f>
        <v/>
      </c>
      <c r="O22" s="225" t="str">
        <f>IF(B22="","",SUM(L22:N22)+G22)</f>
        <v/>
      </c>
      <c r="P22" s="226" t="str">
        <f>IFERROR(O22/F22,"")</f>
        <v/>
      </c>
      <c r="R22" s="229" t="e">
        <f t="shared" si="0"/>
        <v>#VALUE!</v>
      </c>
      <c r="S22" s="229" t="e">
        <f t="shared" si="1"/>
        <v>#VALUE!</v>
      </c>
      <c r="W22" s="117"/>
    </row>
    <row r="23" spans="1:23" ht="17.45" customHeight="1">
      <c r="A23">
        <v>20</v>
      </c>
      <c r="B23" s="227" t="str">
        <f>IFERROR(INDEX('IG 콘텐츠 data'!R:R,MATCH('IG 신규발행'!A23,'IG 콘텐츠 data'!S:S,0)),"")</f>
        <v/>
      </c>
      <c r="C23" s="225" t="str">
        <f>IFERROR(IF(INDEX('IG 콘텐츠 data'!$A$1:$AJ$25,MATCH('IG 신규발행'!$A23,'IG 콘텐츠 data'!$S:$S,0),MATCH(C$3,'IG 콘텐츠 data'!$A$1:$O$1,0))="IG 이미지","이미지",IF(INDEX('IG 콘텐츠 data'!$A$1:$AJ$25,MATCH('IG 신규발행'!$A23,'IG 콘텐츠 data'!$S:$S,0),MATCH(C$3,'IG 콘텐츠 data'!$A$1:$O$1,0))="IG 슬라이드","슬라이드",IF(INDEX('IG 콘텐츠 data'!$A$1:$AJ$25,MATCH('IG 신규발행'!$A23,'IG 콘텐츠 data'!$S:$S,0),MATCH(C$3,'IG 콘텐츠 data'!$A$1:$O$1,0))="Instagram 릴스","영상"))),"")</f>
        <v/>
      </c>
      <c r="D23" s="225" t="str">
        <f>IFERROR(INDEX('IG 콘텐츠 data'!$A$1:$AJ$25,MATCH('IG 신규발행'!$A23,'IG 콘텐츠 data'!$S:$S,0),MATCH(D$3,'IG 콘텐츠 data'!$A$1:$Q$1,0)),"")</f>
        <v/>
      </c>
      <c r="E23" s="225" t="str">
        <f>IFERROR(INDEX('IG 콘텐츠 data'!$A$1:$AJ$25,MATCH('IG 신규발행'!$A23,'IG 콘텐츠 data'!$S:$S,0),MATCH(E$3,'IG 콘텐츠 data'!$A$1:$Q$1,0)),"")</f>
        <v/>
      </c>
      <c r="F23" s="225" t="str">
        <f>IFERROR(INDEX('IG 콘텐츠 data'!$A$1:$AJ$25,MATCH('IG 신규발행'!$A23,'IG 콘텐츠 data'!$S:$S,0),MATCH(F$3,'IG 콘텐츠 data'!$A$1:$Q$1,0)),"")</f>
        <v/>
      </c>
      <c r="G23" s="225" t="str">
        <f>IFERROR(INDEX('IG 콘텐츠 data'!$A$1:$AJ$25,MATCH('IG 신규발행'!$A23,'IG 콘텐츠 data'!$S:$S,0),MATCH(G$3,'IG 콘텐츠 data'!$A$1:$Q$1,0)),"")</f>
        <v/>
      </c>
      <c r="H23" s="225" t="str">
        <f>IFERROR(INDEX('IG 콘텐츠 data'!$A$1:$AJ$25,MATCH('IG 신규발행'!$A23,'IG 콘텐츠 data'!$S:$S,0),MATCH(H$3,'IG 콘텐츠 data'!$A$1:$Q$1,0)),"")</f>
        <v/>
      </c>
      <c r="I23" s="225" t="str">
        <f>IFERROR(INDEX('IG 콘텐츠 data'!$A$1:$AJ$25,MATCH('IG 신규발행'!$A23,'IG 콘텐츠 data'!$S:$S,0),MATCH(I$3,'IG 콘텐츠 data'!$A$1:$Q$1,0)),"")</f>
        <v/>
      </c>
      <c r="J23" s="225" t="str">
        <f>IFERROR(INDEX('IG 콘텐츠 data'!$A$1:$AJ$25,MATCH('IG 신규발행'!$A23,'IG 콘텐츠 data'!$S:$S,0),MATCH(J$3,'IG 콘텐츠 data'!$A$1:$Q$1,0)),"")</f>
        <v/>
      </c>
      <c r="K23" s="228" t="str">
        <f>IFERROR(INDEX('IG 콘텐츠 data'!$A$1:$AJ$25,MATCH('IG 신규발행'!$A23,'IG 콘텐츠 data'!$S:$S,0),MATCH(K$3,'IG 콘텐츠 data'!$A$1:$Q$1,0)),"")</f>
        <v/>
      </c>
      <c r="L23" s="225" t="str">
        <f>IFERROR(INDEX('IG 콘텐츠 data'!$A$1:$AJ$25,MATCH('IG 신규발행'!$A23,'IG 콘텐츠 data'!$S:$S,0),MATCH(L$3,'IG 콘텐츠 data'!$A$1:$Q$1,0)),"")</f>
        <v/>
      </c>
      <c r="M23" s="225" t="str">
        <f>IFERROR(INDEX('IG 콘텐츠 data'!$A$1:$AJ$25,MATCH('IG 신규발행'!$A23,'IG 콘텐츠 data'!$S:$S,0),MATCH(M$3,'IG 콘텐츠 data'!$A$1:$Q$1,0)),"")</f>
        <v/>
      </c>
      <c r="N23" s="225" t="str">
        <f>IFERROR(INDEX('IG 콘텐츠 data'!$A$1:$AJ$25,MATCH('IG 신규발행'!$A23,'IG 콘텐츠 data'!$S:$S,0),MATCH(N$3,'IG 콘텐츠 data'!$A$1:$Q$1,0)),"")</f>
        <v/>
      </c>
      <c r="O23" s="225" t="str">
        <f>IF(B23="","",SUM(L23:N23)+G23)</f>
        <v/>
      </c>
      <c r="P23" s="226" t="str">
        <f>IFERROR(O23/F23,"")</f>
        <v/>
      </c>
      <c r="R23" s="229" t="e">
        <f t="shared" si="0"/>
        <v>#VALUE!</v>
      </c>
      <c r="S23" s="229" t="e">
        <f t="shared" si="1"/>
        <v>#VALUE!</v>
      </c>
      <c r="W23" s="117"/>
    </row>
    <row r="24" spans="1:23" ht="17.45" customHeight="1">
      <c r="A24">
        <v>21</v>
      </c>
      <c r="B24" s="227" t="str">
        <f>IFERROR(INDEX('IG 콘텐츠 data'!R:R,MATCH('IG 신규발행'!A24,'IG 콘텐츠 data'!S:S,0)),"")</f>
        <v/>
      </c>
      <c r="C24" s="225" t="str">
        <f>IFERROR(IF(INDEX('IG 콘텐츠 data'!$A$1:$AJ$25,MATCH('IG 신규발행'!$A24,'IG 콘텐츠 data'!$S:$S,0),MATCH(C$3,'IG 콘텐츠 data'!$A$1:$O$1,0))="IG 이미지","이미지",IF(INDEX('IG 콘텐츠 data'!$A$1:$AJ$25,MATCH('IG 신규발행'!$A24,'IG 콘텐츠 data'!$S:$S,0),MATCH(C$3,'IG 콘텐츠 data'!$A$1:$O$1,0))="IG 슬라이드","슬라이드",IF(INDEX('IG 콘텐츠 data'!$A$1:$AJ$25,MATCH('IG 신규발행'!$A24,'IG 콘텐츠 data'!$S:$S,0),MATCH(C$3,'IG 콘텐츠 data'!$A$1:$O$1,0))="Instagram 릴스","영상"))),"")</f>
        <v/>
      </c>
      <c r="D24" s="225" t="str">
        <f>IFERROR(INDEX('IG 콘텐츠 data'!$A$1:$AJ$25,MATCH('IG 신규발행'!$A24,'IG 콘텐츠 data'!$S:$S,0),MATCH(D$3,'IG 콘텐츠 data'!$A$1:$Q$1,0)),"")</f>
        <v/>
      </c>
      <c r="E24" s="225" t="str">
        <f>IFERROR(INDEX('IG 콘텐츠 data'!$A$1:$AJ$25,MATCH('IG 신규발행'!$A24,'IG 콘텐츠 data'!$S:$S,0),MATCH(E$3,'IG 콘텐츠 data'!$A$1:$Q$1,0)),"")</f>
        <v/>
      </c>
      <c r="F24" s="225" t="str">
        <f>IFERROR(INDEX('IG 콘텐츠 data'!$A$1:$AJ$25,MATCH('IG 신규발행'!$A24,'IG 콘텐츠 data'!$S:$S,0),MATCH(F$3,'IG 콘텐츠 data'!$A$1:$Q$1,0)),"")</f>
        <v/>
      </c>
      <c r="G24" s="225" t="str">
        <f>IFERROR(INDEX('IG 콘텐츠 data'!$A$1:$AJ$25,MATCH('IG 신규발행'!$A24,'IG 콘텐츠 data'!$S:$S,0),MATCH(G$3,'IG 콘텐츠 data'!$A$1:$Q$1,0)),"")</f>
        <v/>
      </c>
      <c r="H24" s="225" t="str">
        <f>IFERROR(INDEX('IG 콘텐츠 data'!$A$1:$AJ$25,MATCH('IG 신규발행'!$A24,'IG 콘텐츠 data'!$S:$S,0),MATCH(H$3,'IG 콘텐츠 data'!$A$1:$Q$1,0)),"")</f>
        <v/>
      </c>
      <c r="I24" s="225" t="str">
        <f>IFERROR(INDEX('IG 콘텐츠 data'!$A$1:$AJ$25,MATCH('IG 신규발행'!$A24,'IG 콘텐츠 data'!$S:$S,0),MATCH(I$3,'IG 콘텐츠 data'!$A$1:$Q$1,0)),"")</f>
        <v/>
      </c>
      <c r="J24" s="225" t="str">
        <f>IFERROR(INDEX('IG 콘텐츠 data'!$A$1:$AJ$25,MATCH('IG 신규발행'!$A24,'IG 콘텐츠 data'!$S:$S,0),MATCH(J$3,'IG 콘텐츠 data'!$A$1:$Q$1,0)),"")</f>
        <v/>
      </c>
      <c r="K24" s="228" t="str">
        <f>IFERROR(INDEX('IG 콘텐츠 data'!$A$1:$AJ$25,MATCH('IG 신규발행'!$A24,'IG 콘텐츠 data'!$S:$S,0),MATCH(K$3,'IG 콘텐츠 data'!$A$1:$Q$1,0)),"")</f>
        <v/>
      </c>
      <c r="L24" s="225" t="str">
        <f>IFERROR(INDEX('IG 콘텐츠 data'!$A$1:$AJ$25,MATCH('IG 신규발행'!$A24,'IG 콘텐츠 data'!$S:$S,0),MATCH(L$3,'IG 콘텐츠 data'!$A$1:$Q$1,0)),"")</f>
        <v/>
      </c>
      <c r="M24" s="225" t="str">
        <f>IFERROR(INDEX('IG 콘텐츠 data'!$A$1:$AJ$25,MATCH('IG 신규발행'!$A24,'IG 콘텐츠 data'!$S:$S,0),MATCH(M$3,'IG 콘텐츠 data'!$A$1:$Q$1,0)),"")</f>
        <v/>
      </c>
      <c r="N24" s="225" t="str">
        <f>IFERROR(INDEX('IG 콘텐츠 data'!$A$1:$AJ$25,MATCH('IG 신규발행'!$A24,'IG 콘텐츠 data'!$S:$S,0),MATCH(N$3,'IG 콘텐츠 data'!$A$1:$Q$1,0)),"")</f>
        <v/>
      </c>
      <c r="O24" s="225" t="str">
        <f>IF(B24="","",SUM(L24:N24)+G24)</f>
        <v/>
      </c>
      <c r="P24" s="226" t="str">
        <f>IFERROR(O24/F24,"")</f>
        <v/>
      </c>
      <c r="R24" s="229" t="e">
        <f t="shared" si="0"/>
        <v>#VALUE!</v>
      </c>
      <c r="S24" s="229" t="e">
        <f t="shared" si="1"/>
        <v>#VALUE!</v>
      </c>
      <c r="W24" s="117"/>
    </row>
    <row r="25" spans="1:23" ht="17.45" customHeight="1">
      <c r="A25">
        <v>22</v>
      </c>
      <c r="B25" s="227" t="str">
        <f>IFERROR(INDEX('IG 콘텐츠 data'!R:R,MATCH('IG 신규발행'!A25,'IG 콘텐츠 data'!S:S,0)),"")</f>
        <v/>
      </c>
      <c r="C25" s="225" t="str">
        <f>IFERROR(IF(INDEX('IG 콘텐츠 data'!$A$1:$AJ$25,MATCH('IG 신규발행'!$A25,'IG 콘텐츠 data'!$S:$S,0),MATCH(C$3,'IG 콘텐츠 data'!$A$1:$O$1,0))="IG 이미지","이미지",IF(INDEX('IG 콘텐츠 data'!$A$1:$AJ$25,MATCH('IG 신규발행'!$A25,'IG 콘텐츠 data'!$S:$S,0),MATCH(C$3,'IG 콘텐츠 data'!$A$1:$O$1,0))="IG 슬라이드","슬라이드",IF(INDEX('IG 콘텐츠 data'!$A$1:$AJ$25,MATCH('IG 신규발행'!$A25,'IG 콘텐츠 data'!$S:$S,0),MATCH(C$3,'IG 콘텐츠 data'!$A$1:$O$1,0))="Instagram 릴스","영상"))),"")</f>
        <v/>
      </c>
      <c r="D25" s="225" t="str">
        <f>IFERROR(INDEX('IG 콘텐츠 data'!$A$1:$AJ$25,MATCH('IG 신규발행'!$A25,'IG 콘텐츠 data'!$S:$S,0),MATCH(D$3,'IG 콘텐츠 data'!$A$1:$Q$1,0)),"")</f>
        <v/>
      </c>
      <c r="E25" s="225" t="str">
        <f>IFERROR(INDEX('IG 콘텐츠 data'!$A$1:$AJ$25,MATCH('IG 신규발행'!$A25,'IG 콘텐츠 data'!$S:$S,0),MATCH(E$3,'IG 콘텐츠 data'!$A$1:$Q$1,0)),"")</f>
        <v/>
      </c>
      <c r="F25" s="225" t="str">
        <f>IFERROR(INDEX('IG 콘텐츠 data'!$A$1:$AJ$25,MATCH('IG 신규발행'!$A25,'IG 콘텐츠 data'!$S:$S,0),MATCH(F$3,'IG 콘텐츠 data'!$A$1:$Q$1,0)),"")</f>
        <v/>
      </c>
      <c r="G25" s="225" t="str">
        <f>IFERROR(INDEX('IG 콘텐츠 data'!$A$1:$AJ$25,MATCH('IG 신규발행'!$A25,'IG 콘텐츠 data'!$S:$S,0),MATCH(G$3,'IG 콘텐츠 data'!$A$1:$Q$1,0)),"")</f>
        <v/>
      </c>
      <c r="H25" s="225" t="str">
        <f>IFERROR(INDEX('IG 콘텐츠 data'!$A$1:$AJ$25,MATCH('IG 신규발행'!$A25,'IG 콘텐츠 data'!$S:$S,0),MATCH(H$3,'IG 콘텐츠 data'!$A$1:$Q$1,0)),"")</f>
        <v/>
      </c>
      <c r="I25" s="225" t="str">
        <f>IFERROR(INDEX('IG 콘텐츠 data'!$A$1:$AJ$25,MATCH('IG 신규발행'!$A25,'IG 콘텐츠 data'!$S:$S,0),MATCH(I$3,'IG 콘텐츠 data'!$A$1:$Q$1,0)),"")</f>
        <v/>
      </c>
      <c r="J25" s="225" t="str">
        <f>IFERROR(INDEX('IG 콘텐츠 data'!$A$1:$AJ$25,MATCH('IG 신규발행'!$A25,'IG 콘텐츠 data'!$S:$S,0),MATCH(J$3,'IG 콘텐츠 data'!$A$1:$Q$1,0)),"")</f>
        <v/>
      </c>
      <c r="K25" s="228" t="str">
        <f>IFERROR(INDEX('IG 콘텐츠 data'!$A$1:$AJ$25,MATCH('IG 신규발행'!$A25,'IG 콘텐츠 data'!$S:$S,0),MATCH(K$3,'IG 콘텐츠 data'!$A$1:$Q$1,0)),"")</f>
        <v/>
      </c>
      <c r="L25" s="225" t="str">
        <f>IFERROR(INDEX('IG 콘텐츠 data'!$A$1:$AJ$25,MATCH('IG 신규발행'!$A25,'IG 콘텐츠 data'!$S:$S,0),MATCH(L$3,'IG 콘텐츠 data'!$A$1:$Q$1,0)),"")</f>
        <v/>
      </c>
      <c r="M25" s="225" t="str">
        <f>IFERROR(INDEX('IG 콘텐츠 data'!$A$1:$AJ$25,MATCH('IG 신규발행'!$A25,'IG 콘텐츠 data'!$S:$S,0),MATCH(M$3,'IG 콘텐츠 data'!$A$1:$Q$1,0)),"")</f>
        <v/>
      </c>
      <c r="N25" s="225" t="str">
        <f>IFERROR(INDEX('IG 콘텐츠 data'!$A$1:$AJ$25,MATCH('IG 신규발행'!$A25,'IG 콘텐츠 data'!$S:$S,0),MATCH(N$3,'IG 콘텐츠 data'!$A$1:$Q$1,0)),"")</f>
        <v/>
      </c>
      <c r="O25" s="225" t="str">
        <f>IF(B25="","",SUM(L25:N25)+G25)</f>
        <v/>
      </c>
      <c r="P25" s="226" t="str">
        <f>IFERROR(O25/F25,"")</f>
        <v/>
      </c>
      <c r="R25" s="229" t="e">
        <f t="shared" si="0"/>
        <v>#VALUE!</v>
      </c>
      <c r="S25" s="229" t="e">
        <f t="shared" si="1"/>
        <v>#VALUE!</v>
      </c>
      <c r="W25" s="117"/>
    </row>
    <row r="26" spans="1:23" ht="17.45" customHeight="1">
      <c r="A26">
        <v>23</v>
      </c>
      <c r="B26" s="227" t="str">
        <f>IFERROR(INDEX('IG 콘텐츠 data'!R:R,MATCH('IG 신규발행'!A26,'IG 콘텐츠 data'!S:S,0)),"")</f>
        <v/>
      </c>
      <c r="C26" s="225" t="str">
        <f>IFERROR(IF(INDEX('IG 콘텐츠 data'!$A$1:$AJ$25,MATCH('IG 신규발행'!$A26,'IG 콘텐츠 data'!$S:$S,0),MATCH(C$3,'IG 콘텐츠 data'!$A$1:$O$1,0))="IG 이미지","이미지",IF(INDEX('IG 콘텐츠 data'!$A$1:$AJ$25,MATCH('IG 신규발행'!$A26,'IG 콘텐츠 data'!$S:$S,0),MATCH(C$3,'IG 콘텐츠 data'!$A$1:$O$1,0))="IG 슬라이드","슬라이드",IF(INDEX('IG 콘텐츠 data'!$A$1:$AJ$25,MATCH('IG 신규발행'!$A26,'IG 콘텐츠 data'!$S:$S,0),MATCH(C$3,'IG 콘텐츠 data'!$A$1:$O$1,0))="Instagram 릴스","영상"))),"")</f>
        <v/>
      </c>
      <c r="D26" s="225" t="str">
        <f>IFERROR(INDEX('IG 콘텐츠 data'!$A$1:$AJ$25,MATCH('IG 신규발행'!$A26,'IG 콘텐츠 data'!$S:$S,0),MATCH(D$3,'IG 콘텐츠 data'!$A$1:$Q$1,0)),"")</f>
        <v/>
      </c>
      <c r="E26" s="225" t="str">
        <f>IFERROR(INDEX('IG 콘텐츠 data'!$A$1:$AJ$25,MATCH('IG 신규발행'!$A26,'IG 콘텐츠 data'!$S:$S,0),MATCH(E$3,'IG 콘텐츠 data'!$A$1:$Q$1,0)),"")</f>
        <v/>
      </c>
      <c r="F26" s="225" t="str">
        <f>IFERROR(INDEX('IG 콘텐츠 data'!$A$1:$AJ$25,MATCH('IG 신규발행'!$A26,'IG 콘텐츠 data'!$S:$S,0),MATCH(F$3,'IG 콘텐츠 data'!$A$1:$Q$1,0)),"")</f>
        <v/>
      </c>
      <c r="G26" s="225" t="str">
        <f>IFERROR(INDEX('IG 콘텐츠 data'!$A$1:$AJ$25,MATCH('IG 신규발행'!$A26,'IG 콘텐츠 data'!$S:$S,0),MATCH(G$3,'IG 콘텐츠 data'!$A$1:$Q$1,0)),"")</f>
        <v/>
      </c>
      <c r="H26" s="225" t="str">
        <f>IFERROR(INDEX('IG 콘텐츠 data'!$A$1:$AJ$25,MATCH('IG 신규발행'!$A26,'IG 콘텐츠 data'!$S:$S,0),MATCH(H$3,'IG 콘텐츠 data'!$A$1:$Q$1,0)),"")</f>
        <v/>
      </c>
      <c r="I26" s="225" t="str">
        <f>IFERROR(INDEX('IG 콘텐츠 data'!$A$1:$AJ$25,MATCH('IG 신규발행'!$A26,'IG 콘텐츠 data'!$S:$S,0),MATCH(I$3,'IG 콘텐츠 data'!$A$1:$Q$1,0)),"")</f>
        <v/>
      </c>
      <c r="J26" s="225" t="str">
        <f>IFERROR(INDEX('IG 콘텐츠 data'!$A$1:$AJ$25,MATCH('IG 신규발행'!$A26,'IG 콘텐츠 data'!$S:$S,0),MATCH(J$3,'IG 콘텐츠 data'!$A$1:$Q$1,0)),"")</f>
        <v/>
      </c>
      <c r="K26" s="228" t="str">
        <f>IFERROR(INDEX('IG 콘텐츠 data'!$A$1:$AJ$25,MATCH('IG 신규발행'!$A26,'IG 콘텐츠 data'!$S:$S,0),MATCH(K$3,'IG 콘텐츠 data'!$A$1:$Q$1,0)),"")</f>
        <v/>
      </c>
      <c r="L26" s="225" t="str">
        <f>IFERROR(INDEX('IG 콘텐츠 data'!$A$1:$AJ$25,MATCH('IG 신규발행'!$A26,'IG 콘텐츠 data'!$S:$S,0),MATCH(L$3,'IG 콘텐츠 data'!$A$1:$Q$1,0)),"")</f>
        <v/>
      </c>
      <c r="M26" s="225" t="str">
        <f>IFERROR(INDEX('IG 콘텐츠 data'!$A$1:$AJ$25,MATCH('IG 신규발행'!$A26,'IG 콘텐츠 data'!$S:$S,0),MATCH(M$3,'IG 콘텐츠 data'!$A$1:$Q$1,0)),"")</f>
        <v/>
      </c>
      <c r="N26" s="225" t="str">
        <f>IFERROR(INDEX('IG 콘텐츠 data'!$A$1:$AJ$25,MATCH('IG 신규발행'!$A26,'IG 콘텐츠 data'!$S:$S,0),MATCH(N$3,'IG 콘텐츠 data'!$A$1:$Q$1,0)),"")</f>
        <v/>
      </c>
      <c r="O26" s="225" t="str">
        <f>IF(B26="","",SUM(L26:N26)+G26)</f>
        <v/>
      </c>
      <c r="P26" s="226" t="str">
        <f>IFERROR(O26/F26,"")</f>
        <v/>
      </c>
      <c r="R26" s="229" t="e">
        <f t="shared" si="0"/>
        <v>#VALUE!</v>
      </c>
      <c r="S26" s="229" t="e">
        <f t="shared" si="1"/>
        <v>#VALUE!</v>
      </c>
      <c r="W26" s="117"/>
    </row>
    <row r="27" spans="1:23" ht="17.45" customHeight="1">
      <c r="A27">
        <v>24</v>
      </c>
      <c r="B27" s="227" t="str">
        <f>IFERROR(INDEX('IG 콘텐츠 data'!R:R,MATCH('IG 신규발행'!A27,'IG 콘텐츠 data'!S:S,0)),"")</f>
        <v/>
      </c>
      <c r="C27" s="225" t="str">
        <f>IFERROR(IF(INDEX('IG 콘텐츠 data'!$A$1:$AJ$25,MATCH('IG 신규발행'!$A27,'IG 콘텐츠 data'!$S:$S,0),MATCH(C$3,'IG 콘텐츠 data'!$A$1:$O$1,0))="IG 이미지","이미지",IF(INDEX('IG 콘텐츠 data'!$A$1:$AJ$25,MATCH('IG 신규발행'!$A27,'IG 콘텐츠 data'!$S:$S,0),MATCH(C$3,'IG 콘텐츠 data'!$A$1:$O$1,0))="IG 슬라이드","슬라이드",IF(INDEX('IG 콘텐츠 data'!$A$1:$AJ$25,MATCH('IG 신규발행'!$A27,'IG 콘텐츠 data'!$S:$S,0),MATCH(C$3,'IG 콘텐츠 data'!$A$1:$O$1,0))="Instagram 릴스","영상"))),"")</f>
        <v/>
      </c>
      <c r="D27" s="225" t="str">
        <f>IFERROR(INDEX('IG 콘텐츠 data'!$A$1:$AJ$25,MATCH('IG 신규발행'!$A27,'IG 콘텐츠 data'!$S:$S,0),MATCH(D$3,'IG 콘텐츠 data'!$A$1:$Q$1,0)),"")</f>
        <v/>
      </c>
      <c r="E27" s="225" t="str">
        <f>IFERROR(INDEX('IG 콘텐츠 data'!$A$1:$AJ$25,MATCH('IG 신규발행'!$A27,'IG 콘텐츠 data'!$S:$S,0),MATCH(E$3,'IG 콘텐츠 data'!$A$1:$Q$1,0)),"")</f>
        <v/>
      </c>
      <c r="F27" s="225" t="str">
        <f>IFERROR(INDEX('IG 콘텐츠 data'!$A$1:$AJ$25,MATCH('IG 신규발행'!$A27,'IG 콘텐츠 data'!$S:$S,0),MATCH(F$3,'IG 콘텐츠 data'!$A$1:$Q$1,0)),"")</f>
        <v/>
      </c>
      <c r="G27" s="225" t="str">
        <f>IFERROR(INDEX('IG 콘텐츠 data'!$A$1:$AJ$25,MATCH('IG 신규발행'!$A27,'IG 콘텐츠 data'!$S:$S,0),MATCH(G$3,'IG 콘텐츠 data'!$A$1:$Q$1,0)),"")</f>
        <v/>
      </c>
      <c r="H27" s="225" t="str">
        <f>IFERROR(INDEX('IG 콘텐츠 data'!$A$1:$AJ$25,MATCH('IG 신규발행'!$A27,'IG 콘텐츠 data'!$S:$S,0),MATCH(H$3,'IG 콘텐츠 data'!$A$1:$Q$1,0)),"")</f>
        <v/>
      </c>
      <c r="I27" s="225" t="str">
        <f>IFERROR(INDEX('IG 콘텐츠 data'!$A$1:$AJ$25,MATCH('IG 신규발행'!$A27,'IG 콘텐츠 data'!$S:$S,0),MATCH(I$3,'IG 콘텐츠 data'!$A$1:$Q$1,0)),"")</f>
        <v/>
      </c>
      <c r="J27" s="225" t="str">
        <f>IFERROR(INDEX('IG 콘텐츠 data'!$A$1:$AJ$25,MATCH('IG 신규발행'!$A27,'IG 콘텐츠 data'!$S:$S,0),MATCH(J$3,'IG 콘텐츠 data'!$A$1:$Q$1,0)),"")</f>
        <v/>
      </c>
      <c r="K27" s="228" t="str">
        <f>IFERROR(INDEX('IG 콘텐츠 data'!$A$1:$AJ$25,MATCH('IG 신규발행'!$A27,'IG 콘텐츠 data'!$S:$S,0),MATCH(K$3,'IG 콘텐츠 data'!$A$1:$Q$1,0)),"")</f>
        <v/>
      </c>
      <c r="L27" s="225" t="str">
        <f>IFERROR(INDEX('IG 콘텐츠 data'!$A$1:$AJ$25,MATCH('IG 신규발행'!$A27,'IG 콘텐츠 data'!$S:$S,0),MATCH(L$3,'IG 콘텐츠 data'!$A$1:$Q$1,0)),"")</f>
        <v/>
      </c>
      <c r="M27" s="225" t="str">
        <f>IFERROR(INDEX('IG 콘텐츠 data'!$A$1:$AJ$25,MATCH('IG 신규발행'!$A27,'IG 콘텐츠 data'!$S:$S,0),MATCH(M$3,'IG 콘텐츠 data'!$A$1:$Q$1,0)),"")</f>
        <v/>
      </c>
      <c r="N27" s="225" t="str">
        <f>IFERROR(INDEX('IG 콘텐츠 data'!$A$1:$AJ$25,MATCH('IG 신규발행'!$A27,'IG 콘텐츠 data'!$S:$S,0),MATCH(N$3,'IG 콘텐츠 data'!$A$1:$Q$1,0)),"")</f>
        <v/>
      </c>
      <c r="O27" s="225" t="str">
        <f>IF(B27="","",SUM(L27:N27)+G27)</f>
        <v/>
      </c>
      <c r="P27" s="226" t="str">
        <f>IFERROR(O27/F27,"")</f>
        <v/>
      </c>
      <c r="R27" s="229" t="e">
        <f t="shared" si="0"/>
        <v>#VALUE!</v>
      </c>
      <c r="S27" s="229" t="e">
        <f t="shared" si="1"/>
        <v>#VALUE!</v>
      </c>
      <c r="W27" s="117"/>
    </row>
    <row r="28" spans="1:23" ht="17.45" customHeight="1">
      <c r="A28">
        <v>25</v>
      </c>
      <c r="B28" s="227" t="str">
        <f>IFERROR(INDEX('IG 콘텐츠 data'!R:R,MATCH('IG 신규발행'!A28,'IG 콘텐츠 data'!S:S,0)),"")</f>
        <v/>
      </c>
      <c r="C28" s="225" t="str">
        <f>IFERROR(IF(INDEX('IG 콘텐츠 data'!$A$1:$AJ$25,MATCH('IG 신규발행'!$A28,'IG 콘텐츠 data'!$S:$S,0),MATCH(C$3,'IG 콘텐츠 data'!$A$1:$O$1,0))="IG 이미지","이미지",IF(INDEX('IG 콘텐츠 data'!$A$1:$AJ$25,MATCH('IG 신규발행'!$A28,'IG 콘텐츠 data'!$S:$S,0),MATCH(C$3,'IG 콘텐츠 data'!$A$1:$O$1,0))="IG 슬라이드","슬라이드",IF(INDEX('IG 콘텐츠 data'!$A$1:$AJ$25,MATCH('IG 신규발행'!$A28,'IG 콘텐츠 data'!$S:$S,0),MATCH(C$3,'IG 콘텐츠 data'!$A$1:$O$1,0))="Instagram 릴스","영상"))),"")</f>
        <v/>
      </c>
      <c r="D28" s="225" t="str">
        <f>IFERROR(INDEX('IG 콘텐츠 data'!$A$1:$AJ$25,MATCH('IG 신규발행'!$A28,'IG 콘텐츠 data'!$S:$S,0),MATCH(D$3,'IG 콘텐츠 data'!$A$1:$Q$1,0)),"")</f>
        <v/>
      </c>
      <c r="E28" s="225" t="str">
        <f>IFERROR(INDEX('IG 콘텐츠 data'!$A$1:$AJ$25,MATCH('IG 신규발행'!$A28,'IG 콘텐츠 data'!$S:$S,0),MATCH(E$3,'IG 콘텐츠 data'!$A$1:$Q$1,0)),"")</f>
        <v/>
      </c>
      <c r="F28" s="225" t="str">
        <f>IFERROR(INDEX('IG 콘텐츠 data'!$A$1:$AJ$25,MATCH('IG 신규발행'!$A28,'IG 콘텐츠 data'!$S:$S,0),MATCH(F$3,'IG 콘텐츠 data'!$A$1:$Q$1,0)),"")</f>
        <v/>
      </c>
      <c r="G28" s="225" t="str">
        <f>IFERROR(INDEX('IG 콘텐츠 data'!$A$1:$AJ$25,MATCH('IG 신규발행'!$A28,'IG 콘텐츠 data'!$S:$S,0),MATCH(G$3,'IG 콘텐츠 data'!$A$1:$Q$1,0)),"")</f>
        <v/>
      </c>
      <c r="H28" s="225" t="str">
        <f>IFERROR(INDEX('IG 콘텐츠 data'!$A$1:$AJ$25,MATCH('IG 신규발행'!$A28,'IG 콘텐츠 data'!$S:$S,0),MATCH(H$3,'IG 콘텐츠 data'!$A$1:$Q$1,0)),"")</f>
        <v/>
      </c>
      <c r="I28" s="225" t="str">
        <f>IFERROR(INDEX('IG 콘텐츠 data'!$A$1:$AJ$25,MATCH('IG 신규발행'!$A28,'IG 콘텐츠 data'!$S:$S,0),MATCH(I$3,'IG 콘텐츠 data'!$A$1:$Q$1,0)),"")</f>
        <v/>
      </c>
      <c r="J28" s="225" t="str">
        <f>IFERROR(INDEX('IG 콘텐츠 data'!$A$1:$AJ$25,MATCH('IG 신규발행'!$A28,'IG 콘텐츠 data'!$S:$S,0),MATCH(J$3,'IG 콘텐츠 data'!$A$1:$Q$1,0)),"")</f>
        <v/>
      </c>
      <c r="K28" s="228" t="str">
        <f>IFERROR(INDEX('IG 콘텐츠 data'!$A$1:$AJ$25,MATCH('IG 신규발행'!$A28,'IG 콘텐츠 data'!$S:$S,0),MATCH(K$3,'IG 콘텐츠 data'!$A$1:$Q$1,0)),"")</f>
        <v/>
      </c>
      <c r="L28" s="225" t="str">
        <f>IFERROR(INDEX('IG 콘텐츠 data'!$A$1:$AJ$25,MATCH('IG 신규발행'!$A28,'IG 콘텐츠 data'!$S:$S,0),MATCH(L$3,'IG 콘텐츠 data'!$A$1:$Q$1,0)),"")</f>
        <v/>
      </c>
      <c r="M28" s="225" t="str">
        <f>IFERROR(INDEX('IG 콘텐츠 data'!$A$1:$AJ$25,MATCH('IG 신규발행'!$A28,'IG 콘텐츠 data'!$S:$S,0),MATCH(M$3,'IG 콘텐츠 data'!$A$1:$Q$1,0)),"")</f>
        <v/>
      </c>
      <c r="N28" s="225" t="str">
        <f>IFERROR(INDEX('IG 콘텐츠 data'!$A$1:$AJ$25,MATCH('IG 신규발행'!$A28,'IG 콘텐츠 data'!$S:$S,0),MATCH(N$3,'IG 콘텐츠 data'!$A$1:$Q$1,0)),"")</f>
        <v/>
      </c>
      <c r="O28" s="225" t="str">
        <f>IF(B28="","",SUM(L28:N28)+G28)</f>
        <v/>
      </c>
      <c r="P28" s="226" t="str">
        <f>IFERROR(O28/F28,"")</f>
        <v/>
      </c>
      <c r="R28" s="229" t="e">
        <f t="shared" si="0"/>
        <v>#VALUE!</v>
      </c>
      <c r="S28" s="229" t="e">
        <f t="shared" si="1"/>
        <v>#VALUE!</v>
      </c>
      <c r="W28" s="117"/>
    </row>
    <row r="29" spans="1:23" ht="17.45" customHeight="1">
      <c r="A29">
        <v>26</v>
      </c>
      <c r="B29" s="227" t="str">
        <f>IFERROR(INDEX('IG 콘텐츠 data'!R:R,MATCH('IG 신규발행'!A29,'IG 콘텐츠 data'!S:S,0)),"")</f>
        <v/>
      </c>
      <c r="C29" s="225" t="str">
        <f>IFERROR(IF(INDEX('IG 콘텐츠 data'!$A$1:$AJ$25,MATCH('IG 신규발행'!$A29,'IG 콘텐츠 data'!$S:$S,0),MATCH(C$3,'IG 콘텐츠 data'!$A$1:$O$1,0))="IG 이미지","이미지",IF(INDEX('IG 콘텐츠 data'!$A$1:$AJ$25,MATCH('IG 신규발행'!$A29,'IG 콘텐츠 data'!$S:$S,0),MATCH(C$3,'IG 콘텐츠 data'!$A$1:$O$1,0))="IG 슬라이드","슬라이드",IF(INDEX('IG 콘텐츠 data'!$A$1:$AJ$25,MATCH('IG 신규발행'!$A29,'IG 콘텐츠 data'!$S:$S,0),MATCH(C$3,'IG 콘텐츠 data'!$A$1:$O$1,0))="Instagram 릴스","영상"))),"")</f>
        <v/>
      </c>
      <c r="D29" s="225" t="str">
        <f>IFERROR(INDEX('IG 콘텐츠 data'!$A$1:$AJ$25,MATCH('IG 신규발행'!$A29,'IG 콘텐츠 data'!$S:$S,0),MATCH(D$3,'IG 콘텐츠 data'!$A$1:$Q$1,0)),"")</f>
        <v/>
      </c>
      <c r="E29" s="225" t="str">
        <f>IFERROR(INDEX('IG 콘텐츠 data'!$A$1:$AJ$25,MATCH('IG 신규발행'!$A29,'IG 콘텐츠 data'!$S:$S,0),MATCH(E$3,'IG 콘텐츠 data'!$A$1:$Q$1,0)),"")</f>
        <v/>
      </c>
      <c r="F29" s="225" t="str">
        <f>IFERROR(INDEX('IG 콘텐츠 data'!$A$1:$AJ$25,MATCH('IG 신규발행'!$A29,'IG 콘텐츠 data'!$S:$S,0),MATCH(F$3,'IG 콘텐츠 data'!$A$1:$Q$1,0)),"")</f>
        <v/>
      </c>
      <c r="G29" s="225" t="str">
        <f>IFERROR(INDEX('IG 콘텐츠 data'!$A$1:$AJ$25,MATCH('IG 신규발행'!$A29,'IG 콘텐츠 data'!$S:$S,0),MATCH(G$3,'IG 콘텐츠 data'!$A$1:$Q$1,0)),"")</f>
        <v/>
      </c>
      <c r="H29" s="225" t="str">
        <f>IFERROR(INDEX('IG 콘텐츠 data'!$A$1:$AJ$25,MATCH('IG 신규발행'!$A29,'IG 콘텐츠 data'!$S:$S,0),MATCH(H$3,'IG 콘텐츠 data'!$A$1:$Q$1,0)),"")</f>
        <v/>
      </c>
      <c r="I29" s="225" t="str">
        <f>IFERROR(INDEX('IG 콘텐츠 data'!$A$1:$AJ$25,MATCH('IG 신규발행'!$A29,'IG 콘텐츠 data'!$S:$S,0),MATCH(I$3,'IG 콘텐츠 data'!$A$1:$Q$1,0)),"")</f>
        <v/>
      </c>
      <c r="J29" s="225" t="str">
        <f>IFERROR(INDEX('IG 콘텐츠 data'!$A$1:$AJ$25,MATCH('IG 신규발행'!$A29,'IG 콘텐츠 data'!$S:$S,0),MATCH(J$3,'IG 콘텐츠 data'!$A$1:$Q$1,0)),"")</f>
        <v/>
      </c>
      <c r="K29" s="228" t="str">
        <f>IFERROR(INDEX('IG 콘텐츠 data'!$A$1:$AJ$25,MATCH('IG 신규발행'!$A29,'IG 콘텐츠 data'!$S:$S,0),MATCH(K$3,'IG 콘텐츠 data'!$A$1:$Q$1,0)),"")</f>
        <v/>
      </c>
      <c r="L29" s="225" t="str">
        <f>IFERROR(INDEX('IG 콘텐츠 data'!$A$1:$AJ$25,MATCH('IG 신규발행'!$A29,'IG 콘텐츠 data'!$S:$S,0),MATCH(L$3,'IG 콘텐츠 data'!$A$1:$Q$1,0)),"")</f>
        <v/>
      </c>
      <c r="M29" s="225" t="str">
        <f>IFERROR(INDEX('IG 콘텐츠 data'!$A$1:$AJ$25,MATCH('IG 신규발행'!$A29,'IG 콘텐츠 data'!$S:$S,0),MATCH(M$3,'IG 콘텐츠 data'!$A$1:$Q$1,0)),"")</f>
        <v/>
      </c>
      <c r="N29" s="225" t="str">
        <f>IFERROR(INDEX('IG 콘텐츠 data'!$A$1:$AJ$25,MATCH('IG 신규발행'!$A29,'IG 콘텐츠 data'!$S:$S,0),MATCH(N$3,'IG 콘텐츠 data'!$A$1:$Q$1,0)),"")</f>
        <v/>
      </c>
      <c r="O29" s="225" t="str">
        <f>IF(B29="","",SUM(L29:N29)+G29)</f>
        <v/>
      </c>
      <c r="P29" s="226" t="str">
        <f>IFERROR(O29/F29,"")</f>
        <v/>
      </c>
      <c r="R29" s="229" t="e">
        <f t="shared" si="0"/>
        <v>#VALUE!</v>
      </c>
      <c r="S29" s="229" t="e">
        <f t="shared" si="1"/>
        <v>#VALUE!</v>
      </c>
      <c r="W29" s="117"/>
    </row>
    <row r="30" spans="1:23" ht="17.45" customHeight="1">
      <c r="A30">
        <v>27</v>
      </c>
      <c r="B30" s="227" t="str">
        <f>IFERROR(INDEX('IG 콘텐츠 data'!R:R,MATCH('IG 신규발행'!A30,'IG 콘텐츠 data'!S:S,0)),"")</f>
        <v/>
      </c>
      <c r="C30" s="225" t="str">
        <f>IFERROR(IF(INDEX('IG 콘텐츠 data'!$A$1:$AJ$25,MATCH('IG 신규발행'!$A30,'IG 콘텐츠 data'!$S:$S,0),MATCH(C$3,'IG 콘텐츠 data'!$A$1:$O$1,0))="IG 이미지","이미지",IF(INDEX('IG 콘텐츠 data'!$A$1:$AJ$25,MATCH('IG 신규발행'!$A30,'IG 콘텐츠 data'!$S:$S,0),MATCH(C$3,'IG 콘텐츠 data'!$A$1:$O$1,0))="IG 슬라이드","슬라이드",IF(INDEX('IG 콘텐츠 data'!$A$1:$AJ$25,MATCH('IG 신규발행'!$A30,'IG 콘텐츠 data'!$S:$S,0),MATCH(C$3,'IG 콘텐츠 data'!$A$1:$O$1,0))="Instagram 릴스","영상"))),"")</f>
        <v/>
      </c>
      <c r="D30" s="225" t="str">
        <f>IFERROR(INDEX('IG 콘텐츠 data'!$A$1:$AJ$25,MATCH('IG 신규발행'!$A30,'IG 콘텐츠 data'!$S:$S,0),MATCH(D$3,'IG 콘텐츠 data'!$A$1:$Q$1,0)),"")</f>
        <v/>
      </c>
      <c r="E30" s="225" t="str">
        <f>IFERROR(INDEX('IG 콘텐츠 data'!$A$1:$AJ$25,MATCH('IG 신규발행'!$A30,'IG 콘텐츠 data'!$S:$S,0),MATCH(E$3,'IG 콘텐츠 data'!$A$1:$Q$1,0)),"")</f>
        <v/>
      </c>
      <c r="F30" s="225" t="str">
        <f>IFERROR(INDEX('IG 콘텐츠 data'!$A$1:$AJ$25,MATCH('IG 신규발행'!$A30,'IG 콘텐츠 data'!$S:$S,0),MATCH(F$3,'IG 콘텐츠 data'!$A$1:$Q$1,0)),"")</f>
        <v/>
      </c>
      <c r="G30" s="225" t="str">
        <f>IFERROR(INDEX('IG 콘텐츠 data'!$A$1:$AJ$25,MATCH('IG 신규발행'!$A30,'IG 콘텐츠 data'!$S:$S,0),MATCH(G$3,'IG 콘텐츠 data'!$A$1:$Q$1,0)),"")</f>
        <v/>
      </c>
      <c r="H30" s="225" t="str">
        <f>IFERROR(INDEX('IG 콘텐츠 data'!$A$1:$AJ$25,MATCH('IG 신규발행'!$A30,'IG 콘텐츠 data'!$S:$S,0),MATCH(H$3,'IG 콘텐츠 data'!$A$1:$Q$1,0)),"")</f>
        <v/>
      </c>
      <c r="I30" s="225" t="str">
        <f>IFERROR(INDEX('IG 콘텐츠 data'!$A$1:$AJ$25,MATCH('IG 신규발행'!$A30,'IG 콘텐츠 data'!$S:$S,0),MATCH(I$3,'IG 콘텐츠 data'!$A$1:$Q$1,0)),"")</f>
        <v/>
      </c>
      <c r="J30" s="225" t="str">
        <f>IFERROR(INDEX('IG 콘텐츠 data'!$A$1:$AJ$25,MATCH('IG 신규발행'!$A30,'IG 콘텐츠 data'!$S:$S,0),MATCH(J$3,'IG 콘텐츠 data'!$A$1:$Q$1,0)),"")</f>
        <v/>
      </c>
      <c r="K30" s="228" t="str">
        <f>IFERROR(INDEX('IG 콘텐츠 data'!$A$1:$AJ$25,MATCH('IG 신규발행'!$A30,'IG 콘텐츠 data'!$S:$S,0),MATCH(K$3,'IG 콘텐츠 data'!$A$1:$Q$1,0)),"")</f>
        <v/>
      </c>
      <c r="L30" s="225" t="str">
        <f>IFERROR(INDEX('IG 콘텐츠 data'!$A$1:$AJ$25,MATCH('IG 신규발행'!$A30,'IG 콘텐츠 data'!$S:$S,0),MATCH(L$3,'IG 콘텐츠 data'!$A$1:$Q$1,0)),"")</f>
        <v/>
      </c>
      <c r="M30" s="225" t="str">
        <f>IFERROR(INDEX('IG 콘텐츠 data'!$A$1:$AJ$25,MATCH('IG 신규발행'!$A30,'IG 콘텐츠 data'!$S:$S,0),MATCH(M$3,'IG 콘텐츠 data'!$A$1:$Q$1,0)),"")</f>
        <v/>
      </c>
      <c r="N30" s="225" t="str">
        <f>IFERROR(INDEX('IG 콘텐츠 data'!$A$1:$AJ$25,MATCH('IG 신규발행'!$A30,'IG 콘텐츠 data'!$S:$S,0),MATCH(N$3,'IG 콘텐츠 data'!$A$1:$Q$1,0)),"")</f>
        <v/>
      </c>
      <c r="O30" s="225" t="str">
        <f>IF(B30="","",SUM(L30:N30)+G30)</f>
        <v/>
      </c>
      <c r="P30" s="226" t="str">
        <f>IFERROR(O30/F30,"")</f>
        <v/>
      </c>
      <c r="R30" s="229" t="e">
        <f t="shared" si="0"/>
        <v>#VALUE!</v>
      </c>
      <c r="S30" s="229" t="e">
        <f t="shared" si="1"/>
        <v>#VALUE!</v>
      </c>
      <c r="W30" s="117"/>
    </row>
    <row r="31" spans="1:23" ht="17.45" customHeight="1">
      <c r="A31">
        <v>28</v>
      </c>
      <c r="B31" s="227" t="str">
        <f>IFERROR(INDEX('IG 콘텐츠 data'!R:R,MATCH('IG 신규발행'!A31,'IG 콘텐츠 data'!S:S,0)),"")</f>
        <v/>
      </c>
      <c r="C31" s="225" t="str">
        <f>IFERROR(IF(INDEX('IG 콘텐츠 data'!$A$1:$AJ$25,MATCH('IG 신규발행'!$A31,'IG 콘텐츠 data'!$S:$S,0),MATCH(C$3,'IG 콘텐츠 data'!$A$1:$O$1,0))="IG 이미지","이미지",IF(INDEX('IG 콘텐츠 data'!$A$1:$AJ$25,MATCH('IG 신규발행'!$A31,'IG 콘텐츠 data'!$S:$S,0),MATCH(C$3,'IG 콘텐츠 data'!$A$1:$O$1,0))="IG 슬라이드","슬라이드",IF(INDEX('IG 콘텐츠 data'!$A$1:$AJ$25,MATCH('IG 신규발행'!$A31,'IG 콘텐츠 data'!$S:$S,0),MATCH(C$3,'IG 콘텐츠 data'!$A$1:$O$1,0))="Instagram 릴스","영상"))),"")</f>
        <v/>
      </c>
      <c r="D31" s="225" t="str">
        <f>IFERROR(INDEX('IG 콘텐츠 data'!$A$1:$AJ$25,MATCH('IG 신규발행'!$A31,'IG 콘텐츠 data'!$S:$S,0),MATCH(D$3,'IG 콘텐츠 data'!$A$1:$Q$1,0)),"")</f>
        <v/>
      </c>
      <c r="E31" s="225" t="str">
        <f>IFERROR(INDEX('IG 콘텐츠 data'!$A$1:$AJ$25,MATCH('IG 신규발행'!$A31,'IG 콘텐츠 data'!$S:$S,0),MATCH(E$3,'IG 콘텐츠 data'!$A$1:$Q$1,0)),"")</f>
        <v/>
      </c>
      <c r="F31" s="225" t="str">
        <f>IFERROR(INDEX('IG 콘텐츠 data'!$A$1:$AJ$25,MATCH('IG 신규발행'!$A31,'IG 콘텐츠 data'!$S:$S,0),MATCH(F$3,'IG 콘텐츠 data'!$A$1:$Q$1,0)),"")</f>
        <v/>
      </c>
      <c r="G31" s="225" t="str">
        <f>IFERROR(INDEX('IG 콘텐츠 data'!$A$1:$AJ$25,MATCH('IG 신규발행'!$A31,'IG 콘텐츠 data'!$S:$S,0),MATCH(G$3,'IG 콘텐츠 data'!$A$1:$Q$1,0)),"")</f>
        <v/>
      </c>
      <c r="H31" s="225" t="str">
        <f>IFERROR(INDEX('IG 콘텐츠 data'!$A$1:$AJ$25,MATCH('IG 신규발행'!$A31,'IG 콘텐츠 data'!$S:$S,0),MATCH(H$3,'IG 콘텐츠 data'!$A$1:$Q$1,0)),"")</f>
        <v/>
      </c>
      <c r="I31" s="225" t="str">
        <f>IFERROR(INDEX('IG 콘텐츠 data'!$A$1:$AJ$25,MATCH('IG 신규발행'!$A31,'IG 콘텐츠 data'!$S:$S,0),MATCH(I$3,'IG 콘텐츠 data'!$A$1:$Q$1,0)),"")</f>
        <v/>
      </c>
      <c r="J31" s="225" t="str">
        <f>IFERROR(INDEX('IG 콘텐츠 data'!$A$1:$AJ$25,MATCH('IG 신규발행'!$A31,'IG 콘텐츠 data'!$S:$S,0),MATCH(J$3,'IG 콘텐츠 data'!$A$1:$Q$1,0)),"")</f>
        <v/>
      </c>
      <c r="K31" s="228" t="str">
        <f>IFERROR(INDEX('IG 콘텐츠 data'!$A$1:$AJ$25,MATCH('IG 신규발행'!$A31,'IG 콘텐츠 data'!$S:$S,0),MATCH(K$3,'IG 콘텐츠 data'!$A$1:$Q$1,0)),"")</f>
        <v/>
      </c>
      <c r="L31" s="225" t="str">
        <f>IFERROR(INDEX('IG 콘텐츠 data'!$A$1:$AJ$25,MATCH('IG 신규발행'!$A31,'IG 콘텐츠 data'!$S:$S,0),MATCH(L$3,'IG 콘텐츠 data'!$A$1:$Q$1,0)),"")</f>
        <v/>
      </c>
      <c r="M31" s="225" t="str">
        <f>IFERROR(INDEX('IG 콘텐츠 data'!$A$1:$AJ$25,MATCH('IG 신규발행'!$A31,'IG 콘텐츠 data'!$S:$S,0),MATCH(M$3,'IG 콘텐츠 data'!$A$1:$Q$1,0)),"")</f>
        <v/>
      </c>
      <c r="N31" s="225" t="str">
        <f>IFERROR(INDEX('IG 콘텐츠 data'!$A$1:$AJ$25,MATCH('IG 신규발행'!$A31,'IG 콘텐츠 data'!$S:$S,0),MATCH(N$3,'IG 콘텐츠 data'!$A$1:$Q$1,0)),"")</f>
        <v/>
      </c>
      <c r="O31" s="225" t="str">
        <f>IF(B31="","",SUM(L31:N31)+G31)</f>
        <v/>
      </c>
      <c r="P31" s="226" t="str">
        <f>IFERROR(O31/F31,"")</f>
        <v/>
      </c>
      <c r="R31" s="229" t="e">
        <f t="shared" si="0"/>
        <v>#VALUE!</v>
      </c>
      <c r="S31" s="229" t="e">
        <f t="shared" si="1"/>
        <v>#VALUE!</v>
      </c>
      <c r="W31" s="117"/>
    </row>
    <row r="32" spans="1:23" ht="17.45" customHeight="1">
      <c r="A32">
        <v>29</v>
      </c>
      <c r="B32" s="227" t="str">
        <f>IFERROR(INDEX('IG 콘텐츠 data'!R:R,MATCH('IG 신규발행'!A32,'IG 콘텐츠 data'!S:S,0)),"")</f>
        <v/>
      </c>
      <c r="C32" s="225" t="str">
        <f>IFERROR(IF(INDEX('IG 콘텐츠 data'!$A$1:$AJ$25,MATCH('IG 신규발행'!$A32,'IG 콘텐츠 data'!$S:$S,0),MATCH(C$3,'IG 콘텐츠 data'!$A$1:$O$1,0))="IG 이미지","이미지",IF(INDEX('IG 콘텐츠 data'!$A$1:$AJ$25,MATCH('IG 신규발행'!$A32,'IG 콘텐츠 data'!$S:$S,0),MATCH(C$3,'IG 콘텐츠 data'!$A$1:$O$1,0))="IG 슬라이드","슬라이드",IF(INDEX('IG 콘텐츠 data'!$A$1:$AJ$25,MATCH('IG 신규발행'!$A32,'IG 콘텐츠 data'!$S:$S,0),MATCH(C$3,'IG 콘텐츠 data'!$A$1:$O$1,0))="Instagram 릴스","영상"))),"")</f>
        <v/>
      </c>
      <c r="D32" s="225" t="str">
        <f>IFERROR(INDEX('IG 콘텐츠 data'!$A$1:$AJ$25,MATCH('IG 신규발행'!$A32,'IG 콘텐츠 data'!$S:$S,0),MATCH(D$3,'IG 콘텐츠 data'!$A$1:$Q$1,0)),"")</f>
        <v/>
      </c>
      <c r="E32" s="225" t="str">
        <f>IFERROR(INDEX('IG 콘텐츠 data'!$A$1:$AJ$25,MATCH('IG 신규발행'!$A32,'IG 콘텐츠 data'!$S:$S,0),MATCH(E$3,'IG 콘텐츠 data'!$A$1:$Q$1,0)),"")</f>
        <v/>
      </c>
      <c r="F32" s="225" t="str">
        <f>IFERROR(INDEX('IG 콘텐츠 data'!$A$1:$AJ$25,MATCH('IG 신규발행'!$A32,'IG 콘텐츠 data'!$S:$S,0),MATCH(F$3,'IG 콘텐츠 data'!$A$1:$Q$1,0)),"")</f>
        <v/>
      </c>
      <c r="G32" s="225" t="str">
        <f>IFERROR(INDEX('IG 콘텐츠 data'!$A$1:$AJ$25,MATCH('IG 신규발행'!$A32,'IG 콘텐츠 data'!$S:$S,0),MATCH(G$3,'IG 콘텐츠 data'!$A$1:$Q$1,0)),"")</f>
        <v/>
      </c>
      <c r="H32" s="225" t="str">
        <f>IFERROR(INDEX('IG 콘텐츠 data'!$A$1:$AJ$25,MATCH('IG 신규발행'!$A32,'IG 콘텐츠 data'!$S:$S,0),MATCH(H$3,'IG 콘텐츠 data'!$A$1:$Q$1,0)),"")</f>
        <v/>
      </c>
      <c r="I32" s="225" t="str">
        <f>IFERROR(INDEX('IG 콘텐츠 data'!$A$1:$AJ$25,MATCH('IG 신규발행'!$A32,'IG 콘텐츠 data'!$S:$S,0),MATCH(I$3,'IG 콘텐츠 data'!$A$1:$Q$1,0)),"")</f>
        <v/>
      </c>
      <c r="J32" s="225" t="str">
        <f>IFERROR(INDEX('IG 콘텐츠 data'!$A$1:$AJ$25,MATCH('IG 신규발행'!$A32,'IG 콘텐츠 data'!$S:$S,0),MATCH(J$3,'IG 콘텐츠 data'!$A$1:$Q$1,0)),"")</f>
        <v/>
      </c>
      <c r="K32" s="228" t="str">
        <f>IFERROR(INDEX('IG 콘텐츠 data'!$A$1:$AJ$25,MATCH('IG 신규발행'!$A32,'IG 콘텐츠 data'!$S:$S,0),MATCH(K$3,'IG 콘텐츠 data'!$A$1:$Q$1,0)),"")</f>
        <v/>
      </c>
      <c r="L32" s="225" t="str">
        <f>IFERROR(INDEX('IG 콘텐츠 data'!$A$1:$AJ$25,MATCH('IG 신규발행'!$A32,'IG 콘텐츠 data'!$S:$S,0),MATCH(L$3,'IG 콘텐츠 data'!$A$1:$Q$1,0)),"")</f>
        <v/>
      </c>
      <c r="M32" s="225" t="str">
        <f>IFERROR(INDEX('IG 콘텐츠 data'!$A$1:$AJ$25,MATCH('IG 신규발행'!$A32,'IG 콘텐츠 data'!$S:$S,0),MATCH(M$3,'IG 콘텐츠 data'!$A$1:$Q$1,0)),"")</f>
        <v/>
      </c>
      <c r="N32" s="225" t="str">
        <f>IFERROR(INDEX('IG 콘텐츠 data'!$A$1:$AJ$25,MATCH('IG 신규발행'!$A32,'IG 콘텐츠 data'!$S:$S,0),MATCH(N$3,'IG 콘텐츠 data'!$A$1:$Q$1,0)),"")</f>
        <v/>
      </c>
      <c r="O32" s="225" t="str">
        <f>IF(B32="","",SUM(L32:N32)+G32)</f>
        <v/>
      </c>
      <c r="P32" s="226" t="str">
        <f>IFERROR(O32/F32,"")</f>
        <v/>
      </c>
      <c r="R32" s="229" t="e">
        <f t="shared" si="0"/>
        <v>#VALUE!</v>
      </c>
      <c r="S32" s="229" t="e">
        <f t="shared" si="1"/>
        <v>#VALUE!</v>
      </c>
      <c r="W32" s="117"/>
    </row>
    <row r="33" spans="1:23" ht="17.45" customHeight="1">
      <c r="A33">
        <v>30</v>
      </c>
      <c r="B33" s="227" t="str">
        <f>IFERROR(INDEX('IG 콘텐츠 data'!R:R,MATCH('IG 신규발행'!A33,'IG 콘텐츠 data'!S:S,0)),"")</f>
        <v/>
      </c>
      <c r="C33" s="225" t="str">
        <f>IFERROR(IF(INDEX('IG 콘텐츠 data'!$A$1:$AJ$25,MATCH('IG 신규발행'!$A33,'IG 콘텐츠 data'!$S:$S,0),MATCH(C$3,'IG 콘텐츠 data'!$A$1:$O$1,0))="IG 이미지","이미지",IF(INDEX('IG 콘텐츠 data'!$A$1:$AJ$25,MATCH('IG 신규발행'!$A33,'IG 콘텐츠 data'!$S:$S,0),MATCH(C$3,'IG 콘텐츠 data'!$A$1:$O$1,0))="IG 슬라이드","슬라이드",IF(INDEX('IG 콘텐츠 data'!$A$1:$AJ$25,MATCH('IG 신규발행'!$A33,'IG 콘텐츠 data'!$S:$S,0),MATCH(C$3,'IG 콘텐츠 data'!$A$1:$O$1,0))="Instagram 릴스","영상"))),"")</f>
        <v/>
      </c>
      <c r="D33" s="225" t="str">
        <f>IFERROR(INDEX('IG 콘텐츠 data'!$A$1:$AJ$25,MATCH('IG 신규발행'!$A33,'IG 콘텐츠 data'!$S:$S,0),MATCH(D$3,'IG 콘텐츠 data'!$A$1:$Q$1,0)),"")</f>
        <v/>
      </c>
      <c r="E33" s="225" t="str">
        <f>IFERROR(INDEX('IG 콘텐츠 data'!$A$1:$AJ$25,MATCH('IG 신규발행'!$A33,'IG 콘텐츠 data'!$S:$S,0),MATCH(E$3,'IG 콘텐츠 data'!$A$1:$Q$1,0)),"")</f>
        <v/>
      </c>
      <c r="F33" s="225" t="str">
        <f>IFERROR(INDEX('IG 콘텐츠 data'!$A$1:$AJ$25,MATCH('IG 신규발행'!$A33,'IG 콘텐츠 data'!$S:$S,0),MATCH(F$3,'IG 콘텐츠 data'!$A$1:$Q$1,0)),"")</f>
        <v/>
      </c>
      <c r="G33" s="225" t="str">
        <f>IFERROR(INDEX('IG 콘텐츠 data'!$A$1:$AJ$25,MATCH('IG 신규발행'!$A33,'IG 콘텐츠 data'!$S:$S,0),MATCH(G$3,'IG 콘텐츠 data'!$A$1:$Q$1,0)),"")</f>
        <v/>
      </c>
      <c r="H33" s="225" t="str">
        <f>IFERROR(INDEX('IG 콘텐츠 data'!$A$1:$AJ$25,MATCH('IG 신규발행'!$A33,'IG 콘텐츠 data'!$S:$S,0),MATCH(H$3,'IG 콘텐츠 data'!$A$1:$Q$1,0)),"")</f>
        <v/>
      </c>
      <c r="I33" s="225" t="str">
        <f>IFERROR(INDEX('IG 콘텐츠 data'!$A$1:$AJ$25,MATCH('IG 신규발행'!$A33,'IG 콘텐츠 data'!$S:$S,0),MATCH(I$3,'IG 콘텐츠 data'!$A$1:$Q$1,0)),"")</f>
        <v/>
      </c>
      <c r="J33" s="225" t="str">
        <f>IFERROR(INDEX('IG 콘텐츠 data'!$A$1:$AJ$25,MATCH('IG 신규발행'!$A33,'IG 콘텐츠 data'!$S:$S,0),MATCH(J$3,'IG 콘텐츠 data'!$A$1:$Q$1,0)),"")</f>
        <v/>
      </c>
      <c r="K33" s="228" t="str">
        <f>IFERROR(INDEX('IG 콘텐츠 data'!$A$1:$AJ$25,MATCH('IG 신규발행'!$A33,'IG 콘텐츠 data'!$S:$S,0),MATCH(K$3,'IG 콘텐츠 data'!$A$1:$Q$1,0)),"")</f>
        <v/>
      </c>
      <c r="L33" s="225" t="str">
        <f>IFERROR(INDEX('IG 콘텐츠 data'!$A$1:$AJ$25,MATCH('IG 신규발행'!$A33,'IG 콘텐츠 data'!$S:$S,0),MATCH(L$3,'IG 콘텐츠 data'!$A$1:$Q$1,0)),"")</f>
        <v/>
      </c>
      <c r="M33" s="225" t="str">
        <f>IFERROR(INDEX('IG 콘텐츠 data'!$A$1:$AJ$25,MATCH('IG 신규발행'!$A33,'IG 콘텐츠 data'!$S:$S,0),MATCH(M$3,'IG 콘텐츠 data'!$A$1:$Q$1,0)),"")</f>
        <v/>
      </c>
      <c r="N33" s="225" t="str">
        <f>IFERROR(INDEX('IG 콘텐츠 data'!$A$1:$AJ$25,MATCH('IG 신규발행'!$A33,'IG 콘텐츠 data'!$S:$S,0),MATCH(N$3,'IG 콘텐츠 data'!$A$1:$Q$1,0)),"")</f>
        <v/>
      </c>
      <c r="O33" s="225" t="str">
        <f>IF(B33="","",SUM(L33:N33)+G33)</f>
        <v/>
      </c>
      <c r="P33" s="226" t="str">
        <f>IFERROR(O33/F33,"")</f>
        <v/>
      </c>
      <c r="R33" s="229" t="e">
        <f t="shared" si="0"/>
        <v>#VALUE!</v>
      </c>
      <c r="S33" s="229" t="e">
        <f t="shared" si="1"/>
        <v>#VALUE!</v>
      </c>
      <c r="W33" s="117"/>
    </row>
    <row r="34" spans="1:23" ht="17.45" customHeight="1">
      <c r="A34">
        <v>31</v>
      </c>
      <c r="B34" s="227" t="str">
        <f>IFERROR(INDEX('IG 콘텐츠 data'!R:R,MATCH('IG 신규발행'!A34,'IG 콘텐츠 data'!S:S,0)),"")</f>
        <v/>
      </c>
      <c r="C34" s="225" t="str">
        <f>IFERROR(IF(INDEX('IG 콘텐츠 data'!$A$1:$AJ$25,MATCH('IG 신규발행'!$A34,'IG 콘텐츠 data'!$S:$S,0),MATCH(C$3,'IG 콘텐츠 data'!$A$1:$O$1,0))="IG 이미지","이미지",IF(INDEX('IG 콘텐츠 data'!$A$1:$AJ$25,MATCH('IG 신규발행'!$A34,'IG 콘텐츠 data'!$S:$S,0),MATCH(C$3,'IG 콘텐츠 data'!$A$1:$O$1,0))="IG 슬라이드","슬라이드",IF(INDEX('IG 콘텐츠 data'!$A$1:$AJ$25,MATCH('IG 신규발행'!$A34,'IG 콘텐츠 data'!$S:$S,0),MATCH(C$3,'IG 콘텐츠 data'!$A$1:$O$1,0))="Instagram 릴스","영상"))),"")</f>
        <v/>
      </c>
      <c r="D34" s="225" t="str">
        <f>IFERROR(INDEX('IG 콘텐츠 data'!$A$1:$AJ$25,MATCH('IG 신규발행'!$A34,'IG 콘텐츠 data'!$S:$S,0),MATCH(D$3,'IG 콘텐츠 data'!$A$1:$Q$1,0)),"")</f>
        <v/>
      </c>
      <c r="E34" s="225" t="str">
        <f>IFERROR(INDEX('IG 콘텐츠 data'!$A$1:$AJ$25,MATCH('IG 신규발행'!$A34,'IG 콘텐츠 data'!$S:$S,0),MATCH(E$3,'IG 콘텐츠 data'!$A$1:$Q$1,0)),"")</f>
        <v/>
      </c>
      <c r="F34" s="225" t="str">
        <f>IFERROR(INDEX('IG 콘텐츠 data'!$A$1:$AJ$25,MATCH('IG 신규발행'!$A34,'IG 콘텐츠 data'!$S:$S,0),MATCH(F$3,'IG 콘텐츠 data'!$A$1:$Q$1,0)),"")</f>
        <v/>
      </c>
      <c r="G34" s="225" t="str">
        <f>IFERROR(INDEX('IG 콘텐츠 data'!$A$1:$AJ$25,MATCH('IG 신규발행'!$A34,'IG 콘텐츠 data'!$S:$S,0),MATCH(G$3,'IG 콘텐츠 data'!$A$1:$Q$1,0)),"")</f>
        <v/>
      </c>
      <c r="H34" s="225" t="str">
        <f>IFERROR(INDEX('IG 콘텐츠 data'!$A$1:$AJ$25,MATCH('IG 신규발행'!$A34,'IG 콘텐츠 data'!$S:$S,0),MATCH(H$3,'IG 콘텐츠 data'!$A$1:$Q$1,0)),"")</f>
        <v/>
      </c>
      <c r="I34" s="225" t="str">
        <f>IFERROR(INDEX('IG 콘텐츠 data'!$A$1:$AJ$25,MATCH('IG 신규발행'!$A34,'IG 콘텐츠 data'!$S:$S,0),MATCH(I$3,'IG 콘텐츠 data'!$A$1:$Q$1,0)),"")</f>
        <v/>
      </c>
      <c r="J34" s="225" t="str">
        <f>IFERROR(INDEX('IG 콘텐츠 data'!$A$1:$AJ$25,MATCH('IG 신규발행'!$A34,'IG 콘텐츠 data'!$S:$S,0),MATCH(J$3,'IG 콘텐츠 data'!$A$1:$Q$1,0)),"")</f>
        <v/>
      </c>
      <c r="K34" s="228" t="str">
        <f>IFERROR(INDEX('IG 콘텐츠 data'!$A$1:$AJ$25,MATCH('IG 신규발행'!$A34,'IG 콘텐츠 data'!$S:$S,0),MATCH(K$3,'IG 콘텐츠 data'!$A$1:$Q$1,0)),"")</f>
        <v/>
      </c>
      <c r="L34" s="225" t="str">
        <f>IFERROR(INDEX('IG 콘텐츠 data'!$A$1:$AJ$25,MATCH('IG 신규발행'!$A34,'IG 콘텐츠 data'!$S:$S,0),MATCH(L$3,'IG 콘텐츠 data'!$A$1:$Q$1,0)),"")</f>
        <v/>
      </c>
      <c r="M34" s="225" t="str">
        <f>IFERROR(INDEX('IG 콘텐츠 data'!$A$1:$AJ$25,MATCH('IG 신규발행'!$A34,'IG 콘텐츠 data'!$S:$S,0),MATCH(M$3,'IG 콘텐츠 data'!$A$1:$Q$1,0)),"")</f>
        <v/>
      </c>
      <c r="N34" s="225" t="str">
        <f>IFERROR(INDEX('IG 콘텐츠 data'!$A$1:$AJ$25,MATCH('IG 신규발행'!$A34,'IG 콘텐츠 data'!$S:$S,0),MATCH(N$3,'IG 콘텐츠 data'!$A$1:$Q$1,0)),"")</f>
        <v/>
      </c>
      <c r="O34" s="225" t="str">
        <f>IF(B34="","",SUM(L34:N34)+G34)</f>
        <v/>
      </c>
      <c r="P34" s="226" t="str">
        <f>IFERROR(O34/F34,"")</f>
        <v/>
      </c>
      <c r="R34" s="229" t="e">
        <f t="shared" si="0"/>
        <v>#VALUE!</v>
      </c>
      <c r="S34" s="229" t="e">
        <f t="shared" si="1"/>
        <v>#VALUE!</v>
      </c>
      <c r="W34" s="117"/>
    </row>
    <row r="35" spans="1:23" ht="17.45" customHeight="1">
      <c r="A35">
        <v>32</v>
      </c>
      <c r="B35" s="227" t="str">
        <f>IFERROR(INDEX('IG 콘텐츠 data'!R:R,MATCH('IG 신규발행'!A35,'IG 콘텐츠 data'!S:S,0)),"")</f>
        <v/>
      </c>
      <c r="C35" s="225" t="str">
        <f>IFERROR(IF(INDEX('IG 콘텐츠 data'!$A$1:$AJ$25,MATCH('IG 신규발행'!$A35,'IG 콘텐츠 data'!$S:$S,0),MATCH(C$3,'IG 콘텐츠 data'!$A$1:$O$1,0))="IG 이미지","이미지",IF(INDEX('IG 콘텐츠 data'!$A$1:$AJ$25,MATCH('IG 신규발행'!$A35,'IG 콘텐츠 data'!$S:$S,0),MATCH(C$3,'IG 콘텐츠 data'!$A$1:$O$1,0))="IG 슬라이드","슬라이드",IF(INDEX('IG 콘텐츠 data'!$A$1:$AJ$25,MATCH('IG 신규발행'!$A35,'IG 콘텐츠 data'!$S:$S,0),MATCH(C$3,'IG 콘텐츠 data'!$A$1:$O$1,0))="Instagram 릴스","영상"))),"")</f>
        <v/>
      </c>
      <c r="D35" s="225" t="str">
        <f>IFERROR(INDEX('IG 콘텐츠 data'!$A$1:$AJ$25,MATCH('IG 신규발행'!$A35,'IG 콘텐츠 data'!$S:$S,0),MATCH(D$3,'IG 콘텐츠 data'!$A$1:$Q$1,0)),"")</f>
        <v/>
      </c>
      <c r="E35" s="225" t="str">
        <f>IFERROR(INDEX('IG 콘텐츠 data'!$A$1:$AJ$25,MATCH('IG 신규발행'!$A35,'IG 콘텐츠 data'!$S:$S,0),MATCH(E$3,'IG 콘텐츠 data'!$A$1:$Q$1,0)),"")</f>
        <v/>
      </c>
      <c r="F35" s="225" t="str">
        <f>IFERROR(INDEX('IG 콘텐츠 data'!$A$1:$AJ$25,MATCH('IG 신규발행'!$A35,'IG 콘텐츠 data'!$S:$S,0),MATCH(F$3,'IG 콘텐츠 data'!$A$1:$Q$1,0)),"")</f>
        <v/>
      </c>
      <c r="G35" s="225" t="str">
        <f>IFERROR(INDEX('IG 콘텐츠 data'!$A$1:$AJ$25,MATCH('IG 신규발행'!$A35,'IG 콘텐츠 data'!$S:$S,0),MATCH(G$3,'IG 콘텐츠 data'!$A$1:$Q$1,0)),"")</f>
        <v/>
      </c>
      <c r="H35" s="225" t="str">
        <f>IFERROR(INDEX('IG 콘텐츠 data'!$A$1:$AJ$25,MATCH('IG 신규발행'!$A35,'IG 콘텐츠 data'!$S:$S,0),MATCH(H$3,'IG 콘텐츠 data'!$A$1:$Q$1,0)),"")</f>
        <v/>
      </c>
      <c r="I35" s="225" t="str">
        <f>IFERROR(INDEX('IG 콘텐츠 data'!$A$1:$AJ$25,MATCH('IG 신규발행'!$A35,'IG 콘텐츠 data'!$S:$S,0),MATCH(I$3,'IG 콘텐츠 data'!$A$1:$Q$1,0)),"")</f>
        <v/>
      </c>
      <c r="J35" s="225" t="str">
        <f>IFERROR(INDEX('IG 콘텐츠 data'!$A$1:$AJ$25,MATCH('IG 신규발행'!$A35,'IG 콘텐츠 data'!$S:$S,0),MATCH(J$3,'IG 콘텐츠 data'!$A$1:$Q$1,0)),"")</f>
        <v/>
      </c>
      <c r="K35" s="228" t="str">
        <f>IFERROR(INDEX('IG 콘텐츠 data'!$A$1:$AJ$25,MATCH('IG 신규발행'!$A35,'IG 콘텐츠 data'!$S:$S,0),MATCH(K$3,'IG 콘텐츠 data'!$A$1:$Q$1,0)),"")</f>
        <v/>
      </c>
      <c r="L35" s="225" t="str">
        <f>IFERROR(INDEX('IG 콘텐츠 data'!$A$1:$AJ$25,MATCH('IG 신규발행'!$A35,'IG 콘텐츠 data'!$S:$S,0),MATCH(L$3,'IG 콘텐츠 data'!$A$1:$Q$1,0)),"")</f>
        <v/>
      </c>
      <c r="M35" s="225" t="str">
        <f>IFERROR(INDEX('IG 콘텐츠 data'!$A$1:$AJ$25,MATCH('IG 신규발행'!$A35,'IG 콘텐츠 data'!$S:$S,0),MATCH(M$3,'IG 콘텐츠 data'!$A$1:$Q$1,0)),"")</f>
        <v/>
      </c>
      <c r="N35" s="225" t="str">
        <f>IFERROR(INDEX('IG 콘텐츠 data'!$A$1:$AJ$25,MATCH('IG 신규발행'!$A35,'IG 콘텐츠 data'!$S:$S,0),MATCH(N$3,'IG 콘텐츠 data'!$A$1:$Q$1,0)),"")</f>
        <v/>
      </c>
      <c r="O35" s="225" t="str">
        <f>IF(B35="","",SUM(L35:N35)+G35)</f>
        <v/>
      </c>
      <c r="P35" s="226" t="str">
        <f>IFERROR(O35/F35,"")</f>
        <v/>
      </c>
      <c r="R35" s="229" t="e">
        <f t="shared" si="0"/>
        <v>#VALUE!</v>
      </c>
      <c r="S35" s="229" t="e">
        <f t="shared" si="1"/>
        <v>#VALUE!</v>
      </c>
      <c r="W35" s="117"/>
    </row>
    <row r="36" spans="1:23" ht="17.45" customHeight="1">
      <c r="A36">
        <v>33</v>
      </c>
      <c r="B36" s="227" t="str">
        <f>IFERROR(INDEX('IG 콘텐츠 data'!R:R,MATCH('IG 신규발행'!A36,'IG 콘텐츠 data'!S:S,0)),"")</f>
        <v/>
      </c>
      <c r="C36" s="225" t="str">
        <f>IFERROR(IF(INDEX('IG 콘텐츠 data'!$A$1:$AJ$25,MATCH('IG 신규발행'!$A36,'IG 콘텐츠 data'!$S:$S,0),MATCH(C$3,'IG 콘텐츠 data'!$A$1:$O$1,0))="IG 이미지","이미지",IF(INDEX('IG 콘텐츠 data'!$A$1:$AJ$25,MATCH('IG 신규발행'!$A36,'IG 콘텐츠 data'!$S:$S,0),MATCH(C$3,'IG 콘텐츠 data'!$A$1:$O$1,0))="IG 슬라이드","슬라이드",IF(INDEX('IG 콘텐츠 data'!$A$1:$AJ$25,MATCH('IG 신규발행'!$A36,'IG 콘텐츠 data'!$S:$S,0),MATCH(C$3,'IG 콘텐츠 data'!$A$1:$O$1,0))="Instagram 릴스","영상"))),"")</f>
        <v/>
      </c>
      <c r="D36" s="225" t="str">
        <f>IFERROR(INDEX('IG 콘텐츠 data'!$A$1:$AJ$25,MATCH('IG 신규발행'!$A36,'IG 콘텐츠 data'!$S:$S,0),MATCH(D$3,'IG 콘텐츠 data'!$A$1:$Q$1,0)),"")</f>
        <v/>
      </c>
      <c r="E36" s="225" t="str">
        <f>IFERROR(INDEX('IG 콘텐츠 data'!$A$1:$AJ$25,MATCH('IG 신규발행'!$A36,'IG 콘텐츠 data'!$S:$S,0),MATCH(E$3,'IG 콘텐츠 data'!$A$1:$Q$1,0)),"")</f>
        <v/>
      </c>
      <c r="F36" s="225" t="str">
        <f>IFERROR(INDEX('IG 콘텐츠 data'!$A$1:$AJ$25,MATCH('IG 신규발행'!$A36,'IG 콘텐츠 data'!$S:$S,0),MATCH(F$3,'IG 콘텐츠 data'!$A$1:$Q$1,0)),"")</f>
        <v/>
      </c>
      <c r="G36" s="225" t="str">
        <f>IFERROR(INDEX('IG 콘텐츠 data'!$A$1:$AJ$25,MATCH('IG 신규발행'!$A36,'IG 콘텐츠 data'!$S:$S,0),MATCH(G$3,'IG 콘텐츠 data'!$A$1:$Q$1,0)),"")</f>
        <v/>
      </c>
      <c r="H36" s="225" t="str">
        <f>IFERROR(INDEX('IG 콘텐츠 data'!$A$1:$AJ$25,MATCH('IG 신규발행'!$A36,'IG 콘텐츠 data'!$S:$S,0),MATCH(H$3,'IG 콘텐츠 data'!$A$1:$Q$1,0)),"")</f>
        <v/>
      </c>
      <c r="I36" s="225" t="str">
        <f>IFERROR(INDEX('IG 콘텐츠 data'!$A$1:$AJ$25,MATCH('IG 신규발행'!$A36,'IG 콘텐츠 data'!$S:$S,0),MATCH(I$3,'IG 콘텐츠 data'!$A$1:$Q$1,0)),"")</f>
        <v/>
      </c>
      <c r="J36" s="225" t="str">
        <f>IFERROR(INDEX('IG 콘텐츠 data'!$A$1:$AJ$25,MATCH('IG 신규발행'!$A36,'IG 콘텐츠 data'!$S:$S,0),MATCH(J$3,'IG 콘텐츠 data'!$A$1:$Q$1,0)),"")</f>
        <v/>
      </c>
      <c r="K36" s="228" t="str">
        <f>IFERROR(INDEX('IG 콘텐츠 data'!$A$1:$AJ$25,MATCH('IG 신규발행'!$A36,'IG 콘텐츠 data'!$S:$S,0),MATCH(K$3,'IG 콘텐츠 data'!$A$1:$Q$1,0)),"")</f>
        <v/>
      </c>
      <c r="L36" s="225" t="str">
        <f>IFERROR(INDEX('IG 콘텐츠 data'!$A$1:$AJ$25,MATCH('IG 신규발행'!$A36,'IG 콘텐츠 data'!$S:$S,0),MATCH(L$3,'IG 콘텐츠 data'!$A$1:$Q$1,0)),"")</f>
        <v/>
      </c>
      <c r="M36" s="225" t="str">
        <f>IFERROR(INDEX('IG 콘텐츠 data'!$A$1:$AJ$25,MATCH('IG 신규발행'!$A36,'IG 콘텐츠 data'!$S:$S,0),MATCH(M$3,'IG 콘텐츠 data'!$A$1:$Q$1,0)),"")</f>
        <v/>
      </c>
      <c r="N36" s="225" t="str">
        <f>IFERROR(INDEX('IG 콘텐츠 data'!$A$1:$AJ$25,MATCH('IG 신규발행'!$A36,'IG 콘텐츠 data'!$S:$S,0),MATCH(N$3,'IG 콘텐츠 data'!$A$1:$Q$1,0)),"")</f>
        <v/>
      </c>
      <c r="O36" s="225" t="str">
        <f>IF(B36="","",SUM(L36:N36)+G36)</f>
        <v/>
      </c>
      <c r="P36" s="226" t="str">
        <f>IFERROR(O36/F36,"")</f>
        <v/>
      </c>
      <c r="R36" s="229" t="e">
        <f t="shared" si="0"/>
        <v>#VALUE!</v>
      </c>
      <c r="S36" s="229" t="e">
        <f t="shared" si="1"/>
        <v>#VALUE!</v>
      </c>
      <c r="W36" s="117"/>
    </row>
    <row r="37" spans="1:23" ht="17.45" customHeight="1">
      <c r="A37">
        <v>34</v>
      </c>
      <c r="B37" s="227" t="str">
        <f>IFERROR(INDEX('IG 콘텐츠 data'!R:R,MATCH('IG 신규발행'!A37,'IG 콘텐츠 data'!S:S,0)),"")</f>
        <v/>
      </c>
      <c r="C37" s="225" t="str">
        <f>IFERROR(IF(INDEX('IG 콘텐츠 data'!$A$1:$AJ$25,MATCH('IG 신규발행'!$A37,'IG 콘텐츠 data'!$S:$S,0),MATCH(C$3,'IG 콘텐츠 data'!$A$1:$O$1,0))="IG 이미지","이미지",IF(INDEX('IG 콘텐츠 data'!$A$1:$AJ$25,MATCH('IG 신규발행'!$A37,'IG 콘텐츠 data'!$S:$S,0),MATCH(C$3,'IG 콘텐츠 data'!$A$1:$O$1,0))="IG 슬라이드","슬라이드",IF(INDEX('IG 콘텐츠 data'!$A$1:$AJ$25,MATCH('IG 신규발행'!$A37,'IG 콘텐츠 data'!$S:$S,0),MATCH(C$3,'IG 콘텐츠 data'!$A$1:$O$1,0))="Instagram 릴스","영상"))),"")</f>
        <v/>
      </c>
      <c r="D37" s="225" t="str">
        <f>IFERROR(INDEX('IG 콘텐츠 data'!$A$1:$AJ$25,MATCH('IG 신규발행'!$A37,'IG 콘텐츠 data'!$S:$S,0),MATCH(D$3,'IG 콘텐츠 data'!$A$1:$Q$1,0)),"")</f>
        <v/>
      </c>
      <c r="E37" s="225" t="str">
        <f>IFERROR(INDEX('IG 콘텐츠 data'!$A$1:$AJ$25,MATCH('IG 신규발행'!$A37,'IG 콘텐츠 data'!$S:$S,0),MATCH(E$3,'IG 콘텐츠 data'!$A$1:$Q$1,0)),"")</f>
        <v/>
      </c>
      <c r="F37" s="225" t="str">
        <f>IFERROR(INDEX('IG 콘텐츠 data'!$A$1:$AJ$25,MATCH('IG 신규발행'!$A37,'IG 콘텐츠 data'!$S:$S,0),MATCH(F$3,'IG 콘텐츠 data'!$A$1:$Q$1,0)),"")</f>
        <v/>
      </c>
      <c r="G37" s="225" t="str">
        <f>IFERROR(INDEX('IG 콘텐츠 data'!$A$1:$AJ$25,MATCH('IG 신규발행'!$A37,'IG 콘텐츠 data'!$S:$S,0),MATCH(G$3,'IG 콘텐츠 data'!$A$1:$Q$1,0)),"")</f>
        <v/>
      </c>
      <c r="H37" s="225" t="str">
        <f>IFERROR(INDEX('IG 콘텐츠 data'!$A$1:$AJ$25,MATCH('IG 신규발행'!$A37,'IG 콘텐츠 data'!$S:$S,0),MATCH(H$3,'IG 콘텐츠 data'!$A$1:$Q$1,0)),"")</f>
        <v/>
      </c>
      <c r="I37" s="225" t="str">
        <f>IFERROR(INDEX('IG 콘텐츠 data'!$A$1:$AJ$25,MATCH('IG 신규발행'!$A37,'IG 콘텐츠 data'!$S:$S,0),MATCH(I$3,'IG 콘텐츠 data'!$A$1:$Q$1,0)),"")</f>
        <v/>
      </c>
      <c r="J37" s="225" t="str">
        <f>IFERROR(INDEX('IG 콘텐츠 data'!$A$1:$AJ$25,MATCH('IG 신규발행'!$A37,'IG 콘텐츠 data'!$S:$S,0),MATCH(J$3,'IG 콘텐츠 data'!$A$1:$Q$1,0)),"")</f>
        <v/>
      </c>
      <c r="K37" s="228" t="str">
        <f>IFERROR(INDEX('IG 콘텐츠 data'!$A$1:$AJ$25,MATCH('IG 신규발행'!$A37,'IG 콘텐츠 data'!$S:$S,0),MATCH(K$3,'IG 콘텐츠 data'!$A$1:$Q$1,0)),"")</f>
        <v/>
      </c>
      <c r="L37" s="225" t="str">
        <f>IFERROR(INDEX('IG 콘텐츠 data'!$A$1:$AJ$25,MATCH('IG 신규발행'!$A37,'IG 콘텐츠 data'!$S:$S,0),MATCH(L$3,'IG 콘텐츠 data'!$A$1:$Q$1,0)),"")</f>
        <v/>
      </c>
      <c r="M37" s="225" t="str">
        <f>IFERROR(INDEX('IG 콘텐츠 data'!$A$1:$AJ$25,MATCH('IG 신규발행'!$A37,'IG 콘텐츠 data'!$S:$S,0),MATCH(M$3,'IG 콘텐츠 data'!$A$1:$Q$1,0)),"")</f>
        <v/>
      </c>
      <c r="N37" s="225" t="str">
        <f>IFERROR(INDEX('IG 콘텐츠 data'!$A$1:$AJ$25,MATCH('IG 신규발행'!$A37,'IG 콘텐츠 data'!$S:$S,0),MATCH(N$3,'IG 콘텐츠 data'!$A$1:$Q$1,0)),"")</f>
        <v/>
      </c>
      <c r="O37" s="225" t="str">
        <f>IF(B37="","",SUM(L37:N37)+G37)</f>
        <v/>
      </c>
      <c r="P37" s="226" t="str">
        <f>IFERROR(O37/F37,"")</f>
        <v/>
      </c>
      <c r="R37" s="229" t="e">
        <f t="shared" si="0"/>
        <v>#VALUE!</v>
      </c>
      <c r="S37" s="229" t="e">
        <f t="shared" si="1"/>
        <v>#VALUE!</v>
      </c>
      <c r="W37" s="117"/>
    </row>
    <row r="38" spans="1:23" ht="17.45" customHeight="1">
      <c r="A38">
        <v>35</v>
      </c>
      <c r="B38" s="227" t="str">
        <f>IFERROR(INDEX('IG 콘텐츠 data'!R:R,MATCH('IG 신규발행'!A38,'IG 콘텐츠 data'!S:S,0)),"")</f>
        <v/>
      </c>
      <c r="C38" s="225" t="str">
        <f>IFERROR(IF(INDEX('IG 콘텐츠 data'!$A$1:$AJ$25,MATCH('IG 신규발행'!$A38,'IG 콘텐츠 data'!$S:$S,0),MATCH(C$3,'IG 콘텐츠 data'!$A$1:$O$1,0))="IG 이미지","이미지",IF(INDEX('IG 콘텐츠 data'!$A$1:$AJ$25,MATCH('IG 신규발행'!$A38,'IG 콘텐츠 data'!$S:$S,0),MATCH(C$3,'IG 콘텐츠 data'!$A$1:$O$1,0))="IG 슬라이드","슬라이드",IF(INDEX('IG 콘텐츠 data'!$A$1:$AJ$25,MATCH('IG 신규발행'!$A38,'IG 콘텐츠 data'!$S:$S,0),MATCH(C$3,'IG 콘텐츠 data'!$A$1:$O$1,0))="Instagram 릴스","영상"))),"")</f>
        <v/>
      </c>
      <c r="D38" s="225" t="str">
        <f>IFERROR(INDEX('IG 콘텐츠 data'!$A$1:$AJ$25,MATCH('IG 신규발행'!$A38,'IG 콘텐츠 data'!$S:$S,0),MATCH(D$3,'IG 콘텐츠 data'!$A$1:$Q$1,0)),"")</f>
        <v/>
      </c>
      <c r="E38" s="225" t="str">
        <f>IFERROR(INDEX('IG 콘텐츠 data'!$A$1:$AJ$25,MATCH('IG 신규발행'!$A38,'IG 콘텐츠 data'!$S:$S,0),MATCH(E$3,'IG 콘텐츠 data'!$A$1:$Q$1,0)),"")</f>
        <v/>
      </c>
      <c r="F38" s="225" t="str">
        <f>IFERROR(INDEX('IG 콘텐츠 data'!$A$1:$AJ$25,MATCH('IG 신규발행'!$A38,'IG 콘텐츠 data'!$S:$S,0),MATCH(F$3,'IG 콘텐츠 data'!$A$1:$Q$1,0)),"")</f>
        <v/>
      </c>
      <c r="G38" s="225" t="str">
        <f>IFERROR(INDEX('IG 콘텐츠 data'!$A$1:$AJ$25,MATCH('IG 신규발행'!$A38,'IG 콘텐츠 data'!$S:$S,0),MATCH(G$3,'IG 콘텐츠 data'!$A$1:$Q$1,0)),"")</f>
        <v/>
      </c>
      <c r="H38" s="225" t="str">
        <f>IFERROR(INDEX('IG 콘텐츠 data'!$A$1:$AJ$25,MATCH('IG 신규발행'!$A38,'IG 콘텐츠 data'!$S:$S,0),MATCH(H$3,'IG 콘텐츠 data'!$A$1:$Q$1,0)),"")</f>
        <v/>
      </c>
      <c r="I38" s="225" t="str">
        <f>IFERROR(INDEX('IG 콘텐츠 data'!$A$1:$AJ$25,MATCH('IG 신규발행'!$A38,'IG 콘텐츠 data'!$S:$S,0),MATCH(I$3,'IG 콘텐츠 data'!$A$1:$Q$1,0)),"")</f>
        <v/>
      </c>
      <c r="J38" s="225" t="str">
        <f>IFERROR(INDEX('IG 콘텐츠 data'!$A$1:$AJ$25,MATCH('IG 신규발행'!$A38,'IG 콘텐츠 data'!$S:$S,0),MATCH(J$3,'IG 콘텐츠 data'!$A$1:$Q$1,0)),"")</f>
        <v/>
      </c>
      <c r="K38" s="228" t="str">
        <f>IFERROR(INDEX('IG 콘텐츠 data'!$A$1:$AJ$25,MATCH('IG 신규발행'!$A38,'IG 콘텐츠 data'!$S:$S,0),MATCH(K$3,'IG 콘텐츠 data'!$A$1:$Q$1,0)),"")</f>
        <v/>
      </c>
      <c r="L38" s="225" t="str">
        <f>IFERROR(INDEX('IG 콘텐츠 data'!$A$1:$AJ$25,MATCH('IG 신규발행'!$A38,'IG 콘텐츠 data'!$S:$S,0),MATCH(L$3,'IG 콘텐츠 data'!$A$1:$Q$1,0)),"")</f>
        <v/>
      </c>
      <c r="M38" s="225" t="str">
        <f>IFERROR(INDEX('IG 콘텐츠 data'!$A$1:$AJ$25,MATCH('IG 신규발행'!$A38,'IG 콘텐츠 data'!$S:$S,0),MATCH(M$3,'IG 콘텐츠 data'!$A$1:$Q$1,0)),"")</f>
        <v/>
      </c>
      <c r="N38" s="225" t="str">
        <f>IFERROR(INDEX('IG 콘텐츠 data'!$A$1:$AJ$25,MATCH('IG 신규발행'!$A38,'IG 콘텐츠 data'!$S:$S,0),MATCH(N$3,'IG 콘텐츠 data'!$A$1:$Q$1,0)),"")</f>
        <v/>
      </c>
      <c r="O38" s="225" t="str">
        <f>IF(B38="","",SUM(L38:N38)+G38)</f>
        <v/>
      </c>
      <c r="P38" s="226" t="str">
        <f>IFERROR(O38/F38,"")</f>
        <v/>
      </c>
      <c r="R38" s="229" t="e">
        <f t="shared" si="0"/>
        <v>#VALUE!</v>
      </c>
      <c r="S38" s="229" t="e">
        <f t="shared" si="1"/>
        <v>#VALUE!</v>
      </c>
      <c r="W38" s="117"/>
    </row>
    <row r="39" spans="1:23" ht="17.45" customHeight="1">
      <c r="A39">
        <v>36</v>
      </c>
      <c r="B39" s="227" t="str">
        <f>IFERROR(INDEX('IG 콘텐츠 data'!R:R,MATCH('IG 신규발행'!A39,'IG 콘텐츠 data'!S:S,0)),"")</f>
        <v/>
      </c>
      <c r="C39" s="225" t="str">
        <f>IFERROR(IF(INDEX('IG 콘텐츠 data'!$A$1:$AJ$25,MATCH('IG 신규발행'!$A39,'IG 콘텐츠 data'!$S:$S,0),MATCH(C$3,'IG 콘텐츠 data'!$A$1:$O$1,0))="IG 이미지","이미지",IF(INDEX('IG 콘텐츠 data'!$A$1:$AJ$25,MATCH('IG 신규발행'!$A39,'IG 콘텐츠 data'!$S:$S,0),MATCH(C$3,'IG 콘텐츠 data'!$A$1:$O$1,0))="IG 슬라이드","슬라이드",IF(INDEX('IG 콘텐츠 data'!$A$1:$AJ$25,MATCH('IG 신규발행'!$A39,'IG 콘텐츠 data'!$S:$S,0),MATCH(C$3,'IG 콘텐츠 data'!$A$1:$O$1,0))="Instagram 릴스","영상"))),"")</f>
        <v/>
      </c>
      <c r="D39" s="225" t="str">
        <f>IFERROR(INDEX('IG 콘텐츠 data'!$A$1:$AJ$25,MATCH('IG 신규발행'!$A39,'IG 콘텐츠 data'!$S:$S,0),MATCH(D$3,'IG 콘텐츠 data'!$A$1:$Q$1,0)),"")</f>
        <v/>
      </c>
      <c r="E39" s="225" t="str">
        <f>IFERROR(INDEX('IG 콘텐츠 data'!$A$1:$AJ$25,MATCH('IG 신규발행'!$A39,'IG 콘텐츠 data'!$S:$S,0),MATCH(E$3,'IG 콘텐츠 data'!$A$1:$Q$1,0)),"")</f>
        <v/>
      </c>
      <c r="F39" s="225" t="str">
        <f>IFERROR(INDEX('IG 콘텐츠 data'!$A$1:$AJ$25,MATCH('IG 신규발행'!$A39,'IG 콘텐츠 data'!$S:$S,0),MATCH(F$3,'IG 콘텐츠 data'!$A$1:$Q$1,0)),"")</f>
        <v/>
      </c>
      <c r="G39" s="225" t="str">
        <f>IFERROR(INDEX('IG 콘텐츠 data'!$A$1:$AJ$25,MATCH('IG 신규발행'!$A39,'IG 콘텐츠 data'!$S:$S,0),MATCH(G$3,'IG 콘텐츠 data'!$A$1:$Q$1,0)),"")</f>
        <v/>
      </c>
      <c r="H39" s="225" t="str">
        <f>IFERROR(INDEX('IG 콘텐츠 data'!$A$1:$AJ$25,MATCH('IG 신규발행'!$A39,'IG 콘텐츠 data'!$S:$S,0),MATCH(H$3,'IG 콘텐츠 data'!$A$1:$Q$1,0)),"")</f>
        <v/>
      </c>
      <c r="I39" s="225" t="str">
        <f>IFERROR(INDEX('IG 콘텐츠 data'!$A$1:$AJ$25,MATCH('IG 신규발행'!$A39,'IG 콘텐츠 data'!$S:$S,0),MATCH(I$3,'IG 콘텐츠 data'!$A$1:$Q$1,0)),"")</f>
        <v/>
      </c>
      <c r="J39" s="225" t="str">
        <f>IFERROR(INDEX('IG 콘텐츠 data'!$A$1:$AJ$25,MATCH('IG 신규발행'!$A39,'IG 콘텐츠 data'!$S:$S,0),MATCH(J$3,'IG 콘텐츠 data'!$A$1:$Q$1,0)),"")</f>
        <v/>
      </c>
      <c r="K39" s="228" t="str">
        <f>IFERROR(INDEX('IG 콘텐츠 data'!$A$1:$AJ$25,MATCH('IG 신규발행'!$A39,'IG 콘텐츠 data'!$S:$S,0),MATCH(K$3,'IG 콘텐츠 data'!$A$1:$Q$1,0)),"")</f>
        <v/>
      </c>
      <c r="L39" s="225" t="str">
        <f>IFERROR(INDEX('IG 콘텐츠 data'!$A$1:$AJ$25,MATCH('IG 신규발행'!$A39,'IG 콘텐츠 data'!$S:$S,0),MATCH(L$3,'IG 콘텐츠 data'!$A$1:$Q$1,0)),"")</f>
        <v/>
      </c>
      <c r="M39" s="225" t="str">
        <f>IFERROR(INDEX('IG 콘텐츠 data'!$A$1:$AJ$25,MATCH('IG 신규발행'!$A39,'IG 콘텐츠 data'!$S:$S,0),MATCH(M$3,'IG 콘텐츠 data'!$A$1:$Q$1,0)),"")</f>
        <v/>
      </c>
      <c r="N39" s="225" t="str">
        <f>IFERROR(INDEX('IG 콘텐츠 data'!$A$1:$AJ$25,MATCH('IG 신규발행'!$A39,'IG 콘텐츠 data'!$S:$S,0),MATCH(N$3,'IG 콘텐츠 data'!$A$1:$Q$1,0)),"")</f>
        <v/>
      </c>
      <c r="O39" s="225" t="str">
        <f>IF(B39="","",SUM(L39:N39)+G39)</f>
        <v/>
      </c>
      <c r="P39" s="226" t="str">
        <f>IFERROR(O39/F39,"")</f>
        <v/>
      </c>
      <c r="R39" s="229" t="e">
        <f t="shared" si="0"/>
        <v>#VALUE!</v>
      </c>
      <c r="S39" s="229" t="e">
        <f t="shared" si="1"/>
        <v>#VALUE!</v>
      </c>
      <c r="W39" s="117"/>
    </row>
    <row r="40" spans="1:23" ht="17.45" customHeight="1">
      <c r="A40">
        <v>37</v>
      </c>
      <c r="B40" s="227" t="str">
        <f>IFERROR(INDEX('IG 콘텐츠 data'!R:R,MATCH('IG 신규발행'!A40,'IG 콘텐츠 data'!S:S,0)),"")</f>
        <v/>
      </c>
      <c r="C40" s="225" t="str">
        <f>IFERROR(IF(INDEX('IG 콘텐츠 data'!$A$1:$AJ$25,MATCH('IG 신규발행'!$A40,'IG 콘텐츠 data'!$S:$S,0),MATCH(C$3,'IG 콘텐츠 data'!$A$1:$O$1,0))="IG 이미지","이미지",IF(INDEX('IG 콘텐츠 data'!$A$1:$AJ$25,MATCH('IG 신규발행'!$A40,'IG 콘텐츠 data'!$S:$S,0),MATCH(C$3,'IG 콘텐츠 data'!$A$1:$O$1,0))="IG 슬라이드","슬라이드",IF(INDEX('IG 콘텐츠 data'!$A$1:$AJ$25,MATCH('IG 신규발행'!$A40,'IG 콘텐츠 data'!$S:$S,0),MATCH(C$3,'IG 콘텐츠 data'!$A$1:$O$1,0))="Instagram 릴스","영상"))),"")</f>
        <v/>
      </c>
      <c r="D40" s="225" t="str">
        <f>IFERROR(INDEX('IG 콘텐츠 data'!$A$1:$AJ$25,MATCH('IG 신규발행'!$A40,'IG 콘텐츠 data'!$S:$S,0),MATCH(D$3,'IG 콘텐츠 data'!$A$1:$Q$1,0)),"")</f>
        <v/>
      </c>
      <c r="E40" s="225" t="str">
        <f>IFERROR(INDEX('IG 콘텐츠 data'!$A$1:$AJ$25,MATCH('IG 신규발행'!$A40,'IG 콘텐츠 data'!$S:$S,0),MATCH(E$3,'IG 콘텐츠 data'!$A$1:$Q$1,0)),"")</f>
        <v/>
      </c>
      <c r="F40" s="225" t="str">
        <f>IFERROR(INDEX('IG 콘텐츠 data'!$A$1:$AJ$25,MATCH('IG 신규발행'!$A40,'IG 콘텐츠 data'!$S:$S,0),MATCH(F$3,'IG 콘텐츠 data'!$A$1:$Q$1,0)),"")</f>
        <v/>
      </c>
      <c r="G40" s="225" t="str">
        <f>IFERROR(INDEX('IG 콘텐츠 data'!$A$1:$AJ$25,MATCH('IG 신규발행'!$A40,'IG 콘텐츠 data'!$S:$S,0),MATCH(G$3,'IG 콘텐츠 data'!$A$1:$Q$1,0)),"")</f>
        <v/>
      </c>
      <c r="H40" s="225" t="str">
        <f>IFERROR(INDEX('IG 콘텐츠 data'!$A$1:$AJ$25,MATCH('IG 신규발행'!$A40,'IG 콘텐츠 data'!$S:$S,0),MATCH(H$3,'IG 콘텐츠 data'!$A$1:$Q$1,0)),"")</f>
        <v/>
      </c>
      <c r="I40" s="225" t="str">
        <f>IFERROR(INDEX('IG 콘텐츠 data'!$A$1:$AJ$25,MATCH('IG 신규발행'!$A40,'IG 콘텐츠 data'!$S:$S,0),MATCH(I$3,'IG 콘텐츠 data'!$A$1:$Q$1,0)),"")</f>
        <v/>
      </c>
      <c r="J40" s="225" t="str">
        <f>IFERROR(INDEX('IG 콘텐츠 data'!$A$1:$AJ$25,MATCH('IG 신규발행'!$A40,'IG 콘텐츠 data'!$S:$S,0),MATCH(J$3,'IG 콘텐츠 data'!$A$1:$Q$1,0)),"")</f>
        <v/>
      </c>
      <c r="K40" s="228" t="str">
        <f>IFERROR(INDEX('IG 콘텐츠 data'!$A$1:$AJ$25,MATCH('IG 신규발행'!$A40,'IG 콘텐츠 data'!$S:$S,0),MATCH(K$3,'IG 콘텐츠 data'!$A$1:$Q$1,0)),"")</f>
        <v/>
      </c>
      <c r="L40" s="225" t="str">
        <f>IFERROR(INDEX('IG 콘텐츠 data'!$A$1:$AJ$25,MATCH('IG 신규발행'!$A40,'IG 콘텐츠 data'!$S:$S,0),MATCH(L$3,'IG 콘텐츠 data'!$A$1:$Q$1,0)),"")</f>
        <v/>
      </c>
      <c r="M40" s="225" t="str">
        <f>IFERROR(INDEX('IG 콘텐츠 data'!$A$1:$AJ$25,MATCH('IG 신규발행'!$A40,'IG 콘텐츠 data'!$S:$S,0),MATCH(M$3,'IG 콘텐츠 data'!$A$1:$Q$1,0)),"")</f>
        <v/>
      </c>
      <c r="N40" s="225" t="str">
        <f>IFERROR(INDEX('IG 콘텐츠 data'!$A$1:$AJ$25,MATCH('IG 신규발행'!$A40,'IG 콘텐츠 data'!$S:$S,0),MATCH(N$3,'IG 콘텐츠 data'!$A$1:$Q$1,0)),"")</f>
        <v/>
      </c>
      <c r="O40" s="225" t="str">
        <f>IF(B40="","",SUM(L40:N40)+G40)</f>
        <v/>
      </c>
      <c r="P40" s="226" t="str">
        <f>IFERROR(O40/F40,"")</f>
        <v/>
      </c>
      <c r="R40" s="229" t="e">
        <f t="shared" si="0"/>
        <v>#VALUE!</v>
      </c>
      <c r="S40" s="229" t="e">
        <f t="shared" si="1"/>
        <v>#VALUE!</v>
      </c>
      <c r="W40" s="117"/>
    </row>
    <row r="41" spans="1:23" ht="17.45" customHeight="1">
      <c r="A41">
        <v>38</v>
      </c>
      <c r="B41" s="227" t="str">
        <f>IFERROR(INDEX('IG 콘텐츠 data'!R:R,MATCH('IG 신규발행'!A41,'IG 콘텐츠 data'!S:S,0)),"")</f>
        <v/>
      </c>
      <c r="C41" s="225" t="str">
        <f>IFERROR(IF(INDEX('IG 콘텐츠 data'!$A$1:$AJ$25,MATCH('IG 신규발행'!$A41,'IG 콘텐츠 data'!$S:$S,0),MATCH(C$3,'IG 콘텐츠 data'!$A$1:$O$1,0))="IG 이미지","이미지",IF(INDEX('IG 콘텐츠 data'!$A$1:$AJ$25,MATCH('IG 신규발행'!$A41,'IG 콘텐츠 data'!$S:$S,0),MATCH(C$3,'IG 콘텐츠 data'!$A$1:$O$1,0))="IG 슬라이드","슬라이드",IF(INDEX('IG 콘텐츠 data'!$A$1:$AJ$25,MATCH('IG 신규발행'!$A41,'IG 콘텐츠 data'!$S:$S,0),MATCH(C$3,'IG 콘텐츠 data'!$A$1:$O$1,0))="Instagram 릴스","영상"))),"")</f>
        <v/>
      </c>
      <c r="D41" s="225" t="str">
        <f>IFERROR(INDEX('IG 콘텐츠 data'!$A$1:$AJ$25,MATCH('IG 신규발행'!$A41,'IG 콘텐츠 data'!$S:$S,0),MATCH(D$3,'IG 콘텐츠 data'!$A$1:$Q$1,0)),"")</f>
        <v/>
      </c>
      <c r="E41" s="225" t="str">
        <f>IFERROR(INDEX('IG 콘텐츠 data'!$A$1:$AJ$25,MATCH('IG 신규발행'!$A41,'IG 콘텐츠 data'!$S:$S,0),MATCH(E$3,'IG 콘텐츠 data'!$A$1:$Q$1,0)),"")</f>
        <v/>
      </c>
      <c r="F41" s="225" t="str">
        <f>IFERROR(INDEX('IG 콘텐츠 data'!$A$1:$AJ$25,MATCH('IG 신규발행'!$A41,'IG 콘텐츠 data'!$S:$S,0),MATCH(F$3,'IG 콘텐츠 data'!$A$1:$Q$1,0)),"")</f>
        <v/>
      </c>
      <c r="G41" s="225" t="str">
        <f>IFERROR(INDEX('IG 콘텐츠 data'!$A$1:$AJ$25,MATCH('IG 신규발행'!$A41,'IG 콘텐츠 data'!$S:$S,0),MATCH(G$3,'IG 콘텐츠 data'!$A$1:$Q$1,0)),"")</f>
        <v/>
      </c>
      <c r="H41" s="225" t="str">
        <f>IFERROR(INDEX('IG 콘텐츠 data'!$A$1:$AJ$25,MATCH('IG 신규발행'!$A41,'IG 콘텐츠 data'!$S:$S,0),MATCH(H$3,'IG 콘텐츠 data'!$A$1:$Q$1,0)),"")</f>
        <v/>
      </c>
      <c r="I41" s="225" t="str">
        <f>IFERROR(INDEX('IG 콘텐츠 data'!$A$1:$AJ$25,MATCH('IG 신규발행'!$A41,'IG 콘텐츠 data'!$S:$S,0),MATCH(I$3,'IG 콘텐츠 data'!$A$1:$Q$1,0)),"")</f>
        <v/>
      </c>
      <c r="J41" s="225" t="str">
        <f>IFERROR(INDEX('IG 콘텐츠 data'!$A$1:$AJ$25,MATCH('IG 신규발행'!$A41,'IG 콘텐츠 data'!$S:$S,0),MATCH(J$3,'IG 콘텐츠 data'!$A$1:$Q$1,0)),"")</f>
        <v/>
      </c>
      <c r="K41" s="228" t="str">
        <f>IFERROR(INDEX('IG 콘텐츠 data'!$A$1:$AJ$25,MATCH('IG 신규발행'!$A41,'IG 콘텐츠 data'!$S:$S,0),MATCH(K$3,'IG 콘텐츠 data'!$A$1:$Q$1,0)),"")</f>
        <v/>
      </c>
      <c r="L41" s="225" t="str">
        <f>IFERROR(INDEX('IG 콘텐츠 data'!$A$1:$AJ$25,MATCH('IG 신규발행'!$A41,'IG 콘텐츠 data'!$S:$S,0),MATCH(L$3,'IG 콘텐츠 data'!$A$1:$Q$1,0)),"")</f>
        <v/>
      </c>
      <c r="M41" s="225" t="str">
        <f>IFERROR(INDEX('IG 콘텐츠 data'!$A$1:$AJ$25,MATCH('IG 신규발행'!$A41,'IG 콘텐츠 data'!$S:$S,0),MATCH(M$3,'IG 콘텐츠 data'!$A$1:$Q$1,0)),"")</f>
        <v/>
      </c>
      <c r="N41" s="225" t="str">
        <f>IFERROR(INDEX('IG 콘텐츠 data'!$A$1:$AJ$25,MATCH('IG 신규발행'!$A41,'IG 콘텐츠 data'!$S:$S,0),MATCH(N$3,'IG 콘텐츠 data'!$A$1:$Q$1,0)),"")</f>
        <v/>
      </c>
      <c r="O41" s="225" t="str">
        <f>IF(B41="","",SUM(L41:N41)+G41)</f>
        <v/>
      </c>
      <c r="P41" s="226" t="str">
        <f>IFERROR(O41/F41,"")</f>
        <v/>
      </c>
      <c r="R41" s="229" t="e">
        <f t="shared" si="0"/>
        <v>#VALUE!</v>
      </c>
      <c r="S41" s="229" t="e">
        <f t="shared" si="1"/>
        <v>#VALUE!</v>
      </c>
      <c r="W41" s="117"/>
    </row>
    <row r="42" spans="1:23" ht="17.45" customHeight="1">
      <c r="A42">
        <v>39</v>
      </c>
      <c r="B42" s="227" t="str">
        <f>IFERROR(INDEX('IG 콘텐츠 data'!R:R,MATCH('IG 신규발행'!A42,'IG 콘텐츠 data'!S:S,0)),"")</f>
        <v/>
      </c>
      <c r="C42" s="225" t="str">
        <f>IFERROR(IF(INDEX('IG 콘텐츠 data'!$A$1:$AJ$25,MATCH('IG 신규발행'!$A42,'IG 콘텐츠 data'!$S:$S,0),MATCH(C$3,'IG 콘텐츠 data'!$A$1:$O$1,0))="IG 이미지","이미지",IF(INDEX('IG 콘텐츠 data'!$A$1:$AJ$25,MATCH('IG 신규발행'!$A42,'IG 콘텐츠 data'!$S:$S,0),MATCH(C$3,'IG 콘텐츠 data'!$A$1:$O$1,0))="IG 슬라이드","슬라이드",IF(INDEX('IG 콘텐츠 data'!$A$1:$AJ$25,MATCH('IG 신규발행'!$A42,'IG 콘텐츠 data'!$S:$S,0),MATCH(C$3,'IG 콘텐츠 data'!$A$1:$O$1,0))="Instagram 릴스","영상"))),"")</f>
        <v/>
      </c>
      <c r="D42" s="225" t="str">
        <f>IFERROR(INDEX('IG 콘텐츠 data'!$A$1:$AJ$25,MATCH('IG 신규발행'!$A42,'IG 콘텐츠 data'!$S:$S,0),MATCH(D$3,'IG 콘텐츠 data'!$A$1:$Q$1,0)),"")</f>
        <v/>
      </c>
      <c r="E42" s="225" t="str">
        <f>IFERROR(INDEX('IG 콘텐츠 data'!$A$1:$AJ$25,MATCH('IG 신규발행'!$A42,'IG 콘텐츠 data'!$S:$S,0),MATCH(E$3,'IG 콘텐츠 data'!$A$1:$Q$1,0)),"")</f>
        <v/>
      </c>
      <c r="F42" s="225" t="str">
        <f>IFERROR(INDEX('IG 콘텐츠 data'!$A$1:$AJ$25,MATCH('IG 신규발행'!$A42,'IG 콘텐츠 data'!$S:$S,0),MATCH(F$3,'IG 콘텐츠 data'!$A$1:$Q$1,0)),"")</f>
        <v/>
      </c>
      <c r="G42" s="225" t="str">
        <f>IFERROR(INDEX('IG 콘텐츠 data'!$A$1:$AJ$25,MATCH('IG 신규발행'!$A42,'IG 콘텐츠 data'!$S:$S,0),MATCH(G$3,'IG 콘텐츠 data'!$A$1:$Q$1,0)),"")</f>
        <v/>
      </c>
      <c r="H42" s="225" t="str">
        <f>IFERROR(INDEX('IG 콘텐츠 data'!$A$1:$AJ$25,MATCH('IG 신규발행'!$A42,'IG 콘텐츠 data'!$S:$S,0),MATCH(H$3,'IG 콘텐츠 data'!$A$1:$Q$1,0)),"")</f>
        <v/>
      </c>
      <c r="I42" s="225" t="str">
        <f>IFERROR(INDEX('IG 콘텐츠 data'!$A$1:$AJ$25,MATCH('IG 신규발행'!$A42,'IG 콘텐츠 data'!$S:$S,0),MATCH(I$3,'IG 콘텐츠 data'!$A$1:$Q$1,0)),"")</f>
        <v/>
      </c>
      <c r="J42" s="225" t="str">
        <f>IFERROR(INDEX('IG 콘텐츠 data'!$A$1:$AJ$25,MATCH('IG 신규발행'!$A42,'IG 콘텐츠 data'!$S:$S,0),MATCH(J$3,'IG 콘텐츠 data'!$A$1:$Q$1,0)),"")</f>
        <v/>
      </c>
      <c r="K42" s="228" t="str">
        <f>IFERROR(INDEX('IG 콘텐츠 data'!$A$1:$AJ$25,MATCH('IG 신규발행'!$A42,'IG 콘텐츠 data'!$S:$S,0),MATCH(K$3,'IG 콘텐츠 data'!$A$1:$Q$1,0)),"")</f>
        <v/>
      </c>
      <c r="L42" s="225" t="str">
        <f>IFERROR(INDEX('IG 콘텐츠 data'!$A$1:$AJ$25,MATCH('IG 신규발행'!$A42,'IG 콘텐츠 data'!$S:$S,0),MATCH(L$3,'IG 콘텐츠 data'!$A$1:$Q$1,0)),"")</f>
        <v/>
      </c>
      <c r="M42" s="225" t="str">
        <f>IFERROR(INDEX('IG 콘텐츠 data'!$A$1:$AJ$25,MATCH('IG 신규발행'!$A42,'IG 콘텐츠 data'!$S:$S,0),MATCH(M$3,'IG 콘텐츠 data'!$A$1:$Q$1,0)),"")</f>
        <v/>
      </c>
      <c r="N42" s="225" t="str">
        <f>IFERROR(INDEX('IG 콘텐츠 data'!$A$1:$AJ$25,MATCH('IG 신규발행'!$A42,'IG 콘텐츠 data'!$S:$S,0),MATCH(N$3,'IG 콘텐츠 data'!$A$1:$Q$1,0)),"")</f>
        <v/>
      </c>
      <c r="O42" s="225" t="str">
        <f>IF(B42="","",SUM(L42:N42)+G42)</f>
        <v/>
      </c>
      <c r="P42" s="226" t="str">
        <f>IFERROR(O42/F42,"")</f>
        <v/>
      </c>
      <c r="R42" s="229" t="e">
        <f t="shared" si="0"/>
        <v>#VALUE!</v>
      </c>
      <c r="S42" s="229" t="e">
        <f t="shared" si="1"/>
        <v>#VALUE!</v>
      </c>
      <c r="W42" s="117"/>
    </row>
  </sheetData>
  <autoFilter ref="A3:P42" xr:uid="{00000000-0001-0000-0C00-000000000000}"/>
  <phoneticPr fontId="1" type="noConversion"/>
  <conditionalFormatting sqref="E1:P1048576">
    <cfRule type="expression" dxfId="0" priority="1">
      <formula>AND(E1&lt;&gt;"",E1&lt;&gt;0,E1=MAX(E$1:E$95))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>
    <tabColor theme="9" tint="0.79998168889431442"/>
  </sheetPr>
  <dimension ref="A1:U48"/>
  <sheetViews>
    <sheetView workbookViewId="0">
      <selection activeCell="L14" sqref="L14"/>
    </sheetView>
  </sheetViews>
  <sheetFormatPr defaultRowHeight="16.5"/>
  <cols>
    <col min="21" max="21" width="8.625" style="113"/>
  </cols>
  <sheetData>
    <row r="1" spans="1:21">
      <c r="U1" s="59"/>
    </row>
    <row r="2" spans="1:21">
      <c r="A2">
        <v>1</v>
      </c>
      <c r="G2">
        <v>2</v>
      </c>
      <c r="M2">
        <v>3</v>
      </c>
      <c r="U2" s="59"/>
    </row>
    <row r="3" spans="1:21">
      <c r="B3" s="126" t="str">
        <f>HYPERLINK(INDEX('IG 콘텐츠 data'!D:D,MATCH(INDEX('IG 신규발행'!$A:$A,MATCH(1,'IG 신규발행'!$A:$A,0)),'IG 콘텐츠 data'!S:S,0)),INDEX('IG 신규발행'!$D:$D,MATCH(1,'IG 신규발행'!$A:$A,0)))</f>
        <v>[EVENT] 에너지食 Ep. 2</v>
      </c>
      <c r="H3" s="126" t="str">
        <f>HYPERLINK(INDEX('IG 콘텐츠 data'!D:D,MATCH(INDEX('IG 신규발행'!$A:$A,MATCH(2,'IG 신규발행'!$A:$A,0)),'IG 콘텐츠 data'!S:S,0)),INDEX('IG 신규발행'!$D:$D,MATCH(2,'IG 신규발행'!$A:$A,0)))</f>
        <v>이노드림(엘버트 허버드)</v>
      </c>
      <c r="N3" s="126" t="str">
        <f>HYPERLINK(INDEX('IG 콘텐츠 data'!D:D,MATCH(INDEX('IG 신규발행'!$A:$A,MATCH(3,'IG 신규발행'!$A:$A,0)),'IG 콘텐츠 data'!S:S,0)),INDEX('IG 신규발행'!$D:$D,MATCH(3,'IG 신규발행'!$A:$A,0)))</f>
        <v>이노드림(장 폴 사르트르)</v>
      </c>
      <c r="U3" s="59"/>
    </row>
    <row r="4" spans="1:21">
      <c r="E4" s="87"/>
      <c r="K4" s="87"/>
      <c r="Q4" s="87"/>
      <c r="U4" s="59"/>
    </row>
    <row r="5" spans="1:21" ht="17.25" thickBot="1">
      <c r="B5" s="53" t="s">
        <v>80</v>
      </c>
      <c r="C5" s="61">
        <f>INDEX('IG 신규발행'!$B$3:$P$30,2,MATCH('IG Top3 Post'!B5,'IG 신규발행'!$B$3:$P$3,0))</f>
        <v>1700</v>
      </c>
      <c r="D5" s="54" t="s">
        <v>57</v>
      </c>
      <c r="E5" s="61">
        <f>INDEX('IG 신규발행'!$B$3:$P$30,2,MATCH('IG Top3 Post'!D5,'IG 신규발행'!$B$3:$P$3,0))</f>
        <v>2049</v>
      </c>
      <c r="H5" s="53" t="s">
        <v>65</v>
      </c>
      <c r="I5" s="61">
        <f>INDEX('IG 신규발행'!$B$3:$P$30,3,MATCH('IG Top3 Post'!H5,'IG 신규발행'!$B$3:$P$3,0))</f>
        <v>4532</v>
      </c>
      <c r="J5" s="54" t="s">
        <v>57</v>
      </c>
      <c r="K5" s="61">
        <f>INDEX('IG 신규발행'!$B$3:$P$30,3,MATCH('IG Top3 Post'!J5,'IG 신규발행'!$B$3:$P$3,0))</f>
        <v>7067</v>
      </c>
      <c r="N5" s="53" t="s">
        <v>65</v>
      </c>
      <c r="O5" s="61">
        <f>INDEX('IG 신규발행'!$B$3:$P$30,4,MATCH('IG Top3 Post'!N5,'IG 신규발행'!$B$3:$P$3,0))</f>
        <v>4157</v>
      </c>
      <c r="P5" s="54" t="s">
        <v>57</v>
      </c>
      <c r="Q5" s="61">
        <f>INDEX('IG 신규발행'!$B$3:$P$30,4,MATCH('IG Top3 Post'!P5,'IG 신규발행'!$B$3:$P$3,0))</f>
        <v>5908</v>
      </c>
      <c r="U5" s="59"/>
    </row>
    <row r="6" spans="1:21" ht="18" thickTop="1" thickBot="1">
      <c r="B6" s="55" t="s">
        <v>81</v>
      </c>
      <c r="C6" s="61">
        <f>INDEX('IG 신규발행'!$B$3:$P$30,2,MATCH('IG Top3 Post'!B6,'IG 신규발행'!$B$3:$P$3,0))</f>
        <v>388</v>
      </c>
      <c r="D6" s="56" t="s">
        <v>82</v>
      </c>
      <c r="E6" s="61">
        <f>INDEX('IG 신규발행'!$B$3:$P$30,2,MATCH('IG Top3 Post'!D6,'IG 신규발행'!$B$3:$P$3,0))</f>
        <v>419</v>
      </c>
      <c r="H6" s="55" t="s">
        <v>81</v>
      </c>
      <c r="I6" s="61">
        <f>INDEX('IG 신규발행'!$B$3:$P$30,3,MATCH('IG Top3 Post'!H6,'IG 신규발행'!$B$3:$P$3,0))</f>
        <v>1231</v>
      </c>
      <c r="J6" s="56" t="s">
        <v>82</v>
      </c>
      <c r="K6" s="61">
        <f>INDEX('IG 신규발행'!$B$3:$P$30,3,MATCH('IG Top3 Post'!J6,'IG 신규발행'!$B$3:$P$3,0))</f>
        <v>0</v>
      </c>
      <c r="N6" s="55" t="s">
        <v>81</v>
      </c>
      <c r="O6" s="61">
        <f>INDEX('IG 신규발행'!$B$3:$P$30,4,MATCH('IG Top3 Post'!N6,'IG 신규발행'!$B$3:$P$3,0))</f>
        <v>1118</v>
      </c>
      <c r="P6" s="56" t="s">
        <v>82</v>
      </c>
      <c r="Q6" s="61">
        <f>INDEX('IG 신규발행'!$B$3:$P$30,4,MATCH('IG Top3 Post'!P6,'IG 신규발행'!$B$3:$P$3,0))</f>
        <v>3</v>
      </c>
      <c r="U6" s="59"/>
    </row>
    <row r="7" spans="1:21" ht="18" thickTop="1" thickBot="1">
      <c r="B7" s="57" t="s">
        <v>83</v>
      </c>
      <c r="C7" s="61">
        <f>INDEX('IG 신규발행'!$B$3:$P$30,2,MATCH('IG Top3 Post'!B7,'IG 신규발행'!$B$3:$P$3,0))</f>
        <v>80</v>
      </c>
      <c r="D7" s="56" t="s">
        <v>86</v>
      </c>
      <c r="E7" s="61">
        <f>INDEX('IG 신규발행'!$B$3:$P$30,2,MATCH('IG Top3 Post'!D7,'IG 신규발행'!$B$3:$P$3,0))</f>
        <v>50</v>
      </c>
      <c r="H7" s="57" t="s">
        <v>83</v>
      </c>
      <c r="I7" s="61">
        <f>INDEX('IG 신규발행'!$B$3:$P$30,3,MATCH('IG Top3 Post'!H7,'IG 신규발행'!$B$3:$P$3,0))</f>
        <v>3</v>
      </c>
      <c r="J7" s="56" t="s">
        <v>78</v>
      </c>
      <c r="K7" s="61">
        <f>INDEX('IG 신규발행'!$B$3:$P$30,3,MATCH('IG Top3 Post'!J7,'IG 신규발행'!$B$3:$P$3,0))</f>
        <v>33</v>
      </c>
      <c r="N7" s="57" t="s">
        <v>83</v>
      </c>
      <c r="O7" s="61">
        <f>INDEX('IG 신규발행'!$B$3:$P$30,4,MATCH('IG Top3 Post'!N7,'IG 신규발행'!$B$3:$P$3,0))</f>
        <v>1</v>
      </c>
      <c r="P7" s="56" t="s">
        <v>78</v>
      </c>
      <c r="Q7" s="61">
        <f>INDEX('IG 신규발행'!$B$3:$P$30,4,MATCH('IG Top3 Post'!P7,'IG 신규발행'!$B$3:$P$3,0))</f>
        <v>24</v>
      </c>
      <c r="U7" s="59"/>
    </row>
    <row r="8" spans="1:21" ht="18" thickTop="1" thickBot="1">
      <c r="B8" s="58" t="s">
        <v>84</v>
      </c>
      <c r="C8" s="61">
        <f>INDEX('IG 신규발행'!$B$3:$P$30,2,MATCH('IG Top3 Post'!B8,'IG 신규발행'!$B$3:$P$3,0))</f>
        <v>937</v>
      </c>
      <c r="D8" s="56" t="s">
        <v>85</v>
      </c>
      <c r="E8" s="86">
        <f>INDEX('IG 신규발행'!$B$3:$P$30,2,MATCH('IG Top3 Post'!D8,'IG 신규발행'!$B$3:$P$3,0))</f>
        <v>0.55117647058823527</v>
      </c>
      <c r="H8" s="58" t="s">
        <v>56</v>
      </c>
      <c r="I8" s="61">
        <f>INDEX('IG 신규발행'!$B$3:$P$30,3,MATCH('IG Top3 Post'!H8,'IG 신규발행'!$B$3:$P$3,0))</f>
        <v>1267</v>
      </c>
      <c r="J8" s="56" t="s">
        <v>61</v>
      </c>
      <c r="K8" s="86">
        <f>INDEX('IG 신규발행'!$B$3:$P$30,3,MATCH('IG Top3 Post'!J8,'IG 신규발행'!$B$3:$P$3,0))</f>
        <v>0.27956751985878198</v>
      </c>
      <c r="N8" s="58" t="s">
        <v>56</v>
      </c>
      <c r="O8" s="61">
        <f>INDEX('IG 신규발행'!$B$3:$P$30,4,MATCH('IG Top3 Post'!N8,'IG 신규발행'!$B$3:$P$3,0))</f>
        <v>1146</v>
      </c>
      <c r="P8" s="56" t="s">
        <v>61</v>
      </c>
      <c r="Q8" s="86">
        <f>INDEX('IG 신규발행'!$B$3:$P$30,4,MATCH('IG Top3 Post'!P8,'IG 신규발행'!$B$3:$P$3,0))</f>
        <v>0.27567957661775316</v>
      </c>
      <c r="U8" s="59"/>
    </row>
    <row r="9" spans="1:21" ht="17.25" thickTop="1">
      <c r="U9" s="59"/>
    </row>
    <row r="10" spans="1:21">
      <c r="B10" s="59"/>
      <c r="U10" s="59"/>
    </row>
    <row r="11" spans="1:21">
      <c r="B11" s="52" t="s">
        <v>71</v>
      </c>
      <c r="U11" s="59"/>
    </row>
    <row r="12" spans="1:21">
      <c r="B12" s="52" t="s">
        <v>110</v>
      </c>
      <c r="U12" s="59"/>
    </row>
    <row r="13" spans="1:21">
      <c r="U13" s="59"/>
    </row>
    <row r="14" spans="1:21">
      <c r="U14" s="59"/>
    </row>
    <row r="15" spans="1:21">
      <c r="U15" s="59"/>
    </row>
    <row r="16" spans="1:21">
      <c r="A16" t="s">
        <v>251</v>
      </c>
      <c r="G16" t="s">
        <v>252</v>
      </c>
      <c r="U16" s="59"/>
    </row>
    <row r="17" spans="2:21">
      <c r="B17" s="126" t="str">
        <f>HYPERLINK(INDEX('IG 콘텐츠 data'!D:D,MATCH(INDEX('IG 신규발행'!$A:$A,MATCH(1,'IG 신규발행'!$R:$R,0)),'IG 콘텐츠 data'!S:S,0)),INDEX('IG 신규발행'!$D:$D,MATCH(1,'IG 신규발행'!$R:$R,0)))</f>
        <v>이노드림(블레즈 파스칼)</v>
      </c>
      <c r="H17" s="126" t="str">
        <f>HYPERLINK(INDEX('IG 콘텐츠 data'!D:D,MATCH(INDEX('IG 신규발행'!$A:$A,MATCH(1,'IG 신규발행'!$S:$S,0)),'IG 콘텐츠 data'!S:S,0)),INDEX('IG 신규발행'!$D:$D,MATCH(1,'IG 신규발행'!$S:$S,0)))</f>
        <v>슼-떠나요 Ep. 페루</v>
      </c>
      <c r="U17" s="59"/>
    </row>
    <row r="18" spans="2:21">
      <c r="E18" s="87"/>
      <c r="K18" s="87"/>
      <c r="U18" s="59"/>
    </row>
    <row r="19" spans="2:21" ht="17.25" thickBot="1">
      <c r="B19" s="53" t="s">
        <v>65</v>
      </c>
      <c r="C19" s="61">
        <f>INDEX('IG 신규발행'!$B$3:$P$30,MATCH(1,'IG 신규발행'!$R$3:$R$30,0),MATCH('IG Top3 Post'!B19,'IG 신규발행'!$B$3:$P$3,0))</f>
        <v>5781</v>
      </c>
      <c r="D19" s="54" t="s">
        <v>57</v>
      </c>
      <c r="E19" s="61">
        <f>INDEX('IG 신규발행'!$B$3:$P$30,MATCH(1,'IG 신규발행'!$R$3:$R$30,0),MATCH('IG Top3 Post'!D19,'IG 신규발행'!$B$3:$P$3,0))</f>
        <v>8423</v>
      </c>
      <c r="H19" s="53" t="s">
        <v>65</v>
      </c>
      <c r="I19" s="61">
        <f>INDEX('IG 신규발행'!$B$3:$P$30,MATCH(1,'IG 신규발행'!$S$3:$S$30,0),MATCH('IG Top3 Post'!H19,'IG 신규발행'!$B$3:$P$3,0))</f>
        <v>28683</v>
      </c>
      <c r="J19" s="54" t="s">
        <v>57</v>
      </c>
      <c r="K19" s="61">
        <f>INDEX('IG 신규발행'!$B$3:$P$30,MATCH(1,'IG 신규발행'!$S$3:$S$30,0),MATCH('IG Top3 Post'!J19,'IG 신규발행'!$B$3:$P$3,0))</f>
        <v>47767</v>
      </c>
      <c r="U19" s="59"/>
    </row>
    <row r="20" spans="2:21" ht="18" thickTop="1" thickBot="1">
      <c r="B20" s="55" t="s">
        <v>81</v>
      </c>
      <c r="C20" s="61">
        <f>INDEX('IG 신규발행'!$B$3:$P$30,MATCH(1,'IG 신규발행'!$R$3:$R$30,0),MATCH('IG Top3 Post'!B20,'IG 신규발행'!$B$3:$P$3,0))</f>
        <v>1445</v>
      </c>
      <c r="D20" s="56" t="s">
        <v>82</v>
      </c>
      <c r="E20" s="61">
        <f>INDEX('IG 신규발행'!$B$3:$P$30,MATCH(1,'IG 신규발행'!$R$3:$R$30,0),MATCH('IG Top3 Post'!D20,'IG 신규발행'!$B$3:$P$3,0))</f>
        <v>11</v>
      </c>
      <c r="H20" s="55" t="s">
        <v>81</v>
      </c>
      <c r="I20" s="61">
        <f>INDEX('IG 신규발행'!$B$3:$P$30,MATCH(1,'IG 신규발행'!$S$3:$S$30,0),MATCH('IG Top3 Post'!H20,'IG 신규발행'!$B$3:$P$3,0))</f>
        <v>1221</v>
      </c>
      <c r="J20" s="56" t="s">
        <v>82</v>
      </c>
      <c r="K20" s="61">
        <f>INDEX('IG 신규발행'!$B$3:$P$30,MATCH(1,'IG 신규발행'!$S$3:$S$30,0),MATCH('IG Top3 Post'!J20,'IG 신규발행'!$B$3:$P$3,0))</f>
        <v>4</v>
      </c>
      <c r="U20" s="59"/>
    </row>
    <row r="21" spans="2:21" ht="18" thickTop="1" thickBot="1">
      <c r="B21" s="57" t="s">
        <v>83</v>
      </c>
      <c r="C21" s="61">
        <f>INDEX('IG 신규발행'!$B$3:$P$30,MATCH(1,'IG 신규발행'!$R$3:$R$30,0),MATCH('IG Top3 Post'!B21,'IG 신규발행'!$B$3:$P$3,0))</f>
        <v>7</v>
      </c>
      <c r="D21" s="56" t="s">
        <v>78</v>
      </c>
      <c r="E21" s="61">
        <f>INDEX('IG 신규발행'!$B$3:$P$30,MATCH(1,'IG 신규발행'!$R$3:$R$30,0),MATCH('IG Top3 Post'!D21,'IG 신규발행'!$B$3:$P$3,0))</f>
        <v>56</v>
      </c>
      <c r="H21" s="57" t="s">
        <v>83</v>
      </c>
      <c r="I21" s="61">
        <f>INDEX('IG 신규발행'!$B$3:$P$30,MATCH(1,'IG 신규발행'!$S$3:$S$30,0),MATCH('IG Top3 Post'!H21,'IG 신규발행'!$B$3:$P$3,0))</f>
        <v>4</v>
      </c>
      <c r="J21" s="56" t="s">
        <v>78</v>
      </c>
      <c r="K21" s="61">
        <f>INDEX('IG 신규발행'!$B$3:$P$30,MATCH(1,'IG 신규발행'!$S$3:$S$30,0),MATCH('IG Top3 Post'!J21,'IG 신규발행'!$B$3:$P$3,0))</f>
        <v>16</v>
      </c>
      <c r="U21" s="59"/>
    </row>
    <row r="22" spans="2:21" ht="18" thickTop="1" thickBot="1">
      <c r="B22" s="58" t="s">
        <v>56</v>
      </c>
      <c r="C22" s="61">
        <f>INDEX('IG 신규발행'!$B$3:$P$30,MATCH(1,'IG 신규발행'!$R$3:$R$30,0),MATCH('IG Top3 Post'!B22,'IG 신규발행'!$B$3:$P$3,0))</f>
        <v>1519</v>
      </c>
      <c r="D22" s="56" t="s">
        <v>61</v>
      </c>
      <c r="E22" s="86">
        <f>INDEX('IG 신규발행'!$B$3:$P$30,MATCH(1,'IG 신규발행'!$R$3:$R$30,0),MATCH('IG Top3 Post'!D22,'IG 신규발행'!$B$3:$P$3,0))</f>
        <v>0.26275730842414807</v>
      </c>
      <c r="H22" s="58" t="s">
        <v>56</v>
      </c>
      <c r="I22" s="61">
        <f>INDEX('IG 신규발행'!$B$3:$P$30,MATCH(1,'IG 신규발행'!$S$3:$S$30,0),MATCH('IG Top3 Post'!H22,'IG 신규발행'!$B$3:$P$3,0))</f>
        <v>1245</v>
      </c>
      <c r="J22" s="56" t="s">
        <v>61</v>
      </c>
      <c r="K22" s="86">
        <f>INDEX('IG 신규발행'!$B$3:$P$30,MATCH(1,'IG 신규발행'!$S$3:$S$30,0),MATCH('IG Top3 Post'!J22,'IG 신규발행'!$B$3:$P$3,0))</f>
        <v>4.3405501516577766E-2</v>
      </c>
      <c r="U22" s="59"/>
    </row>
    <row r="23" spans="2:21" ht="17.25" thickTop="1">
      <c r="U23" s="59"/>
    </row>
    <row r="24" spans="2:21">
      <c r="U24" s="59"/>
    </row>
    <row r="25" spans="2:21">
      <c r="U25" s="59"/>
    </row>
    <row r="26" spans="2:21">
      <c r="U26" s="59"/>
    </row>
    <row r="27" spans="2:21">
      <c r="U27" s="59"/>
    </row>
    <row r="28" spans="2:21">
      <c r="U28" s="59"/>
    </row>
    <row r="29" spans="2:21">
      <c r="U29" s="59"/>
    </row>
    <row r="30" spans="2:21">
      <c r="U30" s="59"/>
    </row>
    <row r="31" spans="2:21">
      <c r="U31" s="59"/>
    </row>
    <row r="32" spans="2:21">
      <c r="U32" s="59"/>
    </row>
    <row r="33" spans="21:21">
      <c r="U33" s="59"/>
    </row>
    <row r="34" spans="21:21">
      <c r="U34" s="59"/>
    </row>
    <row r="35" spans="21:21">
      <c r="U35" s="59"/>
    </row>
    <row r="36" spans="21:21">
      <c r="U36" s="59"/>
    </row>
    <row r="37" spans="21:21">
      <c r="U37" s="59"/>
    </row>
    <row r="38" spans="21:21">
      <c r="U38" s="59"/>
    </row>
    <row r="39" spans="21:21">
      <c r="U39" s="59"/>
    </row>
    <row r="40" spans="21:21">
      <c r="U40" s="59"/>
    </row>
    <row r="41" spans="21:21">
      <c r="U41" s="59"/>
    </row>
    <row r="42" spans="21:21">
      <c r="U42" s="59"/>
    </row>
    <row r="43" spans="21:21">
      <c r="U43" s="59"/>
    </row>
    <row r="44" spans="21:21">
      <c r="U44" s="59"/>
    </row>
    <row r="45" spans="21:21">
      <c r="U45" s="59"/>
    </row>
    <row r="46" spans="21:21">
      <c r="U46" s="59"/>
    </row>
    <row r="47" spans="21:21">
      <c r="U47" s="59"/>
    </row>
    <row r="48" spans="21:21">
      <c r="U48" s="5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tabColor theme="9" tint="0.79998168889431442"/>
  </sheetPr>
  <dimension ref="A1:E36"/>
  <sheetViews>
    <sheetView topLeftCell="A13" workbookViewId="0">
      <selection activeCell="J32" sqref="J32"/>
    </sheetView>
  </sheetViews>
  <sheetFormatPr defaultRowHeight="16.5"/>
  <cols>
    <col min="1" max="1" width="10.875" bestFit="1" customWidth="1"/>
  </cols>
  <sheetData>
    <row r="1" spans="1:2">
      <c r="A1" s="91" t="s">
        <v>99</v>
      </c>
      <c r="B1" s="92" t="s">
        <v>100</v>
      </c>
    </row>
    <row r="2" spans="1:2">
      <c r="A2" s="93" t="str">
        <f>IF(일일data!A4="","",TEXT(일일data!A4,"d"))</f>
        <v>1</v>
      </c>
      <c r="B2" s="90">
        <f>IF(일일data!Z4="","",일일data!Z4)</f>
        <v>194022</v>
      </c>
    </row>
    <row r="3" spans="1:2">
      <c r="A3" s="93" t="str">
        <f>IF(일일data!A5="","",TEXT(일일data!A5,"d"))</f>
        <v>2</v>
      </c>
      <c r="B3" s="90">
        <f>IF(일일data!Z5="","",일일data!Z5)</f>
        <v>194001</v>
      </c>
    </row>
    <row r="4" spans="1:2">
      <c r="A4" s="93" t="str">
        <f>IF(일일data!A6="","",TEXT(일일data!A6,"d"))</f>
        <v>3</v>
      </c>
      <c r="B4" s="90">
        <f>IF(일일data!Z6="","",일일data!Z6)</f>
        <v>193964</v>
      </c>
    </row>
    <row r="5" spans="1:2">
      <c r="A5" s="93" t="str">
        <f>IF(일일data!A7="","",TEXT(일일data!A7,"d"))</f>
        <v>4</v>
      </c>
      <c r="B5" s="90">
        <f>IF(일일data!Z7="","",일일data!Z7)</f>
        <v>193912</v>
      </c>
    </row>
    <row r="6" spans="1:2">
      <c r="A6" s="93" t="str">
        <f>IF(일일data!A8="","",TEXT(일일data!A8,"d"))</f>
        <v>5</v>
      </c>
      <c r="B6" s="90">
        <f>IF(일일data!Z8="","",일일data!Z8)</f>
        <v>193865</v>
      </c>
    </row>
    <row r="7" spans="1:2">
      <c r="A7" s="93" t="str">
        <f>IF(일일data!A9="","",TEXT(일일data!A9,"d"))</f>
        <v>6</v>
      </c>
      <c r="B7" s="90">
        <f>IF(일일data!Z9="","",일일data!Z9)</f>
        <v>193823</v>
      </c>
    </row>
    <row r="8" spans="1:2">
      <c r="A8" s="93" t="str">
        <f>IF(일일data!A10="","",TEXT(일일data!A10,"d"))</f>
        <v>7</v>
      </c>
      <c r="B8" s="90">
        <f>IF(일일data!Z10="","",일일data!Z10)</f>
        <v>193782</v>
      </c>
    </row>
    <row r="9" spans="1:2">
      <c r="A9" s="93" t="str">
        <f>IF(일일data!A11="","",TEXT(일일data!A11,"d"))</f>
        <v>8</v>
      </c>
      <c r="B9" s="90">
        <f>IF(일일data!Z11="","",일일data!Z11)</f>
        <v>193727</v>
      </c>
    </row>
    <row r="10" spans="1:2">
      <c r="A10" s="93" t="str">
        <f>IF(일일data!A12="","",TEXT(일일data!A12,"d"))</f>
        <v>9</v>
      </c>
      <c r="B10" s="90">
        <f>IF(일일data!Z12="","",일일data!Z12)</f>
        <v>193702</v>
      </c>
    </row>
    <row r="11" spans="1:2">
      <c r="A11" s="93" t="str">
        <f>IF(일일data!A13="","",TEXT(일일data!A13,"d"))</f>
        <v>10</v>
      </c>
      <c r="B11" s="90">
        <f>IF(일일data!Z13="","",일일data!Z13)</f>
        <v>193659</v>
      </c>
    </row>
    <row r="12" spans="1:2">
      <c r="A12" s="93" t="str">
        <f>IF(일일data!A14="","",TEXT(일일data!A14,"d"))</f>
        <v>11</v>
      </c>
      <c r="B12" s="90">
        <f>IF(일일data!Z14="","",일일data!Z14)</f>
        <v>193615</v>
      </c>
    </row>
    <row r="13" spans="1:2">
      <c r="A13" s="93" t="str">
        <f>IF(일일data!A15="","",TEXT(일일data!A15,"d"))</f>
        <v>12</v>
      </c>
      <c r="B13" s="90">
        <f>IF(일일data!Z15="","",일일data!Z15)</f>
        <v>193572</v>
      </c>
    </row>
    <row r="14" spans="1:2">
      <c r="A14" s="93" t="str">
        <f>IF(일일data!A16="","",TEXT(일일data!A16,"d"))</f>
        <v>13</v>
      </c>
      <c r="B14" s="90">
        <f>IF(일일data!Z16="","",일일data!Z16)</f>
        <v>193543</v>
      </c>
    </row>
    <row r="15" spans="1:2">
      <c r="A15" s="93" t="str">
        <f>IF(일일data!A17="","",TEXT(일일data!A17,"d"))</f>
        <v>14</v>
      </c>
      <c r="B15" s="90">
        <f>IF(일일data!Z17="","",일일data!Z17)</f>
        <v>193497</v>
      </c>
    </row>
    <row r="16" spans="1:2">
      <c r="A16" s="93" t="str">
        <f>IF(일일data!A18="","",TEXT(일일data!A18,"d"))</f>
        <v>15</v>
      </c>
      <c r="B16" s="90">
        <f>IF(일일data!Z18="","",일일data!Z18)</f>
        <v>193442</v>
      </c>
    </row>
    <row r="17" spans="1:5">
      <c r="A17" s="93" t="str">
        <f>IF(일일data!A19="","",TEXT(일일data!A19,"d"))</f>
        <v>16</v>
      </c>
      <c r="B17" s="90">
        <f>IF(일일data!Z19="","",일일data!Z19)</f>
        <v>193408</v>
      </c>
    </row>
    <row r="18" spans="1:5">
      <c r="A18" s="93" t="str">
        <f>IF(일일data!A20="","",TEXT(일일data!A20,"d"))</f>
        <v>17</v>
      </c>
      <c r="B18" s="90">
        <f>IF(일일data!Z20="","",일일data!Z20)</f>
        <v>193353</v>
      </c>
    </row>
    <row r="19" spans="1:5">
      <c r="A19" s="93" t="str">
        <f>IF(일일data!A21="","",TEXT(일일data!A21,"d"))</f>
        <v>18</v>
      </c>
      <c r="B19" s="90">
        <f>IF(일일data!Z21="","",일일data!Z21)</f>
        <v>193319</v>
      </c>
    </row>
    <row r="20" spans="1:5">
      <c r="A20" s="93" t="str">
        <f>IF(일일data!A22="","",TEXT(일일data!A22,"d"))</f>
        <v>19</v>
      </c>
      <c r="B20" s="90">
        <f>IF(일일data!Z22="","",일일data!Z22)</f>
        <v>193281</v>
      </c>
    </row>
    <row r="21" spans="1:5">
      <c r="A21" s="93" t="str">
        <f>IF(일일data!A23="","",TEXT(일일data!A23,"d"))</f>
        <v>20</v>
      </c>
      <c r="B21" s="90">
        <f>IF(일일data!Z23="","",일일data!Z23)</f>
        <v>193257</v>
      </c>
    </row>
    <row r="22" spans="1:5">
      <c r="A22" s="93" t="str">
        <f>IF(일일data!A24="","",TEXT(일일data!A24,"d"))</f>
        <v>21</v>
      </c>
      <c r="B22" s="90">
        <f>IF(일일data!Z24="","",일일data!Z24)</f>
        <v>193223</v>
      </c>
    </row>
    <row r="23" spans="1:5">
      <c r="A23" s="93" t="str">
        <f>IF(일일data!A25="","",TEXT(일일data!A25,"d"))</f>
        <v>22</v>
      </c>
      <c r="B23" s="90">
        <f>IF(일일data!Z25="","",일일data!Z25)</f>
        <v>193170</v>
      </c>
    </row>
    <row r="24" spans="1:5">
      <c r="A24" s="93" t="str">
        <f>IF(일일data!A26="","",TEXT(일일data!A26,"d"))</f>
        <v>23</v>
      </c>
      <c r="B24" s="90">
        <f>IF(일일data!Z26="","",일일data!Z26)</f>
        <v>193144</v>
      </c>
    </row>
    <row r="25" spans="1:5">
      <c r="A25" s="93" t="str">
        <f>IF(일일data!A27="","",TEXT(일일data!A27,"d"))</f>
        <v>24</v>
      </c>
      <c r="B25" s="90">
        <f>IF(일일data!Z27="","",일일data!Z27)</f>
        <v>193100</v>
      </c>
    </row>
    <row r="26" spans="1:5">
      <c r="A26" s="93" t="str">
        <f>IF(일일data!A28="","",TEXT(일일data!A28,"d"))</f>
        <v>25</v>
      </c>
      <c r="B26" s="90">
        <f>IF(일일data!Z28="","",일일data!Z28)</f>
        <v>193061</v>
      </c>
    </row>
    <row r="27" spans="1:5">
      <c r="A27" s="93" t="str">
        <f>IF(일일data!A29="","",TEXT(일일data!A29,"d"))</f>
        <v>26</v>
      </c>
      <c r="B27" s="90">
        <f>IF(일일data!Z29="","",일일data!Z29)</f>
        <v>193033</v>
      </c>
    </row>
    <row r="28" spans="1:5">
      <c r="A28" s="93" t="str">
        <f>IF(일일data!A30="","",TEXT(일일data!A30,"d"))</f>
        <v>27</v>
      </c>
      <c r="B28" s="90">
        <f>IF(일일data!Z30="","",일일data!Z30)</f>
        <v>193002</v>
      </c>
    </row>
    <row r="29" spans="1:5">
      <c r="A29" s="93" t="str">
        <f>IF(일일data!A31="","",TEXT(일일data!A31,"d"))</f>
        <v>28</v>
      </c>
      <c r="B29" s="90">
        <f>IF(일일data!Z31="","",일일data!Z31)</f>
        <v>192883</v>
      </c>
    </row>
    <row r="30" spans="1:5">
      <c r="A30" s="93" t="str">
        <f>IF(일일data!A32="","",TEXT(일일data!A32,"d"))</f>
        <v>29</v>
      </c>
      <c r="B30" s="90">
        <f>IF(일일data!Z32="","",일일data!Z32)</f>
        <v>192883</v>
      </c>
    </row>
    <row r="31" spans="1:5">
      <c r="A31" s="93" t="str">
        <f>IF(일일data!A33="","",TEXT(일일data!A33,"d"))</f>
        <v>30</v>
      </c>
      <c r="B31" s="90">
        <f>IF(일일data!Z33="","",일일data!Z33)</f>
        <v>192883</v>
      </c>
      <c r="E31" s="219" t="str">
        <f>"구독자 "&amp;TEXT(ABS(INDEX('채널별 팔로워 추이'!$S$4:$S$16,COUNTA('채널별 팔로워 추이'!$S$4:$S$16))-INDEX('채널별 팔로워 추이'!$S$4:$S$16,COUNTA('채널별 팔로워 추이'!$S$4:$S$16)-1)),"#,###")&amp;"명"&amp;CHAR(10)&amp;"("&amp;TEXT((INDEX('채널별 팔로워 추이'!$S$4:$S$16,COUNTA('채널별 팔로워 추이'!$S$4:$S$16))-INDEX('채널별 팔로워 추이'!$S$4:$S$16,COUNTA('채널별 팔로워 추이'!$S$4:$S$16)-1))/INDEX('채널별 팔로워 추이'!$S$4:$S$16,COUNTA('채널별 팔로워 추이'!$S$4:$S$16)-1),"0.##%")&amp;IF(INDEX('채널별 팔로워 추이'!$S$4:$S$16,COUNTA('채널별 팔로워 추이'!$S$4:$S$16))&gt;INDEX('채널별 팔로워 추이'!$S$4:$S$16,COUNTA('채널별 팔로워 추이'!$S$4:$S$16)-1),") 증가",") 감소")</f>
        <v>구독자 1,201명
(-0.62%) 감소</v>
      </c>
    </row>
    <row r="32" spans="1:5">
      <c r="A32" s="93" t="str">
        <f>IF(일일data!A34="","",TEXT(일일data!A34,"d"))</f>
        <v/>
      </c>
      <c r="B32" s="90" t="str">
        <f>IF(일일data!Z34="","",일일data!Z34)</f>
        <v/>
      </c>
      <c r="C32" s="127"/>
    </row>
    <row r="36" spans="2:2">
      <c r="B36" s="127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사용방법</vt:lpstr>
      <vt:lpstr>일일data</vt:lpstr>
      <vt:lpstr>채널별 팔로워 추이</vt:lpstr>
      <vt:lpstr>FB 콘텐츠 data</vt:lpstr>
      <vt:lpstr>구글시트 data</vt:lpstr>
      <vt:lpstr>FB 커버</vt:lpstr>
      <vt:lpstr>FB 신규발행</vt:lpstr>
      <vt:lpstr>FB Top3 Post</vt:lpstr>
      <vt:lpstr>IG 콘텐츠 data</vt:lpstr>
      <vt:lpstr>IG story data</vt:lpstr>
      <vt:lpstr>IG 커버</vt:lpstr>
      <vt:lpstr>IG 신규발행</vt:lpstr>
      <vt:lpstr>IG Top3 Post</vt:lpstr>
      <vt:lpstr>YT 커버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Joon Young Lee</cp:lastModifiedBy>
  <cp:lastPrinted>2024-07-03T01:10:51Z</cp:lastPrinted>
  <dcterms:created xsi:type="dcterms:W3CDTF">2023-08-08T04:29:36Z</dcterms:created>
  <dcterms:modified xsi:type="dcterms:W3CDTF">2024-07-03T06:11:57Z</dcterms:modified>
</cp:coreProperties>
</file>